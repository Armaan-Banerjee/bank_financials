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A0C2E"/>
        <bgColor rgb="007A0C2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Unity Trust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Unity Trust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Unity Trust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Unity Trust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Unity Trust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'Overview'!$BE$10:$BL$10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'Overview'!$BE$11:$BL$11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L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Unity Trust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FY2018</t>
        </is>
      </c>
      <c r="BF5" t="inlineStr">
        <is>
          <t>FY2019</t>
        </is>
      </c>
      <c r="BG5" t="inlineStr">
        <is>
          <t>FY2020</t>
        </is>
      </c>
      <c r="BH5" t="inlineStr">
        <is>
          <t>FY2021</t>
        </is>
      </c>
      <c r="BI5" t="inlineStr">
        <is>
          <t>FY2022</t>
        </is>
      </c>
      <c r="BJ5" t="inlineStr">
        <is>
          <t>FY2023</t>
        </is>
      </c>
      <c r="BK5" t="inlineStr">
        <is>
          <t>FY2024</t>
        </is>
      </c>
      <c r="BL5" t="inlineStr">
        <is>
          <t>FY2025</t>
        </is>
      </c>
    </row>
    <row r="6">
      <c r="A6" s="5" t="inlineStr">
        <is>
          <t>Total assets</t>
        </is>
      </c>
      <c r="B6" s="5" t="n">
        <v>2187753</v>
      </c>
      <c r="C6" s="5" t="n">
        <v>1957289</v>
      </c>
      <c r="D6" s="5" t="n">
        <v>1745808</v>
      </c>
      <c r="E6" s="5" t="n">
        <v>1669179</v>
      </c>
      <c r="F6" s="5" t="n">
        <v>1622794</v>
      </c>
      <c r="G6" s="5" t="n">
        <v>1431594</v>
      </c>
      <c r="H6" s="5" t="n">
        <v>1122206</v>
      </c>
      <c r="I6" s="5" t="n">
        <v>1076894</v>
      </c>
      <c r="L6" t="inlineStr">
        <is>
          <t>Total assets</t>
        </is>
      </c>
      <c r="M6" t="n">
        <v>1076894</v>
      </c>
      <c r="N6" t="n">
        <v>1122206</v>
      </c>
      <c r="O6" t="n">
        <v>1431594</v>
      </c>
      <c r="P6" t="n">
        <v>1622794</v>
      </c>
      <c r="Q6" t="n">
        <v>1669179</v>
      </c>
      <c r="R6" t="n">
        <v>1745808</v>
      </c>
      <c r="S6" t="n">
        <v>1957289</v>
      </c>
      <c r="T6" t="n">
        <v>2187753</v>
      </c>
      <c r="BD6" t="inlineStr">
        <is>
          <t>CET1 Ratio</t>
        </is>
      </c>
      <c r="BE6" t="n">
        <v>19.3</v>
      </c>
      <c r="BF6" t="n">
        <v>17.6</v>
      </c>
      <c r="BG6" t="n">
        <v>16.7</v>
      </c>
      <c r="BH6" t="n">
        <v>17.7</v>
      </c>
      <c r="BI6" t="n">
        <v>18.27</v>
      </c>
      <c r="BJ6" t="n">
        <v>19.68</v>
      </c>
      <c r="BK6" t="n">
        <v>24.05</v>
      </c>
      <c r="BL6" t="n">
        <v>24.33</v>
      </c>
    </row>
    <row r="7">
      <c r="A7" s="5" t="inlineStr">
        <is>
          <t>Loans and advances to customers</t>
        </is>
      </c>
      <c r="B7" s="5" t="n">
        <v>1133097</v>
      </c>
      <c r="C7" s="5" t="n">
        <v>1013816</v>
      </c>
      <c r="D7" s="5" t="n">
        <v>1013646</v>
      </c>
      <c r="E7" s="5" t="n">
        <v>836576</v>
      </c>
      <c r="F7" s="5" t="n">
        <v>723523</v>
      </c>
      <c r="G7" s="5" t="n">
        <v>601810</v>
      </c>
      <c r="H7" s="5" t="n">
        <v>477554</v>
      </c>
      <c r="I7" s="5" t="n">
        <v>362446</v>
      </c>
      <c r="L7" t="inlineStr">
        <is>
          <t>Loans and advances to customers</t>
        </is>
      </c>
      <c r="M7" t="n">
        <v>362446</v>
      </c>
      <c r="N7" t="n">
        <v>477554</v>
      </c>
      <c r="O7" t="n">
        <v>601810</v>
      </c>
      <c r="P7" t="n">
        <v>723523</v>
      </c>
      <c r="Q7" t="n">
        <v>836576</v>
      </c>
      <c r="R7" t="n">
        <v>1013646</v>
      </c>
      <c r="S7" t="n">
        <v>1013816</v>
      </c>
      <c r="T7" t="n">
        <v>1133097</v>
      </c>
      <c r="BD7" t="inlineStr">
        <is>
          <t>Tier 1 Ratio</t>
        </is>
      </c>
      <c r="BE7" t="n">
        <v>19.3</v>
      </c>
      <c r="BF7" t="n">
        <v>17.6</v>
      </c>
      <c r="BG7" t="n">
        <v>16.7</v>
      </c>
      <c r="BH7" t="n">
        <v>17.69</v>
      </c>
      <c r="BI7" t="n">
        <v>18.27</v>
      </c>
      <c r="BJ7" t="n">
        <v>19.68</v>
      </c>
      <c r="BK7" t="n">
        <v>24.05</v>
      </c>
      <c r="BL7" t="n">
        <v>24.33</v>
      </c>
    </row>
    <row r="8">
      <c r="A8" s="5" t="inlineStr">
        <is>
          <t>Customer deposits</t>
        </is>
      </c>
      <c r="B8" s="5" t="n">
        <v>1861280</v>
      </c>
      <c r="C8" s="5" t="n">
        <v>1717204</v>
      </c>
      <c r="D8" s="5" t="n">
        <v>1559309</v>
      </c>
      <c r="E8" s="5" t="n">
        <v>1538657</v>
      </c>
      <c r="F8" s="5" t="n">
        <v>1507227</v>
      </c>
      <c r="G8" s="5" t="n">
        <v>1335725</v>
      </c>
      <c r="H8" s="5" t="n">
        <v>1030435</v>
      </c>
      <c r="I8" s="5" t="n">
        <v>998130</v>
      </c>
      <c r="L8" t="inlineStr">
        <is>
          <t>Customer deposits</t>
        </is>
      </c>
      <c r="M8" t="n">
        <v>998130</v>
      </c>
      <c r="N8" t="n">
        <v>1030435</v>
      </c>
      <c r="O8" t="n">
        <v>1335725</v>
      </c>
      <c r="P8" t="n">
        <v>1507227</v>
      </c>
      <c r="Q8" t="n">
        <v>1538657</v>
      </c>
      <c r="R8" t="n">
        <v>1559309</v>
      </c>
      <c r="S8" t="n">
        <v>1717204</v>
      </c>
      <c r="T8" t="n">
        <v>1861280</v>
      </c>
      <c r="BD8" t="inlineStr">
        <is>
          <t>Total Capital Ratio</t>
        </is>
      </c>
      <c r="BE8" t="n">
        <v>19.3</v>
      </c>
      <c r="BF8" t="n">
        <v>17.6</v>
      </c>
      <c r="BG8" t="n">
        <v>16.7</v>
      </c>
      <c r="BH8" t="n">
        <v>17.69</v>
      </c>
      <c r="BI8" t="n">
        <v>18.27</v>
      </c>
      <c r="BJ8" t="n">
        <v>19.68</v>
      </c>
      <c r="BK8" t="n">
        <v>24.05</v>
      </c>
      <c r="BL8" t="n">
        <v>24.33</v>
      </c>
    </row>
    <row r="9">
      <c r="A9" s="5" t="inlineStr">
        <is>
          <t>Total equity</t>
        </is>
      </c>
      <c r="B9" s="5" t="n">
        <v>263994</v>
      </c>
      <c r="C9" s="5" t="n">
        <v>222117</v>
      </c>
      <c r="D9" s="5" t="n">
        <v>172617</v>
      </c>
      <c r="E9" s="5" t="n">
        <v>123815</v>
      </c>
      <c r="F9" s="5" t="n">
        <v>108963</v>
      </c>
      <c r="G9" s="5" t="n">
        <v>90669</v>
      </c>
      <c r="H9" s="5" t="n">
        <v>85132</v>
      </c>
      <c r="I9" s="5" t="n">
        <v>75423</v>
      </c>
      <c r="L9" t="inlineStr">
        <is>
          <t>Total equity</t>
        </is>
      </c>
      <c r="M9" t="n">
        <v>75423</v>
      </c>
      <c r="N9" t="n">
        <v>85132</v>
      </c>
      <c r="O9" t="n">
        <v>90669</v>
      </c>
      <c r="P9" t="n">
        <v>108963</v>
      </c>
      <c r="Q9" t="n">
        <v>123815</v>
      </c>
      <c r="R9" t="n">
        <v>172617</v>
      </c>
      <c r="S9" t="n">
        <v>222117</v>
      </c>
      <c r="T9" t="n">
        <v>263994</v>
      </c>
      <c r="BD9" t="inlineStr">
        <is>
          <t>Leverage Ratio (Basel III)</t>
        </is>
      </c>
      <c r="BE9" t="n">
        <v>6.4</v>
      </c>
      <c r="BF9" t="n">
        <v>6.9</v>
      </c>
      <c r="BG9" t="n">
        <v>5.9</v>
      </c>
      <c r="BH9" t="n">
        <v>5.7</v>
      </c>
      <c r="BI9" t="n">
        <v>7.19</v>
      </c>
      <c r="BJ9" t="n">
        <v>9.619999999999999</v>
      </c>
      <c r="BK9" t="n">
        <v>11.05</v>
      </c>
      <c r="BL9" t="n">
        <v>11.45</v>
      </c>
    </row>
    <row r="10">
      <c r="BD10" t="inlineStr">
        <is>
          <t>LCR</t>
        </is>
      </c>
      <c r="BE10" t="n">
        <v>393</v>
      </c>
      <c r="BF10" t="n">
        <v>339</v>
      </c>
      <c r="BG10" t="n">
        <v>331</v>
      </c>
      <c r="BH10" t="n">
        <v>272</v>
      </c>
      <c r="BI10" t="n">
        <v>220</v>
      </c>
      <c r="BJ10" t="n">
        <v>210</v>
      </c>
      <c r="BK10" t="n">
        <v>227.95</v>
      </c>
      <c r="BL10" t="n">
        <v>225.76</v>
      </c>
    </row>
    <row r="11">
      <c r="A11" s="3" t="inlineStr">
        <is>
          <t>Profit &amp; Loss Summary (£'000)</t>
        </is>
      </c>
      <c r="BD11" t="inlineStr">
        <is>
          <t>NSFR</t>
        </is>
      </c>
      <c r="BH11" t="n">
        <v>171.4</v>
      </c>
      <c r="BI11" t="n">
        <v>154.4</v>
      </c>
      <c r="BJ11" t="n">
        <v>131.97</v>
      </c>
      <c r="BK11" t="n">
        <v>154.16</v>
      </c>
      <c r="BL11" t="n">
        <v>148.7</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Total income</t>
        </is>
      </c>
      <c r="B13" s="5" t="n">
        <v>95026</v>
      </c>
      <c r="C13" s="5" t="n">
        <v>102097</v>
      </c>
      <c r="D13" s="5" t="n">
        <v>92421</v>
      </c>
      <c r="E13" s="5" t="n">
        <v>47183</v>
      </c>
      <c r="F13" s="5" t="n">
        <v>25137</v>
      </c>
      <c r="G13" s="5" t="n">
        <v>21948</v>
      </c>
      <c r="H13" s="5" t="n">
        <v>22642</v>
      </c>
      <c r="I13" s="5" t="n">
        <v>18371</v>
      </c>
      <c r="W13" t="inlineStr">
        <is>
          <t>Total income</t>
        </is>
      </c>
      <c r="X13" t="n">
        <v>18371</v>
      </c>
      <c r="Y13" t="n">
        <v>22642</v>
      </c>
      <c r="Z13" t="n">
        <v>21948</v>
      </c>
      <c r="AA13" t="n">
        <v>25137</v>
      </c>
      <c r="AB13" t="n">
        <v>47183</v>
      </c>
      <c r="AC13" t="n">
        <v>92421</v>
      </c>
      <c r="AD13" t="n">
        <v>102097</v>
      </c>
      <c r="AE13" t="n">
        <v>95026</v>
      </c>
    </row>
    <row r="14">
      <c r="A14" s="5" t="inlineStr">
        <is>
          <t>Operating expenses</t>
        </is>
      </c>
      <c r="B14" s="5" t="n">
        <v>-41377</v>
      </c>
      <c r="C14" s="5" t="n">
        <v>-33314</v>
      </c>
      <c r="D14" s="5" t="n">
        <v>-25011</v>
      </c>
      <c r="E14" s="5" t="n">
        <v>-17354</v>
      </c>
      <c r="F14" s="5" t="n">
        <v>-13614</v>
      </c>
      <c r="G14" s="5" t="n">
        <v>-12614</v>
      </c>
      <c r="H14" s="5" t="n">
        <v>-13315</v>
      </c>
      <c r="I14" s="5" t="n">
        <v>-10623</v>
      </c>
      <c r="W14" t="inlineStr">
        <is>
          <t>Operating expenses</t>
        </is>
      </c>
      <c r="X14" t="n">
        <v>-10623</v>
      </c>
      <c r="Y14" t="n">
        <v>-13315</v>
      </c>
      <c r="Z14" t="n">
        <v>-12614</v>
      </c>
      <c r="AA14" t="n">
        <v>-13614</v>
      </c>
      <c r="AB14" t="n">
        <v>-17354</v>
      </c>
      <c r="AC14" t="n">
        <v>-25011</v>
      </c>
      <c r="AD14" t="n">
        <v>-33314</v>
      </c>
      <c r="AE14" t="n">
        <v>-41377</v>
      </c>
    </row>
    <row r="15">
      <c r="A15" s="5" t="inlineStr">
        <is>
          <t>Profit for the year</t>
        </is>
      </c>
      <c r="B15" s="5" t="n">
        <v>40789</v>
      </c>
      <c r="C15" s="5" t="n">
        <v>50476</v>
      </c>
      <c r="D15" s="5" t="n">
        <v>48858</v>
      </c>
      <c r="E15" s="5" t="n">
        <v>22843</v>
      </c>
      <c r="F15" s="5" t="n">
        <v>9671</v>
      </c>
      <c r="G15" s="5" t="n">
        <v>7027</v>
      </c>
      <c r="H15" s="5" t="n">
        <v>7981</v>
      </c>
      <c r="I15" s="5" t="n">
        <v>5967</v>
      </c>
      <c r="W15" t="inlineStr">
        <is>
          <t>Profit for the year</t>
        </is>
      </c>
      <c r="X15" t="n">
        <v>5967</v>
      </c>
      <c r="Y15" t="n">
        <v>7981</v>
      </c>
      <c r="Z15" t="n">
        <v>7027</v>
      </c>
      <c r="AA15" t="n">
        <v>9671</v>
      </c>
      <c r="AB15" t="n">
        <v>22843</v>
      </c>
      <c r="AC15" t="n">
        <v>48858</v>
      </c>
      <c r="AD15" t="n">
        <v>50476</v>
      </c>
      <c r="AE15" t="n">
        <v>40789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Opening equity</t>
        </is>
      </c>
      <c r="B19" s="5" t="n">
        <v>222117</v>
      </c>
      <c r="C19" s="5" t="n">
        <v>172617</v>
      </c>
      <c r="D19" s="5" t="n">
        <v>123815</v>
      </c>
      <c r="E19" s="5" t="n">
        <v>108963</v>
      </c>
      <c r="F19" s="5" t="n">
        <v>90669</v>
      </c>
      <c r="G19" s="5" t="n">
        <v>85132</v>
      </c>
      <c r="H19" s="5" t="n">
        <v>75423</v>
      </c>
      <c r="I19" s="5" t="n">
        <v>59819</v>
      </c>
      <c r="AH19" t="inlineStr">
        <is>
          <t>Opening equity</t>
        </is>
      </c>
      <c r="AI19" t="n">
        <v>59819</v>
      </c>
      <c r="AJ19" t="n">
        <v>75423</v>
      </c>
      <c r="AK19" t="n">
        <v>85132</v>
      </c>
      <c r="AL19" t="n">
        <v>90669</v>
      </c>
      <c r="AM19" t="n">
        <v>108963</v>
      </c>
      <c r="AN19" t="n">
        <v>123815</v>
      </c>
      <c r="AO19" t="n">
        <v>172617</v>
      </c>
      <c r="AP19" t="n">
        <v>222117</v>
      </c>
    </row>
    <row r="20">
      <c r="A20" s="5" t="inlineStr">
        <is>
          <t>Total comprehensive income for the year</t>
        </is>
      </c>
      <c r="B20" s="5" t="n">
        <v>44881</v>
      </c>
      <c r="C20" s="5" t="n">
        <v>50970</v>
      </c>
      <c r="D20" s="5" t="n">
        <v>49972</v>
      </c>
      <c r="E20" s="5" t="n">
        <v>15683</v>
      </c>
      <c r="F20" s="5" t="n">
        <v>10499</v>
      </c>
      <c r="G20" s="5" t="n">
        <v>6210</v>
      </c>
      <c r="H20" s="5" t="n">
        <v>10662</v>
      </c>
      <c r="I20" s="5" t="n">
        <v>7682</v>
      </c>
      <c r="AH20" t="inlineStr">
        <is>
          <t>Total comprehensive income for the year</t>
        </is>
      </c>
      <c r="AI20" t="n">
        <v>7682</v>
      </c>
      <c r="AJ20" t="n">
        <v>10662</v>
      </c>
      <c r="AK20" t="n">
        <v>6210</v>
      </c>
      <c r="AL20" t="n">
        <v>10499</v>
      </c>
      <c r="AM20" t="n">
        <v>15683</v>
      </c>
      <c r="AN20" t="n">
        <v>49972</v>
      </c>
      <c r="AO20" t="n">
        <v>50970</v>
      </c>
      <c r="AP20" t="n">
        <v>44881</v>
      </c>
    </row>
    <row r="21">
      <c r="A21" s="5" t="inlineStr">
        <is>
          <t>Other equity movements, net</t>
        </is>
      </c>
      <c r="B21" s="5" t="n">
        <v>-3004</v>
      </c>
      <c r="C21" s="5" t="n">
        <v>-1470</v>
      </c>
      <c r="D21" s="5" t="n">
        <v>-1170</v>
      </c>
      <c r="E21" s="5" t="n">
        <v>-831</v>
      </c>
      <c r="F21" s="5" t="n">
        <v>7795</v>
      </c>
      <c r="G21" s="5" t="n">
        <v>-673</v>
      </c>
      <c r="H21" s="5" t="n">
        <v>-953</v>
      </c>
      <c r="I21" s="5" t="n">
        <v>7922</v>
      </c>
      <c r="AH21" t="inlineStr">
        <is>
          <t>Other equity movements, net</t>
        </is>
      </c>
      <c r="AI21" t="n">
        <v>7922</v>
      </c>
      <c r="AJ21" t="n">
        <v>-953</v>
      </c>
      <c r="AK21" t="n">
        <v>-673</v>
      </c>
      <c r="AL21" t="n">
        <v>7795</v>
      </c>
      <c r="AM21" t="n">
        <v>-831</v>
      </c>
      <c r="AN21" t="n">
        <v>-1170</v>
      </c>
      <c r="AO21" t="n">
        <v>-1470</v>
      </c>
      <c r="AP21" t="n">
        <v>-3004</v>
      </c>
    </row>
    <row r="22">
      <c r="A22" s="5" t="inlineStr">
        <is>
          <t>Closing equity</t>
        </is>
      </c>
      <c r="B22" s="5" t="n">
        <v>263994</v>
      </c>
      <c r="C22" s="5" t="n">
        <v>222117</v>
      </c>
      <c r="D22" s="5" t="n">
        <v>172617</v>
      </c>
      <c r="E22" s="5" t="n">
        <v>123815</v>
      </c>
      <c r="F22" s="5" t="n">
        <v>108963</v>
      </c>
      <c r="G22" s="5" t="n">
        <v>90669</v>
      </c>
      <c r="H22" s="5" t="n">
        <v>85132</v>
      </c>
      <c r="I22" s="5" t="n">
        <v>75423</v>
      </c>
      <c r="AH22" t="inlineStr">
        <is>
          <t>Closing equity</t>
        </is>
      </c>
      <c r="AI22" t="n">
        <v>75423</v>
      </c>
      <c r="AJ22" t="n">
        <v>85132</v>
      </c>
      <c r="AK22" t="n">
        <v>90669</v>
      </c>
      <c r="AL22" t="n">
        <v>108963</v>
      </c>
      <c r="AM22" t="n">
        <v>123815</v>
      </c>
      <c r="AN22" t="n">
        <v>172617</v>
      </c>
      <c r="AO22" t="n">
        <v>222117</v>
      </c>
      <c r="AP22" t="n">
        <v>263994</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T25" t="inlineStr">
        <is>
          <t>FY2018</t>
        </is>
      </c>
      <c r="AU25" t="inlineStr">
        <is>
          <t>FY2019</t>
        </is>
      </c>
      <c r="AV25" t="inlineStr">
        <is>
          <t>FY2020</t>
        </is>
      </c>
      <c r="AW25" t="inlineStr">
        <is>
          <t>FY2021</t>
        </is>
      </c>
      <c r="AX25" t="inlineStr">
        <is>
          <t>FY2022</t>
        </is>
      </c>
      <c r="AY25" t="inlineStr">
        <is>
          <t>FY2023</t>
        </is>
      </c>
      <c r="AZ25" t="inlineStr">
        <is>
          <t>FY2024</t>
        </is>
      </c>
      <c r="BA25" t="inlineStr">
        <is>
          <t>FY2025</t>
        </is>
      </c>
    </row>
    <row r="26">
      <c r="A26" s="5" t="inlineStr">
        <is>
          <t>Net cash from/(used in) operating activities</t>
        </is>
      </c>
      <c r="B26" s="5" t="n">
        <v>30097</v>
      </c>
      <c r="C26" s="5" t="n">
        <v>204830</v>
      </c>
      <c r="D26" s="5" t="n">
        <v>-107535</v>
      </c>
      <c r="E26" s="5" t="n">
        <v>-60460</v>
      </c>
      <c r="F26" s="5" t="n">
        <v>59722</v>
      </c>
      <c r="G26" s="5" t="n">
        <v>186733</v>
      </c>
      <c r="H26" s="5" t="n">
        <v>-74036</v>
      </c>
      <c r="I26" s="5" t="n">
        <v>-28746</v>
      </c>
      <c r="AS26" t="inlineStr">
        <is>
          <t>Net cash from/(used in) operating activities</t>
        </is>
      </c>
      <c r="AT26" t="n">
        <v>-28746</v>
      </c>
      <c r="AU26" t="n">
        <v>-74036</v>
      </c>
      <c r="AV26" t="n">
        <v>186733</v>
      </c>
      <c r="AW26" t="n">
        <v>59722</v>
      </c>
      <c r="AX26" t="n">
        <v>-60460</v>
      </c>
      <c r="AY26" t="n">
        <v>-107535</v>
      </c>
      <c r="AZ26" t="n">
        <v>204830</v>
      </c>
      <c r="BA26" t="n">
        <v>30097</v>
      </c>
    </row>
    <row r="27">
      <c r="A27" s="5" t="inlineStr">
        <is>
          <t>Net cash from/(used in) investing activities</t>
        </is>
      </c>
      <c r="B27" s="5" t="n">
        <v>-480574</v>
      </c>
      <c r="C27" s="5" t="n">
        <v>-53279</v>
      </c>
      <c r="D27" s="5" t="n">
        <v>20470</v>
      </c>
      <c r="E27" s="5" t="n">
        <v>-51641</v>
      </c>
      <c r="F27" s="5" t="n">
        <v>42974</v>
      </c>
      <c r="G27" s="5" t="n">
        <v>80336</v>
      </c>
      <c r="H27" s="5" t="n">
        <v>95062</v>
      </c>
      <c r="I27" s="5" t="n">
        <v>-54409</v>
      </c>
      <c r="AS27" t="inlineStr">
        <is>
          <t>Net cash from/(used in) investing activities</t>
        </is>
      </c>
      <c r="AT27" t="n">
        <v>-54409</v>
      </c>
      <c r="AU27" t="n">
        <v>95062</v>
      </c>
      <c r="AV27" t="n">
        <v>80336</v>
      </c>
      <c r="AW27" t="n">
        <v>42974</v>
      </c>
      <c r="AX27" t="n">
        <v>-51641</v>
      </c>
      <c r="AY27" t="n">
        <v>20470</v>
      </c>
      <c r="AZ27" t="n">
        <v>-53279</v>
      </c>
      <c r="BA27" t="n">
        <v>-480574</v>
      </c>
    </row>
    <row r="28">
      <c r="A28" s="5" t="inlineStr">
        <is>
          <t>Net cash from/(used in) financing activities</t>
        </is>
      </c>
      <c r="B28" s="5" t="n">
        <v>46633</v>
      </c>
      <c r="C28" s="5" t="n">
        <v>-1928</v>
      </c>
      <c r="D28" s="5" t="n">
        <v>-1829</v>
      </c>
      <c r="E28" s="5" t="n">
        <v>-1279</v>
      </c>
      <c r="F28" s="5" t="n">
        <v>7593</v>
      </c>
      <c r="G28" s="5" t="n">
        <v>-1078</v>
      </c>
      <c r="H28" s="5" t="n">
        <v>-991</v>
      </c>
      <c r="I28" s="5" t="n">
        <v>7912</v>
      </c>
      <c r="AS28" t="inlineStr">
        <is>
          <t>Net cash from/(used in) financing activities</t>
        </is>
      </c>
      <c r="AT28" t="n">
        <v>7912</v>
      </c>
      <c r="AU28" t="n">
        <v>-991</v>
      </c>
      <c r="AV28" t="n">
        <v>-1078</v>
      </c>
      <c r="AW28" t="n">
        <v>7593</v>
      </c>
      <c r="AX28" t="n">
        <v>-1279</v>
      </c>
      <c r="AY28" t="n">
        <v>-1829</v>
      </c>
      <c r="AZ28" t="n">
        <v>-1928</v>
      </c>
      <c r="BA28" t="n">
        <v>46633</v>
      </c>
    </row>
    <row r="29">
      <c r="A29" s="5" t="inlineStr">
        <is>
          <t>Cash and cash equivalents at end of year</t>
        </is>
      </c>
      <c r="B29" s="5" t="n">
        <v>220743</v>
      </c>
      <c r="C29" s="5" t="n">
        <v>624587</v>
      </c>
      <c r="D29" s="5" t="n">
        <v>474964</v>
      </c>
      <c r="E29" s="5" t="n">
        <v>563858</v>
      </c>
      <c r="F29" s="5" t="n">
        <v>677238</v>
      </c>
      <c r="G29" s="5" t="n">
        <v>566949</v>
      </c>
      <c r="H29" s="5" t="n">
        <v>300958</v>
      </c>
      <c r="I29" s="5" t="n">
        <v>280923</v>
      </c>
      <c r="AS29" t="inlineStr">
        <is>
          <t>Cash and cash equivalents at end of year</t>
        </is>
      </c>
      <c r="AT29" t="n">
        <v>280923</v>
      </c>
      <c r="AU29" t="n">
        <v>300958</v>
      </c>
      <c r="AV29" t="n">
        <v>566949</v>
      </c>
      <c r="AW29" t="n">
        <v>677238</v>
      </c>
      <c r="AX29" t="n">
        <v>563858</v>
      </c>
      <c r="AY29" t="n">
        <v>474964</v>
      </c>
      <c r="AZ29" t="n">
        <v>624587</v>
      </c>
      <c r="BA29" t="n">
        <v>220743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row>
    <row r="33">
      <c r="A33" s="6" t="inlineStr">
        <is>
          <t>CET1 Ratio</t>
        </is>
      </c>
      <c r="B33" s="6" t="inlineStr">
        <is>
          <t>24.33%</t>
        </is>
      </c>
      <c r="C33" s="6" t="inlineStr">
        <is>
          <t>24.05%</t>
        </is>
      </c>
      <c r="D33" s="6" t="inlineStr">
        <is>
          <t>19.68%</t>
        </is>
      </c>
      <c r="E33" s="6" t="inlineStr">
        <is>
          <t>18.27%</t>
        </is>
      </c>
      <c r="F33" s="6" t="inlineStr">
        <is>
          <t>17.7%</t>
        </is>
      </c>
      <c r="G33" s="6" t="inlineStr">
        <is>
          <t>16.7%</t>
        </is>
      </c>
      <c r="H33" s="6" t="inlineStr">
        <is>
          <t>17.6%</t>
        </is>
      </c>
      <c r="I33" s="6" t="inlineStr">
        <is>
          <t>19.3%</t>
        </is>
      </c>
    </row>
    <row r="34">
      <c r="A34" s="6" t="inlineStr">
        <is>
          <t>Tier 1 Ratio</t>
        </is>
      </c>
      <c r="B34" s="6" t="inlineStr">
        <is>
          <t>24.33%</t>
        </is>
      </c>
      <c r="C34" s="6" t="inlineStr">
        <is>
          <t>24.05%</t>
        </is>
      </c>
      <c r="D34" s="6" t="inlineStr">
        <is>
          <t>19.68%</t>
        </is>
      </c>
      <c r="E34" s="6" t="inlineStr">
        <is>
          <t>18.27%</t>
        </is>
      </c>
      <c r="F34" s="6" t="inlineStr">
        <is>
          <t>17.69%</t>
        </is>
      </c>
      <c r="G34" s="6" t="inlineStr">
        <is>
          <t>16.7%</t>
        </is>
      </c>
      <c r="H34" s="6" t="inlineStr">
        <is>
          <t>17.6%</t>
        </is>
      </c>
      <c r="I34" s="6" t="inlineStr">
        <is>
          <t>19.3%</t>
        </is>
      </c>
    </row>
    <row r="35">
      <c r="A35" s="6" t="inlineStr">
        <is>
          <t>Total Capital Ratio</t>
        </is>
      </c>
      <c r="B35" s="6" t="inlineStr">
        <is>
          <t>24.33%</t>
        </is>
      </c>
      <c r="C35" s="6" t="inlineStr">
        <is>
          <t>24.05%</t>
        </is>
      </c>
      <c r="D35" s="6" t="inlineStr">
        <is>
          <t>19.68%</t>
        </is>
      </c>
      <c r="E35" s="6" t="inlineStr">
        <is>
          <t>18.27%</t>
        </is>
      </c>
      <c r="F35" s="6" t="inlineStr">
        <is>
          <t>17.69%</t>
        </is>
      </c>
      <c r="G35" s="6" t="inlineStr">
        <is>
          <t>16.7%</t>
        </is>
      </c>
      <c r="H35" s="6" t="inlineStr">
        <is>
          <t>17.6%</t>
        </is>
      </c>
      <c r="I35" s="6" t="inlineStr">
        <is>
          <t>19.3%</t>
        </is>
      </c>
    </row>
    <row r="36">
      <c r="A36" s="6" t="inlineStr">
        <is>
          <t>Leverage Ratio (Basel III)</t>
        </is>
      </c>
      <c r="B36" s="6" t="inlineStr">
        <is>
          <t>11.45%</t>
        </is>
      </c>
      <c r="C36" s="6" t="inlineStr">
        <is>
          <t>11.05%</t>
        </is>
      </c>
      <c r="D36" s="6" t="inlineStr">
        <is>
          <t>9.62%</t>
        </is>
      </c>
      <c r="E36" s="6" t="inlineStr">
        <is>
          <t>7.19%</t>
        </is>
      </c>
      <c r="F36" s="6" t="inlineStr">
        <is>
          <t>5.7%</t>
        </is>
      </c>
      <c r="G36" s="6" t="inlineStr">
        <is>
          <t>5.9%</t>
        </is>
      </c>
      <c r="H36" s="6" t="inlineStr">
        <is>
          <t>6.9%</t>
        </is>
      </c>
      <c r="I36" s="6" t="inlineStr">
        <is>
          <t>6.4%</t>
        </is>
      </c>
    </row>
    <row r="37">
      <c r="A37" s="6" t="inlineStr">
        <is>
          <t>LCR</t>
        </is>
      </c>
      <c r="B37" s="6" t="inlineStr">
        <is>
          <t>225.76%</t>
        </is>
      </c>
      <c r="C37" s="6" t="inlineStr">
        <is>
          <t>227.95%</t>
        </is>
      </c>
      <c r="D37" s="6" t="inlineStr">
        <is>
          <t>210%</t>
        </is>
      </c>
      <c r="E37" s="6" t="inlineStr">
        <is>
          <t>220%</t>
        </is>
      </c>
      <c r="F37" s="6" t="inlineStr">
        <is>
          <t>272%</t>
        </is>
      </c>
      <c r="G37" s="6" t="inlineStr">
        <is>
          <t>331%</t>
        </is>
      </c>
      <c r="H37" s="6" t="inlineStr">
        <is>
          <t>339%</t>
        </is>
      </c>
      <c r="I37" s="6" t="inlineStr">
        <is>
          <t>393%</t>
        </is>
      </c>
    </row>
    <row r="38">
      <c r="A38" s="6" t="inlineStr">
        <is>
          <t>NSFR</t>
        </is>
      </c>
      <c r="B38" s="6" t="inlineStr">
        <is>
          <t>148.70%</t>
        </is>
      </c>
      <c r="C38" s="6" t="inlineStr">
        <is>
          <t>154.16%</t>
        </is>
      </c>
      <c r="D38" s="6" t="inlineStr">
        <is>
          <t>131.97%</t>
        </is>
      </c>
      <c r="E38" s="6" t="inlineStr">
        <is>
          <t>154.4%</t>
        </is>
      </c>
      <c r="F38" s="6" t="inlineStr">
        <is>
          <t>171.4%</t>
        </is>
      </c>
      <c r="G38" s="6" t="n"/>
      <c r="H38" s="6" t="n"/>
      <c r="I38" s="6" t="n"/>
    </row>
    <row r="40" ht="52" customHeight="1">
      <c r="A40" s="7" t="inlineStr">
        <is>
          <t>Note: Figures are duplicated from the detail sheets for at-a-glance trend viewing; see each sheet's own source citation for the underlying document/page. Leverage Ratio shown on the Basel III basis (available for all 8 years) rather than the UK basis (only introduced from FY2024) - see Leverage Ratio sheet for both. NSFR was not disclosed by the Bank at all before FY2021 (left blank for FY2018-FY2020, not zero - see NSFR sheet). FY2018's 'Other equity movements, net' folds in that year's IFRS 9 transition adjustment (£(277)k) alongside the pension-scheme exit and share capital/buyback movements - see the Statement of Changes in Equity sheet for the full, unfolded breakdown.</t>
        </is>
      </c>
    </row>
  </sheetData>
  <mergeCells count="1">
    <mergeCell ref="A40:I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Statement of Financial Position</t>
        </is>
      </c>
    </row>
    <row r="2">
      <c r="A2" s="2" t="inlineStr">
        <is>
          <t>Extended entity basis (Bank + Unity EBT Limited),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Assets</t>
        </is>
      </c>
      <c r="B4" s="6" t="n"/>
      <c r="C4" s="6" t="n"/>
      <c r="D4" s="6" t="n"/>
      <c r="E4" s="6" t="n"/>
      <c r="F4" s="6" t="n"/>
      <c r="G4" s="6" t="n"/>
      <c r="H4" s="6" t="n"/>
      <c r="I4" s="6" t="n"/>
    </row>
    <row r="5">
      <c r="A5" s="6" t="inlineStr">
        <is>
          <t>Cash and balances with the Bank of England</t>
        </is>
      </c>
      <c r="B5" s="6" t="n">
        <v>218684</v>
      </c>
      <c r="C5" s="6" t="n">
        <v>621898</v>
      </c>
      <c r="D5" s="6" t="n">
        <v>476613</v>
      </c>
      <c r="E5" s="6" t="n">
        <v>567701</v>
      </c>
      <c r="F5" s="6" t="n">
        <v>680112</v>
      </c>
      <c r="G5" s="6" t="n">
        <v>568804</v>
      </c>
      <c r="H5" s="6" t="n">
        <v>301858</v>
      </c>
      <c r="I5" s="6" t="n">
        <v>280390</v>
      </c>
    </row>
    <row r="6">
      <c r="A6" s="6" t="inlineStr">
        <is>
          <t>Loans and advances to banks</t>
        </is>
      </c>
      <c r="B6" s="6" t="n">
        <v>2059</v>
      </c>
      <c r="C6" s="6" t="n">
        <v>2689</v>
      </c>
      <c r="D6" s="6" t="n">
        <v>1799</v>
      </c>
      <c r="E6" s="6" t="n"/>
      <c r="F6" s="6" t="n">
        <v>529</v>
      </c>
      <c r="G6" s="6" t="n">
        <v>254</v>
      </c>
      <c r="H6" s="6" t="n">
        <v>2</v>
      </c>
      <c r="I6" s="6" t="n">
        <v>1243</v>
      </c>
    </row>
    <row r="7">
      <c r="A7" s="6" t="inlineStr">
        <is>
          <t>Investment securities - fair value through OCI</t>
        </is>
      </c>
      <c r="B7" s="6" t="n">
        <v>587595</v>
      </c>
      <c r="C7" s="6" t="n">
        <v>314130</v>
      </c>
      <c r="D7" s="6" t="n"/>
      <c r="E7" s="6" t="n"/>
      <c r="F7" s="6" t="n"/>
      <c r="G7" s="6" t="n"/>
      <c r="H7" s="6" t="n"/>
      <c r="I7" s="6" t="n"/>
    </row>
    <row r="8">
      <c r="A8" s="6" t="inlineStr">
        <is>
          <t>Investment securities - amortised cost</t>
        </is>
      </c>
      <c r="B8" s="6" t="n">
        <v>232581</v>
      </c>
      <c r="C8" s="6" t="n"/>
      <c r="D8" s="6" t="n"/>
      <c r="E8" s="6" t="n"/>
      <c r="F8" s="6" t="n"/>
      <c r="G8" s="6" t="n"/>
      <c r="H8" s="6" t="n"/>
      <c r="I8" s="6" t="n"/>
    </row>
    <row r="9">
      <c r="A9" s="6" t="inlineStr">
        <is>
          <t>Investment securities (FY2023-FY2018, not split by measurement basis)</t>
        </is>
      </c>
      <c r="B9" s="6" t="n"/>
      <c r="C9" s="6" t="n"/>
      <c r="D9" s="6" t="n">
        <v>247416</v>
      </c>
      <c r="E9" s="6" t="n">
        <v>256638</v>
      </c>
      <c r="F9" s="6" t="n">
        <v>207632</v>
      </c>
      <c r="G9" s="6" t="n">
        <v>252413</v>
      </c>
      <c r="H9" s="6" t="n">
        <v>331713</v>
      </c>
      <c r="I9" s="6" t="n">
        <v>426368</v>
      </c>
    </row>
    <row r="10">
      <c r="A10" s="6" t="inlineStr">
        <is>
          <t>Derivative financial instruments</t>
        </is>
      </c>
      <c r="B10" s="6" t="n">
        <v>579</v>
      </c>
      <c r="C10" s="6" t="n"/>
      <c r="D10" s="6" t="n"/>
      <c r="E10" s="6" t="n"/>
      <c r="F10" s="6" t="n"/>
      <c r="G10" s="6" t="n"/>
      <c r="H10" s="6" t="n"/>
      <c r="I10" s="6" t="n"/>
    </row>
    <row r="11">
      <c r="A11" s="6" t="inlineStr">
        <is>
          <t>Loans and advances to customers</t>
        </is>
      </c>
      <c r="B11" s="6" t="n">
        <v>1133097</v>
      </c>
      <c r="C11" s="6" t="n">
        <v>1013816</v>
      </c>
      <c r="D11" s="6" t="n">
        <v>1013646</v>
      </c>
      <c r="E11" s="6" t="n">
        <v>836576</v>
      </c>
      <c r="F11" s="6" t="n">
        <v>723523</v>
      </c>
      <c r="G11" s="6" t="n">
        <v>601810</v>
      </c>
      <c r="H11" s="6" t="n">
        <v>477554</v>
      </c>
      <c r="I11" s="6" t="n">
        <v>362446</v>
      </c>
    </row>
    <row r="12">
      <c r="A12" s="6" t="inlineStr">
        <is>
          <t>Right of use assets</t>
        </is>
      </c>
      <c r="B12" s="6" t="n">
        <v>782</v>
      </c>
      <c r="C12" s="6" t="n">
        <v>1025</v>
      </c>
      <c r="D12" s="6" t="n">
        <v>1307</v>
      </c>
      <c r="E12" s="6" t="n">
        <v>1581</v>
      </c>
      <c r="F12" s="6" t="n">
        <v>1824</v>
      </c>
      <c r="G12" s="6" t="n">
        <v>2099</v>
      </c>
      <c r="H12" s="6" t="n">
        <v>2381</v>
      </c>
      <c r="I12" s="6" t="n"/>
    </row>
    <row r="13">
      <c r="A13" s="6" t="inlineStr">
        <is>
          <t>Pension scheme net assets</t>
        </is>
      </c>
      <c r="B13" s="6" t="n">
        <v>1423</v>
      </c>
      <c r="C13" s="6" t="n">
        <v>1122</v>
      </c>
      <c r="D13" s="6" t="n">
        <v>2341</v>
      </c>
      <c r="E13" s="6" t="n">
        <v>3788</v>
      </c>
      <c r="F13" s="6" t="n">
        <v>7095</v>
      </c>
      <c r="G13" s="6" t="n">
        <v>4501</v>
      </c>
      <c r="H13" s="6" t="n">
        <v>6700</v>
      </c>
      <c r="I13" s="6" t="n">
        <v>4020</v>
      </c>
    </row>
    <row r="14">
      <c r="A14" s="6" t="inlineStr">
        <is>
          <t>Other assets</t>
        </is>
      </c>
      <c r="B14" s="6" t="n">
        <v>815</v>
      </c>
      <c r="C14" s="6" t="n">
        <v>56</v>
      </c>
      <c r="D14" s="6" t="n">
        <v>109</v>
      </c>
      <c r="E14" s="6" t="n">
        <v>278</v>
      </c>
      <c r="F14" s="6" t="n">
        <v>126</v>
      </c>
      <c r="G14" s="6" t="n">
        <v>154</v>
      </c>
      <c r="H14" s="6" t="n">
        <v>172</v>
      </c>
      <c r="I14" s="6" t="n">
        <v>48</v>
      </c>
    </row>
    <row r="15">
      <c r="A15" s="6" t="inlineStr">
        <is>
          <t>Prepayments and accrued income</t>
        </is>
      </c>
      <c r="B15" s="6" t="n">
        <v>2403</v>
      </c>
      <c r="C15" s="6" t="n">
        <v>1448</v>
      </c>
      <c r="D15" s="6" t="n">
        <v>1535</v>
      </c>
      <c r="E15" s="6" t="n">
        <v>1149</v>
      </c>
      <c r="F15" s="6" t="n">
        <v>1090</v>
      </c>
      <c r="G15" s="6" t="n">
        <v>666</v>
      </c>
      <c r="H15" s="6" t="n">
        <v>787</v>
      </c>
      <c r="I15" s="6" t="n">
        <v>964</v>
      </c>
    </row>
    <row r="16">
      <c r="A16" s="6" t="inlineStr">
        <is>
          <t>Current tax assets</t>
        </is>
      </c>
      <c r="B16" s="6" t="n">
        <v>5936</v>
      </c>
      <c r="C16" s="6" t="n"/>
      <c r="D16" s="6" t="n">
        <v>0</v>
      </c>
      <c r="E16" s="6" t="n">
        <v>0</v>
      </c>
      <c r="F16" s="6" t="n">
        <v>43</v>
      </c>
      <c r="G16" s="6" t="n">
        <v>96</v>
      </c>
      <c r="H16" s="6" t="n">
        <v>0</v>
      </c>
      <c r="I16" s="6" t="n">
        <v>0</v>
      </c>
    </row>
    <row r="17">
      <c r="A17" s="6" t="inlineStr">
        <is>
          <t>Deferred tax assets</t>
        </is>
      </c>
      <c r="B17" s="6" t="n"/>
      <c r="C17" s="6" t="n">
        <v>235</v>
      </c>
      <c r="D17" s="6" t="n">
        <v>451</v>
      </c>
      <c r="E17" s="6" t="n">
        <v>793</v>
      </c>
      <c r="F17" s="6" t="n"/>
      <c r="G17" s="6" t="n"/>
      <c r="H17" s="6" t="n"/>
      <c r="I17" s="6" t="n"/>
    </row>
    <row r="18">
      <c r="A18" s="6" t="inlineStr">
        <is>
          <t>Property, plant and equipment</t>
        </is>
      </c>
      <c r="B18" s="6" t="n">
        <v>1353</v>
      </c>
      <c r="C18" s="6" t="n">
        <v>870</v>
      </c>
      <c r="D18" s="6" t="n">
        <v>585</v>
      </c>
      <c r="E18" s="6" t="n">
        <v>653</v>
      </c>
      <c r="F18" s="6" t="n">
        <v>760</v>
      </c>
      <c r="G18" s="6" t="n">
        <v>687</v>
      </c>
      <c r="H18" s="6" t="n">
        <v>904</v>
      </c>
      <c r="I18" s="6" t="n">
        <v>1195</v>
      </c>
    </row>
    <row r="19">
      <c r="A19" s="6" t="inlineStr">
        <is>
          <t>Intangible assets</t>
        </is>
      </c>
      <c r="B19" s="6" t="n">
        <v>446</v>
      </c>
      <c r="C19" s="6" t="n"/>
      <c r="D19" s="6" t="n">
        <v>6</v>
      </c>
      <c r="E19" s="6" t="n">
        <v>22</v>
      </c>
      <c r="F19" s="6" t="n">
        <v>60</v>
      </c>
      <c r="G19" s="6" t="n">
        <v>110</v>
      </c>
      <c r="H19" s="6" t="n">
        <v>135</v>
      </c>
      <c r="I19" s="6" t="n">
        <v>220</v>
      </c>
    </row>
    <row r="20">
      <c r="A20" s="5" t="inlineStr">
        <is>
          <t>Total assets</t>
        </is>
      </c>
      <c r="B20" s="5" t="n">
        <v>2187753</v>
      </c>
      <c r="C20" s="5" t="n">
        <v>1957289</v>
      </c>
      <c r="D20" s="5" t="n">
        <v>1745808</v>
      </c>
      <c r="E20" s="5" t="n">
        <v>1669179</v>
      </c>
      <c r="F20" s="5" t="n">
        <v>1622794</v>
      </c>
      <c r="G20" s="5" t="n">
        <v>1431594</v>
      </c>
      <c r="H20" s="5" t="n">
        <v>1122206</v>
      </c>
      <c r="I20" s="5" t="n">
        <v>1076894</v>
      </c>
    </row>
    <row r="21">
      <c r="A21" s="5" t="inlineStr">
        <is>
          <t>Liabilities</t>
        </is>
      </c>
      <c r="B21" s="6" t="n"/>
      <c r="C21" s="6" t="n"/>
      <c r="D21" s="6" t="n"/>
      <c r="E21" s="6" t="n"/>
      <c r="F21" s="6" t="n"/>
      <c r="G21" s="6" t="n"/>
      <c r="H21" s="6" t="n"/>
      <c r="I21" s="6" t="n"/>
    </row>
    <row r="22">
      <c r="A22" s="6" t="inlineStr">
        <is>
          <t>Central bank facilities</t>
        </is>
      </c>
      <c r="B22" s="6" t="n">
        <v>50145</v>
      </c>
      <c r="C22" s="6" t="n"/>
      <c r="D22" s="6" t="n"/>
      <c r="E22" s="6" t="n"/>
      <c r="F22" s="6" t="n"/>
      <c r="G22" s="6" t="n"/>
      <c r="H22" s="6" t="n"/>
      <c r="I22" s="6" t="n"/>
    </row>
    <row r="23">
      <c r="A23" s="6" t="inlineStr">
        <is>
          <t>Amounts owed to banks</t>
        </is>
      </c>
      <c r="B23" s="6" t="n"/>
      <c r="C23" s="6" t="n"/>
      <c r="D23" s="6" t="n"/>
      <c r="E23" s="6" t="n">
        <v>85</v>
      </c>
      <c r="F23" s="6" t="n"/>
      <c r="G23" s="6" t="n"/>
      <c r="H23" s="6" t="n"/>
      <c r="I23" s="6" t="n"/>
    </row>
    <row r="24">
      <c r="A24" s="6" t="inlineStr">
        <is>
          <t>Customer deposits</t>
        </is>
      </c>
      <c r="B24" s="6" t="n">
        <v>1861280</v>
      </c>
      <c r="C24" s="6" t="n">
        <v>1717204</v>
      </c>
      <c r="D24" s="6" t="n">
        <v>1559309</v>
      </c>
      <c r="E24" s="6" t="n">
        <v>1538657</v>
      </c>
      <c r="F24" s="6" t="n">
        <v>1507227</v>
      </c>
      <c r="G24" s="6" t="n">
        <v>1335725</v>
      </c>
      <c r="H24" s="6" t="n">
        <v>1030435</v>
      </c>
      <c r="I24" s="6" t="n">
        <v>998130</v>
      </c>
    </row>
    <row r="25">
      <c r="A25" s="6" t="inlineStr">
        <is>
          <t>Derivative financial instruments</t>
        </is>
      </c>
      <c r="B25" s="6" t="n">
        <v>51</v>
      </c>
      <c r="C25" s="6" t="n">
        <v>1674</v>
      </c>
      <c r="D25" s="6" t="n"/>
      <c r="E25" s="6" t="n"/>
      <c r="F25" s="6" t="n"/>
      <c r="G25" s="6" t="n"/>
      <c r="H25" s="6" t="n"/>
      <c r="I25" s="6" t="n"/>
    </row>
    <row r="26">
      <c r="A26" s="6" t="inlineStr">
        <is>
          <t>Other liabilities</t>
        </is>
      </c>
      <c r="B26" s="6" t="n">
        <v>4211</v>
      </c>
      <c r="C26" s="6" t="n">
        <v>3404</v>
      </c>
      <c r="D26" s="6" t="n">
        <v>3858</v>
      </c>
      <c r="E26" s="6" t="n">
        <v>3448</v>
      </c>
      <c r="F26" s="6" t="n">
        <v>3689</v>
      </c>
      <c r="G26" s="6" t="n">
        <v>2978</v>
      </c>
      <c r="H26" s="6" t="n">
        <v>3326</v>
      </c>
      <c r="I26" s="6" t="n">
        <v>479</v>
      </c>
    </row>
    <row r="27">
      <c r="A27" s="6" t="inlineStr">
        <is>
          <t>Accruals and deferred income</t>
        </is>
      </c>
      <c r="B27" s="6" t="n">
        <v>3821</v>
      </c>
      <c r="C27" s="6" t="n">
        <v>2814</v>
      </c>
      <c r="D27" s="6" t="n">
        <v>1830</v>
      </c>
      <c r="E27" s="6" t="n">
        <v>1493</v>
      </c>
      <c r="F27" s="6" t="n">
        <v>1111</v>
      </c>
      <c r="G27" s="6" t="n">
        <v>1083</v>
      </c>
      <c r="H27" s="6" t="n">
        <v>1581</v>
      </c>
      <c r="I27" s="6" t="n">
        <v>1527</v>
      </c>
    </row>
    <row r="28">
      <c r="A28" s="6" t="inlineStr">
        <is>
          <t>Provisions for liabilities and charges</t>
        </is>
      </c>
      <c r="B28" s="6" t="n">
        <v>3207</v>
      </c>
      <c r="C28" s="6" t="n">
        <v>1992</v>
      </c>
      <c r="D28" s="6" t="n">
        <v>670</v>
      </c>
      <c r="E28" s="6" t="n">
        <v>368</v>
      </c>
      <c r="F28" s="6" t="n">
        <v>175</v>
      </c>
      <c r="G28" s="6" t="n">
        <v>209</v>
      </c>
      <c r="H28" s="6" t="n">
        <v>416</v>
      </c>
      <c r="I28" s="6" t="n">
        <v>274</v>
      </c>
    </row>
    <row r="29">
      <c r="A29" s="6" t="inlineStr">
        <is>
          <t>Current tax liabilities</t>
        </is>
      </c>
      <c r="B29" s="6" t="n"/>
      <c r="C29" s="6" t="n">
        <v>8084</v>
      </c>
      <c r="D29" s="6" t="n">
        <v>7524</v>
      </c>
      <c r="E29" s="6" t="n">
        <v>1313</v>
      </c>
      <c r="F29" s="6" t="n">
        <v>0</v>
      </c>
      <c r="G29" s="6" t="n">
        <v>0</v>
      </c>
      <c r="H29" s="6" t="n">
        <v>330</v>
      </c>
      <c r="I29" s="6" t="n">
        <v>708</v>
      </c>
    </row>
    <row r="30">
      <c r="A30" s="6" t="inlineStr">
        <is>
          <t>Deferred tax liabilities</t>
        </is>
      </c>
      <c r="B30" s="6" t="n">
        <v>1044</v>
      </c>
      <c r="C30" s="6" t="n"/>
      <c r="D30" s="6" t="n"/>
      <c r="E30" s="6" t="n"/>
      <c r="F30" s="6" t="n">
        <v>1629</v>
      </c>
      <c r="G30" s="6" t="n">
        <v>930</v>
      </c>
      <c r="H30" s="6" t="n">
        <v>986</v>
      </c>
      <c r="I30" s="6" t="n">
        <v>353</v>
      </c>
    </row>
    <row r="31">
      <c r="A31" s="5" t="inlineStr">
        <is>
          <t>Total liabilities</t>
        </is>
      </c>
      <c r="B31" s="5" t="n">
        <v>1923759</v>
      </c>
      <c r="C31" s="5" t="n">
        <v>1735172</v>
      </c>
      <c r="D31" s="5" t="n">
        <v>1573191</v>
      </c>
      <c r="E31" s="5" t="n">
        <v>1545364</v>
      </c>
      <c r="F31" s="5" t="n">
        <v>1513831</v>
      </c>
      <c r="G31" s="5" t="n">
        <v>1340925</v>
      </c>
      <c r="H31" s="5" t="n">
        <v>1037074</v>
      </c>
      <c r="I31" s="5" t="n">
        <v>1001471</v>
      </c>
    </row>
    <row r="32">
      <c r="A32" s="5" t="inlineStr">
        <is>
          <t>Equity</t>
        </is>
      </c>
      <c r="B32" s="6" t="n"/>
      <c r="C32" s="6" t="n"/>
      <c r="D32" s="6" t="n"/>
      <c r="E32" s="6" t="n"/>
      <c r="F32" s="6" t="n"/>
      <c r="G32" s="6" t="n"/>
      <c r="H32" s="6" t="n"/>
      <c r="I32" s="6" t="n"/>
    </row>
    <row r="33">
      <c r="A33" s="6" t="inlineStr">
        <is>
          <t>Ordinary share capital</t>
        </is>
      </c>
      <c r="B33" s="6" t="n">
        <v>24881</v>
      </c>
      <c r="C33" s="6" t="n">
        <v>24825</v>
      </c>
      <c r="D33" s="6" t="n">
        <v>24792</v>
      </c>
      <c r="E33" s="6" t="n">
        <v>24730</v>
      </c>
      <c r="F33" s="6" t="n">
        <v>24678</v>
      </c>
      <c r="G33" s="6" t="n">
        <v>22421</v>
      </c>
      <c r="H33" s="6" t="n">
        <v>22421</v>
      </c>
      <c r="I33" s="6" t="n">
        <v>22421</v>
      </c>
    </row>
    <row r="34">
      <c r="A34" s="6" t="inlineStr">
        <is>
          <t>Share premium account</t>
        </is>
      </c>
      <c r="B34" s="6" t="n">
        <v>18360</v>
      </c>
      <c r="C34" s="6" t="n">
        <v>18263</v>
      </c>
      <c r="D34" s="6" t="n">
        <v>18205</v>
      </c>
      <c r="E34" s="6" t="n">
        <v>18150</v>
      </c>
      <c r="F34" s="6" t="n">
        <v>18113</v>
      </c>
      <c r="G34" s="6" t="n">
        <v>11808</v>
      </c>
      <c r="H34" s="6" t="n">
        <v>11808</v>
      </c>
      <c r="I34" s="6" t="n">
        <v>11808</v>
      </c>
    </row>
    <row r="35">
      <c r="A35" s="6" t="inlineStr">
        <is>
          <t>Capital redemption reserve</t>
        </is>
      </c>
      <c r="B35" s="6" t="n">
        <v>4511</v>
      </c>
      <c r="C35" s="6" t="n">
        <v>4511</v>
      </c>
      <c r="D35" s="6" t="n">
        <v>4511</v>
      </c>
      <c r="E35" s="6" t="n">
        <v>4511</v>
      </c>
      <c r="F35" s="6" t="n">
        <v>4511</v>
      </c>
      <c r="G35" s="6" t="n">
        <v>4511</v>
      </c>
      <c r="H35" s="6" t="n">
        <v>4511</v>
      </c>
      <c r="I35" s="6" t="n">
        <v>4511</v>
      </c>
    </row>
    <row r="36">
      <c r="A36" s="6" t="inlineStr">
        <is>
          <t>Retained earnings</t>
        </is>
      </c>
      <c r="B36" s="6" t="n">
        <v>214350</v>
      </c>
      <c r="C36" s="6" t="n">
        <v>176336</v>
      </c>
      <c r="D36" s="6" t="n">
        <v>128229</v>
      </c>
      <c r="E36" s="6" t="n">
        <v>81615</v>
      </c>
      <c r="F36" s="6" t="n">
        <v>62040</v>
      </c>
      <c r="G36" s="6" t="n">
        <v>51334</v>
      </c>
      <c r="H36" s="6" t="n">
        <v>46850</v>
      </c>
      <c r="I36" s="6" t="n">
        <v>37555</v>
      </c>
    </row>
    <row r="37">
      <c r="A37" s="6" t="inlineStr">
        <is>
          <t>Financial asset valuation reserve (FVTOCI)</t>
        </is>
      </c>
      <c r="B37" s="6" t="n">
        <v>1115</v>
      </c>
      <c r="C37" s="6" t="n">
        <v>-617</v>
      </c>
      <c r="D37" s="6" t="n">
        <v>-3041</v>
      </c>
      <c r="E37" s="6" t="n">
        <v>-5131</v>
      </c>
      <c r="F37" s="6" t="n">
        <v>-342</v>
      </c>
      <c r="G37" s="6" t="n">
        <v>595</v>
      </c>
      <c r="H37" s="6" t="n">
        <v>-458</v>
      </c>
      <c r="I37" s="6" t="n">
        <v>-872</v>
      </c>
    </row>
    <row r="38">
      <c r="A38" s="6" t="inlineStr">
        <is>
          <t>Cash flow hedge reserve</t>
        </is>
      </c>
      <c r="B38" s="6" t="n">
        <v>777</v>
      </c>
      <c r="C38" s="6" t="n">
        <v>-1141</v>
      </c>
      <c r="D38" s="6" t="n"/>
      <c r="E38" s="6" t="n"/>
      <c r="F38" s="6" t="n"/>
      <c r="G38" s="6" t="n"/>
      <c r="H38" s="6" t="n"/>
      <c r="I38" s="6" t="n"/>
    </row>
    <row r="39">
      <c r="A39" s="6" t="inlineStr">
        <is>
          <t>Employee share ownership plan (ESOP) reserve</t>
        </is>
      </c>
      <c r="B39" s="6" t="n">
        <v>0</v>
      </c>
      <c r="C39" s="6" t="n">
        <v>-60</v>
      </c>
      <c r="D39" s="6" t="n">
        <v>-79</v>
      </c>
      <c r="E39" s="6" t="n">
        <v>-60</v>
      </c>
      <c r="F39" s="6" t="n">
        <v>-37</v>
      </c>
      <c r="G39" s="6" t="n"/>
      <c r="H39" s="6" t="n"/>
      <c r="I39" s="6" t="n"/>
    </row>
    <row r="40">
      <c r="A40" s="5" t="inlineStr">
        <is>
          <t>Total equity</t>
        </is>
      </c>
      <c r="B40" s="5" t="n">
        <v>263994</v>
      </c>
      <c r="C40" s="5" t="n">
        <v>222117</v>
      </c>
      <c r="D40" s="5" t="n">
        <v>172617</v>
      </c>
      <c r="E40" s="5" t="n">
        <v>123815</v>
      </c>
      <c r="F40" s="5" t="n">
        <v>108963</v>
      </c>
      <c r="G40" s="5" t="n">
        <v>90669</v>
      </c>
      <c r="H40" s="5" t="n">
        <v>85132</v>
      </c>
      <c r="I40" s="5" t="n">
        <v>75423</v>
      </c>
    </row>
    <row r="41">
      <c r="A41" s="5" t="inlineStr">
        <is>
          <t>Total liabilities and equity</t>
        </is>
      </c>
      <c r="B41" s="5" t="n">
        <v>2187753</v>
      </c>
      <c r="C41" s="5" t="n">
        <v>1957289</v>
      </c>
      <c r="D41" s="5" t="n">
        <v>1745808</v>
      </c>
      <c r="E41" s="5" t="n">
        <v>1669179</v>
      </c>
      <c r="F41" s="5" t="n">
        <v>1622794</v>
      </c>
      <c r="G41" s="5" t="n">
        <v>1431594</v>
      </c>
      <c r="H41" s="5" t="n">
        <v>1122206</v>
      </c>
      <c r="I41" s="5" t="n">
        <v>1076894</v>
      </c>
    </row>
    <row r="43" ht="338" customHeight="1">
      <c r="A43" s="8" t="inlineStr">
        <is>
          <t>Sources - all figures are Unity Trust Bank Plc's own primary statements, £'000:
FY2025 &amp; FY2024: Report &amp; Accounts 2025, p.47 (Income Statement/Statement of Comprehensive Income), p.48 (Statement of Financial Position), p.49-50 (Statement of Changes in Equity) - https://assets.unity.co.uk/Unity-Trust-Bank-Annual-Report-and-Accounts-2025.pdf
FY2023 &amp; FY2022: Report &amp; Accounts 2023, p.77-78 (Income Statement), p.79 (Statement of Financial Position), p.81 (Statement of Changes in Equity, 2022 comparative) - https://assets.unity.co.uk/U798_0324_Unity_Trust_Bank_Annual-Report-and-Accounts_2023.pdf
FY2021: Report &amp; Accounts 2021, p.31 (Income Statement), p.33 (Statement of Financial Position), p.34 (Statement of Changes in Equity) - https://assets.unity.co.uk/2022/08/Unity-Trust-Bank_Report-and-Accounts-2021.pdf
FY2020: Report &amp; Accounts 2020 (Companies House filing, 13 Apr 2021), p.23 (Income Statement), p.24 (Statement of Comprehensive Income), p.25 (Statement of Financial Position), p.26 (Statement of Changes in Equity) - https://find-and-update.company-information.service.gov.uk/company/01713124/filing-history/MzI5NzIyNTE1N2FkaXF6a2N4/document?format=pdf&amp;download=0
FY2019: Report &amp; Accounts 2019 (Companies House filing, 25 Jun 2020), p.19 (Income Statement), p.20 (Statement of Comprehensive Income), p.21 (Statement of Financial Position), p.22 (Statement of Changes in Equity) - https://find-and-update.company-information.service.gov.uk/company/01713124/filing-history/MzI2NzM2MDE4NWFkaXF6a2N4/document?format=pdf&amp;download=0
FY2018: Report &amp; Accounts 2018 (Companies House filing, 11 Apr 2019), p.17 (Income Statement), p.18 (Statement of Comprehensive Income), p.19 (Statement of Financial Position), p.20 (Statement of Changes in Equity) - https://find-and-update.company-information.service.gov.uk/company/01713124/filing-history/MzIzMTYwOTI0NmFkaXF6a2N4/document?format=pdf&amp;download=0
PRESENTATION NOTE: the Statement of Changes in Equity gained a 'Cash flow hedge reserve' column from FY2024 onward (the Bank had no cash flow hedges before then) - left blank for FY2018-FY2023 rows rather than shown as zero, since the column didn't exist in those years' own statements. FY2023's own printed 'At 31 December 2023' Total equity in the equity statement (£172,167k) is a text-extraction/OCR digit transposition in the source table - the correct figure, cross-checked against (a) the components summing exactly (24,792+18,205+4,511-3,041+128,229-79 = 172,617) and (b) the Balance Sheet's own independently-stated Total equity (£172,617k) and the FY2025 report's own 'At 1 January 2024' comparative (£172,617k), is £172,617k - used here.
IFRS 9 TRANSITION NOTE: the Bank adopted IFRS 9 with effect from 1 January 2018 using the modified retrospective approach permitted by the standard, so FY2017 (not itself covered by this workbook) was not restated. The FY2018 Statement of Changes in Equity accordingly shows an 'Effects of changes in accounting policies' adjustment of £(277)k to retained earnings between the reported 'At 31 December 2017' balance (£60,096k) and the restated 'At 1 January 2018' opening balance (£59,819k) actually rolled forward through FY2018 - not a correction of an error, a one-off transition adjustment. FY2018's Statement of Financial Position also has no Right-of-use assets line (pre-IFRS 16; first appears FY2019) and its Statement of Changes in Equity includes a one-off FY2018-only 'Issue of share capital' and 'Own shares acquired during the financial year' pair of movements (a capital raise plus a buyback-and-cancellation of shares, per the Report of the Directors) not seen in any other year shown.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1">
    <mergeCell ref="A43:I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Statement of Comprehensive Income</t>
        </is>
      </c>
    </row>
    <row r="2">
      <c r="A2" s="2" t="inlineStr">
        <is>
          <t>Extended entity basis (Bank + Unity EBT Limited),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Income</t>
        </is>
      </c>
      <c r="B4" s="6" t="n"/>
      <c r="C4" s="6" t="n"/>
      <c r="D4" s="6" t="n"/>
      <c r="E4" s="6" t="n"/>
      <c r="F4" s="6" t="n"/>
      <c r="G4" s="6" t="n"/>
      <c r="H4" s="6" t="n"/>
      <c r="I4" s="6" t="n"/>
    </row>
    <row r="5">
      <c r="A5" s="6" t="inlineStr">
        <is>
          <t>Interest receivable and similar income</t>
        </is>
      </c>
      <c r="B5" s="6" t="n">
        <v>118236</v>
      </c>
      <c r="C5" s="6" t="n">
        <v>122813</v>
      </c>
      <c r="D5" s="6" t="n"/>
      <c r="E5" s="6" t="n"/>
      <c r="F5" s="6" t="n"/>
      <c r="G5" s="6" t="n"/>
      <c r="H5" s="6" t="n"/>
      <c r="I5" s="6" t="n"/>
    </row>
    <row r="6">
      <c r="A6" s="6" t="inlineStr">
        <is>
          <t>Interest income under EIR method</t>
        </is>
      </c>
      <c r="B6" s="6" t="n"/>
      <c r="C6" s="6" t="n"/>
      <c r="D6" s="6" t="n">
        <v>102947</v>
      </c>
      <c r="E6" s="6" t="n">
        <v>47121</v>
      </c>
      <c r="F6" s="6" t="n">
        <v>21693</v>
      </c>
      <c r="G6" s="6" t="n">
        <v>19513</v>
      </c>
      <c r="H6" s="6" t="n">
        <v>21336</v>
      </c>
      <c r="I6" s="6" t="n">
        <v>16874</v>
      </c>
    </row>
    <row r="7">
      <c r="A7" s="6" t="inlineStr">
        <is>
          <t>Interest expense and similar charges</t>
        </is>
      </c>
      <c r="B7" s="6" t="n">
        <v>-26011</v>
      </c>
      <c r="C7" s="6" t="n">
        <v>-23561</v>
      </c>
      <c r="D7" s="6" t="n">
        <v>-13762</v>
      </c>
      <c r="E7" s="6" t="n">
        <v>-3327</v>
      </c>
      <c r="F7" s="6" t="n">
        <v>-204</v>
      </c>
      <c r="G7" s="6" t="n">
        <v>-854</v>
      </c>
      <c r="H7" s="6" t="n">
        <v>-2002</v>
      </c>
      <c r="I7" s="6" t="n">
        <v>-1323</v>
      </c>
    </row>
    <row r="8">
      <c r="A8" s="5" t="inlineStr">
        <is>
          <t>Net Interest Income</t>
        </is>
      </c>
      <c r="B8" s="5" t="n">
        <v>92225</v>
      </c>
      <c r="C8" s="5" t="n">
        <v>99252</v>
      </c>
      <c r="D8" s="5" t="n">
        <v>89185</v>
      </c>
      <c r="E8" s="5" t="n">
        <v>43794</v>
      </c>
      <c r="F8" s="5" t="n">
        <v>21489</v>
      </c>
      <c r="G8" s="5" t="n">
        <v>18659</v>
      </c>
      <c r="H8" s="5" t="n">
        <v>19334</v>
      </c>
      <c r="I8" s="5" t="n">
        <v>15551</v>
      </c>
    </row>
    <row r="9">
      <c r="A9" s="6" t="inlineStr">
        <is>
          <t>Fee and commission income</t>
        </is>
      </c>
      <c r="B9" s="6" t="n">
        <v>4362</v>
      </c>
      <c r="C9" s="6" t="n">
        <v>4205</v>
      </c>
      <c r="D9" s="6" t="n">
        <v>4405</v>
      </c>
      <c r="E9" s="6" t="n">
        <v>4548</v>
      </c>
      <c r="F9" s="6" t="n">
        <v>4422</v>
      </c>
      <c r="G9" s="6" t="n">
        <v>4257</v>
      </c>
      <c r="H9" s="6" t="n">
        <v>4483</v>
      </c>
      <c r="I9" s="6" t="n">
        <v>3944</v>
      </c>
    </row>
    <row r="10">
      <c r="A10" s="6" t="inlineStr">
        <is>
          <t>Fee and commission expense</t>
        </is>
      </c>
      <c r="B10" s="6" t="n">
        <v>-1561</v>
      </c>
      <c r="C10" s="6" t="n">
        <v>-1360</v>
      </c>
      <c r="D10" s="6" t="n">
        <v>-1169</v>
      </c>
      <c r="E10" s="6" t="n">
        <v>-1159</v>
      </c>
      <c r="F10" s="6" t="n">
        <v>-774</v>
      </c>
      <c r="G10" s="6" t="n">
        <v>-968</v>
      </c>
      <c r="H10" s="6" t="n">
        <v>-1175</v>
      </c>
      <c r="I10" s="6" t="n">
        <v>-1124</v>
      </c>
    </row>
    <row r="11">
      <c r="A11" s="5" t="inlineStr">
        <is>
          <t>Net fee and commission income</t>
        </is>
      </c>
      <c r="B11" s="5" t="n">
        <v>2801</v>
      </c>
      <c r="C11" s="5" t="n">
        <v>2845</v>
      </c>
      <c r="D11" s="5" t="n">
        <v>3236</v>
      </c>
      <c r="E11" s="5" t="n">
        <v>3389</v>
      </c>
      <c r="F11" s="5" t="n">
        <v>3648</v>
      </c>
      <c r="G11" s="5" t="n">
        <v>3289</v>
      </c>
      <c r="H11" s="5" t="n">
        <v>3308</v>
      </c>
      <c r="I11" s="5" t="n">
        <v>2820</v>
      </c>
    </row>
    <row r="12">
      <c r="A12" s="5" t="inlineStr">
        <is>
          <t>Total income</t>
        </is>
      </c>
      <c r="B12" s="5" t="n">
        <v>95026</v>
      </c>
      <c r="C12" s="5" t="n">
        <v>102097</v>
      </c>
      <c r="D12" s="5" t="n">
        <v>92421</v>
      </c>
      <c r="E12" s="5" t="n">
        <v>47183</v>
      </c>
      <c r="F12" s="5" t="n">
        <v>25137</v>
      </c>
      <c r="G12" s="5" t="n">
        <v>21948</v>
      </c>
      <c r="H12" s="5" t="n">
        <v>22642</v>
      </c>
      <c r="I12" s="5" t="n">
        <v>18371</v>
      </c>
    </row>
    <row r="13">
      <c r="A13" s="5" t="inlineStr">
        <is>
          <t>Operating expenses</t>
        </is>
      </c>
      <c r="B13" s="5" t="n">
        <v>-41377</v>
      </c>
      <c r="C13" s="5" t="n">
        <v>-33314</v>
      </c>
      <c r="D13" s="5" t="n">
        <v>-25011</v>
      </c>
      <c r="E13" s="5" t="n">
        <v>-17354</v>
      </c>
      <c r="F13" s="5" t="n">
        <v>-13614</v>
      </c>
      <c r="G13" s="5" t="n">
        <v>-12614</v>
      </c>
      <c r="H13" s="5" t="n">
        <v>-13315</v>
      </c>
      <c r="I13" s="5" t="n">
        <v>-10623</v>
      </c>
    </row>
    <row r="14">
      <c r="A14" s="6" t="inlineStr">
        <is>
          <t>Losses on financial instruments held at fair value</t>
        </is>
      </c>
      <c r="B14" s="6" t="n">
        <v>-28</v>
      </c>
      <c r="C14" s="6" t="n">
        <v>-2015</v>
      </c>
      <c r="D14" s="6" t="n"/>
      <c r="E14" s="6" t="n"/>
      <c r="F14" s="6" t="n"/>
      <c r="G14" s="6" t="n"/>
      <c r="H14" s="6" t="n"/>
      <c r="I14" s="6" t="n"/>
    </row>
    <row r="15">
      <c r="A15" s="6" t="inlineStr">
        <is>
          <t>Impairment charge/(credit) on loans and advances</t>
        </is>
      </c>
      <c r="B15" s="6" t="n">
        <v>-1206</v>
      </c>
      <c r="C15" s="6" t="n">
        <v>-1017</v>
      </c>
      <c r="D15" s="6" t="n">
        <v>-3548</v>
      </c>
      <c r="E15" s="6" t="n">
        <v>-2477</v>
      </c>
      <c r="F15" s="6" t="n">
        <v>-470</v>
      </c>
      <c r="G15" s="6" t="n">
        <v>-1788</v>
      </c>
      <c r="H15" s="6" t="n">
        <v>-251</v>
      </c>
      <c r="I15" s="6" t="n">
        <v>52</v>
      </c>
    </row>
    <row r="16">
      <c r="A16" s="6" t="inlineStr">
        <is>
          <t>Exceptional pension scheme related costs (exit from Pace multi-employer DB scheme, FY2018 only)</t>
        </is>
      </c>
      <c r="B16" s="6" t="n"/>
      <c r="C16" s="6" t="n"/>
      <c r="D16" s="6" t="n"/>
      <c r="E16" s="6" t="n"/>
      <c r="F16" s="6" t="n"/>
      <c r="G16" s="6" t="n"/>
      <c r="H16" s="6" t="n"/>
      <c r="I16" s="6" t="n">
        <v>-1045</v>
      </c>
    </row>
    <row r="17">
      <c r="A17" s="5" t="inlineStr">
        <is>
          <t>Profit before taxation</t>
        </is>
      </c>
      <c r="B17" s="5" t="n">
        <v>52415</v>
      </c>
      <c r="C17" s="5" t="n">
        <v>65751</v>
      </c>
      <c r="D17" s="5" t="n">
        <v>63862</v>
      </c>
      <c r="E17" s="5" t="n">
        <v>27352</v>
      </c>
      <c r="F17" s="5" t="n">
        <v>11053</v>
      </c>
      <c r="G17" s="5" t="n">
        <v>7546</v>
      </c>
      <c r="H17" s="5" t="n">
        <v>9076</v>
      </c>
      <c r="I17" s="5" t="n">
        <v>6755</v>
      </c>
    </row>
    <row r="18">
      <c r="A18" s="6" t="inlineStr">
        <is>
          <t>Taxation charge</t>
        </is>
      </c>
      <c r="B18" s="6" t="n">
        <v>-11626</v>
      </c>
      <c r="C18" s="6" t="n">
        <v>-15275</v>
      </c>
      <c r="D18" s="6" t="n">
        <v>-15004</v>
      </c>
      <c r="E18" s="6" t="n">
        <v>-4509</v>
      </c>
      <c r="F18" s="6" t="n">
        <v>-1382</v>
      </c>
      <c r="G18" s="6" t="n">
        <v>-519</v>
      </c>
      <c r="H18" s="6" t="n">
        <v>-1095</v>
      </c>
      <c r="I18" s="6" t="n">
        <v>-788</v>
      </c>
    </row>
    <row r="19">
      <c r="A19" s="5" t="inlineStr">
        <is>
          <t>Profit for the year attributable to shareholders</t>
        </is>
      </c>
      <c r="B19" s="5" t="n">
        <v>40789</v>
      </c>
      <c r="C19" s="5" t="n">
        <v>50476</v>
      </c>
      <c r="D19" s="5" t="n">
        <v>48858</v>
      </c>
      <c r="E19" s="5" t="n">
        <v>22843</v>
      </c>
      <c r="F19" s="5" t="n">
        <v>9671</v>
      </c>
      <c r="G19" s="5" t="n">
        <v>7027</v>
      </c>
      <c r="H19" s="5" t="n">
        <v>7981</v>
      </c>
      <c r="I19" s="5" t="n">
        <v>5967</v>
      </c>
    </row>
    <row r="20">
      <c r="A20" s="5" t="inlineStr">
        <is>
          <t>Other comprehensive income</t>
        </is>
      </c>
      <c r="B20" s="6" t="n"/>
      <c r="C20" s="6" t="n"/>
      <c r="D20" s="6" t="n"/>
      <c r="E20" s="6" t="n"/>
      <c r="F20" s="6" t="n"/>
      <c r="G20" s="6" t="n"/>
      <c r="H20" s="6" t="n"/>
      <c r="I20" s="6" t="n"/>
    </row>
    <row r="21">
      <c r="A21" s="6" t="inlineStr">
        <is>
          <t>Movement in cash flow hedge reserve: gains/(losses) taken to reserves</t>
        </is>
      </c>
      <c r="B21" s="6" t="n">
        <v>1460</v>
      </c>
      <c r="C21" s="6" t="n">
        <v>-1521</v>
      </c>
      <c r="D21" s="6" t="n"/>
      <c r="E21" s="6" t="n"/>
      <c r="F21" s="6" t="n"/>
      <c r="G21" s="6" t="n"/>
      <c r="H21" s="6" t="n"/>
      <c r="I21" s="6" t="n"/>
    </row>
    <row r="22">
      <c r="A22" s="6" t="inlineStr">
        <is>
          <t>Movement in cash flow hedge reserve: reclassification to profit or loss</t>
        </is>
      </c>
      <c r="B22" s="6" t="n">
        <v>1097</v>
      </c>
      <c r="C22" s="6" t="n"/>
      <c r="D22" s="6" t="n"/>
      <c r="E22" s="6" t="n"/>
      <c r="F22" s="6" t="n"/>
      <c r="G22" s="6" t="n"/>
      <c r="H22" s="6" t="n"/>
      <c r="I22" s="6" t="n"/>
    </row>
    <row r="23">
      <c r="A23" s="6" t="inlineStr">
        <is>
          <t>Movement in cash flow hedge reserve: taxation</t>
        </is>
      </c>
      <c r="B23" s="6" t="n">
        <v>-639</v>
      </c>
      <c r="C23" s="6" t="n">
        <v>380</v>
      </c>
      <c r="D23" s="6" t="n"/>
      <c r="E23" s="6" t="n"/>
      <c r="F23" s="6" t="n"/>
      <c r="G23" s="6" t="n"/>
      <c r="H23" s="6" t="n"/>
      <c r="I23" s="6" t="n"/>
    </row>
    <row r="24">
      <c r="A24" s="6" t="inlineStr">
        <is>
          <t>Initial recognition of DB pension surplus (FY2018 only - exit from Pace multi-employer scheme)</t>
        </is>
      </c>
      <c r="B24" s="6" t="n"/>
      <c r="C24" s="6" t="n"/>
      <c r="D24" s="6" t="n"/>
      <c r="E24" s="6" t="n"/>
      <c r="F24" s="6" t="n"/>
      <c r="G24" s="6" t="n"/>
      <c r="H24" s="6" t="n"/>
      <c r="I24" s="6" t="n">
        <v>4277</v>
      </c>
    </row>
    <row r="25">
      <c r="A25" s="6" t="inlineStr">
        <is>
          <t>FVTOCI: prior year charges (FY2018 only)</t>
        </is>
      </c>
      <c r="B25" s="6" t="n"/>
      <c r="C25" s="6" t="n"/>
      <c r="D25" s="6" t="n"/>
      <c r="E25" s="6" t="n"/>
      <c r="F25" s="6" t="n"/>
      <c r="G25" s="6" t="n"/>
      <c r="H25" s="6" t="n"/>
      <c r="I25" s="6" t="n">
        <v>-28</v>
      </c>
    </row>
    <row r="26">
      <c r="A26" s="6" t="inlineStr">
        <is>
          <t>Movement in financial asset revaluation reserve: valuation gains/(losses) taken to equity</t>
        </is>
      </c>
      <c r="B26" s="6" t="n">
        <v>2309</v>
      </c>
      <c r="C26" s="6" t="n">
        <v>3232</v>
      </c>
      <c r="D26" s="6" t="n">
        <v>2672</v>
      </c>
      <c r="E26" s="6" t="n">
        <v>-6385</v>
      </c>
      <c r="F26" s="6" t="n">
        <v>-1193</v>
      </c>
      <c r="G26" s="6" t="n">
        <v>1253</v>
      </c>
      <c r="H26" s="6" t="n">
        <v>532</v>
      </c>
      <c r="I26" s="6" t="n">
        <v>-1891</v>
      </c>
    </row>
    <row r="27">
      <c r="A27" s="6" t="inlineStr">
        <is>
          <t>FVTOCI: reclassification adjustments included in profit (FY2018 only)</t>
        </is>
      </c>
      <c r="B27" s="6" t="n"/>
      <c r="C27" s="6" t="n"/>
      <c r="D27" s="6" t="n"/>
      <c r="E27" s="6" t="n"/>
      <c r="F27" s="6" t="n"/>
      <c r="G27" s="6" t="n"/>
      <c r="H27" s="6" t="n"/>
      <c r="I27" s="6" t="n">
        <v>-10</v>
      </c>
    </row>
    <row r="28">
      <c r="A28" s="6" t="inlineStr">
        <is>
          <t>Movement in financial asset revaluation reserve: taxation</t>
        </is>
      </c>
      <c r="B28" s="6" t="n">
        <v>-577</v>
      </c>
      <c r="C28" s="6" t="n">
        <v>-808</v>
      </c>
      <c r="D28" s="6" t="n">
        <v>-582</v>
      </c>
      <c r="E28" s="6" t="n">
        <v>1596</v>
      </c>
      <c r="F28" s="6" t="n">
        <v>256</v>
      </c>
      <c r="G28" s="6" t="n">
        <v>-200</v>
      </c>
      <c r="H28" s="6" t="n">
        <v>-118</v>
      </c>
      <c r="I28" s="6" t="n">
        <v>322</v>
      </c>
    </row>
    <row r="29">
      <c r="A29" s="6" t="inlineStr">
        <is>
          <t>Actuarial gains/(losses) on defined benefit obligations</t>
        </is>
      </c>
      <c r="B29" s="6" t="n">
        <v>590</v>
      </c>
      <c r="C29" s="6" t="n">
        <v>-1047</v>
      </c>
      <c r="D29" s="6" t="n">
        <v>-1311</v>
      </c>
      <c r="E29" s="6" t="n">
        <v>-3170</v>
      </c>
      <c r="F29" s="6" t="n">
        <v>2718</v>
      </c>
      <c r="G29" s="6" t="n">
        <v>-2142</v>
      </c>
      <c r="H29" s="6" t="n">
        <v>2731</v>
      </c>
      <c r="I29" s="6" t="n">
        <v>-275</v>
      </c>
    </row>
    <row r="30">
      <c r="A30" s="6" t="inlineStr">
        <is>
          <t>Actuarial gains/(losses): taxation</t>
        </is>
      </c>
      <c r="B30" s="6" t="n">
        <v>-148</v>
      </c>
      <c r="C30" s="6" t="n">
        <v>258</v>
      </c>
      <c r="D30" s="6" t="n">
        <v>335</v>
      </c>
      <c r="E30" s="6" t="n">
        <v>799</v>
      </c>
      <c r="F30" s="6" t="n">
        <v>-953</v>
      </c>
      <c r="G30" s="6" t="n">
        <v>272</v>
      </c>
      <c r="H30" s="6" t="n">
        <v>-464</v>
      </c>
      <c r="I30" s="6" t="n">
        <v>-680</v>
      </c>
    </row>
    <row r="31">
      <c r="A31" s="5" t="inlineStr">
        <is>
          <t>Other comprehensive income/(charges) for the year, net of tax</t>
        </is>
      </c>
      <c r="B31" s="5" t="n">
        <v>4092</v>
      </c>
      <c r="C31" s="5" t="n">
        <v>494</v>
      </c>
      <c r="D31" s="5" t="n">
        <v>1114</v>
      </c>
      <c r="E31" s="5" t="n">
        <v>-7160</v>
      </c>
      <c r="F31" s="5" t="n">
        <v>828</v>
      </c>
      <c r="G31" s="5" t="n">
        <v>-817</v>
      </c>
      <c r="H31" s="5" t="n">
        <v>2681</v>
      </c>
      <c r="I31" s="5" t="n">
        <v>1715</v>
      </c>
    </row>
    <row r="32">
      <c r="A32" s="5" t="inlineStr">
        <is>
          <t>Total comprehensive income for the year - equity shareholders</t>
        </is>
      </c>
      <c r="B32" s="5" t="n">
        <v>44881</v>
      </c>
      <c r="C32" s="5" t="n">
        <v>50970</v>
      </c>
      <c r="D32" s="5" t="n">
        <v>49972</v>
      </c>
      <c r="E32" s="5" t="n">
        <v>15683</v>
      </c>
      <c r="F32" s="5" t="n">
        <v>10499</v>
      </c>
      <c r="G32" s="5" t="n">
        <v>6210</v>
      </c>
      <c r="H32" s="5" t="n">
        <v>10662</v>
      </c>
      <c r="I32" s="5" t="n">
        <v>7682</v>
      </c>
    </row>
    <row r="33">
      <c r="A33" s="6" t="inlineStr">
        <is>
          <t>Dividend paid in the year</t>
        </is>
      </c>
      <c r="B33" s="6" t="n">
        <v>-2979</v>
      </c>
      <c r="C33" s="6" t="n">
        <v>-1734</v>
      </c>
      <c r="D33" s="6" t="n">
        <v>-1361</v>
      </c>
      <c r="E33" s="6" t="n">
        <v>-949</v>
      </c>
      <c r="F33" s="6" t="n">
        <v>-741</v>
      </c>
      <c r="G33" s="6" t="n">
        <v>-673</v>
      </c>
      <c r="H33" s="6" t="n">
        <v>-953</v>
      </c>
      <c r="I33" s="6" t="n">
        <v>-538</v>
      </c>
    </row>
    <row r="35" ht="325" customHeight="1">
      <c r="A35" s="8" t="inlineStr">
        <is>
          <t>Sources - all figures are Unity Trust Bank Plc's own primary statements, £'000:
FY2025 &amp; FY2024: Report &amp; Accounts 2025, p.47 (Income Statement/Statement of Comprehensive Income), p.48 (Statement of Financial Position), p.49-50 (Statement of Changes in Equity) - https://assets.unity.co.uk/Unity-Trust-Bank-Annual-Report-and-Accounts-2025.pdf
FY2023 &amp; FY2022: Report &amp; Accounts 2023, p.77-78 (Income Statement), p.79 (Statement of Financial Position), p.81 (Statement of Changes in Equity, 2022 comparative) - https://assets.unity.co.uk/U798_0324_Unity_Trust_Bank_Annual-Report-and-Accounts_2023.pdf
FY2021: Report &amp; Accounts 2021, p.31 (Income Statement), p.33 (Statement of Financial Position), p.34 (Statement of Changes in Equity) - https://assets.unity.co.uk/2022/08/Unity-Trust-Bank_Report-and-Accounts-2021.pdf
FY2020: Report &amp; Accounts 2020 (Companies House filing, 13 Apr 2021), p.23 (Income Statement), p.24 (Statement of Comprehensive Income), p.25 (Statement of Financial Position), p.26 (Statement of Changes in Equity) - https://find-and-update.company-information.service.gov.uk/company/01713124/filing-history/MzI5NzIyNTE1N2FkaXF6a2N4/document?format=pdf&amp;download=0
FY2019: Report &amp; Accounts 2019 (Companies House filing, 25 Jun 2020), p.19 (Income Statement), p.20 (Statement of Comprehensive Income), p.21 (Statement of Financial Position), p.22 (Statement of Changes in Equity) - https://find-and-update.company-information.service.gov.uk/company/01713124/filing-history/MzI2NzM2MDE4NWFkaXF6a2N4/document?format=pdf&amp;download=0
FY2018: Report &amp; Accounts 2018 (Companies House filing, 11 Apr 2019), p.17 (Income Statement), p.18 (Statement of Comprehensive Income), p.19 (Statement of Financial Position), p.20 (Statement of Changes in Equity) - https://find-and-update.company-information.service.gov.uk/company/01713124/filing-history/MzIzMTYwOTI0NmFkaXF6a2N4/document?format=pdf&amp;download=0
PRESENTATION NOTE: the Statement of Changes in Equity gained a 'Cash flow hedge reserve' column from FY2024 onward (the Bank had no cash flow hedges before then) - left blank for FY2018-FY2023 rows rather than shown as zero, since the column didn't exist in those years' own statements. FY2023's own printed 'At 31 December 2023' Total equity in the equity statement (£172,167k) is a text-extraction/OCR digit transposition in the source table - the correct figure, cross-checked against (a) the components summing exactly (24,792+18,205+4,511-3,041+128,229-79 = 172,617) and (b) the Balance Sheet's own independently-stated Total equity (£172,617k) and the FY2025 report's own 'At 1 January 2024' comparative (£172,617k), is £172,617k - used here.
IFRS 9 TRANSITION NOTE: the Bank adopted IFRS 9 with effect from 1 January 2018 using the modified retrospective approach permitted by the standard, so FY2017 (not itself covered by this workbook) was not restated. The FY2018 Statement of Changes in Equity accordingly shows an 'Effects of changes in accounting policies' adjustment of £(277)k to retained earnings between the reported 'At 31 December 2017' balance (£60,096k) and the restated 'At 1 January 2018' opening balance (£59,819k) actually rolled forward through FY2018 - not a correction of an error, a one-off transition adjustment. FY2018's Statement of Financial Position also has no Right-of-use assets line (pre-IFRS 16; first appears FY2019) and its Statement of Changes in Equity includes a one-off FY2018-only 'Issue of share capital' and 'Own shares acquired during the financial year' pair of movements (a capital raise plus a buyback-and-cancellation of shares, per the Report of the Directors) not seen in any other year shown.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1">
    <mergeCell ref="A35:I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1"/>
  <sheetViews>
    <sheetView workbookViewId="0">
      <pane ySplit="4" topLeftCell="A5" activePane="bottomLeft" state="frozen"/>
      <selection pane="bottomLeft" activeCell="A1" sqref="A1"/>
    </sheetView>
  </sheetViews>
  <sheetFormatPr baseColWidth="8" defaultRowHeight="15"/>
  <cols>
    <col width="60"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1" t="inlineStr">
        <is>
          <t>Unity Trust Bank Plc — Statement of Changes in Equity</t>
        </is>
      </c>
    </row>
    <row r="2">
      <c r="A2" s="2" t="inlineStr">
        <is>
          <t>Extended entity basis (Bank + Unity EBT Limited), £'000, chronological (oldest to newest). Each year's closing Total equity ties exactly to that year's own Balance Sheet Total equity and to the next year's opening balance - zero undocumented plug rows across all 8 years (the one documented exception being the FY2018 IFRS 9 transition adjustment, itself independently disclosed as such in the Bank's own accounts).</t>
        </is>
      </c>
    </row>
    <row r="3">
      <c r="A3" s="4" t="inlineStr">
        <is>
          <t>Movement</t>
        </is>
      </c>
      <c r="B3" s="4" t="inlineStr">
        <is>
          <t>Share capital</t>
        </is>
      </c>
      <c r="C3" s="4" t="inlineStr">
        <is>
          <t>Share premium</t>
        </is>
      </c>
      <c r="D3" s="4" t="inlineStr">
        <is>
          <t>Capital redemption reserve</t>
        </is>
      </c>
      <c r="E3" s="4" t="inlineStr">
        <is>
          <t>FVTOCI</t>
        </is>
      </c>
      <c r="F3" s="4" t="inlineStr">
        <is>
          <t>Retained earnings</t>
        </is>
      </c>
      <c r="G3" s="4" t="inlineStr">
        <is>
          <t>Cash flow hedge reserve</t>
        </is>
      </c>
      <c r="H3" s="4" t="inlineStr">
        <is>
          <t>ESOP reserve</t>
        </is>
      </c>
      <c r="I3" s="4" t="inlineStr">
        <is>
          <t>Total equity</t>
        </is>
      </c>
    </row>
    <row r="4">
      <c r="A4" s="5" t="inlineStr">
        <is>
          <t>At 31 December 2017 (as originally reported, pre-IFRS 9)</t>
        </is>
      </c>
      <c r="B4" s="5" t="n">
        <v>18943</v>
      </c>
      <c r="C4" s="5" t="n">
        <v>5563</v>
      </c>
      <c r="D4" s="5" t="n">
        <v>3250</v>
      </c>
      <c r="E4" s="5" t="n">
        <v>725</v>
      </c>
      <c r="F4" s="5" t="n">
        <v>31615</v>
      </c>
      <c r="G4" s="5" t="n"/>
      <c r="H4" s="5" t="n"/>
      <c r="I4" s="5" t="n">
        <v>60096</v>
      </c>
    </row>
    <row r="5">
      <c r="A5" s="6" t="inlineStr">
        <is>
          <t>Effects of changes in accounting policies (IFRS 9 transition, 1 January 2018)</t>
        </is>
      </c>
      <c r="B5" s="6" t="n"/>
      <c r="C5" s="6" t="n"/>
      <c r="D5" s="6" t="n"/>
      <c r="E5" s="6" t="n"/>
      <c r="F5" s="6" t="n">
        <v>-277</v>
      </c>
      <c r="G5" s="6" t="n"/>
      <c r="H5" s="6" t="n"/>
      <c r="I5" s="6" t="n">
        <v>-277</v>
      </c>
    </row>
    <row r="6">
      <c r="A6" s="5" t="inlineStr">
        <is>
          <t>At 1 January 2018 (restated)</t>
        </is>
      </c>
      <c r="B6" s="5" t="n">
        <v>18943</v>
      </c>
      <c r="C6" s="5" t="n">
        <v>5563</v>
      </c>
      <c r="D6" s="5" t="n">
        <v>3250</v>
      </c>
      <c r="E6" s="5" t="n">
        <v>725</v>
      </c>
      <c r="F6" s="5" t="n">
        <v>31338</v>
      </c>
      <c r="G6" s="5" t="n"/>
      <c r="H6" s="5" t="n"/>
      <c r="I6" s="5" t="n">
        <v>59819</v>
      </c>
    </row>
    <row r="7">
      <c r="A7" s="6" t="inlineStr">
        <is>
          <t>Profit for the financial year</t>
        </is>
      </c>
      <c r="B7" s="6" t="n"/>
      <c r="C7" s="6" t="n"/>
      <c r="D7" s="6" t="n"/>
      <c r="E7" s="6" t="n"/>
      <c r="F7" s="6" t="n">
        <v>5967</v>
      </c>
      <c r="G7" s="6" t="n"/>
      <c r="H7" s="6" t="n"/>
      <c r="I7" s="6" t="n">
        <v>5967</v>
      </c>
    </row>
    <row r="8">
      <c r="A8" s="6" t="inlineStr">
        <is>
          <t>Initial recognition of DB pension surplus</t>
        </is>
      </c>
      <c r="B8" s="6" t="n"/>
      <c r="C8" s="6" t="n"/>
      <c r="D8" s="6" t="n"/>
      <c r="E8" s="6" t="n"/>
      <c r="F8" s="6" t="n">
        <v>3322</v>
      </c>
      <c r="G8" s="6" t="n"/>
      <c r="H8" s="6" t="n"/>
      <c r="I8" s="6" t="n">
        <v>3322</v>
      </c>
    </row>
    <row r="9">
      <c r="A9" s="6" t="inlineStr">
        <is>
          <t>FVTOCI: prior year charges, reclassification adjustments, valuation losses and taxation, net</t>
        </is>
      </c>
      <c r="B9" s="6" t="n"/>
      <c r="C9" s="6" t="n"/>
      <c r="D9" s="6" t="n"/>
      <c r="E9" s="6" t="n">
        <v>-1597</v>
      </c>
      <c r="F9" s="6" t="n"/>
      <c r="G9" s="6" t="n"/>
      <c r="H9" s="6" t="n"/>
      <c r="I9" s="6" t="n">
        <v>-1597</v>
      </c>
    </row>
    <row r="10">
      <c r="A10" s="6" t="inlineStr">
        <is>
          <t>Issue of share capital - capital raise</t>
        </is>
      </c>
      <c r="B10" s="6" t="n">
        <v>4739</v>
      </c>
      <c r="C10" s="6" t="n">
        <v>6245</v>
      </c>
      <c r="D10" s="6" t="n"/>
      <c r="E10" s="6" t="n"/>
      <c r="F10" s="6" t="n"/>
      <c r="G10" s="6" t="n"/>
      <c r="H10" s="6" t="n"/>
      <c r="I10" s="6" t="n">
        <v>10984</v>
      </c>
    </row>
    <row r="11">
      <c r="A11" s="6" t="inlineStr">
        <is>
          <t>Own shares acquired during the financial year (buyback and cancellation)</t>
        </is>
      </c>
      <c r="B11" s="6" t="n">
        <v>-1261</v>
      </c>
      <c r="C11" s="6" t="n"/>
      <c r="D11" s="6" t="n">
        <v>1261</v>
      </c>
      <c r="E11" s="6" t="n"/>
      <c r="F11" s="6" t="n">
        <v>-2534</v>
      </c>
      <c r="G11" s="6" t="n"/>
      <c r="H11" s="6" t="n"/>
      <c r="I11" s="6" t="n">
        <v>-2534</v>
      </c>
    </row>
    <row r="12">
      <c r="A12" s="6" t="inlineStr">
        <is>
          <t>Dividend paid</t>
        </is>
      </c>
      <c r="B12" s="6" t="n"/>
      <c r="C12" s="6" t="n"/>
      <c r="D12" s="6" t="n"/>
      <c r="E12" s="6" t="n"/>
      <c r="F12" s="6" t="n">
        <v>-538</v>
      </c>
      <c r="G12" s="6" t="n"/>
      <c r="H12" s="6" t="n"/>
      <c r="I12" s="6" t="n">
        <v>-538</v>
      </c>
    </row>
    <row r="13">
      <c r="A13" s="5" t="inlineStr">
        <is>
          <t>At 31 December 2018</t>
        </is>
      </c>
      <c r="B13" s="5" t="n">
        <v>22421</v>
      </c>
      <c r="C13" s="5" t="n">
        <v>11808</v>
      </c>
      <c r="D13" s="5" t="n">
        <v>4511</v>
      </c>
      <c r="E13" s="5" t="n">
        <v>-872</v>
      </c>
      <c r="F13" s="5" t="n">
        <v>37555</v>
      </c>
      <c r="G13" s="5" t="n"/>
      <c r="H13" s="5" t="n"/>
      <c r="I13" s="5" t="n">
        <v>75423</v>
      </c>
    </row>
    <row r="14">
      <c r="A14" s="6" t="inlineStr">
        <is>
          <t>Profit for the financial year</t>
        </is>
      </c>
      <c r="B14" s="6" t="n"/>
      <c r="C14" s="6" t="n"/>
      <c r="D14" s="6" t="n"/>
      <c r="E14" s="6" t="n"/>
      <c r="F14" s="6" t="n">
        <v>7981</v>
      </c>
      <c r="G14" s="6" t="n"/>
      <c r="H14" s="6" t="n"/>
      <c r="I14" s="6" t="n">
        <v>7981</v>
      </c>
    </row>
    <row r="15">
      <c r="A15" s="6" t="inlineStr">
        <is>
          <t>Actuarial gain on Defined Benefit pension</t>
        </is>
      </c>
      <c r="B15" s="6" t="n"/>
      <c r="C15" s="6" t="n"/>
      <c r="D15" s="6" t="n"/>
      <c r="E15" s="6" t="n"/>
      <c r="F15" s="6" t="n">
        <v>2731</v>
      </c>
      <c r="G15" s="6" t="n"/>
      <c r="H15" s="6" t="n"/>
      <c r="I15" s="6" t="n">
        <v>2731</v>
      </c>
    </row>
    <row r="16">
      <c r="A16" s="6" t="inlineStr">
        <is>
          <t>Deferred Tax movements</t>
        </is>
      </c>
      <c r="B16" s="6" t="n"/>
      <c r="C16" s="6" t="n"/>
      <c r="D16" s="6" t="n"/>
      <c r="E16" s="6" t="n">
        <v>-118</v>
      </c>
      <c r="F16" s="6" t="n">
        <v>-464</v>
      </c>
      <c r="G16" s="6" t="n"/>
      <c r="H16" s="6" t="n"/>
      <c r="I16" s="6" t="n">
        <v>-582</v>
      </c>
    </row>
    <row r="17">
      <c r="A17" s="6" t="inlineStr">
        <is>
          <t>Net movement in Fair value through other comprehensive income</t>
        </is>
      </c>
      <c r="B17" s="6" t="n"/>
      <c r="C17" s="6" t="n"/>
      <c r="D17" s="6" t="n"/>
      <c r="E17" s="6" t="n">
        <v>532</v>
      </c>
      <c r="F17" s="6" t="n"/>
      <c r="G17" s="6" t="n"/>
      <c r="H17" s="6" t="n"/>
      <c r="I17" s="6" t="n">
        <v>532</v>
      </c>
    </row>
    <row r="18">
      <c r="A18" s="6" t="inlineStr">
        <is>
          <t>Dividend paid</t>
        </is>
      </c>
      <c r="B18" s="6" t="n"/>
      <c r="C18" s="6" t="n"/>
      <c r="D18" s="6" t="n"/>
      <c r="E18" s="6" t="n"/>
      <c r="F18" s="6" t="n">
        <v>-953</v>
      </c>
      <c r="G18" s="6" t="n"/>
      <c r="H18" s="6" t="n"/>
      <c r="I18" s="6" t="n">
        <v>-953</v>
      </c>
    </row>
    <row r="19">
      <c r="A19" s="5" t="inlineStr">
        <is>
          <t>At 31 December 2019</t>
        </is>
      </c>
      <c r="B19" s="5" t="n">
        <v>22421</v>
      </c>
      <c r="C19" s="5" t="n">
        <v>11808</v>
      </c>
      <c r="D19" s="5" t="n">
        <v>4511</v>
      </c>
      <c r="E19" s="5" t="n">
        <v>-458</v>
      </c>
      <c r="F19" s="5" t="n">
        <v>46850</v>
      </c>
      <c r="G19" s="5" t="n"/>
      <c r="H19" s="5" t="n"/>
      <c r="I19" s="5" t="n">
        <v>85132</v>
      </c>
    </row>
    <row r="20">
      <c r="A20" s="6" t="inlineStr">
        <is>
          <t>Profit for the financial year</t>
        </is>
      </c>
      <c r="B20" s="6" t="n"/>
      <c r="C20" s="6" t="n"/>
      <c r="D20" s="6" t="n"/>
      <c r="E20" s="6" t="n"/>
      <c r="F20" s="6" t="n">
        <v>7027</v>
      </c>
      <c r="G20" s="6" t="n"/>
      <c r="H20" s="6" t="n"/>
      <c r="I20" s="6" t="n">
        <v>7027</v>
      </c>
    </row>
    <row r="21">
      <c r="A21" s="6" t="inlineStr">
        <is>
          <t>Actuarial losses on Defined Benefit pension</t>
        </is>
      </c>
      <c r="B21" s="6" t="n"/>
      <c r="C21" s="6" t="n"/>
      <c r="D21" s="6" t="n"/>
      <c r="E21" s="6" t="n"/>
      <c r="F21" s="6" t="n">
        <v>-2142</v>
      </c>
      <c r="G21" s="6" t="n"/>
      <c r="H21" s="6" t="n"/>
      <c r="I21" s="6" t="n">
        <v>-2142</v>
      </c>
    </row>
    <row r="22">
      <c r="A22" s="6" t="inlineStr">
        <is>
          <t>Deferred Tax movements</t>
        </is>
      </c>
      <c r="B22" s="6" t="n"/>
      <c r="C22" s="6" t="n"/>
      <c r="D22" s="6" t="n"/>
      <c r="E22" s="6" t="n">
        <v>-200</v>
      </c>
      <c r="F22" s="6" t="n">
        <v>272</v>
      </c>
      <c r="G22" s="6" t="n"/>
      <c r="H22" s="6" t="n"/>
      <c r="I22" s="6" t="n">
        <v>72</v>
      </c>
    </row>
    <row r="23">
      <c r="A23" s="6" t="inlineStr">
        <is>
          <t>Net movement in Fair value through other comprehensive income</t>
        </is>
      </c>
      <c r="B23" s="6" t="n"/>
      <c r="C23" s="6" t="n"/>
      <c r="D23" s="6" t="n"/>
      <c r="E23" s="6" t="n">
        <v>1253</v>
      </c>
      <c r="F23" s="6" t="n"/>
      <c r="G23" s="6" t="n"/>
      <c r="H23" s="6" t="n"/>
      <c r="I23" s="6" t="n">
        <v>1253</v>
      </c>
    </row>
    <row r="24">
      <c r="A24" s="6" t="inlineStr">
        <is>
          <t>Dividend paid</t>
        </is>
      </c>
      <c r="B24" s="6" t="n"/>
      <c r="C24" s="6" t="n"/>
      <c r="D24" s="6" t="n"/>
      <c r="E24" s="6" t="n"/>
      <c r="F24" s="6" t="n">
        <v>-673</v>
      </c>
      <c r="G24" s="6" t="n"/>
      <c r="H24" s="6" t="n"/>
      <c r="I24" s="6" t="n">
        <v>-673</v>
      </c>
    </row>
    <row r="25">
      <c r="A25" s="5" t="inlineStr">
        <is>
          <t>At 31 December 2020</t>
        </is>
      </c>
      <c r="B25" s="5" t="n">
        <v>22421</v>
      </c>
      <c r="C25" s="5" t="n">
        <v>11808</v>
      </c>
      <c r="D25" s="5" t="n">
        <v>4511</v>
      </c>
      <c r="E25" s="5" t="n">
        <v>595</v>
      </c>
      <c r="F25" s="5" t="n">
        <v>51334</v>
      </c>
      <c r="G25" s="5" t="n"/>
      <c r="H25" s="5" t="n"/>
      <c r="I25" s="5" t="n">
        <v>90669</v>
      </c>
    </row>
    <row r="26">
      <c r="A26" s="6" t="inlineStr">
        <is>
          <t>Profit for the financial year</t>
        </is>
      </c>
      <c r="B26" s="6" t="n"/>
      <c r="C26" s="6" t="n"/>
      <c r="D26" s="6" t="n"/>
      <c r="E26" s="6" t="n"/>
      <c r="F26" s="6" t="n">
        <v>9671</v>
      </c>
      <c r="G26" s="6" t="n"/>
      <c r="H26" s="6" t="n"/>
      <c r="I26" s="6" t="n">
        <v>9671</v>
      </c>
    </row>
    <row r="27">
      <c r="A27" s="6" t="inlineStr">
        <is>
          <t>Issue of share capital - Capital raise</t>
        </is>
      </c>
      <c r="B27" s="6" t="n">
        <v>2205</v>
      </c>
      <c r="C27" s="6" t="n">
        <v>6277</v>
      </c>
      <c r="D27" s="6" t="n"/>
      <c r="E27" s="6" t="n"/>
      <c r="F27" s="6" t="n"/>
      <c r="G27" s="6" t="n"/>
      <c r="H27" s="6" t="n"/>
      <c r="I27" s="6" t="n">
        <v>8482</v>
      </c>
    </row>
    <row r="28">
      <c r="A28" s="6" t="inlineStr">
        <is>
          <t>Issue of share capital - Share Incentive Plan</t>
        </is>
      </c>
      <c r="B28" s="6" t="n">
        <v>52</v>
      </c>
      <c r="C28" s="6" t="n">
        <v>28</v>
      </c>
      <c r="D28" s="6" t="n"/>
      <c r="E28" s="6" t="n"/>
      <c r="F28" s="6" t="n"/>
      <c r="G28" s="6" t="n"/>
      <c r="H28" s="6" t="n"/>
      <c r="I28" s="6" t="n">
        <v>80</v>
      </c>
    </row>
    <row r="29">
      <c r="A29" s="6" t="inlineStr">
        <is>
          <t>Adjustment for equity-settled share-based payments</t>
        </is>
      </c>
      <c r="B29" s="6" t="n"/>
      <c r="C29" s="6" t="n"/>
      <c r="D29" s="6" t="n"/>
      <c r="E29" s="6" t="n"/>
      <c r="F29" s="6" t="n">
        <v>11</v>
      </c>
      <c r="G29" s="6" t="n"/>
      <c r="H29" s="6" t="n">
        <v>-37</v>
      </c>
      <c r="I29" s="6" t="n">
        <v>-26</v>
      </c>
    </row>
    <row r="30">
      <c r="A30" s="6" t="inlineStr">
        <is>
          <t>Actuarial gain on Defined Benefit pension</t>
        </is>
      </c>
      <c r="B30" s="6" t="n"/>
      <c r="C30" s="6" t="n"/>
      <c r="D30" s="6" t="n"/>
      <c r="E30" s="6" t="n"/>
      <c r="F30" s="6" t="n">
        <v>2718</v>
      </c>
      <c r="G30" s="6" t="n"/>
      <c r="H30" s="6" t="n"/>
      <c r="I30" s="6" t="n">
        <v>2718</v>
      </c>
    </row>
    <row r="31">
      <c r="A31" s="6" t="inlineStr">
        <is>
          <t>Deferred Tax movements</t>
        </is>
      </c>
      <c r="B31" s="6" t="n"/>
      <c r="C31" s="6" t="n"/>
      <c r="D31" s="6" t="n"/>
      <c r="E31" s="6" t="n">
        <v>256</v>
      </c>
      <c r="F31" s="6" t="n">
        <v>-953</v>
      </c>
      <c r="G31" s="6" t="n"/>
      <c r="H31" s="6" t="n"/>
      <c r="I31" s="6" t="n">
        <v>-697</v>
      </c>
    </row>
    <row r="32">
      <c r="A32" s="6" t="inlineStr">
        <is>
          <t>Net movement in Fair value through other comprehensive income</t>
        </is>
      </c>
      <c r="B32" s="6" t="n"/>
      <c r="C32" s="6" t="n"/>
      <c r="D32" s="6" t="n"/>
      <c r="E32" s="6" t="n">
        <v>-1193</v>
      </c>
      <c r="F32" s="6" t="n"/>
      <c r="G32" s="6" t="n"/>
      <c r="H32" s="6" t="n"/>
      <c r="I32" s="6" t="n">
        <v>-1193</v>
      </c>
    </row>
    <row r="33">
      <c r="A33" s="6" t="inlineStr">
        <is>
          <t>Dividend paid</t>
        </is>
      </c>
      <c r="B33" s="6" t="n"/>
      <c r="C33" s="6" t="n"/>
      <c r="D33" s="6" t="n"/>
      <c r="E33" s="6" t="n"/>
      <c r="F33" s="6" t="n">
        <v>-741</v>
      </c>
      <c r="G33" s="6" t="n"/>
      <c r="H33" s="6" t="n"/>
      <c r="I33" s="6" t="n">
        <v>-741</v>
      </c>
    </row>
    <row r="34">
      <c r="A34" s="5" t="inlineStr">
        <is>
          <t>At 31 December 2021</t>
        </is>
      </c>
      <c r="B34" s="5" t="n">
        <v>24678</v>
      </c>
      <c r="C34" s="5" t="n">
        <v>18113</v>
      </c>
      <c r="D34" s="5" t="n">
        <v>4511</v>
      </c>
      <c r="E34" s="5" t="n">
        <v>-342</v>
      </c>
      <c r="F34" s="5" t="n">
        <v>62040</v>
      </c>
      <c r="G34" s="5" t="n"/>
      <c r="H34" s="5" t="n">
        <v>-37</v>
      </c>
      <c r="I34" s="5" t="n">
        <v>108963</v>
      </c>
    </row>
    <row r="35">
      <c r="A35" s="6" t="inlineStr">
        <is>
          <t>Profit for the financial year</t>
        </is>
      </c>
      <c r="B35" s="6" t="n"/>
      <c r="C35" s="6" t="n"/>
      <c r="D35" s="6" t="n"/>
      <c r="E35" s="6" t="n"/>
      <c r="F35" s="6" t="n">
        <v>22843</v>
      </c>
      <c r="G35" s="6" t="n"/>
      <c r="H35" s="6" t="n"/>
      <c r="I35" s="6" t="n">
        <v>22843</v>
      </c>
    </row>
    <row r="36">
      <c r="A36" s="6" t="inlineStr">
        <is>
          <t>Issue of share capital - Share Incentive Plan</t>
        </is>
      </c>
      <c r="B36" s="6" t="n">
        <v>52</v>
      </c>
      <c r="C36" s="6" t="n">
        <v>37</v>
      </c>
      <c r="D36" s="6" t="n"/>
      <c r="E36" s="6" t="n"/>
      <c r="F36" s="6" t="n"/>
      <c r="G36" s="6" t="n"/>
      <c r="H36" s="6" t="n"/>
      <c r="I36" s="6" t="n">
        <v>89</v>
      </c>
    </row>
    <row r="37">
      <c r="A37" s="6" t="inlineStr">
        <is>
          <t>Adjustment for equity-settled share-based payments</t>
        </is>
      </c>
      <c r="B37" s="6" t="n"/>
      <c r="C37" s="6" t="n"/>
      <c r="D37" s="6" t="n"/>
      <c r="E37" s="6" t="n"/>
      <c r="F37" s="6" t="n">
        <v>52</v>
      </c>
      <c r="G37" s="6" t="n"/>
      <c r="H37" s="6" t="n">
        <v>-23</v>
      </c>
      <c r="I37" s="6" t="n">
        <v>29</v>
      </c>
    </row>
    <row r="38">
      <c r="A38" s="6" t="inlineStr">
        <is>
          <t>Actuarial gain/(loss) on Defined Benefit pension</t>
        </is>
      </c>
      <c r="B38" s="6" t="n"/>
      <c r="C38" s="6" t="n"/>
      <c r="D38" s="6" t="n"/>
      <c r="E38" s="6" t="n"/>
      <c r="F38" s="6" t="n">
        <v>-3170</v>
      </c>
      <c r="G38" s="6" t="n"/>
      <c r="H38" s="6" t="n"/>
      <c r="I38" s="6" t="n">
        <v>-3170</v>
      </c>
    </row>
    <row r="39">
      <c r="A39" s="6" t="inlineStr">
        <is>
          <t>Deferred Tax movements</t>
        </is>
      </c>
      <c r="B39" s="6" t="n"/>
      <c r="C39" s="6" t="n"/>
      <c r="D39" s="6" t="n"/>
      <c r="E39" s="6" t="n">
        <v>1596</v>
      </c>
      <c r="F39" s="6" t="n">
        <v>799</v>
      </c>
      <c r="G39" s="6" t="n"/>
      <c r="H39" s="6" t="n"/>
      <c r="I39" s="6" t="n">
        <v>2395</v>
      </c>
    </row>
    <row r="40">
      <c r="A40" s="6" t="inlineStr">
        <is>
          <t>Net movement in Fair value through other comprehensive income</t>
        </is>
      </c>
      <c r="B40" s="6" t="n"/>
      <c r="C40" s="6" t="n"/>
      <c r="D40" s="6" t="n"/>
      <c r="E40" s="6" t="n">
        <v>-6385</v>
      </c>
      <c r="F40" s="6" t="n"/>
      <c r="G40" s="6" t="n"/>
      <c r="H40" s="6" t="n"/>
      <c r="I40" s="6" t="n">
        <v>-6385</v>
      </c>
    </row>
    <row r="41">
      <c r="A41" s="6" t="inlineStr">
        <is>
          <t>Dividend paid</t>
        </is>
      </c>
      <c r="B41" s="6" t="n"/>
      <c r="C41" s="6" t="n"/>
      <c r="D41" s="6" t="n"/>
      <c r="E41" s="6" t="n"/>
      <c r="F41" s="6" t="n">
        <v>-949</v>
      </c>
      <c r="G41" s="6" t="n"/>
      <c r="H41" s="6" t="n"/>
      <c r="I41" s="6" t="n">
        <v>-949</v>
      </c>
    </row>
    <row r="42">
      <c r="A42" s="5" t="inlineStr">
        <is>
          <t>At 31 December 2022</t>
        </is>
      </c>
      <c r="B42" s="5" t="n">
        <v>24730</v>
      </c>
      <c r="C42" s="5" t="n">
        <v>18150</v>
      </c>
      <c r="D42" s="5" t="n">
        <v>4511</v>
      </c>
      <c r="E42" s="5" t="n">
        <v>-5131</v>
      </c>
      <c r="F42" s="5" t="n">
        <v>81615</v>
      </c>
      <c r="G42" s="5" t="n"/>
      <c r="H42" s="5" t="n">
        <v>-60</v>
      </c>
      <c r="I42" s="5" t="n">
        <v>123815</v>
      </c>
    </row>
    <row r="43">
      <c r="A43" s="6" t="inlineStr">
        <is>
          <t>Profit for the financial year</t>
        </is>
      </c>
      <c r="B43" s="6" t="n"/>
      <c r="C43" s="6" t="n"/>
      <c r="D43" s="6" t="n"/>
      <c r="E43" s="6" t="n"/>
      <c r="F43" s="6" t="n">
        <v>48858</v>
      </c>
      <c r="G43" s="6" t="n"/>
      <c r="H43" s="6" t="n"/>
      <c r="I43" s="6" t="n">
        <v>48858</v>
      </c>
    </row>
    <row r="44">
      <c r="A44" s="6" t="inlineStr">
        <is>
          <t>Issue of share capital - Share Incentive Plan</t>
        </is>
      </c>
      <c r="B44" s="6" t="n">
        <v>62</v>
      </c>
      <c r="C44" s="6" t="n">
        <v>55</v>
      </c>
      <c r="D44" s="6" t="n"/>
      <c r="E44" s="6" t="n"/>
      <c r="F44" s="6" t="n"/>
      <c r="G44" s="6" t="n"/>
      <c r="H44" s="6" t="n">
        <v>-49</v>
      </c>
      <c r="I44" s="6" t="n">
        <v>68</v>
      </c>
    </row>
    <row r="45">
      <c r="A45" s="6" t="inlineStr">
        <is>
          <t>Adjustment for equity-settled share-based payments</t>
        </is>
      </c>
      <c r="B45" s="6" t="n"/>
      <c r="C45" s="6" t="n"/>
      <c r="D45" s="6" t="n"/>
      <c r="E45" s="6" t="n"/>
      <c r="F45" s="6" t="n">
        <v>93</v>
      </c>
      <c r="G45" s="6" t="n"/>
      <c r="H45" s="6" t="n">
        <v>30</v>
      </c>
      <c r="I45" s="6" t="n">
        <v>123</v>
      </c>
    </row>
    <row r="46">
      <c r="A46" s="6" t="inlineStr">
        <is>
          <t>Actuarial loss on Defined Benefit pension</t>
        </is>
      </c>
      <c r="B46" s="6" t="n"/>
      <c r="C46" s="6" t="n"/>
      <c r="D46" s="6" t="n"/>
      <c r="E46" s="6" t="n"/>
      <c r="F46" s="6" t="n">
        <v>-1311</v>
      </c>
      <c r="G46" s="6" t="n"/>
      <c r="H46" s="6" t="n"/>
      <c r="I46" s="6" t="n">
        <v>-1311</v>
      </c>
    </row>
    <row r="47">
      <c r="A47" s="6" t="inlineStr">
        <is>
          <t>Deferred Tax movements</t>
        </is>
      </c>
      <c r="B47" s="6" t="n"/>
      <c r="C47" s="6" t="n"/>
      <c r="D47" s="6" t="n"/>
      <c r="E47" s="6" t="n">
        <v>-582</v>
      </c>
      <c r="F47" s="6" t="n">
        <v>335</v>
      </c>
      <c r="G47" s="6" t="n"/>
      <c r="H47" s="6" t="n"/>
      <c r="I47" s="6" t="n">
        <v>-247</v>
      </c>
    </row>
    <row r="48">
      <c r="A48" s="6" t="inlineStr">
        <is>
          <t>Net movement in Fair value through other comprehensive income</t>
        </is>
      </c>
      <c r="B48" s="6" t="n"/>
      <c r="C48" s="6" t="n"/>
      <c r="D48" s="6" t="n"/>
      <c r="E48" s="6" t="n">
        <v>2672</v>
      </c>
      <c r="F48" s="6" t="n"/>
      <c r="G48" s="6" t="n"/>
      <c r="H48" s="6" t="n"/>
      <c r="I48" s="6" t="n">
        <v>2672</v>
      </c>
    </row>
    <row r="49">
      <c r="A49" s="6" t="inlineStr">
        <is>
          <t>Dividend paid</t>
        </is>
      </c>
      <c r="B49" s="6" t="n"/>
      <c r="C49" s="6" t="n"/>
      <c r="D49" s="6" t="n"/>
      <c r="E49" s="6" t="n"/>
      <c r="F49" s="6" t="n">
        <v>-1361</v>
      </c>
      <c r="G49" s="6" t="n"/>
      <c r="H49" s="6" t="n"/>
      <c r="I49" s="6" t="n">
        <v>-1361</v>
      </c>
    </row>
    <row r="50">
      <c r="A50" s="5" t="inlineStr">
        <is>
          <t>At 31 December 2023 (£172,617k, see presentation note; text-extraction artefact in source table corrected)</t>
        </is>
      </c>
      <c r="B50" s="5" t="n">
        <v>24792</v>
      </c>
      <c r="C50" s="5" t="n">
        <v>18205</v>
      </c>
      <c r="D50" s="5" t="n">
        <v>4511</v>
      </c>
      <c r="E50" s="5" t="n">
        <v>-3041</v>
      </c>
      <c r="F50" s="5" t="n">
        <v>128229</v>
      </c>
      <c r="G50" s="5" t="n"/>
      <c r="H50" s="5" t="n">
        <v>-79</v>
      </c>
      <c r="I50" s="5" t="n">
        <v>172617</v>
      </c>
    </row>
    <row r="51">
      <c r="A51" s="6" t="inlineStr">
        <is>
          <t>Profit for the financial year</t>
        </is>
      </c>
      <c r="B51" s="6" t="n"/>
      <c r="C51" s="6" t="n"/>
      <c r="D51" s="6" t="n"/>
      <c r="E51" s="6" t="n"/>
      <c r="F51" s="6" t="n">
        <v>50476</v>
      </c>
      <c r="G51" s="6" t="n"/>
      <c r="H51" s="6" t="n"/>
      <c r="I51" s="6" t="n">
        <v>50476</v>
      </c>
    </row>
    <row r="52">
      <c r="A52" s="6" t="inlineStr">
        <is>
          <t>Issue of share capital - Share Incentive Plan</t>
        </is>
      </c>
      <c r="B52" s="6" t="n">
        <v>33</v>
      </c>
      <c r="C52" s="6" t="n">
        <v>58</v>
      </c>
      <c r="D52" s="6" t="n"/>
      <c r="E52" s="6" t="n"/>
      <c r="F52" s="6" t="n"/>
      <c r="G52" s="6" t="n"/>
      <c r="H52" s="6" t="n">
        <v>-23</v>
      </c>
      <c r="I52" s="6" t="n">
        <v>68</v>
      </c>
    </row>
    <row r="53">
      <c r="A53" s="6" t="inlineStr">
        <is>
          <t>Adjustment for equity-settled share-based payments</t>
        </is>
      </c>
      <c r="B53" s="6" t="n"/>
      <c r="C53" s="6" t="n"/>
      <c r="D53" s="6" t="n"/>
      <c r="E53" s="6" t="n"/>
      <c r="F53" s="6" t="n">
        <v>154</v>
      </c>
      <c r="G53" s="6" t="n"/>
      <c r="H53" s="6" t="n">
        <v>42</v>
      </c>
      <c r="I53" s="6" t="n">
        <v>196</v>
      </c>
    </row>
    <row r="54">
      <c r="A54" s="6" t="inlineStr">
        <is>
          <t>Actuarial loss on Defined Benefit pension</t>
        </is>
      </c>
      <c r="B54" s="6" t="n"/>
      <c r="C54" s="6" t="n"/>
      <c r="D54" s="6" t="n"/>
      <c r="E54" s="6" t="n"/>
      <c r="F54" s="6" t="n">
        <v>-1047</v>
      </c>
      <c r="G54" s="6" t="n"/>
      <c r="H54" s="6" t="n"/>
      <c r="I54" s="6" t="n">
        <v>-1047</v>
      </c>
    </row>
    <row r="55">
      <c r="A55" s="6" t="inlineStr">
        <is>
          <t>Fair value on cash flow hedges</t>
        </is>
      </c>
      <c r="B55" s="6" t="n"/>
      <c r="C55" s="6" t="n"/>
      <c r="D55" s="6" t="n"/>
      <c r="E55" s="6" t="n"/>
      <c r="F55" s="6" t="n"/>
      <c r="G55" s="6" t="n">
        <v>-1521</v>
      </c>
      <c r="H55" s="6" t="n"/>
      <c r="I55" s="6" t="n">
        <v>-1521</v>
      </c>
    </row>
    <row r="56">
      <c r="A56" s="6" t="inlineStr">
        <is>
          <t>Deferred Tax movements</t>
        </is>
      </c>
      <c r="B56" s="6" t="n"/>
      <c r="C56" s="6" t="n"/>
      <c r="D56" s="6" t="n"/>
      <c r="E56" s="6" t="n">
        <v>-808</v>
      </c>
      <c r="F56" s="6" t="n">
        <v>258</v>
      </c>
      <c r="G56" s="6" t="n">
        <v>380</v>
      </c>
      <c r="H56" s="6" t="n"/>
      <c r="I56" s="6" t="n">
        <v>-170</v>
      </c>
    </row>
    <row r="57">
      <c r="A57" s="6" t="inlineStr">
        <is>
          <t>Net movement in Fair value through other comprehensive income</t>
        </is>
      </c>
      <c r="B57" s="6" t="n"/>
      <c r="C57" s="6" t="n"/>
      <c r="D57" s="6" t="n"/>
      <c r="E57" s="6" t="n">
        <v>3232</v>
      </c>
      <c r="F57" s="6" t="n"/>
      <c r="G57" s="6" t="n"/>
      <c r="H57" s="6" t="n"/>
      <c r="I57" s="6" t="n">
        <v>3232</v>
      </c>
    </row>
    <row r="58">
      <c r="A58" s="6" t="inlineStr">
        <is>
          <t>Dividend paid</t>
        </is>
      </c>
      <c r="B58" s="6" t="n"/>
      <c r="C58" s="6" t="n"/>
      <c r="D58" s="6" t="n"/>
      <c r="E58" s="6" t="n"/>
      <c r="F58" s="6" t="n">
        <v>-1734</v>
      </c>
      <c r="G58" s="6" t="n"/>
      <c r="H58" s="6" t="n"/>
      <c r="I58" s="6" t="n">
        <v>-1734</v>
      </c>
    </row>
    <row r="59">
      <c r="A59" s="5" t="inlineStr">
        <is>
          <t>At 31 December 2024</t>
        </is>
      </c>
      <c r="B59" s="5" t="n">
        <v>24825</v>
      </c>
      <c r="C59" s="5" t="n">
        <v>18263</v>
      </c>
      <c r="D59" s="5" t="n">
        <v>4511</v>
      </c>
      <c r="E59" s="5" t="n">
        <v>-617</v>
      </c>
      <c r="F59" s="5" t="n">
        <v>176336</v>
      </c>
      <c r="G59" s="5" t="n">
        <v>-1141</v>
      </c>
      <c r="H59" s="5" t="n">
        <v>-60</v>
      </c>
      <c r="I59" s="5" t="n">
        <v>222117</v>
      </c>
    </row>
    <row r="60">
      <c r="A60" s="6" t="inlineStr">
        <is>
          <t>Profit for the financial year</t>
        </is>
      </c>
      <c r="B60" s="6" t="n"/>
      <c r="C60" s="6" t="n"/>
      <c r="D60" s="6" t="n"/>
      <c r="E60" s="6" t="n"/>
      <c r="F60" s="6" t="n">
        <v>40789</v>
      </c>
      <c r="G60" s="6" t="n"/>
      <c r="H60" s="6" t="n"/>
      <c r="I60" s="6" t="n">
        <v>40789</v>
      </c>
    </row>
    <row r="61">
      <c r="A61" s="6" t="inlineStr">
        <is>
          <t>Issue of share capital - Share Incentive Plan</t>
        </is>
      </c>
      <c r="B61" s="6" t="n">
        <v>50</v>
      </c>
      <c r="C61" s="6" t="n">
        <v>77</v>
      </c>
      <c r="D61" s="6" t="n"/>
      <c r="E61" s="6" t="n"/>
      <c r="F61" s="6" t="n"/>
      <c r="G61" s="6" t="n"/>
      <c r="H61" s="6" t="n">
        <v>-40</v>
      </c>
      <c r="I61" s="6" t="n">
        <v>87</v>
      </c>
    </row>
    <row r="62">
      <c r="A62" s="6" t="inlineStr">
        <is>
          <t>Adjustment for equity-settled share-based payments</t>
        </is>
      </c>
      <c r="B62" s="6" t="n">
        <v>6</v>
      </c>
      <c r="C62" s="6" t="n">
        <v>20</v>
      </c>
      <c r="D62" s="6" t="n"/>
      <c r="E62" s="6" t="n"/>
      <c r="F62" s="6" t="n">
        <v>-320</v>
      </c>
      <c r="G62" s="6" t="n"/>
      <c r="H62" s="6" t="n">
        <v>100</v>
      </c>
      <c r="I62" s="6" t="n">
        <v>-194</v>
      </c>
    </row>
    <row r="63">
      <c r="A63" s="6" t="inlineStr">
        <is>
          <t>Actuarial gain on Defined Benefit pension</t>
        </is>
      </c>
      <c r="B63" s="6" t="n"/>
      <c r="C63" s="6" t="n"/>
      <c r="D63" s="6" t="n"/>
      <c r="E63" s="6" t="n"/>
      <c r="F63" s="6" t="n">
        <v>590</v>
      </c>
      <c r="G63" s="6" t="n"/>
      <c r="H63" s="6" t="n"/>
      <c r="I63" s="6" t="n">
        <v>590</v>
      </c>
    </row>
    <row r="64">
      <c r="A64" s="6" t="inlineStr">
        <is>
          <t>Fair value on cash flow hedges</t>
        </is>
      </c>
      <c r="B64" s="6" t="n"/>
      <c r="C64" s="6" t="n"/>
      <c r="D64" s="6" t="n"/>
      <c r="E64" s="6" t="n"/>
      <c r="F64" s="6" t="n"/>
      <c r="G64" s="6" t="n">
        <v>1460</v>
      </c>
      <c r="H64" s="6" t="n"/>
      <c r="I64" s="6" t="n">
        <v>1460</v>
      </c>
    </row>
    <row r="65">
      <c r="A65" s="6" t="inlineStr">
        <is>
          <t>Recycling of cash flow hedge reserve</t>
        </is>
      </c>
      <c r="B65" s="6" t="n"/>
      <c r="C65" s="6" t="n"/>
      <c r="D65" s="6" t="n"/>
      <c r="E65" s="6" t="n"/>
      <c r="F65" s="6" t="n"/>
      <c r="G65" s="6" t="n">
        <v>1097</v>
      </c>
      <c r="H65" s="6" t="n"/>
      <c r="I65" s="6" t="n">
        <v>1097</v>
      </c>
    </row>
    <row r="66">
      <c r="A66" s="6" t="inlineStr">
        <is>
          <t>Deferred Tax movements</t>
        </is>
      </c>
      <c r="B66" s="6" t="n"/>
      <c r="C66" s="6" t="n"/>
      <c r="D66" s="6" t="n"/>
      <c r="E66" s="6" t="n">
        <v>-577</v>
      </c>
      <c r="F66" s="6" t="n">
        <v>-66</v>
      </c>
      <c r="G66" s="6" t="n">
        <v>-639</v>
      </c>
      <c r="H66" s="6" t="n"/>
      <c r="I66" s="6" t="n">
        <v>-1282</v>
      </c>
    </row>
    <row r="67">
      <c r="A67" s="6" t="inlineStr">
        <is>
          <t>Net movement in Fair value through other comprehensive income</t>
        </is>
      </c>
      <c r="B67" s="6" t="n"/>
      <c r="C67" s="6" t="n"/>
      <c r="D67" s="6" t="n"/>
      <c r="E67" s="6" t="n">
        <v>2309</v>
      </c>
      <c r="F67" s="6" t="n"/>
      <c r="G67" s="6" t="n"/>
      <c r="H67" s="6" t="n"/>
      <c r="I67" s="6" t="n">
        <v>2309</v>
      </c>
    </row>
    <row r="68">
      <c r="A68" s="6" t="inlineStr">
        <is>
          <t>Dividend paid</t>
        </is>
      </c>
      <c r="B68" s="6" t="n"/>
      <c r="C68" s="6" t="n"/>
      <c r="D68" s="6" t="n"/>
      <c r="E68" s="6" t="n"/>
      <c r="F68" s="6" t="n">
        <v>-2979</v>
      </c>
      <c r="G68" s="6" t="n"/>
      <c r="H68" s="6" t="n"/>
      <c r="I68" s="6" t="n">
        <v>-2979</v>
      </c>
    </row>
    <row r="69">
      <c r="A69" s="5" t="inlineStr">
        <is>
          <t>At 31 December 2025</t>
        </is>
      </c>
      <c r="B69" s="5" t="n">
        <v>24881</v>
      </c>
      <c r="C69" s="5" t="n">
        <v>18360</v>
      </c>
      <c r="D69" s="5" t="n">
        <v>4511</v>
      </c>
      <c r="E69" s="5" t="n">
        <v>1115</v>
      </c>
      <c r="F69" s="5" t="n">
        <v>214350</v>
      </c>
      <c r="G69" s="5" t="n">
        <v>777</v>
      </c>
      <c r="H69" s="5" t="n">
        <v>0</v>
      </c>
      <c r="I69" s="5" t="n">
        <v>263994</v>
      </c>
    </row>
    <row r="71" ht="325" customHeight="1">
      <c r="A71" s="8" t="inlineStr">
        <is>
          <t>Sources - all figures are Unity Trust Bank Plc's own primary statements, £'000:
FY2025 &amp; FY2024: Report &amp; Accounts 2025, p.47 (Income Statement/Statement of Comprehensive Income), p.48 (Statement of Financial Position), p.49-50 (Statement of Changes in Equity) - https://assets.unity.co.uk/Unity-Trust-Bank-Annual-Report-and-Accounts-2025.pdf
FY2023 &amp; FY2022: Report &amp; Accounts 2023, p.77-78 (Income Statement), p.79 (Statement of Financial Position), p.81 (Statement of Changes in Equity, 2022 comparative) - https://assets.unity.co.uk/U798_0324_Unity_Trust_Bank_Annual-Report-and-Accounts_2023.pdf
FY2021: Report &amp; Accounts 2021, p.31 (Income Statement), p.33 (Statement of Financial Position), p.34 (Statement of Changes in Equity) - https://assets.unity.co.uk/2022/08/Unity-Trust-Bank_Report-and-Accounts-2021.pdf
FY2020: Report &amp; Accounts 2020 (Companies House filing, 13 Apr 2021), p.23 (Income Statement), p.24 (Statement of Comprehensive Income), p.25 (Statement of Financial Position), p.26 (Statement of Changes in Equity) - https://find-and-update.company-information.service.gov.uk/company/01713124/filing-history/MzI5NzIyNTE1N2FkaXF6a2N4/document?format=pdf&amp;download=0
FY2019: Report &amp; Accounts 2019 (Companies House filing, 25 Jun 2020), p.19 (Income Statement), p.20 (Statement of Comprehensive Income), p.21 (Statement of Financial Position), p.22 (Statement of Changes in Equity) - https://find-and-update.company-information.service.gov.uk/company/01713124/filing-history/MzI2NzM2MDE4NWFkaXF6a2N4/document?format=pdf&amp;download=0
FY2018: Report &amp; Accounts 2018 (Companies House filing, 11 Apr 2019), p.17 (Income Statement), p.18 (Statement of Comprehensive Income), p.19 (Statement of Financial Position), p.20 (Statement of Changes in Equity) - https://find-and-update.company-information.service.gov.uk/company/01713124/filing-history/MzIzMTYwOTI0NmFkaXF6a2N4/document?format=pdf&amp;download=0
PRESENTATION NOTE: the Statement of Changes in Equity gained a 'Cash flow hedge reserve' column from FY2024 onward (the Bank had no cash flow hedges before then) - left blank for FY2018-FY2023 rows rather than shown as zero, since the column didn't exist in those years' own statements. FY2023's own printed 'At 31 December 2023' Total equity in the equity statement (£172,167k) is a text-extraction/OCR digit transposition in the source table - the correct figure, cross-checked against (a) the components summing exactly (24,792+18,205+4,511-3,041+128,229-79 = 172,617) and (b) the Balance Sheet's own independently-stated Total equity (£172,617k) and the FY2025 report's own 'At 1 January 2024' comparative (£172,617k), is £172,617k - used here.
IFRS 9 TRANSITION NOTE: the Bank adopted IFRS 9 with effect from 1 January 2018 using the modified retrospective approach permitted by the standard, so FY2017 (not itself covered by this workbook) was not restated. The FY2018 Statement of Changes in Equity accordingly shows an 'Effects of changes in accounting policies' adjustment of £(277)k to retained earnings between the reported 'At 31 December 2017' balance (£60,096k) and the restated 'At 1 January 2018' opening balance (£59,819k) actually rolled forward through FY2018 - not a correction of an error, a one-off transition adjustment. FY2018's Statement of Financial Position also has no Right-of-use assets line (pre-IFRS 16; first appears FY2019) and its Statement of Changes in Equity includes a one-off FY2018-only 'Issue of share capital' and 'Own shares acquired during the financial year' pair of movements (a capital raise plus a buyback-and-cancellation of shares, per the Report of the Directors) not seen in any other year shown.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1">
    <mergeCell ref="A71:I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Statement of Cash Flows</t>
        </is>
      </c>
    </row>
    <row r="2">
      <c r="A2" s="2" t="inlineStr">
        <is>
          <t>Extended entity basis (Bank + Unity EBT Limited),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Operating activities</t>
        </is>
      </c>
      <c r="B4" s="6" t="n"/>
      <c r="C4" s="6" t="n"/>
      <c r="D4" s="6" t="n"/>
      <c r="E4" s="6" t="n"/>
      <c r="F4" s="6" t="n"/>
      <c r="G4" s="6" t="n"/>
      <c r="H4" s="6" t="n"/>
      <c r="I4" s="6" t="n"/>
    </row>
    <row r="5">
      <c r="A5" s="6" t="inlineStr">
        <is>
          <t>Profit before taxation</t>
        </is>
      </c>
      <c r="B5" s="6" t="n">
        <v>52415</v>
      </c>
      <c r="C5" s="6" t="n">
        <v>65751</v>
      </c>
      <c r="D5" s="6" t="n">
        <v>63862</v>
      </c>
      <c r="E5" s="6" t="n">
        <v>27352</v>
      </c>
      <c r="F5" s="6" t="n">
        <v>11053</v>
      </c>
      <c r="G5" s="6" t="n">
        <v>7546</v>
      </c>
      <c r="H5" s="6" t="n">
        <v>9076</v>
      </c>
      <c r="I5" s="6" t="n">
        <v>6755</v>
      </c>
    </row>
    <row r="6">
      <c r="A6" s="6" t="inlineStr">
        <is>
          <t>Finance costs on lease liabilities</t>
        </is>
      </c>
      <c r="B6" s="6" t="n">
        <v>58</v>
      </c>
      <c r="C6" s="6" t="n"/>
      <c r="D6" s="6" t="n"/>
      <c r="E6" s="6" t="n"/>
      <c r="F6" s="6" t="n"/>
      <c r="G6" s="6" t="n"/>
      <c r="H6" s="6" t="n"/>
      <c r="I6" s="6" t="n"/>
    </row>
    <row r="7">
      <c r="A7" s="6" t="inlineStr">
        <is>
          <t>Finance costs on central bank facilities</t>
        </is>
      </c>
      <c r="B7" s="6" t="n">
        <v>145</v>
      </c>
      <c r="C7" s="6" t="n"/>
      <c r="D7" s="6" t="n"/>
      <c r="E7" s="6" t="n"/>
      <c r="F7" s="6" t="n"/>
      <c r="G7" s="6" t="n"/>
      <c r="H7" s="6" t="n"/>
      <c r="I7" s="6" t="n"/>
    </row>
    <row r="8">
      <c r="A8" s="6" t="inlineStr">
        <is>
          <t>Finance costs (combined, as reported)</t>
        </is>
      </c>
      <c r="B8" s="6" t="n"/>
      <c r="C8" s="6" t="n">
        <v>73</v>
      </c>
      <c r="D8" s="6" t="n">
        <v>85</v>
      </c>
      <c r="E8" s="6" t="n">
        <v>249</v>
      </c>
      <c r="F8" s="6" t="n">
        <v>240</v>
      </c>
      <c r="G8" s="6" t="n">
        <v>129</v>
      </c>
      <c r="H8" s="6" t="n">
        <v>123</v>
      </c>
      <c r="I8" s="6" t="n"/>
    </row>
    <row r="9">
      <c r="A9" s="6" t="inlineStr">
        <is>
          <t>Impairment losses, net of reversals, on financial assets</t>
        </is>
      </c>
      <c r="B9" s="6" t="n">
        <v>1206</v>
      </c>
      <c r="C9" s="6" t="n">
        <v>1017</v>
      </c>
      <c r="D9" s="6" t="n">
        <v>3548</v>
      </c>
      <c r="E9" s="6" t="n">
        <v>2477</v>
      </c>
      <c r="F9" s="6" t="n">
        <v>470</v>
      </c>
      <c r="G9" s="6" t="n">
        <v>1788</v>
      </c>
      <c r="H9" s="6" t="n">
        <v>251</v>
      </c>
      <c r="I9" s="6" t="n">
        <v>-52</v>
      </c>
    </row>
    <row r="10">
      <c r="A10" s="6" t="inlineStr">
        <is>
          <t>Non-cash movements in relation to investment securities</t>
        </is>
      </c>
      <c r="B10" s="6" t="n">
        <v>-24580</v>
      </c>
      <c r="C10" s="6" t="n">
        <v>-10770</v>
      </c>
      <c r="D10" s="6" t="n">
        <v>-8428</v>
      </c>
      <c r="E10" s="6" t="n">
        <v>-3871</v>
      </c>
      <c r="F10" s="6" t="n"/>
      <c r="G10" s="6" t="n"/>
      <c r="H10" s="6" t="n"/>
      <c r="I10" s="6" t="n"/>
    </row>
    <row r="11">
      <c r="A11" s="6" t="inlineStr">
        <is>
          <t>Depreciation of property, plant and equipment</t>
        </is>
      </c>
      <c r="B11" s="6" t="n">
        <v>368</v>
      </c>
      <c r="C11" s="6" t="n">
        <v>280</v>
      </c>
      <c r="D11" s="6" t="n">
        <v>283</v>
      </c>
      <c r="E11" s="6" t="n">
        <v>270</v>
      </c>
      <c r="F11" s="6" t="n">
        <v>305</v>
      </c>
      <c r="G11" s="6" t="n">
        <v>321</v>
      </c>
      <c r="H11" s="6" t="n">
        <v>310</v>
      </c>
      <c r="I11" s="6" t="n"/>
    </row>
    <row r="12">
      <c r="A12" s="6" t="inlineStr">
        <is>
          <t>Depreciation of right-of-use assets</t>
        </is>
      </c>
      <c r="B12" s="6" t="n">
        <v>262</v>
      </c>
      <c r="C12" s="6" t="n">
        <v>266</v>
      </c>
      <c r="D12" s="6" t="n">
        <v>250</v>
      </c>
      <c r="E12" s="6" t="n">
        <v>269</v>
      </c>
      <c r="F12" s="6" t="n">
        <v>276</v>
      </c>
      <c r="G12" s="6" t="n">
        <v>282</v>
      </c>
      <c r="H12" s="6" t="n">
        <v>286</v>
      </c>
      <c r="I12" s="6" t="n"/>
    </row>
    <row r="13">
      <c r="A13" s="6" t="inlineStr">
        <is>
          <t>Amortisation of intangible assets</t>
        </is>
      </c>
      <c r="B13" s="6" t="n">
        <v>15</v>
      </c>
      <c r="C13" s="6" t="n">
        <v>6</v>
      </c>
      <c r="D13" s="6" t="n">
        <v>16</v>
      </c>
      <c r="E13" s="6" t="n">
        <v>38</v>
      </c>
      <c r="F13" s="6" t="n">
        <v>50</v>
      </c>
      <c r="G13" s="6" t="n">
        <v>91</v>
      </c>
      <c r="H13" s="6" t="n">
        <v>85</v>
      </c>
      <c r="I13" s="6" t="n"/>
    </row>
    <row r="14">
      <c r="A14" s="6" t="inlineStr">
        <is>
          <t>Depreciation and amortisation (combined, as reported - pre-IFRS 16, FY2018 only)</t>
        </is>
      </c>
      <c r="B14" s="6" t="n"/>
      <c r="C14" s="6" t="n"/>
      <c r="D14" s="6" t="n"/>
      <c r="E14" s="6" t="n"/>
      <c r="F14" s="6" t="n"/>
      <c r="G14" s="6" t="n"/>
      <c r="H14" s="6" t="n"/>
      <c r="I14" s="6" t="n">
        <v>272</v>
      </c>
    </row>
    <row r="15">
      <c r="A15" s="6" t="inlineStr">
        <is>
          <t>Loss on disposal of property, plant and equipment</t>
        </is>
      </c>
      <c r="B15" s="6" t="n"/>
      <c r="C15" s="6" t="n">
        <v>0</v>
      </c>
      <c r="D15" s="6" t="n">
        <v>3</v>
      </c>
      <c r="E15" s="6" t="n"/>
      <c r="F15" s="6" t="n">
        <v>12</v>
      </c>
      <c r="G15" s="6" t="n">
        <v>47</v>
      </c>
      <c r="H15" s="6" t="n">
        <v>105</v>
      </c>
      <c r="I15" s="6" t="n">
        <v>56</v>
      </c>
    </row>
    <row r="16">
      <c r="A16" s="6" t="inlineStr">
        <is>
          <t>Increase/(decrease) in provisions</t>
        </is>
      </c>
      <c r="B16" s="6" t="n">
        <v>1642</v>
      </c>
      <c r="C16" s="6" t="n">
        <v>1441</v>
      </c>
      <c r="D16" s="6" t="n">
        <v>567</v>
      </c>
      <c r="E16" s="6" t="n">
        <v>320</v>
      </c>
      <c r="F16" s="6" t="n">
        <v>88</v>
      </c>
      <c r="G16" s="6" t="n">
        <v>-17</v>
      </c>
      <c r="H16" s="6" t="n">
        <v>142</v>
      </c>
      <c r="I16" s="6" t="n">
        <v>124</v>
      </c>
    </row>
    <row r="17">
      <c r="A17" s="6" t="inlineStr">
        <is>
          <t>Fair value loss on derivatives</t>
        </is>
      </c>
      <c r="B17" s="6" t="n">
        <v>1106</v>
      </c>
      <c r="C17" s="6" t="n">
        <v>153</v>
      </c>
      <c r="D17" s="6" t="n"/>
      <c r="E17" s="6" t="n"/>
      <c r="F17" s="6" t="n"/>
      <c r="G17" s="6" t="n"/>
      <c r="H17" s="6" t="n"/>
      <c r="I17" s="6" t="n"/>
    </row>
    <row r="18">
      <c r="A18" s="6" t="inlineStr">
        <is>
          <t>Share-based payment expense</t>
        </is>
      </c>
      <c r="B18" s="6" t="n">
        <v>853</v>
      </c>
      <c r="C18" s="6" t="n">
        <v>174</v>
      </c>
      <c r="D18" s="6" t="n"/>
      <c r="E18" s="6" t="n"/>
      <c r="F18" s="6" t="n"/>
      <c r="G18" s="6" t="n"/>
      <c r="H18" s="6" t="n"/>
      <c r="I18" s="6" t="n"/>
    </row>
    <row r="19">
      <c r="A19" s="6" t="inlineStr">
        <is>
          <t>Pension administration expense</t>
        </is>
      </c>
      <c r="B19" s="6" t="n">
        <v>289</v>
      </c>
      <c r="C19" s="6" t="n">
        <v>172</v>
      </c>
      <c r="D19" s="6" t="n"/>
      <c r="E19" s="6" t="n"/>
      <c r="F19" s="6" t="n"/>
      <c r="G19" s="6" t="n"/>
      <c r="H19" s="6" t="n"/>
      <c r="I19" s="6" t="n"/>
    </row>
    <row r="20">
      <c r="A20" s="6" t="inlineStr">
        <is>
          <t>Other non-cash movements</t>
        </is>
      </c>
      <c r="B20" s="6" t="n"/>
      <c r="C20" s="6" t="n"/>
      <c r="D20" s="6" t="n"/>
      <c r="E20" s="6" t="n"/>
      <c r="F20" s="6" t="n">
        <v>244</v>
      </c>
      <c r="G20" s="6" t="n">
        <v>49</v>
      </c>
      <c r="H20" s="6" t="n"/>
      <c r="I20" s="6" t="n"/>
    </row>
    <row r="21">
      <c r="A21" s="6" t="inlineStr">
        <is>
          <t>(Increase)/decrease in prepayments and accrued income</t>
        </is>
      </c>
      <c r="B21" s="6" t="n">
        <v>-955</v>
      </c>
      <c r="C21" s="6" t="n">
        <v>87</v>
      </c>
      <c r="D21" s="6" t="n">
        <v>-386</v>
      </c>
      <c r="E21" s="6" t="n">
        <v>-59</v>
      </c>
      <c r="F21" s="6" t="n">
        <v>-424</v>
      </c>
      <c r="G21" s="6" t="n">
        <v>121</v>
      </c>
      <c r="H21" s="6" t="n">
        <v>177</v>
      </c>
      <c r="I21" s="6" t="n">
        <v>-206</v>
      </c>
    </row>
    <row r="22">
      <c r="A22" s="6" t="inlineStr">
        <is>
          <t>(Increase)/decrease in other operating assets</t>
        </is>
      </c>
      <c r="B22" s="6" t="n">
        <v>-759</v>
      </c>
      <c r="C22" s="6" t="n">
        <v>69</v>
      </c>
      <c r="D22" s="6" t="n">
        <v>155</v>
      </c>
      <c r="E22" s="6" t="n">
        <v>-151</v>
      </c>
      <c r="F22" s="6" t="n">
        <v>28</v>
      </c>
      <c r="G22" s="6" t="n">
        <v>18</v>
      </c>
      <c r="H22" s="6" t="n">
        <v>126</v>
      </c>
      <c r="I22" s="6" t="n"/>
    </row>
    <row r="23">
      <c r="A23" s="6" t="inlineStr">
        <is>
          <t>(Increase) in derivatives</t>
        </is>
      </c>
      <c r="B23" s="6" t="n">
        <v>-770</v>
      </c>
      <c r="C23" s="6" t="n"/>
      <c r="D23" s="6" t="n"/>
      <c r="E23" s="6" t="n"/>
      <c r="F23" s="6" t="n"/>
      <c r="G23" s="6" t="n"/>
      <c r="H23" s="6" t="n"/>
      <c r="I23" s="6" t="n"/>
    </row>
    <row r="24">
      <c r="A24" s="6" t="inlineStr">
        <is>
          <t>Increase in loans and advances to customers</t>
        </is>
      </c>
      <c r="B24" s="6" t="n">
        <v>-120381</v>
      </c>
      <c r="C24" s="6" t="n">
        <v>-1187</v>
      </c>
      <c r="D24" s="6" t="n">
        <v>-180618</v>
      </c>
      <c r="E24" s="6" t="n">
        <v>-115530</v>
      </c>
      <c r="F24" s="6" t="n">
        <v>-122183</v>
      </c>
      <c r="G24" s="6" t="n">
        <v>-126044</v>
      </c>
      <c r="H24" s="6" t="n">
        <v>-115356</v>
      </c>
      <c r="I24" s="6" t="n">
        <v>-83356</v>
      </c>
    </row>
    <row r="25">
      <c r="A25" s="6" t="inlineStr">
        <is>
          <t>(Increase)/decrease in Bank of England mandatory reserve</t>
        </is>
      </c>
      <c r="B25" s="6" t="n"/>
      <c r="C25" s="6" t="n">
        <v>3448</v>
      </c>
      <c r="D25" s="6" t="n">
        <v>310</v>
      </c>
      <c r="E25" s="6" t="n">
        <v>-355</v>
      </c>
      <c r="F25" s="6" t="n">
        <v>-1294</v>
      </c>
      <c r="G25" s="6" t="n">
        <v>-1207</v>
      </c>
      <c r="H25" s="6" t="n">
        <v>-192</v>
      </c>
      <c r="I25" s="6" t="n">
        <v>-381</v>
      </c>
    </row>
    <row r="26">
      <c r="A26" s="6" t="inlineStr">
        <is>
          <t>Increase/(decrease) in accruals and deferred income</t>
        </is>
      </c>
      <c r="B26" s="6" t="n">
        <v>1007</v>
      </c>
      <c r="C26" s="6" t="n">
        <v>984</v>
      </c>
      <c r="D26" s="6" t="n">
        <v>337</v>
      </c>
      <c r="E26" s="6" t="n">
        <v>382</v>
      </c>
      <c r="F26" s="6" t="n">
        <v>28</v>
      </c>
      <c r="G26" s="6" t="n">
        <v>-498</v>
      </c>
      <c r="H26" s="6" t="n">
        <v>54</v>
      </c>
      <c r="I26" s="6" t="n">
        <v>466</v>
      </c>
    </row>
    <row r="27">
      <c r="A27" s="6" t="inlineStr">
        <is>
          <t>Increase in customer deposits</t>
        </is>
      </c>
      <c r="B27" s="6" t="n">
        <v>144076</v>
      </c>
      <c r="C27" s="6" t="n">
        <v>157895</v>
      </c>
      <c r="D27" s="6" t="n">
        <v>20652</v>
      </c>
      <c r="E27" s="6" t="n">
        <v>31430</v>
      </c>
      <c r="F27" s="6" t="n">
        <v>171502</v>
      </c>
      <c r="G27" s="6" t="n">
        <v>305290</v>
      </c>
      <c r="H27" s="6" t="n">
        <v>32305</v>
      </c>
      <c r="I27" s="6" t="n">
        <v>48197</v>
      </c>
    </row>
    <row r="28">
      <c r="A28" s="6" t="inlineStr">
        <is>
          <t>Increase/(decrease) in other operating liabilities</t>
        </is>
      </c>
      <c r="B28" s="6" t="n">
        <v>-251</v>
      </c>
      <c r="C28" s="6" t="n">
        <v>-361</v>
      </c>
      <c r="D28" s="6" t="n">
        <v>527</v>
      </c>
      <c r="E28" s="6" t="n">
        <v>-101</v>
      </c>
      <c r="F28" s="6" t="n">
        <v>655</v>
      </c>
      <c r="G28" s="6" t="n">
        <v>-254</v>
      </c>
      <c r="H28" s="6" t="n">
        <v>-106</v>
      </c>
      <c r="I28" s="6" t="n"/>
    </row>
    <row r="29">
      <c r="A29" s="6" t="inlineStr">
        <is>
          <t>Net movement in other operating assets and liabilities (combined, as reported, FY2018 only)</t>
        </is>
      </c>
      <c r="B29" s="6" t="n"/>
      <c r="C29" s="6" t="n"/>
      <c r="D29" s="6" t="n"/>
      <c r="E29" s="6" t="n"/>
      <c r="F29" s="6" t="n"/>
      <c r="G29" s="6" t="n"/>
      <c r="H29" s="6" t="n"/>
      <c r="I29" s="6" t="n">
        <v>-621</v>
      </c>
    </row>
    <row r="30">
      <c r="A30" s="6" t="inlineStr">
        <is>
          <t>Income tax paid</t>
        </is>
      </c>
      <c r="B30" s="6" t="n">
        <v>-25649</v>
      </c>
      <c r="C30" s="6" t="n">
        <v>-14668</v>
      </c>
      <c r="D30" s="6" t="n">
        <v>-8698</v>
      </c>
      <c r="E30" s="6" t="n">
        <v>-3180</v>
      </c>
      <c r="F30" s="6" t="n">
        <v>-1328</v>
      </c>
      <c r="G30" s="6" t="n">
        <v>-929</v>
      </c>
      <c r="H30" s="6" t="n">
        <v>-1422</v>
      </c>
      <c r="I30" s="6" t="n">
        <v>0</v>
      </c>
    </row>
    <row r="31">
      <c r="A31" s="5" t="inlineStr">
        <is>
          <t>Net cash generated from/(used in) operating activities</t>
        </is>
      </c>
      <c r="B31" s="5" t="n">
        <v>30097</v>
      </c>
      <c r="C31" s="5" t="n">
        <v>204830</v>
      </c>
      <c r="D31" s="5" t="n">
        <v>-107535</v>
      </c>
      <c r="E31" s="5" t="n">
        <v>-60460</v>
      </c>
      <c r="F31" s="5" t="n">
        <v>59722</v>
      </c>
      <c r="G31" s="5" t="n">
        <v>186733</v>
      </c>
      <c r="H31" s="5" t="n">
        <v>-74036</v>
      </c>
      <c r="I31" s="5" t="n">
        <v>-28746</v>
      </c>
    </row>
    <row r="32">
      <c r="A32" s="5" t="inlineStr">
        <is>
          <t>Investing activities</t>
        </is>
      </c>
      <c r="B32" s="6" t="n"/>
      <c r="C32" s="6" t="n"/>
      <c r="D32" s="6" t="n"/>
      <c r="E32" s="6" t="n"/>
      <c r="F32" s="6" t="n"/>
      <c r="G32" s="6" t="n"/>
      <c r="H32" s="6" t="n"/>
      <c r="I32" s="6" t="n"/>
    </row>
    <row r="33">
      <c r="A33" s="6" t="inlineStr">
        <is>
          <t>Purchase of property, plant and equipment</t>
        </is>
      </c>
      <c r="B33" s="6" t="n">
        <v>-852</v>
      </c>
      <c r="C33" s="6" t="n">
        <v>-565</v>
      </c>
      <c r="D33" s="6" t="n">
        <v>-218</v>
      </c>
      <c r="E33" s="6" t="n">
        <v>-163</v>
      </c>
      <c r="F33" s="6" t="n">
        <v>-390</v>
      </c>
      <c r="G33" s="6" t="n">
        <v>-132</v>
      </c>
      <c r="H33" s="6" t="n">
        <v>-124</v>
      </c>
      <c r="I33" s="6" t="n">
        <v>-1153</v>
      </c>
    </row>
    <row r="34">
      <c r="A34" s="6" t="inlineStr">
        <is>
          <t>Intangible asset additions</t>
        </is>
      </c>
      <c r="B34" s="6" t="n">
        <v>-461</v>
      </c>
      <c r="C34" s="6" t="n"/>
      <c r="D34" s="6" t="n"/>
      <c r="E34" s="6" t="n"/>
      <c r="F34" s="6" t="n">
        <v>0</v>
      </c>
      <c r="G34" s="6" t="n">
        <v>-85</v>
      </c>
      <c r="H34" s="6" t="n">
        <v>0</v>
      </c>
      <c r="I34" s="6" t="n">
        <v>-162</v>
      </c>
    </row>
    <row r="35">
      <c r="A35" s="6" t="inlineStr">
        <is>
          <t>Interest received from investment securities</t>
        </is>
      </c>
      <c r="B35" s="6" t="n">
        <v>23945</v>
      </c>
      <c r="C35" s="6" t="n"/>
      <c r="D35" s="6" t="n"/>
      <c r="E35" s="6" t="n"/>
      <c r="F35" s="6" t="n"/>
      <c r="G35" s="6" t="n"/>
      <c r="H35" s="6" t="n"/>
      <c r="I35" s="6" t="n"/>
    </row>
    <row r="36">
      <c r="A36" s="6" t="inlineStr">
        <is>
          <t>Purchase of investment securities</t>
        </is>
      </c>
      <c r="B36" s="6" t="n">
        <v>-576821</v>
      </c>
      <c r="C36" s="6" t="n">
        <v>-159028</v>
      </c>
      <c r="D36" s="6" t="n">
        <v>-96260</v>
      </c>
      <c r="E36" s="6" t="n">
        <v>-261001</v>
      </c>
      <c r="F36" s="6" t="n">
        <v>-30302</v>
      </c>
      <c r="G36" s="6" t="n">
        <v>-42347</v>
      </c>
      <c r="H36" s="6" t="n">
        <v>-60317</v>
      </c>
      <c r="I36" s="6" t="n">
        <v>-174045</v>
      </c>
    </row>
    <row r="37">
      <c r="A37" s="6" t="inlineStr">
        <is>
          <t>Proceeds from sale and redemption of investment securities</t>
        </is>
      </c>
      <c r="B37" s="6" t="n">
        <v>73615</v>
      </c>
      <c r="C37" s="6" t="n">
        <v>106314</v>
      </c>
      <c r="D37" s="6" t="n">
        <v>116948</v>
      </c>
      <c r="E37" s="6" t="n">
        <v>209523</v>
      </c>
      <c r="F37" s="6" t="n">
        <v>73666</v>
      </c>
      <c r="G37" s="6" t="n">
        <v>122900</v>
      </c>
      <c r="H37" s="6" t="n">
        <v>155503</v>
      </c>
      <c r="I37" s="6" t="n">
        <v>120951</v>
      </c>
    </row>
    <row r="38">
      <c r="A38" s="5" t="inlineStr">
        <is>
          <t>Net cash generated from/(used in) investing activities</t>
        </is>
      </c>
      <c r="B38" s="5" t="n">
        <v>-480574</v>
      </c>
      <c r="C38" s="5" t="n">
        <v>-53279</v>
      </c>
      <c r="D38" s="5" t="n">
        <v>20470</v>
      </c>
      <c r="E38" s="5" t="n">
        <v>-51641</v>
      </c>
      <c r="F38" s="5" t="n">
        <v>42974</v>
      </c>
      <c r="G38" s="5" t="n">
        <v>80336</v>
      </c>
      <c r="H38" s="5" t="n">
        <v>95062</v>
      </c>
      <c r="I38" s="5" t="n">
        <v>-54409</v>
      </c>
    </row>
    <row r="39">
      <c r="A39" s="5" t="inlineStr">
        <is>
          <t>Financing activities</t>
        </is>
      </c>
      <c r="B39" s="6" t="n"/>
      <c r="C39" s="6" t="n"/>
      <c r="D39" s="6" t="n"/>
      <c r="E39" s="6" t="n"/>
      <c r="F39" s="6" t="n"/>
      <c r="G39" s="6" t="n"/>
      <c r="H39" s="6" t="n"/>
      <c r="I39" s="6" t="n"/>
    </row>
    <row r="40">
      <c r="A40" s="6" t="inlineStr">
        <is>
          <t>Dividends paid</t>
        </is>
      </c>
      <c r="B40" s="6" t="n">
        <v>-2979</v>
      </c>
      <c r="C40" s="6" t="n">
        <v>-1734</v>
      </c>
      <c r="D40" s="6" t="n">
        <v>-1361</v>
      </c>
      <c r="E40" s="6" t="n">
        <v>-949</v>
      </c>
      <c r="F40" s="6" t="n">
        <v>-741</v>
      </c>
      <c r="G40" s="6" t="n">
        <v>-673</v>
      </c>
      <c r="H40" s="6" t="n">
        <v>-953</v>
      </c>
      <c r="I40" s="6" t="n">
        <v>-538</v>
      </c>
    </row>
    <row r="41">
      <c r="A41" s="6" t="inlineStr">
        <is>
          <t>Repayment of lease liabilities</t>
        </is>
      </c>
      <c r="B41" s="6" t="n">
        <v>-474</v>
      </c>
      <c r="C41" s="6" t="n">
        <v>-285</v>
      </c>
      <c r="D41" s="6" t="n">
        <v>-468</v>
      </c>
      <c r="E41" s="6" t="n">
        <v>-380</v>
      </c>
      <c r="F41" s="6" t="n">
        <v>-186</v>
      </c>
      <c r="G41" s="6" t="n">
        <v>-405</v>
      </c>
      <c r="H41" s="6" t="n">
        <v>-38</v>
      </c>
      <c r="I41" s="6" t="n"/>
    </row>
    <row r="42">
      <c r="A42" s="6" t="inlineStr">
        <is>
          <t>Proceeds on issue of share capital, net of transaction costs</t>
        </is>
      </c>
      <c r="B42" s="6" t="n">
        <v>86</v>
      </c>
      <c r="C42" s="6" t="n">
        <v>91</v>
      </c>
      <c r="D42" s="6" t="n">
        <v>0</v>
      </c>
      <c r="E42" s="6" t="n">
        <v>50</v>
      </c>
      <c r="F42" s="6" t="n">
        <v>8520</v>
      </c>
      <c r="G42" s="6" t="n"/>
      <c r="H42" s="6" t="n"/>
      <c r="I42" s="6" t="n">
        <v>10984</v>
      </c>
    </row>
    <row r="43">
      <c r="A43" s="6" t="inlineStr">
        <is>
          <t>Buy back of own shares (FY2018 only - see Statement of Changes in Equity)</t>
        </is>
      </c>
      <c r="B43" s="6" t="n"/>
      <c r="C43" s="6" t="n"/>
      <c r="D43" s="6" t="n"/>
      <c r="E43" s="6" t="n"/>
      <c r="F43" s="6" t="n"/>
      <c r="G43" s="6" t="n"/>
      <c r="H43" s="6" t="n"/>
      <c r="I43" s="6" t="n">
        <v>-2534</v>
      </c>
    </row>
    <row r="44">
      <c r="A44" s="6" t="inlineStr">
        <is>
          <t>Drawdown on central bank facilities</t>
        </is>
      </c>
      <c r="B44" s="6" t="n">
        <v>50000</v>
      </c>
      <c r="C44" s="6" t="n"/>
      <c r="D44" s="6" t="n"/>
      <c r="E44" s="6" t="n"/>
      <c r="F44" s="6" t="n"/>
      <c r="G44" s="6" t="n"/>
      <c r="H44" s="6" t="n"/>
      <c r="I44" s="6" t="n"/>
    </row>
    <row r="45">
      <c r="A45" s="5" t="inlineStr">
        <is>
          <t>Net cash generated from/(used in) financing activities</t>
        </is>
      </c>
      <c r="B45" s="5" t="n">
        <v>46633</v>
      </c>
      <c r="C45" s="5" t="n">
        <v>-1928</v>
      </c>
      <c r="D45" s="5" t="n">
        <v>-1829</v>
      </c>
      <c r="E45" s="5" t="n">
        <v>-1279</v>
      </c>
      <c r="F45" s="5" t="n">
        <v>7593</v>
      </c>
      <c r="G45" s="5" t="n">
        <v>-1078</v>
      </c>
      <c r="H45" s="5" t="n">
        <v>-991</v>
      </c>
      <c r="I45" s="5" t="n">
        <v>7912</v>
      </c>
    </row>
    <row r="46">
      <c r="A46" s="5" t="inlineStr">
        <is>
          <t>Net (decrease)/increase in cash and cash equivalents</t>
        </is>
      </c>
      <c r="B46" s="5" t="n">
        <v>-403844</v>
      </c>
      <c r="C46" s="5" t="n">
        <v>149623</v>
      </c>
      <c r="D46" s="5" t="n">
        <v>-88894</v>
      </c>
      <c r="E46" s="5" t="n">
        <v>-113380</v>
      </c>
      <c r="F46" s="5" t="n">
        <v>110289</v>
      </c>
      <c r="G46" s="5" t="n">
        <v>265991</v>
      </c>
      <c r="H46" s="5" t="n">
        <v>20035</v>
      </c>
      <c r="I46" s="5" t="n">
        <v>-75243</v>
      </c>
    </row>
    <row r="47">
      <c r="A47" s="6" t="inlineStr">
        <is>
          <t>Cash and cash equivalents at beginning of year</t>
        </is>
      </c>
      <c r="B47" s="6" t="n">
        <v>624587</v>
      </c>
      <c r="C47" s="6" t="n">
        <v>474964</v>
      </c>
      <c r="D47" s="6" t="n">
        <v>563858</v>
      </c>
      <c r="E47" s="6" t="n">
        <v>677238</v>
      </c>
      <c r="F47" s="6" t="n">
        <v>566949</v>
      </c>
      <c r="G47" s="6" t="n">
        <v>300958</v>
      </c>
      <c r="H47" s="6" t="n">
        <v>280923</v>
      </c>
      <c r="I47" s="6" t="n">
        <v>356166</v>
      </c>
    </row>
    <row r="48">
      <c r="A48" s="5" t="inlineStr">
        <is>
          <t>Cash and cash equivalents at end of year</t>
        </is>
      </c>
      <c r="B48" s="5" t="n">
        <v>220743</v>
      </c>
      <c r="C48" s="5" t="n">
        <v>624587</v>
      </c>
      <c r="D48" s="5" t="n">
        <v>474964</v>
      </c>
      <c r="E48" s="5" t="n">
        <v>563858</v>
      </c>
      <c r="F48" s="5" t="n">
        <v>677238</v>
      </c>
      <c r="G48" s="5" t="n">
        <v>566949</v>
      </c>
      <c r="H48" s="5" t="n">
        <v>300958</v>
      </c>
      <c r="I48" s="5" t="n">
        <v>280923</v>
      </c>
    </row>
    <row r="50" ht="260" customHeight="1">
      <c r="A50" s="8" t="inlineStr">
        <is>
          <t>Sources - all figures are Unity Trust Bank Plc's own Statement of Cash Flows, £'000:
FY2025: Report &amp; Accounts 2025, p.51 (Statement of Cash Flows) - https://assets.unity.co.uk/Unity-Trust-Bank-Annual-Report-and-Accounts-2025.pdf
FY2024: Report &amp; Accounts 2024, p.39 (Statement of Cash Flows) - https://assets.unity.co.uk/Unity-Trust-Bank-Annual-Report-and-Accounts-2024.pdf
FY2023: Report &amp; Accounts 2023, p.41-42 (Statement of Cash Flows) - https://assets.unity.co.uk/U798_0324_Unity_Trust_Bank_Annual-Report-and-Accounts_2023.pdf
FY2022: Report &amp; Accounts 2023, p.41-42 (Statement of Cash Flows, 2022 comparative column) - https://assets.unity.co.uk/U798_0324_Unity_Trust_Bank_Annual-Report-and-Accounts_2023.pdf
FY2021: Report &amp; Accounts 2021, p.35-36 (Statement of Cash Flows) - https://assets.unity.co.uk/2022/08/Unity-Trust-Bank_Report-and-Accounts-2021.pdf
FY2020: Report &amp; Accounts 2020 (Companies House filing, 13 Apr 2021), p.27 (Statement of Cash Flows) - https://find-and-update.company-information.service.gov.uk/company/01713124/filing-history/MzI5NzIyNTE1N2FkaXF6a2N4/document?format=pdf&amp;download=0
FY2019: Report &amp; Accounts 2019 (Companies House filing, 25 Jun 2020), p.23 (Statement of Cash Flows) - https://find-and-update.company-information.service.gov.uk/company/01713124/filing-history/MzI2NzM2MDE4NWFkaXF6a2N4/document?format=pdf&amp;download=0
FY2018: Report &amp; Accounts 2018 (Companies House filing, 11 Apr 2019), p.21 (Statement of Cash Flows) - https://find-and-update.company-information.service.gov.uk/company/01713124/filing-history/MzIzMTYwOTI0NmFkaXF6a2N4/document?format=pdf&amp;download=0
Each year's own report was used for its own column (FY2022 taken from the FY2023 report's comparative, since no standalone FY2022 annual report was separately sourced); every year's own figure was cross-checked against its appearance as the following year's comparative column and matched exactly in every case - no material arithmetic errors found, no presentation-basis restatements across the 8 years (FY2025's single 'Finance costs' line was split into lease/central-bank components that year only, kept on separate rows). FY2022's operating-activities line items sum to £1k more than the operating total as printed (immaterial rounding, not corrected). FY2018's closing cash of £280,923k ties exactly to FY2019's opening cash; FY2019's closing £300,958k ties exactly to FY2020's opening cash; FY2020's closing £566,949k ties exactly to FY2021's opening cash - continuous across the pre-2021 extension with no basis break. FY2018 predates IFRS 16 (no lease liability repayment line, no separate depreciation-of-right-of-use-assets line - a single combined 'Depreciation and amortisation' line is used instead, see below) and its cash flow statement also shows a one-off 'Buy back of own shares' financing outflow (£2,534k, from the share buyback/cancellation described in the Statement of Changes in Equity) not seen in any other year.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1">
    <mergeCell ref="A50:I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Asset Quality</t>
        </is>
      </c>
    </row>
    <row r="2">
      <c r="A2" s="2" t="inlineStr">
        <is>
          <t>Extended entity basis (Bank + Unity EBT Limited), £'000 - loans and advances to customers (incl. pipeline commitments) and investment securities by IFRS 9 stage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Gross carrying amount by IFRS 9 stage</t>
        </is>
      </c>
      <c r="B4" s="6" t="n"/>
      <c r="C4" s="6" t="n"/>
      <c r="D4" s="6" t="n"/>
      <c r="E4" s="6" t="n"/>
      <c r="F4" s="6" t="n"/>
      <c r="G4" s="6" t="n"/>
      <c r="H4" s="6" t="n"/>
      <c r="I4" s="6" t="n"/>
    </row>
    <row r="5">
      <c r="A5" s="6" t="inlineStr">
        <is>
          <t>Stage 1 (12 month ECL)</t>
        </is>
      </c>
      <c r="B5" s="6" t="n">
        <v>1155109</v>
      </c>
      <c r="C5" s="6" t="n">
        <v>1321056</v>
      </c>
      <c r="D5" s="6" t="n">
        <v>1244119</v>
      </c>
      <c r="E5" s="6" t="n">
        <v>1093651</v>
      </c>
      <c r="F5" s="6" t="n">
        <v>958279</v>
      </c>
      <c r="G5" s="6" t="n">
        <v>880475</v>
      </c>
      <c r="H5" s="6" t="n">
        <v>853511</v>
      </c>
      <c r="I5" s="6" t="n">
        <v>834757</v>
      </c>
    </row>
    <row r="6">
      <c r="A6" s="6" t="inlineStr">
        <is>
          <t>Stage 2 (Lifetime ECL - SICR)</t>
        </is>
      </c>
      <c r="B6" s="6" t="n">
        <v>38911</v>
      </c>
      <c r="C6" s="6" t="n">
        <v>42399</v>
      </c>
      <c r="D6" s="6" t="n">
        <v>43080</v>
      </c>
      <c r="E6" s="6" t="n">
        <v>39504</v>
      </c>
      <c r="F6" s="6" t="n">
        <v>17591</v>
      </c>
      <c r="G6" s="6" t="n">
        <v>20347</v>
      </c>
      <c r="H6" s="6" t="n">
        <v>12423</v>
      </c>
      <c r="I6" s="6" t="n">
        <v>6896</v>
      </c>
    </row>
    <row r="7">
      <c r="A7" s="6" t="inlineStr">
        <is>
          <t>Stage 3 (Lifetime ECL - credit impaired)</t>
        </is>
      </c>
      <c r="B7" s="6" t="n">
        <v>29356</v>
      </c>
      <c r="C7" s="6" t="n">
        <v>29358</v>
      </c>
      <c r="D7" s="6" t="n">
        <v>24903</v>
      </c>
      <c r="E7" s="6" t="n">
        <v>6314</v>
      </c>
      <c r="F7" s="6" t="n">
        <v>5374</v>
      </c>
      <c r="G7" s="6" t="n">
        <v>3820</v>
      </c>
      <c r="H7" s="6" t="n">
        <v>2172</v>
      </c>
      <c r="I7" s="6" t="n">
        <v>1947</v>
      </c>
    </row>
    <row r="8">
      <c r="A8" s="5" t="inlineStr">
        <is>
          <t>Total gross carrying amount</t>
        </is>
      </c>
      <c r="B8" s="5" t="n">
        <v>1223376</v>
      </c>
      <c r="C8" s="5" t="n">
        <v>1392813</v>
      </c>
      <c r="D8" s="5" t="n">
        <v>1312102</v>
      </c>
      <c r="E8" s="5" t="n">
        <v>1139469</v>
      </c>
      <c r="F8" s="5" t="n">
        <v>981244</v>
      </c>
      <c r="G8" s="5" t="n">
        <v>904642</v>
      </c>
      <c r="H8" s="5" t="n">
        <v>868106</v>
      </c>
      <c r="I8" s="5" t="n">
        <v>843600</v>
      </c>
    </row>
    <row r="9">
      <c r="A9" s="5" t="inlineStr">
        <is>
          <t>Impairment provision by IFRS 9 stage</t>
        </is>
      </c>
      <c r="B9" s="6" t="n"/>
      <c r="C9" s="6" t="n"/>
      <c r="D9" s="6" t="n"/>
      <c r="E9" s="6" t="n"/>
      <c r="F9" s="6" t="n"/>
      <c r="G9" s="6" t="n"/>
      <c r="H9" s="6" t="n"/>
      <c r="I9" s="6" t="n"/>
    </row>
    <row r="10">
      <c r="A10" s="6" t="inlineStr">
        <is>
          <t>Stage 1 provision</t>
        </is>
      </c>
      <c r="B10" s="6" t="n">
        <v>2856</v>
      </c>
      <c r="C10" s="6" t="n">
        <v>2708</v>
      </c>
      <c r="D10" s="6" t="n">
        <v>4145</v>
      </c>
      <c r="E10" s="6" t="n">
        <v>2848</v>
      </c>
      <c r="F10" s="6" t="n">
        <v>556</v>
      </c>
      <c r="G10" s="6" t="n">
        <v>347</v>
      </c>
      <c r="H10" s="6" t="n">
        <v>587</v>
      </c>
      <c r="I10" s="6" t="n">
        <v>389</v>
      </c>
    </row>
    <row r="11">
      <c r="A11" s="6" t="inlineStr">
        <is>
          <t>Stage 2 provision</t>
        </is>
      </c>
      <c r="B11" s="6" t="n">
        <v>1592</v>
      </c>
      <c r="C11" s="6" t="n">
        <v>1457</v>
      </c>
      <c r="D11" s="6" t="n">
        <v>2313</v>
      </c>
      <c r="E11" s="6" t="n">
        <v>1394</v>
      </c>
      <c r="F11" s="6" t="n">
        <v>966</v>
      </c>
      <c r="G11" s="6" t="n">
        <v>949</v>
      </c>
      <c r="H11" s="6" t="n">
        <v>200</v>
      </c>
      <c r="I11" s="6" t="n">
        <v>80</v>
      </c>
    </row>
    <row r="12">
      <c r="A12" s="6" t="inlineStr">
        <is>
          <t>Stage 3 provision</t>
        </is>
      </c>
      <c r="B12" s="6" t="n">
        <v>6905</v>
      </c>
      <c r="C12" s="6" t="n">
        <v>5599</v>
      </c>
      <c r="D12" s="6" t="n">
        <v>3233</v>
      </c>
      <c r="E12" s="6" t="n">
        <v>1891</v>
      </c>
      <c r="F12" s="6" t="n">
        <v>2134</v>
      </c>
      <c r="G12" s="6" t="n">
        <v>2121</v>
      </c>
      <c r="H12" s="6" t="n">
        <v>854</v>
      </c>
      <c r="I12" s="6" t="n">
        <v>1110</v>
      </c>
    </row>
    <row r="13">
      <c r="A13" s="5" t="inlineStr">
        <is>
          <t>Total impairment provision</t>
        </is>
      </c>
      <c r="B13" s="5" t="n">
        <v>11353</v>
      </c>
      <c r="C13" s="5" t="n">
        <v>9764</v>
      </c>
      <c r="D13" s="5" t="n">
        <v>9691</v>
      </c>
      <c r="E13" s="5" t="n">
        <v>6133</v>
      </c>
      <c r="F13" s="5" t="n">
        <v>3656</v>
      </c>
      <c r="G13" s="5" t="n">
        <v>3417</v>
      </c>
      <c r="H13" s="5" t="n">
        <v>1641</v>
      </c>
      <c r="I13" s="5" t="n">
        <v>1579</v>
      </c>
    </row>
    <row r="14">
      <c r="A14" s="5" t="inlineStr">
        <is>
          <t>Net carrying amount (Total gross - Total provision)</t>
        </is>
      </c>
      <c r="B14" s="5" t="n">
        <v>1212023</v>
      </c>
      <c r="C14" s="5" t="n">
        <v>1383049</v>
      </c>
      <c r="D14" s="5" t="n">
        <v>1302411</v>
      </c>
      <c r="E14" s="5" t="n">
        <v>1133336</v>
      </c>
      <c r="F14" s="5" t="n">
        <v>977588</v>
      </c>
      <c r="G14" s="5" t="n">
        <v>901225</v>
      </c>
      <c r="H14" s="5" t="n">
        <v>866465</v>
      </c>
      <c r="I14" s="5" t="n">
        <v>842021</v>
      </c>
    </row>
    <row r="15">
      <c r="A15" s="5" t="inlineStr">
        <is>
          <t>Derived asset quality ratios</t>
        </is>
      </c>
      <c r="B15" s="6" t="n"/>
      <c r="C15" s="6" t="n"/>
      <c r="D15" s="6" t="n"/>
      <c r="E15" s="6" t="n"/>
      <c r="F15" s="6" t="n"/>
      <c r="G15" s="6" t="n"/>
      <c r="H15" s="6" t="n"/>
      <c r="I15" s="6" t="n"/>
    </row>
    <row r="16">
      <c r="A16" s="6" t="inlineStr">
        <is>
          <t>NPL ratio (Stage 3 gross / Total gross)</t>
        </is>
      </c>
      <c r="B16" s="6" t="inlineStr">
        <is>
          <t>2.40%</t>
        </is>
      </c>
      <c r="C16" s="6" t="inlineStr">
        <is>
          <t>2.11%</t>
        </is>
      </c>
      <c r="D16" s="6" t="inlineStr">
        <is>
          <t>1.90%</t>
        </is>
      </c>
      <c r="E16" s="6" t="inlineStr">
        <is>
          <t>0.55%</t>
        </is>
      </c>
      <c r="F16" s="6" t="inlineStr">
        <is>
          <t>0.55%</t>
        </is>
      </c>
      <c r="G16" s="6" t="inlineStr">
        <is>
          <t>0.42%</t>
        </is>
      </c>
      <c r="H16" s="6" t="inlineStr">
        <is>
          <t>0.25%</t>
        </is>
      </c>
      <c r="I16" s="6" t="inlineStr">
        <is>
          <t>0.23%</t>
        </is>
      </c>
    </row>
    <row r="17">
      <c r="A17" s="6" t="inlineStr">
        <is>
          <t>Total coverage ratio (Total provision / Total gross)</t>
        </is>
      </c>
      <c r="B17" s="6" t="inlineStr">
        <is>
          <t>0.93%</t>
        </is>
      </c>
      <c r="C17" s="6" t="inlineStr">
        <is>
          <t>0.70%</t>
        </is>
      </c>
      <c r="D17" s="6" t="inlineStr">
        <is>
          <t>0.74%</t>
        </is>
      </c>
      <c r="E17" s="6" t="inlineStr">
        <is>
          <t>0.54%</t>
        </is>
      </c>
      <c r="F17" s="6" t="inlineStr">
        <is>
          <t>0.37%</t>
        </is>
      </c>
      <c r="G17" s="6" t="inlineStr">
        <is>
          <t>0.38%</t>
        </is>
      </c>
      <c r="H17" s="6" t="inlineStr">
        <is>
          <t>0.19%</t>
        </is>
      </c>
      <c r="I17" s="6" t="inlineStr">
        <is>
          <t>0.19%</t>
        </is>
      </c>
    </row>
    <row r="18">
      <c r="A18" s="6" t="inlineStr">
        <is>
          <t>Stage 3 coverage ratio (Stage 3 provision / Stage 3 gross)</t>
        </is>
      </c>
      <c r="B18" s="6" t="inlineStr">
        <is>
          <t>23.52%</t>
        </is>
      </c>
      <c r="C18" s="6" t="inlineStr">
        <is>
          <t>19.07%</t>
        </is>
      </c>
      <c r="D18" s="6" t="inlineStr">
        <is>
          <t>12.98%</t>
        </is>
      </c>
      <c r="E18" s="6" t="inlineStr">
        <is>
          <t>29.95%</t>
        </is>
      </c>
      <c r="F18" s="6" t="inlineStr">
        <is>
          <t>39.71%</t>
        </is>
      </c>
      <c r="G18" s="6" t="inlineStr">
        <is>
          <t>55.52%</t>
        </is>
      </c>
      <c r="H18" s="6" t="inlineStr">
        <is>
          <t>39.32%</t>
        </is>
      </c>
      <c r="I18" s="6" t="inlineStr">
        <is>
          <t>57.01%</t>
        </is>
      </c>
    </row>
    <row r="20" ht="364" customHeight="1">
      <c r="A20" s="8" t="inlineStr">
        <is>
          <t>Sources - Unity Trust Bank Plc's own 'Gross balance movements in the year' (ECL stage) tables:
FY2025: Report &amp; Accounts 2025, p.32 (Risk Management) - https://assets.unity.co.uk/Unity-Trust-Bank-Annual-Report-and-Accounts-2025.pdf
FY2024: Report &amp; Accounts 2024, p.24 (Risk Management, own originally-published figures, not AR2025's restated comparative - see presentation note below) - https://assets.unity.co.uk/Unity-Trust-Bank-Annual-Report-and-Accounts-2024.pdf
FY2023: Report &amp; Accounts 2023, p.26 (Risk Management) - https://assets.unity.co.uk/U798_0324_Unity_Trust_Bank_Annual-Report-and-Accounts_2023.pdf
FY2022: Report &amp; Accounts 2023, p.27 (Risk Management, 2022 comparative column) - https://assets.unity.co.uk/U798_0324_Unity_Trust_Bank_Annual-Report-and-Accounts_2023.pdf
FY2021: Report &amp; Accounts 2021, p.64 (Notes to the Financial Statements) - https://assets.unity.co.uk/2022/08/Unity-Trust-Bank_Report-and-Accounts-2021.pdf
FY2020: Report &amp; Accounts 2020 (Companies House filing), note 26 'Financial risk management' - Credit risk analysis, p.50 - https://find-and-update.company-information.service.gov.uk/company/01713124/filing-history/MzI5NzIyNTE1N2FkaXF6a2N4/document?format=pdf&amp;download=0
FY2019: Report &amp; Accounts 2019 (Companies House filing), note 26 'Financial risk management' - Credit risk analysis, p.46 - https://find-and-update.company-information.service.gov.uk/company/01713124/filing-history/MzI2NzM2MDE4NWFkaXF6a2N4/document?format=pdf&amp;download=0
FY2018: Report &amp; Accounts 2019 (Companies House filing), note 26 'Financial risk management' - Credit risk analysis, p.47 (2018 comparative column) - https://find-and-update.company-information.service.gov.uk/company/01713124/filing-history/MzI2NzM2MDE4NWFkaXF6a2N4/document?format=pdf&amp;download=0
SCOPE NOTE: this table 'includes loans and advances to customers, including pipeline commitments and investment securities' (per the Bank's own footnote) - a broader scope than the Balance Sheet's 'Loans and advances to customers' line alone, so gross carrying amounts here do not tie to that line; reproduced faithfully from each year's own disclosure, not forced to a narrower scope.
PRESENTATION NOTE: from the FY2025 report onward, this table excludes treasury investments (per the Bank's own footnote: 'the table has been updated to align the asset composition... treasury investments are no longer included'); FY2021-FY2024 all include treasury investments. FY2024's figures shown here are its own originally-published ones (from Report &amp; Accounts 2024) - AR2025's own FY2024 comparative column re-presents FY2024 excluding treasury investments too (a different, smaller figure), which is not used here per project convention (each year's own originally-published figure). This creates a genuine, documented scope break between FY2024's closing balance and FY2025's opening balance (both labelled 'as at 1 January 2025'/'as at 31 December 2024' but on different scopes) - not a data error.
Derived ratios: NPL ratio = Stage 3 gross carrying amount / Total gross carrying amount. Coverage ratio = Total impairment provision / Total gross carrying amount. Stage 3 coverage = Stage 3 impairment provision / Stage 3 gross carrying amount.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1">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KM1 Key Metrics</t>
        </is>
      </c>
    </row>
    <row r="2">
      <c r="A2" s="2" t="inlineStr">
        <is>
          <t>The Bank's own published 'Summary of Key Metrics' table, reproduced whole in its own row order, row numbering, labels and printed precision. Amounts £'000, ratios as printed. Unity Trust Bank plc, solo (the Bank has no trading subsidiaries). FOUR SEPARATE TABLES are shown as four blocks - FY2024/FY2025, FY2023, FY2022, and the abbreviated unnumbered FY2019-FY2021 version - because the Bank reuses its row numbers for different metrics between editions. Nothing is merged across the blocks; read down a column, not across a row.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5" t="inlineStr">
        <is>
          <t>BLOCK D - 'Summary of Key Metrics' as printed in the FY2024 and FY2025 editions (21 numbered rows). Row numbers below are NOT comparable with Blocks B and C.</t>
        </is>
      </c>
      <c r="B4" s="6" t="n"/>
      <c r="C4" s="6" t="n"/>
      <c r="D4" s="6" t="n"/>
      <c r="E4" s="6" t="n"/>
      <c r="F4" s="6" t="n"/>
      <c r="G4" s="6" t="n"/>
      <c r="H4" s="6" t="n"/>
      <c r="I4" s="6" t="n"/>
    </row>
    <row r="5">
      <c r="A5" s="5" t="inlineStr">
        <is>
          <t>Available Capital</t>
        </is>
      </c>
      <c r="B5" s="6" t="n"/>
      <c r="C5" s="6" t="n"/>
      <c r="D5" s="6" t="n"/>
      <c r="E5" s="6" t="n"/>
      <c r="F5" s="6" t="n"/>
      <c r="G5" s="6" t="n"/>
      <c r="H5" s="6" t="n"/>
      <c r="I5" s="6" t="n"/>
    </row>
    <row r="6">
      <c r="A6" s="6" t="inlineStr">
        <is>
          <t>1    Common Equity Tier 1 (CET1) capital (£'000)</t>
        </is>
      </c>
      <c r="B6" s="6" t="n">
        <v>259127</v>
      </c>
      <c r="C6" s="6" t="n">
        <v>222740</v>
      </c>
      <c r="D6" s="6" t="n"/>
      <c r="E6" s="6" t="n"/>
      <c r="F6" s="6" t="n"/>
      <c r="G6" s="6" t="n"/>
      <c r="H6" s="6" t="n"/>
      <c r="I6" s="6" t="n"/>
    </row>
    <row r="7">
      <c r="A7" s="6" t="inlineStr">
        <is>
          <t>2    Tier 1 capital (£'000)</t>
        </is>
      </c>
      <c r="B7" s="6" t="n">
        <v>259127</v>
      </c>
      <c r="C7" s="6" t="n">
        <v>222740</v>
      </c>
      <c r="D7" s="6" t="n"/>
      <c r="E7" s="6" t="n"/>
      <c r="F7" s="6" t="n"/>
      <c r="G7" s="6" t="n"/>
      <c r="H7" s="6" t="n"/>
      <c r="I7" s="6" t="n"/>
    </row>
    <row r="8">
      <c r="A8" s="6" t="inlineStr">
        <is>
          <t>3    Total capital (£'000)</t>
        </is>
      </c>
      <c r="B8" s="6" t="n">
        <v>259127</v>
      </c>
      <c r="C8" s="6" t="n">
        <v>222740</v>
      </c>
      <c r="D8" s="6" t="n"/>
      <c r="E8" s="6" t="n"/>
      <c r="F8" s="6" t="n"/>
      <c r="G8" s="6" t="n"/>
      <c r="H8" s="6" t="n"/>
      <c r="I8" s="6" t="n"/>
    </row>
    <row r="9">
      <c r="A9" s="5" t="inlineStr">
        <is>
          <t>Risk Weighted Assets</t>
        </is>
      </c>
      <c r="B9" s="6" t="n"/>
      <c r="C9" s="6" t="n"/>
      <c r="D9" s="6" t="n"/>
      <c r="E9" s="6" t="n"/>
      <c r="F9" s="6" t="n"/>
      <c r="G9" s="6" t="n"/>
      <c r="H9" s="6" t="n"/>
      <c r="I9" s="6" t="n"/>
    </row>
    <row r="10">
      <c r="A10" s="6" t="inlineStr">
        <is>
          <t>4    Total risk weighted assets (RWA) (£'000)</t>
        </is>
      </c>
      <c r="B10" s="6" t="n">
        <v>1065248</v>
      </c>
      <c r="C10" s="6" t="n">
        <v>925984</v>
      </c>
      <c r="D10" s="6" t="n"/>
      <c r="E10" s="6" t="n"/>
      <c r="F10" s="6" t="n"/>
      <c r="G10" s="6" t="n"/>
      <c r="H10" s="6" t="n"/>
      <c r="I10" s="6" t="n"/>
    </row>
    <row r="11">
      <c r="A11" s="5" t="inlineStr">
        <is>
          <t>Risk-based Capital Ratios as a percentage of RWA</t>
        </is>
      </c>
      <c r="B11" s="6" t="n"/>
      <c r="C11" s="6" t="n"/>
      <c r="D11" s="6" t="n"/>
      <c r="E11" s="6" t="n"/>
      <c r="F11" s="6" t="n"/>
      <c r="G11" s="6" t="n"/>
      <c r="H11" s="6" t="n"/>
      <c r="I11" s="6" t="n"/>
    </row>
    <row r="12">
      <c r="A12" s="6" t="inlineStr">
        <is>
          <t>5    CET1 ratio (%)</t>
        </is>
      </c>
      <c r="B12" s="6" t="inlineStr">
        <is>
          <t>24.33%</t>
        </is>
      </c>
      <c r="C12" s="6" t="inlineStr">
        <is>
          <t>24.05%</t>
        </is>
      </c>
      <c r="D12" s="6" t="n"/>
      <c r="E12" s="6" t="n"/>
      <c r="F12" s="6" t="n"/>
      <c r="G12" s="6" t="n"/>
      <c r="H12" s="6" t="n"/>
      <c r="I12" s="6" t="n"/>
    </row>
    <row r="13">
      <c r="A13" s="6" t="inlineStr">
        <is>
          <t>6    Tier 1 ratio (%)</t>
        </is>
      </c>
      <c r="B13" s="6" t="inlineStr">
        <is>
          <t>24.33%</t>
        </is>
      </c>
      <c r="C13" s="6" t="inlineStr">
        <is>
          <t>24.05%</t>
        </is>
      </c>
      <c r="D13" s="6" t="n"/>
      <c r="E13" s="6" t="n"/>
      <c r="F13" s="6" t="n"/>
      <c r="G13" s="6" t="n"/>
      <c r="H13" s="6" t="n"/>
      <c r="I13" s="6" t="n"/>
    </row>
    <row r="14">
      <c r="A14" s="6" t="inlineStr">
        <is>
          <t>7    Total capital ratio (%)</t>
        </is>
      </c>
      <c r="B14" s="6" t="inlineStr">
        <is>
          <t>24.33%</t>
        </is>
      </c>
      <c r="C14" s="6" t="inlineStr">
        <is>
          <t>24.05%</t>
        </is>
      </c>
      <c r="D14" s="6" t="n"/>
      <c r="E14" s="6" t="n"/>
      <c r="F14" s="6" t="n"/>
      <c r="G14" s="6" t="n"/>
      <c r="H14" s="6" t="n"/>
      <c r="I14" s="6" t="n"/>
    </row>
    <row r="15">
      <c r="A15" s="5" t="inlineStr">
        <is>
          <t>Additional CET1 buffer requirements as a percentage of RWA</t>
        </is>
      </c>
      <c r="B15" s="6" t="n"/>
      <c r="C15" s="6" t="n"/>
      <c r="D15" s="6" t="n"/>
      <c r="E15" s="6" t="n"/>
      <c r="F15" s="6" t="n"/>
      <c r="G15" s="6" t="n"/>
      <c r="H15" s="6" t="n"/>
      <c r="I15" s="6" t="n"/>
    </row>
    <row r="16">
      <c r="A16" s="6" t="inlineStr">
        <is>
          <t>8    Capital conservation buffer requirement (%)</t>
        </is>
      </c>
      <c r="B16" s="6" t="inlineStr">
        <is>
          <t>2.50%</t>
        </is>
      </c>
      <c r="C16" s="6" t="inlineStr">
        <is>
          <t>2.50%</t>
        </is>
      </c>
      <c r="D16" s="6" t="n"/>
      <c r="E16" s="6" t="n"/>
      <c r="F16" s="6" t="n"/>
      <c r="G16" s="6" t="n"/>
      <c r="H16" s="6" t="n"/>
      <c r="I16" s="6" t="n"/>
    </row>
    <row r="17">
      <c r="A17" s="6" t="inlineStr">
        <is>
          <t>9    Countercyclical buffer requirement (%)</t>
        </is>
      </c>
      <c r="B17" s="6" t="inlineStr">
        <is>
          <t>2.00%</t>
        </is>
      </c>
      <c r="C17" s="6" t="inlineStr">
        <is>
          <t>2.00%</t>
        </is>
      </c>
      <c r="D17" s="6" t="n"/>
      <c r="E17" s="6" t="n"/>
      <c r="F17" s="6" t="n"/>
      <c r="G17" s="6" t="n"/>
      <c r="H17" s="6" t="n"/>
      <c r="I17" s="6" t="n"/>
    </row>
    <row r="18">
      <c r="A18" s="6" t="inlineStr">
        <is>
          <t>10    Combined buffer requirement (%)</t>
        </is>
      </c>
      <c r="B18" s="6" t="inlineStr">
        <is>
          <t>4.50%</t>
        </is>
      </c>
      <c r="C18" s="6" t="inlineStr">
        <is>
          <t>4.50%</t>
        </is>
      </c>
      <c r="D18" s="6" t="n"/>
      <c r="E18" s="6" t="n"/>
      <c r="F18" s="6" t="n"/>
      <c r="G18" s="6" t="n"/>
      <c r="H18" s="6" t="n"/>
      <c r="I18" s="6" t="n"/>
    </row>
    <row r="19">
      <c r="A19" s="6" t="inlineStr">
        <is>
          <t>11    Overall capital requirement (%)</t>
        </is>
      </c>
      <c r="B19" s="6" t="inlineStr">
        <is>
          <t>15.19%</t>
        </is>
      </c>
      <c r="C19" s="6" t="inlineStr">
        <is>
          <t>15.19%</t>
        </is>
      </c>
      <c r="D19" s="6" t="n"/>
      <c r="E19" s="6" t="n"/>
      <c r="F19" s="6" t="n"/>
      <c r="G19" s="6" t="n"/>
      <c r="H19" s="6" t="n"/>
      <c r="I19" s="6" t="n"/>
    </row>
    <row r="20">
      <c r="A20" s="5" t="inlineStr">
        <is>
          <t>Leverage Ratio</t>
        </is>
      </c>
      <c r="B20" s="6" t="n"/>
      <c r="C20" s="6" t="n"/>
      <c r="D20" s="6" t="n"/>
      <c r="E20" s="6" t="n"/>
      <c r="F20" s="6" t="n"/>
      <c r="G20" s="6" t="n"/>
      <c r="H20" s="6" t="n"/>
      <c r="I20" s="6" t="n"/>
    </row>
    <row r="21">
      <c r="A21" s="6" t="inlineStr">
        <is>
          <t>12    Total UK leverage ratio exposure measure (£'000)</t>
        </is>
      </c>
      <c r="B21" s="6" t="n">
        <v>2045234</v>
      </c>
      <c r="C21" s="6" t="n">
        <v>1394612</v>
      </c>
      <c r="D21" s="6" t="n"/>
      <c r="E21" s="6" t="n"/>
      <c r="F21" s="6" t="n"/>
      <c r="G21" s="6" t="n"/>
      <c r="H21" s="6" t="n"/>
      <c r="I21" s="6" t="n"/>
    </row>
    <row r="22">
      <c r="A22" s="6" t="inlineStr">
        <is>
          <t>13    UK leverage ratio (%) (excluding the impact of any applicable temporary exemption of central bank reserves)</t>
        </is>
      </c>
      <c r="B22" s="6" t="inlineStr">
        <is>
          <t>12.67%</t>
        </is>
      </c>
      <c r="C22" s="6" t="inlineStr">
        <is>
          <t>15.97%</t>
        </is>
      </c>
      <c r="D22" s="6" t="n"/>
      <c r="E22" s="6" t="n"/>
      <c r="F22" s="6" t="n"/>
      <c r="G22" s="6" t="n"/>
      <c r="H22" s="6" t="n"/>
      <c r="I22" s="6" t="n"/>
    </row>
    <row r="23">
      <c r="A23" s="6" t="inlineStr">
        <is>
          <t>14    Total Basel III leverage ratio exposure measure (£'000)</t>
        </is>
      </c>
      <c r="B23" s="6" t="n">
        <v>2263918</v>
      </c>
      <c r="C23" s="6" t="n">
        <v>2016510</v>
      </c>
      <c r="D23" s="6" t="n"/>
      <c r="E23" s="6" t="n"/>
      <c r="F23" s="6" t="n"/>
      <c r="G23" s="6" t="n"/>
      <c r="H23" s="6" t="n"/>
      <c r="I23" s="6" t="n"/>
    </row>
    <row r="24">
      <c r="A24" s="6" t="inlineStr">
        <is>
          <t>15    Basel III leverage ratio (%) (including the impact of any applicable temporary exemption of central bank reserves)</t>
        </is>
      </c>
      <c r="B24" s="6" t="inlineStr">
        <is>
          <t>11.45%</t>
        </is>
      </c>
      <c r="C24" s="6" t="inlineStr">
        <is>
          <t>11.05%</t>
        </is>
      </c>
      <c r="D24" s="6" t="n"/>
      <c r="E24" s="6" t="n"/>
      <c r="F24" s="6" t="n"/>
      <c r="G24" s="6" t="n"/>
      <c r="H24" s="6" t="n"/>
      <c r="I24" s="6" t="n"/>
    </row>
    <row r="25">
      <c r="A25" s="5" t="inlineStr">
        <is>
          <t>Liquidity Coverage Ratio (LCR)</t>
        </is>
      </c>
      <c r="B25" s="6" t="n"/>
      <c r="C25" s="6" t="n"/>
      <c r="D25" s="6" t="n"/>
      <c r="E25" s="6" t="n"/>
      <c r="F25" s="6" t="n"/>
      <c r="G25" s="6" t="n"/>
      <c r="H25" s="6" t="n"/>
      <c r="I25" s="6" t="n"/>
    </row>
    <row r="26">
      <c r="A26" s="6" t="inlineStr">
        <is>
          <t>16    Total high-quality liquid assets (HQLA) (£'000)</t>
        </is>
      </c>
      <c r="B26" s="6" t="n">
        <v>915263</v>
      </c>
      <c r="C26" s="6" t="n">
        <v>913969</v>
      </c>
      <c r="D26" s="6" t="n"/>
      <c r="E26" s="6" t="n"/>
      <c r="F26" s="6" t="n"/>
      <c r="G26" s="6" t="n"/>
      <c r="H26" s="6" t="n"/>
      <c r="I26" s="6" t="n"/>
    </row>
    <row r="27">
      <c r="A27" s="6" t="inlineStr">
        <is>
          <t>17    Total net cash outflow (£'000)</t>
        </is>
      </c>
      <c r="B27" s="6" t="n">
        <v>405412</v>
      </c>
      <c r="C27" s="6" t="n">
        <v>400945</v>
      </c>
      <c r="D27" s="6" t="n"/>
      <c r="E27" s="6" t="n"/>
      <c r="F27" s="6" t="n"/>
      <c r="G27" s="6" t="n"/>
      <c r="H27" s="6" t="n"/>
      <c r="I27" s="6" t="n"/>
    </row>
    <row r="28">
      <c r="A28" s="6" t="inlineStr">
        <is>
          <t>18    LCR ratio (%)</t>
        </is>
      </c>
      <c r="B28" s="6" t="inlineStr">
        <is>
          <t>225.76%</t>
        </is>
      </c>
      <c r="C28" s="6" t="inlineStr">
        <is>
          <t>227.95%</t>
        </is>
      </c>
      <c r="D28" s="6" t="n"/>
      <c r="E28" s="6" t="n"/>
      <c r="F28" s="6" t="n"/>
      <c r="G28" s="6" t="n"/>
      <c r="H28" s="6" t="n"/>
      <c r="I28" s="6" t="n"/>
    </row>
    <row r="29">
      <c r="A29" s="5" t="inlineStr">
        <is>
          <t>Net Stable Funding Ratio (NSFR)</t>
        </is>
      </c>
      <c r="B29" s="6" t="n"/>
      <c r="C29" s="6" t="n"/>
      <c r="D29" s="6" t="n"/>
      <c r="E29" s="6" t="n"/>
      <c r="F29" s="6" t="n"/>
      <c r="G29" s="6" t="n"/>
      <c r="H29" s="6" t="n"/>
      <c r="I29" s="6" t="n"/>
    </row>
    <row r="30">
      <c r="A30" s="6" t="inlineStr">
        <is>
          <t>19    Total available stable funding (£'000)</t>
        </is>
      </c>
      <c r="B30" s="6" t="n">
        <v>1420532</v>
      </c>
      <c r="C30" s="6" t="n">
        <v>1303839</v>
      </c>
      <c r="D30" s="6" t="n"/>
      <c r="E30" s="6" t="n"/>
      <c r="F30" s="6" t="n"/>
      <c r="G30" s="6" t="n"/>
      <c r="H30" s="6" t="n"/>
      <c r="I30" s="6" t="n"/>
    </row>
    <row r="31">
      <c r="A31" s="6" t="inlineStr">
        <is>
          <t>20    Total required stable funding (£'000)</t>
        </is>
      </c>
      <c r="B31" s="6" t="n">
        <v>955318</v>
      </c>
      <c r="C31" s="6" t="n">
        <v>845763</v>
      </c>
      <c r="D31" s="6" t="n"/>
      <c r="E31" s="6" t="n"/>
      <c r="F31" s="6" t="n"/>
      <c r="G31" s="6" t="n"/>
      <c r="H31" s="6" t="n"/>
      <c r="I31" s="6" t="n"/>
    </row>
    <row r="32">
      <c r="A32" s="6" t="inlineStr">
        <is>
          <t>21    NSFR ratio (%)</t>
        </is>
      </c>
      <c r="B32" s="6" t="inlineStr">
        <is>
          <t>148.70%</t>
        </is>
      </c>
      <c r="C32" s="6" t="inlineStr">
        <is>
          <t>154.16%</t>
        </is>
      </c>
      <c r="D32" s="6" t="n"/>
      <c r="E32" s="6" t="n"/>
      <c r="F32" s="6" t="n"/>
      <c r="G32" s="6" t="n"/>
      <c r="H32" s="6" t="n"/>
      <c r="I32" s="6" t="n"/>
    </row>
    <row r="33">
      <c r="A33" s="5" t="inlineStr">
        <is>
          <t>BLOCK C - 'Summary of Key Metrics' as printed in the FY2023 edition (19 numbered rows). A DIFFERENT NUMBERING from Block D: here 13/14 are the Basel III leverage rows and 15-17 the LCR rows, and there is no row 11 and no row 12.</t>
        </is>
      </c>
      <c r="B33" s="6" t="n"/>
      <c r="C33" s="6" t="n"/>
      <c r="D33" s="6" t="n"/>
      <c r="E33" s="6" t="n"/>
      <c r="F33" s="6" t="n"/>
      <c r="G33" s="6" t="n"/>
      <c r="H33" s="6" t="n"/>
      <c r="I33" s="6" t="n"/>
    </row>
    <row r="34">
      <c r="A34" s="5" t="inlineStr">
        <is>
          <t>Available Capital</t>
        </is>
      </c>
      <c r="B34" s="6" t="n"/>
      <c r="C34" s="6" t="n"/>
      <c r="D34" s="6" t="n"/>
      <c r="E34" s="6" t="n"/>
      <c r="F34" s="6" t="n"/>
      <c r="G34" s="6" t="n"/>
      <c r="H34" s="6" t="n"/>
      <c r="I34" s="6" t="n"/>
    </row>
    <row r="35">
      <c r="A35" s="6" t="inlineStr">
        <is>
          <t>1    Common Equity Tier 1 (CET1) capital (£'000)</t>
        </is>
      </c>
      <c r="B35" s="6" t="n"/>
      <c r="C35" s="6" t="n"/>
      <c r="D35" s="6" t="n">
        <v>172898</v>
      </c>
      <c r="E35" s="6" t="n"/>
      <c r="F35" s="6" t="n"/>
      <c r="G35" s="6" t="n"/>
      <c r="H35" s="6" t="n"/>
      <c r="I35" s="6" t="n"/>
    </row>
    <row r="36">
      <c r="A36" s="6" t="inlineStr">
        <is>
          <t>2    Tier 1 capital (£'000)</t>
        </is>
      </c>
      <c r="B36" s="6" t="n"/>
      <c r="C36" s="6" t="n"/>
      <c r="D36" s="6" t="n">
        <v>172898</v>
      </c>
      <c r="E36" s="6" t="n"/>
      <c r="F36" s="6" t="n"/>
      <c r="G36" s="6" t="n"/>
      <c r="H36" s="6" t="n"/>
      <c r="I36" s="6" t="n"/>
    </row>
    <row r="37">
      <c r="A37" s="6" t="inlineStr">
        <is>
          <t>3    Total capital (£'000)</t>
        </is>
      </c>
      <c r="B37" s="6" t="n"/>
      <c r="C37" s="6" t="n"/>
      <c r="D37" s="6" t="n">
        <v>172898</v>
      </c>
      <c r="E37" s="6" t="n"/>
      <c r="F37" s="6" t="n"/>
      <c r="G37" s="6" t="n"/>
      <c r="H37" s="6" t="n"/>
      <c r="I37" s="6" t="n"/>
    </row>
    <row r="38">
      <c r="A38" s="5" t="inlineStr">
        <is>
          <t>Risk Weighted Assets</t>
        </is>
      </c>
      <c r="B38" s="6" t="n"/>
      <c r="C38" s="6" t="n"/>
      <c r="D38" s="6" t="n"/>
      <c r="E38" s="6" t="n"/>
      <c r="F38" s="6" t="n"/>
      <c r="G38" s="6" t="n"/>
      <c r="H38" s="6" t="n"/>
      <c r="I38" s="6" t="n"/>
    </row>
    <row r="39">
      <c r="A39" s="6" t="inlineStr">
        <is>
          <t>4    Total risk weighted assets (RWA) (£'000)</t>
        </is>
      </c>
      <c r="B39" s="6" t="n"/>
      <c r="C39" s="6" t="n"/>
      <c r="D39" s="6" t="n">
        <v>878472</v>
      </c>
      <c r="E39" s="6" t="n"/>
      <c r="F39" s="6" t="n"/>
      <c r="G39" s="6" t="n"/>
      <c r="H39" s="6" t="n"/>
      <c r="I39" s="6" t="n"/>
    </row>
    <row r="40">
      <c r="A40" s="5" t="inlineStr">
        <is>
          <t>Risk-based Capital Ratios as a percentage of RWA</t>
        </is>
      </c>
      <c r="B40" s="6" t="n"/>
      <c r="C40" s="6" t="n"/>
      <c r="D40" s="6" t="n"/>
      <c r="E40" s="6" t="n"/>
      <c r="F40" s="6" t="n"/>
      <c r="G40" s="6" t="n"/>
      <c r="H40" s="6" t="n"/>
      <c r="I40" s="6" t="n"/>
    </row>
    <row r="41">
      <c r="A41" s="6" t="inlineStr">
        <is>
          <t>5    CET1 ratio (%)</t>
        </is>
      </c>
      <c r="B41" s="6" t="n"/>
      <c r="C41" s="6" t="n"/>
      <c r="D41" s="6" t="inlineStr">
        <is>
          <t>19.68%</t>
        </is>
      </c>
      <c r="E41" s="6" t="n"/>
      <c r="F41" s="6" t="n"/>
      <c r="G41" s="6" t="n"/>
      <c r="H41" s="6" t="n"/>
      <c r="I41" s="6" t="n"/>
    </row>
    <row r="42">
      <c r="A42" s="6" t="inlineStr">
        <is>
          <t>6    Tier 1 ratio (%)</t>
        </is>
      </c>
      <c r="B42" s="6" t="n"/>
      <c r="C42" s="6" t="n"/>
      <c r="D42" s="6" t="inlineStr">
        <is>
          <t>19.68%</t>
        </is>
      </c>
      <c r="E42" s="6" t="n"/>
      <c r="F42" s="6" t="n"/>
      <c r="G42" s="6" t="n"/>
      <c r="H42" s="6" t="n"/>
      <c r="I42" s="6" t="n"/>
    </row>
    <row r="43">
      <c r="A43" s="6" t="inlineStr">
        <is>
          <t>7    Total capital ratio (%)</t>
        </is>
      </c>
      <c r="B43" s="6" t="n"/>
      <c r="C43" s="6" t="n"/>
      <c r="D43" s="6" t="inlineStr">
        <is>
          <t>19.68%</t>
        </is>
      </c>
      <c r="E43" s="6" t="n"/>
      <c r="F43" s="6" t="n"/>
      <c r="G43" s="6" t="n"/>
      <c r="H43" s="6" t="n"/>
      <c r="I43" s="6" t="n"/>
    </row>
    <row r="44">
      <c r="A44" s="5" t="inlineStr">
        <is>
          <t>Additional CET1 buffer requirements as a percentage of RWA</t>
        </is>
      </c>
      <c r="B44" s="6" t="n"/>
      <c r="C44" s="6" t="n"/>
      <c r="D44" s="6" t="n"/>
      <c r="E44" s="6" t="n"/>
      <c r="F44" s="6" t="n"/>
      <c r="G44" s="6" t="n"/>
      <c r="H44" s="6" t="n"/>
      <c r="I44" s="6" t="n"/>
    </row>
    <row r="45">
      <c r="A45" s="6" t="inlineStr">
        <is>
          <t>8    Capital conservation buffer requirement (%)</t>
        </is>
      </c>
      <c r="B45" s="6" t="n"/>
      <c r="C45" s="6" t="n"/>
      <c r="D45" s="6" t="inlineStr">
        <is>
          <t>2.50%</t>
        </is>
      </c>
      <c r="E45" s="6" t="n"/>
      <c r="F45" s="6" t="n"/>
      <c r="G45" s="6" t="n"/>
      <c r="H45" s="6" t="n"/>
      <c r="I45" s="6" t="n"/>
    </row>
    <row r="46">
      <c r="A46" s="6" t="inlineStr">
        <is>
          <t>9    Countercyclical buffer requirement (%)</t>
        </is>
      </c>
      <c r="B46" s="6" t="n"/>
      <c r="C46" s="6" t="n"/>
      <c r="D46" s="6" t="inlineStr">
        <is>
          <t>2.00%</t>
        </is>
      </c>
      <c r="E46" s="6" t="n"/>
      <c r="F46" s="6" t="n"/>
      <c r="G46" s="6" t="n"/>
      <c r="H46" s="6" t="n"/>
      <c r="I46" s="6" t="n"/>
    </row>
    <row r="47">
      <c r="A47" s="6" t="inlineStr">
        <is>
          <t>10    Combined buffer requirement (%)</t>
        </is>
      </c>
      <c r="B47" s="6" t="n"/>
      <c r="C47" s="6" t="n"/>
      <c r="D47" s="6" t="inlineStr">
        <is>
          <t>4.50%</t>
        </is>
      </c>
      <c r="E47" s="6" t="n"/>
      <c r="F47" s="6" t="n"/>
      <c r="G47" s="6" t="n"/>
      <c r="H47" s="6" t="n"/>
      <c r="I47" s="6" t="n"/>
    </row>
    <row r="48">
      <c r="A48" s="6" t="inlineStr">
        <is>
          <t>11a    Overall capital requirement (%)Overall capital requirements (%)  [caption printed twice - source defect, reproduced as published]</t>
        </is>
      </c>
      <c r="B48" s="6" t="n"/>
      <c r="C48" s="6" t="n"/>
      <c r="D48" s="6" t="inlineStr">
        <is>
          <t>15.19%</t>
        </is>
      </c>
      <c r="E48" s="6" t="n"/>
      <c r="F48" s="6" t="n"/>
      <c r="G48" s="6" t="n"/>
      <c r="H48" s="6" t="n"/>
      <c r="I48" s="6" t="n"/>
    </row>
    <row r="49">
      <c r="A49" s="5" t="inlineStr">
        <is>
          <t>Basel III Leverage Ratio</t>
        </is>
      </c>
      <c r="B49" s="6" t="n"/>
      <c r="C49" s="6" t="n"/>
      <c r="D49" s="6" t="n"/>
      <c r="E49" s="6" t="n"/>
      <c r="F49" s="6" t="n"/>
      <c r="G49" s="6" t="n"/>
      <c r="H49" s="6" t="n"/>
      <c r="I49" s="6" t="n"/>
    </row>
    <row r="50">
      <c r="A50" s="6" t="inlineStr">
        <is>
          <t>13    Total Basel III leverage ratio exposure measure (£'000)</t>
        </is>
      </c>
      <c r="B50" s="6" t="n"/>
      <c r="C50" s="6" t="n"/>
      <c r="D50" s="6" t="n">
        <v>1797760</v>
      </c>
      <c r="E50" s="6" t="n"/>
      <c r="F50" s="6" t="n"/>
      <c r="G50" s="6" t="n"/>
      <c r="H50" s="6" t="n"/>
      <c r="I50" s="6" t="n"/>
    </row>
    <row r="51">
      <c r="A51" s="6" t="inlineStr">
        <is>
          <t>14    Basel III leverage ratio (%) (including the impact of any applicable temporary exemption of central bank reserves)</t>
        </is>
      </c>
      <c r="B51" s="6" t="n"/>
      <c r="C51" s="6" t="n"/>
      <c r="D51" s="6" t="inlineStr">
        <is>
          <t>9.62%</t>
        </is>
      </c>
      <c r="E51" s="6" t="n"/>
      <c r="F51" s="6" t="n"/>
      <c r="G51" s="6" t="n"/>
      <c r="H51" s="6" t="n"/>
      <c r="I51" s="6" t="n"/>
    </row>
    <row r="52">
      <c r="A52" s="5" t="inlineStr">
        <is>
          <t>Liquidity Coverage Ratio (LCR)</t>
        </is>
      </c>
      <c r="B52" s="6" t="n"/>
      <c r="C52" s="6" t="n"/>
      <c r="D52" s="6" t="n"/>
      <c r="E52" s="6" t="n"/>
      <c r="F52" s="6" t="n"/>
      <c r="G52" s="6" t="n"/>
      <c r="H52" s="6" t="n"/>
      <c r="I52" s="6" t="n"/>
    </row>
    <row r="53">
      <c r="A53" s="6" t="inlineStr">
        <is>
          <t>15    Total high-quality liquid assets (HQLA) (£'000)</t>
        </is>
      </c>
      <c r="B53" s="6" t="n"/>
      <c r="C53" s="6" t="n"/>
      <c r="D53" s="6" t="n">
        <v>697018</v>
      </c>
      <c r="E53" s="6" t="n"/>
      <c r="F53" s="6" t="n"/>
      <c r="G53" s="6" t="n"/>
      <c r="H53" s="6" t="n"/>
      <c r="I53" s="6" t="n"/>
    </row>
    <row r="54">
      <c r="A54" s="6" t="inlineStr">
        <is>
          <t>16    Total net cash outflow (£'000)</t>
        </is>
      </c>
      <c r="B54" s="6" t="n"/>
      <c r="C54" s="6" t="n"/>
      <c r="D54" s="6" t="n">
        <v>332338</v>
      </c>
      <c r="E54" s="6" t="n"/>
      <c r="F54" s="6" t="n"/>
      <c r="G54" s="6" t="n"/>
      <c r="H54" s="6" t="n"/>
      <c r="I54" s="6" t="n"/>
    </row>
    <row r="55">
      <c r="A55" s="6" t="inlineStr">
        <is>
          <t>17    LCR ratio (%)</t>
        </is>
      </c>
      <c r="B55" s="6" t="n"/>
      <c r="C55" s="6" t="n"/>
      <c r="D55" s="6" t="inlineStr">
        <is>
          <t>210%</t>
        </is>
      </c>
      <c r="E55" s="6" t="n"/>
      <c r="F55" s="6" t="n"/>
      <c r="G55" s="6" t="n"/>
      <c r="H55" s="6" t="n"/>
      <c r="I55" s="6" t="n"/>
    </row>
    <row r="56">
      <c r="A56" s="5" t="inlineStr">
        <is>
          <t>Net Stable Funding Ratio (NSFR)</t>
        </is>
      </c>
      <c r="B56" s="6" t="n"/>
      <c r="C56" s="6" t="n"/>
      <c r="D56" s="6" t="n"/>
      <c r="E56" s="6" t="n"/>
      <c r="F56" s="6" t="n"/>
      <c r="G56" s="6" t="n"/>
      <c r="H56" s="6" t="n"/>
      <c r="I56" s="6" t="n"/>
    </row>
    <row r="57">
      <c r="A57" s="6" t="inlineStr">
        <is>
          <t>18    Total available stable funding (£'000)</t>
        </is>
      </c>
      <c r="B57" s="6" t="n"/>
      <c r="C57" s="6" t="n"/>
      <c r="D57" s="6" t="n">
        <v>1200480</v>
      </c>
      <c r="E57" s="6" t="n"/>
      <c r="F57" s="6" t="n"/>
      <c r="G57" s="6" t="n"/>
      <c r="H57" s="6" t="n"/>
      <c r="I57" s="6" t="n"/>
    </row>
    <row r="58">
      <c r="A58" s="6" t="inlineStr">
        <is>
          <t>19    Total required stable funding (£'000)</t>
        </is>
      </c>
      <c r="B58" s="6" t="n"/>
      <c r="C58" s="6" t="n"/>
      <c r="D58" s="6" t="n">
        <v>909694</v>
      </c>
      <c r="E58" s="6" t="n"/>
      <c r="F58" s="6" t="n"/>
      <c r="G58" s="6" t="n"/>
      <c r="H58" s="6" t="n"/>
      <c r="I58" s="6" t="n"/>
    </row>
    <row r="59">
      <c r="A59" s="6" t="inlineStr">
        <is>
          <t>20    NSFR ratio (%)</t>
        </is>
      </c>
      <c r="B59" s="6" t="n"/>
      <c r="C59" s="6" t="n"/>
      <c r="D59" s="6" t="inlineStr">
        <is>
          <t>131.97%</t>
        </is>
      </c>
      <c r="E59" s="6" t="n"/>
      <c r="F59" s="6" t="n"/>
      <c r="G59" s="6" t="n"/>
      <c r="H59" s="6" t="n"/>
      <c r="I59" s="6" t="n"/>
    </row>
    <row r="60">
      <c r="A60" s="5" t="inlineStr">
        <is>
          <t>BLOCK B - 'Summary of Key Metrics' as printed in the FY2022 edition (28 numbered rows, the pre-2022 Basel III shape with fully-loaded ECL twins). PLAIN '7a' HERE IS THE FULLY LOADED TOTAL CAPITAL RATIO, not the UK template's 'UK 7a' SREP requirement; 10 is the G-SIB/D-SIB row and 11 the combined buffer, both of which mean something else in Blocks C and D. This edition heads its amount column '£000s'; shown here as £'000, the same unit.</t>
        </is>
      </c>
      <c r="B60" s="6" t="n"/>
      <c r="C60" s="6" t="n"/>
      <c r="D60" s="6" t="n"/>
      <c r="E60" s="6" t="n"/>
      <c r="F60" s="6" t="n"/>
      <c r="G60" s="6" t="n"/>
      <c r="H60" s="6" t="n"/>
      <c r="I60" s="6" t="n"/>
    </row>
    <row r="61">
      <c r="A61" s="5" t="inlineStr">
        <is>
          <t>Available capital (£000s, as headed in the source)</t>
        </is>
      </c>
      <c r="B61" s="6" t="n"/>
      <c r="C61" s="6" t="n"/>
      <c r="D61" s="6" t="n"/>
      <c r="E61" s="6" t="n"/>
      <c r="F61" s="6" t="n"/>
      <c r="G61" s="6" t="n"/>
      <c r="H61" s="6" t="n"/>
      <c r="I61" s="6" t="n"/>
    </row>
    <row r="62">
      <c r="A62" s="6" t="inlineStr">
        <is>
          <t>1    Common Equity Tier 1 (CET1) capital (£'000)</t>
        </is>
      </c>
      <c r="B62" s="6" t="n"/>
      <c r="C62" s="6" t="n"/>
      <c r="D62" s="6" t="n"/>
      <c r="E62" s="6" t="n">
        <v>122931</v>
      </c>
      <c r="F62" s="6" t="n"/>
      <c r="G62" s="6" t="n"/>
      <c r="H62" s="6" t="n"/>
      <c r="I62" s="6" t="n"/>
    </row>
    <row r="63">
      <c r="A63" s="6" t="inlineStr">
        <is>
          <t>1a    Fully loaded ECL accounting model (£'000)</t>
        </is>
      </c>
      <c r="B63" s="6" t="n"/>
      <c r="C63" s="6" t="n"/>
      <c r="D63" s="6" t="n"/>
      <c r="E63" s="6" t="n">
        <v>120696</v>
      </c>
      <c r="F63" s="6" t="n"/>
      <c r="G63" s="6" t="n"/>
      <c r="H63" s="6" t="n"/>
      <c r="I63" s="6" t="n"/>
    </row>
    <row r="64">
      <c r="A64" s="6" t="inlineStr">
        <is>
          <t>2    Tier 1 (£'000)</t>
        </is>
      </c>
      <c r="B64" s="6" t="n"/>
      <c r="C64" s="6" t="n"/>
      <c r="D64" s="6" t="n"/>
      <c r="E64" s="6" t="n">
        <v>122931</v>
      </c>
      <c r="F64" s="6" t="n"/>
      <c r="G64" s="6" t="n"/>
      <c r="H64" s="6" t="n"/>
      <c r="I64" s="6" t="n"/>
    </row>
    <row r="65">
      <c r="A65" s="6" t="inlineStr">
        <is>
          <t>2a    Fully loaded ECL accounting model Tier 1 (£'000)</t>
        </is>
      </c>
      <c r="B65" s="6" t="n"/>
      <c r="C65" s="6" t="n"/>
      <c r="D65" s="6" t="n"/>
      <c r="E65" s="6" t="n">
        <v>120696</v>
      </c>
      <c r="F65" s="6" t="n"/>
      <c r="G65" s="6" t="n"/>
      <c r="H65" s="6" t="n"/>
      <c r="I65" s="6" t="n"/>
    </row>
    <row r="66">
      <c r="A66" s="6" t="inlineStr">
        <is>
          <t>3    Total capital (£'000)</t>
        </is>
      </c>
      <c r="B66" s="6" t="n"/>
      <c r="C66" s="6" t="n"/>
      <c r="D66" s="6" t="n"/>
      <c r="E66" s="6" t="n">
        <v>122931</v>
      </c>
      <c r="F66" s="6" t="n"/>
      <c r="G66" s="6" t="n"/>
      <c r="H66" s="6" t="n"/>
      <c r="I66" s="6" t="n"/>
    </row>
    <row r="67">
      <c r="A67" s="6" t="inlineStr">
        <is>
          <t>3a    Fully loaded ECL accounting model total capital (£'000)</t>
        </is>
      </c>
      <c r="B67" s="6" t="n"/>
      <c r="C67" s="6" t="n"/>
      <c r="D67" s="6" t="n"/>
      <c r="E67" s="6" t="n">
        <v>120696</v>
      </c>
      <c r="F67" s="6" t="n"/>
      <c r="G67" s="6" t="n"/>
      <c r="H67" s="6" t="n"/>
      <c r="I67" s="6" t="n"/>
    </row>
    <row r="68">
      <c r="A68" s="5" t="inlineStr">
        <is>
          <t>Risk-weighted assets (amounts)</t>
        </is>
      </c>
      <c r="B68" s="6" t="n"/>
      <c r="C68" s="6" t="n"/>
      <c r="D68" s="6" t="n"/>
      <c r="E68" s="6" t="n"/>
      <c r="F68" s="6" t="n"/>
      <c r="G68" s="6" t="n"/>
      <c r="H68" s="6" t="n"/>
      <c r="I68" s="6" t="n"/>
    </row>
    <row r="69">
      <c r="A69" s="6" t="inlineStr">
        <is>
          <t>4    Total risk-weighted assets (RWA) (£'000)</t>
        </is>
      </c>
      <c r="B69" s="6" t="n"/>
      <c r="C69" s="6" t="n"/>
      <c r="D69" s="6" t="n"/>
      <c r="E69" s="6" t="n">
        <v>672893</v>
      </c>
      <c r="F69" s="6" t="n"/>
      <c r="G69" s="6" t="n"/>
      <c r="H69" s="6" t="n"/>
      <c r="I69" s="6" t="n"/>
    </row>
    <row r="70">
      <c r="A70" s="5" t="inlineStr">
        <is>
          <t>Risk-based capital ratios as a percentage of RWA</t>
        </is>
      </c>
      <c r="B70" s="6" t="n"/>
      <c r="C70" s="6" t="n"/>
      <c r="D70" s="6" t="n"/>
      <c r="E70" s="6" t="n"/>
      <c r="F70" s="6" t="n"/>
      <c r="G70" s="6" t="n"/>
      <c r="H70" s="6" t="n"/>
      <c r="I70" s="6" t="n"/>
    </row>
    <row r="71">
      <c r="A71" s="6" t="inlineStr">
        <is>
          <t>5    CET1 ratio (%)</t>
        </is>
      </c>
      <c r="B71" s="6" t="n"/>
      <c r="C71" s="6" t="n"/>
      <c r="D71" s="6" t="n"/>
      <c r="E71" s="6" t="inlineStr">
        <is>
          <t>18.27%</t>
        </is>
      </c>
      <c r="F71" s="6" t="n"/>
      <c r="G71" s="6" t="n"/>
      <c r="H71" s="6" t="n"/>
      <c r="I71" s="6" t="n"/>
    </row>
    <row r="72">
      <c r="A72" s="6" t="inlineStr">
        <is>
          <t>5a    Fully loaded ECL accounting model CET1 (%)</t>
        </is>
      </c>
      <c r="B72" s="6" t="n"/>
      <c r="C72" s="6" t="n"/>
      <c r="D72" s="6" t="n"/>
      <c r="E72" s="6" t="inlineStr">
        <is>
          <t>17.94%</t>
        </is>
      </c>
      <c r="F72" s="6" t="n"/>
      <c r="G72" s="6" t="n"/>
      <c r="H72" s="6" t="n"/>
      <c r="I72" s="6" t="n"/>
    </row>
    <row r="73">
      <c r="A73" s="6" t="inlineStr">
        <is>
          <t>6    Tier 1 ratio (%)</t>
        </is>
      </c>
      <c r="B73" s="6" t="n"/>
      <c r="C73" s="6" t="n"/>
      <c r="D73" s="6" t="n"/>
      <c r="E73" s="6" t="inlineStr">
        <is>
          <t>18.27%</t>
        </is>
      </c>
      <c r="F73" s="6" t="n"/>
      <c r="G73" s="6" t="n"/>
      <c r="H73" s="6" t="n"/>
      <c r="I73" s="6" t="n"/>
    </row>
    <row r="74">
      <c r="A74" s="6" t="inlineStr">
        <is>
          <t>6a    Fully loaded ECL accounting model Tier 1 ratio (%)</t>
        </is>
      </c>
      <c r="B74" s="6" t="n"/>
      <c r="C74" s="6" t="n"/>
      <c r="D74" s="6" t="n"/>
      <c r="E74" s="6" t="inlineStr">
        <is>
          <t>17.94%</t>
        </is>
      </c>
      <c r="F74" s="6" t="n"/>
      <c r="G74" s="6" t="n"/>
      <c r="H74" s="6" t="n"/>
      <c r="I74" s="6" t="n"/>
    </row>
    <row r="75">
      <c r="A75" s="6" t="inlineStr">
        <is>
          <t>7    Total capital ratio (%)</t>
        </is>
      </c>
      <c r="B75" s="6" t="n"/>
      <c r="C75" s="6" t="n"/>
      <c r="D75" s="6" t="n"/>
      <c r="E75" s="6" t="inlineStr">
        <is>
          <t>18.27%</t>
        </is>
      </c>
      <c r="F75" s="6" t="n"/>
      <c r="G75" s="6" t="n"/>
      <c r="H75" s="6" t="n"/>
      <c r="I75" s="6" t="n"/>
    </row>
    <row r="76">
      <c r="A76" s="6" t="inlineStr">
        <is>
          <t>7a    Fully loaded ECL accounting model total capital ratio (%)</t>
        </is>
      </c>
      <c r="B76" s="6" t="n"/>
      <c r="C76" s="6" t="n"/>
      <c r="D76" s="6" t="n"/>
      <c r="E76" s="6" t="inlineStr">
        <is>
          <t>17.94%</t>
        </is>
      </c>
      <c r="F76" s="6" t="n"/>
      <c r="G76" s="6" t="n"/>
      <c r="H76" s="6" t="n"/>
      <c r="I76" s="6" t="n"/>
    </row>
    <row r="77">
      <c r="A77" s="5" t="inlineStr">
        <is>
          <t>Additional CET1 buffer requirements as a percentage of RWA</t>
        </is>
      </c>
      <c r="B77" s="6" t="n"/>
      <c r="C77" s="6" t="n"/>
      <c r="D77" s="6" t="n"/>
      <c r="E77" s="6" t="n"/>
      <c r="F77" s="6" t="n"/>
      <c r="G77" s="6" t="n"/>
      <c r="H77" s="6" t="n"/>
      <c r="I77" s="6" t="n"/>
    </row>
    <row r="78">
      <c r="A78" s="6" t="inlineStr">
        <is>
          <t>8    Capital conservation buffer requirement (2.5% from 2019) (%)</t>
        </is>
      </c>
      <c r="B78" s="6" t="n"/>
      <c r="C78" s="6" t="n"/>
      <c r="D78" s="6" t="n"/>
      <c r="E78" s="6" t="inlineStr">
        <is>
          <t>2.50%</t>
        </is>
      </c>
      <c r="F78" s="6" t="n"/>
      <c r="G78" s="6" t="n"/>
      <c r="H78" s="6" t="n"/>
      <c r="I78" s="6" t="n"/>
    </row>
    <row r="79">
      <c r="A79" s="6" t="inlineStr">
        <is>
          <t>9    Countercyclical buffer requirement (%)</t>
        </is>
      </c>
      <c r="B79" s="6" t="n"/>
      <c r="C79" s="6" t="n"/>
      <c r="D79" s="6" t="n"/>
      <c r="E79" s="6" t="inlineStr">
        <is>
          <t>1%</t>
        </is>
      </c>
      <c r="F79" s="6" t="n"/>
      <c r="G79" s="6" t="n"/>
      <c r="H79" s="6" t="n"/>
      <c r="I79" s="6" t="n"/>
    </row>
    <row r="80">
      <c r="A80" s="6" t="inlineStr">
        <is>
          <t>10    Bank G-SIB and/or D-SIB additional requirements (%)</t>
        </is>
      </c>
      <c r="B80" s="6" t="n"/>
      <c r="C80" s="6" t="n"/>
      <c r="D80" s="6" t="n"/>
      <c r="E80" s="6" t="inlineStr">
        <is>
          <t>0%</t>
        </is>
      </c>
      <c r="F80" s="6" t="n"/>
      <c r="G80" s="6" t="n"/>
      <c r="H80" s="6" t="n"/>
      <c r="I80" s="6" t="n"/>
    </row>
    <row r="81">
      <c r="A81" s="6" t="inlineStr">
        <is>
          <t>11    Combined buffer requirement (%) (row 8 + row 9 + row 10)</t>
        </is>
      </c>
      <c r="B81" s="6" t="n"/>
      <c r="C81" s="6" t="n"/>
      <c r="D81" s="6" t="n"/>
      <c r="E81" s="6" t="inlineStr">
        <is>
          <t>3.50%</t>
        </is>
      </c>
      <c r="F81" s="6" t="n"/>
      <c r="G81" s="6" t="n"/>
      <c r="H81" s="6" t="n"/>
      <c r="I81" s="6" t="n"/>
    </row>
    <row r="82">
      <c r="A82" s="6" t="inlineStr">
        <is>
          <t>12    CET1 available after meeting the total SREP own funds requirements</t>
        </is>
      </c>
      <c r="B82" s="6" t="n"/>
      <c r="C82" s="6" t="n"/>
      <c r="D82" s="6" t="n"/>
      <c r="E82" s="6" t="inlineStr">
        <is>
          <t>12.59%</t>
        </is>
      </c>
      <c r="F82" s="6" t="n"/>
      <c r="G82" s="6" t="n"/>
      <c r="H82" s="6" t="n"/>
      <c r="I82" s="6" t="n"/>
    </row>
    <row r="83">
      <c r="A83" s="5" t="inlineStr">
        <is>
          <t>Basel III leverage ratio</t>
        </is>
      </c>
      <c r="B83" s="6" t="n"/>
      <c r="C83" s="6" t="n"/>
      <c r="D83" s="6" t="n"/>
      <c r="E83" s="6" t="n"/>
      <c r="F83" s="6" t="n"/>
      <c r="G83" s="6" t="n"/>
      <c r="H83" s="6" t="n"/>
      <c r="I83" s="6" t="n"/>
    </row>
    <row r="84">
      <c r="A84" s="6" t="inlineStr">
        <is>
          <t>13    Total Basel III leverage ratio exposure measure (£'000)</t>
        </is>
      </c>
      <c r="B84" s="6" t="n"/>
      <c r="C84" s="6" t="n"/>
      <c r="D84" s="6" t="n"/>
      <c r="E84" s="6" t="n">
        <v>1710211</v>
      </c>
      <c r="F84" s="6" t="n"/>
      <c r="G84" s="6" t="n"/>
      <c r="H84" s="6" t="n"/>
      <c r="I84" s="6" t="n"/>
    </row>
    <row r="85">
      <c r="A85" s="6" t="inlineStr">
        <is>
          <t>14    Basel III leverage ratio (%) (including the impact of any applicable temporary exemption of central bank reserves)</t>
        </is>
      </c>
      <c r="B85" s="6" t="n"/>
      <c r="C85" s="6" t="n"/>
      <c r="D85" s="6" t="n"/>
      <c r="E85" s="6" t="inlineStr">
        <is>
          <t>7.19%</t>
        </is>
      </c>
      <c r="F85" s="6" t="n"/>
      <c r="G85" s="6" t="n"/>
      <c r="H85" s="6" t="n"/>
      <c r="I85" s="6" t="n"/>
    </row>
    <row r="86">
      <c r="A86" s="6" t="inlineStr">
        <is>
          <t>14a    Fully loaded ECL accounting model Basel III leverage ratio (including the impact of any applicable temporary exemption of central bank reserves) (%)</t>
        </is>
      </c>
      <c r="B86" s="6" t="n"/>
      <c r="C86" s="6" t="n"/>
      <c r="D86" s="6" t="n"/>
      <c r="E86" s="6" t="inlineStr">
        <is>
          <t>7.07%</t>
        </is>
      </c>
      <c r="F86" s="6" t="n"/>
      <c r="G86" s="6" t="n"/>
      <c r="H86" s="6" t="n"/>
      <c r="I86" s="6" t="n"/>
    </row>
    <row r="87">
      <c r="A87" s="6" t="inlineStr">
        <is>
          <t>14b    Basel III leverage ratio (%) (excluding the impact of any applicable temporary exemption of central bank reserves)</t>
        </is>
      </c>
      <c r="B87" s="6" t="n"/>
      <c r="C87" s="6" t="n"/>
      <c r="D87" s="6" t="n"/>
      <c r="E87" s="6" t="inlineStr">
        <is>
          <t>7.18%</t>
        </is>
      </c>
      <c r="F87" s="6" t="n"/>
      <c r="G87" s="6" t="n"/>
      <c r="H87" s="6" t="n"/>
      <c r="I87" s="6" t="n"/>
    </row>
    <row r="88">
      <c r="A88" s="5" t="inlineStr">
        <is>
          <t>Liquidity Coverage Ratio (LCR)</t>
        </is>
      </c>
      <c r="B88" s="6" t="n"/>
      <c r="C88" s="6" t="n"/>
      <c r="D88" s="6" t="n"/>
      <c r="E88" s="6" t="n"/>
      <c r="F88" s="6" t="n"/>
      <c r="G88" s="6" t="n"/>
      <c r="H88" s="6" t="n"/>
      <c r="I88" s="6" t="n"/>
    </row>
    <row r="89">
      <c r="A89" s="6" t="inlineStr">
        <is>
          <t>15    Total high-quality liquid assets (HQLA) (£'000)</t>
        </is>
      </c>
      <c r="B89" s="6" t="n"/>
      <c r="C89" s="6" t="n"/>
      <c r="D89" s="6" t="n"/>
      <c r="E89" s="6" t="n">
        <v>782783</v>
      </c>
      <c r="F89" s="6" t="n"/>
      <c r="G89" s="6" t="n"/>
      <c r="H89" s="6" t="n"/>
      <c r="I89" s="6" t="n"/>
    </row>
    <row r="90">
      <c r="A90" s="6" t="inlineStr">
        <is>
          <t>16    Total net cash outflow (£'000)</t>
        </is>
      </c>
      <c r="B90" s="6" t="n"/>
      <c r="C90" s="6" t="n"/>
      <c r="D90" s="6" t="n"/>
      <c r="E90" s="6" t="n">
        <v>355595</v>
      </c>
      <c r="F90" s="6" t="n"/>
      <c r="G90" s="6" t="n"/>
      <c r="H90" s="6" t="n"/>
      <c r="I90" s="6" t="n"/>
    </row>
    <row r="91">
      <c r="A91" s="6" t="inlineStr">
        <is>
          <t>17    LCR ratio (%)</t>
        </is>
      </c>
      <c r="B91" s="6" t="n"/>
      <c r="C91" s="6" t="n"/>
      <c r="D91" s="6" t="n"/>
      <c r="E91" s="6" t="inlineStr">
        <is>
          <t>220%</t>
        </is>
      </c>
      <c r="F91" s="6" t="n"/>
      <c r="G91" s="6" t="n"/>
      <c r="H91" s="6" t="n"/>
      <c r="I91" s="6" t="n"/>
    </row>
    <row r="92">
      <c r="A92" s="5" t="inlineStr">
        <is>
          <t>Net Stable Funding Ratio (NSFR)</t>
        </is>
      </c>
      <c r="B92" s="6" t="n"/>
      <c r="C92" s="6" t="n"/>
      <c r="D92" s="6" t="n"/>
      <c r="E92" s="6" t="n"/>
      <c r="F92" s="6" t="n"/>
      <c r="G92" s="6" t="n"/>
      <c r="H92" s="6" t="n"/>
      <c r="I92" s="6" t="n"/>
    </row>
    <row r="93">
      <c r="A93" s="6" t="inlineStr">
        <is>
          <t>18    Total available stable funding (£'000)</t>
        </is>
      </c>
      <c r="B93" s="6" t="n"/>
      <c r="C93" s="6" t="n"/>
      <c r="D93" s="6" t="n"/>
      <c r="E93" s="6" t="n">
        <v>1144865</v>
      </c>
      <c r="F93" s="6" t="n"/>
      <c r="G93" s="6" t="n"/>
      <c r="H93" s="6" t="n"/>
      <c r="I93" s="6" t="n"/>
    </row>
    <row r="94">
      <c r="A94" s="6" t="inlineStr">
        <is>
          <t>19    Total required stable funding (£'000)</t>
        </is>
      </c>
      <c r="B94" s="6" t="n"/>
      <c r="C94" s="6" t="n"/>
      <c r="D94" s="6" t="n"/>
      <c r="E94" s="6" t="n">
        <v>741481</v>
      </c>
      <c r="F94" s="6" t="n"/>
      <c r="G94" s="6" t="n"/>
      <c r="H94" s="6" t="n"/>
      <c r="I94" s="6" t="n"/>
    </row>
    <row r="95">
      <c r="A95" s="6" t="inlineStr">
        <is>
          <t>20    NSFR ratio</t>
        </is>
      </c>
      <c r="B95" s="6" t="n"/>
      <c r="C95" s="6" t="n"/>
      <c r="D95" s="6" t="n"/>
      <c r="E95" s="6" t="inlineStr">
        <is>
          <t>154.4%</t>
        </is>
      </c>
      <c r="F95" s="6" t="n"/>
      <c r="G95" s="6" t="n"/>
      <c r="H95" s="6" t="n"/>
      <c r="I95" s="6" t="n"/>
    </row>
    <row r="96">
      <c r="A96" s="5" t="inlineStr">
        <is>
          <t>BLOCK A - 'Summary of Key Metrics' as printed in the FY2019, FY2020 and FY2021 editions: ABBREVIATED AND UNNUMBERED, 10 rows only. The Bank printed no row numbers in these editions, so none are shown here; and it printed no Tier 1 capital row, no Total capital row, no SREP/overall capital requirement row and no NSFR block at all, so those are BLANK below rather than zero. FY2018 is the FY2019 edition's own 2018 comparative column.</t>
        </is>
      </c>
      <c r="B96" s="6" t="n"/>
      <c r="C96" s="6" t="n"/>
      <c r="D96" s="6" t="n"/>
      <c r="E96" s="6" t="n"/>
      <c r="F96" s="6" t="n"/>
      <c r="G96" s="6" t="n"/>
      <c r="H96" s="6" t="n"/>
      <c r="I96" s="6" t="n"/>
    </row>
    <row r="97">
      <c r="A97" s="5" t="inlineStr">
        <is>
          <t>Capital</t>
        </is>
      </c>
      <c r="B97" s="6" t="n"/>
      <c r="C97" s="6" t="n"/>
      <c r="D97" s="6" t="n"/>
      <c r="E97" s="6" t="n"/>
      <c r="F97" s="6" t="n"/>
      <c r="G97" s="6" t="n"/>
      <c r="H97" s="6" t="n"/>
      <c r="I97" s="6" t="n"/>
    </row>
    <row r="98">
      <c r="A98" s="6" t="inlineStr">
        <is>
          <t>Common Equity Tier 1 (CET1) (£'000)</t>
        </is>
      </c>
      <c r="B98" s="6" t="n"/>
      <c r="C98" s="6" t="n"/>
      <c r="D98" s="6" t="n"/>
      <c r="E98" s="6" t="n"/>
      <c r="F98" s="6" t="n">
        <v>104260</v>
      </c>
      <c r="G98" s="6" t="n">
        <v>87476</v>
      </c>
      <c r="H98" s="6" t="n">
        <v>79645</v>
      </c>
      <c r="I98" s="6" t="n">
        <v>71801</v>
      </c>
    </row>
    <row r="99">
      <c r="A99" s="6" t="inlineStr">
        <is>
          <t>Risk weighted assets (£'000)</t>
        </is>
      </c>
      <c r="B99" s="6" t="n"/>
      <c r="C99" s="6" t="n"/>
      <c r="D99" s="6" t="n"/>
      <c r="E99" s="6" t="n"/>
      <c r="F99" s="6" t="n">
        <v>589551</v>
      </c>
      <c r="G99" s="6" t="n">
        <v>524088</v>
      </c>
      <c r="H99" s="6" t="n">
        <v>453226</v>
      </c>
      <c r="I99" s="6" t="n">
        <v>372156</v>
      </c>
    </row>
    <row r="100">
      <c r="A100" s="6" t="inlineStr">
        <is>
          <t>Common Equity Tier 1 ratio (%)</t>
        </is>
      </c>
      <c r="B100" s="6" t="n"/>
      <c r="C100" s="6" t="n"/>
      <c r="D100" s="6" t="n"/>
      <c r="E100" s="6" t="n"/>
      <c r="F100" s="6" t="inlineStr">
        <is>
          <t>17.7%</t>
        </is>
      </c>
      <c r="G100" s="6" t="inlineStr">
        <is>
          <t>16.7%</t>
        </is>
      </c>
      <c r="H100" s="6" t="inlineStr">
        <is>
          <t>17.6%</t>
        </is>
      </c>
      <c r="I100" s="6" t="inlineStr">
        <is>
          <t>19.3%</t>
        </is>
      </c>
    </row>
    <row r="101">
      <c r="A101" s="5" t="inlineStr">
        <is>
          <t>Additional CET1 buffer requirements as a percentage of RWA</t>
        </is>
      </c>
      <c r="B101" s="6" t="n"/>
      <c r="C101" s="6" t="n"/>
      <c r="D101" s="6" t="n"/>
      <c r="E101" s="6" t="n"/>
      <c r="F101" s="6" t="n"/>
      <c r="G101" s="6" t="n"/>
      <c r="H101" s="6" t="n"/>
      <c r="I101" s="6" t="n"/>
    </row>
    <row r="102">
      <c r="A102" s="6" t="inlineStr">
        <is>
          <t>Capital conservation buffer requirement (%)</t>
        </is>
      </c>
      <c r="B102" s="6" t="n"/>
      <c r="C102" s="6" t="n"/>
      <c r="D102" s="6" t="n"/>
      <c r="E102" s="6" t="n"/>
      <c r="F102" s="6" t="inlineStr">
        <is>
          <t>2.5%</t>
        </is>
      </c>
      <c r="G102" s="6" t="inlineStr">
        <is>
          <t>2.5%</t>
        </is>
      </c>
      <c r="H102" s="6" t="inlineStr">
        <is>
          <t>2.5%</t>
        </is>
      </c>
      <c r="I102" s="6" t="inlineStr">
        <is>
          <t>1.875%</t>
        </is>
      </c>
    </row>
    <row r="103">
      <c r="A103" s="6" t="inlineStr">
        <is>
          <t>Countercyclical buffer requirement (%)</t>
        </is>
      </c>
      <c r="B103" s="6" t="n"/>
      <c r="C103" s="6" t="n"/>
      <c r="D103" s="6" t="n"/>
      <c r="E103" s="6" t="n"/>
      <c r="F103" s="6" t="inlineStr">
        <is>
          <t>0%</t>
        </is>
      </c>
      <c r="G103" s="6" t="inlineStr">
        <is>
          <t>0%</t>
        </is>
      </c>
      <c r="H103" s="6" t="inlineStr">
        <is>
          <t>1%</t>
        </is>
      </c>
      <c r="I103" s="6" t="inlineStr">
        <is>
          <t>1%</t>
        </is>
      </c>
    </row>
    <row r="104">
      <c r="A104" s="5" t="inlineStr">
        <is>
          <t>Basel III Leverage Ratio</t>
        </is>
      </c>
      <c r="B104" s="6" t="n"/>
      <c r="C104" s="6" t="n"/>
      <c r="D104" s="6" t="n"/>
      <c r="E104" s="6" t="n"/>
      <c r="F104" s="6" t="n"/>
      <c r="G104" s="6" t="n"/>
      <c r="H104" s="6" t="n"/>
      <c r="I104" s="6" t="n"/>
    </row>
    <row r="105">
      <c r="A105" s="6" t="inlineStr">
        <is>
          <t>Total Basel III leverage ratio exposure measure (£'000)</t>
        </is>
      </c>
      <c r="B105" s="6" t="n"/>
      <c r="C105" s="6" t="n"/>
      <c r="D105" s="6" t="n"/>
      <c r="E105" s="6" t="n"/>
      <c r="F105" s="6" t="n">
        <v>1673611</v>
      </c>
      <c r="G105" s="6" t="n">
        <v>1481176</v>
      </c>
      <c r="H105" s="6" t="n">
        <v>1162383</v>
      </c>
      <c r="I105" s="6" t="n">
        <v>1120424</v>
      </c>
    </row>
    <row r="106">
      <c r="A106" s="6" t="inlineStr">
        <is>
          <t>Basel III leverage ratio (%)</t>
        </is>
      </c>
      <c r="B106" s="6" t="n"/>
      <c r="C106" s="6" t="n"/>
      <c r="D106" s="6" t="n"/>
      <c r="E106" s="6" t="n"/>
      <c r="F106" s="6" t="inlineStr">
        <is>
          <t>5.7%</t>
        </is>
      </c>
      <c r="G106" s="6" t="inlineStr">
        <is>
          <t>5.9%</t>
        </is>
      </c>
      <c r="H106" s="6" t="inlineStr">
        <is>
          <t>6.9%</t>
        </is>
      </c>
      <c r="I106" s="6" t="inlineStr">
        <is>
          <t>6.4%</t>
        </is>
      </c>
    </row>
    <row r="107">
      <c r="A107" s="5" t="inlineStr">
        <is>
          <t>Liquidity Coverage Ratio</t>
        </is>
      </c>
      <c r="B107" s="6" t="n"/>
      <c r="C107" s="6" t="n"/>
      <c r="D107" s="6" t="n"/>
      <c r="E107" s="6" t="n"/>
      <c r="F107" s="6" t="n"/>
      <c r="G107" s="6" t="n"/>
      <c r="H107" s="6" t="n"/>
      <c r="I107" s="6" t="n"/>
    </row>
    <row r="108">
      <c r="A108" s="6" t="inlineStr">
        <is>
          <t>Total HQLA (£'000)</t>
        </is>
      </c>
      <c r="B108" s="6" t="n"/>
      <c r="C108" s="6" t="n"/>
      <c r="D108" s="6" t="n"/>
      <c r="E108" s="6" t="n"/>
      <c r="F108" s="6" t="n">
        <v>822783</v>
      </c>
      <c r="G108" s="6" t="n">
        <v>760666</v>
      </c>
      <c r="H108" s="6" t="n">
        <v>548149</v>
      </c>
      <c r="I108" s="6" t="n">
        <v>587850</v>
      </c>
    </row>
    <row r="109">
      <c r="A109" s="6" t="inlineStr">
        <is>
          <t>Total net cash outflow (£'000)</t>
        </is>
      </c>
      <c r="B109" s="6" t="n"/>
      <c r="C109" s="6" t="n"/>
      <c r="D109" s="6" t="n"/>
      <c r="E109" s="6" t="n"/>
      <c r="F109" s="6" t="n">
        <v>303007</v>
      </c>
      <c r="G109" s="6" t="n">
        <v>229721</v>
      </c>
      <c r="H109" s="6" t="n">
        <v>161586</v>
      </c>
      <c r="I109" s="6" t="n">
        <v>149557</v>
      </c>
    </row>
    <row r="110">
      <c r="A110" s="6" t="inlineStr">
        <is>
          <t>LCR ratio (%)</t>
        </is>
      </c>
      <c r="B110" s="6" t="n"/>
      <c r="C110" s="6" t="n"/>
      <c r="D110" s="6" t="n"/>
      <c r="E110" s="6" t="n"/>
      <c r="F110" s="6" t="inlineStr">
        <is>
          <t>272%</t>
        </is>
      </c>
      <c r="G110" s="6" t="inlineStr">
        <is>
          <t>331%</t>
        </is>
      </c>
      <c r="H110" s="6" t="inlineStr">
        <is>
          <t>339%</t>
        </is>
      </c>
      <c r="I110" s="6" t="inlineStr">
        <is>
          <t>393%</t>
        </is>
      </c>
    </row>
    <row r="112" ht="409" customHeight="1">
      <c r="A112" s="8" t="inlineStr">
        <is>
          <t>Sources - Unity Trust Bank Plc's own published 'Summary of Key Metrics' table, one edition per year, each year taken from the edition in which it is the REPORTING year (never from a later edition's comparative column) with the single documented exception of FY2018. Printed folio numbers, as stated in each page's own footer (the PDF sheet index and the printed folio coincide in every edition here):
FY2025: Pillar 3 Disclosures 2025, printed p.6 - https://assets.unity.co.uk/Unity-Trust-Bank-PILLAR3-2025-1.pdf
FY2024: Pillar 3 Disclosures 2024, printed p.6 - https://assets.unity.co.uk/Unity-Trust-Bank-PILLAR3-2024.pdf
FY2023: Pillar 3 Disclosures 2023, printed p.6 - https://assets.unity.co.uk/Unity-Trust-Bank-PILLAR3-2023-1.pdf
FY2022: Pillar 3 Disclosures 2022, printed p.5 - https://assets.unity.co.uk/2023/03/Unity-Trust-Bank_2022-Pillar-3-Disclosures.pdf
FY2021: Pillar 3 Disclosures 2021, printed p.4 - https://assets.unity.co.uk/2022/08/PILLAR3-2021-FINAL.pdf
FY2020: Pillar 3 Disclosures 2020, printed p.3 - https://web.archive.org/web/20221124023931id_/https://assets.unity.co.uk/2022/08/PILLAR3-2020-Final.pdf
FY2019: Pillar 3 Disclosures 2019, printed p.3 ('Page 3' in the footer) - https://assets.unity.co.uk/Unity-Trust-Bank-PILLAR3-2019.pdf
FY2018: Pillar 3 Disclosures 2019, printed p.3, 2018 COMPARATIVE column - https://assets.unity.co.uk/Unity-Trust-Bank-PILLAR3-2019.pdf. A standalone FY2018 Pillar 3 document is not obtainable (not live on unity.co.uk, and the only Wayback capture of its known filename is a 345-byte error page - checked via a full CDX search of the unity.co.uk domain for every 'pillar' filename ever archived), so FY2018 is filled from the FY2019 edition's own comparative and is flagged as such here.
WHY FOUR BLOCKS. This is a reproduction of what the Bank printed, not a normalised view, and Unity REUSES ITS ROW NUMBERS FOR DIFFERENT METRICS between editions - so the blocks are kept apart and nothing is merged across them. Reading down a single column is therefore correct; reading across a row between blocks is not, because no row appears in more than one block. Specifically: row 10 is the G-SIB/D-SIB requirement in the FY2022 edition but the combined buffer requirement in FY2023-FY2025; row 11 is the combined buffer in FY2022 but the overall capital requirement in FY2024/FY2025 (and is printed as '11a' in FY2023, with no row 11 at all); rows 13/14 are the Basel III leverage exposure and ratio in FY2022/FY2023 but the UK leverage ratio and the Basel III exposure measure in FY2024/FY2025; and every LCR and NSFR row number shifts by one between FY2023 and FY2024. Plain '7a' in the FY2022 edition is the FULLY LOADED total capital ratio - it is NOT the UK template's 'UK 7a' additional CET1 SREP requirement, which Unity has never published.
WHAT THE FY2019-FY2021 EDITIONS DO NOT PUBLISH (Block A). Those three editions print an abbreviated, UNNUMBERED version of the same table with ten rows. No row numbers are shown here because the Bank printed none - attaching template numbers would assert a correspondence it never published. Those editions carry no Tier 1 capital row, no Total capital row, no SREP or overall-capital-requirement row, and no NSFR block, so those cells are BLANK: the row was not printed, which is neither a zero nor a row we failed to locate. For the avoidance of doubt about where those figures DO exist: the FY2022 edition's 31-Dec-21 comparative column prints Tier 1 104,260, Total capital 104,260, ASF 1,077,138, RSF 628,367 and NSFR 171.4% for that date, and that comparative is where the Tier 1 Capital, Total Capital and NSFR sheets in this workbook source their FY2021 figures - it is deliberately NOT carried onto this sheet, because this sheet reproduces each edition's own table. No edition anywhere prints a Tier 1, Total capital or NSFR figure for 31-Dec-20, 31-Dec-19 or 31-Dec-18 on any basis.
ZERO GLYPHS (checked at the character level, and every table also read as a rendered image). Unity uses no dashes and no empty cells inside any of the four tables - every cell that exists carries a figure. The zeros that appear are PRINTED zeros and are kept as zeros: the FY2022 edition's row 9 countercyclical buffer 1% / row 10 G-SIB 0%, and the FY2019-FY2021 editions' countercyclical buffer 0% (2021, 2020) and 1% (2019, 2018).
PRECISION IS THE BANK'S OWN and is not harmonised: the LCR ratio is printed to no decimal places in the FY2019-FY2023 editions (339%, 331%, 272%, 220%, 210%) and to two from FY2024 (227.95%, 225.76%); the CET1 ratio is one decimal place to FY2021 and two from FY2022; the FY2018 capital conservation buffer is printed to three (1.875%), the year the 2.5% buffer was still phasing in.
SOURCE DEFECT REPRODUCED, NOT CORRECTED: the FY2023 edition's row 11a caption is printed twice inside the one cell - 'Overall capital requirement (%)Overall capital requirements (%)'. Confirmed by rendering printed p.6 of that PDF at 150 dpi, so it is a defect in the published document rather than a text-extraction artefact, and it is shown here as published.</t>
        </is>
      </c>
    </row>
    <row r="114" ht="409" customHeight="1">
      <c r="A114" s="8" t="inlineStr">
        <is>
          <t>(continued)
LCR BASIS: every edition footnotes the LCR block as at 31 December, NOT a trailing average, and says so explicitly - 'LCR balances included above are as of 31 December and do not agree to LCR balances disclosed in section 3.4 which reports average LCR balances.'
ENTITY (one entity throughout, no second basis and no second copy of the table): every edition is titled 'Unity Trust Bank plc', and §1.7 Scope of disclosures states 'The Bank has no trading subsidiaries. The information disclosed therefore relates to Unity Trust Bank plc only.' Each edition prints the table exactly once, with one reporting-year column and one prior-year comparative column.
LATEST-EDITION CHECK 2026-09-17 against the Bank's own website (not Wayback and not our cited URLs). unity.co.uk is JavaScript-rendered, so the document index was reached via unity.co.uk/robots.txt -&gt; sitemap_index.xml -&gt; page-sitemap.xml -&gt; /about-us/financial-profile/, which is static HTML and carries every document link. Newest Pillar 3 published = 2025; newest Report &amp; Accounts = 2025. Both are already held here, so this workbook is not an edition behind. (The investor-relations page links the 2025 Pillar 3 as '...PILLAR3-2025.pdf' and the financial-profile page as '...PILLAR3-2025-1.pdf'; both URLs return the identical 564,950-byte file - one edition under two names, not two editions.) Link-rot note: that index still links '/2022/08/PILLAR3-2020-Final.pdf' and '/2020/03/PILLAR3-2019-Board_post_v2.pdf', but both now return an empty HTTP 200 text/html body rather than a PDF, which is why FY2020 is cited to a Wayback capture; the FY2019 edition remains live under its other filename, cited above.
ENTITY NOTE: Unity Trust Bank Plc (FRN 204570) is an independent UK bank with no ultimate parent company - owned by a mix of trade unions, co-operative and charitable bodies, and other institutions, focused on lending to charities, social enterprises, housing providers, SMEs and public sector bodies. Its own accounts state it 'does not have an ultimate parent company'. The Bank presents its results on an 'extended entity basis' combining itself with a small dormant subsidiary, Unity EBT Limited (the trustee of an employee share scheme, one £1 ordinary share, 100% held) - not a full IFRS 10 consolidation, which the Bank elected not to apply on materiality grounds (Companies Act 2006 s405(2)); in practice this makes no discernible difference to the figures. All years reconcile exactly (operating + investing + financing = net change; opening + net change = closing) with no restatements or presentation-basis changes across the 8 years covered (FY2018-FY2025). The Bank adopted IFRS 9 with effect from 1 January 2018 (comparative FY2017 not restated - not itself in the years covered here) and IFRS 16 with effect from 1 January 2019 (Right-of-use assets first appear FY2019 onward; FY2018 has none).</t>
        </is>
      </c>
    </row>
  </sheetData>
  <mergeCells count="2">
    <mergeCell ref="A112:I112"/>
    <mergeCell ref="A114:I1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259127</v>
      </c>
      <c r="C4" s="6" t="n">
        <v>222740</v>
      </c>
      <c r="D4" s="6" t="n">
        <v>172898</v>
      </c>
      <c r="E4" s="6" t="n">
        <v>122931</v>
      </c>
      <c r="F4" s="6" t="n">
        <v>104260</v>
      </c>
      <c r="G4" s="6" t="n">
        <v>87476</v>
      </c>
      <c r="H4" s="6" t="n">
        <v>79645</v>
      </c>
      <c r="I4" s="6" t="n">
        <v>71801</v>
      </c>
    </row>
    <row r="5" ht="30" customHeight="1">
      <c r="A5" s="7" t="inlineStr">
        <is>
          <t>Note: The Bank has no Additional Tier 1 or Tier 2 capital instruments in any year shown - CET1 capital, Tier 1 capital and Total capital are identical figures throughout. FY2018-FY2020 figures also independently tie to the CET1 capital shown in each year's own Annual Report &amp; Accounts capital management note.</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CET1 ratio</t>
        </is>
      </c>
      <c r="B4" s="6" t="inlineStr">
        <is>
          <t>24.33%</t>
        </is>
      </c>
      <c r="C4" s="6" t="inlineStr">
        <is>
          <t>24.05%</t>
        </is>
      </c>
      <c r="D4" s="6" t="inlineStr">
        <is>
          <t>19.68%</t>
        </is>
      </c>
      <c r="E4" s="6" t="inlineStr">
        <is>
          <t>18.27%</t>
        </is>
      </c>
      <c r="F4" s="6" t="inlineStr">
        <is>
          <t>17.7%</t>
        </is>
      </c>
      <c r="G4" s="6" t="inlineStr">
        <is>
          <t>16.7%</t>
        </is>
      </c>
      <c r="H4" s="6" t="inlineStr">
        <is>
          <t>17.6%</t>
        </is>
      </c>
      <c r="I4" s="6" t="inlineStr">
        <is>
          <t>19.3%</t>
        </is>
      </c>
    </row>
    <row r="6" ht="143" customHeight="1">
      <c r="A6"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1">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259127</v>
      </c>
      <c r="C4" s="6" t="n">
        <v>222740</v>
      </c>
      <c r="D4" s="6" t="n">
        <v>172898</v>
      </c>
      <c r="E4" s="6" t="n">
        <v>122931</v>
      </c>
      <c r="F4" s="6" t="n">
        <v>104260</v>
      </c>
      <c r="G4" s="6" t="n">
        <v>87476</v>
      </c>
      <c r="H4" s="6" t="n">
        <v>79645</v>
      </c>
      <c r="I4" s="6" t="n">
        <v>71801</v>
      </c>
    </row>
    <row r="5" ht="30" customHeight="1">
      <c r="A5" s="7" t="inlineStr">
        <is>
          <t>Note: Equal to CET1 capital in every year - the Bank has no Additional Tier 1 capital instruments.</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24.33%</t>
        </is>
      </c>
      <c r="C4" s="6" t="inlineStr">
        <is>
          <t>24.05%</t>
        </is>
      </c>
      <c r="D4" s="6" t="inlineStr">
        <is>
          <t>19.68%</t>
        </is>
      </c>
      <c r="E4" s="6" t="inlineStr">
        <is>
          <t>18.27%</t>
        </is>
      </c>
      <c r="F4" s="6" t="inlineStr">
        <is>
          <t>17.69%</t>
        </is>
      </c>
      <c r="G4" s="6" t="inlineStr">
        <is>
          <t>16.7%</t>
        </is>
      </c>
      <c r="H4" s="6" t="inlineStr">
        <is>
          <t>17.6%</t>
        </is>
      </c>
      <c r="I4" s="6" t="inlineStr">
        <is>
          <t>19.3%</t>
        </is>
      </c>
    </row>
    <row r="5" ht="39" customHeight="1">
      <c r="A5" s="7" t="inlineStr">
        <is>
          <t>Note: FY2021's own Pillar 3 report only stated a CET1 ratio (no separate Tier 1 figure); the FY2021 Tier 1 ratio shown here (17.69%) is taken from the FY2022 Pillar 3 report's own FY2021 comparative column, which confirms Tier 1 capital equalled CET1 capital that year too. FY2018-FY2020's own Pillar 3 reports likewise only state a single 'Common Equity Tier 1 ratio' - shown here too, since Tier 1 capital equals CET1 capital in those years as well (no Additional Tier 1 instruments).</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259127</v>
      </c>
      <c r="C4" s="6" t="n">
        <v>222740</v>
      </c>
      <c r="D4" s="6" t="n">
        <v>172898</v>
      </c>
      <c r="E4" s="6" t="n">
        <v>122931</v>
      </c>
      <c r="F4" s="6" t="n">
        <v>104260</v>
      </c>
      <c r="G4" s="6" t="n">
        <v>87476</v>
      </c>
      <c r="H4" s="6" t="n">
        <v>79645</v>
      </c>
      <c r="I4" s="6" t="n">
        <v>71801</v>
      </c>
    </row>
    <row r="5" ht="30" customHeight="1">
      <c r="A5" s="7" t="inlineStr">
        <is>
          <t>Note: Equal to CET1 capital in every year - the Bank has no Tier 2 capital instruments.</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24.33%</t>
        </is>
      </c>
      <c r="C4" s="6" t="inlineStr">
        <is>
          <t>24.05%</t>
        </is>
      </c>
      <c r="D4" s="6" t="inlineStr">
        <is>
          <t>19.68%</t>
        </is>
      </c>
      <c r="E4" s="6" t="inlineStr">
        <is>
          <t>18.27%</t>
        </is>
      </c>
      <c r="F4" s="6" t="inlineStr">
        <is>
          <t>17.69%</t>
        </is>
      </c>
      <c r="G4" s="6" t="inlineStr">
        <is>
          <t>16.7%</t>
        </is>
      </c>
      <c r="H4" s="6" t="inlineStr">
        <is>
          <t>17.6%</t>
        </is>
      </c>
      <c r="I4" s="6" t="inlineStr">
        <is>
          <t>19.3%</t>
        </is>
      </c>
    </row>
    <row r="5" ht="30" customHeight="1">
      <c r="A5" s="7" t="inlineStr">
        <is>
          <t>Note: FY2021's own Pillar 3 report only stated a CET1 ratio; the FY2021 figure shown here is taken from the FY2022 Pillar 3 report's own FY2021 comparative column (see Tier 1 Ratio sheet note). FY2018-FY2020 shown on the same CET1-equals-Total-Capital basis (see Total Capital sheet note).</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assets (RWA)</t>
        </is>
      </c>
      <c r="B4" s="6" t="n">
        <v>1065248</v>
      </c>
      <c r="C4" s="6" t="n">
        <v>925984</v>
      </c>
      <c r="D4" s="6" t="n">
        <v>878472</v>
      </c>
      <c r="E4" s="6" t="n">
        <v>672893</v>
      </c>
      <c r="F4" s="6" t="n">
        <v>589551</v>
      </c>
      <c r="G4" s="6" t="n">
        <v>524088</v>
      </c>
      <c r="H4" s="6" t="n">
        <v>453226</v>
      </c>
      <c r="I4" s="6" t="n">
        <v>372156</v>
      </c>
    </row>
    <row r="6" ht="143" customHeight="1">
      <c r="A6"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1">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RWA Breakdown</t>
        </is>
      </c>
    </row>
    <row r="2">
      <c r="A2" s="2" t="inlineStr">
        <is>
          <t>Risk weighted exposure amounts by category, Standardised approach,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6" t="inlineStr">
        <is>
          <t>Total credit risk</t>
        </is>
      </c>
      <c r="B4" s="6" t="n">
        <v>883650</v>
      </c>
      <c r="C4" s="6" t="n">
        <v>774294</v>
      </c>
      <c r="D4" s="6" t="n">
        <v>775509</v>
      </c>
      <c r="E4" s="6" t="n">
        <v>613975</v>
      </c>
      <c r="F4" s="6" t="n">
        <v>550200</v>
      </c>
      <c r="G4" s="6" t="n">
        <v>484737</v>
      </c>
      <c r="H4" s="6" t="n">
        <v>418750</v>
      </c>
      <c r="I4" s="6" t="n">
        <v>344214</v>
      </c>
    </row>
    <row r="5">
      <c r="A5" s="6" t="inlineStr">
        <is>
          <t>Operational risk</t>
        </is>
      </c>
      <c r="B5" s="6" t="n">
        <v>180965</v>
      </c>
      <c r="C5" s="6" t="n">
        <v>151062</v>
      </c>
      <c r="D5" s="6" t="n">
        <v>102963</v>
      </c>
      <c r="E5" s="6" t="n">
        <v>58918</v>
      </c>
      <c r="F5" s="6" t="n">
        <v>39351</v>
      </c>
      <c r="G5" s="6" t="n">
        <v>39351</v>
      </c>
      <c r="H5" s="6" t="n">
        <v>34476</v>
      </c>
      <c r="I5" s="6" t="n">
        <v>27942</v>
      </c>
    </row>
    <row r="6">
      <c r="A6" s="6" t="inlineStr">
        <is>
          <t>Credit Valuation Adjustment</t>
        </is>
      </c>
      <c r="B6" s="6" t="n">
        <v>633</v>
      </c>
      <c r="C6" s="6" t="n">
        <v>628</v>
      </c>
      <c r="D6" s="6" t="n"/>
      <c r="E6" s="6" t="n"/>
      <c r="F6" s="6" t="n"/>
      <c r="G6" s="6" t="n"/>
      <c r="H6" s="6" t="n"/>
      <c r="I6" s="6" t="n"/>
    </row>
    <row r="7">
      <c r="A7" s="5" t="inlineStr">
        <is>
          <t>Total RWA</t>
        </is>
      </c>
      <c r="B7" s="5" t="n">
        <v>1065248</v>
      </c>
      <c r="C7" s="5" t="n">
        <v>925984</v>
      </c>
      <c r="D7" s="5" t="n">
        <v>878472</v>
      </c>
      <c r="E7" s="5" t="n">
        <v>672893</v>
      </c>
      <c r="F7" s="5" t="n">
        <v>589551</v>
      </c>
      <c r="G7" s="5" t="n">
        <v>524088</v>
      </c>
      <c r="H7" s="5" t="n">
        <v>453226</v>
      </c>
      <c r="I7" s="5" t="n">
        <v>372156</v>
      </c>
    </row>
    <row r="9" ht="150" customHeight="1">
      <c r="A9" s="8" t="inlineStr">
        <is>
          <t>Sources - Unity Trust Bank Plc's own 'Risk weighted exposure amounts and Pillar 1 capital requirements' tables (Standardised approach; not a UK OV1-formatted table, but the Bank's own full RWA-by-category breakdown):
FY2025 &amp; FY2024: Pillar 3 Disclosures 2025, p.15 - https://assets.unity.co.uk/Unity-Trust-Bank-PILLAR3-2025-1.pdf
FY2023 &amp; FY2022: Pillar 3 Disclosures 2023, p.17 - https://assets.unity.co.uk/Unity-Trust-Bank-PILLAR3-2023-1.pdf
FY2021: Pillar 3 Disclosures 2021, p.15 - https://assets.unity.co.uk/2022/08/PILLAR3-2021-FINAL.pdf
FY2020 &amp; FY2019: Pillar 3 Disclosures 2020, p.15 - https://web.archive.org/web/20221124023931id_/https://assets.unity.co.uk/2022/08/PILLAR3-2020-Final.pdf
FY2018: Pillar 3 Disclosures 2019, p.14 (2018 comparative column) - https://assets.unity.co.uk/Unity-Trust-Bank-PILLAR3-2019.pdf
Each year's category rows sum exactly to that year's own Total RWA figure (see Total RWAs sheet). A separate 'Credit Valuation Adjustment' risk category first appears in the FY2024 Pillar 3 report - FY2018-FY2023 have no such line (left blank, not zero, since the category wasn't disclosed those years).</t>
        </is>
      </c>
    </row>
  </sheetData>
  <mergeCells count="1">
    <mergeCell ref="A9:I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UK leverage ratio exposure measure</t>
        </is>
      </c>
      <c r="B4" s="6" t="n">
        <v>2045234</v>
      </c>
      <c r="C4" s="6" t="n">
        <v>1394612</v>
      </c>
      <c r="D4" s="6" t="n"/>
      <c r="E4" s="6" t="n"/>
      <c r="F4" s="6" t="n"/>
      <c r="G4" s="6" t="n"/>
      <c r="H4" s="6" t="n"/>
      <c r="I4" s="6" t="n"/>
    </row>
    <row r="5">
      <c r="A5" s="6" t="inlineStr">
        <is>
          <t>UK leverage ratio, excl. temporary central bank reserves exemption (%)</t>
        </is>
      </c>
      <c r="B5" s="6" t="inlineStr">
        <is>
          <t>12.67%</t>
        </is>
      </c>
      <c r="C5" s="6" t="inlineStr">
        <is>
          <t>15.97%</t>
        </is>
      </c>
      <c r="D5" s="6" t="n"/>
      <c r="E5" s="6" t="n"/>
      <c r="F5" s="6" t="n"/>
      <c r="G5" s="6" t="n"/>
      <c r="H5" s="6" t="n"/>
      <c r="I5" s="6" t="n"/>
    </row>
    <row r="6">
      <c r="A6" s="6" t="inlineStr">
        <is>
          <t>Total Basel III leverage ratio exposure measure</t>
        </is>
      </c>
      <c r="B6" s="6" t="n">
        <v>2263918</v>
      </c>
      <c r="C6" s="6" t="n">
        <v>2016510</v>
      </c>
      <c r="D6" s="6" t="n">
        <v>1797760</v>
      </c>
      <c r="E6" s="6" t="n">
        <v>1710211</v>
      </c>
      <c r="F6" s="6" t="n">
        <v>1673611</v>
      </c>
      <c r="G6" s="6" t="n">
        <v>1481176</v>
      </c>
      <c r="H6" s="6" t="n">
        <v>1162383</v>
      </c>
      <c r="I6" s="6" t="n">
        <v>1120424</v>
      </c>
    </row>
    <row r="7">
      <c r="A7" s="6" t="inlineStr">
        <is>
          <t>Basel III leverage ratio, incl. temporary central bank reserves exemption (%)</t>
        </is>
      </c>
      <c r="B7" s="6" t="inlineStr">
        <is>
          <t>11.45%</t>
        </is>
      </c>
      <c r="C7" s="6" t="inlineStr">
        <is>
          <t>11.05%</t>
        </is>
      </c>
      <c r="D7" s="6" t="inlineStr">
        <is>
          <t>9.62%</t>
        </is>
      </c>
      <c r="E7" s="6" t="inlineStr">
        <is>
          <t>7.19%</t>
        </is>
      </c>
      <c r="F7" s="6" t="inlineStr">
        <is>
          <t>5.7%</t>
        </is>
      </c>
      <c r="G7" s="6" t="inlineStr">
        <is>
          <t>5.9%</t>
        </is>
      </c>
      <c r="H7" s="6" t="inlineStr">
        <is>
          <t>6.9%</t>
        </is>
      </c>
      <c r="I7" s="6" t="inlineStr">
        <is>
          <t>6.4%</t>
        </is>
      </c>
    </row>
    <row r="8" ht="65" customHeight="1">
      <c r="A8" s="7" t="inlineStr">
        <is>
          <t>Note: Unity introduced a separate 'UK leverage ratio' (excluding the temporary central bank reserves exemption) alongside its existing 'Basel III leverage ratio' (including that exemption) from the FY2024 Pillar 3 report onward - FY2018-FY2023 only ever disclosed the Basel III basis. FY2021's Basel III leverage ratio is shown here as originally reported that year (5.7%); the FY2022 Pillar 3 report's own FY2021 comparative column restates this to 6.23% (including)/6.22% (excluding the exemption) - a basis change, not a data error, so the original 5.7% figure is kept as the primary FY2021 value. FY2018-FY2020 ratios shown as each year's own summary 'Summary of Key Metrics' figure (5.9%/6.9%/6.4%); the more granular 'Leverage ratio common disclosure template' elsewhere in the same reports computes these to one more decimal place (5.91%/6.85%/6.41%) - an immaterial rounding difference within the same report, not a restatement.</t>
        </is>
      </c>
    </row>
    <row r="10" ht="143" customHeight="1">
      <c r="A10"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10:I10"/>
    <mergeCell ref="A8:I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t>
        </is>
      </c>
      <c r="B4" s="6" t="n">
        <v>915263</v>
      </c>
      <c r="C4" s="6" t="n">
        <v>913969</v>
      </c>
      <c r="D4" s="6" t="n">
        <v>697018</v>
      </c>
      <c r="E4" s="6" t="n">
        <v>782783</v>
      </c>
      <c r="F4" s="6" t="n">
        <v>822783</v>
      </c>
      <c r="G4" s="6" t="n">
        <v>760666</v>
      </c>
      <c r="H4" s="6" t="n">
        <v>548149</v>
      </c>
      <c r="I4" s="6" t="n">
        <v>587850</v>
      </c>
    </row>
    <row r="5">
      <c r="A5" s="6" t="inlineStr">
        <is>
          <t>Total net cash outflow</t>
        </is>
      </c>
      <c r="B5" s="6" t="n">
        <v>405412</v>
      </c>
      <c r="C5" s="6" t="n">
        <v>400945</v>
      </c>
      <c r="D5" s="6" t="n">
        <v>332338</v>
      </c>
      <c r="E5" s="6" t="n">
        <v>355595</v>
      </c>
      <c r="F5" s="6" t="n">
        <v>303007</v>
      </c>
      <c r="G5" s="6" t="n">
        <v>229721</v>
      </c>
      <c r="H5" s="6" t="n">
        <v>161586</v>
      </c>
      <c r="I5" s="6" t="n">
        <v>149557</v>
      </c>
    </row>
    <row r="6">
      <c r="A6" s="6" t="inlineStr">
        <is>
          <t>Liquidity Coverage Ratio (%)</t>
        </is>
      </c>
      <c r="B6" s="6" t="inlineStr">
        <is>
          <t>225.76%</t>
        </is>
      </c>
      <c r="C6" s="6" t="inlineStr">
        <is>
          <t>227.95%</t>
        </is>
      </c>
      <c r="D6" s="6" t="inlineStr">
        <is>
          <t>210%</t>
        </is>
      </c>
      <c r="E6" s="6" t="inlineStr">
        <is>
          <t>220%</t>
        </is>
      </c>
      <c r="F6" s="6" t="inlineStr">
        <is>
          <t>272%</t>
        </is>
      </c>
      <c r="G6" s="6" t="inlineStr">
        <is>
          <t>331%</t>
        </is>
      </c>
      <c r="H6" s="6" t="inlineStr">
        <is>
          <t>339%</t>
        </is>
      </c>
      <c r="I6" s="6" t="inlineStr">
        <is>
          <t>393%</t>
        </is>
      </c>
    </row>
    <row r="7" ht="30" customHeight="1">
      <c r="A7" s="7" t="inlineStr">
        <is>
          <t>Note: LCR figures are as at year-end (31 December), not a trailing average - per the Pillar 3 report's own footnote, this does not agree to the average LCR balances disclosed elsewhere in the same report.</t>
        </is>
      </c>
    </row>
    <row r="9" ht="143" customHeight="1">
      <c r="A9"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7:I7"/>
    <mergeCell ref="A9:I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available stable funding</t>
        </is>
      </c>
      <c r="B4" s="6" t="n">
        <v>1420532</v>
      </c>
      <c r="C4" s="6" t="n">
        <v>1303839</v>
      </c>
      <c r="D4" s="6" t="n">
        <v>1200480</v>
      </c>
      <c r="E4" s="6" t="n">
        <v>1144865</v>
      </c>
      <c r="F4" s="6" t="n">
        <v>1077138</v>
      </c>
      <c r="G4" s="6" t="n"/>
      <c r="H4" s="6" t="n"/>
      <c r="I4" s="6" t="n"/>
    </row>
    <row r="5">
      <c r="A5" s="6" t="inlineStr">
        <is>
          <t>Total required stable funding</t>
        </is>
      </c>
      <c r="B5" s="6" t="n">
        <v>955318</v>
      </c>
      <c r="C5" s="6" t="n">
        <v>845763</v>
      </c>
      <c r="D5" s="6" t="n">
        <v>909694</v>
      </c>
      <c r="E5" s="6" t="n">
        <v>741481</v>
      </c>
      <c r="F5" s="6" t="n">
        <v>628367</v>
      </c>
      <c r="G5" s="6" t="n"/>
      <c r="H5" s="6" t="n"/>
      <c r="I5" s="6" t="n"/>
    </row>
    <row r="6">
      <c r="A6" s="6" t="inlineStr">
        <is>
          <t>Net Stable Funding Ratio (%)</t>
        </is>
      </c>
      <c r="B6" s="6" t="inlineStr">
        <is>
          <t>148.70%</t>
        </is>
      </c>
      <c r="C6" s="6" t="inlineStr">
        <is>
          <t>154.16%</t>
        </is>
      </c>
      <c r="D6" s="6" t="inlineStr">
        <is>
          <t>131.97%</t>
        </is>
      </c>
      <c r="E6" s="6" t="inlineStr">
        <is>
          <t>154.4%</t>
        </is>
      </c>
      <c r="F6" s="6" t="inlineStr">
        <is>
          <t>171.4%</t>
        </is>
      </c>
      <c r="G6" s="6" t="inlineStr">
        <is>
          <t>Not published – Unity Pillar 3 FY2020 mentions NSFR only as a forthcoming CRR II change; no figure there or in the FY2020 Annual Report (OCR, 2026-09-19).</t>
        </is>
      </c>
      <c r="H6" s="6" t="inlineStr">
        <is>
          <t>Not published – Unity Pillar 3 FY2019 mentions NSFR only as a forthcoming CRR II change; no figure there or in the FY2019 Annual Report (OCR, 2026-09-19).</t>
        </is>
      </c>
      <c r="I6" s="6" t="inlineStr">
        <is>
          <t>Not published – Unity Pillar 3 FY2018 (Common Crawl copy, 22pp): contents p.2 and Summary of Key Metrics p.3 have no NSFR; text 0 hits on all pages (read 2026-09-19).</t>
        </is>
      </c>
    </row>
    <row r="7" ht="143" customHeight="1">
      <c r="A7" s="7" t="inlineStr">
        <is>
          <t>Note: FY2021's own Pillar 3 report did not disclose NSFR at all; the FY2021 figures shown here are taken from the FY2022 Pillar 3 report's own FY2021 comparative column instead. NSFR reporting only became a live CRR II requirement being phased in through 2020-2021 (per the Bank's own FY2019 and FY2020 Pillar 3 reports, both read in full) - neither the FY2019 nor the FY2020 Pillar 3 report discloses an NSFR figure at all (for any year, including as a prior-year comparative), so those two years are not published rather than merely unsourced. FY2018's own Pillar 3 has not been obtained: the Bank linked it as PILLAR3-2018-Final-Clean.pdf at www.unity.co.uk/content/uploads/ (financial-profile page, Wayback 20190721152234) and at assets.unity.co.uk/2019/03/; both are gone live, the first was never archived and the second's only Wayback capture is a 345-byte HTML page (checked 2026-09-19).
FY2018 RESOLVED (GA-020 cdn-sweep, 2026-09-19): the archived financial-profile page (Wayback 20191119205714) links the edition at a THIRD address, the timestamped WordPress-offload path https://assets.unity.co.uk/content/uploads/20191004122817/PILLAR3-2018-Final-Clean.pdf. That URL is dead live (soft-200 empty text/html) and never captured by Wayback, but Common Crawl captured it on 2020-04-08 (crawl CC-MAIN-2020-16, WARC crawl-data/CC-MAIN-2020-16/segments/1585371813538.73/warc/CC-MAIN-20200408104113-20200408134613-00477.warc.gz, offset 351545006, length 484042; retrieve with an HTTP Range request against https://data.commoncrawl.org/). The payload is a complete PDF (%PDF, %%EOF, 22 pages) titled 'Unity Trust Bank plc Pillar 3 disclosures 2018', 31 December 2018. Its contents (p.2) has sections for LCR (3.4, p.17) and leverage (3.8, p.19) and none for NSFR; its Summary of Key Metrics (p.3, read on the page image) lists CET1, RWA, buffers, the Basel III leverage ratio and the LCR and no NSFR row; the text layer (present on all 22 pages; the only images, on p.6 and p.11, are committee diagrams) has no occurrence of 'NSFR' or 'net stable funding'. FY2018 is therefore NOT PUBLISHED, from the edition itself.</t>
        </is>
      </c>
    </row>
    <row r="9" ht="143" customHeight="1">
      <c r="A9"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7:I7"/>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Unity Trust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requirement (= Total Capital Requirement, %)</t>
        </is>
      </c>
      <c r="B4" s="6" t="inlineStr">
        <is>
          <t>10.69%</t>
        </is>
      </c>
      <c r="C4" s="6" t="inlineStr">
        <is>
          <t>10.69%</t>
        </is>
      </c>
      <c r="D4" s="6" t="inlineStr">
        <is>
          <t>10.69%</t>
        </is>
      </c>
      <c r="E4" s="6" t="inlineStr">
        <is>
          <t>10.10%</t>
        </is>
      </c>
      <c r="F4" s="6" t="inlineStr">
        <is>
          <t>10.14%</t>
        </is>
      </c>
      <c r="G4" s="6" t="inlineStr">
        <is>
          <t>10.18%</t>
        </is>
      </c>
      <c r="H4" s="6" t="inlineStr">
        <is>
          <t>10.55%</t>
        </is>
      </c>
      <c r="I4" s="6" t="inlineStr">
        <is>
          <t>10.65%</t>
        </is>
      </c>
    </row>
    <row r="5" ht="30" customHeight="1">
      <c r="A5" s="7" t="inlineStr">
        <is>
          <t>Note: Unity is in the lowest resolution risk category, where its MREL requirement is set to equal its Total Capital Requirement (TCR) - no separate numeric MREL resources figure or MREL ratio distinct from TCR is published in any year.</t>
        </is>
      </c>
    </row>
    <row r="7" ht="143" customHeight="1">
      <c r="A7" s="8" t="inlineStr">
        <is>
          <t>Sources - Unity Trust Bank Plc Pillar 3 Disclosures, 'Summary of Key Metrics' table:
FY2025: Pillar 3 Disclosures 2025, p.6 - https://assets.unity.co.uk/Unity-Trust-Bank-PILLAR3-2025-1.pdf
FY2024: Pillar 3 Disclosures 2024, p.6 - https://assets.unity.co.uk/Unity-Trust-Bank-PILLAR3-2024.pdf
FY2023: Pillar 3 Disclosures 2023, p.6 - https://assets.unity.co.uk/Unity-Trust-Bank-PILLAR3-2023-1.pdf
FY2022: Pillar 3 Disclosures 2022, p.5 - https://assets.unity.co.uk/2023/03/Unity-Trust-Bank_2022-Pillar-3-Disclosures.pdf
FY2021: Pillar 3 Disclosures 2021, p.4 (Tier 1/Total Capital and NSFR rows sourced instead from the following year's comparative column, Pillar 3 Disclosures 2022, p.5, since the 2021 report itself only published CET1 and LCR) - https://assets.unity.co.uk/2022/08/PILLAR3-2021-FINAL.pdf / https://assets.unity.co.uk/2023/03/Unity-Trust-Bank_2022-Pillar-3-Disclosures.pdf
FY2020: Pillar 3 Disclosures 2020, p.3 - https://web.archive.org/web/20221124023931id_/https://assets.unity.co.uk/2022/08/PILLAR3-2020-Final.pdf
FY2019: Pillar 3 Disclosures 2019, p.3 - https://assets.unity.co.uk/Unity-Trust-Bank-PILLAR3-2019.pdf
FY2018: Pillar 3 Disclosures 2019, p.3 (2018 comparative column) - https://assets.unity.co.uk/Unity-Trust-Bank-PILLAR3-2019.pdf - a standalone FY2018 Pillar 3 document is not obtainable (not live on unity.co.uk, and the only Wayback Machine capture of its known filename is a 345-byte error page, not the PDF - checked via a full CDX search of the unity.co.uk domain for every 'pillar' filename ever archived, not just the one filename a prior scan had flagged).</t>
        </is>
      </c>
    </row>
  </sheetData>
  <mergeCells count="2">
    <mergeCell ref="A5:I5"/>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2026-10-10T15:08:44Z</dcterms:created>
  <dcterms:modified xmlns:dcterms="http://purl.org/dc/terms/" xmlns:xsi="http://www.w3.org/2001/XMLSchema-instance" xsi:type="dcterms:W3CDTF">2026-10-10T15:08:44Z</dcterms:modified>
</cp:coreProperties>
</file>