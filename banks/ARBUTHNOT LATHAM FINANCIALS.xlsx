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Cash Flow Statement" sheetId="2" state="visible" r:id="rId2"/>
    <sheet name="CET1 Capital" sheetId="3" state="visible" r:id="rId3"/>
    <sheet name="CET1 Ratio" sheetId="4" state="visible" r:id="rId4"/>
    <sheet name="Tier 1 Capital" sheetId="5" state="visible" r:id="rId5"/>
    <sheet name="Tier 1 Ratio" sheetId="6" state="visible" r:id="rId6"/>
    <sheet name="Total Capital" sheetId="7" state="visible" r:id="rId7"/>
    <sheet name="Total Capital Ratio" sheetId="8" state="visible" r:id="rId8"/>
    <sheet name="Total RWAs" sheetId="9" state="visible" r:id="rId9"/>
    <sheet name="Leverage Ratio" sheetId="10" state="visible" r:id="rId10"/>
    <sheet name="LCR" sheetId="11" state="visible" r:id="rId11"/>
    <sheet name="NSFR" sheetId="12" state="visible" r:id="rId12"/>
    <sheet name="MREL Ratio" sheetId="13" state="visible" r:id="rId13"/>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4E3B31"/>
        <bgColor rgb="004E3B31"/>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a:pPr>
            <a:r>
              <a:t>Arbuthnot Latham &amp; Co.,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a:prstDash val="solid"/>
            </a:ln>
          </spPr>
          <cat>
            <numRef>
              <f>'Overview'!$J$5:$N$5</f>
            </numRef>
          </cat>
          <val>
            <numRef>
              <f>'Overview'!$J$6:$N$6</f>
            </numRef>
          </val>
        </ser>
        <ser>
          <idx val="1"/>
          <order val="1"/>
          <tx>
            <strRef>
              <f>'Overview'!I7</f>
            </strRef>
          </tx>
          <spPr>
            <a:ln>
              <a:prstDash val="solid"/>
            </a:ln>
          </spPr>
          <cat>
            <numRef>
              <f>'Overview'!$J$5:$N$5</f>
            </numRef>
          </cat>
          <val>
            <numRef>
              <f>'Overview'!$J$7:$N$7</f>
            </numRef>
          </val>
        </ser>
        <ser>
          <idx val="2"/>
          <order val="2"/>
          <tx>
            <strRef>
              <f>'Overview'!I8</f>
            </strRef>
          </tx>
          <spPr>
            <a:ln>
              <a:prstDash val="solid"/>
            </a:ln>
          </spPr>
          <cat>
            <numRef>
              <f>'Overview'!$J$5:$N$5</f>
            </numRef>
          </cat>
          <val>
            <numRef>
              <f>'Overview'!$J$8:$N$8</f>
            </numRef>
          </val>
        </ser>
        <ser>
          <idx val="3"/>
          <order val="3"/>
          <tx>
            <strRef>
              <f>'Overview'!I9</f>
            </strRef>
          </tx>
          <spPr>
            <a:l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Arbuthnot Latham &amp; Co.,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'Overview'!Q6</f>
            </strRef>
          </tx>
          <spPr>
            <a:ln>
              <a:prstDash val="solid"/>
            </a:ln>
          </spPr>
          <marker>
            <symbol val="none"/>
            <spPr>
              <a:ln>
                <a:prstDash val="solid"/>
              </a:ln>
            </spPr>
          </marker>
          <cat>
            <numRef>
              <f>'Overview'!$R$5:$V$5</f>
            </numRef>
          </cat>
          <val>
            <numRef>
              <f>'Overview'!$R$6:$V$6</f>
            </numRef>
          </val>
          <smooth val="0"/>
        </ser>
        <ser>
          <idx val="1"/>
          <order val="1"/>
          <tx>
            <strRef>
              <f>'Overview'!Q7</f>
            </strRef>
          </tx>
          <spPr>
            <a:ln>
              <a:prstDash val="solid"/>
            </a:ln>
          </spPr>
          <marker>
            <symbol val="none"/>
            <spPr>
              <a:ln>
                <a:prstDash val="solid"/>
              </a:ln>
            </spPr>
          </marker>
          <cat>
            <numRef>
              <f>'Overview'!$R$5:$V$5</f>
            </numRef>
          </cat>
          <val>
            <numRef>
              <f>'Overview'!$R$7:$V$7</f>
            </numRef>
          </val>
          <smooth val="0"/>
        </ser>
        <ser>
          <idx val="2"/>
          <order val="2"/>
          <tx>
            <strRef>
              <f>'Overview'!Q8</f>
            </strRef>
          </tx>
          <spPr>
            <a:ln>
              <a:prstDash val="solid"/>
            </a:ln>
          </spPr>
          <marker>
            <symbol val="none"/>
            <spPr>
              <a:ln>
                <a:prstDash val="solid"/>
              </a:ln>
            </spPr>
          </marker>
          <cat>
            <numRef>
              <f>'Overview'!$R$5:$V$5</f>
            </numRef>
          </cat>
          <val>
            <numRef>
              <f>'Overview'!$R$8:$V$8</f>
            </numRef>
          </val>
          <smooth val="0"/>
        </ser>
        <ser>
          <idx val="3"/>
          <order val="3"/>
          <tx>
            <strRef>
              <f>'Overview'!Q9</f>
            </strRef>
          </tx>
          <spPr>
            <a:ln>
              <a:prstDash val="solid"/>
            </a:ln>
          </spPr>
          <marker>
            <symbol val="none"/>
            <spPr>
              <a:ln>
                <a:prstDash val="solid"/>
              </a:ln>
            </spPr>
          </marker>
          <cat>
            <numRef>
              <f>'Overview'!$R$5:$V$5</f>
            </numRef>
          </cat>
          <val>
            <numRef>
              <f>'Overview'!$R$9:$V$9</f>
            </numRef>
          </val>
          <smooth val="0"/>
        </ser>
        <ser>
          <idx val="4"/>
          <order val="4"/>
          <tx>
            <strRef>
              <f>'Overview'!Q10</f>
            </strRef>
          </tx>
          <spPr>
            <a:ln>
              <a:prstDash val="solid"/>
            </a:ln>
          </spPr>
          <marker>
            <symbol val="none"/>
            <spPr>
              <a:ln>
                <a:prstDash val="solid"/>
              </a:ln>
            </spPr>
          </marker>
          <cat>
            <numRef>
              <f>'Overview'!$R$5:$V$5</f>
            </numRef>
          </cat>
          <val>
            <numRef>
              <f>'Overview'!$R$10:$V$10</f>
            </numRef>
          </val>
          <smooth val="0"/>
        </ser>
        <ser>
          <idx val="5"/>
          <order val="5"/>
          <tx>
            <strRef>
              <f>'Overview'!Q11</f>
            </strRef>
          </tx>
          <spPr>
            <a:ln>
              <a:prstDash val="solid"/>
            </a:ln>
          </spPr>
          <marker>
            <symbol val="none"/>
            <spPr>
              <a:ln>
                <a:prstDash val="solid"/>
              </a:ln>
            </spPr>
          </marker>
          <cat>
            <numRef>
              <f>'Overview'!$R$5:$V$5</f>
            </numRef>
          </cat>
          <val>
            <numRef>
              <f>'Overview'!$R$11:$V$11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22</row>
      <rowOff>0</rowOff>
    </from>
    <ext cx="8640000" cy="468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44</row>
      <rowOff>0</rowOff>
    </from>
    <ext cx="8640000" cy="576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V2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s>
  <sheetData>
    <row r="1">
      <c r="A1" s="1" t="inlineStr">
        <is>
          <t>Arbuthnot Latham &amp; Co., Limited — Overview</t>
        </is>
      </c>
    </row>
    <row r="2">
      <c r="A2" s="2" t="inlineStr">
        <is>
          <t>Summary of cash flow and Pillar 3 disclosures across all years covered in this workbook</t>
        </is>
      </c>
    </row>
    <row r="4">
      <c r="A4" s="3" t="inlineStr">
        <is>
          <t>Cash Flow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R5" t="inlineStr">
        <is>
          <t>FY2021</t>
        </is>
      </c>
      <c r="S5" t="inlineStr">
        <is>
          <t>FY2022</t>
        </is>
      </c>
      <c r="T5" t="inlineStr">
        <is>
          <t>FY2023</t>
        </is>
      </c>
      <c r="U5" t="inlineStr">
        <is>
          <t>FY2024</t>
        </is>
      </c>
      <c r="V5" t="inlineStr">
        <is>
          <t>FY2025</t>
        </is>
      </c>
    </row>
    <row r="6">
      <c r="A6" s="5" t="inlineStr">
        <is>
          <t>Net cash inflow from operating activities</t>
        </is>
      </c>
      <c r="B6" s="5" t="n">
        <v>630443</v>
      </c>
      <c r="C6" s="5" t="n">
        <v>374434</v>
      </c>
      <c r="D6" s="5" t="n">
        <v>610323</v>
      </c>
      <c r="E6" s="5" t="n">
        <v>113493</v>
      </c>
      <c r="F6" s="5" t="n">
        <v>206317</v>
      </c>
      <c r="I6" t="inlineStr">
        <is>
          <t>Net cash inflow from operating activities</t>
        </is>
      </c>
      <c r="J6" t="n">
        <v>206317</v>
      </c>
      <c r="K6" t="n">
        <v>113493</v>
      </c>
      <c r="L6" t="n">
        <v>610323</v>
      </c>
      <c r="M6" t="n">
        <v>374434</v>
      </c>
      <c r="N6" t="n">
        <v>630443</v>
      </c>
      <c r="Q6" t="inlineStr">
        <is>
          <t>CET1 Ratio</t>
        </is>
      </c>
      <c r="R6" t="n">
        <v>12.3</v>
      </c>
      <c r="S6" t="n">
        <v>11.57</v>
      </c>
      <c r="T6" t="n">
        <v>12.98</v>
      </c>
      <c r="U6" t="n">
        <v>13.15</v>
      </c>
    </row>
    <row r="7">
      <c r="A7" s="5" t="inlineStr">
        <is>
          <t>Net cash outflow from investing activities</t>
        </is>
      </c>
      <c r="B7" s="5" t="n">
        <v>-848623</v>
      </c>
      <c r="C7" s="5" t="n">
        <v>-282524</v>
      </c>
      <c r="D7" s="5" t="n">
        <v>-517902</v>
      </c>
      <c r="E7" s="5" t="n">
        <v>-135492</v>
      </c>
      <c r="F7" s="5" t="n">
        <v>-92546</v>
      </c>
      <c r="I7" t="inlineStr">
        <is>
          <t>Net cash outflow from investing activities</t>
        </is>
      </c>
      <c r="J7" t="n">
        <v>-92546</v>
      </c>
      <c r="K7" t="n">
        <v>-135492</v>
      </c>
      <c r="L7" t="n">
        <v>-517902</v>
      </c>
      <c r="M7" t="n">
        <v>-282524</v>
      </c>
      <c r="N7" t="n">
        <v>-848623</v>
      </c>
      <c r="Q7" t="inlineStr">
        <is>
          <t>Tier 1 Ratio</t>
        </is>
      </c>
      <c r="R7" t="n">
        <v>12.3</v>
      </c>
      <c r="S7" t="n">
        <v>11.57</v>
      </c>
      <c r="T7" t="n">
        <v>12.98</v>
      </c>
      <c r="U7" t="n">
        <v>13.15</v>
      </c>
    </row>
    <row r="8">
      <c r="A8" s="5" t="inlineStr">
        <is>
          <t>Net cash (outflow)/inflow from financing activities</t>
        </is>
      </c>
      <c r="B8" s="5" t="n">
        <v>-205632</v>
      </c>
      <c r="C8" s="5" t="n">
        <v>-18992</v>
      </c>
      <c r="D8" s="5" t="n">
        <v>-34997</v>
      </c>
      <c r="E8" s="5" t="n">
        <v>-17614</v>
      </c>
      <c r="F8" s="5" t="n">
        <v>27300</v>
      </c>
      <c r="I8" t="inlineStr">
        <is>
          <t>Net cash (outflow)/inflow from financing activities</t>
        </is>
      </c>
      <c r="J8" t="n">
        <v>27300</v>
      </c>
      <c r="K8" t="n">
        <v>-17614</v>
      </c>
      <c r="L8" t="n">
        <v>-34997</v>
      </c>
      <c r="M8" t="n">
        <v>-18992</v>
      </c>
      <c r="N8" t="n">
        <v>-205632</v>
      </c>
      <c r="Q8" t="inlineStr">
        <is>
          <t>Total Capital Ratio</t>
        </is>
      </c>
      <c r="R8" t="n">
        <v>14.9</v>
      </c>
      <c r="S8" t="n">
        <v>14.05</v>
      </c>
      <c r="T8" t="n">
        <v>15.18</v>
      </c>
      <c r="U8" t="n">
        <v>15.28</v>
      </c>
    </row>
    <row r="9">
      <c r="A9" s="5" t="inlineStr">
        <is>
          <t>Cash and cash equivalents at 31 December</t>
        </is>
      </c>
      <c r="B9" s="5" t="n">
        <v>555039</v>
      </c>
      <c r="C9" s="5" t="n">
        <v>978851</v>
      </c>
      <c r="D9" s="5" t="n">
        <v>905933</v>
      </c>
      <c r="E9" s="5" t="n">
        <v>848509</v>
      </c>
      <c r="F9" s="5" t="n">
        <v>888122</v>
      </c>
      <c r="I9" t="inlineStr">
        <is>
          <t>Cash and cash equivalents at 31 December</t>
        </is>
      </c>
      <c r="J9" t="n">
        <v>888122</v>
      </c>
      <c r="K9" t="n">
        <v>848509</v>
      </c>
      <c r="L9" t="n">
        <v>905933</v>
      </c>
      <c r="M9" t="n">
        <v>978851</v>
      </c>
      <c r="N9" t="n">
        <v>555039</v>
      </c>
      <c r="Q9" t="inlineStr">
        <is>
          <t>Leverage Ratio</t>
        </is>
      </c>
      <c r="R9" t="n">
        <v>5.2</v>
      </c>
      <c r="S9" t="n">
        <v>6</v>
      </c>
      <c r="T9" t="n">
        <v>6.24</v>
      </c>
      <c r="U9" t="n">
        <v>6.12</v>
      </c>
    </row>
    <row r="10">
      <c r="Q10" t="inlineStr">
        <is>
          <t>LCR</t>
        </is>
      </c>
      <c r="R10" t="n">
        <v>184.3</v>
      </c>
      <c r="S10" t="n">
        <v>175</v>
      </c>
      <c r="T10" t="n">
        <v>220</v>
      </c>
      <c r="U10" t="n">
        <v>175</v>
      </c>
    </row>
    <row r="11">
      <c r="A11" s="3" t="inlineStr">
        <is>
          <t>Pillar 3 Key Metrics</t>
        </is>
      </c>
      <c r="Q11" t="inlineStr">
        <is>
          <t>NSFR</t>
        </is>
      </c>
      <c r="R11" t="n">
        <v>133.1</v>
      </c>
      <c r="S11" t="n">
        <v>127</v>
      </c>
      <c r="T11" t="n">
        <v>136</v>
      </c>
      <c r="U11" t="n">
        <v>132</v>
      </c>
    </row>
    <row r="12">
      <c r="A12" s="4" t="inlineStr">
        <is>
          <t>Line item</t>
        </is>
      </c>
      <c r="B12" s="4" t="inlineStr">
        <is>
          <t>FY2025</t>
        </is>
      </c>
      <c r="C12" s="4" t="inlineStr">
        <is>
          <t>FY2024</t>
        </is>
      </c>
      <c r="D12" s="4" t="inlineStr">
        <is>
          <t>FY2023</t>
        </is>
      </c>
      <c r="E12" s="4" t="inlineStr">
        <is>
          <t>FY2022</t>
        </is>
      </c>
      <c r="F12" s="4" t="inlineStr">
        <is>
          <t>FY2021</t>
        </is>
      </c>
    </row>
    <row r="13">
      <c r="A13" s="6" t="inlineStr">
        <is>
          <t>CET1 Ratio</t>
        </is>
      </c>
      <c r="B13" s="6" t="n"/>
      <c r="C13" s="6" t="inlineStr">
        <is>
          <t>13.15%</t>
        </is>
      </c>
      <c r="D13" s="6" t="inlineStr">
        <is>
          <t>12.98%</t>
        </is>
      </c>
      <c r="E13" s="6" t="inlineStr">
        <is>
          <t>11.57%</t>
        </is>
      </c>
      <c r="F13" s="6" t="inlineStr">
        <is>
          <t>12.3%</t>
        </is>
      </c>
    </row>
    <row r="14">
      <c r="A14" s="6" t="inlineStr">
        <is>
          <t>Tier 1 Ratio</t>
        </is>
      </c>
      <c r="B14" s="6" t="n"/>
      <c r="C14" s="6" t="inlineStr">
        <is>
          <t>13.15%</t>
        </is>
      </c>
      <c r="D14" s="6" t="inlineStr">
        <is>
          <t>12.98%</t>
        </is>
      </c>
      <c r="E14" s="6" t="inlineStr">
        <is>
          <t>11.57%</t>
        </is>
      </c>
      <c r="F14" s="6" t="inlineStr">
        <is>
          <t>12.3%</t>
        </is>
      </c>
    </row>
    <row r="15">
      <c r="A15" s="6" t="inlineStr">
        <is>
          <t>Total Capital Ratio</t>
        </is>
      </c>
      <c r="B15" s="6" t="n"/>
      <c r="C15" s="6" t="inlineStr">
        <is>
          <t>15.28%</t>
        </is>
      </c>
      <c r="D15" s="6" t="inlineStr">
        <is>
          <t>15.18%</t>
        </is>
      </c>
      <c r="E15" s="6" t="inlineStr">
        <is>
          <t>14.05%</t>
        </is>
      </c>
      <c r="F15" s="6" t="inlineStr">
        <is>
          <t>14.9%</t>
        </is>
      </c>
    </row>
    <row r="16">
      <c r="A16" s="6" t="inlineStr">
        <is>
          <t>Leverage Ratio</t>
        </is>
      </c>
      <c r="B16" s="6" t="n"/>
      <c r="C16" s="6" t="inlineStr">
        <is>
          <t>6.12%</t>
        </is>
      </c>
      <c r="D16" s="6" t="inlineStr">
        <is>
          <t>6.24%</t>
        </is>
      </c>
      <c r="E16" s="6" t="inlineStr">
        <is>
          <t>6.00%</t>
        </is>
      </c>
      <c r="F16" s="6" t="inlineStr">
        <is>
          <t>5.2%</t>
        </is>
      </c>
    </row>
    <row r="17">
      <c r="A17" s="6" t="inlineStr">
        <is>
          <t>LCR</t>
        </is>
      </c>
      <c r="B17" s="6" t="n"/>
      <c r="C17" s="6" t="inlineStr">
        <is>
          <t>175%</t>
        </is>
      </c>
      <c r="D17" s="6" t="inlineStr">
        <is>
          <t>220%</t>
        </is>
      </c>
      <c r="E17" s="6" t="inlineStr">
        <is>
          <t>175%</t>
        </is>
      </c>
      <c r="F17" s="6" t="inlineStr">
        <is>
          <t>184.3%</t>
        </is>
      </c>
    </row>
    <row r="18">
      <c r="A18" s="6" t="inlineStr">
        <is>
          <t>NSFR</t>
        </is>
      </c>
      <c r="B18" s="6" t="n"/>
      <c r="C18" s="6" t="inlineStr">
        <is>
          <t>132%</t>
        </is>
      </c>
      <c r="D18" s="6" t="inlineStr">
        <is>
          <t>136%</t>
        </is>
      </c>
      <c r="E18" s="6" t="inlineStr">
        <is>
          <t>127%</t>
        </is>
      </c>
      <c r="F18" s="6" t="inlineStr">
        <is>
          <t>133.1%</t>
        </is>
      </c>
    </row>
    <row r="20" ht="45" customHeight="1">
      <c r="A20" s="7" t="inlineStr">
        <is>
          <t>Note: Figures are duplicated from the detail sheets for at-a-glance trend viewing; see each sheet's own source citation for the underlying document/page. Cash flow is the Bank's own Group basis (Companies House); Pillar 3 ratios are the Arbuthnot Banking Group PLC published Pillar 3 basis - see the entity note on the Cash Flow Statement sheet for the small scope difference between the two. FY2025 Pillar 3 is not yet published.</t>
        </is>
      </c>
    </row>
  </sheetData>
  <mergeCells count="1">
    <mergeCell ref="A20:F2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4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Arbuthnot Latham &amp; Co., Limited — Consolidated Cash Flow Statement</t>
        </is>
      </c>
    </row>
    <row r="2">
      <c r="A2" s="2" t="inlineStr">
        <is>
          <t>Arbuthnot Latham &amp; Co., Limited Group (consolidated basis),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Cash flows from operating activities</t>
        </is>
      </c>
      <c r="B4" s="6" t="n"/>
      <c r="C4" s="6" t="n"/>
      <c r="D4" s="6" t="n"/>
      <c r="E4" s="6" t="n"/>
      <c r="F4" s="6" t="n"/>
    </row>
    <row r="5">
      <c r="A5" s="6" t="inlineStr">
        <is>
          <t>Profit before tax</t>
        </is>
      </c>
      <c r="B5" s="6" t="n">
        <v>24184</v>
      </c>
      <c r="C5" s="6" t="n">
        <v>35091</v>
      </c>
      <c r="D5" s="6" t="n">
        <v>47117</v>
      </c>
      <c r="E5" s="6" t="n">
        <v>20009</v>
      </c>
      <c r="F5" s="6" t="n"/>
    </row>
    <row r="6">
      <c r="A6" s="6" t="inlineStr">
        <is>
          <t>Interest received</t>
        </is>
      </c>
      <c r="B6" s="6" t="n"/>
      <c r="C6" s="6" t="n"/>
      <c r="D6" s="6" t="n"/>
      <c r="E6" s="6" t="n"/>
      <c r="F6" s="6" t="n">
        <v>77319</v>
      </c>
    </row>
    <row r="7">
      <c r="A7" s="6" t="inlineStr">
        <is>
          <t>Interest paid</t>
        </is>
      </c>
      <c r="B7" s="6" t="n"/>
      <c r="C7" s="6" t="n"/>
      <c r="D7" s="6" t="n"/>
      <c r="E7" s="6" t="n"/>
      <c r="F7" s="6" t="n">
        <v>-11752</v>
      </c>
    </row>
    <row r="8">
      <c r="A8" s="6" t="inlineStr">
        <is>
          <t>Fees and commissions received</t>
        </is>
      </c>
      <c r="B8" s="6" t="n"/>
      <c r="C8" s="6" t="n"/>
      <c r="D8" s="6" t="n"/>
      <c r="E8" s="6" t="n"/>
      <c r="F8" s="6" t="n">
        <v>15579</v>
      </c>
    </row>
    <row r="9">
      <c r="A9" s="6" t="inlineStr">
        <is>
          <t>Other income</t>
        </is>
      </c>
      <c r="B9" s="6" t="n"/>
      <c r="C9" s="6" t="n"/>
      <c r="D9" s="6" t="n"/>
      <c r="E9" s="6" t="n"/>
      <c r="F9" s="6" t="n">
        <v>4402</v>
      </c>
    </row>
    <row r="10">
      <c r="A10" s="6" t="inlineStr">
        <is>
          <t>Cash payments to employees and suppliers</t>
        </is>
      </c>
      <c r="B10" s="6" t="n"/>
      <c r="C10" s="6" t="n"/>
      <c r="D10" s="6" t="n"/>
      <c r="E10" s="6" t="n"/>
      <c r="F10" s="6" t="n">
        <v>-59153</v>
      </c>
    </row>
    <row r="11">
      <c r="A11" s="6" t="inlineStr">
        <is>
          <t>Taxation paid</t>
        </is>
      </c>
      <c r="B11" s="6" t="n"/>
      <c r="C11" s="6" t="n"/>
      <c r="D11" s="6" t="n"/>
      <c r="E11" s="6" t="n"/>
      <c r="F11" s="6" t="n">
        <v>0</v>
      </c>
    </row>
    <row r="12">
      <c r="A12" s="6" t="inlineStr">
        <is>
          <t>Depreciation and amortisation</t>
        </is>
      </c>
      <c r="B12" s="6" t="n">
        <v>10674</v>
      </c>
      <c r="C12" s="6" t="n">
        <v>11691</v>
      </c>
      <c r="D12" s="6" t="n">
        <v>9817</v>
      </c>
      <c r="E12" s="6" t="n">
        <v>7180</v>
      </c>
      <c r="F12" s="6" t="n"/>
    </row>
    <row r="13">
      <c r="A13" s="6" t="inlineStr">
        <is>
          <t>Impairment loss on loans and advances</t>
        </is>
      </c>
      <c r="B13" s="6" t="n">
        <v>1576</v>
      </c>
      <c r="C13" s="6" t="n">
        <v>4778</v>
      </c>
      <c r="D13" s="6" t="n">
        <v>208</v>
      </c>
      <c r="E13" s="6" t="n">
        <v>214</v>
      </c>
      <c r="F13" s="6" t="n"/>
    </row>
    <row r="14">
      <c r="A14" s="6" t="inlineStr">
        <is>
          <t>Net interest expense</t>
        </is>
      </c>
      <c r="B14" s="6" t="n">
        <v>3203</v>
      </c>
      <c r="C14" s="6" t="n">
        <v>598</v>
      </c>
      <c r="D14" s="6" t="n">
        <v>564</v>
      </c>
      <c r="E14" s="6" t="n">
        <v>70</v>
      </c>
      <c r="F14" s="6" t="n"/>
    </row>
    <row r="15">
      <c r="A15" s="6" t="inlineStr">
        <is>
          <t>Elimination of exchange differences on debt securities</t>
        </is>
      </c>
      <c r="B15" s="6" t="n">
        <v>11337</v>
      </c>
      <c r="C15" s="6" t="n">
        <v>-3157</v>
      </c>
      <c r="D15" s="6" t="n">
        <v>8712</v>
      </c>
      <c r="E15" s="6" t="n">
        <v>-9524</v>
      </c>
      <c r="F15" s="6" t="n"/>
    </row>
    <row r="16">
      <c r="A16" s="6" t="inlineStr">
        <is>
          <t>Other non-cash or non-operating items included in profit before tax</t>
        </is>
      </c>
      <c r="B16" s="6" t="n">
        <v>3402</v>
      </c>
      <c r="C16" s="6" t="n">
        <v>-73</v>
      </c>
      <c r="D16" s="6" t="n">
        <v>31</v>
      </c>
      <c r="E16" s="6" t="n">
        <v>-276</v>
      </c>
      <c r="F16" s="6" t="n"/>
    </row>
    <row r="17">
      <c r="A17" s="6" t="inlineStr">
        <is>
          <t>Tax paid/(expense)</t>
        </is>
      </c>
      <c r="B17" s="6" t="n">
        <v>-6690</v>
      </c>
      <c r="C17" s="6" t="n">
        <v>-4150</v>
      </c>
      <c r="D17" s="6" t="n">
        <v>-8433</v>
      </c>
      <c r="E17" s="6" t="n">
        <v>-2146</v>
      </c>
      <c r="F17" s="6" t="n"/>
    </row>
    <row r="18">
      <c r="A18" s="5" t="inlineStr">
        <is>
          <t>Cash flows from operating profit before changes in operating assets and liabilities</t>
        </is>
      </c>
      <c r="B18" s="5" t="n">
        <v>47686</v>
      </c>
      <c r="C18" s="5" t="n">
        <v>44778</v>
      </c>
      <c r="D18" s="5" t="n">
        <v>58016</v>
      </c>
      <c r="E18" s="5" t="n">
        <v>15527</v>
      </c>
      <c r="F18" s="5" t="n">
        <v>26395</v>
      </c>
    </row>
    <row r="19">
      <c r="A19" s="5" t="inlineStr">
        <is>
          <t>Changes in operating assets and liabilities</t>
        </is>
      </c>
      <c r="B19" s="6" t="n"/>
      <c r="C19" s="6" t="n"/>
      <c r="D19" s="6" t="n"/>
      <c r="E19" s="6" t="n"/>
      <c r="F19" s="6" t="n"/>
    </row>
    <row r="20">
      <c r="A20" s="6" t="inlineStr">
        <is>
          <t>Net decrease/(increase) in derivative financial instruments</t>
        </is>
      </c>
      <c r="B20" s="6" t="n">
        <v>1572</v>
      </c>
      <c r="C20" s="6" t="n">
        <v>212</v>
      </c>
      <c r="D20" s="6" t="n">
        <v>3005</v>
      </c>
      <c r="E20" s="6" t="n">
        <v>-4605</v>
      </c>
      <c r="F20" s="6" t="n">
        <v>-388</v>
      </c>
    </row>
    <row r="21">
      <c r="A21" s="6" t="inlineStr">
        <is>
          <t>Net decrease/(increase) in loans and advances to customers</t>
        </is>
      </c>
      <c r="B21" s="6" t="n">
        <v>132098</v>
      </c>
      <c r="C21" s="6" t="n">
        <v>-34748</v>
      </c>
      <c r="D21" s="6" t="n">
        <v>-16886</v>
      </c>
      <c r="E21" s="6" t="n">
        <v>-165331</v>
      </c>
      <c r="F21" s="6" t="n">
        <v>-284871</v>
      </c>
    </row>
    <row r="22">
      <c r="A22" s="6" t="inlineStr">
        <is>
          <t>Net decrease/(increase) in assets held for leasing</t>
        </is>
      </c>
      <c r="B22" s="6" t="n">
        <v>721</v>
      </c>
      <c r="C22" s="6" t="n">
        <v>-18474</v>
      </c>
      <c r="D22" s="6" t="n">
        <v>-95960</v>
      </c>
      <c r="E22" s="6" t="n">
        <v>-50175</v>
      </c>
      <c r="F22" s="6" t="n"/>
    </row>
    <row r="23">
      <c r="A23" s="6" t="inlineStr">
        <is>
          <t>Net increase/(decrease) in other assets</t>
        </is>
      </c>
      <c r="B23" s="6" t="n">
        <v>1447</v>
      </c>
      <c r="C23" s="6" t="n">
        <v>12828</v>
      </c>
      <c r="D23" s="6" t="n">
        <v>-4063</v>
      </c>
      <c r="E23" s="6" t="n">
        <v>57955</v>
      </c>
      <c r="F23" s="6" t="n">
        <v>-12558</v>
      </c>
    </row>
    <row r="24">
      <c r="A24" s="6" t="inlineStr">
        <is>
          <t>Net increase in amounts due to customers</t>
        </is>
      </c>
      <c r="B24" s="6" t="n">
        <v>441708</v>
      </c>
      <c r="C24" s="6" t="n">
        <v>373207</v>
      </c>
      <c r="D24" s="6" t="n">
        <v>647721</v>
      </c>
      <c r="E24" s="6" t="n">
        <v>255529</v>
      </c>
      <c r="F24" s="6" t="n">
        <v>465088</v>
      </c>
    </row>
    <row r="25">
      <c r="A25" s="6" t="inlineStr">
        <is>
          <t>Net increase/(decrease) in other liabilities</t>
        </is>
      </c>
      <c r="B25" s="6" t="n">
        <v>5211</v>
      </c>
      <c r="C25" s="6" t="n">
        <v>-3369</v>
      </c>
      <c r="D25" s="6" t="n">
        <v>18490</v>
      </c>
      <c r="E25" s="6" t="n">
        <v>4593</v>
      </c>
      <c r="F25" s="6" t="n">
        <v>12651</v>
      </c>
    </row>
    <row r="26">
      <c r="A26" s="5" t="inlineStr">
        <is>
          <t>Net cash inflow from operating activities</t>
        </is>
      </c>
      <c r="B26" s="5" t="n">
        <v>630443</v>
      </c>
      <c r="C26" s="5" t="n">
        <v>374434</v>
      </c>
      <c r="D26" s="5" t="n">
        <v>610323</v>
      </c>
      <c r="E26" s="5" t="n">
        <v>113493</v>
      </c>
      <c r="F26" s="5" t="n">
        <v>206317</v>
      </c>
    </row>
    <row r="27">
      <c r="A27" s="5" t="inlineStr">
        <is>
          <t>Cash flows from investing activities</t>
        </is>
      </c>
      <c r="B27" s="6" t="n"/>
      <c r="C27" s="6" t="n"/>
      <c r="D27" s="6" t="n"/>
      <c r="E27" s="6" t="n"/>
      <c r="F27" s="6" t="n"/>
    </row>
    <row r="28">
      <c r="A28" s="6" t="inlineStr">
        <is>
          <t>Acquisition of financial investments</t>
        </is>
      </c>
      <c r="B28" s="6" t="n">
        <v>-131</v>
      </c>
      <c r="C28" s="6" t="n">
        <v>-215</v>
      </c>
      <c r="D28" s="6" t="n">
        <v>-174</v>
      </c>
      <c r="E28" s="6" t="n">
        <v>-53</v>
      </c>
      <c r="F28" s="6" t="n"/>
    </row>
    <row r="29">
      <c r="A29" s="6" t="inlineStr">
        <is>
          <t>Disposal of financial investments</t>
        </is>
      </c>
      <c r="B29" s="6" t="n">
        <v>2958</v>
      </c>
      <c r="C29" s="6" t="n">
        <v>84</v>
      </c>
      <c r="D29" s="6" t="n">
        <v>63</v>
      </c>
      <c r="E29" s="6" t="n">
        <v>640</v>
      </c>
      <c r="F29" s="6" t="n">
        <v>2400</v>
      </c>
    </row>
    <row r="30">
      <c r="A30" s="6" t="inlineStr">
        <is>
          <t>Purchase of subsidiary undertakings</t>
        </is>
      </c>
      <c r="B30" s="6" t="n"/>
      <c r="C30" s="6" t="n"/>
      <c r="D30" s="6" t="n"/>
      <c r="E30" s="6" t="n"/>
      <c r="F30" s="6" t="n">
        <v>-9998</v>
      </c>
    </row>
    <row r="31">
      <c r="A31" s="6" t="inlineStr">
        <is>
          <t>Purchase of intangible assets / computer software</t>
        </is>
      </c>
      <c r="B31" s="6" t="n">
        <v>-6425</v>
      </c>
      <c r="C31" s="6" t="n">
        <v>-4739</v>
      </c>
      <c r="D31" s="6" t="n">
        <v>-1523</v>
      </c>
      <c r="E31" s="6" t="n">
        <v>-5837</v>
      </c>
      <c r="F31" s="6" t="n">
        <v>-5100</v>
      </c>
    </row>
    <row r="32">
      <c r="A32" s="6" t="inlineStr">
        <is>
          <t>Purchase of property, plant and equipment</t>
        </is>
      </c>
      <c r="B32" s="6" t="n">
        <v>-985</v>
      </c>
      <c r="C32" s="6" t="n">
        <v>-22808</v>
      </c>
      <c r="D32" s="6" t="n">
        <v>-4611</v>
      </c>
      <c r="E32" s="6" t="n">
        <v>-1065</v>
      </c>
      <c r="F32" s="6" t="n">
        <v>-172915</v>
      </c>
    </row>
    <row r="33">
      <c r="A33" s="6" t="inlineStr">
        <is>
          <t>Proceeds from sale of property, plant and equipment</t>
        </is>
      </c>
      <c r="B33" s="6" t="n"/>
      <c r="C33" s="6" t="n"/>
      <c r="D33" s="6" t="n"/>
      <c r="E33" s="6" t="n"/>
      <c r="F33" s="6" t="n">
        <v>48255</v>
      </c>
    </row>
    <row r="34">
      <c r="A34" s="6" t="inlineStr">
        <is>
          <t>Disposal of assets held for sale</t>
        </is>
      </c>
      <c r="B34" s="6" t="n"/>
      <c r="C34" s="6" t="n"/>
      <c r="D34" s="6" t="n"/>
      <c r="E34" s="6" t="n"/>
      <c r="F34" s="6" t="n">
        <v>149</v>
      </c>
    </row>
    <row r="35">
      <c r="A35" s="6" t="inlineStr">
        <is>
          <t>Purchase of debt securities</t>
        </is>
      </c>
      <c r="B35" s="6" t="n">
        <v>-3273055</v>
      </c>
      <c r="C35" s="6" t="n">
        <v>-1621196</v>
      </c>
      <c r="D35" s="6" t="n">
        <v>-1582889</v>
      </c>
      <c r="E35" s="6" t="n">
        <v>-799341</v>
      </c>
      <c r="F35" s="6" t="n">
        <v>-590492</v>
      </c>
    </row>
    <row r="36">
      <c r="A36" s="6" t="inlineStr">
        <is>
          <t>Proceeds from redemption of debt securities</t>
        </is>
      </c>
      <c r="B36" s="6" t="n">
        <v>2428998</v>
      </c>
      <c r="C36" s="6" t="n">
        <v>1366350</v>
      </c>
      <c r="D36" s="6" t="n">
        <v>1071232</v>
      </c>
      <c r="E36" s="6" t="n">
        <v>670164</v>
      </c>
      <c r="F36" s="6" t="n">
        <v>635155</v>
      </c>
    </row>
    <row r="37">
      <c r="A37" s="6" t="inlineStr">
        <is>
          <t>Dividends received</t>
        </is>
      </c>
      <c r="B37" s="6" t="n">
        <v>18</v>
      </c>
      <c r="C37" s="6" t="n"/>
      <c r="D37" s="6" t="n"/>
      <c r="E37" s="6" t="n"/>
      <c r="F37" s="6" t="n"/>
    </row>
    <row r="38">
      <c r="A38" s="5" t="inlineStr">
        <is>
          <t>Net cash outflow from investing activities</t>
        </is>
      </c>
      <c r="B38" s="5" t="n">
        <v>-848623</v>
      </c>
      <c r="C38" s="5" t="n">
        <v>-282524</v>
      </c>
      <c r="D38" s="5" t="n">
        <v>-517902</v>
      </c>
      <c r="E38" s="5" t="n">
        <v>-135492</v>
      </c>
      <c r="F38" s="5" t="n">
        <v>-92546</v>
      </c>
    </row>
    <row r="39">
      <c r="A39" s="5" t="inlineStr">
        <is>
          <t>Cash flows from financing activities</t>
        </is>
      </c>
      <c r="B39" s="6" t="n"/>
      <c r="C39" s="6" t="n"/>
      <c r="D39" s="6" t="n"/>
      <c r="E39" s="6" t="n"/>
      <c r="F39" s="6" t="n"/>
    </row>
    <row r="40">
      <c r="A40" s="6" t="inlineStr">
        <is>
          <t>(Decrease)/increase in borrowings</t>
        </is>
      </c>
      <c r="B40" s="6" t="n">
        <v>-191522</v>
      </c>
      <c r="C40" s="6" t="n">
        <v>-530</v>
      </c>
      <c r="D40" s="6" t="n">
        <v>-29489</v>
      </c>
      <c r="E40" s="6" t="n">
        <v>-4306</v>
      </c>
      <c r="F40" s="6" t="n">
        <v>10243</v>
      </c>
    </row>
    <row r="41">
      <c r="A41" s="6" t="inlineStr">
        <is>
          <t>Dividends paid</t>
        </is>
      </c>
      <c r="B41" s="6" t="n">
        <v>-13347</v>
      </c>
      <c r="C41" s="6" t="n">
        <v>-16260</v>
      </c>
      <c r="D41" s="6" t="n">
        <v>-6855</v>
      </c>
      <c r="E41" s="6" t="n">
        <v>-5850</v>
      </c>
      <c r="F41" s="6" t="n">
        <v>-5550</v>
      </c>
    </row>
    <row r="42">
      <c r="A42" s="6" t="inlineStr">
        <is>
          <t>Capital contribution received</t>
        </is>
      </c>
      <c r="B42" s="6" t="n"/>
      <c r="C42" s="6" t="n"/>
      <c r="D42" s="6" t="n">
        <v>5000</v>
      </c>
      <c r="E42" s="6" t="n"/>
      <c r="F42" s="6" t="n">
        <v>25500</v>
      </c>
    </row>
    <row r="43">
      <c r="A43" s="6" t="inlineStr">
        <is>
          <t>Repayment of lease liabilities</t>
        </is>
      </c>
      <c r="B43" s="6" t="n">
        <v>-763</v>
      </c>
      <c r="C43" s="6" t="n">
        <v>-2202</v>
      </c>
      <c r="D43" s="6" t="n">
        <v>-3653</v>
      </c>
      <c r="E43" s="6" t="n">
        <v>-7458</v>
      </c>
      <c r="F43" s="6" t="n">
        <v>-2893</v>
      </c>
    </row>
    <row r="44">
      <c r="A44" s="5" t="inlineStr">
        <is>
          <t>Net cash (outflow)/inflow from financing activities</t>
        </is>
      </c>
      <c r="B44" s="5" t="n">
        <v>-205632</v>
      </c>
      <c r="C44" s="5" t="n">
        <v>-18992</v>
      </c>
      <c r="D44" s="5" t="n">
        <v>-34997</v>
      </c>
      <c r="E44" s="5" t="n">
        <v>-17614</v>
      </c>
      <c r="F44" s="5" t="n">
        <v>27300</v>
      </c>
    </row>
    <row r="45">
      <c r="A45" s="5" t="inlineStr">
        <is>
          <t>Net (decrease)/increase in cash and cash equivalents</t>
        </is>
      </c>
      <c r="B45" s="5" t="n">
        <v>-423812</v>
      </c>
      <c r="C45" s="5" t="n">
        <v>72918</v>
      </c>
      <c r="D45" s="5" t="n">
        <v>57424</v>
      </c>
      <c r="E45" s="5" t="n">
        <v>-39613</v>
      </c>
      <c r="F45" s="5" t="n">
        <v>141071</v>
      </c>
    </row>
    <row r="46">
      <c r="A46" s="6" t="inlineStr">
        <is>
          <t>Cash and cash equivalents at 1 January</t>
        </is>
      </c>
      <c r="B46" s="6" t="n">
        <v>978851</v>
      </c>
      <c r="C46" s="6" t="n">
        <v>905933</v>
      </c>
      <c r="D46" s="6" t="n">
        <v>848509</v>
      </c>
      <c r="E46" s="6" t="n">
        <v>888122</v>
      </c>
      <c r="F46" s="6" t="n">
        <v>747051</v>
      </c>
    </row>
    <row r="47">
      <c r="A47" s="5" t="inlineStr">
        <is>
          <t>Cash and cash equivalents at 31 December</t>
        </is>
      </c>
      <c r="B47" s="5" t="n">
        <v>555039</v>
      </c>
      <c r="C47" s="5" t="n">
        <v>978851</v>
      </c>
      <c r="D47" s="5" t="n">
        <v>905933</v>
      </c>
      <c r="E47" s="5" t="n">
        <v>848509</v>
      </c>
      <c r="F47" s="5" t="n">
        <v>888122</v>
      </c>
    </row>
    <row r="49" ht="170" customHeight="1">
      <c r="A49" s="8" t="inlineStr">
        <is>
          <t>Sources - all figures are Arbuthnot Latham &amp; Co., Limited's own Consolidated Statement of Cash Flows (the Bank + its own subsidiaries), £'000, as filed at Companies House:
FY2025 &amp; FY2024: accounts made up to 31 December 2025, p.41 (Consolidated Statement of Cash Flows) - https://find-and-update.company-information.service.gov.uk/company/00819519/filing-history/MzUyMzkzMjQ5NmFkaXF6a2N4/document?format=pdf&amp;download=0
FY2023 &amp; FY2022: accounts made up to 31 December 2023, p.42 (Consolidated Statement of Cash Flows) - https://find-and-update.company-information.service.gov.uk/company/00819519/filing-history/MzQyMzk5NjI0NGFkaXF6a2N4/document?format=pdf&amp;download=0
FY2021 (&amp; FY2020 comparative, not used): accounts made up to 31 December 2021, p.48 (Consolidated Statement of Cash Flows) - https://find-and-update.company-information.service.gov.uk/company/00819519/filing-history/MzM0MTEwODM3MmFkaXF6a2N4/document?format=pdf&amp;download=0
Presentation note: FY2021's own report builds the operating-profit-before-changes subtotal from actual cash interest/fee/payment flows (Interest received, Interest paid, Fees and commissions received, Other income, Cash payments to employees and suppliers, Taxation paid); FY2022 onward builds the same subtotal indirectly from Profit before tax plus non-cash adjustments (Depreciation, Impairment, Net interest expense, FX elimination on debt securities, Other non-cash items, Tax paid/expense). Both bases reconcile to a consistent, comparable 'Cash flows from operating profit before changes in operating assets and liabilities' subtotal each year - blank cells simply mean that year's report used the other presentation. FY2025's investing-activities total has an immaterial £1k rounding gap vs. the sum of its own printed line items, kept as printed rather than force-corrected. Every other section total and the full opening/closing cash chain reconciles exactly year-to-year across all 3 source documents.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t>
        </is>
      </c>
    </row>
  </sheetData>
  <mergeCells count="1">
    <mergeCell ref="A49:F4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Arbuthnot Latham &amp; Co., Limited — CET1 Capital</t>
        </is>
      </c>
    </row>
    <row r="2">
      <c r="A2" s="2" t="inlineStr">
        <is>
          <t>Arbuthnot Banking Group PLC (Pillar 3) basis, £'000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c r="C4" s="6" t="n">
        <v>234477</v>
      </c>
      <c r="D4" s="6" t="n">
        <v>222291</v>
      </c>
      <c r="E4" s="6" t="n">
        <v>175375</v>
      </c>
      <c r="F4" s="6" t="n">
        <v>176235</v>
      </c>
    </row>
    <row r="6" ht="140" customHeight="1">
      <c r="A6" s="8" t="inlineStr">
        <is>
          <t>Sources - Arbuthnot Banking Group PLC Pillar 3 disclosures (UK KM1 Key Metrics template; FY2021 uses the pre-KM1 'Key Regulatory Metrics' template), £'000 unless stated:
FY2024 &amp; FY2023 comparative: Pillar 3 disclosures for the year ended 31 December 2024, p.6 (Template UK KM1) - https://www.arbuthnotlatham.co.uk/sites/default/files/documents/abg-pillar-3-disclosures-december-24.pdf
FY2023 (own year) &amp; FY2022 comparative: Pillar 3 disclosures for the year ended 31 December 2023, p.6 (Template UK KM1) - https://www.arbuthnotlatham.co.uk/sites/default/files/documents/ABG_Pillar_3_Disclosures_2023_Final.pdf
FY2022 (own year) &amp; FY2021 comparative: Pillar 3 disclosures for the year ended 31 December 2022, p.6 (Template UK KM1) - https://www.arbuthnotlatham.co.uk/sites/default/files/documents/ABG_Pillar_3_Disclosures_2022_Final.pdf
FY2021 (own year): Pillar 3 disclosures for the year ended 31 December 2021, p.31 (Key Regulatory Metrics) - https://www.arbuthnotlatham.co.uk/sites/default/files/documents/ABG_Pillar_3_Disclosures_2021_Annual.pdf
FY2025 Pillar 3 disclosures have not been published yet (checked against the site's naming pattern from prior years; none found) - FY2025 is left blank on every Pillar 3 sheet rather than guessed.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t>
        </is>
      </c>
    </row>
  </sheetData>
  <mergeCells count="1">
    <mergeCell ref="A6:F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Arbuthnot Latham &amp; Co., Limited — CET1 Ratio</t>
        </is>
      </c>
    </row>
    <row r="2">
      <c r="A2" s="2" t="inlineStr">
        <is>
          <t>Arbuthnot Banking Group PLC (Pillar 3)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ratio</t>
        </is>
      </c>
      <c r="B4" s="6" t="n"/>
      <c r="C4" s="6" t="inlineStr">
        <is>
          <t>13.15%</t>
        </is>
      </c>
      <c r="D4" s="6" t="inlineStr">
        <is>
          <t>12.98%</t>
        </is>
      </c>
      <c r="E4" s="6" t="inlineStr">
        <is>
          <t>11.57%</t>
        </is>
      </c>
      <c r="F4" s="6" t="inlineStr">
        <is>
          <t>12.3%</t>
        </is>
      </c>
    </row>
    <row r="6" ht="140" customHeight="1">
      <c r="A6" s="8" t="inlineStr">
        <is>
          <t>Sources - Arbuthnot Banking Group PLC Pillar 3 disclosures (UK KM1 Key Metrics template; FY2021 uses the pre-KM1 'Key Regulatory Metrics' template), £'000 unless stated:
FY2024 &amp; FY2023 comparative: Pillar 3 disclosures for the year ended 31 December 2024, p.6 (Template UK KM1) - https://www.arbuthnotlatham.co.uk/sites/default/files/documents/abg-pillar-3-disclosures-december-24.pdf
FY2023 (own year) &amp; FY2022 comparative: Pillar 3 disclosures for the year ended 31 December 2023, p.6 (Template UK KM1) - https://www.arbuthnotlatham.co.uk/sites/default/files/documents/ABG_Pillar_3_Disclosures_2023_Final.pdf
FY2022 (own year) &amp; FY2021 comparative: Pillar 3 disclosures for the year ended 31 December 2022, p.6 (Template UK KM1) - https://www.arbuthnotlatham.co.uk/sites/default/files/documents/ABG_Pillar_3_Disclosures_2022_Final.pdf
FY2021 (own year): Pillar 3 disclosures for the year ended 31 December 2021, p.31 (Key Regulatory Metrics) - https://www.arbuthnotlatham.co.uk/sites/default/files/documents/ABG_Pillar_3_Disclosures_2021_Annual.pdf
FY2025 Pillar 3 disclosures have not been published yet (checked against the site's naming pattern from prior years; none found) - FY2025 is left blank on every Pillar 3 sheet rather than guessed.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t>
        </is>
      </c>
    </row>
  </sheetData>
  <mergeCells count="1">
    <mergeCell ref="A6:F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Arbuthnot Latham &amp; Co., Limited — Tier 1 Capital</t>
        </is>
      </c>
    </row>
    <row r="2">
      <c r="A2" s="2" t="inlineStr">
        <is>
          <t>Arbuthnot Banking Group PLC (Pillar 3) basis, £'000</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c r="C4" s="6" t="n">
        <v>234477</v>
      </c>
      <c r="D4" s="6" t="n">
        <v>222291</v>
      </c>
      <c r="E4" s="6" t="n">
        <v>175375</v>
      </c>
      <c r="F4" s="6" t="n">
        <v>176235</v>
      </c>
    </row>
    <row r="5" ht="60" customHeight="1">
      <c r="A5" s="7" t="inlineStr">
        <is>
          <t>Note: Equal to CET1 capital every year - no AT1 instruments in issue.</t>
        </is>
      </c>
    </row>
    <row r="7" ht="140" customHeight="1">
      <c r="A7" s="8" t="inlineStr">
        <is>
          <t>Sources - Arbuthnot Banking Group PLC Pillar 3 disclosures (UK KM1 Key Metrics template; FY2021 uses the pre-KM1 'Key Regulatory Metrics' template), £'000 unless stated:
FY2024 &amp; FY2023 comparative: Pillar 3 disclosures for the year ended 31 December 2024, p.6 (Template UK KM1) - https://www.arbuthnotlatham.co.uk/sites/default/files/documents/abg-pillar-3-disclosures-december-24.pdf
FY2023 (own year) &amp; FY2022 comparative: Pillar 3 disclosures for the year ended 31 December 2023, p.6 (Template UK KM1) - https://www.arbuthnotlatham.co.uk/sites/default/files/documents/ABG_Pillar_3_Disclosures_2023_Final.pdf
FY2022 (own year) &amp; FY2021 comparative: Pillar 3 disclosures for the year ended 31 December 2022, p.6 (Template UK KM1) - https://www.arbuthnotlatham.co.uk/sites/default/files/documents/ABG_Pillar_3_Disclosures_2022_Final.pdf
FY2021 (own year): Pillar 3 disclosures for the year ended 31 December 2021, p.31 (Key Regulatory Metrics) - https://www.arbuthnotlatham.co.uk/sites/default/files/documents/ABG_Pillar_3_Disclosures_2021_Annual.pdf
FY2025 Pillar 3 disclosures have not been published yet (checked against the site's naming pattern from prior years; none found) - FY2025 is left blank on every Pillar 3 sheet rather than guessed.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t>
        </is>
      </c>
    </row>
  </sheetData>
  <mergeCells count="2">
    <mergeCell ref="A5:F5"/>
    <mergeCell ref="A7:F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Arbuthnot Latham &amp; Co., Limited — Tier 1 Ratio</t>
        </is>
      </c>
    </row>
    <row r="2">
      <c r="A2" s="2" t="inlineStr">
        <is>
          <t>Arbuthnot Banking Group PLC (Pillar 3)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n"/>
      <c r="C4" s="6" t="inlineStr">
        <is>
          <t>13.15%</t>
        </is>
      </c>
      <c r="D4" s="6" t="inlineStr">
        <is>
          <t>12.98%</t>
        </is>
      </c>
      <c r="E4" s="6" t="inlineStr">
        <is>
          <t>11.57%</t>
        </is>
      </c>
      <c r="F4" s="6" t="inlineStr">
        <is>
          <t>12.3%</t>
        </is>
      </c>
    </row>
    <row r="6" ht="140" customHeight="1">
      <c r="A6" s="8" t="inlineStr">
        <is>
          <t>Sources - Arbuthnot Banking Group PLC Pillar 3 disclosures (UK KM1 Key Metrics template; FY2021 uses the pre-KM1 'Key Regulatory Metrics' template), £'000 unless stated:
FY2024 &amp; FY2023 comparative: Pillar 3 disclosures for the year ended 31 December 2024, p.6 (Template UK KM1) - https://www.arbuthnotlatham.co.uk/sites/default/files/documents/abg-pillar-3-disclosures-december-24.pdf
FY2023 (own year) &amp; FY2022 comparative: Pillar 3 disclosures for the year ended 31 December 2023, p.6 (Template UK KM1) - https://www.arbuthnotlatham.co.uk/sites/default/files/documents/ABG_Pillar_3_Disclosures_2023_Final.pdf
FY2022 (own year) &amp; FY2021 comparative: Pillar 3 disclosures for the year ended 31 December 2022, p.6 (Template UK KM1) - https://www.arbuthnotlatham.co.uk/sites/default/files/documents/ABG_Pillar_3_Disclosures_2022_Final.pdf
FY2021 (own year): Pillar 3 disclosures for the year ended 31 December 2021, p.31 (Key Regulatory Metrics) - https://www.arbuthnotlatham.co.uk/sites/default/files/documents/ABG_Pillar_3_Disclosures_2021_Annual.pdf
FY2025 Pillar 3 disclosures have not been published yet (checked against the site's naming pattern from prior years; none found) - FY2025 is left blank on every Pillar 3 sheet rather than guessed.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t>
        </is>
      </c>
    </row>
  </sheetData>
  <mergeCells count="1">
    <mergeCell ref="A6:F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Arbuthnot Latham &amp; Co., Limited — Total Capital</t>
        </is>
      </c>
    </row>
    <row r="2">
      <c r="A2" s="2" t="inlineStr">
        <is>
          <t>Arbuthnot Banking Group PLC (Pillar 3) basis, £'000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c r="C4" s="6" t="n">
        <v>272459</v>
      </c>
      <c r="D4" s="6" t="n">
        <v>260017</v>
      </c>
      <c r="E4" s="6" t="n">
        <v>212969</v>
      </c>
      <c r="F4" s="6" t="n">
        <v>213007</v>
      </c>
    </row>
    <row r="6" ht="140" customHeight="1">
      <c r="A6" s="8" t="inlineStr">
        <is>
          <t>Sources - Arbuthnot Banking Group PLC Pillar 3 disclosures (UK KM1 Key Metrics template; FY2021 uses the pre-KM1 'Key Regulatory Metrics' template), £'000 unless stated:
FY2024 &amp; FY2023 comparative: Pillar 3 disclosures for the year ended 31 December 2024, p.6 (Template UK KM1) - https://www.arbuthnotlatham.co.uk/sites/default/files/documents/abg-pillar-3-disclosures-december-24.pdf
FY2023 (own year) &amp; FY2022 comparative: Pillar 3 disclosures for the year ended 31 December 2023, p.6 (Template UK KM1) - https://www.arbuthnotlatham.co.uk/sites/default/files/documents/ABG_Pillar_3_Disclosures_2023_Final.pdf
FY2022 (own year) &amp; FY2021 comparative: Pillar 3 disclosures for the year ended 31 December 2022, p.6 (Template UK KM1) - https://www.arbuthnotlatham.co.uk/sites/default/files/documents/ABG_Pillar_3_Disclosures_2022_Final.pdf
FY2021 (own year): Pillar 3 disclosures for the year ended 31 December 2021, p.31 (Key Regulatory Metrics) - https://www.arbuthnotlatham.co.uk/sites/default/files/documents/ABG_Pillar_3_Disclosures_2021_Annual.pdf
FY2025 Pillar 3 disclosures have not been published yet (checked against the site's naming pattern from prior years; none found) - FY2025 is left blank on every Pillar 3 sheet rather than guessed.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Arbuthnot Latham &amp; Co., Limited — Total Capital Ratio</t>
        </is>
      </c>
    </row>
    <row r="2">
      <c r="A2" s="2" t="inlineStr">
        <is>
          <t>Arbuthnot Banking Group PLC (Pillar 3)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n"/>
      <c r="C4" s="6" t="inlineStr">
        <is>
          <t>15.28%</t>
        </is>
      </c>
      <c r="D4" s="6" t="inlineStr">
        <is>
          <t>15.18%</t>
        </is>
      </c>
      <c r="E4" s="6" t="inlineStr">
        <is>
          <t>14.05%</t>
        </is>
      </c>
      <c r="F4" s="6" t="inlineStr">
        <is>
          <t>14.9%</t>
        </is>
      </c>
    </row>
    <row r="6" ht="140" customHeight="1">
      <c r="A6" s="8" t="inlineStr">
        <is>
          <t>Sources - Arbuthnot Banking Group PLC Pillar 3 disclosures (UK KM1 Key Metrics template; FY2021 uses the pre-KM1 'Key Regulatory Metrics' template), £'000 unless stated:
FY2024 &amp; FY2023 comparative: Pillar 3 disclosures for the year ended 31 December 2024, p.6 (Template UK KM1) - https://www.arbuthnotlatham.co.uk/sites/default/files/documents/abg-pillar-3-disclosures-december-24.pdf
FY2023 (own year) &amp; FY2022 comparative: Pillar 3 disclosures for the year ended 31 December 2023, p.6 (Template UK KM1) - https://www.arbuthnotlatham.co.uk/sites/default/files/documents/ABG_Pillar_3_Disclosures_2023_Final.pdf
FY2022 (own year) &amp; FY2021 comparative: Pillar 3 disclosures for the year ended 31 December 2022, p.6 (Template UK KM1) - https://www.arbuthnotlatham.co.uk/sites/default/files/documents/ABG_Pillar_3_Disclosures_2022_Final.pdf
FY2021 (own year): Pillar 3 disclosures for the year ended 31 December 2021, p.31 (Key Regulatory Metrics) - https://www.arbuthnotlatham.co.uk/sites/default/files/documents/ABG_Pillar_3_Disclosures_2021_Annual.pdf
FY2025 Pillar 3 disclosures have not been published yet (checked against the site's naming pattern from prior years; none found) - FY2025 is left blank on every Pillar 3 sheet rather than guessed.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Arbuthnot Latham &amp; Co., Limited — Total RWAs</t>
        </is>
      </c>
    </row>
    <row r="2">
      <c r="A2" s="2" t="inlineStr">
        <is>
          <t>Arbuthnot Banking Group PLC (Pillar 3) basis, £'000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c r="C4" s="6" t="n">
        <v>1782645</v>
      </c>
      <c r="D4" s="6" t="n">
        <v>1713146</v>
      </c>
      <c r="E4" s="6" t="n">
        <v>1516141</v>
      </c>
      <c r="F4" s="6" t="n">
        <v>1427724</v>
      </c>
    </row>
    <row r="6" ht="140" customHeight="1">
      <c r="A6" s="8" t="inlineStr">
        <is>
          <t>Sources - Arbuthnot Banking Group PLC Pillar 3 disclosures (UK KM1 Key Metrics template; FY2021 uses the pre-KM1 'Key Regulatory Metrics' template), £'000 unless stated:
FY2024 &amp; FY2023 comparative: Pillar 3 disclosures for the year ended 31 December 2024, p.6 (Template UK KM1) - https://www.arbuthnotlatham.co.uk/sites/default/files/documents/abg-pillar-3-disclosures-december-24.pdf
FY2023 (own year) &amp; FY2022 comparative: Pillar 3 disclosures for the year ended 31 December 2023, p.6 (Template UK KM1) - https://www.arbuthnotlatham.co.uk/sites/default/files/documents/ABG_Pillar_3_Disclosures_2023_Final.pdf
FY2022 (own year) &amp; FY2021 comparative: Pillar 3 disclosures for the year ended 31 December 2022, p.6 (Template UK KM1) - https://www.arbuthnotlatham.co.uk/sites/default/files/documents/ABG_Pillar_3_Disclosures_2022_Final.pdf
FY2021 (own year): Pillar 3 disclosures for the year ended 31 December 2021, p.31 (Key Regulatory Metrics) - https://www.arbuthnotlatham.co.uk/sites/default/files/documents/ABG_Pillar_3_Disclosures_2021_Annual.pdf
FY2025 Pillar 3 disclosures have not been published yet (checked against the site's naming pattern from prior years; none found) - FY2025 is left blank on every Pillar 3 sheet rather than guessed.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Arbuthnot Latham &amp; Co., Limited — Leverage Ratio</t>
        </is>
      </c>
    </row>
    <row r="2">
      <c r="A2" s="2" t="inlineStr">
        <is>
          <t>Arbuthnot Banking Group PLC (Pillar 3) basis, £'000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exposure measure excluding claims on central banks</t>
        </is>
      </c>
      <c r="B4" s="6" t="n"/>
      <c r="C4" s="6" t="n">
        <v>3828489</v>
      </c>
      <c r="D4" s="6" t="n">
        <v>3559597</v>
      </c>
      <c r="E4" s="6" t="n">
        <v>2923193</v>
      </c>
      <c r="F4" s="6" t="n"/>
    </row>
    <row r="5">
      <c r="A5" s="6" t="inlineStr">
        <is>
          <t>Leverage ratio excluding claims on central banks (%)</t>
        </is>
      </c>
      <c r="B5" s="6" t="n"/>
      <c r="C5" s="6" t="inlineStr">
        <is>
          <t>6.12%</t>
        </is>
      </c>
      <c r="D5" s="6" t="inlineStr">
        <is>
          <t>6.24%</t>
        </is>
      </c>
      <c r="E5" s="6" t="inlineStr">
        <is>
          <t>6.00%</t>
        </is>
      </c>
      <c r="F5" s="6" t="n"/>
    </row>
    <row r="6">
      <c r="A6" s="6" t="inlineStr">
        <is>
          <t>Total Basel III leverage ratio measure (FY2021 basis, includes claims on central banks)</t>
        </is>
      </c>
      <c r="B6" s="6" t="n"/>
      <c r="C6" s="6" t="n"/>
      <c r="D6" s="6" t="n"/>
      <c r="E6" s="6" t="n"/>
      <c r="F6" s="6" t="n">
        <v>3409123</v>
      </c>
    </row>
    <row r="7">
      <c r="A7" s="6" t="inlineStr">
        <is>
          <t>Basel III leverage ratio (%) (FY2021 basis)</t>
        </is>
      </c>
      <c r="B7" s="6" t="n"/>
      <c r="C7" s="6" t="n"/>
      <c r="D7" s="6" t="n"/>
      <c r="E7" s="6" t="n"/>
      <c r="F7" s="6" t="inlineStr">
        <is>
          <t>5.2%</t>
        </is>
      </c>
    </row>
    <row r="8" ht="60" customHeight="1">
      <c r="A8" s="7" t="inlineStr">
        <is>
          <t>Note: The 'excluding claims on central banks' leverage framework took effect from 1 January 2022 (per the FY2022 Pillar 3 report itself); FY2021 is shown on its own report's 'Basel III leverage ratio' basis (includes claims on central banks) as a separate row rather than blended with the later basis.</t>
        </is>
      </c>
    </row>
    <row r="10" ht="140" customHeight="1">
      <c r="A10" s="8" t="inlineStr">
        <is>
          <t>Sources - Arbuthnot Banking Group PLC Pillar 3 disclosures (UK KM1 Key Metrics template; FY2021 uses the pre-KM1 'Key Regulatory Metrics' template), £'000 unless stated:
FY2024 &amp; FY2023 comparative: Pillar 3 disclosures for the year ended 31 December 2024, p.6 (Template UK KM1) - https://www.arbuthnotlatham.co.uk/sites/default/files/documents/abg-pillar-3-disclosures-december-24.pdf
FY2023 (own year) &amp; FY2022 comparative: Pillar 3 disclosures for the year ended 31 December 2023, p.6 (Template UK KM1) - https://www.arbuthnotlatham.co.uk/sites/default/files/documents/ABG_Pillar_3_Disclosures_2023_Final.pdf
FY2022 (own year) &amp; FY2021 comparative: Pillar 3 disclosures for the year ended 31 December 2022, p.6 (Template UK KM1) - https://www.arbuthnotlatham.co.uk/sites/default/files/documents/ABG_Pillar_3_Disclosures_2022_Final.pdf
FY2021 (own year): Pillar 3 disclosures for the year ended 31 December 2021, p.31 (Key Regulatory Metrics) - https://www.arbuthnotlatham.co.uk/sites/default/files/documents/ABG_Pillar_3_Disclosures_2021_Annual.pdf
FY2025 Pillar 3 disclosures have not been published yet (checked against the site's naming pattern from prior years; none found) - FY2025 is left blank on every Pillar 3 sheet rather than guessed.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t>
        </is>
      </c>
    </row>
  </sheetData>
  <mergeCells count="2">
    <mergeCell ref="A8:F8"/>
    <mergeCell ref="A10:F10"/>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Arbuthnot Latham &amp; Co., Limited — LCR</t>
        </is>
      </c>
    </row>
    <row r="2">
      <c r="A2" s="2" t="inlineStr">
        <is>
          <t>Arbuthnot Banking Group PLC (Pillar 3) basis, £'000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high-quality liquid assets (HQLA), weighted value</t>
        </is>
      </c>
      <c r="B4" s="6" t="n"/>
      <c r="C4" s="6" t="n">
        <v>1275612</v>
      </c>
      <c r="D4" s="6" t="n">
        <v>1046604</v>
      </c>
      <c r="E4" s="6" t="n">
        <v>710180</v>
      </c>
      <c r="F4" s="6" t="n">
        <v>897493</v>
      </c>
    </row>
    <row r="5">
      <c r="A5" s="6" t="inlineStr">
        <is>
          <t>Total net cash outflows, adjusted value</t>
        </is>
      </c>
      <c r="B5" s="6" t="n"/>
      <c r="C5" s="6" t="n">
        <v>730580</v>
      </c>
      <c r="D5" s="6" t="n">
        <v>476548</v>
      </c>
      <c r="E5" s="6" t="n">
        <v>405819</v>
      </c>
      <c r="F5" s="6" t="n">
        <v>487009</v>
      </c>
    </row>
    <row r="6">
      <c r="A6" s="6" t="inlineStr">
        <is>
          <t>Liquidity Coverage Ratio (%)</t>
        </is>
      </c>
      <c r="B6" s="6" t="n"/>
      <c r="C6" s="6" t="inlineStr">
        <is>
          <t>175%</t>
        </is>
      </c>
      <c r="D6" s="6" t="inlineStr">
        <is>
          <t>220%</t>
        </is>
      </c>
      <c r="E6" s="6" t="inlineStr">
        <is>
          <t>175%</t>
        </is>
      </c>
      <c r="F6" s="6" t="inlineStr">
        <is>
          <t>184.3%</t>
        </is>
      </c>
    </row>
    <row r="7" ht="60" customHeight="1">
      <c r="A7" s="7" t="inlineStr">
        <is>
          <t>Note: FY2021 figures are from the FY2021 report's own 'Key Regulatory Metrics' table (pre-KM1 format). The FY2022 Pillar 3 report's own Dec-2021 comparative column instead shows HQLA £776,633k, net cash outflows £354,918k and LCR 219% for the same date - a real discrepancy between the two vintages' own figures, not resolved in either source. The FY2021 standalone figure is used here as the year's own original disclosure; the later restated comparative is flagged here rather than silently substituted.</t>
        </is>
      </c>
    </row>
    <row r="9" ht="140" customHeight="1">
      <c r="A9" s="8" t="inlineStr">
        <is>
          <t>Sources - Arbuthnot Banking Group PLC Pillar 3 disclosures (UK KM1 Key Metrics template; FY2021 uses the pre-KM1 'Key Regulatory Metrics' template), £'000 unless stated:
FY2024 &amp; FY2023 comparative: Pillar 3 disclosures for the year ended 31 December 2024, p.6 (Template UK KM1) - https://www.arbuthnotlatham.co.uk/sites/default/files/documents/abg-pillar-3-disclosures-december-24.pdf
FY2023 (own year) &amp; FY2022 comparative: Pillar 3 disclosures for the year ended 31 December 2023, p.6 (Template UK KM1) - https://www.arbuthnotlatham.co.uk/sites/default/files/documents/ABG_Pillar_3_Disclosures_2023_Final.pdf
FY2022 (own year) &amp; FY2021 comparative: Pillar 3 disclosures for the year ended 31 December 2022, p.6 (Template UK KM1) - https://www.arbuthnotlatham.co.uk/sites/default/files/documents/ABG_Pillar_3_Disclosures_2022_Final.pdf
FY2021 (own year): Pillar 3 disclosures for the year ended 31 December 2021, p.31 (Key Regulatory Metrics) - https://www.arbuthnotlatham.co.uk/sites/default/files/documents/ABG_Pillar_3_Disclosures_2021_Annual.pdf
FY2025 Pillar 3 disclosures have not been published yet (checked against the site's naming pattern from prior years; none found) - FY2025 is left blank on every Pillar 3 sheet rather than guessed.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t>
        </is>
      </c>
    </row>
  </sheetData>
  <mergeCells count="2">
    <mergeCell ref="A7:F7"/>
    <mergeCell ref="A9:F9"/>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Arbuthnot Latham &amp; Co., Limited — NSFR</t>
        </is>
      </c>
    </row>
    <row r="2">
      <c r="A2" s="2" t="inlineStr">
        <is>
          <t>Arbuthnot Banking Group PLC (Pillar 3) basis, £'000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available stable funding</t>
        </is>
      </c>
      <c r="B4" s="6" t="n"/>
      <c r="C4" s="6" t="n">
        <v>2995437</v>
      </c>
      <c r="D4" s="6" t="n">
        <v>2784678</v>
      </c>
      <c r="E4" s="6" t="n">
        <v>2464147</v>
      </c>
      <c r="F4" s="6" t="n">
        <v>2389237</v>
      </c>
    </row>
    <row r="5">
      <c r="A5" s="6" t="inlineStr">
        <is>
          <t>Total required stable funding</t>
        </is>
      </c>
      <c r="B5" s="6" t="n"/>
      <c r="C5" s="6" t="n">
        <v>2274318</v>
      </c>
      <c r="D5" s="6" t="n">
        <v>2043499</v>
      </c>
      <c r="E5" s="6" t="n">
        <v>1940538</v>
      </c>
      <c r="F5" s="6" t="n">
        <v>1794905</v>
      </c>
    </row>
    <row r="6">
      <c r="A6" s="6" t="inlineStr">
        <is>
          <t>NSFR ratio (%)</t>
        </is>
      </c>
      <c r="B6" s="6" t="n"/>
      <c r="C6" s="6" t="inlineStr">
        <is>
          <t>132%</t>
        </is>
      </c>
      <c r="D6" s="6" t="inlineStr">
        <is>
          <t>136%</t>
        </is>
      </c>
      <c r="E6" s="6" t="inlineStr">
        <is>
          <t>127%</t>
        </is>
      </c>
      <c r="F6" s="6" t="inlineStr">
        <is>
          <t>133.1%</t>
        </is>
      </c>
    </row>
    <row r="7" ht="60" customHeight="1">
      <c r="A7" s="7" t="inlineStr">
        <is>
          <t>Note: FY2021 is from the FY2021 report's own table; the UK NSFR regime's KM1 disclosure only became a formal requirement from 1 January 2022, so the FY2022 Pillar 3 report's KM1 template carries no FY2021 comparative for this line (marked 'NA' in that document) even though FY2021's own report did disclose a figure.</t>
        </is>
      </c>
    </row>
    <row r="9" ht="140" customHeight="1">
      <c r="A9" s="8" t="inlineStr">
        <is>
          <t>Sources - Arbuthnot Banking Group PLC Pillar 3 disclosures (UK KM1 Key Metrics template; FY2021 uses the pre-KM1 'Key Regulatory Metrics' template), £'000 unless stated:
FY2024 &amp; FY2023 comparative: Pillar 3 disclosures for the year ended 31 December 2024, p.6 (Template UK KM1) - https://www.arbuthnotlatham.co.uk/sites/default/files/documents/abg-pillar-3-disclosures-december-24.pdf
FY2023 (own year) &amp; FY2022 comparative: Pillar 3 disclosures for the year ended 31 December 2023, p.6 (Template UK KM1) - https://www.arbuthnotlatham.co.uk/sites/default/files/documents/ABG_Pillar_3_Disclosures_2023_Final.pdf
FY2022 (own year) &amp; FY2021 comparative: Pillar 3 disclosures for the year ended 31 December 2022, p.6 (Template UK KM1) - https://www.arbuthnotlatham.co.uk/sites/default/files/documents/ABG_Pillar_3_Disclosures_2022_Final.pdf
FY2021 (own year): Pillar 3 disclosures for the year ended 31 December 2021, p.31 (Key Regulatory Metrics) - https://www.arbuthnotlatham.co.uk/sites/default/files/documents/ABG_Pillar_3_Disclosures_2021_Annual.pdf
FY2025 Pillar 3 disclosures have not been published yet (checked against the site's naming pattern from prior years; none found) - FY2025 is left blank on every Pillar 3 sheet rather than guessed.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t>
        </is>
      </c>
    </row>
  </sheetData>
  <mergeCells count="2">
    <mergeCell ref="A7:F7"/>
    <mergeCell ref="A9:F9"/>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Arbuthnot Latham &amp; Co., Limited — MREL Ratio</t>
        </is>
      </c>
    </row>
    <row r="2">
      <c r="A2" s="2" t="inlineStr">
        <is>
          <t>Arbuthnot Banking Group PLC (Pillar 3) basis</t>
        </is>
      </c>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disclosed</t>
        </is>
      </c>
      <c r="C4" s="6" t="inlineStr">
        <is>
          <t>Not disclosed</t>
        </is>
      </c>
      <c r="D4" s="6" t="inlineStr">
        <is>
          <t>Not disclosed</t>
        </is>
      </c>
      <c r="E4" s="6" t="inlineStr">
        <is>
          <t>Not disclosed</t>
        </is>
      </c>
      <c r="F4" s="6" t="inlineStr">
        <is>
          <t>Not disclosed</t>
        </is>
      </c>
    </row>
    <row r="5" ht="60" customHeight="1">
      <c r="A5" s="7" t="inlineStr">
        <is>
          <t>Note: No MREL disclosure found in any of the 4 available Pillar 3 reports (FY2021-FY2024) - Arbuthnot Banking Group is not designated as a resolution entity subject to MREL reporting at this level.</t>
        </is>
      </c>
    </row>
    <row r="7" ht="140" customHeight="1">
      <c r="A7" s="8" t="inlineStr">
        <is>
          <t>Sources - Arbuthnot Banking Group PLC Pillar 3 disclosures (UK KM1 Key Metrics template; FY2021 uses the pre-KM1 'Key Regulatory Metrics' template), £'000 unless stated:
FY2024 &amp; FY2023 comparative: Pillar 3 disclosures for the year ended 31 December 2024, p.6 (Template UK KM1) - https://www.arbuthnotlatham.co.uk/sites/default/files/documents/abg-pillar-3-disclosures-december-24.pdf
FY2023 (own year) &amp; FY2022 comparative: Pillar 3 disclosures for the year ended 31 December 2023, p.6 (Template UK KM1) - https://www.arbuthnotlatham.co.uk/sites/default/files/documents/ABG_Pillar_3_Disclosures_2023_Final.pdf
FY2022 (own year) &amp; FY2021 comparative: Pillar 3 disclosures for the year ended 31 December 2022, p.6 (Template UK KM1) - https://www.arbuthnotlatham.co.uk/sites/default/files/documents/ABG_Pillar_3_Disclosures_2022_Final.pdf
FY2021 (own year): Pillar 3 disclosures for the year ended 31 December 2021, p.31 (Key Regulatory Metrics) - https://www.arbuthnotlatham.co.uk/sites/default/files/documents/ABG_Pillar_3_Disclosures_2021_Annual.pdf
FY2025 Pillar 3 disclosures have not been published yet (checked against the site's naming pattern from prior years; none found) - FY2025 is left blank on every Pillar 3 sheet rather than guessed.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2026-08-27T08:27:10Z</dcterms:created>
  <dcterms:modified xsi:type="dcterms:W3CDTF">2026-08-27T08:27:10Z</dcterms:modified>
</cp:coreProperties>
</file>