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v>1783675</v>
      </c>
      <c r="J6" t="inlineStr">
        <is>
          <t>Total assets</t>
        </is>
      </c>
      <c r="K6" t="n">
        <v>1783675</v>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v>1060769</v>
      </c>
      <c r="J7" t="inlineStr">
        <is>
          <t>Loans and advances to customers</t>
        </is>
      </c>
      <c r="K7" t="n">
        <v>1060769</v>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v>1439804</v>
      </c>
      <c r="J8" t="inlineStr">
        <is>
          <t>Deposits from customers</t>
        </is>
      </c>
      <c r="K8" t="n">
        <v>1439804</v>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v>132937</v>
      </c>
      <c r="J9" t="inlineStr">
        <is>
          <t>Total equity</t>
        </is>
      </c>
      <c r="K9" t="n">
        <v>132937</v>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v>54925</v>
      </c>
      <c r="S13" t="inlineStr">
        <is>
          <t>Total group operating income</t>
        </is>
      </c>
      <c r="T13" t="n">
        <v>54925</v>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v>-48924</v>
      </c>
      <c r="S14" t="inlineStr">
        <is>
          <t>Operating expenses</t>
        </is>
      </c>
      <c r="T14" t="n">
        <v>-48924</v>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v>8937</v>
      </c>
      <c r="S15" t="inlineStr">
        <is>
          <t>Profit/(loss) for the year</t>
        </is>
      </c>
      <c r="T15" t="n">
        <v>8937</v>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v>313101</v>
      </c>
    </row>
    <row r="6">
      <c r="A6" s="6" t="inlineStr">
        <is>
          <t>Loans and advances to banks</t>
        </is>
      </c>
      <c r="B6" s="6" t="n">
        <v>117491</v>
      </c>
      <c r="C6" s="6" t="n">
        <v>66964</v>
      </c>
      <c r="D6" s="6" t="n">
        <v>79374</v>
      </c>
      <c r="E6" s="6" t="n">
        <v>115781</v>
      </c>
      <c r="F6" s="6" t="n">
        <v>73430</v>
      </c>
      <c r="G6" s="6" t="n">
        <v>70665</v>
      </c>
    </row>
    <row r="7">
      <c r="A7" s="6" t="inlineStr">
        <is>
          <t>Debt securities at amortised cost</t>
        </is>
      </c>
      <c r="B7" s="6" t="n">
        <v>2033158</v>
      </c>
      <c r="C7" s="6" t="n">
        <v>1199847</v>
      </c>
      <c r="D7" s="6" t="n">
        <v>942437</v>
      </c>
      <c r="E7" s="6" t="n">
        <v>439753</v>
      </c>
      <c r="F7" s="6" t="n">
        <v>301052</v>
      </c>
      <c r="G7" s="6" t="n">
        <v>227019</v>
      </c>
    </row>
    <row r="8">
      <c r="A8" s="6" t="inlineStr">
        <is>
          <t>Assets classified as held for sale</t>
        </is>
      </c>
      <c r="B8" s="6" t="n"/>
      <c r="C8" s="6" t="n"/>
      <c r="D8" s="6" t="n">
        <v>3281</v>
      </c>
      <c r="E8" s="6" t="n">
        <v>3279</v>
      </c>
      <c r="F8" s="6" t="n">
        <v>3136</v>
      </c>
      <c r="G8" s="6" t="n">
        <v>2915</v>
      </c>
    </row>
    <row r="9">
      <c r="A9" s="6" t="inlineStr">
        <is>
          <t>Derivative financial instruments</t>
        </is>
      </c>
      <c r="B9" s="6" t="n">
        <v>1398</v>
      </c>
      <c r="C9" s="6" t="n">
        <v>2970</v>
      </c>
      <c r="D9" s="6" t="n">
        <v>4214</v>
      </c>
      <c r="E9" s="6" t="n">
        <v>6322</v>
      </c>
      <c r="F9" s="6" t="n">
        <v>1753</v>
      </c>
      <c r="G9" s="6" t="n">
        <v>2551</v>
      </c>
    </row>
    <row r="10">
      <c r="A10" s="6" t="inlineStr">
        <is>
          <t>Loans and advances to customers</t>
        </is>
      </c>
      <c r="B10" s="6" t="n">
        <v>1960552</v>
      </c>
      <c r="C10" s="6" t="n">
        <v>2094226</v>
      </c>
      <c r="D10" s="6" t="n">
        <v>2064256</v>
      </c>
      <c r="E10" s="6" t="n">
        <v>2047578</v>
      </c>
      <c r="F10" s="6" t="n">
        <v>1882461</v>
      </c>
      <c r="G10" s="6" t="n">
        <v>1060769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v>20589</v>
      </c>
    </row>
    <row r="13">
      <c r="A13" s="6" t="inlineStr">
        <is>
          <t>Financial investments</t>
        </is>
      </c>
      <c r="B13" s="6" t="n">
        <v>2061</v>
      </c>
      <c r="C13" s="6" t="n">
        <v>4947</v>
      </c>
      <c r="D13" s="6" t="n">
        <v>3942</v>
      </c>
      <c r="E13" s="6" t="n">
        <v>3404</v>
      </c>
      <c r="F13" s="6" t="n">
        <v>3169</v>
      </c>
      <c r="G13" s="6" t="n">
        <v>2207</v>
      </c>
    </row>
    <row r="14">
      <c r="A14" s="6" t="inlineStr">
        <is>
          <t>Deferred tax asset</t>
        </is>
      </c>
      <c r="B14" s="6" t="n"/>
      <c r="C14" s="6" t="n"/>
      <c r="D14" s="6" t="n"/>
      <c r="E14" s="6" t="n">
        <v>1902</v>
      </c>
      <c r="F14" s="6" t="n">
        <v>2040</v>
      </c>
      <c r="G14" s="6" t="n">
        <v>886</v>
      </c>
    </row>
    <row r="15">
      <c r="A15" s="6" t="inlineStr">
        <is>
          <t>Intangible assets</t>
        </is>
      </c>
      <c r="B15" s="6" t="n">
        <v>37179</v>
      </c>
      <c r="C15" s="6" t="n">
        <v>34299</v>
      </c>
      <c r="D15" s="6" t="n">
        <v>33320</v>
      </c>
      <c r="E15" s="6" t="n">
        <v>36281</v>
      </c>
      <c r="F15" s="6" t="n">
        <v>33595</v>
      </c>
      <c r="G15" s="6" t="n">
        <v>19728</v>
      </c>
    </row>
    <row r="16">
      <c r="A16" s="6" t="inlineStr">
        <is>
          <t>Property, plant and equipment</t>
        </is>
      </c>
      <c r="B16" s="6" t="n">
        <v>310375</v>
      </c>
      <c r="C16" s="6" t="n">
        <v>313147</v>
      </c>
      <c r="D16" s="6" t="n">
        <v>274176</v>
      </c>
      <c r="E16" s="6" t="n">
        <v>175144</v>
      </c>
      <c r="F16" s="6" t="n">
        <v>125753</v>
      </c>
      <c r="G16" s="6" t="n">
        <v>3806</v>
      </c>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v>59439</v>
      </c>
    </row>
    <row r="19">
      <c r="A19" s="5" t="inlineStr">
        <is>
          <t>Total assets</t>
        </is>
      </c>
      <c r="B19" s="5" t="n">
        <v>5006700</v>
      </c>
      <c r="C19" s="5" t="n">
        <v>4733958</v>
      </c>
      <c r="D19" s="5" t="n">
        <v>4349764</v>
      </c>
      <c r="E19" s="5" t="n">
        <v>3628546</v>
      </c>
      <c r="F19" s="5" t="n">
        <v>3373371</v>
      </c>
      <c r="G19" s="5" t="n">
        <v>1783675</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v>195097</v>
      </c>
    </row>
    <row r="22">
      <c r="A22" s="6" t="inlineStr">
        <is>
          <t>Derivative financial instruments</t>
        </is>
      </c>
      <c r="B22" s="6" t="n"/>
      <c r="C22" s="6" t="n"/>
      <c r="D22" s="6" t="n">
        <v>1032</v>
      </c>
      <c r="E22" s="6" t="n">
        <v>135</v>
      </c>
      <c r="F22" s="6" t="n">
        <v>171</v>
      </c>
      <c r="G22" s="6" t="n">
        <v>931</v>
      </c>
    </row>
    <row r="23">
      <c r="A23" s="6" t="inlineStr">
        <is>
          <t>Deposits from customers</t>
        </is>
      </c>
      <c r="B23" s="6" t="n">
        <v>4575114</v>
      </c>
      <c r="C23" s="6" t="n">
        <v>4133406</v>
      </c>
      <c r="D23" s="6" t="n">
        <v>3760199</v>
      </c>
      <c r="E23" s="6" t="n">
        <v>3112478</v>
      </c>
      <c r="F23" s="6" t="n">
        <v>2856949</v>
      </c>
      <c r="G23" s="6" t="n">
        <v>1439804</v>
      </c>
    </row>
    <row r="24">
      <c r="A24" s="6" t="inlineStr">
        <is>
          <t>Current tax liability</t>
        </is>
      </c>
      <c r="B24" s="6" t="n"/>
      <c r="C24" s="6" t="n"/>
      <c r="D24" s="6" t="n"/>
      <c r="E24" s="6" t="n">
        <v>870</v>
      </c>
      <c r="F24" s="6" t="n">
        <v>652</v>
      </c>
      <c r="G24" s="6" t="n">
        <v>553</v>
      </c>
    </row>
    <row r="25">
      <c r="A25" s="6" t="inlineStr">
        <is>
          <t>Other liabilities</t>
        </is>
      </c>
      <c r="B25" s="6" t="n">
        <v>39960</v>
      </c>
      <c r="C25" s="6" t="n">
        <v>34750</v>
      </c>
      <c r="D25" s="6" t="n">
        <v>38117</v>
      </c>
      <c r="E25" s="6" t="n">
        <v>24189</v>
      </c>
      <c r="F25" s="6" t="n">
        <v>19598</v>
      </c>
      <c r="G25" s="6" t="n">
        <v>14353</v>
      </c>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v>1650738</v>
      </c>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v>15000</v>
      </c>
    </row>
    <row r="32">
      <c r="A32" s="6" t="inlineStr">
        <is>
          <t>Retained earnings</t>
        </is>
      </c>
      <c r="B32" s="6" t="n">
        <v>115767</v>
      </c>
      <c r="C32" s="6" t="n">
        <v>105372</v>
      </c>
      <c r="D32" s="6" t="n">
        <v>91832</v>
      </c>
      <c r="E32" s="6" t="n">
        <v>59957</v>
      </c>
      <c r="F32" s="6" t="n">
        <v>47533</v>
      </c>
      <c r="G32" s="6" t="n">
        <v>33575</v>
      </c>
    </row>
    <row r="33">
      <c r="A33" s="6" t="inlineStr">
        <is>
          <t>Other reserves (capital contribution + fair value reserve)</t>
        </is>
      </c>
      <c r="B33" s="6" t="n">
        <v>151680</v>
      </c>
      <c r="C33" s="6" t="n">
        <v>153401</v>
      </c>
      <c r="D33" s="6" t="n">
        <v>152854</v>
      </c>
      <c r="E33" s="6" t="n">
        <v>147580</v>
      </c>
      <c r="F33" s="6" t="n">
        <v>147491</v>
      </c>
      <c r="G33" s="6" t="n">
        <v>84362</v>
      </c>
    </row>
    <row r="34">
      <c r="A34" s="5" t="inlineStr">
        <is>
          <t>Total equity</t>
        </is>
      </c>
      <c r="B34" s="5" t="n">
        <v>282447</v>
      </c>
      <c r="C34" s="5" t="n">
        <v>273773</v>
      </c>
      <c r="D34" s="5" t="n">
        <v>259686</v>
      </c>
      <c r="E34" s="5" t="n">
        <v>222537</v>
      </c>
      <c r="F34" s="5" t="n">
        <v>210024</v>
      </c>
      <c r="G34" s="5" t="n">
        <v>132937</v>
      </c>
    </row>
    <row r="35">
      <c r="A35" s="5" t="inlineStr">
        <is>
          <t>Total liabilities and equity</t>
        </is>
      </c>
      <c r="B35" s="5" t="n">
        <v>5006700</v>
      </c>
      <c r="C35" s="5" t="n">
        <v>4733958</v>
      </c>
      <c r="D35" s="5" t="n">
        <v>4349764</v>
      </c>
      <c r="E35" s="5" t="n">
        <v>3628546</v>
      </c>
      <c r="F35" s="5" t="n">
        <v>3373371</v>
      </c>
      <c r="G35" s="5" t="n">
        <v>1783675</v>
      </c>
    </row>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FY2017 presentation: the 2017 statements predate IFRS 9 and IFRS 16, so three captions differ. 'Debt securities at amortised cost' is captioned 'Debt securities held-to-maturity' (the IAS 39 category, also measured at amortised cost); 'Assets classified as held for sale' is captioned 'Current assets held for sale'; and FY2017 'Other reserves' 84,362 is the capital contribution reserve plus the IAS 39 available-for-sale reserve rather than an IFRS 9 fair value reserve. 'Right-of-use assets', 'Lease liabilities', 'Deferred tax liability', 'Current tax assets' and 'Debt securities in issue' have no FY2017 equivalent and are blank, not zero. The 2017 statement also carries an 'Interests in associates' line, nil at 31 December 2017 (900 at 31 December 2016); no row is added for a nil. The FY2017 column ties exactly - the twelve asset lines sum to 1,783,675, the five liability lines to 1,650,738, equity to 132,937.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v>47601</v>
      </c>
    </row>
    <row r="6">
      <c r="A6" s="6" t="inlineStr">
        <is>
          <t>Interest expense</t>
        </is>
      </c>
      <c r="B6" s="6" t="n">
        <v>-129126</v>
      </c>
      <c r="C6" s="6" t="n">
        <v>-137562</v>
      </c>
      <c r="D6" s="6" t="n">
        <v>-90515</v>
      </c>
      <c r="E6" s="6" t="n">
        <v>-17781</v>
      </c>
      <c r="F6" s="6" t="n">
        <v>-10384</v>
      </c>
      <c r="G6" s="6" t="n">
        <v>-6199</v>
      </c>
    </row>
    <row r="7">
      <c r="A7" s="5" t="inlineStr">
        <is>
          <t>Net interest income</t>
        </is>
      </c>
      <c r="B7" s="5" t="n">
        <v>118122</v>
      </c>
      <c r="C7" s="5" t="n">
        <v>125873</v>
      </c>
      <c r="D7" s="5" t="n">
        <v>141321</v>
      </c>
      <c r="E7" s="5" t="n">
        <v>102232</v>
      </c>
      <c r="F7" s="5" t="n">
        <v>66718</v>
      </c>
      <c r="G7" s="5" t="n">
        <v>41402</v>
      </c>
    </row>
    <row r="8">
      <c r="A8" s="6" t="inlineStr">
        <is>
          <t>Fee and commission income</t>
        </is>
      </c>
      <c r="B8" s="6" t="n">
        <v>31689</v>
      </c>
      <c r="C8" s="6" t="n">
        <v>29142</v>
      </c>
      <c r="D8" s="6" t="n">
        <v>23170</v>
      </c>
      <c r="E8" s="6" t="n">
        <v>21586</v>
      </c>
      <c r="F8" s="6" t="n">
        <v>18472</v>
      </c>
      <c r="G8" s="6" t="n">
        <v>13805</v>
      </c>
    </row>
    <row r="9">
      <c r="A9" s="6" t="inlineStr">
        <is>
          <t>Fee and commission expense</t>
        </is>
      </c>
      <c r="B9" s="6" t="n">
        <v>-1444</v>
      </c>
      <c r="C9" s="6" t="n">
        <v>-1029</v>
      </c>
      <c r="D9" s="6" t="n">
        <v>-768</v>
      </c>
      <c r="E9" s="6" t="n">
        <v>-537</v>
      </c>
      <c r="F9" s="6" t="n">
        <v>-349</v>
      </c>
      <c r="G9" s="6" t="n">
        <v>-282</v>
      </c>
    </row>
    <row r="10">
      <c r="A10" s="5" t="inlineStr">
        <is>
          <t>Net fee and commission income</t>
        </is>
      </c>
      <c r="B10" s="5" t="n">
        <v>30245</v>
      </c>
      <c r="C10" s="5" t="n">
        <v>28113</v>
      </c>
      <c r="D10" s="5" t="n">
        <v>22402</v>
      </c>
      <c r="E10" s="5" t="n">
        <v>21049</v>
      </c>
      <c r="F10" s="5" t="n">
        <v>18123</v>
      </c>
      <c r="G10" s="5" t="n">
        <v>13523</v>
      </c>
    </row>
    <row r="11">
      <c r="A11" s="5" t="inlineStr">
        <is>
          <t>Operating income from banking activities</t>
        </is>
      </c>
      <c r="B11" s="5" t="n">
        <v>148367</v>
      </c>
      <c r="C11" s="5" t="n">
        <v>153986</v>
      </c>
      <c r="D11" s="5" t="n">
        <v>163723</v>
      </c>
      <c r="E11" s="5" t="n">
        <v>123281</v>
      </c>
      <c r="F11" s="5" t="n">
        <v>84841</v>
      </c>
      <c r="G11" s="5" t="n">
        <v>54925</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v>54925</v>
      </c>
    </row>
    <row r="17">
      <c r="A17" s="6" t="inlineStr">
        <is>
          <t>Impairment loss on financial assets</t>
        </is>
      </c>
      <c r="B17" s="6" t="n">
        <v>-2501</v>
      </c>
      <c r="C17" s="6" t="n">
        <v>-6275</v>
      </c>
      <c r="D17" s="6" t="n">
        <v>-3191</v>
      </c>
      <c r="E17" s="6" t="n">
        <v>-5503</v>
      </c>
      <c r="F17" s="6" t="n">
        <v>-3196</v>
      </c>
      <c r="G17" s="6" t="n">
        <v>-394</v>
      </c>
    </row>
    <row r="18">
      <c r="A18" s="6" t="inlineStr">
        <is>
          <t>Other income</t>
        </is>
      </c>
      <c r="B18" s="6" t="n">
        <v>5536</v>
      </c>
      <c r="C18" s="6" t="n">
        <v>2560</v>
      </c>
      <c r="D18" s="6" t="n">
        <v>3361</v>
      </c>
      <c r="E18" s="6" t="n">
        <v>2467</v>
      </c>
      <c r="F18" s="6" t="n">
        <v>4402</v>
      </c>
      <c r="G18" s="6" t="n">
        <v>3870</v>
      </c>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v>-48924</v>
      </c>
    </row>
    <row r="22">
      <c r="A22" s="5" t="inlineStr">
        <is>
          <t>Profit/(loss) before tax</t>
        </is>
      </c>
      <c r="B22" s="5" t="n">
        <v>24184</v>
      </c>
      <c r="C22" s="5" t="n">
        <v>35090</v>
      </c>
      <c r="D22" s="5" t="n">
        <v>47116</v>
      </c>
      <c r="E22" s="5" t="n">
        <v>20009</v>
      </c>
      <c r="F22" s="5" t="n">
        <v>4634</v>
      </c>
      <c r="G22" s="5" t="n">
        <v>9477</v>
      </c>
    </row>
    <row r="23">
      <c r="A23" s="6" t="inlineStr">
        <is>
          <t>Income tax (expense)/credit</t>
        </is>
      </c>
      <c r="B23" s="6" t="n">
        <v>-2119</v>
      </c>
      <c r="C23" s="6" t="n">
        <v>-5339</v>
      </c>
      <c r="D23" s="6" t="n">
        <v>-8433</v>
      </c>
      <c r="E23" s="6" t="n">
        <v>-2146</v>
      </c>
      <c r="F23" s="6" t="n">
        <v>2157</v>
      </c>
      <c r="G23" s="6" t="n">
        <v>-540</v>
      </c>
    </row>
    <row r="24">
      <c r="A24" s="5" t="inlineStr">
        <is>
          <t>Profit/(loss) for the year</t>
        </is>
      </c>
      <c r="B24" s="5" t="n">
        <v>22065</v>
      </c>
      <c r="C24" s="5" t="n">
        <v>29751</v>
      </c>
      <c r="D24" s="5" t="n">
        <v>38683</v>
      </c>
      <c r="E24" s="5" t="n">
        <v>17863</v>
      </c>
      <c r="F24" s="5" t="n">
        <v>6791</v>
      </c>
      <c r="G24" s="5" t="n">
        <v>8937</v>
      </c>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v>128</v>
      </c>
    </row>
    <row r="27">
      <c r="A27" s="6" t="inlineStr">
        <is>
          <t>Tax on other comprehensive income</t>
        </is>
      </c>
      <c r="B27" s="6" t="n">
        <v>15</v>
      </c>
      <c r="C27" s="6" t="n">
        <v>-182</v>
      </c>
      <c r="D27" s="6" t="n">
        <v>-91</v>
      </c>
      <c r="E27" s="6" t="n">
        <v>-128</v>
      </c>
      <c r="F27" s="6" t="n">
        <v>-124</v>
      </c>
      <c r="G27" s="6" t="n">
        <v>-26</v>
      </c>
    </row>
    <row r="28">
      <c r="A28" s="5" t="inlineStr">
        <is>
          <t>Other comprehensive income for the period, net of tax</t>
        </is>
      </c>
      <c r="B28" s="5" t="n">
        <v>-44</v>
      </c>
      <c r="C28" s="5" t="n">
        <v>596</v>
      </c>
      <c r="D28" s="5" t="n">
        <v>321</v>
      </c>
      <c r="E28" s="5" t="n">
        <v>499</v>
      </c>
      <c r="F28" s="5" t="n">
        <v>639</v>
      </c>
      <c r="G28" s="5" t="n">
        <v>102</v>
      </c>
    </row>
    <row r="29">
      <c r="A29" s="5" t="inlineStr">
        <is>
          <t>Total comprehensive income for the period</t>
        </is>
      </c>
      <c r="B29" s="5" t="n">
        <v>22021</v>
      </c>
      <c r="C29" s="5" t="n">
        <v>30347</v>
      </c>
      <c r="D29" s="5" t="n">
        <v>39004</v>
      </c>
      <c r="E29" s="5" t="n">
        <v>18363</v>
      </c>
      <c r="F29" s="5" t="n">
        <v>7430</v>
      </c>
      <c r="G29" s="5" t="n">
        <v>9039</v>
      </c>
    </row>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FY2017 presentation: the leasing business was acquired in FY2021, so the 'Income from leasing activities' section is blank for FY2017 and the 2017 statement's single 'Operating income' line of 54,925 is shown on both the banking-activities row and the group-total row - the same disclosed figure, not a derivation. 'Movement in fair value reserve' 128 is captioned 'Available-for-sale reserve' in 2017 (IAS 39, pre-IFRS 9). The FY2017 column ties exactly: 41,402 + 13,523 = 54,925; 54,925 - 394 + 3,870 - 48,924 = 9,477; 9,477 - 540 = 8,937; 8,937 + 102 = 9,039.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Cash flows from operating activities</t>
        </is>
      </c>
      <c r="B4" s="6" t="n"/>
      <c r="C4" s="6" t="n"/>
      <c r="D4" s="6" t="n"/>
      <c r="E4" s="6" t="n"/>
      <c r="F4" s="6" t="n"/>
      <c r="G4" s="6" t="n"/>
    </row>
    <row r="5">
      <c r="A5" s="6" t="inlineStr">
        <is>
          <t>Profit before tax</t>
        </is>
      </c>
      <c r="B5" s="6" t="n">
        <v>24184</v>
      </c>
      <c r="C5" s="6" t="n">
        <v>35091</v>
      </c>
      <c r="D5" s="6" t="n">
        <v>47117</v>
      </c>
      <c r="E5" s="6" t="n">
        <v>20009</v>
      </c>
      <c r="F5" s="6" t="n"/>
      <c r="G5" s="6" t="n"/>
    </row>
    <row r="6">
      <c r="A6" s="6" t="inlineStr">
        <is>
          <t>Interest received</t>
        </is>
      </c>
      <c r="B6" s="6" t="n"/>
      <c r="C6" s="6" t="n"/>
      <c r="D6" s="6" t="n"/>
      <c r="E6" s="6" t="n"/>
      <c r="F6" s="6" t="n">
        <v>77319</v>
      </c>
      <c r="G6" s="6" t="n"/>
    </row>
    <row r="7">
      <c r="A7" s="6" t="inlineStr">
        <is>
          <t>Interest paid</t>
        </is>
      </c>
      <c r="B7" s="6" t="n"/>
      <c r="C7" s="6" t="n"/>
      <c r="D7" s="6" t="n"/>
      <c r="E7" s="6" t="n"/>
      <c r="F7" s="6" t="n">
        <v>-11752</v>
      </c>
      <c r="G7" s="6" t="n"/>
    </row>
    <row r="8">
      <c r="A8" s="6" t="inlineStr">
        <is>
          <t>Fees and commissions received</t>
        </is>
      </c>
      <c r="B8" s="6" t="n"/>
      <c r="C8" s="6" t="n"/>
      <c r="D8" s="6" t="n"/>
      <c r="E8" s="6" t="n"/>
      <c r="F8" s="6" t="n">
        <v>15579</v>
      </c>
      <c r="G8" s="6" t="n"/>
    </row>
    <row r="9">
      <c r="A9" s="6" t="inlineStr">
        <is>
          <t>Other income</t>
        </is>
      </c>
      <c r="B9" s="6" t="n"/>
      <c r="C9" s="6" t="n"/>
      <c r="D9" s="6" t="n"/>
      <c r="E9" s="6" t="n"/>
      <c r="F9" s="6" t="n">
        <v>4402</v>
      </c>
      <c r="G9" s="6" t="n"/>
    </row>
    <row r="10">
      <c r="A10" s="6" t="inlineStr">
        <is>
          <t>Cash payments to employees and suppliers</t>
        </is>
      </c>
      <c r="B10" s="6" t="n"/>
      <c r="C10" s="6" t="n"/>
      <c r="D10" s="6" t="n"/>
      <c r="E10" s="6" t="n"/>
      <c r="F10" s="6" t="n">
        <v>-59153</v>
      </c>
      <c r="G10" s="6" t="n"/>
    </row>
    <row r="11">
      <c r="A11" s="6" t="inlineStr">
        <is>
          <t>Taxation paid</t>
        </is>
      </c>
      <c r="B11" s="6" t="n"/>
      <c r="C11" s="6" t="n"/>
      <c r="D11" s="6" t="n"/>
      <c r="E11" s="6" t="n"/>
      <c r="F11" s="6" t="n">
        <v>0</v>
      </c>
      <c r="G11" s="6" t="n"/>
    </row>
    <row r="12">
      <c r="A12" s="6" t="inlineStr">
        <is>
          <t>Depreciation and amortisation</t>
        </is>
      </c>
      <c r="B12" s="6" t="n">
        <v>10674</v>
      </c>
      <c r="C12" s="6" t="n">
        <v>11691</v>
      </c>
      <c r="D12" s="6" t="n">
        <v>9817</v>
      </c>
      <c r="E12" s="6" t="n">
        <v>7180</v>
      </c>
      <c r="F12" s="6" t="n"/>
      <c r="G12" s="6" t="n"/>
    </row>
    <row r="13">
      <c r="A13" s="6" t="inlineStr">
        <is>
          <t>Impairment loss on loans and advances</t>
        </is>
      </c>
      <c r="B13" s="6" t="n">
        <v>1576</v>
      </c>
      <c r="C13" s="6" t="n">
        <v>4778</v>
      </c>
      <c r="D13" s="6" t="n">
        <v>208</v>
      </c>
      <c r="E13" s="6" t="n">
        <v>214</v>
      </c>
      <c r="F13" s="6" t="n"/>
      <c r="G13" s="6" t="n"/>
    </row>
    <row r="14">
      <c r="A14" s="6" t="inlineStr">
        <is>
          <t>Net interest expense</t>
        </is>
      </c>
      <c r="B14" s="6" t="n">
        <v>3203</v>
      </c>
      <c r="C14" s="6" t="n">
        <v>598</v>
      </c>
      <c r="D14" s="6" t="n">
        <v>564</v>
      </c>
      <c r="E14" s="6" t="n">
        <v>70</v>
      </c>
      <c r="F14" s="6" t="n"/>
      <c r="G14" s="6" t="n"/>
    </row>
    <row r="15">
      <c r="A15" s="6" t="inlineStr">
        <is>
          <t>Elimination of exchange differences on debt securities</t>
        </is>
      </c>
      <c r="B15" s="6" t="n">
        <v>11337</v>
      </c>
      <c r="C15" s="6" t="n">
        <v>-3157</v>
      </c>
      <c r="D15" s="6" t="n">
        <v>8712</v>
      </c>
      <c r="E15" s="6" t="n">
        <v>-9524</v>
      </c>
      <c r="F15" s="6" t="n"/>
      <c r="G15" s="6" t="n"/>
    </row>
    <row r="16">
      <c r="A16" s="6" t="inlineStr">
        <is>
          <t>Other non-cash or non-operating items included in profit before tax</t>
        </is>
      </c>
      <c r="B16" s="6" t="n">
        <v>3402</v>
      </c>
      <c r="C16" s="6" t="n">
        <v>-73</v>
      </c>
      <c r="D16" s="6" t="n">
        <v>31</v>
      </c>
      <c r="E16" s="6" t="n">
        <v>-276</v>
      </c>
      <c r="F16" s="6" t="n"/>
      <c r="G16" s="6" t="n"/>
    </row>
    <row r="17">
      <c r="A17" s="6" t="inlineStr">
        <is>
          <t>Tax paid/(expense)</t>
        </is>
      </c>
      <c r="B17" s="6" t="n">
        <v>-6690</v>
      </c>
      <c r="C17" s="6" t="n">
        <v>-4150</v>
      </c>
      <c r="D17" s="6" t="n">
        <v>-8433</v>
      </c>
      <c r="E17" s="6" t="n">
        <v>-2146</v>
      </c>
      <c r="F17" s="6" t="n"/>
      <c r="G17" s="6" t="n"/>
    </row>
    <row r="18">
      <c r="A18" s="5" t="inlineStr">
        <is>
          <t>Cash flows from operating profit before changes in operating assets and liabilities</t>
        </is>
      </c>
      <c r="B18" s="5" t="n">
        <v>47686</v>
      </c>
      <c r="C18" s="5" t="n">
        <v>44778</v>
      </c>
      <c r="D18" s="5" t="n">
        <v>58016</v>
      </c>
      <c r="E18" s="5" t="n">
        <v>15527</v>
      </c>
      <c r="F18" s="5" t="n">
        <v>26395</v>
      </c>
      <c r="G18" s="5" t="n"/>
    </row>
    <row r="19">
      <c r="A19" s="5" t="inlineStr">
        <is>
          <t>Changes in operating assets and liabilities</t>
        </is>
      </c>
      <c r="B19" s="6" t="n"/>
      <c r="C19" s="6" t="n"/>
      <c r="D19" s="6" t="n"/>
      <c r="E19" s="6" t="n"/>
      <c r="F19" s="6" t="n"/>
      <c r="G19" s="6" t="n"/>
    </row>
    <row r="20">
      <c r="A20" s="6" t="inlineStr">
        <is>
          <t>Net decrease/(increase) in derivative financial instruments</t>
        </is>
      </c>
      <c r="B20" s="6" t="n">
        <v>1572</v>
      </c>
      <c r="C20" s="6" t="n">
        <v>212</v>
      </c>
      <c r="D20" s="6" t="n">
        <v>3005</v>
      </c>
      <c r="E20" s="6" t="n">
        <v>-4605</v>
      </c>
      <c r="F20" s="6" t="n">
        <v>-388</v>
      </c>
      <c r="G20" s="6" t="n"/>
    </row>
    <row r="21">
      <c r="A21" s="6" t="inlineStr">
        <is>
          <t>Net decrease/(increase) in loans and advances to customers</t>
        </is>
      </c>
      <c r="B21" s="6" t="n">
        <v>132098</v>
      </c>
      <c r="C21" s="6" t="n">
        <v>-34748</v>
      </c>
      <c r="D21" s="6" t="n">
        <v>-16886</v>
      </c>
      <c r="E21" s="6" t="n">
        <v>-165331</v>
      </c>
      <c r="F21" s="6" t="n">
        <v>-284871</v>
      </c>
      <c r="G21" s="6" t="n"/>
    </row>
    <row r="22">
      <c r="A22" s="6" t="inlineStr">
        <is>
          <t>Net decrease/(increase) in assets held for leasing</t>
        </is>
      </c>
      <c r="B22" s="6" t="n">
        <v>721</v>
      </c>
      <c r="C22" s="6" t="n">
        <v>-18474</v>
      </c>
      <c r="D22" s="6" t="n">
        <v>-95960</v>
      </c>
      <c r="E22" s="6" t="n">
        <v>-50175</v>
      </c>
      <c r="F22" s="6" t="n"/>
      <c r="G22" s="6" t="n"/>
    </row>
    <row r="23">
      <c r="A23" s="6" t="inlineStr">
        <is>
          <t>Net increase/(decrease) in other assets</t>
        </is>
      </c>
      <c r="B23" s="6" t="n">
        <v>1447</v>
      </c>
      <c r="C23" s="6" t="n">
        <v>12828</v>
      </c>
      <c r="D23" s="6" t="n">
        <v>-4063</v>
      </c>
      <c r="E23" s="6" t="n">
        <v>57955</v>
      </c>
      <c r="F23" s="6" t="n">
        <v>-12558</v>
      </c>
      <c r="G23" s="6" t="n"/>
    </row>
    <row r="24">
      <c r="A24" s="6" t="inlineStr">
        <is>
          <t>Net increase in amounts due to customers</t>
        </is>
      </c>
      <c r="B24" s="6" t="n">
        <v>441708</v>
      </c>
      <c r="C24" s="6" t="n">
        <v>373207</v>
      </c>
      <c r="D24" s="6" t="n">
        <v>647721</v>
      </c>
      <c r="E24" s="6" t="n">
        <v>255529</v>
      </c>
      <c r="F24" s="6" t="n">
        <v>465088</v>
      </c>
      <c r="G24" s="6" t="n"/>
    </row>
    <row r="25">
      <c r="A25" s="6" t="inlineStr">
        <is>
          <t>Net increase/(decrease) in other liabilities</t>
        </is>
      </c>
      <c r="B25" s="6" t="n">
        <v>5211</v>
      </c>
      <c r="C25" s="6" t="n">
        <v>-3369</v>
      </c>
      <c r="D25" s="6" t="n">
        <v>18490</v>
      </c>
      <c r="E25" s="6" t="n">
        <v>4593</v>
      </c>
      <c r="F25" s="6" t="n">
        <v>12651</v>
      </c>
      <c r="G25" s="6" t="n"/>
    </row>
    <row r="26">
      <c r="A26" s="5" t="inlineStr">
        <is>
          <t>Net cash inflow from operating activities</t>
        </is>
      </c>
      <c r="B26" s="5" t="n">
        <v>630443</v>
      </c>
      <c r="C26" s="5" t="n">
        <v>374434</v>
      </c>
      <c r="D26" s="5" t="n">
        <v>610323</v>
      </c>
      <c r="E26" s="5" t="n">
        <v>113493</v>
      </c>
      <c r="F26" s="5" t="n">
        <v>206317</v>
      </c>
      <c r="G26" s="5" t="n"/>
    </row>
    <row r="27">
      <c r="A27" s="5" t="inlineStr">
        <is>
          <t>Cash flows from investing activities</t>
        </is>
      </c>
      <c r="B27" s="6" t="n"/>
      <c r="C27" s="6" t="n"/>
      <c r="D27" s="6" t="n"/>
      <c r="E27" s="6" t="n"/>
      <c r="F27" s="6" t="n"/>
      <c r="G27" s="6" t="n"/>
    </row>
    <row r="28">
      <c r="A28" s="6" t="inlineStr">
        <is>
          <t>Acquisition of financial investments</t>
        </is>
      </c>
      <c r="B28" s="6" t="n">
        <v>-131</v>
      </c>
      <c r="C28" s="6" t="n">
        <v>-215</v>
      </c>
      <c r="D28" s="6" t="n">
        <v>-174</v>
      </c>
      <c r="E28" s="6" t="n">
        <v>-53</v>
      </c>
      <c r="F28" s="6" t="n"/>
      <c r="G28" s="6" t="n"/>
    </row>
    <row r="29">
      <c r="A29" s="6" t="inlineStr">
        <is>
          <t>Disposal of financial investments</t>
        </is>
      </c>
      <c r="B29" s="6" t="n">
        <v>2958</v>
      </c>
      <c r="C29" s="6" t="n">
        <v>84</v>
      </c>
      <c r="D29" s="6" t="n">
        <v>63</v>
      </c>
      <c r="E29" s="6" t="n">
        <v>640</v>
      </c>
      <c r="F29" s="6" t="n">
        <v>2400</v>
      </c>
      <c r="G29" s="6" t="n"/>
    </row>
    <row r="30">
      <c r="A30" s="6" t="inlineStr">
        <is>
          <t>Purchase of subsidiary undertakings</t>
        </is>
      </c>
      <c r="B30" s="6" t="n"/>
      <c r="C30" s="6" t="n"/>
      <c r="D30" s="6" t="n"/>
      <c r="E30" s="6" t="n"/>
      <c r="F30" s="6" t="n">
        <v>-9998</v>
      </c>
      <c r="G30" s="6" t="n"/>
    </row>
    <row r="31">
      <c r="A31" s="6" t="inlineStr">
        <is>
          <t>Purchase of intangible assets / computer software</t>
        </is>
      </c>
      <c r="B31" s="6" t="n">
        <v>-6425</v>
      </c>
      <c r="C31" s="6" t="n">
        <v>-4739</v>
      </c>
      <c r="D31" s="6" t="n">
        <v>-1523</v>
      </c>
      <c r="E31" s="6" t="n">
        <v>-5837</v>
      </c>
      <c r="F31" s="6" t="n">
        <v>-5100</v>
      </c>
      <c r="G31" s="6" t="n"/>
    </row>
    <row r="32">
      <c r="A32" s="6" t="inlineStr">
        <is>
          <t>Purchase of property, plant and equipment</t>
        </is>
      </c>
      <c r="B32" s="6" t="n">
        <v>-985</v>
      </c>
      <c r="C32" s="6" t="n">
        <v>-22808</v>
      </c>
      <c r="D32" s="6" t="n">
        <v>-4611</v>
      </c>
      <c r="E32" s="6" t="n">
        <v>-1065</v>
      </c>
      <c r="F32" s="6" t="n">
        <v>-172915</v>
      </c>
      <c r="G32" s="6" t="n"/>
    </row>
    <row r="33">
      <c r="A33" s="6" t="inlineStr">
        <is>
          <t>Proceeds from sale of property, plant and equipment</t>
        </is>
      </c>
      <c r="B33" s="6" t="n"/>
      <c r="C33" s="6" t="n"/>
      <c r="D33" s="6" t="n"/>
      <c r="E33" s="6" t="n"/>
      <c r="F33" s="6" t="n">
        <v>48255</v>
      </c>
      <c r="G33" s="6" t="n"/>
    </row>
    <row r="34">
      <c r="A34" s="6" t="inlineStr">
        <is>
          <t>Disposal of assets held for sale</t>
        </is>
      </c>
      <c r="B34" s="6" t="n"/>
      <c r="C34" s="6" t="n"/>
      <c r="D34" s="6" t="n"/>
      <c r="E34" s="6" t="n"/>
      <c r="F34" s="6" t="n">
        <v>149</v>
      </c>
      <c r="G34" s="6" t="n"/>
    </row>
    <row r="35">
      <c r="A35" s="6" t="inlineStr">
        <is>
          <t>Purchase of debt securities</t>
        </is>
      </c>
      <c r="B35" s="6" t="n">
        <v>-3273055</v>
      </c>
      <c r="C35" s="6" t="n">
        <v>-1621196</v>
      </c>
      <c r="D35" s="6" t="n">
        <v>-1582889</v>
      </c>
      <c r="E35" s="6" t="n">
        <v>-799341</v>
      </c>
      <c r="F35" s="6" t="n">
        <v>-590492</v>
      </c>
      <c r="G35" s="6" t="n"/>
    </row>
    <row r="36">
      <c r="A36" s="6" t="inlineStr">
        <is>
          <t>Proceeds from redemption of debt securities</t>
        </is>
      </c>
      <c r="B36" s="6" t="n">
        <v>2428998</v>
      </c>
      <c r="C36" s="6" t="n">
        <v>1366350</v>
      </c>
      <c r="D36" s="6" t="n">
        <v>1071232</v>
      </c>
      <c r="E36" s="6" t="n">
        <v>670164</v>
      </c>
      <c r="F36" s="6" t="n">
        <v>635155</v>
      </c>
      <c r="G36" s="6" t="n"/>
    </row>
    <row r="37">
      <c r="A37" s="6" t="inlineStr">
        <is>
          <t>Dividends received</t>
        </is>
      </c>
      <c r="B37" s="6" t="n">
        <v>18</v>
      </c>
      <c r="C37" s="6" t="n"/>
      <c r="D37" s="6" t="n"/>
      <c r="E37" s="6" t="n"/>
      <c r="F37" s="6" t="n"/>
      <c r="G37" s="6" t="n"/>
    </row>
    <row r="38">
      <c r="A38" s="5" t="inlineStr">
        <is>
          <t>Net cash outflow from investing activities</t>
        </is>
      </c>
      <c r="B38" s="5" t="n">
        <v>-848623</v>
      </c>
      <c r="C38" s="5" t="n">
        <v>-282524</v>
      </c>
      <c r="D38" s="5" t="n">
        <v>-517902</v>
      </c>
      <c r="E38" s="5" t="n">
        <v>-135492</v>
      </c>
      <c r="F38" s="5" t="n">
        <v>-92546</v>
      </c>
      <c r="G38" s="5" t="n"/>
    </row>
    <row r="39">
      <c r="A39" s="5" t="inlineStr">
        <is>
          <t>Cash flows from financing activities</t>
        </is>
      </c>
      <c r="B39" s="6" t="n"/>
      <c r="C39" s="6" t="n"/>
      <c r="D39" s="6" t="n"/>
      <c r="E39" s="6" t="n"/>
      <c r="F39" s="6" t="n"/>
      <c r="G39" s="6" t="n"/>
    </row>
    <row r="40">
      <c r="A40" s="6" t="inlineStr">
        <is>
          <t>(Decrease)/increase in borrowings</t>
        </is>
      </c>
      <c r="B40" s="6" t="n">
        <v>-191522</v>
      </c>
      <c r="C40" s="6" t="n">
        <v>-530</v>
      </c>
      <c r="D40" s="6" t="n">
        <v>-29489</v>
      </c>
      <c r="E40" s="6" t="n">
        <v>-4306</v>
      </c>
      <c r="F40" s="6" t="n">
        <v>10243</v>
      </c>
      <c r="G40" s="6" t="n"/>
    </row>
    <row r="41">
      <c r="A41" s="6" t="inlineStr">
        <is>
          <t>Dividends paid</t>
        </is>
      </c>
      <c r="B41" s="6" t="n">
        <v>-13347</v>
      </c>
      <c r="C41" s="6" t="n">
        <v>-16260</v>
      </c>
      <c r="D41" s="6" t="n">
        <v>-6855</v>
      </c>
      <c r="E41" s="6" t="n">
        <v>-5850</v>
      </c>
      <c r="F41" s="6" t="n">
        <v>-5550</v>
      </c>
      <c r="G41" s="6" t="n"/>
    </row>
    <row r="42">
      <c r="A42" s="6" t="inlineStr">
        <is>
          <t>Capital contribution received</t>
        </is>
      </c>
      <c r="B42" s="6" t="n"/>
      <c r="C42" s="6" t="n"/>
      <c r="D42" s="6" t="n">
        <v>5000</v>
      </c>
      <c r="E42" s="6" t="n"/>
      <c r="F42" s="6" t="n">
        <v>25500</v>
      </c>
      <c r="G42" s="6" t="n"/>
    </row>
    <row r="43">
      <c r="A43" s="6" t="inlineStr">
        <is>
          <t>Repayment of lease liabilities</t>
        </is>
      </c>
      <c r="B43" s="6" t="n">
        <v>-763</v>
      </c>
      <c r="C43" s="6" t="n">
        <v>-2202</v>
      </c>
      <c r="D43" s="6" t="n">
        <v>-3653</v>
      </c>
      <c r="E43" s="6" t="n">
        <v>-7458</v>
      </c>
      <c r="F43" s="6" t="n">
        <v>-2893</v>
      </c>
      <c r="G43" s="6" t="n"/>
    </row>
    <row r="44">
      <c r="A44" s="5" t="inlineStr">
        <is>
          <t>Net cash (outflow)/inflow from financing activities</t>
        </is>
      </c>
      <c r="B44" s="5" t="n">
        <v>-205632</v>
      </c>
      <c r="C44" s="5" t="n">
        <v>-18992</v>
      </c>
      <c r="D44" s="5" t="n">
        <v>-34997</v>
      </c>
      <c r="E44" s="5" t="n">
        <v>-17614</v>
      </c>
      <c r="F44" s="5" t="n">
        <v>27300</v>
      </c>
      <c r="G44" s="5" t="n"/>
    </row>
    <row r="45">
      <c r="A45" s="5" t="inlineStr">
        <is>
          <t>Net (decrease)/increase in cash and cash equivalents</t>
        </is>
      </c>
      <c r="B45" s="5" t="n">
        <v>-423812</v>
      </c>
      <c r="C45" s="5" t="n">
        <v>72918</v>
      </c>
      <c r="D45" s="5" t="n">
        <v>57424</v>
      </c>
      <c r="E45" s="5" t="n">
        <v>-39613</v>
      </c>
      <c r="F45" s="5" t="n">
        <v>141071</v>
      </c>
      <c r="G45" s="5" t="n"/>
    </row>
    <row r="46">
      <c r="A46" s="6" t="inlineStr">
        <is>
          <t>Cash and cash equivalents at 1 January</t>
        </is>
      </c>
      <c r="B46" s="6" t="n">
        <v>978851</v>
      </c>
      <c r="C46" s="6" t="n">
        <v>905933</v>
      </c>
      <c r="D46" s="6" t="n">
        <v>848509</v>
      </c>
      <c r="E46" s="6" t="n">
        <v>888122</v>
      </c>
      <c r="F46" s="6" t="n">
        <v>747051</v>
      </c>
      <c r="G46" s="6" t="n"/>
    </row>
    <row r="47">
      <c r="A47" s="5" t="inlineStr">
        <is>
          <t>Cash and cash equivalents at 31 December</t>
        </is>
      </c>
      <c r="B47" s="5" t="n">
        <v>555039</v>
      </c>
      <c r="C47" s="5" t="n">
        <v>978851</v>
      </c>
      <c r="D47" s="5" t="n">
        <v>905933</v>
      </c>
      <c r="E47" s="5" t="n">
        <v>848509</v>
      </c>
      <c r="F47" s="5" t="n">
        <v>888122</v>
      </c>
      <c r="G47" s="5" t="n"/>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G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of ECL)</t>
        </is>
      </c>
      <c r="B4" s="6" t="n"/>
      <c r="C4" s="6" t="n"/>
      <c r="D4" s="6" t="n"/>
      <c r="E4" s="6" t="n"/>
      <c r="F4" s="6" t="n"/>
      <c r="G4" s="6" t="n"/>
    </row>
    <row r="5">
      <c r="A5" s="6" t="inlineStr">
        <is>
          <t>Stage 1</t>
        </is>
      </c>
      <c r="B5" s="6" t="n">
        <v>1856653</v>
      </c>
      <c r="C5" s="6" t="n">
        <v>1929191</v>
      </c>
      <c r="D5" s="6" t="n">
        <v>1908981</v>
      </c>
      <c r="E5" s="6" t="n">
        <v>1929390</v>
      </c>
      <c r="F5" s="6" t="n"/>
      <c r="G5" s="6" t="n"/>
    </row>
    <row r="6">
      <c r="A6" s="6" t="inlineStr">
        <is>
          <t>Stage 2</t>
        </is>
      </c>
      <c r="B6" s="6" t="n">
        <v>53383</v>
      </c>
      <c r="C6" s="6" t="n">
        <v>103275</v>
      </c>
      <c r="D6" s="6" t="n">
        <v>82751</v>
      </c>
      <c r="E6" s="6" t="n">
        <v>74512</v>
      </c>
      <c r="F6" s="6" t="n"/>
      <c r="G6" s="6" t="n"/>
    </row>
    <row r="7">
      <c r="A7" s="6" t="inlineStr">
        <is>
          <t>Stage 3</t>
        </is>
      </c>
      <c r="B7" s="6" t="n">
        <v>63677</v>
      </c>
      <c r="C7" s="6" t="n">
        <v>73349</v>
      </c>
      <c r="D7" s="6" t="n">
        <v>79332</v>
      </c>
      <c r="E7" s="6" t="n">
        <v>50278</v>
      </c>
      <c r="F7" s="6" t="n"/>
      <c r="G7" s="6" t="n"/>
    </row>
    <row r="8">
      <c r="A8" s="5" t="inlineStr">
        <is>
          <t>Loans and advances to customers (gross of ECL)</t>
        </is>
      </c>
      <c r="B8" s="5" t="n">
        <v>1973713</v>
      </c>
      <c r="C8" s="5" t="n">
        <v>2105815</v>
      </c>
      <c r="D8" s="5" t="n">
        <v>2071064</v>
      </c>
      <c r="E8" s="5" t="n">
        <v>2054180</v>
      </c>
      <c r="F8" s="5" t="n">
        <v>1888848</v>
      </c>
      <c r="G8" s="5" t="n"/>
    </row>
    <row r="9">
      <c r="A9" s="5" t="inlineStr">
        <is>
          <t>Expected credit loss (ECL) allowance</t>
        </is>
      </c>
      <c r="B9" s="6" t="n"/>
      <c r="C9" s="6" t="n"/>
      <c r="D9" s="6" t="n"/>
      <c r="E9" s="6" t="n"/>
      <c r="F9" s="6" t="n"/>
      <c r="G9" s="6" t="n"/>
    </row>
    <row r="10">
      <c r="A10" s="6" t="inlineStr">
        <is>
          <t>Stage 1</t>
        </is>
      </c>
      <c r="B10" s="6" t="n"/>
      <c r="C10" s="6" t="n"/>
      <c r="D10" s="6" t="n"/>
      <c r="E10" s="6" t="n"/>
      <c r="F10" s="6" t="n">
        <v>388</v>
      </c>
      <c r="G10" s="6" t="n"/>
    </row>
    <row r="11">
      <c r="A11" s="6" t="inlineStr">
        <is>
          <t>Stage 2</t>
        </is>
      </c>
      <c r="B11" s="6" t="n"/>
      <c r="C11" s="6" t="n"/>
      <c r="D11" s="6" t="n"/>
      <c r="E11" s="6" t="n"/>
      <c r="F11" s="6" t="n">
        <v>77</v>
      </c>
      <c r="G11" s="6" t="n"/>
    </row>
    <row r="12">
      <c r="A12" s="6" t="inlineStr">
        <is>
          <t>Stage 3</t>
        </is>
      </c>
      <c r="B12" s="6" t="n"/>
      <c r="C12" s="6" t="n"/>
      <c r="D12" s="6" t="n"/>
      <c r="E12" s="6" t="n"/>
      <c r="F12" s="6" t="n">
        <v>5922</v>
      </c>
      <c r="G12" s="6" t="n"/>
    </row>
    <row r="13">
      <c r="A13" s="5" t="inlineStr">
        <is>
          <t>Total ECL allowance</t>
        </is>
      </c>
      <c r="B13" s="5" t="n">
        <v>13161</v>
      </c>
      <c r="C13" s="5" t="n">
        <v>11589</v>
      </c>
      <c r="D13" s="5" t="n">
        <v>6808</v>
      </c>
      <c r="E13" s="5" t="n">
        <v>6602</v>
      </c>
      <c r="F13" s="5" t="n">
        <v>6387</v>
      </c>
      <c r="G13" s="5" t="n"/>
    </row>
    <row r="14">
      <c r="A14" s="5" t="inlineStr">
        <is>
          <t>Asset quality ratios</t>
        </is>
      </c>
      <c r="B14" s="6" t="n"/>
      <c r="C14" s="6" t="n"/>
      <c r="D14" s="6" t="n"/>
      <c r="E14" s="6" t="n"/>
      <c r="F14" s="6" t="n"/>
      <c r="G14" s="6" t="n"/>
    </row>
    <row r="15">
      <c r="A15" s="6" t="inlineStr">
        <is>
          <t>Stage 3 / NPL ratio (Stage 3 gross / total gross loans)</t>
        </is>
      </c>
      <c r="B15" s="6" t="inlineStr">
        <is>
          <t>3.23%</t>
        </is>
      </c>
      <c r="C15" s="6" t="inlineStr">
        <is>
          <t>3.48%</t>
        </is>
      </c>
      <c r="D15" s="6" t="inlineStr">
        <is>
          <t>3.83%</t>
        </is>
      </c>
      <c r="E15" s="6" t="inlineStr">
        <is>
          <t>2.45%</t>
        </is>
      </c>
      <c r="F15" s="6" t="n"/>
      <c r="G15" s="6" t="n"/>
    </row>
    <row r="16">
      <c r="A16" s="6" t="inlineStr">
        <is>
          <t>ECL coverage ratio (total ECL / total gross loans)</t>
        </is>
      </c>
      <c r="B16" s="6" t="inlineStr">
        <is>
          <t>0.67%</t>
        </is>
      </c>
      <c r="C16" s="6" t="inlineStr">
        <is>
          <t>0.55%</t>
        </is>
      </c>
      <c r="D16" s="6" t="inlineStr">
        <is>
          <t>0.33%</t>
        </is>
      </c>
      <c r="E16" s="6" t="inlineStr">
        <is>
          <t>0.32%</t>
        </is>
      </c>
      <c r="F16" s="6" t="inlineStr">
        <is>
          <t>0.34%</t>
        </is>
      </c>
      <c r="G16" s="6" t="n"/>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Banking Group PLC — KM1 Key Metrics</t>
        </is>
      </c>
    </row>
    <row r="2">
      <c r="A2" s="2" t="inlineStr">
        <is>
          <t>The group's own published "Template UK KM1 - Key metrics template", reproduced in ABG's row order with its own template row numbers and printed precision. Amounts in £'000, ratios as printed. Arbuthnot Banking Group PLC (Pillar 3) basis — the consolidated group of which Arbuthnot Latham &amp; Co., Limited is the banking subsidiary; ABG publishes no subsidiary-level KM1. FY2017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c r="G3" s="4" t="inlineStr">
        <is>
          <t>FY2017</t>
        </is>
      </c>
    </row>
    <row r="4">
      <c r="A4" s="5" t="inlineStr">
        <is>
          <t>Available own funds (amounts, £'000)</t>
        </is>
      </c>
      <c r="B4" s="6" t="n"/>
      <c r="C4" s="6" t="n"/>
      <c r="D4" s="6" t="n"/>
      <c r="E4" s="6" t="n"/>
      <c r="F4" s="6" t="n"/>
      <c r="G4" s="6" t="n"/>
    </row>
    <row r="5">
      <c r="A5" s="6" t="inlineStr">
        <is>
          <t>1    Common Equity Tier 1 (CET1) capital (£'000)</t>
        </is>
      </c>
      <c r="B5" s="6" t="n">
        <v>241598</v>
      </c>
      <c r="C5" s="6" t="n">
        <v>234477</v>
      </c>
      <c r="D5" s="6" t="n">
        <v>222291</v>
      </c>
      <c r="E5" s="6" t="n">
        <v>175375</v>
      </c>
      <c r="F5" s="6" t="n">
        <v>176235</v>
      </c>
      <c r="G5" s="6" t="n"/>
    </row>
    <row r="6">
      <c r="A6" s="6" t="inlineStr">
        <is>
          <t>2    Tier 1 capital (£'000)</t>
        </is>
      </c>
      <c r="B6" s="6" t="n">
        <v>241598</v>
      </c>
      <c r="C6" s="6" t="n">
        <v>234477</v>
      </c>
      <c r="D6" s="6" t="n">
        <v>222291</v>
      </c>
      <c r="E6" s="6" t="n">
        <v>175375</v>
      </c>
      <c r="F6" s="6" t="n">
        <v>176235</v>
      </c>
      <c r="G6" s="6" t="n"/>
    </row>
    <row r="7">
      <c r="A7" s="6" t="inlineStr">
        <is>
          <t>3    Total capital (£'000)</t>
        </is>
      </c>
      <c r="B7" s="6" t="n">
        <v>280270</v>
      </c>
      <c r="C7" s="6" t="n">
        <v>272459</v>
      </c>
      <c r="D7" s="6" t="n">
        <v>260017</v>
      </c>
      <c r="E7" s="6" t="n">
        <v>212969</v>
      </c>
      <c r="F7" s="6" t="n">
        <v>213007</v>
      </c>
      <c r="G7" s="6" t="n"/>
    </row>
    <row r="8">
      <c r="A8" s="5" t="inlineStr">
        <is>
          <t>Risk-weighted exposure amounts</t>
        </is>
      </c>
      <c r="B8" s="6" t="n"/>
      <c r="C8" s="6" t="n"/>
      <c r="D8" s="6" t="n"/>
      <c r="E8" s="6" t="n"/>
      <c r="F8" s="6" t="n"/>
      <c r="G8" s="6" t="n"/>
    </row>
    <row r="9">
      <c r="A9" s="6" t="inlineStr">
        <is>
          <t>4    Total risk-weighted exposure amount (£'000)</t>
        </is>
      </c>
      <c r="B9" s="6" t="n">
        <v>1822551</v>
      </c>
      <c r="C9" s="6" t="n">
        <v>1782645</v>
      </c>
      <c r="D9" s="6" t="n">
        <v>1713146</v>
      </c>
      <c r="E9" s="6" t="n">
        <v>1516141</v>
      </c>
      <c r="F9" s="6" t="n">
        <v>1427724</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13.26%</t>
        </is>
      </c>
      <c r="C11" s="6" t="inlineStr">
        <is>
          <t>13.15%</t>
        </is>
      </c>
      <c r="D11" s="6" t="inlineStr">
        <is>
          <t>12.98%</t>
        </is>
      </c>
      <c r="E11" s="6" t="inlineStr">
        <is>
          <t>11.57%</t>
        </is>
      </c>
      <c r="F11" s="6" t="inlineStr">
        <is>
          <t>12.34%</t>
        </is>
      </c>
      <c r="G11" s="6" t="n"/>
    </row>
    <row r="12">
      <c r="A12" s="6" t="inlineStr">
        <is>
          <t>6    Tier 1 ratio (%)</t>
        </is>
      </c>
      <c r="B12" s="6" t="inlineStr">
        <is>
          <t>13.26%</t>
        </is>
      </c>
      <c r="C12" s="6" t="inlineStr">
        <is>
          <t>13.15%</t>
        </is>
      </c>
      <c r="D12" s="6" t="inlineStr">
        <is>
          <t>12.98%</t>
        </is>
      </c>
      <c r="E12" s="6" t="inlineStr">
        <is>
          <t>11.57%</t>
        </is>
      </c>
      <c r="F12" s="6" t="inlineStr">
        <is>
          <t>12.34%</t>
        </is>
      </c>
      <c r="G12" s="6" t="n"/>
    </row>
    <row r="13">
      <c r="A13" s="6" t="inlineStr">
        <is>
          <t>7    Total capital ratio (%)</t>
        </is>
      </c>
      <c r="B13" s="6" t="inlineStr">
        <is>
          <t>15.38%</t>
        </is>
      </c>
      <c r="C13" s="6" t="inlineStr">
        <is>
          <t>15.28%</t>
        </is>
      </c>
      <c r="D13" s="6" t="inlineStr">
        <is>
          <t>15.18%</t>
        </is>
      </c>
      <c r="E13" s="6" t="inlineStr">
        <is>
          <t>14.05%</t>
        </is>
      </c>
      <c r="F13" s="6" t="inlineStr">
        <is>
          <t>14.92%</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0.03%</t>
        </is>
      </c>
      <c r="C15" s="6" t="inlineStr">
        <is>
          <t>0.18%</t>
        </is>
      </c>
      <c r="D15" s="6" t="inlineStr">
        <is>
          <t>0.18%</t>
        </is>
      </c>
      <c r="E15" s="6" t="inlineStr">
        <is>
          <t>0.18%</t>
        </is>
      </c>
      <c r="F15" s="6" t="inlineStr">
        <is>
          <t>0.63%</t>
        </is>
      </c>
      <c r="G15" s="6" t="n"/>
    </row>
    <row r="16">
      <c r="A16" s="6" t="inlineStr">
        <is>
          <t>UK 7b    Additional AT1 SREP requirements (%)</t>
        </is>
      </c>
      <c r="B16" s="6" t="inlineStr">
        <is>
          <t>0.01%</t>
        </is>
      </c>
      <c r="C16" s="6" t="inlineStr">
        <is>
          <t>0.06%</t>
        </is>
      </c>
      <c r="D16" s="6" t="inlineStr">
        <is>
          <t>0.06%</t>
        </is>
      </c>
      <c r="E16" s="6" t="inlineStr">
        <is>
          <t>0.06%</t>
        </is>
      </c>
      <c r="F16" s="6" t="inlineStr">
        <is>
          <t>0.13%</t>
        </is>
      </c>
      <c r="G16" s="6" t="n"/>
    </row>
    <row r="17">
      <c r="A17" s="6" t="inlineStr">
        <is>
          <t>UK 7c    Additional T2 SREP requirements (%)</t>
        </is>
      </c>
      <c r="B17" s="6" t="inlineStr">
        <is>
          <t>0.01%</t>
        </is>
      </c>
      <c r="C17" s="6" t="inlineStr">
        <is>
          <t>0.08%</t>
        </is>
      </c>
      <c r="D17" s="6" t="inlineStr">
        <is>
          <t>0.08%</t>
        </is>
      </c>
      <c r="E17" s="6" t="inlineStr">
        <is>
          <t>0.08%</t>
        </is>
      </c>
      <c r="F17" s="6" t="inlineStr">
        <is>
          <t>0.17%</t>
        </is>
      </c>
      <c r="G17" s="6" t="n"/>
    </row>
    <row r="18">
      <c r="A18" s="6" t="inlineStr">
        <is>
          <t>UK 7d    Total SREP own funds requirements (%)</t>
        </is>
      </c>
      <c r="B18" s="6" t="inlineStr">
        <is>
          <t>8.05%</t>
        </is>
      </c>
      <c r="C18" s="6" t="inlineStr">
        <is>
          <t>8.32%</t>
        </is>
      </c>
      <c r="D18" s="6" t="inlineStr">
        <is>
          <t>8.32%</t>
        </is>
      </c>
      <c r="E18" s="6" t="inlineStr">
        <is>
          <t>8.32%</t>
        </is>
      </c>
      <c r="F18" s="6" t="inlineStr">
        <is>
          <t>8.93%</t>
        </is>
      </c>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inlineStr">
        <is>
          <t>2.5%</t>
        </is>
      </c>
      <c r="G20" s="6" t="n"/>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1.92%</t>
        </is>
      </c>
      <c r="C22" s="6" t="inlineStr">
        <is>
          <t>1.91%</t>
        </is>
      </c>
      <c r="D22" s="6" t="inlineStr">
        <is>
          <t>1.88%</t>
        </is>
      </c>
      <c r="E22" s="6" t="inlineStr">
        <is>
          <t>0.88%</t>
        </is>
      </c>
      <c r="F22" s="6" t="inlineStr">
        <is>
          <t>0.02%</t>
        </is>
      </c>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4.42%</t>
        </is>
      </c>
      <c r="C26" s="6" t="inlineStr">
        <is>
          <t>4.41%</t>
        </is>
      </c>
      <c r="D26" s="6" t="inlineStr">
        <is>
          <t>4.38%</t>
        </is>
      </c>
      <c r="E26" s="6" t="inlineStr">
        <is>
          <t>3.38%</t>
        </is>
      </c>
      <c r="F26" s="6" t="inlineStr">
        <is>
          <t>2.52%</t>
        </is>
      </c>
      <c r="G26" s="6" t="n"/>
    </row>
    <row r="27">
      <c r="A27" s="6" t="inlineStr">
        <is>
          <t>UK 11a    Overall capital requirements (%)</t>
        </is>
      </c>
      <c r="B27" s="6" t="inlineStr">
        <is>
          <t>12.47%</t>
        </is>
      </c>
      <c r="C27" s="6" t="inlineStr">
        <is>
          <t>12.73%</t>
        </is>
      </c>
      <c r="D27" s="6" t="inlineStr">
        <is>
          <t>12.70%</t>
        </is>
      </c>
      <c r="E27" s="6" t="inlineStr">
        <is>
          <t>11.70%</t>
        </is>
      </c>
      <c r="F27" s="6" t="inlineStr">
        <is>
          <t>11.45%</t>
        </is>
      </c>
      <c r="G27" s="6" t="n"/>
    </row>
    <row r="28">
      <c r="A28" s="6" t="inlineStr">
        <is>
          <t>12    CET1 available after meeting the total SREP own funds requirements (%)</t>
        </is>
      </c>
      <c r="B28" s="6" t="inlineStr">
        <is>
          <t>7.22%</t>
        </is>
      </c>
      <c r="C28" s="6" t="inlineStr">
        <is>
          <t>6.91%</t>
        </is>
      </c>
      <c r="D28" s="6" t="inlineStr">
        <is>
          <t>6.74%</t>
        </is>
      </c>
      <c r="E28" s="6" t="inlineStr">
        <is>
          <t>5.33%</t>
        </is>
      </c>
      <c r="F28" s="6" t="inlineStr">
        <is>
          <t>5.59%</t>
        </is>
      </c>
      <c r="G28" s="6" t="n"/>
    </row>
    <row r="29">
      <c r="A29" s="5" t="inlineStr">
        <is>
          <t>Leverage ratio</t>
        </is>
      </c>
      <c r="B29" s="6" t="n"/>
      <c r="C29" s="6" t="n"/>
      <c r="D29" s="6" t="n"/>
      <c r="E29" s="6" t="n"/>
      <c r="F29" s="6" t="n"/>
      <c r="G29" s="6" t="n"/>
    </row>
    <row r="30">
      <c r="A30" s="6" t="inlineStr">
        <is>
          <t>13    Total exposure measure excluding claims on central banks (£'000)</t>
        </is>
      </c>
      <c r="B30" s="6" t="n">
        <v>4568671</v>
      </c>
      <c r="C30" s="6" t="n">
        <v>3828489</v>
      </c>
      <c r="D30" s="6" t="n">
        <v>3559597</v>
      </c>
      <c r="E30" s="6" t="n">
        <v>2923193</v>
      </c>
      <c r="F30" s="6" t="inlineStr">
        <is>
          <t>NA</t>
        </is>
      </c>
      <c r="G30" s="6" t="n"/>
    </row>
    <row r="31">
      <c r="A31" s="6" t="inlineStr">
        <is>
          <t>14    Leverage ratio excluding claims on central banks (%)</t>
        </is>
      </c>
      <c r="B31" s="6" t="inlineStr">
        <is>
          <t>5.29%</t>
        </is>
      </c>
      <c r="C31" s="6" t="inlineStr">
        <is>
          <t>6.12%</t>
        </is>
      </c>
      <c r="D31" s="6" t="inlineStr">
        <is>
          <t>6.24%</t>
        </is>
      </c>
      <c r="E31" s="6" t="inlineStr">
        <is>
          <t>6.00%</t>
        </is>
      </c>
      <c r="F31" s="6" t="inlineStr">
        <is>
          <t>NA</t>
        </is>
      </c>
      <c r="G31" s="6" t="n"/>
    </row>
    <row r="32">
      <c r="A32" s="5" t="inlineStr">
        <is>
          <t>Additional leverage ratio disclosure requirements</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-average) (£'000)</t>
        </is>
      </c>
      <c r="B39" s="6" t="n">
        <v>1891643</v>
      </c>
      <c r="C39" s="6" t="n">
        <v>1275612</v>
      </c>
      <c r="D39" s="6" t="n">
        <v>1046604</v>
      </c>
      <c r="E39" s="6" t="n">
        <v>710180</v>
      </c>
      <c r="F39" s="6" t="n">
        <v>776633</v>
      </c>
      <c r="G39" s="6" t="n"/>
    </row>
    <row r="40">
      <c r="A40" s="6" t="inlineStr">
        <is>
          <t>UK 16a    Cash outflows - Total weighted value</t>
        </is>
      </c>
      <c r="B40" s="6" t="n">
        <v>1165658</v>
      </c>
      <c r="C40" s="6" t="n">
        <v>912053</v>
      </c>
      <c r="D40" s="6" t="n">
        <v>692133</v>
      </c>
      <c r="E40" s="6" t="n">
        <v>629384</v>
      </c>
      <c r="F40" s="6" t="n">
        <v>547432</v>
      </c>
      <c r="G40" s="6" t="n"/>
    </row>
    <row r="41">
      <c r="A41" s="6" t="inlineStr">
        <is>
          <t>UK 16b    Cash inflows - Total weighted value (£'000)</t>
        </is>
      </c>
      <c r="B41" s="6" t="n">
        <v>170906</v>
      </c>
      <c r="C41" s="6" t="n">
        <v>181473</v>
      </c>
      <c r="D41" s="6" t="n">
        <v>215585</v>
      </c>
      <c r="E41" s="6" t="n">
        <v>223565</v>
      </c>
      <c r="F41" s="6" t="n">
        <v>192514</v>
      </c>
      <c r="G41" s="6" t="n"/>
    </row>
    <row r="42">
      <c r="A42" s="6" t="inlineStr">
        <is>
          <t>16    Total net cash outflows (adjusted value) (£'000)</t>
        </is>
      </c>
      <c r="B42" s="6" t="n">
        <v>994752</v>
      </c>
      <c r="C42" s="6" t="n">
        <v>730580</v>
      </c>
      <c r="D42" s="6" t="n">
        <v>476548</v>
      </c>
      <c r="E42" s="6" t="n">
        <v>405819</v>
      </c>
      <c r="F42" s="6" t="n">
        <v>354918</v>
      </c>
      <c r="G42" s="6" t="n"/>
    </row>
    <row r="43">
      <c r="A43" s="6" t="inlineStr">
        <is>
          <t>17    Liquidity coverage ratio (%)</t>
        </is>
      </c>
      <c r="B43" s="6" t="inlineStr">
        <is>
          <t>190%</t>
        </is>
      </c>
      <c r="C43" s="6" t="inlineStr">
        <is>
          <t>175%</t>
        </is>
      </c>
      <c r="D43" s="6" t="inlineStr">
        <is>
          <t>220%</t>
        </is>
      </c>
      <c r="E43" s="6" t="inlineStr">
        <is>
          <t>175%</t>
        </is>
      </c>
      <c r="F43" s="6" t="inlineStr">
        <is>
          <t>219%</t>
        </is>
      </c>
      <c r="G43" s="6" t="n"/>
    </row>
    <row r="44">
      <c r="A44" s="5" t="inlineStr">
        <is>
          <t>Net Stable Funding Ratio</t>
        </is>
      </c>
      <c r="B44" s="6" t="n"/>
      <c r="C44" s="6" t="n"/>
      <c r="D44" s="6" t="n"/>
      <c r="E44" s="6" t="n"/>
      <c r="F44" s="6" t="n"/>
      <c r="G44" s="6" t="n"/>
    </row>
    <row r="45">
      <c r="A45" s="6" t="inlineStr">
        <is>
          <t>18    Total available stable funding (£'000)</t>
        </is>
      </c>
      <c r="B45" s="6" t="n">
        <v>3126629</v>
      </c>
      <c r="C45" s="6" t="n">
        <v>2995437</v>
      </c>
      <c r="D45" s="6" t="n">
        <v>2784678</v>
      </c>
      <c r="E45" s="6" t="n">
        <v>2464147</v>
      </c>
      <c r="F45" s="6" t="inlineStr">
        <is>
          <t>NA</t>
        </is>
      </c>
      <c r="G45" s="6" t="n"/>
    </row>
    <row r="46">
      <c r="A46" s="6" t="inlineStr">
        <is>
          <t>19    Total required stable funding (£'000)</t>
        </is>
      </c>
      <c r="B46" s="6" t="n">
        <v>2058754</v>
      </c>
      <c r="C46" s="6" t="n">
        <v>2274318</v>
      </c>
      <c r="D46" s="6" t="n">
        <v>2043499</v>
      </c>
      <c r="E46" s="6" t="n">
        <v>1940538</v>
      </c>
      <c r="F46" s="6" t="inlineStr">
        <is>
          <t>NA</t>
        </is>
      </c>
      <c r="G46" s="6" t="n"/>
    </row>
    <row r="47">
      <c r="A47" s="6" t="inlineStr">
        <is>
          <t>20    NSFR ratio (%)</t>
        </is>
      </c>
      <c r="B47" s="6" t="inlineStr">
        <is>
          <t>152%</t>
        </is>
      </c>
      <c r="C47" s="6" t="inlineStr">
        <is>
          <t>132%</t>
        </is>
      </c>
      <c r="D47" s="6" t="inlineStr">
        <is>
          <t>136%</t>
        </is>
      </c>
      <c r="E47" s="6" t="inlineStr">
        <is>
          <t>127%</t>
        </is>
      </c>
      <c r="F47" s="6" t="inlineStr">
        <is>
          <t>NA</t>
        </is>
      </c>
      <c r="G47" s="6" t="n"/>
    </row>
    <row r="49" ht="150" customHeight="1">
      <c r="A4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KM1 presentation notes:
• COLUMN SELECTION. Every ABG edition prints a three-column table headed "a c e": the current period, the prior half-year and the prior year-end. Only the year-end columns are carried here (FY2025 = "31-Dec-25*" column c of the 30 June 2026 interim report; FY2024/FY2023/FY2022 = column a of their own annual reports; FY2021 = the "Dec - 21*" column e of the FY2022 report). The 30-Jun-xx columns are half-year positions and are deliberately not shown in a workbook of financial years.
• A DASH IS NOT A ZERO. Rows UK 8a, UK 9a, 10 and UK 10a print "-" in every column of every edition, meaning the requirement does not apply to ABG. Those cells are left blank rather than written as 0%, which would assert a measured value of zero.
• "NA" IN FY2021 IS THE BANK'S OWN WORD, in five cells, and marks the 1 January 2022 basis break rather than missing data. Rows 13 and 14 print "NA: For ABG the Leverage Ratio rules which exclude claims on central banks were effective from 1 January 2022"; rows 18, 19 and 20 print "NA: The current NSFR rules were effective 1 January 2022." The FY2022 report adds the general footnote "The disclosure of data for previous periods is not required when data is disclosed for the first time." No FY2021 figure on an older basis has been substituted.
• Rows 14a-14e are printed by ABG with one note spanning the whole block: "NA: Only LREQ firms shall disclose values in rows UK KM1;14a to UK KM1;14e". The rows are retained with blank cells.
• PRECISION DRIFT: the FY2022 edition prints row 8 as "2.50%" in its Dec-22 and Jun-22 columns but "2.5%" in its Dec-21 column, within one row of one table. Transcribed as printed.
• FOOTNOTED BASES, per ABG's own footnotes in every edition: the year-end columns are marked "* Includes year end verified reserves"; row 17 LCR is the simple average of month-end positions over the preceding 12 months; row 20 NSFR is an average of the preceding four quarters.
• DELIBERATE FY2021 DIVERGENCE FROM THE LCR SHEET, recorded not reconciled. This sheet's FY2021 liquidity rows are the KM1 comparative from the FY2022 report (HQLA £776,633k, net outflows £354,918k, LCR 219%), which is the 12-month-average basis the KM1 template requires. The separate LCR sheet in this workbook carries the FY2021 report's own pre-KM1 'Key Regulatory Metrics' figures (HQLA £897,493k, net outflows £487,009k, LCR 184.3%), a point-in-time year-end position. Both are ABG's own published numbers for 31 December 2021 on two different bases; neither has been adjusted to agree with the other.
• FY2017 is blank: it pre-dates the UK KM1 template entirely.</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241598</v>
      </c>
      <c r="C4" s="6" t="n">
        <v>234477</v>
      </c>
      <c r="D4" s="6" t="n">
        <v>222291</v>
      </c>
      <c r="E4" s="6" t="n">
        <v>175375</v>
      </c>
      <c r="F4" s="6" t="n">
        <v>176235</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ratio</t>
        </is>
      </c>
      <c r="B4" s="6" t="inlineStr">
        <is>
          <t>13.26%</t>
        </is>
      </c>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241598</v>
      </c>
      <c r="C4" s="6" t="n">
        <v>234477</v>
      </c>
      <c r="D4" s="6" t="n">
        <v>222291</v>
      </c>
      <c r="E4" s="6" t="n">
        <v>175375</v>
      </c>
      <c r="F4" s="6" t="n">
        <v>176235</v>
      </c>
      <c r="G4" s="6" t="n"/>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13.26%</t>
        </is>
      </c>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280270</v>
      </c>
      <c r="C4" s="6" t="n">
        <v>272459</v>
      </c>
      <c r="D4" s="6" t="n">
        <v>260017</v>
      </c>
      <c r="E4" s="6" t="n">
        <v>212969</v>
      </c>
      <c r="F4" s="6" t="n">
        <v>213007</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15.38%</t>
        </is>
      </c>
      <c r="C4" s="6" t="inlineStr">
        <is>
          <t>15.28%</t>
        </is>
      </c>
      <c r="D4" s="6" t="inlineStr">
        <is>
          <t>15.18%</t>
        </is>
      </c>
      <c r="E4" s="6" t="inlineStr">
        <is>
          <t>14.05%</t>
        </is>
      </c>
      <c r="F4" s="6" t="inlineStr">
        <is>
          <t>14.9%</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1822551</v>
      </c>
      <c r="C4" s="6" t="n">
        <v>1782645</v>
      </c>
      <c r="D4" s="6" t="n">
        <v>1713146</v>
      </c>
      <c r="E4" s="6" t="n">
        <v>1516141</v>
      </c>
      <c r="F4" s="6" t="n">
        <v>1427724</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 weighted exposure amounts (Template UK OV1)</t>
        </is>
      </c>
      <c r="B4" s="6" t="n"/>
      <c r="C4" s="6" t="n"/>
      <c r="D4" s="6" t="n"/>
      <c r="E4" s="6" t="n"/>
      <c r="F4" s="6" t="n"/>
      <c r="G4" s="6" t="n"/>
    </row>
    <row r="5">
      <c r="A5" s="6" t="inlineStr">
        <is>
          <t>Credit risk (excluding CCR)</t>
        </is>
      </c>
      <c r="B5" s="6" t="n"/>
      <c r="C5" s="6" t="n">
        <v>1525678</v>
      </c>
      <c r="D5" s="6" t="n">
        <v>1511071</v>
      </c>
      <c r="E5" s="6" t="n">
        <v>1333060</v>
      </c>
      <c r="F5" s="6" t="n">
        <v>1257789</v>
      </c>
      <c r="G5" s="6" t="n"/>
    </row>
    <row r="6">
      <c r="A6" s="6" t="inlineStr">
        <is>
          <t>Counterparty credit risk (CCR)</t>
        </is>
      </c>
      <c r="B6" s="6" t="n"/>
      <c r="C6" s="6" t="n">
        <v>741</v>
      </c>
      <c r="D6" s="6" t="n">
        <v>2250</v>
      </c>
      <c r="E6" s="6" t="n">
        <v>13540</v>
      </c>
      <c r="F6" s="6" t="n">
        <v>2911</v>
      </c>
      <c r="G6" s="6" t="n"/>
    </row>
    <row r="7">
      <c r="A7" s="6" t="inlineStr">
        <is>
          <t>Market risk (position, FX and commodities)</t>
        </is>
      </c>
      <c r="B7" s="6" t="n"/>
      <c r="C7" s="6" t="n">
        <v>1376</v>
      </c>
      <c r="D7" s="6" t="n">
        <v>3727</v>
      </c>
      <c r="E7" s="6" t="n">
        <v>3753</v>
      </c>
      <c r="F7" s="6" t="n">
        <v>7527</v>
      </c>
      <c r="G7" s="6" t="n"/>
    </row>
    <row r="8">
      <c r="A8" s="6" t="inlineStr">
        <is>
          <t>Operational risk</t>
        </is>
      </c>
      <c r="B8" s="6" t="n"/>
      <c r="C8" s="6" t="n">
        <v>254850</v>
      </c>
      <c r="D8" s="6" t="n">
        <v>196098</v>
      </c>
      <c r="E8" s="6" t="n">
        <v>165788</v>
      </c>
      <c r="F8" s="6" t="n">
        <v>159498</v>
      </c>
      <c r="G8" s="6" t="n"/>
    </row>
    <row r="9">
      <c r="A9" s="5" t="inlineStr">
        <is>
          <t>Total risk-weighted exposure amount</t>
        </is>
      </c>
      <c r="B9" s="5" t="n"/>
      <c r="C9" s="5" t="n">
        <v>1782645</v>
      </c>
      <c r="D9" s="5" t="n">
        <v>1713146</v>
      </c>
      <c r="E9" s="5" t="n">
        <v>1516141</v>
      </c>
      <c r="F9" s="5" t="n">
        <v>1427725</v>
      </c>
      <c r="G9" s="5" t="n"/>
    </row>
    <row r="11" ht="170" customHeight="1">
      <c r="A11"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is blank on this sheet even though the Total RWAs sheet carries an FY2025 figure. This is a real scope difference, not a missing transcription: ABG discloses as an SDDT, and the 30 June 2026 interim Pillar 3 report (the source of the FY2025 KM1 headline) states in its own scope section that the Article 438(d) 'Own Funds Requirements and Risk-Weighted Exposure Amounts' template (UK OV1) is disclosed only 'On an annual basis'. The interim report therefore contains KM1 but no OV1, and no FY2025 annual Pillar 3 report has been published. The FY2025 RWA split will only become available with that annual document.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exposure measure excluding claims on central banks</t>
        </is>
      </c>
      <c r="B4" s="6" t="n">
        <v>4568671</v>
      </c>
      <c r="C4" s="6" t="n">
        <v>3828489</v>
      </c>
      <c r="D4" s="6" t="n">
        <v>3559597</v>
      </c>
      <c r="E4" s="6" t="n">
        <v>2923193</v>
      </c>
      <c r="F4" s="6" t="n"/>
      <c r="G4" s="6" t="n"/>
    </row>
    <row r="5">
      <c r="A5" s="6" t="inlineStr">
        <is>
          <t>Leverage ratio excluding claims on central banks (%)</t>
        </is>
      </c>
      <c r="B5" s="6" t="inlineStr">
        <is>
          <t>5.29%</t>
        </is>
      </c>
      <c r="C5" s="6" t="inlineStr">
        <is>
          <t>6.12%</t>
        </is>
      </c>
      <c r="D5" s="6" t="inlineStr">
        <is>
          <t>6.24%</t>
        </is>
      </c>
      <c r="E5" s="6" t="inlineStr">
        <is>
          <t>6.00%</t>
        </is>
      </c>
      <c r="F5" s="6" t="n"/>
      <c r="G5" s="6" t="n"/>
    </row>
    <row r="6">
      <c r="A6" s="6" t="inlineStr">
        <is>
          <t>Total Basel III leverage ratio measure (FY2021 basis, includes claims on central banks)</t>
        </is>
      </c>
      <c r="B6" s="6" t="n"/>
      <c r="C6" s="6" t="n"/>
      <c r="D6" s="6" t="n"/>
      <c r="E6" s="6" t="n"/>
      <c r="F6" s="6" t="n">
        <v>3409123</v>
      </c>
      <c r="G6" s="6" t="n"/>
    </row>
    <row r="7">
      <c r="A7" s="6" t="inlineStr">
        <is>
          <t>Basel III leverage ratio (%) (FY2021 basis)</t>
        </is>
      </c>
      <c r="B7" s="6" t="n"/>
      <c r="C7" s="6" t="n"/>
      <c r="D7" s="6" t="n"/>
      <c r="E7" s="6" t="n"/>
      <c r="F7" s="6" t="inlineStr">
        <is>
          <t>5.2%</t>
        </is>
      </c>
      <c r="G7" s="6" t="n"/>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high-quality liquid assets (HQLA), weighted value</t>
        </is>
      </c>
      <c r="B4" s="6" t="n">
        <v>1891643</v>
      </c>
      <c r="C4" s="6" t="n">
        <v>1275612</v>
      </c>
      <c r="D4" s="6" t="n">
        <v>1046604</v>
      </c>
      <c r="E4" s="6" t="n">
        <v>710180</v>
      </c>
      <c r="F4" s="6" t="n">
        <v>897493</v>
      </c>
      <c r="G4" s="6" t="n"/>
    </row>
    <row r="5">
      <c r="A5" s="6" t="inlineStr">
        <is>
          <t>Total net cash outflows, adjusted value</t>
        </is>
      </c>
      <c r="B5" s="6" t="n">
        <v>994752</v>
      </c>
      <c r="C5" s="6" t="n">
        <v>730580</v>
      </c>
      <c r="D5" s="6" t="n">
        <v>476548</v>
      </c>
      <c r="E5" s="6" t="n">
        <v>405819</v>
      </c>
      <c r="F5" s="6" t="n">
        <v>487009</v>
      </c>
      <c r="G5" s="6" t="n"/>
    </row>
    <row r="6">
      <c r="A6" s="6" t="inlineStr">
        <is>
          <t>Liquidity Coverage Ratio (%)</t>
        </is>
      </c>
      <c r="B6" s="6" t="inlineStr">
        <is>
          <t>190%</t>
        </is>
      </c>
      <c r="C6" s="6" t="inlineStr">
        <is>
          <t>175%</t>
        </is>
      </c>
      <c r="D6" s="6" t="inlineStr">
        <is>
          <t>220%</t>
        </is>
      </c>
      <c r="E6" s="6" t="inlineStr">
        <is>
          <t>175%</t>
        </is>
      </c>
      <c r="F6" s="6" t="inlineStr">
        <is>
          <t>184.3%</t>
        </is>
      </c>
      <c r="G6" s="6" t="n"/>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available stable funding</t>
        </is>
      </c>
      <c r="B4" s="6" t="n">
        <v>3126629</v>
      </c>
      <c r="C4" s="6" t="n">
        <v>2995437</v>
      </c>
      <c r="D4" s="6" t="n">
        <v>2784678</v>
      </c>
      <c r="E4" s="6" t="n">
        <v>2464147</v>
      </c>
      <c r="F4" s="6" t="n">
        <v>2389237</v>
      </c>
      <c r="G4" s="6" t="n"/>
    </row>
    <row r="5">
      <c r="A5" s="6" t="inlineStr">
        <is>
          <t>Total required stable funding</t>
        </is>
      </c>
      <c r="B5" s="6" t="n">
        <v>2058754</v>
      </c>
      <c r="C5" s="6" t="n">
        <v>2274318</v>
      </c>
      <c r="D5" s="6" t="n">
        <v>2043499</v>
      </c>
      <c r="E5" s="6" t="n">
        <v>1940538</v>
      </c>
      <c r="F5" s="6" t="n">
        <v>1794905</v>
      </c>
      <c r="G5" s="6" t="n"/>
    </row>
    <row r="6">
      <c r="A6" s="6" t="inlineStr">
        <is>
          <t>NSFR ratio (%)</t>
        </is>
      </c>
      <c r="B6" s="6" t="inlineStr">
        <is>
          <t>152%</t>
        </is>
      </c>
      <c r="C6" s="6" t="inlineStr">
        <is>
          <t>132%</t>
        </is>
      </c>
      <c r="D6" s="6" t="inlineStr">
        <is>
          <t>136%</t>
        </is>
      </c>
      <c r="E6" s="6" t="inlineStr">
        <is>
          <t>127%</t>
        </is>
      </c>
      <c r="F6" s="6" t="inlineStr">
        <is>
          <t>133.1%</t>
        </is>
      </c>
      <c r="G6" s="6" t="n"/>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row>
    <row r="5" ht="60"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140" customHeight="1">
      <c r="A7"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2026-09-16T10:38:43Z</dcterms:created>
  <dcterms:modified xmlns:dcterms="http://purl.org/dc/terms/" xmlns:xsi="http://www.w3.org/2001/XMLSchema-instance" xsi:type="dcterms:W3CDTF">2026-09-16T10:38:44Z</dcterms:modified>
</cp:coreProperties>
</file>