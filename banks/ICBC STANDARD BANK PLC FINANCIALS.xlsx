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272D"/>
        <bgColor rgb="00C1272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ICBC Standard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ICBC Standard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ICBC Standard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ICBC Standard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'Overview'!BE25</f>
            </strRef>
          </tx>
          <spPr>
            <a:ln xmlns:a="http://schemas.openxmlformats.org/drawingml/2006/main">
              <a:prstDash val="solid"/>
            </a:ln>
          </spPr>
          <cat>
            <numRef>
              <f>'Overview'!$BF$24:$BP$24</f>
            </numRef>
          </cat>
          <val>
            <numRef>
              <f>'Overview'!$BF$25:$BP$25</f>
            </numRef>
          </val>
        </ser>
        <ser>
          <idx val="1"/>
          <order val="1"/>
          <tx>
            <strRef>
              <f>'Overview'!BE26</f>
            </strRef>
          </tx>
          <spPr>
            <a:ln xmlns:a="http://schemas.openxmlformats.org/drawingml/2006/main">
              <a:prstDash val="solid"/>
            </a:ln>
          </spPr>
          <cat>
            <numRef>
              <f>'Overview'!$BF$24:$BP$24</f>
            </numRef>
          </cat>
          <val>
            <numRef>
              <f>'Overview'!$BF$26:$BP$26</f>
            </numRef>
          </val>
        </ser>
        <ser>
          <idx val="2"/>
          <order val="2"/>
          <tx>
            <strRef>
              <f>'Overview'!BE27</f>
            </strRef>
          </tx>
          <spPr>
            <a:ln xmlns:a="http://schemas.openxmlformats.org/drawingml/2006/main">
              <a:prstDash val="solid"/>
            </a:ln>
          </spPr>
          <cat>
            <numRef>
              <f>'Overview'!$BF$24:$BP$24</f>
            </numRef>
          </cat>
          <val>
            <numRef>
              <f>'Overview'!$BF$27:$BP$27</f>
            </numRef>
          </val>
        </ser>
        <ser>
          <idx val="3"/>
          <order val="3"/>
          <tx>
            <strRef>
              <f>'Overview'!BE28</f>
            </strRef>
          </tx>
          <spPr>
            <a:ln xmlns:a="http://schemas.openxmlformats.org/drawingml/2006/main">
              <a:prstDash val="solid"/>
            </a:ln>
          </spPr>
          <cat>
            <numRef>
              <f>'Overview'!$BF$24:$BP$24</f>
            </numRef>
          </cat>
          <val>
            <numRef>
              <f>'Overview'!$BF$28:$BP$28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ICBC Standard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ICBC Standard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37800.7</v>
      </c>
      <c r="C6" s="5" t="n">
        <v>26600.4</v>
      </c>
      <c r="D6" s="5" t="n">
        <v>23247.1</v>
      </c>
      <c r="E6" s="5" t="n">
        <v>22627.3</v>
      </c>
      <c r="F6" s="5" t="n">
        <v>26268.5</v>
      </c>
      <c r="G6" s="5" t="n">
        <v>27736.3</v>
      </c>
      <c r="H6" s="5" t="n">
        <v>24425.5</v>
      </c>
      <c r="I6" s="5" t="n">
        <v>24574.5</v>
      </c>
      <c r="J6" s="5" t="n">
        <v>23853.7</v>
      </c>
      <c r="K6" s="5" t="n">
        <v>20223.6</v>
      </c>
      <c r="L6" s="5" t="n">
        <v>20137.5</v>
      </c>
      <c r="O6" t="inlineStr">
        <is>
          <t>Total assets</t>
        </is>
      </c>
      <c r="P6" t="n">
        <v>20137.5</v>
      </c>
      <c r="Q6" t="n">
        <v>20223.6</v>
      </c>
      <c r="R6" t="n">
        <v>23853.7</v>
      </c>
      <c r="S6" t="n">
        <v>24574.5</v>
      </c>
      <c r="T6" t="n">
        <v>24425.5</v>
      </c>
      <c r="U6" t="n">
        <v>27736.3</v>
      </c>
      <c r="V6" t="n">
        <v>26268.5</v>
      </c>
      <c r="W6" t="n">
        <v>22627.3</v>
      </c>
      <c r="X6" t="n">
        <v>23247.1</v>
      </c>
      <c r="Y6" t="n">
        <v>26600.4</v>
      </c>
      <c r="Z6" t="n">
        <v>37800.7</v>
      </c>
      <c r="BS6" t="inlineStr">
        <is>
          <t>CET1 Ratio</t>
        </is>
      </c>
      <c r="BT6" t="n">
        <v>13.87</v>
      </c>
      <c r="BU6" t="n">
        <v>14.6</v>
      </c>
      <c r="BV6" t="n">
        <v>15.59</v>
      </c>
      <c r="BW6" t="n">
        <v>18.52</v>
      </c>
      <c r="BX6" t="n">
        <v>13.64</v>
      </c>
      <c r="BY6" t="n">
        <v>13.21</v>
      </c>
      <c r="BZ6" t="n">
        <v>13.47</v>
      </c>
      <c r="CA6" t="n">
        <v>15.7</v>
      </c>
      <c r="CB6" t="n">
        <v>16.9</v>
      </c>
      <c r="CC6" t="n">
        <v>14.6</v>
      </c>
      <c r="CD6" t="n">
        <v>12.2</v>
      </c>
    </row>
    <row r="7">
      <c r="A7" s="5" t="inlineStr">
        <is>
          <t>Loans and advances to customers</t>
        </is>
      </c>
      <c r="B7" s="5" t="n">
        <v>1828</v>
      </c>
      <c r="C7" s="5" t="n">
        <v>1303</v>
      </c>
      <c r="D7" s="5" t="n">
        <v>771.3</v>
      </c>
      <c r="E7" s="5" t="n">
        <v>818.6</v>
      </c>
      <c r="F7" s="5" t="n">
        <v>1608.7</v>
      </c>
      <c r="G7" s="5" t="n">
        <v>581.2</v>
      </c>
      <c r="H7" s="5" t="n">
        <v>798.4</v>
      </c>
      <c r="I7" s="5" t="n">
        <v>737.3</v>
      </c>
      <c r="J7" s="5" t="n">
        <v>606.9</v>
      </c>
      <c r="K7" s="5" t="n">
        <v>855.3</v>
      </c>
      <c r="L7" s="5" t="n">
        <v>427.1</v>
      </c>
      <c r="O7" t="inlineStr">
        <is>
          <t>Loans and advances to customers</t>
        </is>
      </c>
      <c r="P7" t="n">
        <v>427.1</v>
      </c>
      <c r="Q7" t="n">
        <v>855.3</v>
      </c>
      <c r="R7" t="n">
        <v>606.9</v>
      </c>
      <c r="S7" t="n">
        <v>737.3</v>
      </c>
      <c r="T7" t="n">
        <v>798.4</v>
      </c>
      <c r="U7" t="n">
        <v>581.2</v>
      </c>
      <c r="V7" t="n">
        <v>1608.7</v>
      </c>
      <c r="W7" t="n">
        <v>818.6</v>
      </c>
      <c r="X7" t="n">
        <v>771.3</v>
      </c>
      <c r="Y7" t="n">
        <v>1303</v>
      </c>
      <c r="Z7" t="n">
        <v>1828</v>
      </c>
      <c r="BS7" t="inlineStr">
        <is>
          <t>Tier 1 Ratio</t>
        </is>
      </c>
      <c r="BT7" t="n">
        <v>13.9</v>
      </c>
      <c r="BU7" t="n">
        <v>14.6</v>
      </c>
      <c r="BV7" t="n">
        <v>15.59</v>
      </c>
      <c r="BW7" t="n">
        <v>18.52</v>
      </c>
      <c r="BX7" t="n">
        <v>15.94</v>
      </c>
      <c r="BY7" t="n">
        <v>15.18</v>
      </c>
      <c r="BZ7" t="n">
        <v>15.35</v>
      </c>
      <c r="CA7" t="n">
        <v>17.5</v>
      </c>
      <c r="CB7" t="n">
        <v>18.5</v>
      </c>
      <c r="CC7" t="n">
        <v>16</v>
      </c>
      <c r="CD7" t="n">
        <v>13.3</v>
      </c>
    </row>
    <row r="8">
      <c r="A8" s="5" t="inlineStr">
        <is>
          <t>Total liabilities</t>
        </is>
      </c>
      <c r="B8" s="5" t="n">
        <v>35669.3</v>
      </c>
      <c r="C8" s="5" t="n">
        <v>24656.7</v>
      </c>
      <c r="D8" s="5" t="n">
        <v>21376.2</v>
      </c>
      <c r="E8" s="5" t="n">
        <v>20945.3</v>
      </c>
      <c r="F8" s="5" t="n">
        <v>24898.5</v>
      </c>
      <c r="G8" s="5" t="n">
        <v>26434.8</v>
      </c>
      <c r="H8" s="5" t="n">
        <v>23252</v>
      </c>
      <c r="I8" s="5" t="n">
        <v>23316.7</v>
      </c>
      <c r="J8" s="5" t="n">
        <v>22571.4</v>
      </c>
      <c r="K8" s="5" t="n">
        <v>19266.7</v>
      </c>
      <c r="L8" s="5" t="n">
        <v>19062.5</v>
      </c>
      <c r="O8" t="inlineStr">
        <is>
          <t>Total liabilities</t>
        </is>
      </c>
      <c r="P8" t="n">
        <v>19062.5</v>
      </c>
      <c r="Q8" t="n">
        <v>19266.7</v>
      </c>
      <c r="R8" t="n">
        <v>22571.4</v>
      </c>
      <c r="S8" t="n">
        <v>23316.7</v>
      </c>
      <c r="T8" t="n">
        <v>23252</v>
      </c>
      <c r="U8" t="n">
        <v>26434.8</v>
      </c>
      <c r="V8" t="n">
        <v>24898.5</v>
      </c>
      <c r="W8" t="n">
        <v>20945.3</v>
      </c>
      <c r="X8" t="n">
        <v>21376.2</v>
      </c>
      <c r="Y8" t="n">
        <v>24656.7</v>
      </c>
      <c r="Z8" t="n">
        <v>35669.3</v>
      </c>
      <c r="BS8" t="inlineStr">
        <is>
          <t>Total Capital Ratio</t>
        </is>
      </c>
      <c r="BT8" t="n">
        <v>19.13</v>
      </c>
      <c r="BU8" t="n">
        <v>19.3</v>
      </c>
      <c r="BV8" t="n">
        <v>19.97</v>
      </c>
      <c r="BW8" t="n">
        <v>22.25</v>
      </c>
      <c r="BX8" t="n">
        <v>19.54</v>
      </c>
      <c r="BY8" t="n">
        <v>18.26</v>
      </c>
      <c r="BZ8" t="n">
        <v>18.28</v>
      </c>
      <c r="CA8" t="n">
        <v>20.2</v>
      </c>
      <c r="CB8" t="n">
        <v>21.1</v>
      </c>
      <c r="CC8" t="n">
        <v>18.1</v>
      </c>
      <c r="CD8" t="n">
        <v>15</v>
      </c>
    </row>
    <row r="9">
      <c r="A9" s="5" t="inlineStr">
        <is>
          <t>Total equity</t>
        </is>
      </c>
      <c r="B9" s="5" t="n">
        <v>2131.4</v>
      </c>
      <c r="C9" s="5" t="n">
        <v>1943.7</v>
      </c>
      <c r="D9" s="5" t="n">
        <v>1870.9</v>
      </c>
      <c r="E9" s="5" t="n">
        <v>1682</v>
      </c>
      <c r="F9" s="5" t="n">
        <v>1370</v>
      </c>
      <c r="G9" s="5" t="n">
        <v>1301.5</v>
      </c>
      <c r="H9" s="5" t="n">
        <v>1173.5</v>
      </c>
      <c r="I9" s="5" t="n">
        <v>1257.8</v>
      </c>
      <c r="J9" s="5" t="n">
        <v>1282.3</v>
      </c>
      <c r="K9" s="5" t="n">
        <v>956.9</v>
      </c>
      <c r="L9" s="5" t="n">
        <v>1075</v>
      </c>
      <c r="O9" t="inlineStr">
        <is>
          <t>Total equity</t>
        </is>
      </c>
      <c r="P9" t="n">
        <v>1075</v>
      </c>
      <c r="Q9" t="n">
        <v>956.9</v>
      </c>
      <c r="R9" t="n">
        <v>1282.3</v>
      </c>
      <c r="S9" t="n">
        <v>1257.8</v>
      </c>
      <c r="T9" t="n">
        <v>1173.5</v>
      </c>
      <c r="U9" t="n">
        <v>1301.5</v>
      </c>
      <c r="V9" t="n">
        <v>1370</v>
      </c>
      <c r="W9" t="n">
        <v>1682</v>
      </c>
      <c r="X9" t="n">
        <v>1870.9</v>
      </c>
      <c r="Y9" t="n">
        <v>1943.7</v>
      </c>
      <c r="Z9" t="n">
        <v>2131.4</v>
      </c>
      <c r="BS9" t="inlineStr">
        <is>
          <t>Leverage Ratio</t>
        </is>
      </c>
      <c r="BT9" t="n">
        <v>5.36</v>
      </c>
      <c r="BU9" t="n">
        <v>4.66</v>
      </c>
      <c r="BV9" t="n">
        <v>4.91</v>
      </c>
      <c r="BW9" t="n">
        <v>5.02</v>
      </c>
      <c r="BX9" t="n">
        <v>4.78</v>
      </c>
      <c r="BY9" t="n">
        <v>4.9</v>
      </c>
      <c r="BZ9" t="n">
        <v>5.09</v>
      </c>
      <c r="CA9" t="n">
        <v>7.7</v>
      </c>
      <c r="CB9" t="n">
        <v>7.7</v>
      </c>
      <c r="CC9" t="n">
        <v>6.9</v>
      </c>
      <c r="CD9" t="n">
        <v>5.6</v>
      </c>
    </row>
    <row r="10">
      <c r="BS10" t="inlineStr">
        <is>
          <t>LCR</t>
        </is>
      </c>
      <c r="BU10" t="n">
        <v>159</v>
      </c>
      <c r="BV10" t="n">
        <v>145</v>
      </c>
      <c r="BW10" t="n">
        <v>217</v>
      </c>
      <c r="BX10" t="n">
        <v>195</v>
      </c>
      <c r="BY10" t="n">
        <v>180</v>
      </c>
      <c r="BZ10" t="n">
        <v>207</v>
      </c>
      <c r="CA10" t="n">
        <v>206</v>
      </c>
      <c r="CB10" t="n">
        <v>165.3</v>
      </c>
      <c r="CC10" t="n">
        <v>226.7</v>
      </c>
      <c r="CD10" t="n">
        <v>197.3</v>
      </c>
    </row>
    <row r="11">
      <c r="A11" s="3" t="inlineStr">
        <is>
          <t>Profit &amp; Loss Summary ($m)</t>
        </is>
      </c>
      <c r="BS11" t="inlineStr">
        <is>
          <t>NSFR</t>
        </is>
      </c>
      <c r="CA11" t="n">
        <v>163.8</v>
      </c>
      <c r="CB11" t="n">
        <v>183.3</v>
      </c>
      <c r="CC11" t="n">
        <v>136.4</v>
      </c>
      <c r="CD11" t="n">
        <v>122.8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Total operating income</t>
        </is>
      </c>
      <c r="B13" s="5" t="n">
        <v>739.8</v>
      </c>
      <c r="C13" s="5" t="n">
        <v>572.1</v>
      </c>
      <c r="D13" s="5" t="n">
        <v>558</v>
      </c>
      <c r="E13" s="5" t="n">
        <v>809.9</v>
      </c>
      <c r="F13" s="5" t="n">
        <v>466</v>
      </c>
      <c r="G13" s="5" t="n">
        <v>489.1</v>
      </c>
      <c r="H13" s="5" t="n">
        <v>137.4</v>
      </c>
      <c r="I13" s="5" t="n">
        <v>384</v>
      </c>
      <c r="J13" s="5" t="n">
        <v>382.4</v>
      </c>
      <c r="K13" s="5" t="n">
        <v>286.2</v>
      </c>
      <c r="L13" s="5" t="n">
        <v>172.7</v>
      </c>
      <c r="AC13" t="inlineStr">
        <is>
          <t>Total operating income</t>
        </is>
      </c>
      <c r="AD13" t="n">
        <v>172.7</v>
      </c>
      <c r="AE13" t="n">
        <v>286.2</v>
      </c>
      <c r="AF13" t="n">
        <v>382.4</v>
      </c>
      <c r="AG13" t="n">
        <v>384</v>
      </c>
      <c r="AH13" t="n">
        <v>137.4</v>
      </c>
      <c r="AI13" t="n">
        <v>489.1</v>
      </c>
      <c r="AJ13" t="n">
        <v>466</v>
      </c>
      <c r="AK13" t="n">
        <v>809.9</v>
      </c>
      <c r="AL13" t="n">
        <v>558</v>
      </c>
      <c r="AM13" t="n">
        <v>572.1</v>
      </c>
      <c r="AN13" t="n">
        <v>739.8</v>
      </c>
    </row>
    <row r="14">
      <c r="A14" s="5" t="inlineStr">
        <is>
          <t>Operating expenses</t>
        </is>
      </c>
      <c r="B14" s="5" t="n">
        <v>-443.9</v>
      </c>
      <c r="C14" s="5" t="n">
        <v>-382.4</v>
      </c>
      <c r="D14" s="5" t="n">
        <v>-397.6</v>
      </c>
      <c r="E14" s="5" t="n">
        <v>-373.6</v>
      </c>
      <c r="F14" s="5" t="n">
        <v>-348.1</v>
      </c>
      <c r="G14" s="5" t="n">
        <v>-351.5</v>
      </c>
      <c r="H14" s="5" t="n">
        <v>-374.4</v>
      </c>
      <c r="I14" s="5" t="n">
        <v>-379.1</v>
      </c>
      <c r="J14" s="5" t="n">
        <v>-371.3</v>
      </c>
      <c r="K14" s="5" t="n">
        <v>-382.9</v>
      </c>
      <c r="L14" s="5" t="n">
        <v>-386.1</v>
      </c>
      <c r="AC14" t="inlineStr">
        <is>
          <t>Operating expenses</t>
        </is>
      </c>
      <c r="AD14" t="n">
        <v>-386.1</v>
      </c>
      <c r="AE14" t="n">
        <v>-382.9</v>
      </c>
      <c r="AF14" t="n">
        <v>-371.3</v>
      </c>
      <c r="AG14" t="n">
        <v>-379.1</v>
      </c>
      <c r="AH14" t="n">
        <v>-374.4</v>
      </c>
      <c r="AI14" t="n">
        <v>-351.5</v>
      </c>
      <c r="AJ14" t="n">
        <v>-348.1</v>
      </c>
      <c r="AK14" t="n">
        <v>-373.6</v>
      </c>
      <c r="AL14" t="n">
        <v>-397.6</v>
      </c>
      <c r="AM14" t="n">
        <v>-382.4</v>
      </c>
      <c r="AN14" t="n">
        <v>-443.9</v>
      </c>
    </row>
    <row r="15">
      <c r="A15" s="5" t="inlineStr">
        <is>
          <t>Profit attributable to equity shareholders</t>
        </is>
      </c>
      <c r="B15" s="5" t="n">
        <v>224.9</v>
      </c>
      <c r="C15" s="5" t="n">
        <v>156.5</v>
      </c>
      <c r="D15" s="5" t="n">
        <v>187.1</v>
      </c>
      <c r="E15" s="5" t="n">
        <v>317.1</v>
      </c>
      <c r="F15" s="5" t="n">
        <v>98.59999999999999</v>
      </c>
      <c r="G15" s="5" t="n">
        <v>115.5</v>
      </c>
      <c r="H15" s="5" t="n">
        <v>-248.2</v>
      </c>
      <c r="I15" s="5" t="n">
        <v>-14.8</v>
      </c>
      <c r="J15" s="5" t="n">
        <v>29.7</v>
      </c>
      <c r="K15" s="5" t="n">
        <v>-98.8</v>
      </c>
      <c r="L15" s="5" t="n">
        <v>-267.7</v>
      </c>
      <c r="AC15" t="inlineStr">
        <is>
          <t>Profit attributable to equity shareholders</t>
        </is>
      </c>
      <c r="AD15" t="n">
        <v>-267.7</v>
      </c>
      <c r="AE15" t="n">
        <v>-98.8</v>
      </c>
      <c r="AF15" t="n">
        <v>29.7</v>
      </c>
      <c r="AG15" t="n">
        <v>-14.8</v>
      </c>
      <c r="AH15" t="n">
        <v>-248.2</v>
      </c>
      <c r="AI15" t="n">
        <v>115.5</v>
      </c>
      <c r="AJ15" t="n">
        <v>98.59999999999999</v>
      </c>
      <c r="AK15" t="n">
        <v>317.1</v>
      </c>
      <c r="AL15" t="n">
        <v>187.1</v>
      </c>
      <c r="AM15" t="n">
        <v>156.5</v>
      </c>
      <c r="AN15" t="n">
        <v>224.9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1943.7</v>
      </c>
      <c r="C19" s="5" t="n">
        <v>1870.9</v>
      </c>
      <c r="D19" s="5" t="n">
        <v>1682</v>
      </c>
      <c r="E19" s="5" t="n">
        <v>1370</v>
      </c>
      <c r="F19" s="5" t="n">
        <v>1301.5</v>
      </c>
      <c r="G19" s="5" t="n">
        <v>1173.5</v>
      </c>
      <c r="H19" s="5" t="n">
        <v>1257.8</v>
      </c>
      <c r="I19" s="5" t="n">
        <v>1282.3</v>
      </c>
      <c r="J19" s="5" t="n">
        <v>956.9</v>
      </c>
      <c r="K19" s="5" t="n">
        <v>1075</v>
      </c>
      <c r="L19" s="5" t="n">
        <v>1015.1</v>
      </c>
      <c r="AQ19" t="inlineStr">
        <is>
          <t>Opening equity</t>
        </is>
      </c>
      <c r="AR19" t="n">
        <v>1015.1</v>
      </c>
      <c r="AS19" t="n">
        <v>1075</v>
      </c>
      <c r="AT19" t="n">
        <v>956.9</v>
      </c>
      <c r="AU19" t="n">
        <v>1282.3</v>
      </c>
      <c r="AV19" t="n">
        <v>1257.8</v>
      </c>
      <c r="AW19" t="n">
        <v>1173.5</v>
      </c>
      <c r="AX19" t="n">
        <v>1301.5</v>
      </c>
      <c r="AY19" t="n">
        <v>1370</v>
      </c>
      <c r="AZ19" t="n">
        <v>1682</v>
      </c>
      <c r="BA19" t="n">
        <v>1870.9</v>
      </c>
      <c r="BB19" t="n">
        <v>1943.7</v>
      </c>
    </row>
    <row r="20">
      <c r="A20" s="5" t="inlineStr">
        <is>
          <t>Total comprehensive income/(loss) for the year</t>
        </is>
      </c>
      <c r="B20" s="5" t="n">
        <v>241.9</v>
      </c>
      <c r="C20" s="5" t="n">
        <v>134.9</v>
      </c>
      <c r="D20" s="5" t="n">
        <v>201.1</v>
      </c>
      <c r="E20" s="5" t="n">
        <v>324.2</v>
      </c>
      <c r="F20" s="5" t="n">
        <v>80.7</v>
      </c>
      <c r="G20" s="5" t="n">
        <v>128</v>
      </c>
      <c r="H20" s="5" t="n">
        <v>-244.2</v>
      </c>
      <c r="I20" s="5" t="n">
        <v>-24.5</v>
      </c>
      <c r="J20" s="5" t="n">
        <v>60.4</v>
      </c>
      <c r="K20" s="5" t="n">
        <v>-118.1</v>
      </c>
      <c r="L20" s="5" t="n">
        <v>-281</v>
      </c>
      <c r="AQ20" t="inlineStr">
        <is>
          <t>Total comprehensive income/(loss) for the year</t>
        </is>
      </c>
      <c r="AR20" t="n">
        <v>-281</v>
      </c>
      <c r="AS20" t="n">
        <v>-118.1</v>
      </c>
      <c r="AT20" t="n">
        <v>60.4</v>
      </c>
      <c r="AU20" t="n">
        <v>-24.5</v>
      </c>
      <c r="AV20" t="n">
        <v>-244.2</v>
      </c>
      <c r="AW20" t="n">
        <v>128</v>
      </c>
      <c r="AX20" t="n">
        <v>80.7</v>
      </c>
      <c r="AY20" t="n">
        <v>324.2</v>
      </c>
      <c r="AZ20" t="n">
        <v>201.1</v>
      </c>
      <c r="BA20" t="n">
        <v>134.9</v>
      </c>
      <c r="BB20" t="n">
        <v>241.9</v>
      </c>
    </row>
    <row r="21">
      <c r="A21" s="5" t="inlineStr">
        <is>
          <t>Other equity movements, net</t>
        </is>
      </c>
      <c r="B21" s="5" t="n">
        <v>-54.2</v>
      </c>
      <c r="C21" s="5" t="n">
        <v>-62.1</v>
      </c>
      <c r="D21" s="5" t="n">
        <v>-12.2</v>
      </c>
      <c r="E21" s="5" t="n">
        <v>-12.2</v>
      </c>
      <c r="F21" s="5" t="n">
        <v>-12.2</v>
      </c>
      <c r="G21" s="5" t="n">
        <v>0</v>
      </c>
      <c r="H21" s="5" t="n">
        <v>159.9</v>
      </c>
      <c r="I21" s="5" t="n">
        <v>0</v>
      </c>
      <c r="J21" s="5" t="n">
        <v>265</v>
      </c>
      <c r="K21" s="5" t="n">
        <v>0</v>
      </c>
      <c r="L21" s="5" t="n">
        <v>340.9</v>
      </c>
      <c r="AQ21" t="inlineStr">
        <is>
          <t>Other equity movements, net</t>
        </is>
      </c>
      <c r="AR21" t="n">
        <v>340.9</v>
      </c>
      <c r="AS21" t="n">
        <v>0</v>
      </c>
      <c r="AT21" t="n">
        <v>265</v>
      </c>
      <c r="AU21" t="n">
        <v>0</v>
      </c>
      <c r="AV21" t="n">
        <v>159.9</v>
      </c>
      <c r="AW21" t="n">
        <v>0</v>
      </c>
      <c r="AX21" t="n">
        <v>-12.2</v>
      </c>
      <c r="AY21" t="n">
        <v>-12.2</v>
      </c>
      <c r="AZ21" t="n">
        <v>-12.2</v>
      </c>
      <c r="BA21" t="n">
        <v>-62.1</v>
      </c>
      <c r="BB21" t="n">
        <v>-54.2</v>
      </c>
    </row>
    <row r="23">
      <c r="A23" s="3" t="inlineStr">
        <is>
          <t>Cash Flow Summary ($m)</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L24" s="4" t="inlineStr">
        <is>
          <t>FY2015</t>
        </is>
      </c>
      <c r="BF24" t="inlineStr">
        <is>
          <t>FY2015</t>
        </is>
      </c>
      <c r="BG24" t="inlineStr">
        <is>
          <t>FY2016</t>
        </is>
      </c>
      <c r="BH24" t="inlineStr">
        <is>
          <t>FY2017</t>
        </is>
      </c>
      <c r="BI24" t="inlineStr">
        <is>
          <t>FY2018</t>
        </is>
      </c>
      <c r="BJ24" t="inlineStr">
        <is>
          <t>FY2019</t>
        </is>
      </c>
      <c r="BK24" t="inlineStr">
        <is>
          <t>FY2020</t>
        </is>
      </c>
      <c r="BL24" t="inlineStr">
        <is>
          <t>FY2021</t>
        </is>
      </c>
      <c r="BM24" t="inlineStr">
        <is>
          <t>FY2022</t>
        </is>
      </c>
      <c r="BN24" t="inlineStr">
        <is>
          <t>FY2023</t>
        </is>
      </c>
      <c r="BO24" t="inlineStr">
        <is>
          <t>FY2024</t>
        </is>
      </c>
      <c r="BP24" t="inlineStr">
        <is>
          <t>FY2025</t>
        </is>
      </c>
    </row>
    <row r="25">
      <c r="A25" s="5" t="inlineStr">
        <is>
          <t>Cash flows (used in)/from operating activities</t>
        </is>
      </c>
      <c r="B25" s="5" t="n">
        <v>-1780.3</v>
      </c>
      <c r="C25" s="5" t="n">
        <v>128.1</v>
      </c>
      <c r="D25" s="5" t="n">
        <v>-2150.7</v>
      </c>
      <c r="E25" s="5" t="n">
        <v>-1137.3</v>
      </c>
      <c r="F25" s="5" t="n">
        <v>2255.8</v>
      </c>
      <c r="G25" s="5" t="n">
        <v>282</v>
      </c>
      <c r="H25" s="5" t="n">
        <v>1127.4</v>
      </c>
      <c r="I25" s="5" t="n">
        <v>-882.2</v>
      </c>
      <c r="J25" s="5" t="n">
        <v>1107.8</v>
      </c>
      <c r="K25" s="5" t="n">
        <v>-2176.5</v>
      </c>
      <c r="L25" s="5" t="n">
        <v>1437.8</v>
      </c>
      <c r="BE25" t="inlineStr">
        <is>
          <t>Cash flows (used in)/from operating activities</t>
        </is>
      </c>
      <c r="BF25" t="n">
        <v>1437.8</v>
      </c>
      <c r="BG25" t="n">
        <v>-2176.5</v>
      </c>
      <c r="BH25" t="n">
        <v>1107.8</v>
      </c>
      <c r="BI25" t="n">
        <v>-882.2</v>
      </c>
      <c r="BJ25" t="n">
        <v>1127.4</v>
      </c>
      <c r="BK25" t="n">
        <v>282</v>
      </c>
      <c r="BL25" t="n">
        <v>2255.8</v>
      </c>
      <c r="BM25" t="n">
        <v>-1137.3</v>
      </c>
      <c r="BN25" t="n">
        <v>-2150.7</v>
      </c>
      <c r="BO25" t="n">
        <v>128.1</v>
      </c>
      <c r="BP25" t="n">
        <v>-1780.3</v>
      </c>
    </row>
    <row r="26">
      <c r="A26" s="5" t="inlineStr">
        <is>
          <t>Cash flows used in investing activities</t>
        </is>
      </c>
      <c r="B26" s="5" t="n">
        <v>-18</v>
      </c>
      <c r="C26" s="5" t="n">
        <v>-16.4</v>
      </c>
      <c r="D26" s="5" t="n">
        <v>-6.9</v>
      </c>
      <c r="E26" s="5" t="n">
        <v>-15.5</v>
      </c>
      <c r="F26" s="5" t="n">
        <v>-12.5</v>
      </c>
      <c r="G26" s="5" t="n">
        <v>-8.199999999999999</v>
      </c>
      <c r="H26" s="5" t="n">
        <v>-17.9</v>
      </c>
      <c r="I26" s="5" t="n">
        <v>-18.9</v>
      </c>
      <c r="J26" s="5" t="n">
        <v>-15.6</v>
      </c>
      <c r="K26" s="5" t="n">
        <v>-9.4</v>
      </c>
      <c r="L26" s="5" t="n">
        <v>-2</v>
      </c>
      <c r="BE26" t="inlineStr">
        <is>
          <t>Cash flows used in investing activities</t>
        </is>
      </c>
      <c r="BF26" t="n">
        <v>-2</v>
      </c>
      <c r="BG26" t="n">
        <v>-9.4</v>
      </c>
      <c r="BH26" t="n">
        <v>-15.6</v>
      </c>
      <c r="BI26" t="n">
        <v>-18.9</v>
      </c>
      <c r="BJ26" t="n">
        <v>-17.9</v>
      </c>
      <c r="BK26" t="n">
        <v>-8.199999999999999</v>
      </c>
      <c r="BL26" t="n">
        <v>-12.5</v>
      </c>
      <c r="BM26" t="n">
        <v>-15.5</v>
      </c>
      <c r="BN26" t="n">
        <v>-6.9</v>
      </c>
      <c r="BO26" t="n">
        <v>-16.4</v>
      </c>
      <c r="BP26" t="n">
        <v>-18</v>
      </c>
    </row>
    <row r="27">
      <c r="A27" s="5" t="inlineStr">
        <is>
          <t>Cash flows used in financing activities</t>
        </is>
      </c>
      <c r="B27" s="5" t="n">
        <v>-63.6</v>
      </c>
      <c r="C27" s="5" t="n">
        <v>-70.59999999999999</v>
      </c>
      <c r="D27" s="5" t="n">
        <v>-22.6</v>
      </c>
      <c r="E27" s="5" t="n">
        <v>-21.9</v>
      </c>
      <c r="F27" s="5" t="n">
        <v>-24.7</v>
      </c>
      <c r="G27" s="5" t="n">
        <v>-16</v>
      </c>
      <c r="H27" s="5" t="n">
        <v>-259.7</v>
      </c>
      <c r="I27" s="5" t="n">
        <v>0</v>
      </c>
      <c r="J27" s="5" t="n">
        <v>415</v>
      </c>
      <c r="K27" s="5" t="n">
        <v>-137.9</v>
      </c>
      <c r="L27" s="5" t="n">
        <v>340.9</v>
      </c>
      <c r="BE27" t="inlineStr">
        <is>
          <t>Cash flows used in financing activities</t>
        </is>
      </c>
      <c r="BF27" t="n">
        <v>340.9</v>
      </c>
      <c r="BG27" t="n">
        <v>-137.9</v>
      </c>
      <c r="BH27" t="n">
        <v>415</v>
      </c>
      <c r="BI27" t="n">
        <v>0</v>
      </c>
      <c r="BJ27" t="n">
        <v>-259.7</v>
      </c>
      <c r="BK27" t="n">
        <v>-16</v>
      </c>
      <c r="BL27" t="n">
        <v>-24.7</v>
      </c>
      <c r="BM27" t="n">
        <v>-21.9</v>
      </c>
      <c r="BN27" t="n">
        <v>-22.6</v>
      </c>
      <c r="BO27" t="n">
        <v>-70.59999999999999</v>
      </c>
      <c r="BP27" t="n">
        <v>-63.6</v>
      </c>
    </row>
    <row r="28">
      <c r="A28" s="5" t="inlineStr">
        <is>
          <t>Cash and cash equivalents at end of the year</t>
        </is>
      </c>
      <c r="B28" s="5" t="n">
        <v>902.6</v>
      </c>
      <c r="C28" s="5" t="n">
        <v>2762</v>
      </c>
      <c r="D28" s="5" t="n">
        <v>2744.4</v>
      </c>
      <c r="E28" s="5" t="n">
        <v>4990.4</v>
      </c>
      <c r="F28" s="5" t="n">
        <v>6122.5</v>
      </c>
      <c r="G28" s="5" t="n">
        <v>3906.4</v>
      </c>
      <c r="H28" s="5" t="n">
        <v>3648.1</v>
      </c>
      <c r="I28" s="5" t="n">
        <v>2792.6</v>
      </c>
      <c r="J28" s="5" t="n">
        <v>3692.8</v>
      </c>
      <c r="K28" s="5" t="n">
        <v>2134.6</v>
      </c>
      <c r="L28" s="5" t="n">
        <v>4476.2</v>
      </c>
      <c r="BE28" t="inlineStr">
        <is>
          <t>Cash and cash equivalents at end of the year</t>
        </is>
      </c>
      <c r="BF28" t="n">
        <v>4476.2</v>
      </c>
      <c r="BG28" t="n">
        <v>2134.6</v>
      </c>
      <c r="BH28" t="n">
        <v>3692.8</v>
      </c>
      <c r="BI28" t="n">
        <v>2792.6</v>
      </c>
      <c r="BJ28" t="n">
        <v>3648.1</v>
      </c>
      <c r="BK28" t="n">
        <v>3906.4</v>
      </c>
      <c r="BL28" t="n">
        <v>6122.5</v>
      </c>
      <c r="BM28" t="n">
        <v>4990.4</v>
      </c>
      <c r="BN28" t="n">
        <v>2744.4</v>
      </c>
      <c r="BO28" t="n">
        <v>2762</v>
      </c>
      <c r="BP28" t="n">
        <v>902.6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row>
    <row r="32">
      <c r="A32" s="6" t="inlineStr">
        <is>
          <t>CET1 Ratio</t>
        </is>
      </c>
      <c r="B32" s="6" t="inlineStr">
        <is>
          <t>12.2%</t>
        </is>
      </c>
      <c r="C32" s="6" t="inlineStr">
        <is>
          <t>14.6%</t>
        </is>
      </c>
      <c r="D32" s="6" t="inlineStr">
        <is>
          <t>16.9%</t>
        </is>
      </c>
      <c r="E32" s="6" t="inlineStr">
        <is>
          <t>15.7%</t>
        </is>
      </c>
      <c r="F32" s="6" t="inlineStr">
        <is>
          <t>13.47%</t>
        </is>
      </c>
      <c r="G32" s="6" t="inlineStr">
        <is>
          <t>13.21%</t>
        </is>
      </c>
      <c r="H32" s="6" t="inlineStr">
        <is>
          <t>13.64%</t>
        </is>
      </c>
      <c r="I32" s="6" t="inlineStr">
        <is>
          <t>18.52%</t>
        </is>
      </c>
      <c r="J32" s="6" t="inlineStr">
        <is>
          <t>15.59%</t>
        </is>
      </c>
      <c r="K32" s="6" t="inlineStr">
        <is>
          <t>14.6%</t>
        </is>
      </c>
      <c r="L32" s="6" t="inlineStr">
        <is>
          <t>13.87%</t>
        </is>
      </c>
    </row>
    <row r="33">
      <c r="A33" s="6" t="inlineStr">
        <is>
          <t>Tier 1 Ratio</t>
        </is>
      </c>
      <c r="B33" s="6" t="inlineStr">
        <is>
          <t>13.3%</t>
        </is>
      </c>
      <c r="C33" s="6" t="inlineStr">
        <is>
          <t>16.0%</t>
        </is>
      </c>
      <c r="D33" s="6" t="inlineStr">
        <is>
          <t>18.5%</t>
        </is>
      </c>
      <c r="E33" s="6" t="inlineStr">
        <is>
          <t>17.5%</t>
        </is>
      </c>
      <c r="F33" s="6" t="inlineStr">
        <is>
          <t>15.35%</t>
        </is>
      </c>
      <c r="G33" s="6" t="inlineStr">
        <is>
          <t>15.18%</t>
        </is>
      </c>
      <c r="H33" s="6" t="inlineStr">
        <is>
          <t>15.94%</t>
        </is>
      </c>
      <c r="I33" s="6" t="inlineStr">
        <is>
          <t>18.52%</t>
        </is>
      </c>
      <c r="J33" s="6" t="inlineStr">
        <is>
          <t>15.59%</t>
        </is>
      </c>
      <c r="K33" s="6" t="inlineStr">
        <is>
          <t>14.6%</t>
        </is>
      </c>
      <c r="L33" s="6" t="inlineStr">
        <is>
          <t>13.9%</t>
        </is>
      </c>
    </row>
    <row r="34">
      <c r="A34" s="6" t="inlineStr">
        <is>
          <t>Total Capital Ratio</t>
        </is>
      </c>
      <c r="B34" s="6" t="inlineStr">
        <is>
          <t>15.0%</t>
        </is>
      </c>
      <c r="C34" s="6" t="inlineStr">
        <is>
          <t>18.1%</t>
        </is>
      </c>
      <c r="D34" s="6" t="inlineStr">
        <is>
          <t>21.1%</t>
        </is>
      </c>
      <c r="E34" s="6" t="inlineStr">
        <is>
          <t>20.2%</t>
        </is>
      </c>
      <c r="F34" s="6" t="inlineStr">
        <is>
          <t>18.28%</t>
        </is>
      </c>
      <c r="G34" s="6" t="inlineStr">
        <is>
          <t>18.26%</t>
        </is>
      </c>
      <c r="H34" s="6" t="inlineStr">
        <is>
          <t>19.54%</t>
        </is>
      </c>
      <c r="I34" s="6" t="inlineStr">
        <is>
          <t>22.25%</t>
        </is>
      </c>
      <c r="J34" s="6" t="inlineStr">
        <is>
          <t>19.97%</t>
        </is>
      </c>
      <c r="K34" s="6" t="inlineStr">
        <is>
          <t>19.3%</t>
        </is>
      </c>
      <c r="L34" s="6" t="inlineStr">
        <is>
          <t>19.13%</t>
        </is>
      </c>
    </row>
    <row r="35">
      <c r="A35" s="6" t="inlineStr">
        <is>
          <t>Leverage Ratio</t>
        </is>
      </c>
      <c r="B35" s="6" t="inlineStr">
        <is>
          <t>5.6%</t>
        </is>
      </c>
      <c r="C35" s="6" t="inlineStr">
        <is>
          <t>6.9%</t>
        </is>
      </c>
      <c r="D35" s="6" t="inlineStr">
        <is>
          <t>7.7%</t>
        </is>
      </c>
      <c r="E35" s="6" t="inlineStr">
        <is>
          <t>7.7%</t>
        </is>
      </c>
      <c r="F35" s="6" t="inlineStr">
        <is>
          <t>5.09%</t>
        </is>
      </c>
      <c r="G35" s="6" t="inlineStr">
        <is>
          <t>4.90%</t>
        </is>
      </c>
      <c r="H35" s="6" t="inlineStr">
        <is>
          <t>4.78%</t>
        </is>
      </c>
      <c r="I35" s="6" t="inlineStr">
        <is>
          <t>5.02%</t>
        </is>
      </c>
      <c r="J35" s="6" t="inlineStr">
        <is>
          <t>4.91%</t>
        </is>
      </c>
      <c r="K35" s="6" t="inlineStr">
        <is>
          <t>4.66%</t>
        </is>
      </c>
      <c r="L35" s="6" t="inlineStr">
        <is>
          <t>5.36%</t>
        </is>
      </c>
    </row>
    <row r="36">
      <c r="A36" s="6" t="inlineStr">
        <is>
          <t>LCR</t>
        </is>
      </c>
      <c r="B36" s="6" t="inlineStr">
        <is>
          <t>197.3%</t>
        </is>
      </c>
      <c r="C36" s="6" t="inlineStr">
        <is>
          <t>226.7%</t>
        </is>
      </c>
      <c r="D36" s="6" t="inlineStr">
        <is>
          <t>165.3%</t>
        </is>
      </c>
      <c r="E36" s="6" t="inlineStr">
        <is>
          <t>206.0%</t>
        </is>
      </c>
      <c r="F36" s="6" t="inlineStr">
        <is>
          <t>207%</t>
        </is>
      </c>
      <c r="G36" s="6" t="inlineStr">
        <is>
          <t>180%</t>
        </is>
      </c>
      <c r="H36" s="6" t="inlineStr">
        <is>
          <t>195%</t>
        </is>
      </c>
      <c r="I36" s="6" t="inlineStr">
        <is>
          <t>217%</t>
        </is>
      </c>
      <c r="J36" s="6" t="inlineStr">
        <is>
          <t>145%</t>
        </is>
      </c>
      <c r="K36" s="6" t="inlineStr">
        <is>
          <t>159%</t>
        </is>
      </c>
      <c r="L36" s="6" t="inlineStr">
        <is>
          <t>Not publicly disclosed</t>
        </is>
      </c>
    </row>
    <row r="37">
      <c r="A37" s="6" t="inlineStr">
        <is>
          <t>NSFR</t>
        </is>
      </c>
      <c r="B37" s="6" t="inlineStr">
        <is>
          <t>122.8%</t>
        </is>
      </c>
      <c r="C37" s="6" t="inlineStr">
        <is>
          <t>136.4%</t>
        </is>
      </c>
      <c r="D37" s="6" t="inlineStr">
        <is>
          <t>183.3%</t>
        </is>
      </c>
      <c r="E37" s="6" t="inlineStr">
        <is>
          <t>163.8%</t>
        </is>
      </c>
      <c r="F37" s="6" t="inlineStr">
        <is>
          <t>Not disclosed</t>
        </is>
      </c>
      <c r="G37" s="6" t="inlineStr">
        <is>
          <t>Not disclosed</t>
        </is>
      </c>
      <c r="H37" s="6" t="inlineStr">
        <is>
          <t>Not disclosed</t>
        </is>
      </c>
      <c r="I37" s="6" t="inlineStr">
        <is>
          <t>Not disclosed</t>
        </is>
      </c>
      <c r="J37" s="6" t="inlineStr">
        <is>
          <t>Not disclosed</t>
        </is>
      </c>
      <c r="K37" s="6" t="inlineStr">
        <is>
          <t>Not disclosed</t>
        </is>
      </c>
      <c r="L37" s="6" t="inlineStr">
        <is>
          <t>Not disclosed</t>
        </is>
      </c>
    </row>
    <row r="39" ht="45" customHeight="1">
      <c r="A39" s="7" t="inlineStr">
        <is>
          <t>Note: Figures are duplicated from the detail sheets for at-a-glance trend viewing; see each sheet's own source citation for the underlying document/page. All amounts are in USD ($m), the reporting currency used throughout ICBC Standard Bank Plc's Annual Reports and Pillar 3 Disclosures. FY2015 is the entity's genuine historical floor (ICBC Standard Bank Plc was created 1 February 2015); pre-2018 figures reflect IAS 39 accounting and Basel III's transitional (non-KM1-template) Pillar 3 disclosure format - see the Balance Sheet, Profit &amp; Loss, Asset Quality and Pillar 3 metric sheets' own source notes for the specific terminology/basis shifts (IAS 39→IFRS 9 in 2018, no Additional Tier 1 capital before December 2019, no UK NSFR requirement before 2022).</t>
        </is>
      </c>
    </row>
  </sheetData>
  <mergeCells count="1">
    <mergeCell ref="A39:L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Consolidated Balance Sheet</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Assets</t>
        </is>
      </c>
      <c r="B4" s="6" t="n"/>
      <c r="C4" s="6" t="n"/>
      <c r="D4" s="6" t="n"/>
      <c r="E4" s="6" t="n"/>
      <c r="F4" s="6" t="n"/>
      <c r="G4" s="6" t="n"/>
      <c r="H4" s="6" t="n"/>
      <c r="I4" s="6" t="n"/>
      <c r="J4" s="6" t="n"/>
      <c r="K4" s="6" t="n"/>
      <c r="L4" s="6" t="n"/>
    </row>
    <row r="5">
      <c r="A5" s="6" t="inlineStr">
        <is>
          <t>Cash and balances with central banks</t>
        </is>
      </c>
      <c r="B5" s="6" t="n">
        <v>764.5</v>
      </c>
      <c r="C5" s="6" t="n">
        <v>2674.1</v>
      </c>
      <c r="D5" s="6" t="n">
        <v>2635.9</v>
      </c>
      <c r="E5" s="6" t="n">
        <v>4856.1</v>
      </c>
      <c r="F5" s="6" t="n">
        <v>6056.5</v>
      </c>
      <c r="G5" s="6" t="n">
        <v>3117</v>
      </c>
      <c r="H5" s="6" t="n">
        <v>2844.3</v>
      </c>
      <c r="I5" s="6" t="n">
        <v>1920.9</v>
      </c>
      <c r="J5" s="6" t="n">
        <v>2989.5</v>
      </c>
      <c r="K5" s="6" t="n">
        <v>1174.3</v>
      </c>
      <c r="L5" s="6" t="n">
        <v>3254.2</v>
      </c>
    </row>
    <row r="6">
      <c r="A6" s="6" t="inlineStr">
        <is>
          <t>Due from banks and other financial institutions</t>
        </is>
      </c>
      <c r="B6" s="6" t="n">
        <v>5438.2</v>
      </c>
      <c r="C6" s="6" t="n">
        <v>3727.2</v>
      </c>
      <c r="D6" s="6" t="n">
        <v>2248.4</v>
      </c>
      <c r="E6" s="6" t="n">
        <v>2182.3</v>
      </c>
      <c r="F6" s="6" t="n">
        <v>2306.7</v>
      </c>
      <c r="G6" s="6" t="n">
        <v>2777.7</v>
      </c>
      <c r="H6" s="6" t="n">
        <v>1768.3</v>
      </c>
      <c r="I6" s="6" t="n">
        <v>1579.5</v>
      </c>
      <c r="J6" s="6" t="n">
        <v>2059.5</v>
      </c>
      <c r="K6" s="6" t="n">
        <v>1842.3</v>
      </c>
      <c r="L6" s="6" t="n">
        <v>1510.9</v>
      </c>
    </row>
    <row r="7">
      <c r="A7" s="6" t="inlineStr">
        <is>
          <t>Financial assets held for trading</t>
        </is>
      </c>
      <c r="B7" s="6" t="n">
        <v>1413.4</v>
      </c>
      <c r="C7" s="6" t="n">
        <v>1211.9</v>
      </c>
      <c r="D7" s="6" t="n">
        <v>1278.5</v>
      </c>
      <c r="E7" s="6" t="n">
        <v>702.7</v>
      </c>
      <c r="F7" s="6" t="n">
        <v>2455.7</v>
      </c>
      <c r="G7" s="6" t="n">
        <v>2187.6</v>
      </c>
      <c r="H7" s="6" t="n">
        <v>1920</v>
      </c>
      <c r="I7" s="6" t="n">
        <v>1582.4</v>
      </c>
      <c r="J7" s="6" t="n">
        <v>2579.5</v>
      </c>
      <c r="K7" s="6" t="n">
        <v>970.5</v>
      </c>
      <c r="L7" s="6" t="n">
        <v>2443.9</v>
      </c>
    </row>
    <row r="8">
      <c r="A8" s="6" t="inlineStr">
        <is>
          <t>Non-trading financial assets at fair value through profit or loss</t>
        </is>
      </c>
      <c r="B8" s="6" t="n">
        <v>1017.6</v>
      </c>
      <c r="C8" s="6" t="n">
        <v>689</v>
      </c>
      <c r="D8" s="6" t="n">
        <v>2856.6</v>
      </c>
      <c r="E8" s="6" t="n">
        <v>2193.7</v>
      </c>
      <c r="F8" s="6" t="n">
        <v>1972.1</v>
      </c>
      <c r="G8" s="6" t="n">
        <v>1971.5</v>
      </c>
      <c r="H8" s="6" t="n">
        <v>1305.3</v>
      </c>
      <c r="I8" s="6" t="n">
        <v>1340.7</v>
      </c>
      <c r="J8" s="6" t="n">
        <v>1335.9</v>
      </c>
      <c r="K8" s="6" t="n">
        <v>1339.2</v>
      </c>
      <c r="L8" s="6" t="n">
        <v>7.9</v>
      </c>
    </row>
    <row r="9">
      <c r="A9" s="6" t="inlineStr">
        <is>
          <t>Derivative financial assets</t>
        </is>
      </c>
      <c r="B9" s="6" t="n">
        <v>8686.4</v>
      </c>
      <c r="C9" s="6" t="n">
        <v>3911.2</v>
      </c>
      <c r="D9" s="6" t="n">
        <v>3383.2</v>
      </c>
      <c r="E9" s="6" t="n">
        <v>4968</v>
      </c>
      <c r="F9" s="6" t="n">
        <v>4392.1</v>
      </c>
      <c r="G9" s="6" t="n">
        <v>6084.5</v>
      </c>
      <c r="H9" s="6" t="n">
        <v>3981.9</v>
      </c>
      <c r="I9" s="6" t="n">
        <v>4019.8</v>
      </c>
      <c r="J9" s="6" t="n">
        <v>4299.5</v>
      </c>
      <c r="K9" s="6" t="n">
        <v>4715</v>
      </c>
      <c r="L9" s="6" t="n">
        <v>6223</v>
      </c>
    </row>
    <row r="10">
      <c r="A10" s="6" t="inlineStr">
        <is>
          <t>Reverse repurchase agreements</t>
        </is>
      </c>
      <c r="B10" s="6" t="n">
        <v>4987.3</v>
      </c>
      <c r="C10" s="6" t="n">
        <v>3526.8</v>
      </c>
      <c r="D10" s="6" t="n">
        <v>2936</v>
      </c>
      <c r="E10" s="6" t="n">
        <v>2614.6</v>
      </c>
      <c r="F10" s="6" t="n">
        <v>2287.8</v>
      </c>
      <c r="G10" s="6" t="n">
        <v>4021.1</v>
      </c>
      <c r="H10" s="6" t="n">
        <v>3210.3</v>
      </c>
      <c r="I10" s="6" t="n">
        <v>4060.9</v>
      </c>
      <c r="J10" s="6" t="n">
        <v>4705.5</v>
      </c>
      <c r="K10" s="6" t="n">
        <v>3601.1</v>
      </c>
      <c r="L10" s="6" t="n">
        <v>2684.5</v>
      </c>
    </row>
    <row r="11">
      <c r="A11" s="6" t="inlineStr">
        <is>
          <t>Loans and advances to customers</t>
        </is>
      </c>
      <c r="B11" s="6" t="n">
        <v>1828</v>
      </c>
      <c r="C11" s="6" t="n">
        <v>1303</v>
      </c>
      <c r="D11" s="6" t="n">
        <v>771.3</v>
      </c>
      <c r="E11" s="6" t="n">
        <v>818.6</v>
      </c>
      <c r="F11" s="6" t="n">
        <v>1608.7</v>
      </c>
      <c r="G11" s="6" t="n">
        <v>581.2</v>
      </c>
      <c r="H11" s="6" t="n">
        <v>798.4</v>
      </c>
      <c r="I11" s="6" t="n">
        <v>737.3</v>
      </c>
      <c r="J11" s="6" t="n">
        <v>606.9</v>
      </c>
      <c r="K11" s="6" t="n">
        <v>855.3</v>
      </c>
      <c r="L11" s="6" t="n">
        <v>427.1</v>
      </c>
    </row>
    <row r="12">
      <c r="A12" s="6" t="inlineStr">
        <is>
          <t>Financial investments</t>
        </is>
      </c>
      <c r="B12" s="6" t="n">
        <v>3721.7</v>
      </c>
      <c r="C12" s="6" t="n">
        <v>3176.9</v>
      </c>
      <c r="D12" s="6" t="n">
        <v>2052.8</v>
      </c>
      <c r="E12" s="6" t="n">
        <v>1293.4</v>
      </c>
      <c r="F12" s="6" t="n">
        <v>925.5</v>
      </c>
      <c r="G12" s="6" t="n">
        <v>1569.5</v>
      </c>
      <c r="H12" s="6" t="n">
        <v>1865.5</v>
      </c>
      <c r="I12" s="6" t="n">
        <v>1952.3</v>
      </c>
      <c r="J12" s="6" t="n">
        <v>962</v>
      </c>
      <c r="K12" s="6" t="n">
        <v>1300.7</v>
      </c>
      <c r="L12" s="6" t="n">
        <v>105.3</v>
      </c>
    </row>
    <row r="13">
      <c r="A13" s="6" t="inlineStr">
        <is>
          <t>Property and equipment</t>
        </is>
      </c>
      <c r="B13" s="6" t="n">
        <v>70.8</v>
      </c>
      <c r="C13" s="6" t="n">
        <v>70.3</v>
      </c>
      <c r="D13" s="6" t="n">
        <v>66.90000000000001</v>
      </c>
      <c r="E13" s="6" t="n">
        <v>34.6</v>
      </c>
      <c r="F13" s="6" t="n">
        <v>47.4</v>
      </c>
      <c r="G13" s="6" t="n">
        <v>57.9</v>
      </c>
      <c r="H13" s="6" t="n">
        <v>72.2</v>
      </c>
      <c r="I13" s="6" t="n">
        <v>20.2</v>
      </c>
      <c r="J13" s="6" t="n">
        <v>18.9</v>
      </c>
      <c r="K13" s="6" t="n">
        <v>22.6</v>
      </c>
      <c r="L13" s="6" t="n">
        <v>21.1</v>
      </c>
    </row>
    <row r="14">
      <c r="A14" s="6" t="inlineStr">
        <is>
          <t>Current tax assets</t>
        </is>
      </c>
      <c r="B14" s="6" t="n">
        <v>10.9</v>
      </c>
      <c r="C14" s="6" t="n">
        <v>7.6</v>
      </c>
      <c r="D14" s="6" t="n">
        <v>11.8</v>
      </c>
      <c r="E14" s="6" t="n">
        <v>5.5</v>
      </c>
      <c r="F14" s="6" t="n">
        <v>3.5</v>
      </c>
      <c r="G14" s="6" t="n">
        <v>0</v>
      </c>
      <c r="H14" s="6" t="n">
        <v>0.5</v>
      </c>
      <c r="I14" s="6" t="n">
        <v>0.3</v>
      </c>
      <c r="J14" s="6" t="n">
        <v>0.4</v>
      </c>
      <c r="K14" s="6" t="n">
        <v>0.4</v>
      </c>
      <c r="L14" s="6" t="n">
        <v>1.1</v>
      </c>
    </row>
    <row r="15">
      <c r="A15" s="6" t="inlineStr">
        <is>
          <t>Deferred tax assets</t>
        </is>
      </c>
      <c r="B15" s="6" t="n">
        <v>13.7</v>
      </c>
      <c r="C15" s="6" t="n">
        <v>13.3</v>
      </c>
      <c r="D15" s="6" t="n">
        <v>8</v>
      </c>
      <c r="E15" s="6" t="n">
        <v>0.6</v>
      </c>
      <c r="F15" s="6" t="n">
        <v>0.7</v>
      </c>
      <c r="G15" s="6" t="n">
        <v>0.7</v>
      </c>
      <c r="H15" s="6" t="n">
        <v>0.4</v>
      </c>
      <c r="I15" s="6" t="n">
        <v>0.3</v>
      </c>
      <c r="J15" s="6" t="n">
        <v>1.1</v>
      </c>
      <c r="K15" s="6" t="n">
        <v>1.4</v>
      </c>
      <c r="L15" s="6" t="n">
        <v>3</v>
      </c>
    </row>
    <row r="16">
      <c r="A16" s="6" t="inlineStr">
        <is>
          <t>Other assets (incl. non-financial commodities inventory held for trading)</t>
        </is>
      </c>
      <c r="B16" s="6" t="n">
        <v>9848.200000000001</v>
      </c>
      <c r="C16" s="6" t="n">
        <v>6289.1</v>
      </c>
      <c r="D16" s="6" t="n">
        <v>4997.7</v>
      </c>
      <c r="E16" s="6" t="n">
        <v>2957.2</v>
      </c>
      <c r="F16" s="6" t="n">
        <v>4211.8</v>
      </c>
      <c r="G16" s="6" t="n">
        <v>5367.6</v>
      </c>
      <c r="H16" s="6" t="n">
        <v>6658.4</v>
      </c>
      <c r="I16" s="6" t="n">
        <v>7359.9</v>
      </c>
      <c r="J16" s="6" t="n">
        <v>4295</v>
      </c>
      <c r="K16" s="6" t="n">
        <v>4400.8</v>
      </c>
      <c r="L16" s="6" t="n">
        <v>3455.5</v>
      </c>
    </row>
    <row r="17">
      <c r="A17" s="5" t="inlineStr">
        <is>
          <t>Total assets</t>
        </is>
      </c>
      <c r="B17" s="5" t="n">
        <v>37800.7</v>
      </c>
      <c r="C17" s="5" t="n">
        <v>26600.4</v>
      </c>
      <c r="D17" s="5" t="n">
        <v>23247.1</v>
      </c>
      <c r="E17" s="5" t="n">
        <v>22627.3</v>
      </c>
      <c r="F17" s="5" t="n">
        <v>26268.5</v>
      </c>
      <c r="G17" s="5" t="n">
        <v>27736.3</v>
      </c>
      <c r="H17" s="5" t="n">
        <v>24425.5</v>
      </c>
      <c r="I17" s="5" t="n">
        <v>24574.5</v>
      </c>
      <c r="J17" s="5" t="n">
        <v>23853.7</v>
      </c>
      <c r="K17" s="5" t="n">
        <v>20223.6</v>
      </c>
      <c r="L17" s="5" t="n">
        <v>20137.5</v>
      </c>
    </row>
    <row r="18">
      <c r="A18" s="5" t="inlineStr">
        <is>
          <t>Liabilities</t>
        </is>
      </c>
      <c r="B18" s="6" t="n"/>
      <c r="C18" s="6" t="n"/>
      <c r="D18" s="6" t="n"/>
      <c r="E18" s="6" t="n"/>
      <c r="F18" s="6" t="n"/>
      <c r="G18" s="6" t="n"/>
      <c r="H18" s="6" t="n"/>
      <c r="I18" s="6" t="n"/>
      <c r="J18" s="6" t="n"/>
      <c r="K18" s="6" t="n"/>
      <c r="L18" s="6" t="n"/>
    </row>
    <row r="19">
      <c r="A19" s="6" t="inlineStr">
        <is>
          <t>Financial liabilities held for trading</t>
        </is>
      </c>
      <c r="B19" s="6" t="n">
        <v>1876.9</v>
      </c>
      <c r="C19" s="6" t="n">
        <v>938</v>
      </c>
      <c r="D19" s="6" t="n">
        <v>1634.7</v>
      </c>
      <c r="E19" s="6" t="n">
        <v>1295.2</v>
      </c>
      <c r="F19" s="6" t="n">
        <v>1566.5</v>
      </c>
      <c r="G19" s="6" t="n">
        <v>1615.8</v>
      </c>
      <c r="H19" s="6" t="n">
        <v>1310.3</v>
      </c>
      <c r="I19" s="6" t="n">
        <v>855.6</v>
      </c>
      <c r="J19" s="6" t="n">
        <v>1544.2</v>
      </c>
      <c r="K19" s="6" t="n">
        <v>781.7</v>
      </c>
      <c r="L19" s="6" t="n">
        <v>984.3</v>
      </c>
    </row>
    <row r="20">
      <c r="A20" s="6" t="inlineStr">
        <is>
          <t>Non-trading financial liabilities at fair value through profit or loss</t>
        </is>
      </c>
      <c r="B20" s="6" t="n">
        <v>7342.6</v>
      </c>
      <c r="C20" s="6" t="n">
        <v>6975.3</v>
      </c>
      <c r="D20" s="6" t="n">
        <v>3744</v>
      </c>
      <c r="E20" s="6" t="n">
        <v>2951.2</v>
      </c>
      <c r="F20" s="6" t="n">
        <v>2099.9</v>
      </c>
      <c r="G20" s="6" t="n">
        <v>2068.2</v>
      </c>
      <c r="H20" s="6" t="n">
        <v>1227.6</v>
      </c>
      <c r="I20" s="6" t="n">
        <v>1257.7</v>
      </c>
      <c r="J20" s="6" t="n">
        <v>1337.6</v>
      </c>
      <c r="K20" s="6" t="n">
        <v>1313.3</v>
      </c>
      <c r="L20" s="6" t="n"/>
    </row>
    <row r="21">
      <c r="A21" s="6" t="inlineStr">
        <is>
          <t>Derivative financial liabilities</t>
        </is>
      </c>
      <c r="B21" s="6" t="n">
        <v>7368.4</v>
      </c>
      <c r="C21" s="6" t="n">
        <v>4194.9</v>
      </c>
      <c r="D21" s="6" t="n">
        <v>3782.3</v>
      </c>
      <c r="E21" s="6" t="n">
        <v>5352.8</v>
      </c>
      <c r="F21" s="6" t="n">
        <v>5050.7</v>
      </c>
      <c r="G21" s="6" t="n">
        <v>6558.5</v>
      </c>
      <c r="H21" s="6" t="n">
        <v>4563.8</v>
      </c>
      <c r="I21" s="6" t="n">
        <v>4134.7</v>
      </c>
      <c r="J21" s="6" t="n">
        <v>4652.6</v>
      </c>
      <c r="K21" s="6" t="n">
        <v>4849.3</v>
      </c>
      <c r="L21" s="6" t="n">
        <v>5926.3</v>
      </c>
    </row>
    <row r="22">
      <c r="A22" s="6" t="inlineStr">
        <is>
          <t>Due to banks and other financial institutions</t>
        </is>
      </c>
      <c r="B22" s="6" t="n">
        <v>7761.1</v>
      </c>
      <c r="C22" s="6" t="n">
        <v>4731.3</v>
      </c>
      <c r="D22" s="6" t="n">
        <v>6553.2</v>
      </c>
      <c r="E22" s="6" t="n">
        <v>6221.9</v>
      </c>
      <c r="F22" s="6" t="n">
        <v>11646.5</v>
      </c>
      <c r="G22" s="6" t="n">
        <v>9065.299999999999</v>
      </c>
      <c r="H22" s="6" t="n">
        <v>8639.700000000001</v>
      </c>
      <c r="I22" s="6" t="n">
        <v>9271.200000000001</v>
      </c>
      <c r="J22" s="6" t="n">
        <v>10120.3</v>
      </c>
      <c r="K22" s="6" t="n">
        <v>8022.7</v>
      </c>
      <c r="L22" s="6" t="n">
        <v>10259.2</v>
      </c>
    </row>
    <row r="23">
      <c r="A23" s="6" t="inlineStr">
        <is>
          <t>Repurchase agreements</t>
        </is>
      </c>
      <c r="B23" s="6" t="n">
        <v>1079.1</v>
      </c>
      <c r="C23" s="6" t="n">
        <v>1080.4</v>
      </c>
      <c r="D23" s="6" t="n">
        <v>853.1</v>
      </c>
      <c r="E23" s="6" t="n">
        <v>530.1</v>
      </c>
      <c r="F23" s="6" t="n">
        <v>693.6</v>
      </c>
      <c r="G23" s="6" t="n">
        <v>2417.1</v>
      </c>
      <c r="H23" s="6" t="n">
        <v>1560.8</v>
      </c>
      <c r="I23" s="6" t="n">
        <v>1114.7</v>
      </c>
      <c r="J23" s="6" t="n">
        <v>1794.2</v>
      </c>
      <c r="K23" s="6" t="n">
        <v>2097.7</v>
      </c>
      <c r="L23" s="6" t="n">
        <v>361.4</v>
      </c>
    </row>
    <row r="24">
      <c r="A24" s="6" t="inlineStr">
        <is>
          <t>Certificates of deposit (line eliminated from FY2019 onward - fully repaid)</t>
        </is>
      </c>
      <c r="B24" s="6" t="n"/>
      <c r="C24" s="6" t="n"/>
      <c r="D24" s="6" t="n"/>
      <c r="E24" s="6" t="n"/>
      <c r="F24" s="6" t="n"/>
      <c r="G24" s="6" t="n"/>
      <c r="H24" s="6" t="n"/>
      <c r="I24" s="6" t="n">
        <v>0</v>
      </c>
      <c r="J24" s="6" t="n">
        <v>16.7</v>
      </c>
      <c r="K24" s="6" t="n">
        <v>63.3</v>
      </c>
      <c r="L24" s="6" t="n">
        <v>97.40000000000001</v>
      </c>
    </row>
    <row r="25">
      <c r="A25" s="6" t="inlineStr">
        <is>
          <t>Due to customers</t>
        </is>
      </c>
      <c r="B25" s="6" t="n">
        <v>2386.8</v>
      </c>
      <c r="C25" s="6" t="n">
        <v>1431</v>
      </c>
      <c r="D25" s="6" t="n">
        <v>1077.1</v>
      </c>
      <c r="E25" s="6" t="n">
        <v>1736.5</v>
      </c>
      <c r="F25" s="6" t="n">
        <v>1235.8</v>
      </c>
      <c r="G25" s="6" t="n">
        <v>2273.8</v>
      </c>
      <c r="H25" s="6" t="n">
        <v>424.6</v>
      </c>
      <c r="I25" s="6" t="n">
        <v>469.7</v>
      </c>
      <c r="J25" s="6" t="n">
        <v>600.8</v>
      </c>
      <c r="K25" s="6" t="n">
        <v>519.3</v>
      </c>
      <c r="L25" s="6" t="n">
        <v>573.4</v>
      </c>
    </row>
    <row r="26">
      <c r="A26" s="6" t="inlineStr">
        <is>
          <t>Current tax liabilities</t>
        </is>
      </c>
      <c r="B26" s="6" t="n">
        <v>3.2</v>
      </c>
      <c r="C26" s="6" t="n">
        <v>0.8</v>
      </c>
      <c r="D26" s="6" t="n">
        <v>2.4</v>
      </c>
      <c r="E26" s="6" t="n">
        <v>3.5</v>
      </c>
      <c r="F26" s="6" t="n">
        <v>1.9</v>
      </c>
      <c r="G26" s="6" t="n">
        <v>3.6</v>
      </c>
      <c r="H26" s="6" t="n">
        <v>3.1</v>
      </c>
      <c r="I26" s="6" t="n">
        <v>0.8</v>
      </c>
      <c r="J26" s="6" t="n">
        <v>0.7</v>
      </c>
      <c r="K26" s="6" t="n">
        <v>0.5</v>
      </c>
      <c r="L26" s="6" t="n">
        <v>0</v>
      </c>
    </row>
    <row r="27">
      <c r="A27" s="6" t="inlineStr">
        <is>
          <t>Subordinated debt</t>
        </is>
      </c>
      <c r="B27" s="6" t="n">
        <v>251.9</v>
      </c>
      <c r="C27" s="6" t="n">
        <v>248.6</v>
      </c>
      <c r="D27" s="6" t="n">
        <v>247.6</v>
      </c>
      <c r="E27" s="6" t="n">
        <v>245.4</v>
      </c>
      <c r="F27" s="6" t="n">
        <v>250.8</v>
      </c>
      <c r="G27" s="6" t="n">
        <v>250.8</v>
      </c>
      <c r="H27" s="6" t="n">
        <v>251.2</v>
      </c>
      <c r="I27" s="6" t="n">
        <v>659.8</v>
      </c>
      <c r="J27" s="6" t="n">
        <v>668.4</v>
      </c>
      <c r="K27" s="6" t="n">
        <v>529.2</v>
      </c>
      <c r="L27" s="6" t="n">
        <v>682.9</v>
      </c>
    </row>
    <row r="28">
      <c r="A28" s="6" t="inlineStr">
        <is>
          <t>Other liabilities (incl. precious metal payables)</t>
        </is>
      </c>
      <c r="B28" s="6" t="n">
        <v>7599.3</v>
      </c>
      <c r="C28" s="6" t="n">
        <v>5056.4</v>
      </c>
      <c r="D28" s="6" t="n">
        <v>3481.8</v>
      </c>
      <c r="E28" s="6" t="n">
        <v>2608.7</v>
      </c>
      <c r="F28" s="6" t="n">
        <v>2352.8</v>
      </c>
      <c r="G28" s="6" t="n">
        <v>2181.7</v>
      </c>
      <c r="H28" s="6" t="n">
        <v>5270.9</v>
      </c>
      <c r="I28" s="6" t="n">
        <v>5552.5</v>
      </c>
      <c r="J28" s="6" t="n">
        <v>1835.9</v>
      </c>
      <c r="K28" s="6" t="n">
        <v>1089.7</v>
      </c>
      <c r="L28" s="6" t="n">
        <v>177.6</v>
      </c>
    </row>
    <row r="29">
      <c r="A29" s="5" t="inlineStr">
        <is>
          <t>Total liabilities</t>
        </is>
      </c>
      <c r="B29" s="5" t="n">
        <v>35669.3</v>
      </c>
      <c r="C29" s="5" t="n">
        <v>24656.7</v>
      </c>
      <c r="D29" s="5" t="n">
        <v>21376.2</v>
      </c>
      <c r="E29" s="5" t="n">
        <v>20945.3</v>
      </c>
      <c r="F29" s="5" t="n">
        <v>24898.5</v>
      </c>
      <c r="G29" s="5" t="n">
        <v>26434.8</v>
      </c>
      <c r="H29" s="5" t="n">
        <v>23252</v>
      </c>
      <c r="I29" s="5" t="n">
        <v>23316.7</v>
      </c>
      <c r="J29" s="5" t="n">
        <v>22571.4</v>
      </c>
      <c r="K29" s="5" t="n">
        <v>19266.7</v>
      </c>
      <c r="L29" s="5" t="n">
        <v>19062.5</v>
      </c>
    </row>
    <row r="30">
      <c r="A30" s="5" t="inlineStr">
        <is>
          <t>Equity</t>
        </is>
      </c>
      <c r="B30" s="6" t="n"/>
      <c r="C30" s="6" t="n"/>
      <c r="D30" s="6" t="n"/>
      <c r="E30" s="6" t="n"/>
      <c r="F30" s="6" t="n"/>
      <c r="G30" s="6" t="n"/>
      <c r="H30" s="6" t="n"/>
      <c r="I30" s="6" t="n"/>
      <c r="J30" s="6" t="n"/>
      <c r="K30" s="6" t="n"/>
      <c r="L30" s="6" t="n"/>
    </row>
    <row r="31">
      <c r="A31" s="6" t="inlineStr">
        <is>
          <t>Share capital (and share premium pre-FY2021 restructure)</t>
        </is>
      </c>
      <c r="B31" s="6" t="n">
        <v>1083.5</v>
      </c>
      <c r="C31" s="6" t="n">
        <v>1083.5</v>
      </c>
      <c r="D31" s="6" t="n">
        <v>1083.5</v>
      </c>
      <c r="E31" s="6" t="n">
        <v>1083.5</v>
      </c>
      <c r="F31" s="6" t="n">
        <v>1083.5</v>
      </c>
      <c r="G31" s="6" t="n">
        <v>2079.5</v>
      </c>
      <c r="H31" s="6" t="n">
        <v>2079.5</v>
      </c>
      <c r="I31" s="6" t="n">
        <v>2079.5</v>
      </c>
      <c r="J31" s="6" t="n">
        <v>2079.5</v>
      </c>
      <c r="K31" s="6" t="n">
        <v>1814.5</v>
      </c>
      <c r="L31" s="6" t="n">
        <v>1814.5</v>
      </c>
    </row>
    <row r="32">
      <c r="A32" s="6" t="inlineStr">
        <is>
          <t>Other equity instruments</t>
        </is>
      </c>
      <c r="B32" s="6" t="n">
        <v>160</v>
      </c>
      <c r="C32" s="6" t="n">
        <v>160</v>
      </c>
      <c r="D32" s="6" t="n">
        <v>160</v>
      </c>
      <c r="E32" s="6" t="n">
        <v>160</v>
      </c>
      <c r="F32" s="6" t="n">
        <v>160</v>
      </c>
      <c r="G32" s="6" t="n">
        <v>160</v>
      </c>
      <c r="H32" s="6" t="n">
        <v>160</v>
      </c>
      <c r="I32" s="6" t="n"/>
      <c r="J32" s="6" t="n"/>
      <c r="K32" s="6" t="n"/>
      <c r="L32" s="6" t="n"/>
    </row>
    <row r="33">
      <c r="A33" s="6" t="inlineStr">
        <is>
          <t>Reserves</t>
        </is>
      </c>
      <c r="B33" s="6" t="n">
        <v>887.9</v>
      </c>
      <c r="C33" s="6" t="n">
        <v>700.2</v>
      </c>
      <c r="D33" s="6" t="n">
        <v>627.4</v>
      </c>
      <c r="E33" s="6" t="n">
        <v>438.5</v>
      </c>
      <c r="F33" s="6" t="n">
        <v>126.5</v>
      </c>
      <c r="G33" s="6" t="n">
        <v>-938</v>
      </c>
      <c r="H33" s="6" t="n">
        <v>-1066</v>
      </c>
      <c r="I33" s="6" t="n">
        <v>-821.7</v>
      </c>
      <c r="J33" s="6" t="n">
        <v>-797.2</v>
      </c>
      <c r="K33" s="6" t="n">
        <v>-857.6</v>
      </c>
      <c r="L33" s="6" t="n">
        <v>-739.5</v>
      </c>
    </row>
    <row r="34">
      <c r="A34" s="5" t="inlineStr">
        <is>
          <t>Total equity (attributable to ordinary shareholders)</t>
        </is>
      </c>
      <c r="B34" s="5" t="n">
        <v>2131.4</v>
      </c>
      <c r="C34" s="5" t="n">
        <v>1943.7</v>
      </c>
      <c r="D34" s="5" t="n">
        <v>1870.9</v>
      </c>
      <c r="E34" s="5" t="n">
        <v>1682</v>
      </c>
      <c r="F34" s="5" t="n">
        <v>1370</v>
      </c>
      <c r="G34" s="5" t="n">
        <v>1301.5</v>
      </c>
      <c r="H34" s="5" t="n">
        <v>1173.5</v>
      </c>
      <c r="I34" s="5" t="n">
        <v>1257.8</v>
      </c>
      <c r="J34" s="5" t="n">
        <v>1282.3</v>
      </c>
      <c r="K34" s="5" t="n">
        <v>956.9</v>
      </c>
      <c r="L34" s="5" t="n">
        <v>1075</v>
      </c>
    </row>
    <row r="35">
      <c r="A35" s="5" t="inlineStr">
        <is>
          <t>Total liabilities and equity</t>
        </is>
      </c>
      <c r="B35" s="5" t="n">
        <v>37800.7</v>
      </c>
      <c r="C35" s="5" t="n">
        <v>26600.4</v>
      </c>
      <c r="D35" s="5" t="n">
        <v>23247.1</v>
      </c>
      <c r="E35" s="5" t="n">
        <v>22627.3</v>
      </c>
      <c r="F35" s="5" t="n">
        <v>26268.5</v>
      </c>
      <c r="G35" s="5" t="n">
        <v>27736.3</v>
      </c>
      <c r="H35" s="5" t="n">
        <v>24425.5</v>
      </c>
      <c r="I35" s="5" t="n">
        <v>24574.5</v>
      </c>
      <c r="J35" s="5" t="n">
        <v>23853.7</v>
      </c>
      <c r="K35" s="5" t="n">
        <v>20223.6</v>
      </c>
      <c r="L35" s="5" t="n">
        <v>20137.5</v>
      </c>
    </row>
    <row r="37" ht="110" customHeight="1">
      <c r="A37"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Consolidated Annual Report 2025, p.64 (Consolidated balance sheet) — https://v.icbc.com.cn/userfiles/resources/icbc/haiwai/standardbank/download/2023/consolidatedannualreport2025.pdf
FY2023 &amp; FY2022: ICBC Standard Bank Consolidated Annual Report 2023, p.61 (7. Consolidated balance sheet) — https://v.icbc.com.cn/userfiles/resources/icbc/haiwai/standardbank/download/2023/2023annualreportyasuo.pdf
FY2021: ICBC Standard Bank Consolidated Annual Report 2021, p.61 (6. Consolidated balance sheet) — https://v.icbc.com.cn/userfiles/Resources/ICBC/haiwai/StandardBank/Download/2022/Consolidated_Annual_Report_2021.pdf
FY2020: ICBC Standard Bank Consolidated Annual Report 2020, p.51 (6. Consolidated balance sheet) — https://v.icbc.com.cn/userfiles/Resources/ICBC/haiwai/StandardBank/Download/2021/ConsolidatedAnnualReport20.pdf
FY2019: ICBC Standard Bank Consolidated Annual Report 2019, p.47 (6. Consolidated balance sheet) — https://v.icbc.com.cn/userfiles/Resources/ICBC/haiwai/StandardBank/Download/2020/ConsolidatedAnnualReport.pdf
FY2018: ICBC Standard Bank Consolidated Annual Report 2018, p.36 (6. Consolidated balance sheet) — https://v.icbc.com.cn/userfiles/Resources/ICBC/haiwai/StandardBank/Download/2019/Consolidated_Annual_Report_2018.pdf
FY2017: ICBC Standard Bank Consolidated Annual Report 2017, p.32 (6. Consolidated balance sheet) — https://v.icbc.com.cn/userfiles/Resources/ICBC/haiwai/StandardBank/Download/2019/Consolidated_Annual_Report_2017.pdf
FY2016: ICBC Standard Bank Consolidated Annual Report 2016, p.20 (6. Consolidated balance sheet) — https://v.icbc.com.cn/userfiles/Resources/ICBC/haiwai/StandardBank/Download/2019/ConsolidatedAnnualReport2016.pdf
FY2015: ICBC Standard Bank Consolidated Annual Report 2015, p.31 (6. Consolidated balance sheet) — https://v.icbc.com.cn/userfiles/Resources/ICBC/haiwai/StandardBank/Download/2019/ICBCStandardBankPlcAFS2015.pdf
Note: an 'Ordinary share premium' line ($996.0m at FY2020) was eliminated via a June 2021 share premium restructure (cancelled and transferred to retained earnings) - by FY2021 year-end onward, share capital and premium are a single, fully-merged line; for FY2015-FY2020 the combined 'Share capital (and share premium pre-FY2021 restructure)' row is the sum of each year's own separately disclosed 'Share capital' and 'Ordinary share premium' lines. FY2015-FY2018 additionally disclose a separate 'Certificates of deposit' liability line (fully repaid by FY2018 year-end, last carried at $nil, and dropped from the balance sheet format entirely from FY2019 onward) - shown as its own row rather than folded into 'Due to customers'. 'Financial assets/liabilities designated at fair value through profit or loss' was the FY2015-FY2017 IAS 39-era name for the same line renamed 'Non-trading financial assets/liabilities at fair value through profit or loss' from FY2018 onward under IFRS 9 - treated here as the same row throughout. 'Other equity instruments' (Additional Tier 1 capital) did not exist before a $160.0m issuance to ICBC in December 2019 - blank, not zero, for FY2015-FY2018. All years' Total assets = Total liabilities and equity exactly, and each year's own closing Total equity ties to the Statement of Changes in Equity sheet.</t>
        </is>
      </c>
    </row>
  </sheetData>
  <mergeCells count="1">
    <mergeCell ref="A37:L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Consolidated Income Statement</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Income</t>
        </is>
      </c>
      <c r="B4" s="6" t="n"/>
      <c r="C4" s="6" t="n"/>
      <c r="D4" s="6" t="n"/>
      <c r="E4" s="6" t="n"/>
      <c r="F4" s="6" t="n"/>
      <c r="G4" s="6" t="n"/>
      <c r="H4" s="6" t="n"/>
      <c r="I4" s="6" t="n"/>
      <c r="J4" s="6" t="n"/>
      <c r="K4" s="6" t="n"/>
      <c r="L4" s="6" t="n"/>
    </row>
    <row r="5">
      <c r="A5" s="6" t="inlineStr">
        <is>
          <t>Interest income</t>
        </is>
      </c>
      <c r="B5" s="6" t="n">
        <v>730.8</v>
      </c>
      <c r="C5" s="6" t="n">
        <v>613.4</v>
      </c>
      <c r="D5" s="6" t="n">
        <v>524.7</v>
      </c>
      <c r="E5" s="6" t="n">
        <v>254.8</v>
      </c>
      <c r="F5" s="6" t="n">
        <v>135.1</v>
      </c>
      <c r="G5" s="6" t="n">
        <v>180.6</v>
      </c>
      <c r="H5" s="6" t="n">
        <v>296.8</v>
      </c>
      <c r="I5" s="6" t="n">
        <v>249.9</v>
      </c>
      <c r="J5" s="6" t="n">
        <v>191.3</v>
      </c>
      <c r="K5" s="6" t="n">
        <v>90.2</v>
      </c>
      <c r="L5" s="6" t="n">
        <v>57.3</v>
      </c>
    </row>
    <row r="6">
      <c r="A6" s="6" t="inlineStr">
        <is>
          <t>Interest expense</t>
        </is>
      </c>
      <c r="B6" s="6" t="n">
        <v>-482.7</v>
      </c>
      <c r="C6" s="6" t="n">
        <v>-449.5</v>
      </c>
      <c r="D6" s="6" t="n">
        <v>-370.8</v>
      </c>
      <c r="E6" s="6" t="n">
        <v>-156.3</v>
      </c>
      <c r="F6" s="6" t="n">
        <v>-23.1</v>
      </c>
      <c r="G6" s="6" t="n">
        <v>-67.7</v>
      </c>
      <c r="H6" s="6" t="n">
        <v>-205</v>
      </c>
      <c r="I6" s="6" t="n">
        <v>-179</v>
      </c>
      <c r="J6" s="6" t="n">
        <v>-110.6</v>
      </c>
      <c r="K6" s="6" t="n">
        <v>-54.1</v>
      </c>
      <c r="L6" s="6" t="n">
        <v>-61</v>
      </c>
    </row>
    <row r="7">
      <c r="A7" s="5" t="inlineStr">
        <is>
          <t>Net interest income</t>
        </is>
      </c>
      <c r="B7" s="5" t="n">
        <v>248.1</v>
      </c>
      <c r="C7" s="5" t="n">
        <v>163.9</v>
      </c>
      <c r="D7" s="5" t="n">
        <v>153.9</v>
      </c>
      <c r="E7" s="5" t="n">
        <v>98.5</v>
      </c>
      <c r="F7" s="5" t="n">
        <v>112</v>
      </c>
      <c r="G7" s="5" t="n">
        <v>112.9</v>
      </c>
      <c r="H7" s="5" t="n">
        <v>91.8</v>
      </c>
      <c r="I7" s="5" t="n">
        <v>70.90000000000001</v>
      </c>
      <c r="J7" s="5" t="n">
        <v>80.7</v>
      </c>
      <c r="K7" s="5" t="n">
        <v>36.1</v>
      </c>
      <c r="L7" s="5" t="n">
        <v>-3.7</v>
      </c>
    </row>
    <row r="8">
      <c r="A8" s="6" t="inlineStr">
        <is>
          <t>Fees and commission income</t>
        </is>
      </c>
      <c r="B8" s="6" t="n">
        <v>81.3</v>
      </c>
      <c r="C8" s="6" t="n">
        <v>68.90000000000001</v>
      </c>
      <c r="D8" s="6" t="n">
        <v>65.7</v>
      </c>
      <c r="E8" s="6" t="n">
        <v>43.2</v>
      </c>
      <c r="F8" s="6" t="n">
        <v>52</v>
      </c>
      <c r="G8" s="6" t="n">
        <v>63.4</v>
      </c>
      <c r="H8" s="6" t="n">
        <v>44.7</v>
      </c>
      <c r="I8" s="6" t="n">
        <v>55.9</v>
      </c>
      <c r="J8" s="6" t="n">
        <v>42.7</v>
      </c>
      <c r="K8" s="6" t="n">
        <v>19.3</v>
      </c>
      <c r="L8" s="6" t="n">
        <v>20.2</v>
      </c>
    </row>
    <row r="9">
      <c r="A9" s="6" t="inlineStr">
        <is>
          <t>Fees and commission expenses</t>
        </is>
      </c>
      <c r="B9" s="6" t="n">
        <v>-27.1</v>
      </c>
      <c r="C9" s="6" t="n">
        <v>-24.8</v>
      </c>
      <c r="D9" s="6" t="n">
        <v>-27.1</v>
      </c>
      <c r="E9" s="6" t="n">
        <v>-17.8</v>
      </c>
      <c r="F9" s="6" t="n">
        <v>-19.1</v>
      </c>
      <c r="G9" s="6" t="n">
        <v>-19.7</v>
      </c>
      <c r="H9" s="6" t="n">
        <v>-16.6</v>
      </c>
      <c r="I9" s="6" t="n">
        <v>-11.8</v>
      </c>
      <c r="J9" s="6" t="n">
        <v>-11.6</v>
      </c>
      <c r="K9" s="6" t="n">
        <v>-1.6</v>
      </c>
      <c r="L9" s="6" t="n">
        <v>-1.6</v>
      </c>
    </row>
    <row r="10">
      <c r="A10" s="5" t="inlineStr">
        <is>
          <t>Net fees and commission</t>
        </is>
      </c>
      <c r="B10" s="5" t="n">
        <v>54.2</v>
      </c>
      <c r="C10" s="5" t="n">
        <v>44.1</v>
      </c>
      <c r="D10" s="5" t="n">
        <v>38.6</v>
      </c>
      <c r="E10" s="5" t="n">
        <v>25.4</v>
      </c>
      <c r="F10" s="5" t="n">
        <v>32.9</v>
      </c>
      <c r="G10" s="5" t="n">
        <v>43.7</v>
      </c>
      <c r="H10" s="5" t="n">
        <v>28.1</v>
      </c>
      <c r="I10" s="5" t="n">
        <v>44.1</v>
      </c>
      <c r="J10" s="5" t="n">
        <v>31.1</v>
      </c>
      <c r="K10" s="5" t="n">
        <v>17.7</v>
      </c>
      <c r="L10" s="5" t="n">
        <v>18.6</v>
      </c>
    </row>
    <row r="11">
      <c r="A11" s="6" t="inlineStr">
        <is>
          <t>Net trading revenue</t>
        </is>
      </c>
      <c r="B11" s="6" t="n">
        <v>351.7</v>
      </c>
      <c r="C11" s="6" t="n">
        <v>257</v>
      </c>
      <c r="D11" s="6" t="n">
        <v>314</v>
      </c>
      <c r="E11" s="6" t="n">
        <v>400.6</v>
      </c>
      <c r="F11" s="6" t="n">
        <v>260.6</v>
      </c>
      <c r="G11" s="6" t="n">
        <v>285.1</v>
      </c>
      <c r="H11" s="6" t="n">
        <v>213</v>
      </c>
      <c r="I11" s="6" t="n">
        <v>216.2</v>
      </c>
      <c r="J11" s="6" t="n">
        <v>248.8</v>
      </c>
      <c r="K11" s="6" t="n">
        <v>215.9</v>
      </c>
      <c r="L11" s="6" t="n">
        <v>107.3</v>
      </c>
    </row>
    <row r="12">
      <c r="A12" s="6" t="inlineStr">
        <is>
          <t>Net gain on non-trading financial assets/liabilities at fair value through profit or loss</t>
        </is>
      </c>
      <c r="B12" s="6" t="n">
        <v>85.8</v>
      </c>
      <c r="C12" s="6" t="n">
        <v>107.1</v>
      </c>
      <c r="D12" s="6" t="n">
        <v>51.5</v>
      </c>
      <c r="E12" s="6" t="n">
        <v>51.7</v>
      </c>
      <c r="F12" s="6" t="n">
        <v>48.3</v>
      </c>
      <c r="G12" s="6" t="n">
        <v>24</v>
      </c>
      <c r="H12" s="6" t="n">
        <v>3.2</v>
      </c>
      <c r="I12" s="6" t="n">
        <v>14.9</v>
      </c>
      <c r="J12" s="6" t="n">
        <v>21.8</v>
      </c>
      <c r="K12" s="6" t="n">
        <v>19</v>
      </c>
      <c r="L12" s="6" t="n"/>
    </row>
    <row r="13">
      <c r="A13" s="6" t="inlineStr">
        <is>
          <t>Recoveries/(losses) on commodity inventory intermediation</t>
        </is>
      </c>
      <c r="B13" s="6" t="n"/>
      <c r="C13" s="6" t="n"/>
      <c r="D13" s="6" t="n"/>
      <c r="E13" s="6" t="n">
        <v>233.7</v>
      </c>
      <c r="F13" s="6" t="n">
        <v>8.800000000000001</v>
      </c>
      <c r="G13" s="6" t="n">
        <v>-13.7</v>
      </c>
      <c r="H13" s="6" t="n">
        <v>-198.7</v>
      </c>
      <c r="I13" s="6" t="n"/>
      <c r="J13" s="6" t="n"/>
      <c r="K13" s="6" t="n"/>
      <c r="L13" s="6" t="n"/>
    </row>
    <row r="14">
      <c r="A14" s="6" t="inlineStr">
        <is>
          <t>Recoveries on commodity reverse repurchase agreements</t>
        </is>
      </c>
      <c r="B14" s="6" t="n"/>
      <c r="C14" s="6" t="n"/>
      <c r="D14" s="6" t="n"/>
      <c r="E14" s="6" t="n"/>
      <c r="F14" s="6" t="n">
        <v>3.4</v>
      </c>
      <c r="G14" s="6" t="n">
        <v>37.1</v>
      </c>
      <c r="H14" s="6" t="n"/>
      <c r="I14" s="6" t="n">
        <v>37.9</v>
      </c>
      <c r="J14" s="6" t="n"/>
      <c r="K14" s="6" t="n">
        <v>-2.5</v>
      </c>
      <c r="L14" s="6" t="n">
        <v>50.5</v>
      </c>
    </row>
    <row r="15">
      <c r="A15" s="5" t="inlineStr">
        <is>
          <t>Non-interest revenue</t>
        </is>
      </c>
      <c r="B15" s="5" t="n">
        <v>491.7</v>
      </c>
      <c r="C15" s="5" t="n">
        <v>408.2</v>
      </c>
      <c r="D15" s="5" t="n">
        <v>404.1</v>
      </c>
      <c r="E15" s="5" t="n">
        <v>711.4</v>
      </c>
      <c r="F15" s="5" t="n">
        <v>354</v>
      </c>
      <c r="G15" s="5" t="n">
        <v>376.2</v>
      </c>
      <c r="H15" s="5" t="n">
        <v>45.6</v>
      </c>
      <c r="I15" s="5" t="n">
        <v>313.1</v>
      </c>
      <c r="J15" s="5" t="n">
        <v>301.7</v>
      </c>
      <c r="K15" s="5" t="n">
        <v>250.1</v>
      </c>
      <c r="L15" s="5" t="n">
        <v>176.4</v>
      </c>
    </row>
    <row r="16">
      <c r="A16" s="5" t="inlineStr">
        <is>
          <t>Total operating income</t>
        </is>
      </c>
      <c r="B16" s="5" t="n">
        <v>739.8</v>
      </c>
      <c r="C16" s="5" t="n">
        <v>572.1</v>
      </c>
      <c r="D16" s="5" t="n">
        <v>558</v>
      </c>
      <c r="E16" s="5" t="n">
        <v>809.9</v>
      </c>
      <c r="F16" s="5" t="n">
        <v>466</v>
      </c>
      <c r="G16" s="5" t="n">
        <v>489.1</v>
      </c>
      <c r="H16" s="5" t="n">
        <v>137.4</v>
      </c>
      <c r="I16" s="5" t="n">
        <v>384</v>
      </c>
      <c r="J16" s="5" t="n">
        <v>382.4</v>
      </c>
      <c r="K16" s="5" t="n">
        <v>286.2</v>
      </c>
      <c r="L16" s="5" t="n">
        <v>172.7</v>
      </c>
    </row>
    <row r="17">
      <c r="A17" s="6" t="inlineStr">
        <is>
          <t>Credit impairment charges/(recoveries)</t>
        </is>
      </c>
      <c r="B17" s="6" t="n">
        <v>-15</v>
      </c>
      <c r="C17" s="6" t="n">
        <v>-2.7</v>
      </c>
      <c r="D17" s="6" t="n">
        <v>50.2</v>
      </c>
      <c r="E17" s="6" t="n">
        <v>-60.8</v>
      </c>
      <c r="F17" s="6" t="n">
        <v>2.8</v>
      </c>
      <c r="G17" s="6" t="n">
        <v>-4.7</v>
      </c>
      <c r="H17" s="6" t="n">
        <v>-0.4</v>
      </c>
      <c r="I17" s="6" t="n">
        <v>-0.7</v>
      </c>
      <c r="J17" s="6" t="n">
        <v>8.4</v>
      </c>
      <c r="K17" s="6" t="n">
        <v>-0.3</v>
      </c>
      <c r="L17" s="6" t="n">
        <v>0.4</v>
      </c>
    </row>
    <row r="18">
      <c r="A18" s="5" t="inlineStr">
        <is>
          <t>Income after credit impairments</t>
        </is>
      </c>
      <c r="B18" s="5" t="n">
        <v>724.8</v>
      </c>
      <c r="C18" s="5" t="n">
        <v>569.4</v>
      </c>
      <c r="D18" s="5" t="n">
        <v>608.2</v>
      </c>
      <c r="E18" s="5" t="n">
        <v>749.1</v>
      </c>
      <c r="F18" s="5" t="n">
        <v>468.8</v>
      </c>
      <c r="G18" s="5" t="n">
        <v>484.4</v>
      </c>
      <c r="H18" s="5" t="n">
        <v>137</v>
      </c>
      <c r="I18" s="5" t="n">
        <v>383.3</v>
      </c>
      <c r="J18" s="5" t="n">
        <v>390.8</v>
      </c>
      <c r="K18" s="5" t="n">
        <v>285.9</v>
      </c>
      <c r="L18" s="5" t="n">
        <v>173.1</v>
      </c>
    </row>
    <row r="19">
      <c r="A19" s="5" t="inlineStr">
        <is>
          <t>Operating expenses</t>
        </is>
      </c>
      <c r="B19" s="6" t="n"/>
      <c r="C19" s="6" t="n"/>
      <c r="D19" s="6" t="n"/>
      <c r="E19" s="6" t="n"/>
      <c r="F19" s="6" t="n"/>
      <c r="G19" s="6" t="n"/>
      <c r="H19" s="6" t="n"/>
      <c r="I19" s="6" t="n"/>
      <c r="J19" s="6" t="n"/>
      <c r="K19" s="6" t="n"/>
      <c r="L19" s="6" t="n"/>
    </row>
    <row r="20">
      <c r="A20" s="6" t="inlineStr">
        <is>
          <t>Staff costs</t>
        </is>
      </c>
      <c r="B20" s="6" t="n">
        <v>-279.2</v>
      </c>
      <c r="C20" s="6" t="n">
        <v>-248.5</v>
      </c>
      <c r="D20" s="6" t="n">
        <v>-247.8</v>
      </c>
      <c r="E20" s="6" t="n">
        <v>-223.9</v>
      </c>
      <c r="F20" s="6" t="n">
        <v>-216.1</v>
      </c>
      <c r="G20" s="6" t="n">
        <v>-211.8</v>
      </c>
      <c r="H20" s="6" t="n">
        <v>-216.4</v>
      </c>
      <c r="I20" s="6" t="n">
        <v>-243.5</v>
      </c>
      <c r="J20" s="6" t="n">
        <v>-262.2</v>
      </c>
      <c r="K20" s="6" t="n">
        <v>-251.8</v>
      </c>
      <c r="L20" s="6" t="n">
        <v>-229.1</v>
      </c>
    </row>
    <row r="21">
      <c r="A21" s="6" t="inlineStr">
        <is>
          <t>Other operating expenses</t>
        </is>
      </c>
      <c r="B21" s="6" t="n">
        <v>-156.8</v>
      </c>
      <c r="C21" s="6" t="n">
        <v>-130.8</v>
      </c>
      <c r="D21" s="6" t="n">
        <v>-145.9</v>
      </c>
      <c r="E21" s="6" t="n">
        <v>-147.9</v>
      </c>
      <c r="F21" s="6" t="n">
        <v>-127.7</v>
      </c>
      <c r="G21" s="6" t="n">
        <v>-117</v>
      </c>
      <c r="H21" s="6" t="n">
        <v>-123.9</v>
      </c>
      <c r="I21" s="6" t="n">
        <v>-130.4</v>
      </c>
      <c r="J21" s="6" t="n">
        <v>-103.2</v>
      </c>
      <c r="K21" s="6" t="n">
        <v>-124.6</v>
      </c>
      <c r="L21" s="6" t="n">
        <v>-152.2</v>
      </c>
    </row>
    <row r="22">
      <c r="A22" s="6" t="inlineStr">
        <is>
          <t>Restructuring costs and other impairments</t>
        </is>
      </c>
      <c r="B22" s="6" t="n"/>
      <c r="C22" s="6" t="n"/>
      <c r="D22" s="6" t="n"/>
      <c r="E22" s="6" t="n"/>
      <c r="F22" s="6" t="n">
        <v>1.4</v>
      </c>
      <c r="G22" s="6" t="n">
        <v>-18.8</v>
      </c>
      <c r="H22" s="6" t="n">
        <v>-29.6</v>
      </c>
      <c r="I22" s="6" t="n"/>
      <c r="J22" s="6" t="n"/>
      <c r="K22" s="6" t="n"/>
      <c r="L22" s="6" t="n"/>
    </row>
    <row r="23">
      <c r="A23" s="6" t="inlineStr">
        <is>
          <t>Indirect taxation</t>
        </is>
      </c>
      <c r="B23" s="6" t="n">
        <v>-7.9</v>
      </c>
      <c r="C23" s="6" t="n">
        <v>-3.1</v>
      </c>
      <c r="D23" s="6" t="n">
        <v>-3.9</v>
      </c>
      <c r="E23" s="6" t="n">
        <v>-1.8</v>
      </c>
      <c r="F23" s="6" t="n">
        <v>-5.7</v>
      </c>
      <c r="G23" s="6" t="n">
        <v>-3.9</v>
      </c>
      <c r="H23" s="6" t="n">
        <v>-4.5</v>
      </c>
      <c r="I23" s="6" t="n">
        <v>-5.2</v>
      </c>
      <c r="J23" s="6" t="n">
        <v>-5.9</v>
      </c>
      <c r="K23" s="6" t="n">
        <v>-6.5</v>
      </c>
      <c r="L23" s="6" t="n">
        <v>-4.8</v>
      </c>
    </row>
    <row r="24">
      <c r="A24" s="5" t="inlineStr">
        <is>
          <t>Operating expenses</t>
        </is>
      </c>
      <c r="B24" s="5" t="n">
        <v>-443.9</v>
      </c>
      <c r="C24" s="5" t="n">
        <v>-382.4</v>
      </c>
      <c r="D24" s="5" t="n">
        <v>-397.6</v>
      </c>
      <c r="E24" s="5" t="n">
        <v>-373.6</v>
      </c>
      <c r="F24" s="5" t="n">
        <v>-348.1</v>
      </c>
      <c r="G24" s="5" t="n">
        <v>-351.5</v>
      </c>
      <c r="H24" s="5" t="n">
        <v>-374.4</v>
      </c>
      <c r="I24" s="5" t="n">
        <v>-379.1</v>
      </c>
      <c r="J24" s="5" t="n">
        <v>-371.3</v>
      </c>
      <c r="K24" s="5" t="n">
        <v>-382.9</v>
      </c>
      <c r="L24" s="5" t="n">
        <v>-386.1</v>
      </c>
    </row>
    <row r="25">
      <c r="A25" s="5" t="inlineStr">
        <is>
          <t>Profit before taxation</t>
        </is>
      </c>
      <c r="B25" s="5" t="n">
        <v>280.9</v>
      </c>
      <c r="C25" s="5" t="n">
        <v>187</v>
      </c>
      <c r="D25" s="5" t="n">
        <v>210.6</v>
      </c>
      <c r="E25" s="5" t="n">
        <v>375.5</v>
      </c>
      <c r="F25" s="5" t="n">
        <v>120.7</v>
      </c>
      <c r="G25" s="5" t="n">
        <v>132.9</v>
      </c>
      <c r="H25" s="5" t="n">
        <v>-237.4</v>
      </c>
      <c r="I25" s="5" t="n">
        <v>4.2</v>
      </c>
      <c r="J25" s="5" t="n">
        <v>19.5</v>
      </c>
      <c r="K25" s="5" t="n">
        <v>-97</v>
      </c>
      <c r="L25" s="5" t="n">
        <v>-213</v>
      </c>
    </row>
    <row r="26">
      <c r="A26" s="6" t="inlineStr">
        <is>
          <t>Income tax charge</t>
        </is>
      </c>
      <c r="B26" s="6" t="n">
        <v>-56</v>
      </c>
      <c r="C26" s="6" t="n">
        <v>-30.5</v>
      </c>
      <c r="D26" s="6" t="n">
        <v>-23.5</v>
      </c>
      <c r="E26" s="6" t="n">
        <v>-58.4</v>
      </c>
      <c r="F26" s="6" t="n">
        <v>-22.1</v>
      </c>
      <c r="G26" s="6" t="n">
        <v>-17.4</v>
      </c>
      <c r="H26" s="6" t="n">
        <v>-10.8</v>
      </c>
      <c r="I26" s="6" t="n">
        <v>-19</v>
      </c>
      <c r="J26" s="6" t="n">
        <v>10.2</v>
      </c>
      <c r="K26" s="6" t="n">
        <v>-1.8</v>
      </c>
      <c r="L26" s="6" t="n">
        <v>-19.8</v>
      </c>
    </row>
    <row r="27">
      <c r="A27" s="6" t="inlineStr">
        <is>
          <t>Discontinued operations (FY2015 only - a business line discontinued in 2014/2015)</t>
        </is>
      </c>
      <c r="B27" s="6" t="n"/>
      <c r="C27" s="6" t="n"/>
      <c r="D27" s="6" t="n"/>
      <c r="E27" s="6" t="n"/>
      <c r="F27" s="6" t="n"/>
      <c r="G27" s="6" t="n"/>
      <c r="H27" s="6" t="n"/>
      <c r="I27" s="6" t="n"/>
      <c r="J27" s="6" t="n"/>
      <c r="K27" s="6" t="n">
        <v>0</v>
      </c>
      <c r="L27" s="6" t="n">
        <v>-34.9</v>
      </c>
    </row>
    <row r="28">
      <c r="A28" s="5" t="inlineStr">
        <is>
          <t>Profit attributable to equity shareholders</t>
        </is>
      </c>
      <c r="B28" s="5" t="n">
        <v>224.9</v>
      </c>
      <c r="C28" s="5" t="n">
        <v>156.5</v>
      </c>
      <c r="D28" s="5" t="n">
        <v>187.1</v>
      </c>
      <c r="E28" s="5" t="n">
        <v>317.1</v>
      </c>
      <c r="F28" s="5" t="n">
        <v>98.59999999999999</v>
      </c>
      <c r="G28" s="5" t="n">
        <v>115.5</v>
      </c>
      <c r="H28" s="5" t="n">
        <v>-248.2</v>
      </c>
      <c r="I28" s="5" t="n">
        <v>-14.8</v>
      </c>
      <c r="J28" s="5" t="n">
        <v>29.7</v>
      </c>
      <c r="K28" s="5" t="n">
        <v>-98.8</v>
      </c>
      <c r="L28" s="5" t="n">
        <v>-267.7</v>
      </c>
    </row>
    <row r="29">
      <c r="A29" s="5" t="inlineStr">
        <is>
          <t>Other comprehensive income</t>
        </is>
      </c>
      <c r="B29" s="6" t="n"/>
      <c r="C29" s="6" t="n"/>
      <c r="D29" s="6" t="n"/>
      <c r="E29" s="6" t="n"/>
      <c r="F29" s="6" t="n"/>
      <c r="G29" s="6" t="n"/>
      <c r="H29" s="6" t="n"/>
      <c r="I29" s="6" t="n"/>
      <c r="J29" s="6" t="n"/>
      <c r="K29" s="6" t="n"/>
      <c r="L29" s="6" t="n"/>
    </row>
    <row r="30">
      <c r="A30" s="6" t="inlineStr">
        <is>
          <t>Foreign currency translation reserve</t>
        </is>
      </c>
      <c r="B30" s="6" t="n">
        <v>1.3</v>
      </c>
      <c r="C30" s="6" t="n">
        <v>-0.7</v>
      </c>
      <c r="D30" s="6" t="n">
        <v>-0.7</v>
      </c>
      <c r="E30" s="6" t="n">
        <v>-2.6</v>
      </c>
      <c r="F30" s="6" t="n">
        <v>0.8</v>
      </c>
      <c r="G30" s="6" t="n">
        <v>1.8</v>
      </c>
      <c r="H30" s="6" t="n">
        <v>-1.2</v>
      </c>
      <c r="I30" s="6" t="n">
        <v>-3.9</v>
      </c>
      <c r="J30" s="6" t="n">
        <v>4.7</v>
      </c>
      <c r="K30" s="6" t="n">
        <v>-5.2</v>
      </c>
      <c r="L30" s="6" t="n">
        <v>-3.7</v>
      </c>
    </row>
    <row r="31">
      <c r="A31" s="6" t="inlineStr">
        <is>
          <t>Cash flow hedging reserve, net</t>
        </is>
      </c>
      <c r="B31" s="6" t="n">
        <v>15.6</v>
      </c>
      <c r="C31" s="6" t="n">
        <v>-22.8</v>
      </c>
      <c r="D31" s="6" t="n">
        <v>13.5</v>
      </c>
      <c r="E31" s="6" t="n">
        <v>13.1</v>
      </c>
      <c r="F31" s="6" t="n">
        <v>-19.3</v>
      </c>
      <c r="G31" s="6" t="n">
        <v>10.2</v>
      </c>
      <c r="H31" s="6" t="n">
        <v>5.8</v>
      </c>
      <c r="I31" s="6" t="n">
        <v>-4.9</v>
      </c>
      <c r="J31" s="6" t="n">
        <v>25.1</v>
      </c>
      <c r="K31" s="6" t="n">
        <v>-13.6</v>
      </c>
      <c r="L31" s="6" t="n">
        <v>-8.699999999999999</v>
      </c>
    </row>
    <row r="32">
      <c r="A32" s="6" t="inlineStr">
        <is>
          <t>Net investment hedge reserve</t>
        </is>
      </c>
      <c r="B32" s="6" t="n"/>
      <c r="C32" s="6" t="n"/>
      <c r="D32" s="6" t="n"/>
      <c r="E32" s="6" t="n"/>
      <c r="F32" s="6" t="n"/>
      <c r="G32" s="6" t="n"/>
      <c r="H32" s="6" t="n"/>
      <c r="I32" s="6" t="n">
        <v>0</v>
      </c>
      <c r="J32" s="6" t="n">
        <v>-1.7</v>
      </c>
      <c r="K32" s="6" t="n"/>
      <c r="L32" s="6" t="n"/>
    </row>
    <row r="33">
      <c r="A33" s="6" t="inlineStr">
        <is>
          <t>Changes in fair value of debt instruments measured at FVOCI</t>
        </is>
      </c>
      <c r="B33" s="6" t="n">
        <v>0.1</v>
      </c>
      <c r="C33" s="6" t="n">
        <v>0.9</v>
      </c>
      <c r="D33" s="6" t="n">
        <v>0.9</v>
      </c>
      <c r="E33" s="6" t="n">
        <v>-2.5</v>
      </c>
      <c r="F33" s="6" t="n">
        <v>0.6</v>
      </c>
      <c r="G33" s="6" t="n">
        <v>0.8</v>
      </c>
      <c r="H33" s="6" t="n">
        <v>-0.6</v>
      </c>
      <c r="I33" s="6" t="n">
        <v>-0.9</v>
      </c>
      <c r="J33" s="6" t="n">
        <v>2.6</v>
      </c>
      <c r="K33" s="6" t="n">
        <v>-0.5</v>
      </c>
      <c r="L33" s="6" t="n">
        <v>-0.9</v>
      </c>
    </row>
    <row r="34">
      <c r="A34" s="6" t="inlineStr">
        <is>
          <t>Gains/(losses) attributable to own credit risk</t>
        </is>
      </c>
      <c r="B34" s="6" t="n">
        <v>0</v>
      </c>
      <c r="C34" s="6" t="n">
        <v>1</v>
      </c>
      <c r="D34" s="6" t="n">
        <v>0.3</v>
      </c>
      <c r="E34" s="6" t="n">
        <v>-0.9</v>
      </c>
      <c r="F34" s="6" t="n">
        <v>-0.1</v>
      </c>
      <c r="G34" s="6" t="n">
        <v>-0.3</v>
      </c>
      <c r="H34" s="6" t="n"/>
      <c r="I34" s="6" t="n"/>
      <c r="J34" s="6" t="n"/>
      <c r="K34" s="6" t="n"/>
      <c r="L34" s="6" t="n"/>
    </row>
    <row r="35">
      <c r="A35" s="5" t="inlineStr">
        <is>
          <t>Other comprehensive income/(losses) for the year</t>
        </is>
      </c>
      <c r="B35" s="5" t="n">
        <v>17</v>
      </c>
      <c r="C35" s="5" t="n">
        <v>-21.6</v>
      </c>
      <c r="D35" s="5" t="n">
        <v>14</v>
      </c>
      <c r="E35" s="5" t="n">
        <v>7.1</v>
      </c>
      <c r="F35" s="5" t="n">
        <v>-17.9</v>
      </c>
      <c r="G35" s="5" t="n">
        <v>12.5</v>
      </c>
      <c r="H35" s="5" t="n">
        <v>4</v>
      </c>
      <c r="I35" s="5" t="n">
        <v>-9.699999999999999</v>
      </c>
      <c r="J35" s="5" t="n">
        <v>30.7</v>
      </c>
      <c r="K35" s="5" t="n">
        <v>-19.3</v>
      </c>
      <c r="L35" s="5" t="n">
        <v>-13.3</v>
      </c>
    </row>
    <row r="36">
      <c r="A36" s="5" t="inlineStr">
        <is>
          <t>Total comprehensive income attributable to equity shareholders</t>
        </is>
      </c>
      <c r="B36" s="5" t="n">
        <v>241.9</v>
      </c>
      <c r="C36" s="5" t="n">
        <v>134.9</v>
      </c>
      <c r="D36" s="5" t="n">
        <v>201.1</v>
      </c>
      <c r="E36" s="5" t="n">
        <v>324.2</v>
      </c>
      <c r="F36" s="5" t="n">
        <v>80.7</v>
      </c>
      <c r="G36" s="5" t="n">
        <v>128</v>
      </c>
      <c r="H36" s="5" t="n">
        <v>-244.2</v>
      </c>
      <c r="I36" s="5" t="n">
        <v>-24.5</v>
      </c>
      <c r="J36" s="5" t="n">
        <v>60.4</v>
      </c>
      <c r="K36" s="5" t="n">
        <v>-118.1</v>
      </c>
      <c r="L36" s="5" t="n">
        <v>-281</v>
      </c>
    </row>
    <row r="38" ht="130" customHeight="1">
      <c r="A38"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Consolidated Annual Report 2025, p.65 (Consolidated income statement) and p.66 (Consolidated statement of comprehensive income) — https://v.icbc.com.cn/userfiles/resources/icbc/haiwai/standardbank/download/2023/consolidatedannualreport2025.pdf
FY2023 &amp; FY2022: ICBC Standard Bank Consolidated Annual Report 2023, p.62-63 (8-9. Consolidated income statement / statement of comprehensive income) — https://v.icbc.com.cn/userfiles/resources/icbc/haiwai/standardbank/download/2023/2023annualreportyasuo.pdf
FY2021: ICBC Standard Bank Consolidated Annual Report 2021, p.62-63 (7-8. Consolidated income statement / statement of comprehensive income) — https://v.icbc.com.cn/userfiles/Resources/ICBC/haiwai/StandardBank/Download/2022/Consolidated_Annual_Report_2021.pdf
FY2020: ICBC Standard Bank Consolidated Annual Report 2020, p.52 (7-8. Consolidated income statement / statement of comprehensive income) — https://v.icbc.com.cn/userfiles/Resources/ICBC/haiwai/StandardBank/Download/2021/ConsolidatedAnnualReport20.pdf
FY2019: ICBC Standard Bank Consolidated Annual Report 2019, p.48-49 (7-8. Consolidated income statement / statement of comprehensive income) — https://v.icbc.com.cn/userfiles/Resources/ICBC/haiwai/StandardBank/Download/2020/ConsolidatedAnnualReport.pdf
FY2018: ICBC Standard Bank Consolidated Annual Report 2018, p.37-38 (7-8. Consolidated income statement / statement of comprehensive income) — https://v.icbc.com.cn/userfiles/Resources/ICBC/haiwai/StandardBank/Download/2019/Consolidated_Annual_Report_2018.pdf
FY2017: ICBC Standard Bank Consolidated Annual Report 2017, p.33-34 (7-8. Consolidated income statement / statement of comprehensive income) — https://v.icbc.com.cn/userfiles/Resources/ICBC/haiwai/StandardBank/Download/2019/Consolidated_Annual_Report_2017.pdf
FY2016: ICBC Standard Bank Consolidated Annual Report 2016, p.21 (7-8. Consolidated income statement / statement of comprehensive income) — https://v.icbc.com.cn/userfiles/Resources/ICBC/haiwai/StandardBank/Download/2019/ConsolidatedAnnualReport2016.pdf
FY2015: ICBC Standard Bank Consolidated Annual Report 2015, p.33-35 (7-8. Consolidated income statement / statement of comprehensive income) — https://v.icbc.com.cn/userfiles/Resources/ICBC/haiwai/StandardBank/Download/2019/ICBCStandardBankPlcAFS2015.pdf
Note: 'Recoveries/(losses) on commodity inventory intermediation' and 'Recoveries on commodity reverse repurchase agreements' are one-off lines that appear intermittently across vintages depending on that year's own commodity-book activity - blank cells indicate that year's report did not disclose or did not have that specific line, not a genuine zero. 'Restructuring costs and other impairments' likewise only appears in FY2021/FY2020/FY2019 (net credit sign in FY2021, net cost in FY2020/FY2019). FY2021's 'Other comprehensive income/(losses) for the year' ($(17.9)m) is derived (Total comprehensive income less Profit for the year) since that year's report does not show an explicit OCI subtotal row - the disclosed OCI component lines sum to $(18.0)m, a $0.1m rounding difference reproduced as disclosed, not forced to match. 'Net investment hedge reserve' is a distinct OCI line only for FY2017 ($(1.7)m, a one-off) and shown as an explicit $nil at FY2018 year-end (no further movements reported in FY2019/FY2020, and the static $(1.7)m balance carries unchanged on the Statement of Changes in Equity through FY2021-FY2025 with no further P&amp;L movement disclosed in any of those years either). FY2015's income statement structurally splits results into continuing and discontinued operations (ICBCS discontinued a small business line in 2014/2015); shown here as a single 'Profit before taxation' plus a separate 'Discontinued operations' adjusting row, consistent with all other years' single-line presentation. IAS 39-era years (FY2015-FY2017) label the FVOCI-equivalent OCI reserve 'available-for-sale reserve'; IFRS 9 (effective 1 January 2018) renamed it 'debt instruments measured at FVOCI' - both are shown on the same 'Changes in fair value of debt instruments measured at FVOCI' row as the same underlying reserve, per the FY2018 report's own reconciliation which explicitly marks the FY2017 AFS column as the FVOCI reserve's predecessor. Total comprehensive income reconciles exactly (Profit for the year + Other comprehensive income) in every year FY2015-FY2025.</t>
        </is>
      </c>
    </row>
  </sheetData>
  <mergeCells count="1">
    <mergeCell ref="A38:L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ICBC Standard Bank Plc — Consolidated Statement of Changes in Equity</t>
        </is>
      </c>
    </row>
    <row r="2">
      <c r="A2" s="2" t="inlineStr">
        <is>
          <t>ICBC Standard Bank Group (consolidated basis), $m, chronological roll-forward</t>
        </is>
      </c>
    </row>
    <row r="3">
      <c r="A3" s="4" t="inlineStr">
        <is>
          <t>Movement</t>
        </is>
      </c>
      <c r="B3" s="4" t="inlineStr">
        <is>
          <t>Share capital (and premium pre-restructure)</t>
        </is>
      </c>
      <c r="C3" s="4" t="inlineStr">
        <is>
          <t>Other equity instruments</t>
        </is>
      </c>
      <c r="D3" s="4" t="inlineStr">
        <is>
          <t>Cash flow hedging reserve</t>
        </is>
      </c>
      <c r="E3" s="4" t="inlineStr">
        <is>
          <t>FVOCI reserve</t>
        </is>
      </c>
      <c r="F3" s="4" t="inlineStr">
        <is>
          <t>FX translation reserve</t>
        </is>
      </c>
      <c r="G3" s="4" t="inlineStr">
        <is>
          <t>Net investment hedge reserve</t>
        </is>
      </c>
      <c r="H3" s="4" t="inlineStr">
        <is>
          <t>Own credit reserve</t>
        </is>
      </c>
      <c r="I3" s="4" t="inlineStr">
        <is>
          <t>Retained earnings</t>
        </is>
      </c>
      <c r="J3" s="4" t="inlineStr">
        <is>
          <t>Total equity</t>
        </is>
      </c>
    </row>
    <row r="4">
      <c r="A4" s="5" t="inlineStr">
        <is>
          <t>Balance at 1 January 2015 (predecessor Standard Bank Plc entity's restated FY2014 close, not a genuine ICBC Standard Bank Plc figure)</t>
        </is>
      </c>
      <c r="B4" s="5" t="n">
        <v>1514.5</v>
      </c>
      <c r="C4" s="5" t="n"/>
      <c r="D4" s="5" t="n">
        <v>0.3</v>
      </c>
      <c r="E4" s="5" t="n">
        <v>2.4</v>
      </c>
      <c r="F4" s="5" t="n">
        <v>6.8</v>
      </c>
      <c r="G4" s="5" t="n"/>
      <c r="H4" s="5" t="n"/>
      <c r="I4" s="5" t="n">
        <v>-508.9</v>
      </c>
      <c r="J4" s="5" t="n">
        <v>1015.1</v>
      </c>
    </row>
    <row r="5">
      <c r="A5" s="6" t="inlineStr">
        <is>
          <t>Total comprehensive loss for the year</t>
        </is>
      </c>
      <c r="B5" s="6" t="n"/>
      <c r="C5" s="6" t="n"/>
      <c r="D5" s="6" t="n">
        <v>-8.699999999999999</v>
      </c>
      <c r="E5" s="6" t="n">
        <v>-0.9</v>
      </c>
      <c r="F5" s="6" t="n">
        <v>-3.7</v>
      </c>
      <c r="G5" s="6" t="n"/>
      <c r="H5" s="6" t="n"/>
      <c r="I5" s="6" t="n">
        <v>-267.7</v>
      </c>
      <c r="J5" s="6" t="n">
        <v>-281</v>
      </c>
    </row>
    <row r="6">
      <c r="A6" s="6" t="inlineStr">
        <is>
          <t>Equity contribution under indemnity claim (capital contribution from Standard Bank Group)</t>
        </is>
      </c>
      <c r="B6" s="6" t="n"/>
      <c r="C6" s="6" t="n"/>
      <c r="D6" s="6" t="n"/>
      <c r="E6" s="6" t="n"/>
      <c r="F6" s="6" t="n"/>
      <c r="G6" s="6" t="n"/>
      <c r="H6" s="6" t="n"/>
      <c r="I6" s="6" t="n">
        <v>40.9</v>
      </c>
      <c r="J6" s="6" t="n">
        <v>40.9</v>
      </c>
    </row>
    <row r="7">
      <c r="A7" s="6" t="inlineStr">
        <is>
          <t>Shares issued including share premium (to Standard Bank London Holdings Limited)</t>
        </is>
      </c>
      <c r="B7" s="6" t="n">
        <v>300</v>
      </c>
      <c r="C7" s="6" t="n"/>
      <c r="D7" s="6" t="n"/>
      <c r="E7" s="6" t="n"/>
      <c r="F7" s="6" t="n"/>
      <c r="G7" s="6" t="n"/>
      <c r="H7" s="6" t="n"/>
      <c r="I7" s="6" t="n"/>
      <c r="J7" s="6" t="n">
        <v>300</v>
      </c>
    </row>
    <row r="8">
      <c r="A8" s="5" t="inlineStr">
        <is>
          <t>Balance at 31 December 2015 (FY2015 close = FY2016 opening)</t>
        </is>
      </c>
      <c r="B8" s="5" t="n">
        <v>1814.5</v>
      </c>
      <c r="C8" s="5" t="n"/>
      <c r="D8" s="5" t="n">
        <v>-8.4</v>
      </c>
      <c r="E8" s="5" t="n">
        <v>1.5</v>
      </c>
      <c r="F8" s="5" t="n">
        <v>3.1</v>
      </c>
      <c r="G8" s="5" t="n"/>
      <c r="H8" s="5" t="n"/>
      <c r="I8" s="5" t="n">
        <v>-735.7</v>
      </c>
      <c r="J8" s="5" t="n">
        <v>1075</v>
      </c>
    </row>
    <row r="9">
      <c r="A9" s="6" t="inlineStr">
        <is>
          <t>Total comprehensive loss for the year</t>
        </is>
      </c>
      <c r="B9" s="6" t="n"/>
      <c r="C9" s="6" t="n"/>
      <c r="D9" s="6" t="n">
        <v>-13.6</v>
      </c>
      <c r="E9" s="6" t="n">
        <v>-0.5</v>
      </c>
      <c r="F9" s="6" t="n">
        <v>-5.2</v>
      </c>
      <c r="G9" s="6" t="n"/>
      <c r="H9" s="6" t="n"/>
      <c r="I9" s="6" t="n">
        <v>-98.8</v>
      </c>
      <c r="J9" s="6" t="n">
        <v>-118.1</v>
      </c>
    </row>
    <row r="10">
      <c r="A10" s="5" t="inlineStr">
        <is>
          <t>Balance at 31 December 2016 (FY2016 close = FY2017 opening)</t>
        </is>
      </c>
      <c r="B10" s="5" t="n">
        <v>1814.5</v>
      </c>
      <c r="C10" s="5" t="n"/>
      <c r="D10" s="5" t="n">
        <v>-22</v>
      </c>
      <c r="E10" s="5" t="n">
        <v>1</v>
      </c>
      <c r="F10" s="5" t="n">
        <v>-2.1</v>
      </c>
      <c r="G10" s="5" t="n"/>
      <c r="H10" s="5" t="n"/>
      <c r="I10" s="5" t="n">
        <v>-834.5</v>
      </c>
      <c r="J10" s="5" t="n">
        <v>956.9</v>
      </c>
    </row>
    <row r="11">
      <c r="A11" s="6" t="inlineStr">
        <is>
          <t>Total comprehensive profit/(loss) for the year</t>
        </is>
      </c>
      <c r="B11" s="6" t="n"/>
      <c r="C11" s="6" t="n"/>
      <c r="D11" s="6" t="n">
        <v>25.1</v>
      </c>
      <c r="E11" s="6" t="n">
        <v>2.6</v>
      </c>
      <c r="F11" s="6" t="n">
        <v>4.7</v>
      </c>
      <c r="G11" s="6" t="n">
        <v>-1.7</v>
      </c>
      <c r="H11" s="6" t="n"/>
      <c r="I11" s="6" t="n">
        <v>29.7</v>
      </c>
      <c r="J11" s="6" t="n">
        <v>60.4</v>
      </c>
    </row>
    <row r="12">
      <c r="A12" s="6" t="inlineStr">
        <is>
          <t>Issue of share capital and share premium (to ICBC and Standard Bank London Holdings Limited)</t>
        </is>
      </c>
      <c r="B12" s="6" t="n">
        <v>265</v>
      </c>
      <c r="C12" s="6" t="n"/>
      <c r="D12" s="6" t="n"/>
      <c r="E12" s="6" t="n"/>
      <c r="F12" s="6" t="n"/>
      <c r="G12" s="6" t="n"/>
      <c r="H12" s="6" t="n"/>
      <c r="I12" s="6" t="n"/>
      <c r="J12" s="6" t="n">
        <v>265</v>
      </c>
    </row>
    <row r="13">
      <c r="A13" s="5" t="inlineStr">
        <is>
          <t>Balance at 31 December 2017 (FY2017 close = FY2018 opening)</t>
        </is>
      </c>
      <c r="B13" s="5" t="n">
        <v>2079.5</v>
      </c>
      <c r="C13" s="5" t="n"/>
      <c r="D13" s="5" t="n">
        <v>3.1</v>
      </c>
      <c r="E13" s="5" t="n">
        <v>3.6</v>
      </c>
      <c r="F13" s="5" t="n">
        <v>2.6</v>
      </c>
      <c r="G13" s="5" t="n">
        <v>-1.7</v>
      </c>
      <c r="H13" s="5" t="n"/>
      <c r="I13" s="5" t="n">
        <v>-804.8</v>
      </c>
      <c r="J13" s="5" t="n">
        <v>1282.3</v>
      </c>
    </row>
    <row r="14">
      <c r="A14" s="6" t="inlineStr">
        <is>
          <t>Changes on initial application of IFRS 9 (transition adjustment, 1 January 2018)</t>
        </is>
      </c>
      <c r="B14" s="6" t="n"/>
      <c r="C14" s="6" t="n"/>
      <c r="D14" s="6" t="n"/>
      <c r="E14" s="6" t="n">
        <v>-2</v>
      </c>
      <c r="F14" s="6" t="n"/>
      <c r="G14" s="6" t="n"/>
      <c r="H14" s="6" t="n"/>
      <c r="I14" s="6" t="n">
        <v>2</v>
      </c>
      <c r="J14" s="6" t="n">
        <v>0</v>
      </c>
    </row>
    <row r="15">
      <c r="A15" s="6" t="inlineStr">
        <is>
          <t>Total comprehensive loss for the year</t>
        </is>
      </c>
      <c r="B15" s="6" t="n"/>
      <c r="C15" s="6" t="n"/>
      <c r="D15" s="6" t="n">
        <v>-4.9</v>
      </c>
      <c r="E15" s="6" t="n">
        <v>-0.9</v>
      </c>
      <c r="F15" s="6" t="n">
        <v>-3.9</v>
      </c>
      <c r="G15" s="6" t="n"/>
      <c r="H15" s="6" t="n"/>
      <c r="I15" s="6" t="n">
        <v>-14.8</v>
      </c>
      <c r="J15" s="6" t="n">
        <v>-24.5</v>
      </c>
    </row>
    <row r="16">
      <c r="A16" s="5" t="inlineStr">
        <is>
          <t>Balance at 31 December 2018 (FY2018 close = FY2019 opening)</t>
        </is>
      </c>
      <c r="B16" s="5" t="n">
        <v>2079.5</v>
      </c>
      <c r="C16" s="5" t="n"/>
      <c r="D16" s="5" t="n">
        <v>-1.8</v>
      </c>
      <c r="E16" s="5" t="n">
        <v>0.7</v>
      </c>
      <c r="F16" s="5" t="n">
        <v>-1.3</v>
      </c>
      <c r="G16" s="5" t="n">
        <v>-1.7</v>
      </c>
      <c r="H16" s="5" t="n"/>
      <c r="I16" s="5" t="n">
        <v>-817.6</v>
      </c>
      <c r="J16" s="5" t="n">
        <v>1257.8</v>
      </c>
    </row>
    <row r="17">
      <c r="A17" s="6" t="inlineStr">
        <is>
          <t>Total comprehensive loss for the year</t>
        </is>
      </c>
      <c r="B17" s="6" t="n"/>
      <c r="C17" s="6" t="n"/>
      <c r="D17" s="6" t="n">
        <v>5.8</v>
      </c>
      <c r="E17" s="6" t="n">
        <v>-0.6</v>
      </c>
      <c r="F17" s="6" t="n">
        <v>-1.2</v>
      </c>
      <c r="G17" s="6" t="n"/>
      <c r="H17" s="6" t="n"/>
      <c r="I17" s="6" t="n">
        <v>-248.2</v>
      </c>
      <c r="J17" s="6" t="n">
        <v>-244.2</v>
      </c>
    </row>
    <row r="18">
      <c r="A18" s="6" t="inlineStr">
        <is>
          <t>Other equity instrument issuance (Additional Tier 1 capital, to ICBC)</t>
        </is>
      </c>
      <c r="B18" s="6" t="n"/>
      <c r="C18" s="6" t="n">
        <v>160</v>
      </c>
      <c r="D18" s="6" t="n"/>
      <c r="E18" s="6" t="n"/>
      <c r="F18" s="6" t="n"/>
      <c r="G18" s="6" t="n"/>
      <c r="H18" s="6" t="n"/>
      <c r="I18" s="6" t="n">
        <v>-0.1</v>
      </c>
      <c r="J18" s="6" t="n">
        <v>159.9</v>
      </c>
    </row>
    <row r="19">
      <c r="A19" s="5" t="inlineStr">
        <is>
          <t>Balance at 31 December 2019 (FY2019 close = FY2020 opening)</t>
        </is>
      </c>
      <c r="B19" s="5" t="n">
        <v>2079.5</v>
      </c>
      <c r="C19" s="5" t="n">
        <v>160</v>
      </c>
      <c r="D19" s="5" t="n">
        <v>4</v>
      </c>
      <c r="E19" s="5" t="n">
        <v>0.1</v>
      </c>
      <c r="F19" s="5" t="n">
        <v>-2.5</v>
      </c>
      <c r="G19" s="5" t="n">
        <v>-1.7</v>
      </c>
      <c r="H19" s="5" t="n"/>
      <c r="I19" s="5" t="n">
        <v>-1065.9</v>
      </c>
      <c r="J19" s="5" t="n">
        <v>1173.5</v>
      </c>
    </row>
    <row r="20">
      <c r="A20" s="6" t="inlineStr">
        <is>
          <t>Total comprehensive gains/(losses) for the year</t>
        </is>
      </c>
      <c r="B20" s="6" t="n"/>
      <c r="C20" s="6" t="n"/>
      <c r="D20" s="6" t="n">
        <v>10.2</v>
      </c>
      <c r="E20" s="6" t="n">
        <v>0.8</v>
      </c>
      <c r="F20" s="6" t="n">
        <v>1.8</v>
      </c>
      <c r="G20" s="6" t="n"/>
      <c r="H20" s="6" t="n">
        <v>-0.3</v>
      </c>
      <c r="I20" s="6" t="n">
        <v>115.5</v>
      </c>
      <c r="J20" s="6" t="n">
        <v>128</v>
      </c>
    </row>
    <row r="21">
      <c r="A21" s="5" t="inlineStr">
        <is>
          <t>Balance at 31 December 2020 (FY2020 close = FY2021 opening)</t>
        </is>
      </c>
      <c r="B21" s="5" t="n">
        <v>2079.5</v>
      </c>
      <c r="C21" s="5" t="n">
        <v>160</v>
      </c>
      <c r="D21" s="5" t="n">
        <v>14.2</v>
      </c>
      <c r="E21" s="5" t="n">
        <v>0.9</v>
      </c>
      <c r="F21" s="5" t="n">
        <v>-0.7</v>
      </c>
      <c r="G21" s="5" t="n">
        <v>-1.7</v>
      </c>
      <c r="H21" s="5" t="n">
        <v>-0.3</v>
      </c>
      <c r="I21" s="5" t="n">
        <v>-950.4</v>
      </c>
      <c r="J21" s="5" t="n">
        <v>1301.5</v>
      </c>
    </row>
    <row r="22">
      <c r="A22" s="6" t="inlineStr">
        <is>
          <t>Total comprehensive gains/(losses) for the year</t>
        </is>
      </c>
      <c r="B22" s="6" t="n"/>
      <c r="C22" s="6" t="n"/>
      <c r="D22" s="6" t="n">
        <v>-19.3</v>
      </c>
      <c r="E22" s="6" t="n">
        <v>0.6</v>
      </c>
      <c r="F22" s="6" t="n">
        <v>0.8</v>
      </c>
      <c r="G22" s="6" t="n"/>
      <c r="H22" s="6" t="n">
        <v>-0.1</v>
      </c>
      <c r="I22" s="6" t="n">
        <v>98.59999999999999</v>
      </c>
      <c r="J22" s="6" t="n">
        <v>80.7</v>
      </c>
    </row>
    <row r="23">
      <c r="A23" s="6" t="inlineStr">
        <is>
          <t>Share premium restructure (cancellation of share premium, transferred to retained earnings)</t>
        </is>
      </c>
      <c r="B23" s="6" t="n">
        <v>-996</v>
      </c>
      <c r="C23" s="6" t="n"/>
      <c r="D23" s="6" t="n"/>
      <c r="E23" s="6" t="n"/>
      <c r="F23" s="6" t="n"/>
      <c r="G23" s="6" t="n"/>
      <c r="H23" s="6" t="n"/>
      <c r="I23" s="6" t="n">
        <v>996</v>
      </c>
      <c r="J23" s="6" t="n">
        <v>0</v>
      </c>
    </row>
    <row r="24">
      <c r="A24" s="6" t="inlineStr">
        <is>
          <t>Coupon payment on other equity instruments</t>
        </is>
      </c>
      <c r="B24" s="6" t="n"/>
      <c r="C24" s="6" t="n"/>
      <c r="D24" s="6" t="n"/>
      <c r="E24" s="6" t="n"/>
      <c r="F24" s="6" t="n"/>
      <c r="G24" s="6" t="n"/>
      <c r="H24" s="6" t="n"/>
      <c r="I24" s="6" t="n">
        <v>-12.2</v>
      </c>
      <c r="J24" s="6" t="n">
        <v>-12.2</v>
      </c>
    </row>
    <row r="25">
      <c r="A25" s="5" t="inlineStr">
        <is>
          <t>Balance at 31 December 2021 (FY2021 close = FY2022 opening)</t>
        </is>
      </c>
      <c r="B25" s="5" t="n">
        <v>1083.5</v>
      </c>
      <c r="C25" s="5" t="n">
        <v>160</v>
      </c>
      <c r="D25" s="5" t="n">
        <v>-5.1</v>
      </c>
      <c r="E25" s="5" t="n">
        <v>1.5</v>
      </c>
      <c r="F25" s="5" t="n">
        <v>0.1</v>
      </c>
      <c r="G25" s="5" t="n">
        <v>-1.7</v>
      </c>
      <c r="H25" s="5" t="n">
        <v>-0.4</v>
      </c>
      <c r="I25" s="5" t="n">
        <v>132.1</v>
      </c>
      <c r="J25" s="5" t="n">
        <v>1370</v>
      </c>
    </row>
    <row r="26">
      <c r="A26" s="6" t="inlineStr">
        <is>
          <t>Total comprehensive gains/(losses) for the year</t>
        </is>
      </c>
      <c r="B26" s="6" t="n"/>
      <c r="C26" s="6" t="n"/>
      <c r="D26" s="6" t="n">
        <v>13.1</v>
      </c>
      <c r="E26" s="6" t="n">
        <v>-2.5</v>
      </c>
      <c r="F26" s="6" t="n">
        <v>-2.6</v>
      </c>
      <c r="G26" s="6" t="n"/>
      <c r="H26" s="6" t="n">
        <v>-0.9</v>
      </c>
      <c r="I26" s="6" t="n">
        <v>317.1</v>
      </c>
      <c r="J26" s="6" t="n">
        <v>324.2</v>
      </c>
    </row>
    <row r="27">
      <c r="A27" s="6" t="inlineStr">
        <is>
          <t>Coupon payment on other equity instruments</t>
        </is>
      </c>
      <c r="B27" s="6" t="n"/>
      <c r="C27" s="6" t="n"/>
      <c r="D27" s="6" t="n"/>
      <c r="E27" s="6" t="n"/>
      <c r="F27" s="6" t="n"/>
      <c r="G27" s="6" t="n"/>
      <c r="H27" s="6" t="n"/>
      <c r="I27" s="6" t="n">
        <v>-12.2</v>
      </c>
      <c r="J27" s="6" t="n">
        <v>-12.2</v>
      </c>
    </row>
    <row r="28">
      <c r="A28" s="5" t="inlineStr">
        <is>
          <t>Balance at 31 December 2022 (FY2022 close = FY2023 opening)</t>
        </is>
      </c>
      <c r="B28" s="5" t="n">
        <v>1083.5</v>
      </c>
      <c r="C28" s="5" t="n">
        <v>160</v>
      </c>
      <c r="D28" s="5" t="n">
        <v>8</v>
      </c>
      <c r="E28" s="5" t="n">
        <v>-1</v>
      </c>
      <c r="F28" s="5" t="n">
        <v>-2.5</v>
      </c>
      <c r="G28" s="5" t="n">
        <v>-1.7</v>
      </c>
      <c r="H28" s="5" t="n">
        <v>-1.3</v>
      </c>
      <c r="I28" s="5" t="n">
        <v>437</v>
      </c>
      <c r="J28" s="5" t="n">
        <v>1682</v>
      </c>
    </row>
    <row r="29">
      <c r="A29" s="6" t="inlineStr">
        <is>
          <t>Total comprehensive gains/(losses) for the year</t>
        </is>
      </c>
      <c r="B29" s="6" t="n"/>
      <c r="C29" s="6" t="n"/>
      <c r="D29" s="6" t="n">
        <v>13.5</v>
      </c>
      <c r="E29" s="6" t="n">
        <v>0.9</v>
      </c>
      <c r="F29" s="6" t="n">
        <v>-0.7</v>
      </c>
      <c r="G29" s="6" t="n"/>
      <c r="H29" s="6" t="n">
        <v>0.3</v>
      </c>
      <c r="I29" s="6" t="n">
        <v>187.1</v>
      </c>
      <c r="J29" s="6" t="n">
        <v>201.1</v>
      </c>
    </row>
    <row r="30">
      <c r="A30" s="6" t="inlineStr">
        <is>
          <t>Coupon payment on other equity instruments</t>
        </is>
      </c>
      <c r="B30" s="6" t="n"/>
      <c r="C30" s="6" t="n"/>
      <c r="D30" s="6" t="n"/>
      <c r="E30" s="6" t="n"/>
      <c r="F30" s="6" t="n"/>
      <c r="G30" s="6" t="n"/>
      <c r="H30" s="6" t="n"/>
      <c r="I30" s="6" t="n">
        <v>-12.2</v>
      </c>
      <c r="J30" s="6" t="n">
        <v>-12.2</v>
      </c>
    </row>
    <row r="31">
      <c r="A31" s="5" t="inlineStr">
        <is>
          <t>Balance at 31 December 2023 (FY2023 close = FY2024 opening)</t>
        </is>
      </c>
      <c r="B31" s="5" t="n">
        <v>1083.5</v>
      </c>
      <c r="C31" s="5" t="n">
        <v>160</v>
      </c>
      <c r="D31" s="5" t="n">
        <v>21.5</v>
      </c>
      <c r="E31" s="5" t="n">
        <v>-0.1</v>
      </c>
      <c r="F31" s="5" t="n">
        <v>-3.2</v>
      </c>
      <c r="G31" s="5" t="n">
        <v>-1.7</v>
      </c>
      <c r="H31" s="5" t="n">
        <v>-1</v>
      </c>
      <c r="I31" s="5" t="n">
        <v>611.9</v>
      </c>
      <c r="J31" s="5" t="n">
        <v>1870.9</v>
      </c>
    </row>
    <row r="32">
      <c r="A32" s="6" t="inlineStr">
        <is>
          <t>Total comprehensive gains/(losses) for the year</t>
        </is>
      </c>
      <c r="B32" s="6" t="n"/>
      <c r="C32" s="6" t="n"/>
      <c r="D32" s="6" t="n">
        <v>-22.8</v>
      </c>
      <c r="E32" s="6" t="n">
        <v>0.9</v>
      </c>
      <c r="F32" s="6" t="n">
        <v>-0.7</v>
      </c>
      <c r="G32" s="6" t="n"/>
      <c r="H32" s="6" t="n">
        <v>1</v>
      </c>
      <c r="I32" s="6" t="n">
        <v>156.5</v>
      </c>
      <c r="J32" s="6" t="n">
        <v>134.9</v>
      </c>
    </row>
    <row r="33">
      <c r="A33" s="6" t="inlineStr">
        <is>
          <t>Dividend payment on ordinary share capital</t>
        </is>
      </c>
      <c r="B33" s="6" t="n"/>
      <c r="C33" s="6" t="n"/>
      <c r="D33" s="6" t="n"/>
      <c r="E33" s="6" t="n"/>
      <c r="F33" s="6" t="n"/>
      <c r="G33" s="6" t="n"/>
      <c r="H33" s="6" t="n"/>
      <c r="I33" s="6" t="n">
        <v>-49.9</v>
      </c>
      <c r="J33" s="6" t="n">
        <v>-49.9</v>
      </c>
    </row>
    <row r="34">
      <c r="A34" s="6" t="inlineStr">
        <is>
          <t>Coupon payment on other equity instruments</t>
        </is>
      </c>
      <c r="B34" s="6" t="n"/>
      <c r="C34" s="6" t="n"/>
      <c r="D34" s="6" t="n"/>
      <c r="E34" s="6" t="n"/>
      <c r="F34" s="6" t="n"/>
      <c r="G34" s="6" t="n"/>
      <c r="H34" s="6" t="n"/>
      <c r="I34" s="6" t="n">
        <v>-12.2</v>
      </c>
      <c r="J34" s="6" t="n">
        <v>-12.2</v>
      </c>
    </row>
    <row r="35">
      <c r="A35" s="5" t="inlineStr">
        <is>
          <t>Balance at 31 December 2024 (FY2024 close = FY2025 opening)</t>
        </is>
      </c>
      <c r="B35" s="5" t="n">
        <v>1083.5</v>
      </c>
      <c r="C35" s="5" t="n">
        <v>160</v>
      </c>
      <c r="D35" s="5" t="n">
        <v>-1.3</v>
      </c>
      <c r="E35" s="5" t="n">
        <v>0.8</v>
      </c>
      <c r="F35" s="5" t="n">
        <v>-3.9</v>
      </c>
      <c r="G35" s="5" t="n">
        <v>-1.7</v>
      </c>
      <c r="H35" s="5" t="n">
        <v>0</v>
      </c>
      <c r="I35" s="5" t="n">
        <v>706.3</v>
      </c>
      <c r="J35" s="5" t="n">
        <v>1943.7</v>
      </c>
    </row>
    <row r="36">
      <c r="A36" s="6" t="inlineStr">
        <is>
          <t>Total comprehensive gains for the year</t>
        </is>
      </c>
      <c r="B36" s="6" t="n"/>
      <c r="C36" s="6" t="n"/>
      <c r="D36" s="6" t="n">
        <v>15.6</v>
      </c>
      <c r="E36" s="6" t="n">
        <v>0.1</v>
      </c>
      <c r="F36" s="6" t="n">
        <v>1.3</v>
      </c>
      <c r="G36" s="6" t="n"/>
      <c r="H36" s="6" t="n">
        <v>0</v>
      </c>
      <c r="I36" s="6" t="n">
        <v>224.9</v>
      </c>
      <c r="J36" s="6" t="n">
        <v>241.9</v>
      </c>
    </row>
    <row r="37">
      <c r="A37" s="6" t="inlineStr">
        <is>
          <t>Dividend payment on ordinary share capital</t>
        </is>
      </c>
      <c r="B37" s="6" t="n"/>
      <c r="C37" s="6" t="n"/>
      <c r="D37" s="6" t="n"/>
      <c r="E37" s="6" t="n"/>
      <c r="F37" s="6" t="n"/>
      <c r="G37" s="6" t="n"/>
      <c r="H37" s="6" t="n"/>
      <c r="I37" s="6" t="n">
        <v>-41.8</v>
      </c>
      <c r="J37" s="6" t="n">
        <v>-41.8</v>
      </c>
    </row>
    <row r="38">
      <c r="A38" s="6" t="inlineStr">
        <is>
          <t>Coupon payment on other equity instruments</t>
        </is>
      </c>
      <c r="B38" s="6" t="n"/>
      <c r="C38" s="6" t="n"/>
      <c r="D38" s="6" t="n"/>
      <c r="E38" s="6" t="n"/>
      <c r="F38" s="6" t="n"/>
      <c r="G38" s="6" t="n"/>
      <c r="H38" s="6" t="n"/>
      <c r="I38" s="6" t="n">
        <v>-12.4</v>
      </c>
      <c r="J38" s="6" t="n">
        <v>-12.4</v>
      </c>
    </row>
    <row r="39">
      <c r="A39" s="5" t="inlineStr">
        <is>
          <t>Balance at 31 December 2025 (FY2025 close)</t>
        </is>
      </c>
      <c r="B39" s="5" t="n">
        <v>1083.5</v>
      </c>
      <c r="C39" s="5" t="n">
        <v>160</v>
      </c>
      <c r="D39" s="5" t="n">
        <v>14.3</v>
      </c>
      <c r="E39" s="5" t="n">
        <v>0.9</v>
      </c>
      <c r="F39" s="5" t="n">
        <v>-2.6</v>
      </c>
      <c r="G39" s="5" t="n">
        <v>-1.7</v>
      </c>
      <c r="H39" s="5" t="n">
        <v>0</v>
      </c>
      <c r="I39" s="5" t="n">
        <v>877</v>
      </c>
      <c r="J39" s="5" t="n">
        <v>2131.4</v>
      </c>
    </row>
    <row r="41" ht="140" customHeight="1">
      <c r="A41"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movements: ICBC Standard Bank Consolidated Annual Report 2025, p.67 (Consolidated statement of changes in shareholders' equity) — https://v.icbc.com.cn/userfiles/resources/icbc/haiwai/standardbank/download/2023/consolidatedannualreport2025.pdf
FY2023 &amp; FY2022 movements: ICBC Standard Bank Consolidated Annual Report 2023, p.64 (10. Consolidated statement of changes in shareholders' equity) — https://v.icbc.com.cn/userfiles/resources/icbc/haiwai/standardbank/download/2023/2023annualreportyasuo.pdf
FY2021 movements: ICBC Standard Bank Consolidated Annual Report 2021, p.64 (9. Consolidated statement of changes in shareholders' equity) — https://v.icbc.com.cn/userfiles/Resources/ICBC/haiwai/StandardBank/Download/2022/Consolidated_Annual_Report_2021.pdf
FY2020 movements: ICBC Standard Bank Consolidated Annual Report 2020, p.54 (9. Consolidated statement of changes in shareholders' equity) — https://v.icbc.com.cn/userfiles/Resources/ICBC/haiwai/StandardBank/Download/2021/ConsolidatedAnnualReport20.pdf
FY2019 movements: ICBC Standard Bank Consolidated Annual Report 2019, p.50 (9. Consolidated statement of changes in shareholders' equity) — https://v.icbc.com.cn/userfiles/Resources/ICBC/haiwai/StandardBank/Download/2020/ConsolidatedAnnualReport.pdf
FY2018 movements: ICBC Standard Bank Consolidated Annual Report 2018, p.39 (9. Consolidated statement of changes in shareholders' equity) — https://v.icbc.com.cn/userfiles/Resources/ICBC/haiwai/StandardBank/Download/2019/Consolidated_Annual_Report_2018.pdf
FY2017 movements: ICBC Standard Bank Consolidated Annual Report 2017, p.35 (9. Consolidated statement of changes in shareholders' equity) — https://v.icbc.com.cn/userfiles/Resources/ICBC/haiwai/StandardBank/Download/2019/Consolidated_Annual_Report_2017.pdf
FY2016 movements: ICBC Standard Bank Consolidated Annual Report 2016, p.23 (9. Consolidated statement of changes in shareholders' equity) — https://v.icbc.com.cn/userfiles/Resources/ICBC/haiwai/StandardBank/Download/2019/ConsolidatedAnnualReport2016.pdf
FY2015 movements: ICBC Standard Bank Consolidated Annual Report 2015, p.37 (9. Consolidated statement of changes in shareholders' equity) — https://v.icbc.com.cn/userfiles/Resources/ICBC/haiwai/StandardBank/Download/2019/ICBCStandardBankPlcAFS2015.pdf
Reconciliation ladder confirmed: every year's own closing balance ties exactly to both the next year's own opening balance and that year's own Balance Sheet Total equity - zero plug rows needed anywhere across all 11 years, all the way back to the 1 January 2015 opening balance (itself the predecessor Standard Bank Plc entity's restated 31 December 2014 close - ICBC Standard Bank Plc's own first balance sheet date is 1 February 2015, so this is the closest genuine opening figure available, not fabricated). The June 2021 share premium restructure (cancellation of the $996.0m share premium account, transferred to retained earnings) is shown as an explicit, net-zero movement row rather than absorbed silently, matching how the 1 January 2018 IFRS 9 transition adjustment ($2.0m reclassified from the AFS/FVOCI reserve to retained earnings) is also shown as its own explicit, net-zero row rather than silently folded into that year's total comprehensive income. 'Own credit reserve' and 'Net investment hedge reserve' columns did not exist before FY2019/FY2017 respectively (blank, not zero, in earlier years - the reserve itself had not yet been introduced into the Group's capital structure); 'Other equity instruments' (Additional Tier 1 capital) is blank before its December 2019 issuance. 'Own credit reserve' genuinely nets to $0.0m from FY2024 year-end onward (shown as '-' in the Bank's own tables), not a blank/inapplicable cell.</t>
        </is>
      </c>
    </row>
  </sheetData>
  <mergeCells count="1">
    <mergeCell ref="A41:J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Consolidated Statement of Cash Flows</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Reconciliation of profit before tax to net cash flows from operating activities</t>
        </is>
      </c>
      <c r="B4" s="6" t="n"/>
      <c r="C4" s="6" t="n"/>
      <c r="D4" s="6" t="n"/>
      <c r="E4" s="6" t="n"/>
      <c r="F4" s="6" t="n"/>
      <c r="G4" s="6" t="n"/>
      <c r="H4" s="6" t="n"/>
      <c r="I4" s="6" t="n"/>
      <c r="J4" s="6" t="n"/>
      <c r="K4" s="6" t="n"/>
      <c r="L4" s="6" t="n"/>
    </row>
    <row r="5">
      <c r="A5" s="6" t="inlineStr">
        <is>
          <t>Profit before taxation</t>
        </is>
      </c>
      <c r="B5" s="6" t="n">
        <v>280.9</v>
      </c>
      <c r="C5" s="6" t="n">
        <v>187</v>
      </c>
      <c r="D5" s="6" t="n">
        <v>210.6</v>
      </c>
      <c r="E5" s="6" t="n">
        <v>375.5</v>
      </c>
      <c r="F5" s="6" t="n">
        <v>120.7</v>
      </c>
      <c r="G5" s="6" t="n">
        <v>132.9</v>
      </c>
      <c r="H5" s="6" t="n">
        <v>-237.4</v>
      </c>
      <c r="I5" s="6" t="n">
        <v>4.2</v>
      </c>
      <c r="J5" s="6" t="n">
        <v>19.5</v>
      </c>
      <c r="K5" s="6" t="n">
        <v>-97</v>
      </c>
      <c r="L5" s="6" t="n">
        <v>-213</v>
      </c>
    </row>
    <row r="6">
      <c r="A6" s="6" t="inlineStr">
        <is>
          <t>Discontinued operations (loss before taxation, FY2015 only)</t>
        </is>
      </c>
      <c r="B6" s="6" t="n"/>
      <c r="C6" s="6" t="n"/>
      <c r="D6" s="6" t="n"/>
      <c r="E6" s="6" t="n"/>
      <c r="F6" s="6" t="n"/>
      <c r="G6" s="6" t="n"/>
      <c r="H6" s="6" t="n"/>
      <c r="I6" s="6" t="n"/>
      <c r="J6" s="6" t="n"/>
      <c r="K6" s="6" t="n">
        <v>0</v>
      </c>
      <c r="L6" s="6" t="n">
        <v>-34.9</v>
      </c>
    </row>
    <row r="7">
      <c r="A7" s="6" t="inlineStr">
        <is>
          <t>Non-cash items included in profit before tax (as reported)</t>
        </is>
      </c>
      <c r="B7" s="6" t="n">
        <v>-4.5</v>
      </c>
      <c r="C7" s="6" t="n">
        <v>-48.1</v>
      </c>
      <c r="D7" s="6" t="n"/>
      <c r="E7" s="6" t="n"/>
      <c r="F7" s="6" t="n"/>
      <c r="G7" s="6" t="n"/>
      <c r="H7" s="6" t="n"/>
      <c r="I7" s="6" t="n"/>
      <c r="J7" s="6" t="n"/>
      <c r="K7" s="6" t="n"/>
      <c r="L7" s="6" t="n"/>
    </row>
    <row r="8">
      <c r="A8" s="6" t="inlineStr">
        <is>
          <t>Net interest income (as reported)</t>
        </is>
      </c>
      <c r="B8" s="6" t="n"/>
      <c r="C8" s="6" t="n"/>
      <c r="D8" s="6" t="n">
        <v>-153.9</v>
      </c>
      <c r="E8" s="6" t="n">
        <v>-98.5</v>
      </c>
      <c r="F8" s="6" t="n">
        <v>-112</v>
      </c>
      <c r="G8" s="6" t="n">
        <v>-112.9</v>
      </c>
      <c r="H8" s="6" t="n">
        <v>-91.8</v>
      </c>
      <c r="I8" s="6" t="n">
        <v>-70.90000000000001</v>
      </c>
      <c r="J8" s="6" t="n">
        <v>-80.7</v>
      </c>
      <c r="K8" s="6" t="n">
        <v>-36.1</v>
      </c>
      <c r="L8" s="6" t="n">
        <v>3.7</v>
      </c>
    </row>
    <row r="9">
      <c r="A9" s="6" t="inlineStr">
        <is>
          <t>Amortisation of intangible assets</t>
        </is>
      </c>
      <c r="B9" s="6" t="n">
        <v>6.5</v>
      </c>
      <c r="C9" s="6" t="n">
        <v>8.699999999999999</v>
      </c>
      <c r="D9" s="6" t="n">
        <v>9.6</v>
      </c>
      <c r="E9" s="6" t="n">
        <v>11</v>
      </c>
      <c r="F9" s="6" t="n">
        <v>11.2</v>
      </c>
      <c r="G9" s="6" t="n">
        <v>11.4</v>
      </c>
      <c r="H9" s="6" t="n">
        <v>7</v>
      </c>
      <c r="I9" s="6" t="n">
        <v>4.1</v>
      </c>
      <c r="J9" s="6" t="n">
        <v>0.7</v>
      </c>
      <c r="K9" s="6" t="n">
        <v>0.1</v>
      </c>
      <c r="L9" s="6" t="n">
        <v>11.7</v>
      </c>
    </row>
    <row r="10">
      <c r="A10" s="6" t="inlineStr">
        <is>
          <t>Depreciation of property and equipment</t>
        </is>
      </c>
      <c r="B10" s="6" t="n">
        <v>12.5</v>
      </c>
      <c r="C10" s="6" t="n">
        <v>14.8</v>
      </c>
      <c r="D10" s="6" t="n">
        <v>17.5</v>
      </c>
      <c r="E10" s="6" t="n">
        <v>18.2</v>
      </c>
      <c r="F10" s="6" t="n">
        <v>17.9</v>
      </c>
      <c r="G10" s="6" t="n">
        <v>17.9</v>
      </c>
      <c r="H10" s="6" t="n">
        <v>20</v>
      </c>
      <c r="I10" s="6" t="n">
        <v>4.6</v>
      </c>
      <c r="J10" s="6" t="n">
        <v>5.1</v>
      </c>
      <c r="K10" s="6" t="n">
        <v>7.9</v>
      </c>
      <c r="L10" s="6" t="n">
        <v>10.1</v>
      </c>
    </row>
    <row r="11">
      <c r="A11" s="6" t="inlineStr">
        <is>
          <t>Non-cash flow movements on fair value hedges</t>
        </is>
      </c>
      <c r="B11" s="6" t="n">
        <v>2.3</v>
      </c>
      <c r="C11" s="6" t="n">
        <v>-2.8</v>
      </c>
      <c r="D11" s="6" t="n">
        <v>-2.2</v>
      </c>
      <c r="E11" s="6" t="n">
        <v>0.9</v>
      </c>
      <c r="F11" s="6" t="n">
        <v>0</v>
      </c>
      <c r="G11" s="6" t="n">
        <v>-23.6</v>
      </c>
      <c r="H11" s="6" t="n">
        <v>-60.7</v>
      </c>
      <c r="I11" s="6" t="n"/>
      <c r="J11" s="6" t="n"/>
      <c r="K11" s="6" t="n"/>
      <c r="L11" s="6" t="n"/>
    </row>
    <row r="12">
      <c r="A12" s="6" t="inlineStr">
        <is>
          <t>Non-cash flow movements on subordinated debt (FY2015-FY2018 only - superseded by the fair value hedges line from FY2019)</t>
        </is>
      </c>
      <c r="B12" s="6" t="n"/>
      <c r="C12" s="6" t="n"/>
      <c r="D12" s="6" t="n"/>
      <c r="E12" s="6" t="n"/>
      <c r="F12" s="6" t="n"/>
      <c r="G12" s="6" t="n"/>
      <c r="H12" s="6" t="n"/>
      <c r="I12" s="6" t="n">
        <v>-8.6</v>
      </c>
      <c r="J12" s="6" t="n">
        <v>-11.1</v>
      </c>
      <c r="K12" s="6" t="n">
        <v>-8.9</v>
      </c>
      <c r="L12" s="6" t="n">
        <v>-1.7</v>
      </c>
    </row>
    <row r="13">
      <c r="A13" s="6" t="inlineStr">
        <is>
          <t>Incentive charges / cash-settled incentive payments</t>
        </is>
      </c>
      <c r="B13" s="6" t="n">
        <v>93.09999999999999</v>
      </c>
      <c r="C13" s="6" t="n">
        <v>69.40000000000001</v>
      </c>
      <c r="D13" s="6" t="n">
        <v>72.90000000000001</v>
      </c>
      <c r="E13" s="6" t="n">
        <v>64.59999999999999</v>
      </c>
      <c r="F13" s="6" t="n">
        <v>10.4</v>
      </c>
      <c r="G13" s="6" t="n">
        <v>25.7</v>
      </c>
      <c r="H13" s="6" t="n">
        <v>6.8</v>
      </c>
      <c r="I13" s="6" t="n">
        <v>8.6</v>
      </c>
      <c r="J13" s="6" t="n">
        <v>8</v>
      </c>
      <c r="K13" s="6" t="n">
        <v>12.2</v>
      </c>
      <c r="L13" s="6" t="n">
        <v>10.9</v>
      </c>
    </row>
    <row r="14">
      <c r="A14" s="6" t="inlineStr">
        <is>
          <t>Equity-settled share-based payments</t>
        </is>
      </c>
      <c r="B14" s="6" t="n"/>
      <c r="C14" s="6" t="n"/>
      <c r="D14" s="6" t="n"/>
      <c r="E14" s="6" t="n"/>
      <c r="F14" s="6" t="n">
        <v>-0.3</v>
      </c>
      <c r="G14" s="6" t="n"/>
      <c r="H14" s="6" t="n"/>
      <c r="I14" s="6" t="n"/>
      <c r="J14" s="6" t="n"/>
      <c r="K14" s="6" t="n"/>
      <c r="L14" s="6" t="n">
        <v>0</v>
      </c>
    </row>
    <row r="15">
      <c r="A15" s="6" t="inlineStr">
        <is>
          <t>Net credit impairment charges/(recoveries)</t>
        </is>
      </c>
      <c r="B15" s="6" t="n">
        <v>15</v>
      </c>
      <c r="C15" s="6" t="n">
        <v>2.7</v>
      </c>
      <c r="D15" s="6" t="n">
        <v>-50.2</v>
      </c>
      <c r="E15" s="6" t="n">
        <v>60.8</v>
      </c>
      <c r="F15" s="6" t="n">
        <v>-2.8</v>
      </c>
      <c r="G15" s="6" t="n">
        <v>4.7</v>
      </c>
      <c r="H15" s="6" t="n">
        <v>0.4</v>
      </c>
      <c r="I15" s="6" t="n">
        <v>0.7</v>
      </c>
      <c r="J15" s="6" t="n">
        <v>-8.4</v>
      </c>
      <c r="K15" s="6" t="n">
        <v>0.3</v>
      </c>
      <c r="L15" s="6" t="n">
        <v>0.4</v>
      </c>
    </row>
    <row r="16">
      <c r="A16" s="6" t="inlineStr">
        <is>
          <t>Impairment of property and equipment</t>
        </is>
      </c>
      <c r="B16" s="6" t="n"/>
      <c r="C16" s="6" t="n"/>
      <c r="D16" s="6" t="n"/>
      <c r="E16" s="6" t="n"/>
      <c r="F16" s="6" t="n">
        <v>-0.9</v>
      </c>
      <c r="G16" s="6" t="n">
        <v>2.9</v>
      </c>
      <c r="H16" s="6" t="n">
        <v>3.5</v>
      </c>
      <c r="I16" s="6" t="n"/>
      <c r="J16" s="6" t="n"/>
      <c r="K16" s="6" t="n"/>
      <c r="L16" s="6" t="n"/>
    </row>
    <row r="17">
      <c r="A17" s="6" t="inlineStr">
        <is>
          <t>Impairment of intangible assets</t>
        </is>
      </c>
      <c r="B17" s="6" t="n"/>
      <c r="C17" s="6" t="n"/>
      <c r="D17" s="6" t="n"/>
      <c r="E17" s="6" t="n"/>
      <c r="F17" s="6" t="n">
        <v>0</v>
      </c>
      <c r="G17" s="6" t="n">
        <v>5.4</v>
      </c>
      <c r="H17" s="6" t="n"/>
      <c r="I17" s="6" t="n"/>
      <c r="J17" s="6" t="n"/>
      <c r="K17" s="6" t="n"/>
      <c r="L17" s="6" t="n"/>
    </row>
    <row r="18">
      <c r="A18" s="6" t="inlineStr">
        <is>
          <t>Provisions for commodity inventory intermediation costs</t>
        </is>
      </c>
      <c r="B18" s="6" t="n"/>
      <c r="C18" s="6" t="n"/>
      <c r="D18" s="6" t="n"/>
      <c r="E18" s="6" t="n"/>
      <c r="F18" s="6" t="n">
        <v>-7</v>
      </c>
      <c r="G18" s="6" t="n">
        <v>11</v>
      </c>
      <c r="H18" s="6" t="n">
        <v>49.8</v>
      </c>
      <c r="I18" s="6" t="n"/>
      <c r="J18" s="6" t="n"/>
      <c r="K18" s="6" t="n"/>
      <c r="L18" s="6" t="n"/>
    </row>
    <row r="19">
      <c r="A19" s="6" t="inlineStr">
        <is>
          <t>Restructuring provisions</t>
        </is>
      </c>
      <c r="B19" s="6" t="n"/>
      <c r="C19" s="6" t="n"/>
      <c r="D19" s="6" t="n"/>
      <c r="E19" s="6" t="n"/>
      <c r="F19" s="6" t="n">
        <v>-5.3</v>
      </c>
      <c r="G19" s="6" t="n">
        <v>-10.3</v>
      </c>
      <c r="H19" s="6" t="n">
        <v>18.6</v>
      </c>
      <c r="I19" s="6" t="n"/>
      <c r="J19" s="6" t="n"/>
      <c r="K19" s="6" t="n"/>
      <c r="L19" s="6" t="n"/>
    </row>
    <row r="20">
      <c r="A20" s="6" t="inlineStr">
        <is>
          <t>Other (FY2020 only)</t>
        </is>
      </c>
      <c r="B20" s="6" t="n"/>
      <c r="C20" s="6" t="n"/>
      <c r="D20" s="6" t="n"/>
      <c r="E20" s="6" t="n"/>
      <c r="F20" s="6" t="n"/>
      <c r="G20" s="6" t="n">
        <v>16.8</v>
      </c>
      <c r="H20" s="6" t="n"/>
      <c r="I20" s="6" t="n"/>
      <c r="J20" s="6" t="n"/>
      <c r="K20" s="6" t="n"/>
      <c r="L20" s="6" t="n"/>
    </row>
    <row r="21">
      <c r="A21" s="6" t="inlineStr">
        <is>
          <t>Provisions for leave pay</t>
        </is>
      </c>
      <c r="B21" s="6" t="n">
        <v>-0.1</v>
      </c>
      <c r="C21" s="6" t="n">
        <v>0.3</v>
      </c>
      <c r="D21" s="6" t="n">
        <v>0.3</v>
      </c>
      <c r="E21" s="6" t="n">
        <v>-1.4</v>
      </c>
      <c r="F21" s="6" t="n">
        <v>-0.3</v>
      </c>
      <c r="G21" s="6" t="n">
        <v>1.9</v>
      </c>
      <c r="H21" s="6" t="n">
        <v>0.2</v>
      </c>
      <c r="I21" s="6" t="n">
        <v>0.1</v>
      </c>
      <c r="J21" s="6" t="n">
        <v>0.3</v>
      </c>
      <c r="K21" s="6" t="n">
        <v>-0.2</v>
      </c>
      <c r="L21" s="6" t="n">
        <v>1.7</v>
      </c>
    </row>
    <row r="22">
      <c r="A22" s="5" t="inlineStr">
        <is>
          <t>Subtotal after non-cash adjustments</t>
        </is>
      </c>
      <c r="B22" s="5" t="n">
        <v>405.7</v>
      </c>
      <c r="C22" s="5" t="n">
        <v>232</v>
      </c>
      <c r="D22" s="5" t="n">
        <v>104.6</v>
      </c>
      <c r="E22" s="5" t="n">
        <v>431.1</v>
      </c>
      <c r="F22" s="5" t="n">
        <v>31.6</v>
      </c>
      <c r="G22" s="5" t="n">
        <v>83.8</v>
      </c>
      <c r="H22" s="5" t="n">
        <v>-283.6</v>
      </c>
      <c r="I22" s="5" t="n">
        <v>-57.2</v>
      </c>
      <c r="J22" s="5" t="n">
        <v>-66.59999999999999</v>
      </c>
      <c r="K22" s="5" t="n">
        <v>-121.7</v>
      </c>
      <c r="L22" s="5" t="n">
        <v>-211.1</v>
      </c>
    </row>
    <row r="23">
      <c r="A23" s="5" t="inlineStr">
        <is>
          <t>Changes in operating funds</t>
        </is>
      </c>
      <c r="B23" s="6" t="n"/>
      <c r="C23" s="6" t="n"/>
      <c r="D23" s="6" t="n"/>
      <c r="E23" s="6" t="n"/>
      <c r="F23" s="6" t="n"/>
      <c r="G23" s="6" t="n"/>
      <c r="H23" s="6" t="n"/>
      <c r="I23" s="6" t="n"/>
      <c r="J23" s="6" t="n"/>
      <c r="K23" s="6" t="n"/>
      <c r="L23" s="6" t="n"/>
    </row>
    <row r="24">
      <c r="A24" s="6" t="inlineStr">
        <is>
          <t>(Increase)/decrease in income-earning assets</t>
        </is>
      </c>
      <c r="B24" s="6" t="n">
        <v>-8294</v>
      </c>
      <c r="C24" s="6" t="n">
        <v>-2780.4</v>
      </c>
      <c r="D24" s="6" t="n">
        <v>-4382.4</v>
      </c>
      <c r="E24" s="6" t="n">
        <v>2981.5</v>
      </c>
      <c r="F24" s="6" t="n">
        <v>1974.8</v>
      </c>
      <c r="G24" s="6" t="n">
        <v>-949.1</v>
      </c>
      <c r="H24" s="6" t="n">
        <v>1025.8</v>
      </c>
      <c r="I24" s="6" t="n">
        <v>-1901.8</v>
      </c>
      <c r="J24" s="6" t="n">
        <v>-2498.7</v>
      </c>
      <c r="K24" s="6" t="n">
        <v>-3948.8</v>
      </c>
      <c r="L24" s="6" t="n">
        <v>-816.4</v>
      </c>
    </row>
    <row r="25">
      <c r="A25" s="6" t="inlineStr">
        <is>
          <t>Increase/(decrease) in interest bearing and non-interest bearing liabilities</t>
        </is>
      </c>
      <c r="B25" s="6" t="n">
        <v>6161.5</v>
      </c>
      <c r="C25" s="6" t="n">
        <v>2706.7</v>
      </c>
      <c r="D25" s="6" t="n">
        <v>1994.6</v>
      </c>
      <c r="E25" s="6" t="n">
        <v>-4589.9</v>
      </c>
      <c r="F25" s="6" t="n">
        <v>154.2</v>
      </c>
      <c r="G25" s="6" t="n">
        <v>1072.1</v>
      </c>
      <c r="H25" s="6" t="n">
        <v>296.4</v>
      </c>
      <c r="I25" s="6" t="n">
        <v>1029.5</v>
      </c>
      <c r="J25" s="6" t="n">
        <v>3598.7</v>
      </c>
      <c r="K25" s="6" t="n">
        <v>1868.1</v>
      </c>
      <c r="L25" s="6" t="n">
        <v>2464.7</v>
      </c>
    </row>
    <row r="26">
      <c r="A26" s="5" t="inlineStr">
        <is>
          <t>Changes in operating funds (subtotal)</t>
        </is>
      </c>
      <c r="B26" s="5" t="n">
        <v>-2132.5</v>
      </c>
      <c r="C26" s="5" t="n">
        <v>-73.7</v>
      </c>
      <c r="D26" s="5" t="n">
        <v>-2387.8</v>
      </c>
      <c r="E26" s="5" t="n">
        <v>-1608.4</v>
      </c>
      <c r="F26" s="5" t="n">
        <v>2129</v>
      </c>
      <c r="G26" s="5" t="n">
        <v>123</v>
      </c>
      <c r="H26" s="5" t="n">
        <v>1322.2</v>
      </c>
      <c r="I26" s="5" t="n">
        <v>-872.3</v>
      </c>
      <c r="J26" s="5" t="n">
        <v>1100</v>
      </c>
      <c r="K26" s="5" t="n">
        <v>-2080.7</v>
      </c>
      <c r="L26" s="5" t="n">
        <v>1648.3</v>
      </c>
    </row>
    <row r="27">
      <c r="A27" s="6" t="inlineStr">
        <is>
          <t>Interest received (as reported)</t>
        </is>
      </c>
      <c r="B27" s="6" t="n"/>
      <c r="C27" s="6" t="n"/>
      <c r="D27" s="6" t="n">
        <v>505.7</v>
      </c>
      <c r="E27" s="6" t="n">
        <v>244.1</v>
      </c>
      <c r="F27" s="6" t="n">
        <v>146.2</v>
      </c>
      <c r="G27" s="6" t="n">
        <v>182.6</v>
      </c>
      <c r="H27" s="6" t="n">
        <v>300</v>
      </c>
      <c r="I27" s="6" t="n">
        <v>243.6</v>
      </c>
      <c r="J27" s="6" t="n">
        <v>183.2</v>
      </c>
      <c r="K27" s="6" t="n">
        <v>77.2</v>
      </c>
      <c r="L27" s="6" t="n">
        <v>59</v>
      </c>
    </row>
    <row r="28">
      <c r="A28" s="6" t="inlineStr">
        <is>
          <t>Interest paid (as reported)</t>
        </is>
      </c>
      <c r="B28" s="6" t="n"/>
      <c r="C28" s="6" t="n"/>
      <c r="D28" s="6" t="n">
        <v>-336.2</v>
      </c>
      <c r="E28" s="6" t="n">
        <v>-149.5</v>
      </c>
      <c r="F28" s="6" t="n">
        <v>-24</v>
      </c>
      <c r="G28" s="6" t="n">
        <v>-85.5</v>
      </c>
      <c r="H28" s="6" t="n">
        <v>-201</v>
      </c>
      <c r="I28" s="6" t="n">
        <v>-176.1</v>
      </c>
      <c r="J28" s="6" t="n">
        <v>-100.2</v>
      </c>
      <c r="K28" s="6" t="n">
        <v>-51.1</v>
      </c>
      <c r="L28" s="6" t="n">
        <v>-55</v>
      </c>
    </row>
    <row r="29">
      <c r="A29" s="6" t="inlineStr">
        <is>
          <t>Corporation and withholding tax paid</t>
        </is>
      </c>
      <c r="B29" s="6" t="n">
        <v>-53.5</v>
      </c>
      <c r="C29" s="6" t="n">
        <v>-30.2</v>
      </c>
      <c r="D29" s="6" t="n">
        <v>-37</v>
      </c>
      <c r="E29" s="6" t="n">
        <v>-54.6</v>
      </c>
      <c r="F29" s="6" t="n">
        <v>-27</v>
      </c>
      <c r="G29" s="6" t="n">
        <v>-21.9</v>
      </c>
      <c r="H29" s="6" t="n">
        <v>-10.2</v>
      </c>
      <c r="I29" s="6" t="n">
        <v>-20.2</v>
      </c>
      <c r="J29" s="6" t="n">
        <v>-8.6</v>
      </c>
      <c r="K29" s="6" t="n">
        <v>-0.2</v>
      </c>
      <c r="L29" s="6" t="n">
        <v>-3.4</v>
      </c>
    </row>
    <row r="30">
      <c r="A30" s="5" t="inlineStr">
        <is>
          <t>Cash flows (used in)/from operating activities</t>
        </is>
      </c>
      <c r="B30" s="5" t="n">
        <v>-1780.3</v>
      </c>
      <c r="C30" s="5" t="n">
        <v>128.1</v>
      </c>
      <c r="D30" s="5" t="n">
        <v>-2150.7</v>
      </c>
      <c r="E30" s="5" t="n">
        <v>-1137.3</v>
      </c>
      <c r="F30" s="5" t="n">
        <v>2255.8</v>
      </c>
      <c r="G30" s="5" t="n">
        <v>282</v>
      </c>
      <c r="H30" s="5" t="n">
        <v>1127.4</v>
      </c>
      <c r="I30" s="5" t="n">
        <v>-882.2</v>
      </c>
      <c r="J30" s="5" t="n">
        <v>1107.8</v>
      </c>
      <c r="K30" s="5" t="n">
        <v>-2176.5</v>
      </c>
      <c r="L30" s="5" t="n">
        <v>1437.8</v>
      </c>
    </row>
    <row r="31">
      <c r="A31" s="5" t="inlineStr">
        <is>
          <t>Investing activities</t>
        </is>
      </c>
      <c r="B31" s="6" t="n"/>
      <c r="C31" s="6" t="n"/>
      <c r="D31" s="6" t="n"/>
      <c r="E31" s="6" t="n"/>
      <c r="F31" s="6" t="n"/>
      <c r="G31" s="6" t="n"/>
      <c r="H31" s="6" t="n"/>
      <c r="I31" s="6" t="n"/>
      <c r="J31" s="6" t="n"/>
      <c r="K31" s="6" t="n"/>
      <c r="L31" s="6" t="n"/>
    </row>
    <row r="32">
      <c r="A32" s="6" t="inlineStr">
        <is>
          <t>Capital expenditure on intangible assets</t>
        </is>
      </c>
      <c r="B32" s="6" t="n">
        <v>-5</v>
      </c>
      <c r="C32" s="6" t="n">
        <v>-11.5</v>
      </c>
      <c r="D32" s="6" t="n">
        <v>-5.1</v>
      </c>
      <c r="E32" s="6" t="n">
        <v>-11.4</v>
      </c>
      <c r="F32" s="6" t="n">
        <v>-9.4</v>
      </c>
      <c r="G32" s="6" t="n">
        <v>-5.7</v>
      </c>
      <c r="H32" s="6" t="n">
        <v>-14.7</v>
      </c>
      <c r="I32" s="6" t="n">
        <v>-13</v>
      </c>
      <c r="J32" s="6" t="n">
        <v>-14.2</v>
      </c>
      <c r="K32" s="6" t="n"/>
      <c r="L32" s="6" t="n"/>
    </row>
    <row r="33">
      <c r="A33" s="6" t="inlineStr">
        <is>
          <t>Capital expenditure on property and equipment</t>
        </is>
      </c>
      <c r="B33" s="6" t="n">
        <v>-13</v>
      </c>
      <c r="C33" s="6" t="n">
        <v>-4.9</v>
      </c>
      <c r="D33" s="6" t="n">
        <v>-1.8</v>
      </c>
      <c r="E33" s="6" t="n">
        <v>-4.1</v>
      </c>
      <c r="F33" s="6" t="n">
        <v>-3.1</v>
      </c>
      <c r="G33" s="6" t="n">
        <v>-2.5</v>
      </c>
      <c r="H33" s="6" t="n">
        <v>-3.2</v>
      </c>
      <c r="I33" s="6" t="n">
        <v>-5.9</v>
      </c>
      <c r="J33" s="6" t="n">
        <v>-1.4</v>
      </c>
      <c r="K33" s="6" t="n">
        <v>-9.4</v>
      </c>
      <c r="L33" s="6" t="n">
        <v>-2</v>
      </c>
    </row>
    <row r="34">
      <c r="A34" s="5" t="inlineStr">
        <is>
          <t>Cash flows used in investing activities</t>
        </is>
      </c>
      <c r="B34" s="5" t="n">
        <v>-18</v>
      </c>
      <c r="C34" s="5" t="n">
        <v>-16.4</v>
      </c>
      <c r="D34" s="5" t="n">
        <v>-6.9</v>
      </c>
      <c r="E34" s="5" t="n">
        <v>-15.5</v>
      </c>
      <c r="F34" s="5" t="n">
        <v>-12.5</v>
      </c>
      <c r="G34" s="5" t="n">
        <v>-8.199999999999999</v>
      </c>
      <c r="H34" s="5" t="n">
        <v>-17.9</v>
      </c>
      <c r="I34" s="5" t="n">
        <v>-18.9</v>
      </c>
      <c r="J34" s="5" t="n">
        <v>-15.6</v>
      </c>
      <c r="K34" s="5" t="n">
        <v>-9.4</v>
      </c>
      <c r="L34" s="5" t="n">
        <v>-2</v>
      </c>
    </row>
    <row r="35">
      <c r="A35" s="5" t="inlineStr">
        <is>
          <t>Financing activities</t>
        </is>
      </c>
      <c r="B35" s="6" t="n"/>
      <c r="C35" s="6" t="n"/>
      <c r="D35" s="6" t="n"/>
      <c r="E35" s="6" t="n"/>
      <c r="F35" s="6" t="n"/>
      <c r="G35" s="6" t="n"/>
      <c r="H35" s="6" t="n"/>
      <c r="I35" s="6" t="n"/>
      <c r="J35" s="6" t="n"/>
      <c r="K35" s="6" t="n"/>
      <c r="L35" s="6" t="n"/>
    </row>
    <row r="36">
      <c r="A36" s="6" t="inlineStr">
        <is>
          <t>Equity contribution under indemnity claim (capital contribution from Standard Bank Group, FY2015 only)</t>
        </is>
      </c>
      <c r="B36" s="6" t="n"/>
      <c r="C36" s="6" t="n"/>
      <c r="D36" s="6" t="n"/>
      <c r="E36" s="6" t="n"/>
      <c r="F36" s="6" t="n"/>
      <c r="G36" s="6" t="n"/>
      <c r="H36" s="6" t="n"/>
      <c r="I36" s="6" t="n"/>
      <c r="J36" s="6" t="n"/>
      <c r="K36" s="6" t="n"/>
      <c r="L36" s="6" t="n">
        <v>40.9</v>
      </c>
    </row>
    <row r="37">
      <c r="A37" s="6" t="inlineStr">
        <is>
          <t>Proceeds from issue of ordinary share capital to shareholders</t>
        </is>
      </c>
      <c r="B37" s="6" t="n"/>
      <c r="C37" s="6" t="n"/>
      <c r="D37" s="6" t="n"/>
      <c r="E37" s="6" t="n"/>
      <c r="F37" s="6" t="n"/>
      <c r="G37" s="6" t="n"/>
      <c r="H37" s="6" t="n"/>
      <c r="I37" s="6" t="n"/>
      <c r="J37" s="6" t="n">
        <v>265</v>
      </c>
      <c r="K37" s="6" t="n"/>
      <c r="L37" s="6" t="n">
        <v>300</v>
      </c>
    </row>
    <row r="38">
      <c r="A38" s="6" t="inlineStr">
        <is>
          <t>Proceeds from issuance of other equity instruments (Additional Tier 1 capital, FY2019 only)</t>
        </is>
      </c>
      <c r="B38" s="6" t="n"/>
      <c r="C38" s="6" t="n"/>
      <c r="D38" s="6" t="n"/>
      <c r="E38" s="6" t="n"/>
      <c r="F38" s="6" t="n"/>
      <c r="G38" s="6" t="n"/>
      <c r="H38" s="6" t="n">
        <v>160</v>
      </c>
      <c r="I38" s="6" t="n"/>
      <c r="J38" s="6" t="n"/>
      <c r="K38" s="6" t="n"/>
      <c r="L38" s="6" t="n"/>
    </row>
    <row r="39">
      <c r="A39" s="6" t="inlineStr">
        <is>
          <t>Proceeds from issuance of subordinated debt</t>
        </is>
      </c>
      <c r="B39" s="6" t="n"/>
      <c r="C39" s="6" t="n">
        <v>100</v>
      </c>
      <c r="D39" s="6" t="n"/>
      <c r="E39" s="6" t="n">
        <v>150</v>
      </c>
      <c r="F39" s="6" t="n"/>
      <c r="G39" s="6" t="n"/>
      <c r="H39" s="6" t="n">
        <v>100</v>
      </c>
      <c r="I39" s="6" t="n"/>
      <c r="J39" s="6" t="n">
        <v>150</v>
      </c>
      <c r="K39" s="6" t="n"/>
      <c r="L39" s="6" t="n"/>
    </row>
    <row r="40">
      <c r="A40" s="6" t="inlineStr">
        <is>
          <t>Repayment of subordinated debt</t>
        </is>
      </c>
      <c r="B40" s="6" t="n"/>
      <c r="C40" s="6" t="n">
        <v>-100</v>
      </c>
      <c r="D40" s="6" t="n"/>
      <c r="E40" s="6" t="n">
        <v>-150</v>
      </c>
      <c r="F40" s="6" t="n"/>
      <c r="G40" s="6" t="n"/>
      <c r="H40" s="6" t="n">
        <v>-500</v>
      </c>
      <c r="I40" s="6" t="n"/>
      <c r="J40" s="6" t="n"/>
      <c r="K40" s="6" t="n">
        <v>-137.9</v>
      </c>
      <c r="L40" s="6" t="n"/>
    </row>
    <row r="41">
      <c r="A41" s="6" t="inlineStr">
        <is>
          <t>Dividend payment on ordinary share capital</t>
        </is>
      </c>
      <c r="B41" s="6" t="n">
        <v>-41.8</v>
      </c>
      <c r="C41" s="6" t="n">
        <v>-49.9</v>
      </c>
      <c r="D41" s="6" t="n"/>
      <c r="E41" s="6" t="n"/>
      <c r="F41" s="6" t="n"/>
      <c r="G41" s="6" t="n"/>
      <c r="H41" s="6" t="n"/>
      <c r="I41" s="6" t="n"/>
      <c r="J41" s="6" t="n"/>
      <c r="K41" s="6" t="n"/>
      <c r="L41" s="6" t="n"/>
    </row>
    <row r="42">
      <c r="A42" s="6" t="inlineStr">
        <is>
          <t>Coupon payment on other equity instruments</t>
        </is>
      </c>
      <c r="B42" s="6" t="n">
        <v>-12.4</v>
      </c>
      <c r="C42" s="6" t="n">
        <v>-12.2</v>
      </c>
      <c r="D42" s="6" t="n">
        <v>-12.2</v>
      </c>
      <c r="E42" s="6" t="n">
        <v>-12.2</v>
      </c>
      <c r="F42" s="6" t="n">
        <v>-12.2</v>
      </c>
      <c r="G42" s="6" t="n"/>
      <c r="H42" s="6" t="n"/>
      <c r="I42" s="6" t="n"/>
      <c r="J42" s="6" t="n"/>
      <c r="K42" s="6" t="n"/>
      <c r="L42" s="6" t="n"/>
    </row>
    <row r="43">
      <c r="A43" s="6" t="inlineStr">
        <is>
          <t>Principal payments on leasehold liabilities</t>
        </is>
      </c>
      <c r="B43" s="6" t="n">
        <v>-9.4</v>
      </c>
      <c r="C43" s="6" t="n">
        <v>-8.5</v>
      </c>
      <c r="D43" s="6" t="n">
        <v>-10.4</v>
      </c>
      <c r="E43" s="6" t="n">
        <v>-9.699999999999999</v>
      </c>
      <c r="F43" s="6" t="n">
        <v>-12.5</v>
      </c>
      <c r="G43" s="6" t="n">
        <v>-16</v>
      </c>
      <c r="H43" s="6" t="n">
        <v>-19.7</v>
      </c>
      <c r="I43" s="6" t="n"/>
      <c r="J43" s="6" t="n"/>
      <c r="K43" s="6" t="n"/>
      <c r="L43" s="6" t="n"/>
    </row>
    <row r="44">
      <c r="A44" s="5" t="inlineStr">
        <is>
          <t>Cash flows used in financing activities</t>
        </is>
      </c>
      <c r="B44" s="5" t="n">
        <v>-63.6</v>
      </c>
      <c r="C44" s="5" t="n">
        <v>-70.59999999999999</v>
      </c>
      <c r="D44" s="5" t="n">
        <v>-22.6</v>
      </c>
      <c r="E44" s="5" t="n">
        <v>-21.9</v>
      </c>
      <c r="F44" s="5" t="n">
        <v>-24.7</v>
      </c>
      <c r="G44" s="5" t="n">
        <v>-16</v>
      </c>
      <c r="H44" s="5" t="n">
        <v>-259.7</v>
      </c>
      <c r="I44" s="5" t="n">
        <v>0</v>
      </c>
      <c r="J44" s="5" t="n">
        <v>415</v>
      </c>
      <c r="K44" s="5" t="n">
        <v>-137.9</v>
      </c>
      <c r="L44" s="5" t="n">
        <v>340.9</v>
      </c>
    </row>
    <row r="45">
      <c r="A45" s="5" t="inlineStr">
        <is>
          <t>Net (decrease)/increase in cash and cash equivalents</t>
        </is>
      </c>
      <c r="B45" s="5" t="n">
        <v>-1861.9</v>
      </c>
      <c r="C45" s="5" t="n">
        <v>41.1</v>
      </c>
      <c r="D45" s="5" t="n">
        <v>-2180.2</v>
      </c>
      <c r="E45" s="5" t="n">
        <v>-1174.7</v>
      </c>
      <c r="F45" s="5" t="n">
        <v>2218.6</v>
      </c>
      <c r="G45" s="5" t="n">
        <v>257.8</v>
      </c>
      <c r="H45" s="5" t="n">
        <v>849.8</v>
      </c>
      <c r="I45" s="5" t="n">
        <v>-901.1</v>
      </c>
      <c r="J45" s="5" t="n">
        <v>1507.2</v>
      </c>
      <c r="K45" s="5" t="n">
        <v>-2323.8</v>
      </c>
      <c r="L45" s="5" t="n">
        <v>1776.7</v>
      </c>
    </row>
    <row r="46">
      <c r="A46" s="6" t="inlineStr">
        <is>
          <t>Effects of exchange rate changes on cash and cash equivalents</t>
        </is>
      </c>
      <c r="B46" s="6" t="n">
        <v>2.5</v>
      </c>
      <c r="C46" s="6" t="n">
        <v>-23.5</v>
      </c>
      <c r="D46" s="6" t="n">
        <v>-65.8</v>
      </c>
      <c r="E46" s="6" t="n">
        <v>42.6</v>
      </c>
      <c r="F46" s="6" t="n">
        <v>-2.5</v>
      </c>
      <c r="G46" s="6" t="n">
        <v>0.5</v>
      </c>
      <c r="H46" s="6" t="n">
        <v>5.7</v>
      </c>
      <c r="I46" s="6" t="n">
        <v>0.9</v>
      </c>
      <c r="J46" s="6" t="n">
        <v>51</v>
      </c>
      <c r="K46" s="6" t="n">
        <v>-17.8</v>
      </c>
      <c r="L46" s="6" t="n">
        <v>-0.7</v>
      </c>
    </row>
    <row r="47">
      <c r="A47" s="6" t="inlineStr">
        <is>
          <t>Cash and cash equivalents at beginning of the year</t>
        </is>
      </c>
      <c r="B47" s="6" t="n">
        <v>2762</v>
      </c>
      <c r="C47" s="6" t="n">
        <v>2744.4</v>
      </c>
      <c r="D47" s="6" t="n">
        <v>4990.4</v>
      </c>
      <c r="E47" s="6" t="n">
        <v>6122.5</v>
      </c>
      <c r="F47" s="6" t="n">
        <v>3906.4</v>
      </c>
      <c r="G47" s="6" t="n">
        <v>3648.1</v>
      </c>
      <c r="H47" s="6" t="n">
        <v>2792.6</v>
      </c>
      <c r="I47" s="6" t="n">
        <v>3692.8</v>
      </c>
      <c r="J47" s="6" t="n">
        <v>2134.6</v>
      </c>
      <c r="K47" s="6" t="n">
        <v>4476.2</v>
      </c>
      <c r="L47" s="6" t="n">
        <v>2700.2</v>
      </c>
    </row>
    <row r="48">
      <c r="A48" s="5" t="inlineStr">
        <is>
          <t>Cash and cash equivalents at end of the year</t>
        </is>
      </c>
      <c r="B48" s="5" t="n">
        <v>902.6</v>
      </c>
      <c r="C48" s="5" t="n">
        <v>2762</v>
      </c>
      <c r="D48" s="5" t="n">
        <v>2744.4</v>
      </c>
      <c r="E48" s="5" t="n">
        <v>4990.4</v>
      </c>
      <c r="F48" s="5" t="n">
        <v>6122.5</v>
      </c>
      <c r="G48" s="5" t="n">
        <v>3906.4</v>
      </c>
      <c r="H48" s="5" t="n">
        <v>3648.1</v>
      </c>
      <c r="I48" s="5" t="n">
        <v>2792.6</v>
      </c>
      <c r="J48" s="5" t="n">
        <v>3692.8</v>
      </c>
      <c r="K48" s="5" t="n">
        <v>2134.6</v>
      </c>
      <c r="L48" s="5" t="n">
        <v>4476.2</v>
      </c>
    </row>
    <row r="50" ht="110" customHeight="1">
      <c r="A50" s="8" t="inlineStr">
        <is>
          <t>Sources — all figures are ICBC Standard Bank Plc consolidated (Group) statement of cash flows, $m:
FY2025 &amp; FY2024: ICBC Standard Bank Consolidated Annual Report 2025, p.68 (Consolidated Statement of Cash Flows) — https://v.icbc.com.cn/userfiles/resources/icbc/haiwai/standardbank/download/2023/consolidatedannualreport2025.pdf
FY2023 &amp; FY2022: ICBC Standard Bank Consolidated Annual Report 2023, p.65 (11. Consolidated statement of cash flows) — https://v.icbc.com.cn/userfiles/resources/icbc/haiwai/standardbank/download/2023/2023annualreportyasuo.pdf
FY2021: ICBC Standard Bank Consolidated Annual Report 2021, p.65 (10. Consolidated statement of cash flows) — https://v.icbc.com.cn/userfiles/Resources/ICBC/haiwai/StandardBank/Download/2022/Consolidated_Annual_Report_2021.pdf
FY2020: ICBC Standard Bank Consolidated Annual Report 2020, p.55 (10. Consolidated statement of cash flows) — https://v.icbc.com.cn/userfiles/Resources/ICBC/haiwai/StandardBank/Download/2021/ConsolidatedAnnualReport20.pdf
FY2019: ICBC Standard Bank Consolidated Annual Report 2019, p.51 (10. Consolidated statement of cash flows) — https://v.icbc.com.cn/userfiles/Resources/ICBC/haiwai/StandardBank/Download/2020/ConsolidatedAnnualReport.pdf
FY2018: ICBC Standard Bank Consolidated Annual Report 2018, p.40 (10. Consolidated statement of cash flows) — https://v.icbc.com.cn/userfiles/Resources/ICBC/haiwai/StandardBank/Download/2019/Consolidated_Annual_Report_2018.pdf
FY2017: ICBC Standard Bank Consolidated Annual Report 2017, p.36 (10. Consolidated statement of cash flows) — https://v.icbc.com.cn/userfiles/Resources/ICBC/haiwai/StandardBank/Download/2019/Consolidated_Annual_Report_2017.pdf
FY2016: ICBC Standard Bank Consolidated Annual Report 2016, p.24 (10. Consolidated statement of cash flows) — https://v.icbc.com.cn/userfiles/Resources/ICBC/haiwai/StandardBank/Download/2019/ConsolidatedAnnualReport2016.pdf
FY2015: ICBC Standard Bank Consolidated Annual Report 2015, p.39 (10. Consolidated statement of cash flows) — https://v.icbc.com.cn/userfiles/Resources/ICBC/haiwai/StandardBank/Download/2019/ICBCStandardBankPlcAFS2015.pdf
Note: presentation granularity changed across report vintages. FY2025/FY2024 report a single 'Non-cash items included in profit before tax' adjustment and disclose interest received/paid only in a footnote; FY2023/FY2022 separately reconcile 'Net interest income' and show 'Interest received'/'Interest paid' as distinct lines within operating activities; FY2021-FY2019 itemise several non-cash adjustments (equity/cash-settled share-based payments, impairments, restructuring/commodity-inventory provisions, fair-value hedge movements) matching FY2021's own structure; FY2018-FY2015 use a shorter adjustments list (no fair-value-hedge or commodity-inventory-provision lines, since those specific instruments/policies did not yet exist) and FY2017-FY2015 additionally show 'Interest received'/'Interest paid' as explicit operating-activities lines (dropped from FY2018 onward, reappearing only as the FY2023/FY2022 explicit lines). FY2015's statement further splits 'Loss before taxation' into continuing vs. discontinued-operations rows (ICBCS discontinued a small business line in 2014/2015) - shown here as a single 'Profit before taxation' figure equal to their sum, with a separate 'Discontinued operations' adjusting row. Blank cells indicate that year's report did not disclose that specific line; all section totals (cash flows from operating/investing/financing activities, and cash and cash equivalents at start/end of year) reconcile exactly year-on-year across all 11 years, including FY2020's own closing cash and cash equivalents ($3,906.4m) tying exactly to FY2021's own opening balance.</t>
        </is>
      </c>
    </row>
  </sheetData>
  <mergeCells count="1">
    <mergeCell ref="A50:L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Asset Quality</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Gross balances subject to the three-stage ECL model (IFRS 9, FY2018 onward)</t>
        </is>
      </c>
      <c r="B4" s="6" t="n"/>
      <c r="C4" s="6" t="n"/>
      <c r="D4" s="6" t="n"/>
      <c r="E4" s="6" t="n"/>
      <c r="F4" s="6" t="n"/>
      <c r="G4" s="6" t="n"/>
      <c r="H4" s="6" t="n"/>
      <c r="I4" s="6" t="n"/>
      <c r="J4" s="6" t="n"/>
      <c r="K4" s="6" t="n"/>
      <c r="L4" s="6" t="n"/>
    </row>
    <row r="5">
      <c r="A5" s="6" t="inlineStr">
        <is>
          <t>Stage 1 (12-month ECL)</t>
        </is>
      </c>
      <c r="B5" s="6" t="n">
        <v>13357.1</v>
      </c>
      <c r="C5" s="6" t="n">
        <v>11465.1</v>
      </c>
      <c r="D5" s="6" t="n">
        <v>9323.6</v>
      </c>
      <c r="E5" s="6" t="n">
        <v>10617.5</v>
      </c>
      <c r="F5" s="6" t="n">
        <v>11586.6</v>
      </c>
      <c r="G5" s="6" t="n">
        <v>12106.4</v>
      </c>
      <c r="H5" s="6" t="n">
        <v>10363.9</v>
      </c>
      <c r="I5" s="6" t="n">
        <v>10256.9</v>
      </c>
      <c r="J5" s="6" t="n"/>
      <c r="K5" s="6" t="n"/>
      <c r="L5" s="6" t="n"/>
    </row>
    <row r="6">
      <c r="A6" s="6" t="inlineStr">
        <is>
          <t>Stage 2 (lifetime ECL, not credit-impaired)</t>
        </is>
      </c>
      <c r="B6" s="6" t="n">
        <v>38.3</v>
      </c>
      <c r="C6" s="6" t="n">
        <v>0</v>
      </c>
      <c r="D6" s="6" t="n">
        <v>0</v>
      </c>
      <c r="E6" s="6" t="n">
        <v>9.800000000000001</v>
      </c>
      <c r="F6" s="6" t="n">
        <v>66.8</v>
      </c>
      <c r="G6" s="6" t="n">
        <v>5.1</v>
      </c>
      <c r="H6" s="6" t="n">
        <v>9.1</v>
      </c>
      <c r="I6" s="6" t="n">
        <v>34.6</v>
      </c>
      <c r="J6" s="6" t="n"/>
      <c r="K6" s="6" t="n"/>
      <c r="L6" s="6" t="n"/>
    </row>
    <row r="7">
      <c r="A7" s="6" t="inlineStr">
        <is>
          <t>Stage 3 (lifetime ECL, credit-impaired)</t>
        </is>
      </c>
      <c r="B7" s="6" t="n">
        <v>0</v>
      </c>
      <c r="C7" s="6" t="n">
        <v>0</v>
      </c>
      <c r="D7" s="6" t="n">
        <v>0</v>
      </c>
      <c r="E7" s="6" t="n">
        <v>28.3</v>
      </c>
      <c r="F7" s="6" t="n"/>
      <c r="G7" s="6" t="n">
        <v>7.7</v>
      </c>
      <c r="H7" s="6" t="n">
        <v>135.9</v>
      </c>
      <c r="I7" s="6" t="n">
        <v>0.2</v>
      </c>
      <c r="J7" s="6" t="n"/>
      <c r="K7" s="6" t="n"/>
      <c r="L7" s="6" t="n"/>
    </row>
    <row r="8">
      <c r="A8" s="6" t="inlineStr">
        <is>
          <t>Purchased or originated credit-impaired (POCI)</t>
        </is>
      </c>
      <c r="B8" s="6" t="n">
        <v>5.7</v>
      </c>
      <c r="C8" s="6" t="n">
        <v>5.3</v>
      </c>
      <c r="D8" s="6" t="n">
        <v>10.8</v>
      </c>
      <c r="E8" s="6" t="n">
        <v>95.09999999999999</v>
      </c>
      <c r="F8" s="6" t="n"/>
      <c r="G8" s="6" t="n"/>
      <c r="H8" s="6" t="n"/>
      <c r="I8" s="6" t="n"/>
      <c r="J8" s="6" t="n"/>
      <c r="K8" s="6" t="n"/>
      <c r="L8" s="6" t="n"/>
    </row>
    <row r="9">
      <c r="A9" s="5" t="inlineStr">
        <is>
          <t>Total gross balances subject to ECL</t>
        </is>
      </c>
      <c r="B9" s="5" t="n">
        <v>13401.1</v>
      </c>
      <c r="C9" s="5" t="n">
        <v>11470.4</v>
      </c>
      <c r="D9" s="5" t="n">
        <v>9334.4</v>
      </c>
      <c r="E9" s="5" t="n">
        <v>10750.7</v>
      </c>
      <c r="F9" s="5" t="n">
        <v>11653.4</v>
      </c>
      <c r="G9" s="5" t="n">
        <v>12119.2</v>
      </c>
      <c r="H9" s="5" t="n">
        <v>10508.9</v>
      </c>
      <c r="I9" s="5" t="n">
        <v>10291.7</v>
      </c>
      <c r="J9" s="5" t="n"/>
      <c r="K9" s="5" t="n"/>
      <c r="L9" s="5" t="n"/>
    </row>
    <row r="10">
      <c r="A10" s="5" t="inlineStr">
        <is>
          <t>Credit loss allowance, by stage (year-end balance) (IFRS 9, FY2018 onward)</t>
        </is>
      </c>
      <c r="B10" s="6" t="n"/>
      <c r="C10" s="6" t="n"/>
      <c r="D10" s="6" t="n"/>
      <c r="E10" s="6" t="n"/>
      <c r="F10" s="6" t="n"/>
      <c r="G10" s="6" t="n"/>
      <c r="H10" s="6" t="n"/>
      <c r="I10" s="6" t="n"/>
      <c r="J10" s="6" t="n"/>
      <c r="K10" s="6" t="n"/>
      <c r="L10" s="6" t="n"/>
    </row>
    <row r="11">
      <c r="A11" s="6" t="inlineStr">
        <is>
          <t>Stage 1 (12-month ECL)</t>
        </is>
      </c>
      <c r="B11" s="6" t="n">
        <v>-25.4</v>
      </c>
      <c r="C11" s="6" t="n">
        <v>-15.9</v>
      </c>
      <c r="D11" s="6" t="n">
        <v>-13.2</v>
      </c>
      <c r="E11" s="6" t="n">
        <v>-7.3</v>
      </c>
      <c r="F11" s="6" t="n">
        <v>-5</v>
      </c>
      <c r="G11" s="6" t="n">
        <v>-4.2</v>
      </c>
      <c r="H11" s="6" t="n">
        <v>-3.8</v>
      </c>
      <c r="I11" s="6" t="n">
        <v>-3.9</v>
      </c>
      <c r="J11" s="6" t="n"/>
      <c r="K11" s="6" t="n"/>
      <c r="L11" s="6" t="n"/>
    </row>
    <row r="12">
      <c r="A12" s="6" t="inlineStr">
        <is>
          <t>Stage 2 (lifetime ECL, not credit-impaired)</t>
        </is>
      </c>
      <c r="B12" s="6" t="n">
        <v>-4</v>
      </c>
      <c r="C12" s="6" t="n">
        <v>0</v>
      </c>
      <c r="D12" s="6" t="n">
        <v>0</v>
      </c>
      <c r="E12" s="6" t="n">
        <v>-3.8</v>
      </c>
      <c r="F12" s="6" t="n">
        <v>-0.3</v>
      </c>
      <c r="G12" s="6" t="n">
        <v>-0.1</v>
      </c>
      <c r="H12" s="6" t="n">
        <v>-0.5</v>
      </c>
      <c r="I12" s="6" t="n">
        <v>-0.1</v>
      </c>
      <c r="J12" s="6" t="n"/>
      <c r="K12" s="6" t="n"/>
      <c r="L12" s="6" t="n"/>
    </row>
    <row r="13">
      <c r="A13" s="6" t="inlineStr">
        <is>
          <t>Stage 3 (lifetime ECL, credit-impaired)</t>
        </is>
      </c>
      <c r="B13" s="6" t="n">
        <v>0</v>
      </c>
      <c r="C13" s="6" t="n">
        <v>0</v>
      </c>
      <c r="D13" s="6" t="n">
        <v>0</v>
      </c>
      <c r="E13" s="6" t="n">
        <v>-4.1</v>
      </c>
      <c r="F13" s="6" t="n">
        <v>0</v>
      </c>
      <c r="G13" s="6" t="n">
        <v>-4.8</v>
      </c>
      <c r="H13" s="6" t="n">
        <v>-0.2</v>
      </c>
      <c r="I13" s="6" t="n">
        <v>-0.2</v>
      </c>
      <c r="J13" s="6" t="n"/>
      <c r="K13" s="6" t="n"/>
      <c r="L13" s="6" t="n"/>
    </row>
    <row r="14">
      <c r="A14" s="6" t="inlineStr">
        <is>
          <t>Purchased or originated credit-impaired (POCI)</t>
        </is>
      </c>
      <c r="B14" s="6" t="n">
        <v>-5.3</v>
      </c>
      <c r="C14" s="6" t="n">
        <v>-3.5</v>
      </c>
      <c r="D14" s="6" t="n">
        <v>-3.6</v>
      </c>
      <c r="E14" s="6" t="n">
        <v>-51.4</v>
      </c>
      <c r="F14" s="6" t="n"/>
      <c r="G14" s="6" t="n"/>
      <c r="H14" s="6" t="n"/>
      <c r="I14" s="6" t="n"/>
      <c r="J14" s="6" t="n"/>
      <c r="K14" s="6" t="n"/>
      <c r="L14" s="6" t="n"/>
    </row>
    <row r="15">
      <c r="A15" s="5" t="inlineStr">
        <is>
          <t>Total credit loss allowance</t>
        </is>
      </c>
      <c r="B15" s="5" t="n">
        <v>-34.7</v>
      </c>
      <c r="C15" s="5" t="n">
        <v>-19.4</v>
      </c>
      <c r="D15" s="5" t="n">
        <v>-16.8</v>
      </c>
      <c r="E15" s="5" t="n">
        <v>-66.59999999999999</v>
      </c>
      <c r="F15" s="5" t="n">
        <v>-5.3</v>
      </c>
      <c r="G15" s="5" t="n">
        <v>-9</v>
      </c>
      <c r="H15" s="5" t="n">
        <v>-4.5</v>
      </c>
      <c r="I15" s="5" t="n">
        <v>-4.2</v>
      </c>
      <c r="J15" s="5" t="n"/>
      <c r="K15" s="5" t="n"/>
      <c r="L15" s="5" t="n"/>
    </row>
    <row r="16">
      <c r="A16" s="5" t="inlineStr">
        <is>
          <t>Derived coverage ratio (IFRS 9 years)</t>
        </is>
      </c>
      <c r="B16" s="6" t="n"/>
      <c r="C16" s="6" t="n"/>
      <c r="D16" s="6" t="n"/>
      <c r="E16" s="6" t="n"/>
      <c r="F16" s="6" t="n"/>
      <c r="G16" s="6" t="n"/>
      <c r="H16" s="6" t="n"/>
      <c r="I16" s="6" t="n"/>
      <c r="J16" s="6" t="n"/>
      <c r="K16" s="6" t="n"/>
      <c r="L16" s="6" t="n"/>
    </row>
    <row r="17">
      <c r="A17" s="6" t="inlineStr">
        <is>
          <t>Total credit loss allowance / total gross balances subject to ECL</t>
        </is>
      </c>
      <c r="B17" s="6" t="inlineStr">
        <is>
          <t>0.26%</t>
        </is>
      </c>
      <c r="C17" s="6" t="inlineStr">
        <is>
          <t>0.17%</t>
        </is>
      </c>
      <c r="D17" s="6" t="inlineStr">
        <is>
          <t>0.18%</t>
        </is>
      </c>
      <c r="E17" s="6" t="inlineStr">
        <is>
          <t>0.62%</t>
        </is>
      </c>
      <c r="F17" s="6" t="inlineStr">
        <is>
          <t>0.05%</t>
        </is>
      </c>
      <c r="G17" s="6" t="inlineStr">
        <is>
          <t>0.07%</t>
        </is>
      </c>
      <c r="H17" s="6" t="inlineStr">
        <is>
          <t>0.04%</t>
        </is>
      </c>
      <c r="I17" s="6" t="inlineStr">
        <is>
          <t>0.04%</t>
        </is>
      </c>
      <c r="J17" s="6" t="n"/>
      <c r="K17" s="6" t="n"/>
      <c r="L17" s="6" t="n"/>
    </row>
    <row r="18">
      <c r="A18" s="5" t="inlineStr">
        <is>
          <t>Pre-IFRS 9 basis (IAS 39 incurred-loss model, FY2015-FY2017 - not directly comparable to the three-stage ECL figures above)</t>
        </is>
      </c>
      <c r="B18" s="6" t="n"/>
      <c r="C18" s="6" t="n"/>
      <c r="D18" s="6" t="n"/>
      <c r="E18" s="6" t="n"/>
      <c r="F18" s="6" t="n"/>
      <c r="G18" s="6" t="n"/>
      <c r="H18" s="6" t="n"/>
      <c r="I18" s="6" t="n"/>
      <c r="J18" s="6" t="n"/>
      <c r="K18" s="6" t="n"/>
      <c r="L18" s="6" t="n"/>
    </row>
    <row r="19">
      <c r="A19" s="6" t="inlineStr">
        <is>
          <t>Specifically impaired loans and advances (gross)</t>
        </is>
      </c>
      <c r="B19" s="6" t="n"/>
      <c r="C19" s="6" t="n"/>
      <c r="D19" s="6" t="n"/>
      <c r="E19" s="6" t="n"/>
      <c r="F19" s="6" t="n"/>
      <c r="G19" s="6" t="n"/>
      <c r="H19" s="6" t="n"/>
      <c r="I19" s="6" t="n"/>
      <c r="J19" s="6" t="n">
        <v>0.5</v>
      </c>
      <c r="K19" s="6" t="n">
        <v>0</v>
      </c>
      <c r="L19" s="6" t="n">
        <v>0</v>
      </c>
    </row>
    <row r="20">
      <c r="A20" s="6" t="inlineStr">
        <is>
          <t>Specific impairment allowance</t>
        </is>
      </c>
      <c r="B20" s="6" t="n"/>
      <c r="C20" s="6" t="n"/>
      <c r="D20" s="6" t="n"/>
      <c r="E20" s="6" t="n"/>
      <c r="F20" s="6" t="n"/>
      <c r="G20" s="6" t="n"/>
      <c r="H20" s="6" t="n"/>
      <c r="I20" s="6" t="n"/>
      <c r="J20" s="6" t="n">
        <v>-0.4</v>
      </c>
      <c r="K20" s="6" t="n">
        <v>0</v>
      </c>
      <c r="L20" s="6" t="n">
        <v>0</v>
      </c>
    </row>
    <row r="21">
      <c r="A21" s="6" t="inlineStr">
        <is>
          <t>Portfolio (collective) impairment allowance for performing loans</t>
        </is>
      </c>
      <c r="B21" s="6" t="n"/>
      <c r="C21" s="6" t="n"/>
      <c r="D21" s="6" t="n"/>
      <c r="E21" s="6" t="n"/>
      <c r="F21" s="6" t="n"/>
      <c r="G21" s="6" t="n"/>
      <c r="H21" s="6" t="n"/>
      <c r="I21" s="6" t="n"/>
      <c r="J21" s="6" t="n">
        <v>-3.8</v>
      </c>
      <c r="K21" s="6" t="n">
        <v>-6.3</v>
      </c>
      <c r="L21" s="6" t="n">
        <v>-12.3</v>
      </c>
    </row>
    <row r="22">
      <c r="A22" s="5" t="inlineStr">
        <is>
          <t>Total impairment allowance (specific + portfolio)</t>
        </is>
      </c>
      <c r="B22" s="5" t="n"/>
      <c r="C22" s="5" t="n"/>
      <c r="D22" s="5" t="n"/>
      <c r="E22" s="5" t="n"/>
      <c r="F22" s="5" t="n"/>
      <c r="G22" s="5" t="n"/>
      <c r="H22" s="5" t="n"/>
      <c r="I22" s="5" t="n"/>
      <c r="J22" s="5" t="n">
        <v>-4.2</v>
      </c>
      <c r="K22" s="5" t="n">
        <v>-6.3</v>
      </c>
      <c r="L22" s="5" t="n">
        <v>-12.3</v>
      </c>
    </row>
    <row r="24" ht="140" customHeight="1">
      <c r="A24"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Consolidated Annual Report 2025, p.159-160 (Note 37.4 Credit risk - Analysis of gross balances/Movements in credit loss allowances) — https://v.icbc.com.cn/userfiles/resources/icbc/haiwai/standardbank/download/2023/consolidatedannualreport2025.pdf
FY2023 &amp; FY2022: ICBC Standard Bank Consolidated Annual Report 2023, p.147-148 (Note 37 Risk management - same tables) — https://v.icbc.com.cn/userfiles/resources/icbc/haiwai/standardbank/download/2023/2023annualreportyasuo.pdf
FY2021: ICBC Standard Bank Consolidated Annual Report 2021, p.143-144 (Note 37 Risk management - same tables) — https://v.icbc.com.cn/userfiles/Resources/ICBC/haiwai/StandardBank/Download/2022/Consolidated_Annual_Report_2021.pdf
FY2020: ICBC Standard Bank Consolidated Annual Report 2020, p.130-131 (Note 37 Risk management - Analysis of gross balances / Movements in credit loss allowances) — https://v.icbc.com.cn/userfiles/Resources/ICBC/haiwai/StandardBank/Download/2021/ConsolidatedAnnualReport20.pdf
FY2019: ICBC Standard Bank Consolidated Annual Report 2019, p.123-124 (Note 37 Risk management - same tables) — https://v.icbc.com.cn/userfiles/Resources/ICBC/haiwai/StandardBank/Download/2020/ConsolidatedAnnualReport.pdf
FY2018: ICBC Standard Bank Consolidated Annual Report 2018, p.104 (Note 37 Risk management - same tables) — https://v.icbc.com.cn/userfiles/Resources/ICBC/haiwai/StandardBank/Download/2019/Consolidated_Annual_Report_2018.pdf
FY2017: ICBC Standard Bank Consolidated Annual Report 2017, p.95 (Note 37 Risk management - Analysis of specifically impaired loans and advances / Performing portfolio impairments) — https://v.icbc.com.cn/userfiles/Resources/ICBC/haiwai/StandardBank/Download/2019/Consolidated_Annual_Report_2017.pdf
FY2016: ICBC Standard Bank Consolidated Annual Report 2016, p.82 (Note 37 Risk management - same tables) — https://v.icbc.com.cn/userfiles/Resources/ICBC/haiwai/StandardBank/Download/2019/ConsolidatedAnnualReport2016.pdf
FY2015: ICBC Standard Bank Consolidated Annual Report 2015, p.123 (Note 37 Risk management - same tables) — https://v.icbc.com.cn/userfiles/Resources/ICBC/haiwai/StandardBank/Download/2019/ICBCStandardBankPlcAFS2015.pdf
Note: coverage is across the Group's entire ECL-model population (cash, interbank placements, reverse repos, loans and advances, financial investments, commitments/guarantees) - not restricted to customer loans, since that is how the Group's own credit-risk note is structured. FY2021's own disclosure does not break out a separate POCI column (leave blank, not zero) or a distinct 'Sub-standard/Doubtful/Loss' Stage 3 sub-split; FY2021 Stage 3 total is genuinely nil. The derived coverage ratio (total allowance / total gross balances) is computed here for a comparable cross-year signal, not itself a disclosed figure. IMPORTANT BASIS CAVEAT: ICBCS adopted IFRS 9's three-stage expected credit loss (ECL) model from 1 January 2018 (see the Statement of Changes in Equity sheet's transition-adjustment row); FY2015-FY2017 instead disclose impairment under IAS 39's incurred-loss model - an 'Analysis of specifically impaired loans and advances' (Sub-standard/Doubtful/Loss grading) plus a separate collective 'Performing portfolio impairment' provision, not a forward-looking staged model. These are shown in their own section below the IFRS 9 figures rather than force-mapped into the Stage 1/2/3 columns, since the two bases measure genuinely different things (incurred losses already identified vs. forward-looking expected losses) - a caveat, not a data gap. FY2015-FY2016 both show zero specifically-impaired loans (all impairment was portfolio/collective); FY2017 shows a small $0.5m specifically impaired balance. There are no past-due-but-not-impaired exposures disclosed in any of FY2015-FY2021.</t>
        </is>
      </c>
    </row>
  </sheetData>
  <mergeCells count="1">
    <mergeCell ref="A24:L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CET1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1819.5</v>
      </c>
      <c r="C4" s="6" t="n">
        <v>1676.1</v>
      </c>
      <c r="D4" s="6" t="n">
        <v>1629.1</v>
      </c>
      <c r="E4" s="6" t="n">
        <v>1454.6</v>
      </c>
      <c r="F4" s="6" t="n">
        <v>1148.4</v>
      </c>
      <c r="G4" s="6" t="n">
        <v>1072.9</v>
      </c>
      <c r="H4" s="6" t="n">
        <v>948.3</v>
      </c>
      <c r="I4" s="6" t="n">
        <v>1204</v>
      </c>
      <c r="J4" s="6" t="n">
        <v>1229.5</v>
      </c>
      <c r="K4" s="6" t="n">
        <v>928.6</v>
      </c>
      <c r="L4" s="6" t="n">
        <v>1051</v>
      </c>
    </row>
    <row r="5" ht="60" customHeight="1">
      <c r="A5" s="7" t="inlineStr">
        <is>
          <t>Note: FY2021-FY2015 figures are each year's own 'Total Common Equity Tier I' from that year's Table 5 (Capital Resources), the transitional-basis equivalent of the UK KM1 template row used from FY2022 onward. Additional Tier 1 capital did not exist before a $160.0m issuance to ICBC in December 2019, so CET1 capital equals Tier 1 capital exactly for FY2015-FY2018.</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CET1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ratio</t>
        </is>
      </c>
      <c r="B4" s="6" t="inlineStr">
        <is>
          <t>12.2%</t>
        </is>
      </c>
      <c r="C4" s="6" t="inlineStr">
        <is>
          <t>14.6%</t>
        </is>
      </c>
      <c r="D4" s="6" t="inlineStr">
        <is>
          <t>16.9%</t>
        </is>
      </c>
      <c r="E4" s="6" t="inlineStr">
        <is>
          <t>15.7%</t>
        </is>
      </c>
      <c r="F4" s="6" t="inlineStr">
        <is>
          <t>13.47%</t>
        </is>
      </c>
      <c r="G4" s="6" t="inlineStr">
        <is>
          <t>13.21%</t>
        </is>
      </c>
      <c r="H4" s="6" t="inlineStr">
        <is>
          <t>13.64%</t>
        </is>
      </c>
      <c r="I4" s="6" t="inlineStr">
        <is>
          <t>18.52%</t>
        </is>
      </c>
      <c r="J4" s="6" t="inlineStr">
        <is>
          <t>15.59%</t>
        </is>
      </c>
      <c r="K4" s="6" t="inlineStr">
        <is>
          <t>14.6%</t>
        </is>
      </c>
      <c r="L4" s="6" t="inlineStr">
        <is>
          <t>13.87%</t>
        </is>
      </c>
    </row>
    <row r="6" ht="100" customHeight="1">
      <c r="A6"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Tier 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1979.5</v>
      </c>
      <c r="C4" s="6" t="n">
        <v>1836.1</v>
      </c>
      <c r="D4" s="6" t="n">
        <v>1789.1</v>
      </c>
      <c r="E4" s="6" t="n">
        <v>1614.6</v>
      </c>
      <c r="F4" s="6" t="n">
        <v>1308.4</v>
      </c>
      <c r="G4" s="6" t="n">
        <v>1232.9</v>
      </c>
      <c r="H4" s="6" t="n">
        <v>1108.3</v>
      </c>
      <c r="I4" s="6" t="n">
        <v>1204</v>
      </c>
      <c r="J4" s="6" t="n">
        <v>1229.5</v>
      </c>
      <c r="K4" s="6" t="n">
        <v>928.6</v>
      </c>
      <c r="L4" s="6" t="n">
        <v>1051</v>
      </c>
    </row>
    <row r="6" ht="100" customHeight="1">
      <c r="A6"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Tier 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13.3%</t>
        </is>
      </c>
      <c r="C4" s="6" t="inlineStr">
        <is>
          <t>16.0%</t>
        </is>
      </c>
      <c r="D4" s="6" t="inlineStr">
        <is>
          <t>18.5%</t>
        </is>
      </c>
      <c r="E4" s="6" t="inlineStr">
        <is>
          <t>17.5%</t>
        </is>
      </c>
      <c r="F4" s="6" t="inlineStr">
        <is>
          <t>15.35%</t>
        </is>
      </c>
      <c r="G4" s="6" t="inlineStr">
        <is>
          <t>15.18%</t>
        </is>
      </c>
      <c r="H4" s="6" t="inlineStr">
        <is>
          <t>15.94%</t>
        </is>
      </c>
      <c r="I4" s="6" t="inlineStr">
        <is>
          <t>18.52%</t>
        </is>
      </c>
      <c r="J4" s="6" t="inlineStr">
        <is>
          <t>15.59%</t>
        </is>
      </c>
      <c r="K4" s="6" t="inlineStr">
        <is>
          <t>14.6%</t>
        </is>
      </c>
      <c r="L4" s="6" t="inlineStr">
        <is>
          <t>13.9%</t>
        </is>
      </c>
    </row>
    <row r="5" ht="60" customHeight="1">
      <c r="A5" s="7" t="inlineStr">
        <is>
          <t>Note: FY2021 figure is 'Tier 1 Risk Asset Ratio' from Table 5, the transitional-basis equivalent of the later UK KM1 template row; same for FY2020-FY2015. Tier 1 ratio equals the CET1 ratio exactly for FY2015-FY2018 (no Additional Tier 1 capital existed yet).</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Total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2229.5</v>
      </c>
      <c r="C4" s="6" t="n">
        <v>2086.1</v>
      </c>
      <c r="D4" s="6" t="n">
        <v>2039.1</v>
      </c>
      <c r="E4" s="6" t="n">
        <v>1864.6</v>
      </c>
      <c r="F4" s="6" t="n">
        <v>1558.4</v>
      </c>
      <c r="G4" s="6" t="n">
        <v>1482.9</v>
      </c>
      <c r="H4" s="6" t="n">
        <v>1358.3</v>
      </c>
      <c r="I4" s="6" t="n">
        <v>1446.1</v>
      </c>
      <c r="J4" s="6" t="n">
        <v>1575.4</v>
      </c>
      <c r="K4" s="6" t="n">
        <v>1227.3</v>
      </c>
      <c r="L4" s="6" t="n">
        <v>1449.6</v>
      </c>
    </row>
    <row r="5" ht="60" customHeight="1">
      <c r="A5" s="7" t="inlineStr">
        <is>
          <t>Note: FY2021-FY2015 figures are each year's own 'Total eligible capital' from that year's Table 5, the transitional-basis equivalent of the later UK KM1 template row.</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Total Capital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15.0%</t>
        </is>
      </c>
      <c r="C4" s="6" t="inlineStr">
        <is>
          <t>18.1%</t>
        </is>
      </c>
      <c r="D4" s="6" t="inlineStr">
        <is>
          <t>21.1%</t>
        </is>
      </c>
      <c r="E4" s="6" t="inlineStr">
        <is>
          <t>20.2%</t>
        </is>
      </c>
      <c r="F4" s="6" t="inlineStr">
        <is>
          <t>18.28%</t>
        </is>
      </c>
      <c r="G4" s="6" t="inlineStr">
        <is>
          <t>18.26%</t>
        </is>
      </c>
      <c r="H4" s="6" t="inlineStr">
        <is>
          <t>19.54%</t>
        </is>
      </c>
      <c r="I4" s="6" t="inlineStr">
        <is>
          <t>22.25%</t>
        </is>
      </c>
      <c r="J4" s="6" t="inlineStr">
        <is>
          <t>19.97%</t>
        </is>
      </c>
      <c r="K4" s="6" t="inlineStr">
        <is>
          <t>19.3%</t>
        </is>
      </c>
      <c r="L4" s="6" t="inlineStr">
        <is>
          <t>19.13%</t>
        </is>
      </c>
    </row>
    <row r="5" ht="60" customHeight="1">
      <c r="A5" s="7" t="inlineStr">
        <is>
          <t>Note: FY2021-FY2015 figures are each year's own 'Capital Adequacy ratio' from that year's Table 5, the transitional-basis equivalent of the later UK KM1 template row.</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Total RWAs</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14902.7</v>
      </c>
      <c r="C4" s="6" t="n">
        <v>11500.1</v>
      </c>
      <c r="D4" s="6" t="n">
        <v>9653.200000000001</v>
      </c>
      <c r="E4" s="6" t="n">
        <v>9251</v>
      </c>
      <c r="F4" s="6" t="n">
        <v>8526.299999999999</v>
      </c>
      <c r="G4" s="6" t="n">
        <v>8122.8</v>
      </c>
      <c r="H4" s="6" t="n">
        <v>6952.8</v>
      </c>
      <c r="I4" s="6" t="n">
        <v>6500.2</v>
      </c>
      <c r="J4" s="6" t="n">
        <v>7887.7</v>
      </c>
      <c r="K4" s="6" t="n">
        <v>6362.8</v>
      </c>
      <c r="L4" s="6" t="n">
        <v>7579.7</v>
      </c>
    </row>
    <row r="6" ht="100" customHeight="1">
      <c r="A6"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RWA Breakdown</t>
        </is>
      </c>
    </row>
    <row r="2">
      <c r="A2" s="2" t="inlineStr">
        <is>
          <t>ICBC Standard Bank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Risk-weighted exposure amounts by category</t>
        </is>
      </c>
      <c r="B4" s="6" t="n"/>
      <c r="C4" s="6" t="n"/>
      <c r="D4" s="6" t="n"/>
      <c r="E4" s="6" t="n"/>
      <c r="F4" s="6" t="n"/>
      <c r="G4" s="6" t="n"/>
      <c r="H4" s="6" t="n"/>
      <c r="I4" s="6" t="n"/>
      <c r="J4" s="6" t="n"/>
      <c r="K4" s="6" t="n"/>
      <c r="L4" s="6" t="n"/>
    </row>
    <row r="5">
      <c r="A5" s="6" t="inlineStr">
        <is>
          <t>Credit risk (excluding CCR)</t>
        </is>
      </c>
      <c r="B5" s="6" t="n">
        <v>3495</v>
      </c>
      <c r="C5" s="6" t="n">
        <v>2736.3</v>
      </c>
      <c r="D5" s="6" t="n">
        <v>2692.2</v>
      </c>
      <c r="E5" s="6" t="n">
        <v>1770.9</v>
      </c>
      <c r="F5" s="6" t="n"/>
      <c r="G5" s="6" t="n"/>
      <c r="H5" s="6" t="n"/>
      <c r="I5" s="6" t="n"/>
      <c r="J5" s="6" t="n"/>
      <c r="K5" s="6" t="n"/>
      <c r="L5" s="6" t="n"/>
    </row>
    <row r="6">
      <c r="A6" s="6" t="inlineStr">
        <is>
          <t>Credit risk, counterparty credit risk and dilution risk, combined (pre-UK-OV1 disclosure format used FY2015-FY2021 - not separable into the components above; derived from each year's own capital requirement ÷8%)</t>
        </is>
      </c>
      <c r="B6" s="6" t="n"/>
      <c r="C6" s="6" t="n"/>
      <c r="D6" s="6" t="n"/>
      <c r="E6" s="6" t="n"/>
      <c r="F6" s="6" t="n">
        <v>3830</v>
      </c>
      <c r="G6" s="6" t="n">
        <v>3565</v>
      </c>
      <c r="H6" s="6" t="n">
        <v>3590</v>
      </c>
      <c r="I6" s="6" t="n">
        <v>3116.25</v>
      </c>
      <c r="J6" s="6" t="n">
        <v>3396.25</v>
      </c>
      <c r="K6" s="6" t="n">
        <v>2772.5</v>
      </c>
      <c r="L6" s="6" t="n">
        <v>2832.5</v>
      </c>
    </row>
    <row r="7">
      <c r="A7" s="6" t="inlineStr">
        <is>
          <t>Counterparty credit risk (CCR)</t>
        </is>
      </c>
      <c r="B7" s="6" t="n">
        <v>5023.6</v>
      </c>
      <c r="C7" s="6" t="n">
        <v>2843.7</v>
      </c>
      <c r="D7" s="6" t="n">
        <v>2109.9</v>
      </c>
      <c r="E7" s="6" t="n">
        <v>1854</v>
      </c>
      <c r="F7" s="6" t="n"/>
      <c r="G7" s="6" t="n"/>
      <c r="H7" s="6" t="n"/>
      <c r="I7" s="6" t="n"/>
      <c r="J7" s="6" t="n"/>
      <c r="K7" s="6" t="n"/>
      <c r="L7" s="6" t="n"/>
    </row>
    <row r="8">
      <c r="A8" s="6" t="inlineStr">
        <is>
          <t>Of which credit valuation adjustment (CVA)</t>
        </is>
      </c>
      <c r="B8" s="6" t="n">
        <v>460.4</v>
      </c>
      <c r="C8" s="6" t="n">
        <v>276</v>
      </c>
      <c r="D8" s="6" t="n">
        <v>219.9</v>
      </c>
      <c r="E8" s="6" t="n">
        <v>243.4</v>
      </c>
      <c r="F8" s="6" t="n">
        <v>193.75</v>
      </c>
      <c r="G8" s="6" t="n">
        <v>286.25</v>
      </c>
      <c r="H8" s="6" t="n">
        <v>278.75</v>
      </c>
      <c r="I8" s="6" t="n">
        <v>601.25</v>
      </c>
      <c r="J8" s="6" t="n">
        <v>312.5</v>
      </c>
      <c r="K8" s="6" t="n">
        <v>246.25</v>
      </c>
      <c r="L8" s="6" t="n">
        <v>308.75</v>
      </c>
    </row>
    <row r="9">
      <c r="A9" s="6" t="inlineStr">
        <is>
          <t>Settlement risk</t>
        </is>
      </c>
      <c r="B9" s="6" t="n">
        <v>0.2</v>
      </c>
      <c r="C9" s="6" t="n">
        <v>0.6</v>
      </c>
      <c r="D9" s="6" t="n">
        <v>0.1</v>
      </c>
      <c r="E9" s="6" t="n">
        <v>24.9</v>
      </c>
      <c r="F9" s="6" t="n">
        <v>2.5</v>
      </c>
      <c r="G9" s="6" t="n">
        <v>1.25</v>
      </c>
      <c r="H9" s="6" t="n">
        <v>10</v>
      </c>
      <c r="I9" s="6" t="n">
        <v>2.5</v>
      </c>
      <c r="J9" s="6" t="n">
        <v>2.5</v>
      </c>
      <c r="K9" s="6" t="n">
        <v>3.75</v>
      </c>
      <c r="L9" s="6" t="n">
        <v>1.25</v>
      </c>
    </row>
    <row r="10">
      <c r="A10" s="6" t="inlineStr">
        <is>
          <t>Securitisation exposures in the non-trading book</t>
        </is>
      </c>
      <c r="B10" s="6" t="n">
        <v>0</v>
      </c>
      <c r="C10" s="6" t="n">
        <v>0</v>
      </c>
      <c r="D10" s="6" t="n">
        <v>0</v>
      </c>
      <c r="E10" s="6" t="n">
        <v>0</v>
      </c>
      <c r="F10" s="6" t="n"/>
      <c r="G10" s="6" t="n"/>
      <c r="H10" s="6" t="n"/>
      <c r="I10" s="6" t="n"/>
      <c r="J10" s="6" t="n"/>
      <c r="K10" s="6" t="n"/>
      <c r="L10" s="6" t="n"/>
    </row>
    <row r="11">
      <c r="A11" s="6" t="inlineStr">
        <is>
          <t>Market risk (position, foreign exchange and commodities)</t>
        </is>
      </c>
      <c r="B11" s="6" t="n">
        <v>4799.2</v>
      </c>
      <c r="C11" s="6" t="n">
        <v>4464.4</v>
      </c>
      <c r="D11" s="6" t="n">
        <v>3475.5</v>
      </c>
      <c r="E11" s="6" t="n">
        <v>4277.5</v>
      </c>
      <c r="F11" s="6" t="n">
        <v>3681.25</v>
      </c>
      <c r="G11" s="6" t="n">
        <v>3485</v>
      </c>
      <c r="H11" s="6" t="n">
        <v>2396.25</v>
      </c>
      <c r="I11" s="6" t="n">
        <v>1991.25</v>
      </c>
      <c r="J11" s="6" t="n">
        <v>3612.5</v>
      </c>
      <c r="K11" s="6" t="n">
        <v>2706.25</v>
      </c>
      <c r="L11" s="6" t="n">
        <v>3175</v>
      </c>
    </row>
    <row r="12">
      <c r="A12" s="6" t="inlineStr">
        <is>
          <t>Operational risk</t>
        </is>
      </c>
      <c r="B12" s="6" t="n">
        <v>1402.4</v>
      </c>
      <c r="C12" s="6" t="n">
        <v>1455.1</v>
      </c>
      <c r="D12" s="6" t="n">
        <v>1375.5</v>
      </c>
      <c r="E12" s="6" t="n">
        <v>1323.7</v>
      </c>
      <c r="F12" s="6" t="n">
        <v>818.75</v>
      </c>
      <c r="G12" s="6" t="n">
        <v>757.5</v>
      </c>
      <c r="H12" s="6" t="n">
        <v>677.5</v>
      </c>
      <c r="I12" s="6" t="n">
        <v>790</v>
      </c>
      <c r="J12" s="6" t="n">
        <v>460</v>
      </c>
      <c r="K12" s="6" t="n">
        <v>537.5</v>
      </c>
      <c r="L12" s="6" t="n">
        <v>760</v>
      </c>
    </row>
    <row r="13">
      <c r="A13" s="6" t="inlineStr">
        <is>
          <t>Large exposures in the trading book (pre-UK-OV1 disclosure format only - no equivalent line in the later UK OV1 template)</t>
        </is>
      </c>
      <c r="B13" s="6" t="n"/>
      <c r="C13" s="6" t="n"/>
      <c r="D13" s="6" t="n"/>
      <c r="E13" s="6" t="n"/>
      <c r="F13" s="6" t="n"/>
      <c r="G13" s="6" t="n">
        <v>28.75</v>
      </c>
      <c r="H13" s="6" t="n">
        <v>0</v>
      </c>
      <c r="I13" s="6" t="n">
        <v>0</v>
      </c>
      <c r="J13" s="6" t="n">
        <v>103.75</v>
      </c>
      <c r="K13" s="6" t="n">
        <v>96.25</v>
      </c>
      <c r="L13" s="6" t="n">
        <v>500</v>
      </c>
    </row>
    <row r="14">
      <c r="A14" s="6" t="inlineStr">
        <is>
          <t>Amounts below thresholds for deduction (subject to 250% risk weight, for information)</t>
        </is>
      </c>
      <c r="B14" s="6" t="n">
        <v>4.9</v>
      </c>
      <c r="C14" s="6" t="n">
        <v>3</v>
      </c>
      <c r="D14" s="6" t="n">
        <v>5.4</v>
      </c>
      <c r="E14" s="6" t="n">
        <v>1.5</v>
      </c>
      <c r="F14" s="6" t="n"/>
      <c r="G14" s="6" t="n"/>
      <c r="H14" s="6" t="n"/>
      <c r="I14" s="6" t="n"/>
      <c r="J14" s="6" t="n"/>
      <c r="K14" s="6" t="n"/>
      <c r="L14" s="6" t="n"/>
    </row>
    <row r="15">
      <c r="A15" s="5" t="inlineStr">
        <is>
          <t>Total risk-weighted exposure amount</t>
        </is>
      </c>
      <c r="B15" s="5" t="n">
        <v>14902.7</v>
      </c>
      <c r="C15" s="5" t="n">
        <v>11500.1</v>
      </c>
      <c r="D15" s="5" t="n">
        <v>9653.200000000001</v>
      </c>
      <c r="E15" s="5" t="n">
        <v>9251</v>
      </c>
      <c r="F15" s="5" t="n">
        <v>8526.299999999999</v>
      </c>
      <c r="G15" s="5" t="n">
        <v>8122.8</v>
      </c>
      <c r="H15" s="5" t="n">
        <v>6952.8</v>
      </c>
      <c r="I15" s="5" t="n">
        <v>6500.2</v>
      </c>
      <c r="J15" s="5" t="n">
        <v>7887.7</v>
      </c>
      <c r="K15" s="5" t="n">
        <v>6362.8</v>
      </c>
      <c r="L15" s="5" t="n">
        <v>7579.7</v>
      </c>
    </row>
    <row r="17" ht="150" customHeight="1">
      <c r="A17"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Pillar 3 Disclosures 2025, p.6 (UK OV1 - Overview of risk-weighted exposure amounts) — https://v.icbc.com.cn/userfiles/resources/icbc/haiwai/standardbank/download/2023/2025pillar3disclosures.pdf
FY2023 &amp; FY2022: ICBC Standard Bank Pillar 3 Disclosures 2023, p.6-7 (UK OV1) — https://v.icbc.com.cn/userfiles/resources/icbc/haiwai/standardbank/download/2023/2023pillar3.pdf
FY2021: ICBC Standard Bank Pillar 3 Disclosures 2021, p.24 (Table 6: ICBCS - Capital Requirements, pre-UK-OV1 format) — https://v.icbc.com.cn/userfiles/Resources/ICBC/haiwai/StandardBank/Download/2022/2021_Pillar_3_document.pdf
FY2020: ICBC Standard Bank Pillar 3 Disclosures 2020, p.25 (Table 7: ICBCS - Capital Requirements) — https://v.icbc.com.cn/userfiles/Resources/ICBC/haiwai/StandardBank/Download/2021/2020Pillar3.pdf
FY2019: ICBC Standard Bank Pillar 3 Disclosures 2019, p.26 (Table 8: ICBCS - Capital Requirements) — https://v.icbc.com.cn/userfiles/Resources/ICBC/haiwai/StandardBank/Download/2020/Pillar3Disclosures19.pdf
FY2018: ICBC Standard Bank Pillar 3 Disclosures 2018, p.24 (Table 6: ICBCS - Capital Requirements) — https://v.icbc.com.cn/userfiles/Resources/ICBC/haiwai/StandardBank/Download/2019/Pillar_3_Disclosures_2018.pdf
FY2017: ICBC Standard Bank Pillar 3 Disclosures 2017, p.24 (Table 6: ICBCS - Capital Requirements) — https://v.icbc.com.cn/userfiles/Resources/ICBC/haiwai/StandardBank/Download/2019/Pillar_3_Disclosures_2017.pdf
FY2016: ICBC Standard Bank Pillar 3 Disclosures 2016, p.22 (Table 6: ICBCS - Capital Requirements) — https://v.icbc.com.cn/userfiles/Resources/ICBC/haiwai/StandardBank/Download/2019/Pillar3Disclosures2016.pdf
FY2015: ICBC Standard Bank Pillar 3 Disclosures 2015, p.25-26 (Table 6: ICBCS - Capital Requirements) — https://v.icbc.com.cn/userfiles/Resources/ICBC/haiwai/StandardBank/Download/2019/ICBCS_Pillar_3_2015.pdf
Note: every one of FY2015-FY2021's Pillar 3 documents predates the UK OV1 template and combines credit, counterparty credit and dilution risk into one 'standardised approach' capital-requirement line, so none of them can be split into 'Credit risk (excluding CCR)' and 'Counterparty credit risk (CCR)' the way FY2022 onward's disclosures are - shown as its own combined line instead of blended into either category. All FY2015-FY2021 category figures are derived (disclosed capital requirement ÷ 8%, the standard CRR conversion), not directly disclosed as RWA amounts; each year's derived components sum to that year's own disclosed Total RWA (to within rounding, e.g. FY2015: $7,577.5m derived vs. $7,579.7m disclosed). FY2015-FY2021's documents also carry a 'Large exposures in the trading book' capital-requirement line with no equivalent in the later UK OV1 template (shown as its own row, genuinely zero for FY2018/FY2019 rather than not disclosed) and have no 'Securitisation exposures' or 'Amounts below thresholds for deduction' line at all (genuinely not disclosed in that format, left blank rather than assumed zero).</t>
        </is>
      </c>
    </row>
  </sheetData>
  <mergeCells count="1">
    <mergeCell ref="A17:L1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Leverage Ratio</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exposure measure excluding claims on central banks ($m)</t>
        </is>
      </c>
      <c r="B4" s="6" t="n">
        <v>35294.7</v>
      </c>
      <c r="C4" s="6" t="n">
        <v>26624</v>
      </c>
      <c r="D4" s="6" t="n">
        <v>23301</v>
      </c>
      <c r="E4" s="6" t="n">
        <v>20958.2</v>
      </c>
      <c r="F4" s="6" t="n">
        <v>25680</v>
      </c>
      <c r="G4" s="6" t="n">
        <v>25179</v>
      </c>
      <c r="H4" s="6" t="n">
        <v>23166</v>
      </c>
      <c r="I4" s="6" t="n">
        <v>23996</v>
      </c>
      <c r="J4" s="6" t="n">
        <v>25016</v>
      </c>
      <c r="K4" s="6" t="n">
        <v>19938</v>
      </c>
      <c r="L4" s="6" t="n">
        <v>19607</v>
      </c>
    </row>
    <row r="5">
      <c r="A5" s="6" t="inlineStr">
        <is>
          <t>Leverage ratio excluding claims on central banks (%)</t>
        </is>
      </c>
      <c r="B5" s="6" t="inlineStr">
        <is>
          <t>5.6%</t>
        </is>
      </c>
      <c r="C5" s="6" t="inlineStr">
        <is>
          <t>6.9%</t>
        </is>
      </c>
      <c r="D5" s="6" t="inlineStr">
        <is>
          <t>7.7%</t>
        </is>
      </c>
      <c r="E5" s="6" t="inlineStr">
        <is>
          <t>7.7%</t>
        </is>
      </c>
      <c r="F5" s="6" t="inlineStr">
        <is>
          <t>5.09%</t>
        </is>
      </c>
      <c r="G5" s="6" t="inlineStr">
        <is>
          <t>4.90%</t>
        </is>
      </c>
      <c r="H5" s="6" t="inlineStr">
        <is>
          <t>4.78%</t>
        </is>
      </c>
      <c r="I5" s="6" t="inlineStr">
        <is>
          <t>5.02%</t>
        </is>
      </c>
      <c r="J5" s="6" t="inlineStr">
        <is>
          <t>4.91%</t>
        </is>
      </c>
      <c r="K5" s="6" t="inlineStr">
        <is>
          <t>4.66%</t>
        </is>
      </c>
      <c r="L5" s="6" t="inlineStr">
        <is>
          <t>5.36%</t>
        </is>
      </c>
    </row>
    <row r="6" ht="60" customHeight="1">
      <c r="A6" s="7" t="inlineStr">
        <is>
          <t>Note: FY2021-FY2015 all use the CRR Leverage Ratio Common Disclosure Template's 'Total leverage ratio exposures' and 'Leverage ratio' rows (Annex D) — the pre-'excluding central banks' presentation format used before the later UK KM1 template split the exposure measure basis.</t>
        </is>
      </c>
    </row>
    <row r="8" ht="100" customHeight="1">
      <c r="A8"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p.90 (Annex D: Leverage Ratio Common Disclosure Template) — https://v.icbc.com.cn/userfiles/Resources/ICBC/haiwai/StandardBank/Download/2021/2020Pillar3.pdf
FY2019: ICBC Standard Bank Pillar 3 Disclosures 2019, p.94 (Annex D: Leverage Ratio Common Disclosure Template) — https://v.icbc.com.cn/userfiles/Resources/ICBC/haiwai/StandardBank/Download/2020/Pillar3Disclosures19.pdf
FY2018: ICBC Standard Bank Pillar 3 Disclosures 2018, p.87 (Annex D: Leverage Ratio Common Disclosure Template) — https://v.icbc.com.cn/userfiles/Resources/ICBC/haiwai/StandardBank/Download/2019/Pillar_3_Disclosures_2018.pdf
FY2017: ICBC Standard Bank Pillar 3 Disclosures 2017, p.88 (Annex D: Leverage Ratio Common Disclosure Template) — https://v.icbc.com.cn/userfiles/Resources/ICBC/haiwai/StandardBank/Download/2019/Pillar_3_Disclosures_2017.pdf
FY2016: ICBC Standard Bank Pillar 3 Disclosures 2016, p.85 (Annex D: Leverage Ratio Common Disclosure Template) — https://v.icbc.com.cn/userfiles/Resources/ICBC/haiwai/StandardBank/Download/2019/Pillar3Disclosures2016.pdf
FY2015: ICBC Standard Bank Pillar 3 Disclosures 2015, p.83 (Annex D: Leverage Ratio Common Disclosure Template)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8:L8"/>
    <mergeCell ref="A6:L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LCR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high-quality liquid assets (HQLA), weighted value (average) ($m)</t>
        </is>
      </c>
      <c r="B4" s="6" t="n">
        <v>5294.2</v>
      </c>
      <c r="C4" s="6" t="n">
        <v>5216.2</v>
      </c>
      <c r="D4" s="6" t="n">
        <v>5704.2</v>
      </c>
      <c r="E4" s="6" t="n">
        <v>6280.5</v>
      </c>
      <c r="F4" s="6" t="n">
        <v>5027</v>
      </c>
      <c r="G4" s="6" t="n">
        <v>4371</v>
      </c>
      <c r="H4" s="6" t="n">
        <v>4856</v>
      </c>
      <c r="I4" s="6" t="n">
        <v>4458</v>
      </c>
      <c r="J4" s="6" t="n">
        <v>4322</v>
      </c>
      <c r="K4" s="6" t="n"/>
      <c r="L4" s="6" t="n"/>
    </row>
    <row r="5">
      <c r="A5" s="6" t="inlineStr">
        <is>
          <t>Total net cash outflows, adjusted value ($m)</t>
        </is>
      </c>
      <c r="B5" s="6" t="n">
        <v>2777.2</v>
      </c>
      <c r="C5" s="6" t="n">
        <v>2422.5</v>
      </c>
      <c r="D5" s="6" t="n">
        <v>3561.5</v>
      </c>
      <c r="E5" s="6" t="n">
        <v>2926.2</v>
      </c>
      <c r="F5" s="6" t="n">
        <v>2425</v>
      </c>
      <c r="G5" s="6" t="n">
        <v>2426</v>
      </c>
      <c r="H5" s="6" t="n">
        <v>2509</v>
      </c>
      <c r="I5" s="6" t="n">
        <v>2062</v>
      </c>
      <c r="J5" s="6" t="n">
        <v>3126</v>
      </c>
      <c r="K5" s="6" t="n"/>
      <c r="L5" s="6" t="n"/>
    </row>
    <row r="6">
      <c r="A6" s="6" t="inlineStr">
        <is>
          <t>Liquidity Coverage Ratio (%)</t>
        </is>
      </c>
      <c r="B6" s="6" t="inlineStr">
        <is>
          <t>197.3%</t>
        </is>
      </c>
      <c r="C6" s="6" t="inlineStr">
        <is>
          <t>226.7%</t>
        </is>
      </c>
      <c r="D6" s="6" t="inlineStr">
        <is>
          <t>165.3%</t>
        </is>
      </c>
      <c r="E6" s="6" t="inlineStr">
        <is>
          <t>206.0%</t>
        </is>
      </c>
      <c r="F6" s="6" t="inlineStr">
        <is>
          <t>207%</t>
        </is>
      </c>
      <c r="G6" s="6" t="inlineStr">
        <is>
          <t>180%</t>
        </is>
      </c>
      <c r="H6" s="6" t="inlineStr">
        <is>
          <t>195%</t>
        </is>
      </c>
      <c r="I6" s="6" t="inlineStr">
        <is>
          <t>217%</t>
        </is>
      </c>
      <c r="J6" s="6" t="inlineStr">
        <is>
          <t>145%</t>
        </is>
      </c>
      <c r="K6" s="6" t="inlineStr">
        <is>
          <t>159%</t>
        </is>
      </c>
      <c r="L6" s="6" t="inlineStr">
        <is>
          <t>Not publicly disclosed</t>
        </is>
      </c>
    </row>
    <row r="7" ht="60" customHeight="1">
      <c r="A7" s="7" t="inlineStr">
        <is>
          <t>Note: LCR figures are averages of month-end observations over the 12 months preceding each year-end. FY2021-FY2017 figures are each year's own 31 December quarter-end column of the 'Consolidated Liquidity Coverage Ratio for ICBCS (Group)' table, the same consolidated-Group basis used by the later UK KM1 template rows. FY2016's Pillar 3 document discloses only a single point-in-time LCR% as at 31 December 2016 (159%, PRA minimum 80% that year) with no HQLA/net-outflow $ breakdown and not framed as a 12-month average - a narrower disclosure format than later years', shown with blank $m cells rather than a fabricated breakdown. FY2015's Pillar 3 document discusses the LCR requirement only qualitatively, with no numeric LCR%, HQLA or net-outflow figure disclosed at all that year (the EBA/PRA quarterly LCR disclosure tables used from FY2017 onward were not yet in place) - a genuine self-skip, not a search failure.</t>
        </is>
      </c>
    </row>
    <row r="9" ht="100" customHeight="1">
      <c r="A9"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p.30 (Table 8/9/10: Consolidated Liquidity Coverage Ratio for ICBCS (Group)) — https://v.icbc.com.cn/userfiles/Resources/ICBC/haiwai/StandardBank/Download/2021/2020Pillar3.pdf
FY2019: ICBC Standard Bank Pillar 3 Disclosures 2019, p.31 (Table 8/9/10: Consolidated Liquidity Coverage Ratio for ICBCS (Group)) — https://v.icbc.com.cn/userfiles/Resources/ICBC/haiwai/StandardBank/Download/2020/Pillar3Disclosures19.pdf
FY2018: ICBC Standard Bank Pillar 3 Disclosures 2018, p.29 (Table 8/9/10: Consolidated Liquidity Coverage Ratio for ICBCS (Group)) — https://v.icbc.com.cn/userfiles/Resources/ICBC/haiwai/StandardBank/Download/2019/Pillar_3_Disclosures_2018.pdf
FY2017: ICBC Standard Bank Pillar 3 Disclosures 2017, p.30 (Table 8/9/10: Consolidated Liquidity Coverage Ratio for ICBCS (Group)) — https://v.icbc.com.cn/userfiles/Resources/ICBC/haiwai/StandardBank/Download/2019/Pillar_3_Disclosures_2017.pdf
FY2016: ICBC Standard Bank Pillar 3 Disclosures 2016, p.27 (Table 8/9/10: Consolidated Liquidity Coverage Ratio for ICBCS (Group)) — https://v.icbc.com.cn/userfiles/Resources/ICBC/haiwai/StandardBank/Download/2019/Pillar3Disclosures2016.pdf
FY2015: ICBC Standard Bank Pillar 3 Disclosures 2015, p.27 (Table 8/9/10: Consolidated Liquidity Coverage Ratio for ICBCS (Group))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7:L7"/>
    <mergeCell ref="A9:L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NSFR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available stable funding ($m)</t>
        </is>
      </c>
      <c r="B4" s="6" t="n">
        <v>9393</v>
      </c>
      <c r="C4" s="6" t="n">
        <v>8348.6</v>
      </c>
      <c r="D4" s="6" t="n">
        <v>7963.4</v>
      </c>
      <c r="E4" s="6" t="n">
        <v>8417.6</v>
      </c>
      <c r="F4" s="6" t="n"/>
      <c r="G4" s="6" t="n"/>
      <c r="H4" s="6" t="n"/>
      <c r="I4" s="6" t="n"/>
      <c r="J4" s="6" t="n"/>
      <c r="K4" s="6" t="n"/>
      <c r="L4" s="6" t="n"/>
    </row>
    <row r="5">
      <c r="A5" s="6" t="inlineStr">
        <is>
          <t>Total required stable funding ($m)</t>
        </is>
      </c>
      <c r="B5" s="6" t="n">
        <v>7736.7</v>
      </c>
      <c r="C5" s="6" t="n">
        <v>6118.4</v>
      </c>
      <c r="D5" s="6" t="n">
        <v>4462</v>
      </c>
      <c r="E5" s="6" t="n">
        <v>5266.3</v>
      </c>
      <c r="F5" s="6" t="n"/>
      <c r="G5" s="6" t="n"/>
      <c r="H5" s="6" t="n"/>
      <c r="I5" s="6" t="n"/>
      <c r="J5" s="6" t="n"/>
      <c r="K5" s="6" t="n"/>
      <c r="L5" s="6" t="n"/>
    </row>
    <row r="6">
      <c r="A6" s="6" t="inlineStr">
        <is>
          <t>Net Stable Funding Ratio (%)</t>
        </is>
      </c>
      <c r="B6" s="6" t="n"/>
      <c r="C6" s="6" t="n"/>
      <c r="D6" s="6" t="n"/>
      <c r="E6" s="6" t="n"/>
      <c r="F6" s="6" t="inlineStr">
        <is>
          <t>Not disclosed</t>
        </is>
      </c>
      <c r="G6" s="6" t="inlineStr">
        <is>
          <t>Not disclosed</t>
        </is>
      </c>
      <c r="H6" s="6" t="inlineStr">
        <is>
          <t>Not disclosed</t>
        </is>
      </c>
      <c r="I6" s="6" t="inlineStr">
        <is>
          <t>Not disclosed</t>
        </is>
      </c>
      <c r="J6" s="6" t="inlineStr">
        <is>
          <t>Not disclosed</t>
        </is>
      </c>
      <c r="K6" s="6" t="inlineStr">
        <is>
          <t>Not disclosed</t>
        </is>
      </c>
      <c r="L6" s="6" t="inlineStr">
        <is>
          <t>Not disclosed</t>
        </is>
      </c>
    </row>
    <row r="7" ht="60" customHeight="1">
      <c r="A7" s="7" t="inlineStr">
        <is>
          <t>Note: NSFR was not a UK Pillar 3 disclosure requirement until 1 January 2022 (the UK NSFR regime's effective date), so no FY2015-FY2021 figures are available in any of the eleven ICBC Standard Bank Pillar 3 Disclosures reports reviewed (2015-2025). FY2015's own Pillar 3 document explicitly notes 'the NSFR is expected to go live in January 2018' (an EU timeline later superseded by the UK's own 1 January 2022 implementation) - confirming this is a genuine regulatory-timeline gap, not a missed disclosure. Balances shown for FY2022 onward are averages of the four quarter-ends preceding each year-end.</t>
        </is>
      </c>
    </row>
    <row r="9" ht="100" customHeight="1">
      <c r="A9"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t>
        </is>
      </c>
    </row>
  </sheetData>
  <mergeCells count="2">
    <mergeCell ref="A7:L7"/>
    <mergeCell ref="A9:L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MREL Ratio</t>
        </is>
      </c>
    </row>
    <row r="2">
      <c r="A2" s="2" t="inlineStr">
        <is>
          <t>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MREL disclosure appears in any of the eleven ICBC Standard Bank Pillar 3 Disclosures reports reviewed (2015-2025) — ICBC Standard Bank Plc is not itself a resolution entity subject to a standalone MREL requirement.</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2026-09-06T14:43:50Z</dcterms:created>
  <dcterms:modified xmlns:dcterms="http://purl.org/dc/terms/" xmlns:xsi="http://www.w3.org/2001/XMLSchema-instance" xsi:type="dcterms:W3CDTF">2026-09-06T14:43:50Z</dcterms:modified>
</cp:coreProperties>
</file>