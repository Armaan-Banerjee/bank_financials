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C1272D"/>
        <bgColor rgb="00C1272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ICBC Standard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ICBC Standard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ICBC Standard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'Overview'!$AR$18:$BB$18</f>
            </numRef>
          </cat>
          <val>
            <numRef>
              <f>'Overview'!$AR$19:$BB$19</f>
            </numRef>
          </val>
        </ser>
        <ser>
          <idx val="1"/>
          <order val="1"/>
          <tx>
            <strRef>
              <f>'Overview'!AQ20</f>
            </strRef>
          </tx>
          <spPr>
            <a:ln xmlns:a="http://schemas.openxmlformats.org/drawingml/2006/main">
              <a:prstDash val="solid"/>
            </a:ln>
          </spPr>
          <cat>
            <numRef>
              <f>'Overview'!$AR$18:$BB$18</f>
            </numRef>
          </cat>
          <val>
            <numRef>
              <f>'Overview'!$AR$20:$BB$20</f>
            </numRef>
          </val>
        </ser>
        <ser>
          <idx val="2"/>
          <order val="2"/>
          <tx>
            <strRef>
              <f>'Overview'!AQ21</f>
            </strRef>
          </tx>
          <spPr>
            <a:ln xmlns:a="http://schemas.openxmlformats.org/drawingml/2006/main">
              <a:prstDash val="solid"/>
            </a:ln>
          </spPr>
          <cat>
            <numRef>
              <f>'Overview'!$AR$18:$BB$18</f>
            </numRef>
          </cat>
          <val>
            <numRef>
              <f>'Overview'!$AR$21:$BB$21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ICBC Standard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'Overview'!BE25</f>
            </strRef>
          </tx>
          <spPr>
            <a:ln xmlns:a="http://schemas.openxmlformats.org/drawingml/2006/main">
              <a:prstDash val="solid"/>
            </a:ln>
          </spPr>
          <cat>
            <numRef>
              <f>'Overview'!$BF$24:$BP$24</f>
            </numRef>
          </cat>
          <val>
            <numRef>
              <f>'Overview'!$BF$25:$BP$25</f>
            </numRef>
          </val>
        </ser>
        <ser>
          <idx val="1"/>
          <order val="1"/>
          <tx>
            <strRef>
              <f>'Overview'!BE26</f>
            </strRef>
          </tx>
          <spPr>
            <a:ln xmlns:a="http://schemas.openxmlformats.org/drawingml/2006/main">
              <a:prstDash val="solid"/>
            </a:ln>
          </spPr>
          <cat>
            <numRef>
              <f>'Overview'!$BF$24:$BP$24</f>
            </numRef>
          </cat>
          <val>
            <numRef>
              <f>'Overview'!$BF$26:$BP$26</f>
            </numRef>
          </val>
        </ser>
        <ser>
          <idx val="2"/>
          <order val="2"/>
          <tx>
            <strRef>
              <f>'Overview'!BE27</f>
            </strRef>
          </tx>
          <spPr>
            <a:ln xmlns:a="http://schemas.openxmlformats.org/drawingml/2006/main">
              <a:prstDash val="solid"/>
            </a:ln>
          </spPr>
          <cat>
            <numRef>
              <f>'Overview'!$BF$24:$BP$24</f>
            </numRef>
          </cat>
          <val>
            <numRef>
              <f>'Overview'!$BF$27:$BP$27</f>
            </numRef>
          </val>
        </ser>
        <ser>
          <idx val="3"/>
          <order val="3"/>
          <tx>
            <strRef>
              <f>'Overview'!BE28</f>
            </strRef>
          </tx>
          <spPr>
            <a:ln xmlns:a="http://schemas.openxmlformats.org/drawingml/2006/main">
              <a:prstDash val="solid"/>
            </a:ln>
          </spPr>
          <cat>
            <numRef>
              <f>'Overview'!$BF$24:$BP$24</f>
            </numRef>
          </cat>
          <val>
            <numRef>
              <f>'Overview'!$BF$28:$BP$28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ICBC Standard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'Overview'!BS6</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'Overview'!$BT$6:$CD$6</f>
            </numRef>
          </val>
          <smooth val="0"/>
        </ser>
        <ser>
          <idx val="1"/>
          <order val="1"/>
          <tx>
            <strRef>
              <f>'Overview'!BS7</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'Overview'!$BT$7:$CD$7</f>
            </numRef>
          </val>
          <smooth val="0"/>
        </ser>
        <ser>
          <idx val="2"/>
          <order val="2"/>
          <tx>
            <strRef>
              <f>'Overview'!BS8</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'Overview'!$BT$8:$CD$8</f>
            </numRef>
          </val>
          <smooth val="0"/>
        </ser>
        <ser>
          <idx val="3"/>
          <order val="3"/>
          <tx>
            <strRef>
              <f>'Overview'!BS9</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'Overview'!$BT$9:$CD$9</f>
            </numRef>
          </val>
          <smooth val="0"/>
        </ser>
        <ser>
          <idx val="4"/>
          <order val="4"/>
          <tx>
            <strRef>
              <f>'Overview'!BS10</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'Overview'!$BT$10:$CD$10</f>
            </numRef>
          </val>
          <smooth val="0"/>
        </ser>
        <ser>
          <idx val="5"/>
          <order val="5"/>
          <tx>
            <strRef>
              <f>'Overview'!BS11</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'Overview'!$BT$11:$CD$11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D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s>
  <sheetData>
    <row r="1">
      <c r="A1" s="1" t="inlineStr">
        <is>
          <t>ICBC Standard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P5" t="inlineStr">
        <is>
          <t>FY2015</t>
        </is>
      </c>
      <c r="Q5" t="inlineStr">
        <is>
          <t>FY2016</t>
        </is>
      </c>
      <c r="R5" t="inlineStr">
        <is>
          <t>FY2017</t>
        </is>
      </c>
      <c r="S5" t="inlineStr">
        <is>
          <t>FY2018</t>
        </is>
      </c>
      <c r="T5" t="inlineStr">
        <is>
          <t>FY2019</t>
        </is>
      </c>
      <c r="U5" t="inlineStr">
        <is>
          <t>FY2020</t>
        </is>
      </c>
      <c r="V5" t="inlineStr">
        <is>
          <t>FY2021</t>
        </is>
      </c>
      <c r="W5" t="inlineStr">
        <is>
          <t>FY2022</t>
        </is>
      </c>
      <c r="X5" t="inlineStr">
        <is>
          <t>FY2023</t>
        </is>
      </c>
      <c r="Y5" t="inlineStr">
        <is>
          <t>FY2024</t>
        </is>
      </c>
      <c r="Z5" t="inlineStr">
        <is>
          <t>FY2025</t>
        </is>
      </c>
      <c r="BT5" t="inlineStr">
        <is>
          <t>FY2015</t>
        </is>
      </c>
      <c r="BU5" t="inlineStr">
        <is>
          <t>FY2016</t>
        </is>
      </c>
      <c r="BV5" t="inlineStr">
        <is>
          <t>FY2017</t>
        </is>
      </c>
      <c r="BW5" t="inlineStr">
        <is>
          <t>FY2018</t>
        </is>
      </c>
      <c r="BX5" t="inlineStr">
        <is>
          <t>FY2019</t>
        </is>
      </c>
      <c r="BY5" t="inlineStr">
        <is>
          <t>FY2020</t>
        </is>
      </c>
      <c r="BZ5" t="inlineStr">
        <is>
          <t>FY2021</t>
        </is>
      </c>
      <c r="CA5" t="inlineStr">
        <is>
          <t>FY2022</t>
        </is>
      </c>
      <c r="CB5" t="inlineStr">
        <is>
          <t>FY2023</t>
        </is>
      </c>
      <c r="CC5" t="inlineStr">
        <is>
          <t>FY2024</t>
        </is>
      </c>
      <c r="CD5" t="inlineStr">
        <is>
          <t>FY2025</t>
        </is>
      </c>
    </row>
    <row r="6">
      <c r="A6" s="5" t="inlineStr">
        <is>
          <t>Total assets</t>
        </is>
      </c>
      <c r="B6" s="5" t="n">
        <v>37800.7</v>
      </c>
      <c r="C6" s="5" t="n">
        <v>26600.4</v>
      </c>
      <c r="D6" s="5" t="n">
        <v>23247.1</v>
      </c>
      <c r="E6" s="5" t="n">
        <v>22627.3</v>
      </c>
      <c r="F6" s="5" t="n">
        <v>26268.5</v>
      </c>
      <c r="G6" s="5" t="n">
        <v>27736.3</v>
      </c>
      <c r="H6" s="5" t="n">
        <v>24425.5</v>
      </c>
      <c r="I6" s="5" t="n">
        <v>24574.5</v>
      </c>
      <c r="J6" s="5" t="n">
        <v>23853.7</v>
      </c>
      <c r="K6" s="5" t="n">
        <v>20223.6</v>
      </c>
      <c r="L6" s="5" t="n">
        <v>20137.5</v>
      </c>
      <c r="O6" t="inlineStr">
        <is>
          <t>Total assets</t>
        </is>
      </c>
      <c r="P6" t="n">
        <v>20137.5</v>
      </c>
      <c r="Q6" t="n">
        <v>20223.6</v>
      </c>
      <c r="R6" t="n">
        <v>23853.7</v>
      </c>
      <c r="S6" t="n">
        <v>24574.5</v>
      </c>
      <c r="T6" t="n">
        <v>24425.5</v>
      </c>
      <c r="U6" t="n">
        <v>27736.3</v>
      </c>
      <c r="V6" t="n">
        <v>26268.5</v>
      </c>
      <c r="W6" t="n">
        <v>22627.3</v>
      </c>
      <c r="X6" t="n">
        <v>23247.1</v>
      </c>
      <c r="Y6" t="n">
        <v>26600.4</v>
      </c>
      <c r="Z6" t="n">
        <v>37800.7</v>
      </c>
      <c r="BS6" t="inlineStr">
        <is>
          <t>CET1 Ratio</t>
        </is>
      </c>
      <c r="BT6" t="n">
        <v>13.87</v>
      </c>
      <c r="BU6" t="n">
        <v>14.6</v>
      </c>
      <c r="BV6" t="n">
        <v>15.59</v>
      </c>
      <c r="BW6" t="n">
        <v>18.52</v>
      </c>
      <c r="BX6" t="n">
        <v>13.64</v>
      </c>
      <c r="BY6" t="n">
        <v>13.21</v>
      </c>
      <c r="BZ6" t="n">
        <v>13.47</v>
      </c>
      <c r="CA6" t="n">
        <v>15.7</v>
      </c>
      <c r="CB6" t="n">
        <v>16.9</v>
      </c>
      <c r="CC6" t="n">
        <v>14.6</v>
      </c>
      <c r="CD6" t="n">
        <v>12.2</v>
      </c>
    </row>
    <row r="7">
      <c r="A7" s="5" t="inlineStr">
        <is>
          <t>Loans and advances to customers</t>
        </is>
      </c>
      <c r="B7" s="5" t="n">
        <v>1828</v>
      </c>
      <c r="C7" s="5" t="n">
        <v>1303</v>
      </c>
      <c r="D7" s="5" t="n">
        <v>771.3</v>
      </c>
      <c r="E7" s="5" t="n">
        <v>818.6</v>
      </c>
      <c r="F7" s="5" t="n">
        <v>1608.7</v>
      </c>
      <c r="G7" s="5" t="n">
        <v>581.2</v>
      </c>
      <c r="H7" s="5" t="n">
        <v>798.4</v>
      </c>
      <c r="I7" s="5" t="n">
        <v>737.3</v>
      </c>
      <c r="J7" s="5" t="n">
        <v>606.9</v>
      </c>
      <c r="K7" s="5" t="n">
        <v>855.3</v>
      </c>
      <c r="L7" s="5" t="n">
        <v>427.1</v>
      </c>
      <c r="O7" t="inlineStr">
        <is>
          <t>Loans and advances to customers</t>
        </is>
      </c>
      <c r="P7" t="n">
        <v>427.1</v>
      </c>
      <c r="Q7" t="n">
        <v>855.3</v>
      </c>
      <c r="R7" t="n">
        <v>606.9</v>
      </c>
      <c r="S7" t="n">
        <v>737.3</v>
      </c>
      <c r="T7" t="n">
        <v>798.4</v>
      </c>
      <c r="U7" t="n">
        <v>581.2</v>
      </c>
      <c r="V7" t="n">
        <v>1608.7</v>
      </c>
      <c r="W7" t="n">
        <v>818.6</v>
      </c>
      <c r="X7" t="n">
        <v>771.3</v>
      </c>
      <c r="Y7" t="n">
        <v>1303</v>
      </c>
      <c r="Z7" t="n">
        <v>1828</v>
      </c>
      <c r="BS7" t="inlineStr">
        <is>
          <t>Tier 1 Ratio</t>
        </is>
      </c>
      <c r="BT7" t="n">
        <v>13.9</v>
      </c>
      <c r="BU7" t="n">
        <v>14.6</v>
      </c>
      <c r="BV7" t="n">
        <v>15.59</v>
      </c>
      <c r="BW7" t="n">
        <v>18.52</v>
      </c>
      <c r="BX7" t="n">
        <v>15.94</v>
      </c>
      <c r="BY7" t="n">
        <v>15.18</v>
      </c>
      <c r="BZ7" t="n">
        <v>15.35</v>
      </c>
      <c r="CA7" t="n">
        <v>17.5</v>
      </c>
      <c r="CB7" t="n">
        <v>18.5</v>
      </c>
      <c r="CC7" t="n">
        <v>16</v>
      </c>
      <c r="CD7" t="n">
        <v>13.3</v>
      </c>
    </row>
    <row r="8">
      <c r="A8" s="5" t="inlineStr">
        <is>
          <t>Total liabilities</t>
        </is>
      </c>
      <c r="B8" s="5" t="n">
        <v>35669.3</v>
      </c>
      <c r="C8" s="5" t="n">
        <v>24656.7</v>
      </c>
      <c r="D8" s="5" t="n">
        <v>21376.2</v>
      </c>
      <c r="E8" s="5" t="n">
        <v>20945.3</v>
      </c>
      <c r="F8" s="5" t="n">
        <v>24898.5</v>
      </c>
      <c r="G8" s="5" t="n">
        <v>26434.8</v>
      </c>
      <c r="H8" s="5" t="n">
        <v>23252</v>
      </c>
      <c r="I8" s="5" t="n">
        <v>23316.7</v>
      </c>
      <c r="J8" s="5" t="n">
        <v>22571.4</v>
      </c>
      <c r="K8" s="5" t="n">
        <v>19266.7</v>
      </c>
      <c r="L8" s="5" t="n">
        <v>19062.5</v>
      </c>
      <c r="O8" t="inlineStr">
        <is>
          <t>Total liabilities</t>
        </is>
      </c>
      <c r="P8" t="n">
        <v>19062.5</v>
      </c>
      <c r="Q8" t="n">
        <v>19266.7</v>
      </c>
      <c r="R8" t="n">
        <v>22571.4</v>
      </c>
      <c r="S8" t="n">
        <v>23316.7</v>
      </c>
      <c r="T8" t="n">
        <v>23252</v>
      </c>
      <c r="U8" t="n">
        <v>26434.8</v>
      </c>
      <c r="V8" t="n">
        <v>24898.5</v>
      </c>
      <c r="W8" t="n">
        <v>20945.3</v>
      </c>
      <c r="X8" t="n">
        <v>21376.2</v>
      </c>
      <c r="Y8" t="n">
        <v>24656.7</v>
      </c>
      <c r="Z8" t="n">
        <v>35669.3</v>
      </c>
      <c r="BS8" t="inlineStr">
        <is>
          <t>Total Capital Ratio</t>
        </is>
      </c>
      <c r="BT8" t="n">
        <v>19.13</v>
      </c>
      <c r="BU8" t="n">
        <v>19.3</v>
      </c>
      <c r="BV8" t="n">
        <v>19.97</v>
      </c>
      <c r="BW8" t="n">
        <v>22.25</v>
      </c>
      <c r="BX8" t="n">
        <v>19.54</v>
      </c>
      <c r="BY8" t="n">
        <v>18.26</v>
      </c>
      <c r="BZ8" t="n">
        <v>18.28</v>
      </c>
      <c r="CA8" t="n">
        <v>20.2</v>
      </c>
      <c r="CB8" t="n">
        <v>21.1</v>
      </c>
      <c r="CC8" t="n">
        <v>18.1</v>
      </c>
      <c r="CD8" t="n">
        <v>15</v>
      </c>
    </row>
    <row r="9">
      <c r="A9" s="5" t="inlineStr">
        <is>
          <t>Total equity</t>
        </is>
      </c>
      <c r="B9" s="5" t="n">
        <v>2131.4</v>
      </c>
      <c r="C9" s="5" t="n">
        <v>1943.7</v>
      </c>
      <c r="D9" s="5" t="n">
        <v>1870.9</v>
      </c>
      <c r="E9" s="5" t="n">
        <v>1682</v>
      </c>
      <c r="F9" s="5" t="n">
        <v>1370</v>
      </c>
      <c r="G9" s="5" t="n">
        <v>1301.5</v>
      </c>
      <c r="H9" s="5" t="n">
        <v>1173.5</v>
      </c>
      <c r="I9" s="5" t="n">
        <v>1257.8</v>
      </c>
      <c r="J9" s="5" t="n">
        <v>1282.3</v>
      </c>
      <c r="K9" s="5" t="n">
        <v>956.9</v>
      </c>
      <c r="L9" s="5" t="n">
        <v>1075</v>
      </c>
      <c r="O9" t="inlineStr">
        <is>
          <t>Total equity</t>
        </is>
      </c>
      <c r="P9" t="n">
        <v>1075</v>
      </c>
      <c r="Q9" t="n">
        <v>956.9</v>
      </c>
      <c r="R9" t="n">
        <v>1282.3</v>
      </c>
      <c r="S9" t="n">
        <v>1257.8</v>
      </c>
      <c r="T9" t="n">
        <v>1173.5</v>
      </c>
      <c r="U9" t="n">
        <v>1301.5</v>
      </c>
      <c r="V9" t="n">
        <v>1370</v>
      </c>
      <c r="W9" t="n">
        <v>1682</v>
      </c>
      <c r="X9" t="n">
        <v>1870.9</v>
      </c>
      <c r="Y9" t="n">
        <v>1943.7</v>
      </c>
      <c r="Z9" t="n">
        <v>2131.4</v>
      </c>
      <c r="BS9" t="inlineStr">
        <is>
          <t>Leverage Ratio</t>
        </is>
      </c>
      <c r="BT9" t="n">
        <v>5.36</v>
      </c>
      <c r="BU9" t="n">
        <v>4.66</v>
      </c>
      <c r="BV9" t="n">
        <v>4.91</v>
      </c>
      <c r="BW9" t="n">
        <v>5.02</v>
      </c>
      <c r="BX9" t="n">
        <v>4.78</v>
      </c>
      <c r="BY9" t="n">
        <v>4.9</v>
      </c>
      <c r="BZ9" t="n">
        <v>5.09</v>
      </c>
      <c r="CA9" t="n">
        <v>7.7</v>
      </c>
      <c r="CB9" t="n">
        <v>7.7</v>
      </c>
      <c r="CC9" t="n">
        <v>6.9</v>
      </c>
      <c r="CD9" t="n">
        <v>5.6</v>
      </c>
    </row>
    <row r="10">
      <c r="BS10" t="inlineStr">
        <is>
          <t>LCR</t>
        </is>
      </c>
      <c r="BU10" t="n">
        <v>159</v>
      </c>
      <c r="BV10" t="n">
        <v>145</v>
      </c>
      <c r="BW10" t="n">
        <v>217</v>
      </c>
      <c r="BX10" t="n">
        <v>195</v>
      </c>
      <c r="BY10" t="n">
        <v>180</v>
      </c>
      <c r="BZ10" t="n">
        <v>207</v>
      </c>
      <c r="CA10" t="n">
        <v>206</v>
      </c>
      <c r="CB10" t="n">
        <v>165.3</v>
      </c>
      <c r="CC10" t="n">
        <v>226.7</v>
      </c>
      <c r="CD10" t="n">
        <v>197.3</v>
      </c>
    </row>
    <row r="11">
      <c r="A11" s="3" t="inlineStr">
        <is>
          <t>Profit &amp; Loss Summary ($m)</t>
        </is>
      </c>
      <c r="BS11" t="inlineStr">
        <is>
          <t>NSFR</t>
        </is>
      </c>
      <c r="BZ11" t="n">
        <v>121.8</v>
      </c>
      <c r="CA11" t="n">
        <v>163.8</v>
      </c>
      <c r="CB11" t="n">
        <v>183.3</v>
      </c>
      <c r="CC11" t="n">
        <v>136.4</v>
      </c>
      <c r="CD11" t="n">
        <v>122.8</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AD12" t="inlineStr">
        <is>
          <t>FY2015</t>
        </is>
      </c>
      <c r="AE12" t="inlineStr">
        <is>
          <t>FY2016</t>
        </is>
      </c>
      <c r="AF12" t="inlineStr">
        <is>
          <t>FY2017</t>
        </is>
      </c>
      <c r="AG12" t="inlineStr">
        <is>
          <t>FY2018</t>
        </is>
      </c>
      <c r="AH12" t="inlineStr">
        <is>
          <t>FY2019</t>
        </is>
      </c>
      <c r="AI12" t="inlineStr">
        <is>
          <t>FY2020</t>
        </is>
      </c>
      <c r="AJ12" t="inlineStr">
        <is>
          <t>FY2021</t>
        </is>
      </c>
      <c r="AK12" t="inlineStr">
        <is>
          <t>FY2022</t>
        </is>
      </c>
      <c r="AL12" t="inlineStr">
        <is>
          <t>FY2023</t>
        </is>
      </c>
      <c r="AM12" t="inlineStr">
        <is>
          <t>FY2024</t>
        </is>
      </c>
      <c r="AN12" t="inlineStr">
        <is>
          <t>FY2025</t>
        </is>
      </c>
    </row>
    <row r="13">
      <c r="A13" s="5" t="inlineStr">
        <is>
          <t>Total operating income</t>
        </is>
      </c>
      <c r="B13" s="5" t="n">
        <v>739.8</v>
      </c>
      <c r="C13" s="5" t="n">
        <v>572.1</v>
      </c>
      <c r="D13" s="5" t="n">
        <v>558</v>
      </c>
      <c r="E13" s="5" t="n">
        <v>809.9</v>
      </c>
      <c r="F13" s="5" t="n">
        <v>466</v>
      </c>
      <c r="G13" s="5" t="n">
        <v>489.1</v>
      </c>
      <c r="H13" s="5" t="n">
        <v>137.4</v>
      </c>
      <c r="I13" s="5" t="n">
        <v>384</v>
      </c>
      <c r="J13" s="5" t="n">
        <v>382.4</v>
      </c>
      <c r="K13" s="5" t="n">
        <v>286.2</v>
      </c>
      <c r="L13" s="5" t="n">
        <v>172.7</v>
      </c>
      <c r="AC13" t="inlineStr">
        <is>
          <t>Total operating income</t>
        </is>
      </c>
      <c r="AD13" t="n">
        <v>172.7</v>
      </c>
      <c r="AE13" t="n">
        <v>286.2</v>
      </c>
      <c r="AF13" t="n">
        <v>382.4</v>
      </c>
      <c r="AG13" t="n">
        <v>384</v>
      </c>
      <c r="AH13" t="n">
        <v>137.4</v>
      </c>
      <c r="AI13" t="n">
        <v>489.1</v>
      </c>
      <c r="AJ13" t="n">
        <v>466</v>
      </c>
      <c r="AK13" t="n">
        <v>809.9</v>
      </c>
      <c r="AL13" t="n">
        <v>558</v>
      </c>
      <c r="AM13" t="n">
        <v>572.1</v>
      </c>
      <c r="AN13" t="n">
        <v>739.8</v>
      </c>
    </row>
    <row r="14">
      <c r="A14" s="5" t="inlineStr">
        <is>
          <t>Operating expenses</t>
        </is>
      </c>
      <c r="B14" s="5" t="n">
        <v>-443.9</v>
      </c>
      <c r="C14" s="5" t="n">
        <v>-382.4</v>
      </c>
      <c r="D14" s="5" t="n">
        <v>-397.6</v>
      </c>
      <c r="E14" s="5" t="n">
        <v>-373.6</v>
      </c>
      <c r="F14" s="5" t="n">
        <v>-348.1</v>
      </c>
      <c r="G14" s="5" t="n">
        <v>-351.5</v>
      </c>
      <c r="H14" s="5" t="n">
        <v>-374.4</v>
      </c>
      <c r="I14" s="5" t="n">
        <v>-379.1</v>
      </c>
      <c r="J14" s="5" t="n">
        <v>-371.3</v>
      </c>
      <c r="K14" s="5" t="n">
        <v>-382.9</v>
      </c>
      <c r="L14" s="5" t="n">
        <v>-386.1</v>
      </c>
      <c r="AC14" t="inlineStr">
        <is>
          <t>Operating expenses</t>
        </is>
      </c>
      <c r="AD14" t="n">
        <v>-386.1</v>
      </c>
      <c r="AE14" t="n">
        <v>-382.9</v>
      </c>
      <c r="AF14" t="n">
        <v>-371.3</v>
      </c>
      <c r="AG14" t="n">
        <v>-379.1</v>
      </c>
      <c r="AH14" t="n">
        <v>-374.4</v>
      </c>
      <c r="AI14" t="n">
        <v>-351.5</v>
      </c>
      <c r="AJ14" t="n">
        <v>-348.1</v>
      </c>
      <c r="AK14" t="n">
        <v>-373.6</v>
      </c>
      <c r="AL14" t="n">
        <v>-397.6</v>
      </c>
      <c r="AM14" t="n">
        <v>-382.4</v>
      </c>
      <c r="AN14" t="n">
        <v>-443.9</v>
      </c>
    </row>
    <row r="15">
      <c r="A15" s="5" t="inlineStr">
        <is>
          <t>Profit attributable to equity shareholders</t>
        </is>
      </c>
      <c r="B15" s="5" t="n">
        <v>224.9</v>
      </c>
      <c r="C15" s="5" t="n">
        <v>156.5</v>
      </c>
      <c r="D15" s="5" t="n">
        <v>187.1</v>
      </c>
      <c r="E15" s="5" t="n">
        <v>317.1</v>
      </c>
      <c r="F15" s="5" t="n">
        <v>98.59999999999999</v>
      </c>
      <c r="G15" s="5" t="n">
        <v>115.5</v>
      </c>
      <c r="H15" s="5" t="n">
        <v>-248.2</v>
      </c>
      <c r="I15" s="5" t="n">
        <v>-14.8</v>
      </c>
      <c r="J15" s="5" t="n">
        <v>29.7</v>
      </c>
      <c r="K15" s="5" t="n">
        <v>-98.8</v>
      </c>
      <c r="L15" s="5" t="n">
        <v>-267.7</v>
      </c>
      <c r="AC15" t="inlineStr">
        <is>
          <t>Profit attributable to equity shareholders</t>
        </is>
      </c>
      <c r="AD15" t="n">
        <v>-267.7</v>
      </c>
      <c r="AE15" t="n">
        <v>-98.8</v>
      </c>
      <c r="AF15" t="n">
        <v>29.7</v>
      </c>
      <c r="AG15" t="n">
        <v>-14.8</v>
      </c>
      <c r="AH15" t="n">
        <v>-248.2</v>
      </c>
      <c r="AI15" t="n">
        <v>115.5</v>
      </c>
      <c r="AJ15" t="n">
        <v>98.59999999999999</v>
      </c>
      <c r="AK15" t="n">
        <v>317.1</v>
      </c>
      <c r="AL15" t="n">
        <v>187.1</v>
      </c>
      <c r="AM15" t="n">
        <v>156.5</v>
      </c>
      <c r="AN15" t="n">
        <v>224.9</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AR18" t="inlineStr">
        <is>
          <t>FY2015</t>
        </is>
      </c>
      <c r="AS18" t="inlineStr">
        <is>
          <t>FY2016</t>
        </is>
      </c>
      <c r="AT18" t="inlineStr">
        <is>
          <t>FY2017</t>
        </is>
      </c>
      <c r="AU18" t="inlineStr">
        <is>
          <t>FY2018</t>
        </is>
      </c>
      <c r="AV18" t="inlineStr">
        <is>
          <t>FY2019</t>
        </is>
      </c>
      <c r="AW18" t="inlineStr">
        <is>
          <t>FY2020</t>
        </is>
      </c>
      <c r="AX18" t="inlineStr">
        <is>
          <t>FY2021</t>
        </is>
      </c>
      <c r="AY18" t="inlineStr">
        <is>
          <t>FY2022</t>
        </is>
      </c>
      <c r="AZ18" t="inlineStr">
        <is>
          <t>FY2023</t>
        </is>
      </c>
      <c r="BA18" t="inlineStr">
        <is>
          <t>FY2024</t>
        </is>
      </c>
      <c r="BB18" t="inlineStr">
        <is>
          <t>FY2025</t>
        </is>
      </c>
    </row>
    <row r="19">
      <c r="A19" s="5" t="inlineStr">
        <is>
          <t>Opening equity</t>
        </is>
      </c>
      <c r="B19" s="5" t="n">
        <v>1943.7</v>
      </c>
      <c r="C19" s="5" t="n">
        <v>1870.9</v>
      </c>
      <c r="D19" s="5" t="n">
        <v>1682</v>
      </c>
      <c r="E19" s="5" t="n">
        <v>1370</v>
      </c>
      <c r="F19" s="5" t="n">
        <v>1301.5</v>
      </c>
      <c r="G19" s="5" t="n">
        <v>1173.5</v>
      </c>
      <c r="H19" s="5" t="n">
        <v>1257.8</v>
      </c>
      <c r="I19" s="5" t="n">
        <v>1282.3</v>
      </c>
      <c r="J19" s="5" t="n">
        <v>956.9</v>
      </c>
      <c r="K19" s="5" t="n">
        <v>1075</v>
      </c>
      <c r="L19" s="5" t="n">
        <v>1015.1</v>
      </c>
      <c r="AQ19" t="inlineStr">
        <is>
          <t>Opening equity</t>
        </is>
      </c>
      <c r="AR19" t="n">
        <v>1015.1</v>
      </c>
      <c r="AS19" t="n">
        <v>1075</v>
      </c>
      <c r="AT19" t="n">
        <v>956.9</v>
      </c>
      <c r="AU19" t="n">
        <v>1282.3</v>
      </c>
      <c r="AV19" t="n">
        <v>1257.8</v>
      </c>
      <c r="AW19" t="n">
        <v>1173.5</v>
      </c>
      <c r="AX19" t="n">
        <v>1301.5</v>
      </c>
      <c r="AY19" t="n">
        <v>1370</v>
      </c>
      <c r="AZ19" t="n">
        <v>1682</v>
      </c>
      <c r="BA19" t="n">
        <v>1870.9</v>
      </c>
      <c r="BB19" t="n">
        <v>1943.7</v>
      </c>
    </row>
    <row r="20">
      <c r="A20" s="5" t="inlineStr">
        <is>
          <t>Total comprehensive income/(loss) for the year</t>
        </is>
      </c>
      <c r="B20" s="5" t="n">
        <v>241.9</v>
      </c>
      <c r="C20" s="5" t="n">
        <v>134.9</v>
      </c>
      <c r="D20" s="5" t="n">
        <v>201.1</v>
      </c>
      <c r="E20" s="5" t="n">
        <v>324.2</v>
      </c>
      <c r="F20" s="5" t="n">
        <v>80.7</v>
      </c>
      <c r="G20" s="5" t="n">
        <v>128</v>
      </c>
      <c r="H20" s="5" t="n">
        <v>-244.2</v>
      </c>
      <c r="I20" s="5" t="n">
        <v>-24.5</v>
      </c>
      <c r="J20" s="5" t="n">
        <v>60.4</v>
      </c>
      <c r="K20" s="5" t="n">
        <v>-118.1</v>
      </c>
      <c r="L20" s="5" t="n">
        <v>-281</v>
      </c>
      <c r="AQ20" t="inlineStr">
        <is>
          <t>Total comprehensive income/(loss) for the year</t>
        </is>
      </c>
      <c r="AR20" t="n">
        <v>-281</v>
      </c>
      <c r="AS20" t="n">
        <v>-118.1</v>
      </c>
      <c r="AT20" t="n">
        <v>60.4</v>
      </c>
      <c r="AU20" t="n">
        <v>-24.5</v>
      </c>
      <c r="AV20" t="n">
        <v>-244.2</v>
      </c>
      <c r="AW20" t="n">
        <v>128</v>
      </c>
      <c r="AX20" t="n">
        <v>80.7</v>
      </c>
      <c r="AY20" t="n">
        <v>324.2</v>
      </c>
      <c r="AZ20" t="n">
        <v>201.1</v>
      </c>
      <c r="BA20" t="n">
        <v>134.9</v>
      </c>
      <c r="BB20" t="n">
        <v>241.9</v>
      </c>
    </row>
    <row r="21">
      <c r="A21" s="5" t="inlineStr">
        <is>
          <t>Other equity movements, net</t>
        </is>
      </c>
      <c r="B21" s="5" t="n">
        <v>-54.2</v>
      </c>
      <c r="C21" s="5" t="n">
        <v>-62.1</v>
      </c>
      <c r="D21" s="5" t="n">
        <v>-12.2</v>
      </c>
      <c r="E21" s="5" t="n">
        <v>-12.2</v>
      </c>
      <c r="F21" s="5" t="n">
        <v>-12.2</v>
      </c>
      <c r="G21" s="5" t="n">
        <v>0</v>
      </c>
      <c r="H21" s="5" t="n">
        <v>159.9</v>
      </c>
      <c r="I21" s="5" t="n">
        <v>0</v>
      </c>
      <c r="J21" s="5" t="n">
        <v>265</v>
      </c>
      <c r="K21" s="5" t="n">
        <v>0</v>
      </c>
      <c r="L21" s="5" t="n">
        <v>340.9</v>
      </c>
      <c r="AQ21" t="inlineStr">
        <is>
          <t>Other equity movements, net</t>
        </is>
      </c>
      <c r="AR21" t="n">
        <v>340.9</v>
      </c>
      <c r="AS21" t="n">
        <v>0</v>
      </c>
      <c r="AT21" t="n">
        <v>265</v>
      </c>
      <c r="AU21" t="n">
        <v>0</v>
      </c>
      <c r="AV21" t="n">
        <v>159.9</v>
      </c>
      <c r="AW21" t="n">
        <v>0</v>
      </c>
      <c r="AX21" t="n">
        <v>-12.2</v>
      </c>
      <c r="AY21" t="n">
        <v>-12.2</v>
      </c>
      <c r="AZ21" t="n">
        <v>-12.2</v>
      </c>
      <c r="BA21" t="n">
        <v>-62.1</v>
      </c>
      <c r="BB21" t="n">
        <v>-54.2</v>
      </c>
    </row>
    <row r="23">
      <c r="A23" s="3" t="inlineStr">
        <is>
          <t>Cash Flow Summary ($m)</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J24" s="4" t="inlineStr">
        <is>
          <t>FY2017</t>
        </is>
      </c>
      <c r="K24" s="4" t="inlineStr">
        <is>
          <t>FY2016</t>
        </is>
      </c>
      <c r="L24" s="4" t="inlineStr">
        <is>
          <t>FY2015</t>
        </is>
      </c>
      <c r="BF24" t="inlineStr">
        <is>
          <t>FY2015</t>
        </is>
      </c>
      <c r="BG24" t="inlineStr">
        <is>
          <t>FY2016</t>
        </is>
      </c>
      <c r="BH24" t="inlineStr">
        <is>
          <t>FY2017</t>
        </is>
      </c>
      <c r="BI24" t="inlineStr">
        <is>
          <t>FY2018</t>
        </is>
      </c>
      <c r="BJ24" t="inlineStr">
        <is>
          <t>FY2019</t>
        </is>
      </c>
      <c r="BK24" t="inlineStr">
        <is>
          <t>FY2020</t>
        </is>
      </c>
      <c r="BL24" t="inlineStr">
        <is>
          <t>FY2021</t>
        </is>
      </c>
      <c r="BM24" t="inlineStr">
        <is>
          <t>FY2022</t>
        </is>
      </c>
      <c r="BN24" t="inlineStr">
        <is>
          <t>FY2023</t>
        </is>
      </c>
      <c r="BO24" t="inlineStr">
        <is>
          <t>FY2024</t>
        </is>
      </c>
      <c r="BP24" t="inlineStr">
        <is>
          <t>FY2025</t>
        </is>
      </c>
    </row>
    <row r="25">
      <c r="A25" s="5" t="inlineStr">
        <is>
          <t>Cash flows (used in)/from operating activities</t>
        </is>
      </c>
      <c r="B25" s="5" t="n">
        <v>-1780.3</v>
      </c>
      <c r="C25" s="5" t="n">
        <v>128.1</v>
      </c>
      <c r="D25" s="5" t="n">
        <v>-2150.7</v>
      </c>
      <c r="E25" s="5" t="n">
        <v>-1137.3</v>
      </c>
      <c r="F25" s="5" t="n">
        <v>2255.8</v>
      </c>
      <c r="G25" s="5" t="n">
        <v>282</v>
      </c>
      <c r="H25" s="5" t="n">
        <v>1127.4</v>
      </c>
      <c r="I25" s="5" t="n">
        <v>-882.2</v>
      </c>
      <c r="J25" s="5" t="n">
        <v>1107.8</v>
      </c>
      <c r="K25" s="5" t="n">
        <v>-2176.5</v>
      </c>
      <c r="L25" s="5" t="n">
        <v>1437.8</v>
      </c>
      <c r="BE25" t="inlineStr">
        <is>
          <t>Cash flows (used in)/from operating activities</t>
        </is>
      </c>
      <c r="BF25" t="n">
        <v>1437.8</v>
      </c>
      <c r="BG25" t="n">
        <v>-2176.5</v>
      </c>
      <c r="BH25" t="n">
        <v>1107.8</v>
      </c>
      <c r="BI25" t="n">
        <v>-882.2</v>
      </c>
      <c r="BJ25" t="n">
        <v>1127.4</v>
      </c>
      <c r="BK25" t="n">
        <v>282</v>
      </c>
      <c r="BL25" t="n">
        <v>2255.8</v>
      </c>
      <c r="BM25" t="n">
        <v>-1137.3</v>
      </c>
      <c r="BN25" t="n">
        <v>-2150.7</v>
      </c>
      <c r="BO25" t="n">
        <v>128.1</v>
      </c>
      <c r="BP25" t="n">
        <v>-1780.3</v>
      </c>
    </row>
    <row r="26">
      <c r="A26" s="5" t="inlineStr">
        <is>
          <t>Cash flows used in investing activities</t>
        </is>
      </c>
      <c r="B26" s="5" t="n">
        <v>-18</v>
      </c>
      <c r="C26" s="5" t="n">
        <v>-16.4</v>
      </c>
      <c r="D26" s="5" t="n">
        <v>-6.9</v>
      </c>
      <c r="E26" s="5" t="n">
        <v>-15.5</v>
      </c>
      <c r="F26" s="5" t="n">
        <v>-12.5</v>
      </c>
      <c r="G26" s="5" t="n">
        <v>-8.199999999999999</v>
      </c>
      <c r="H26" s="5" t="n">
        <v>-17.9</v>
      </c>
      <c r="I26" s="5" t="n">
        <v>-18.9</v>
      </c>
      <c r="J26" s="5" t="n">
        <v>-15.6</v>
      </c>
      <c r="K26" s="5" t="n">
        <v>-9.4</v>
      </c>
      <c r="L26" s="5" t="n">
        <v>-2</v>
      </c>
      <c r="BE26" t="inlineStr">
        <is>
          <t>Cash flows used in investing activities</t>
        </is>
      </c>
      <c r="BF26" t="n">
        <v>-2</v>
      </c>
      <c r="BG26" t="n">
        <v>-9.4</v>
      </c>
      <c r="BH26" t="n">
        <v>-15.6</v>
      </c>
      <c r="BI26" t="n">
        <v>-18.9</v>
      </c>
      <c r="BJ26" t="n">
        <v>-17.9</v>
      </c>
      <c r="BK26" t="n">
        <v>-8.199999999999999</v>
      </c>
      <c r="BL26" t="n">
        <v>-12.5</v>
      </c>
      <c r="BM26" t="n">
        <v>-15.5</v>
      </c>
      <c r="BN26" t="n">
        <v>-6.9</v>
      </c>
      <c r="BO26" t="n">
        <v>-16.4</v>
      </c>
      <c r="BP26" t="n">
        <v>-18</v>
      </c>
    </row>
    <row r="27">
      <c r="A27" s="5" t="inlineStr">
        <is>
          <t>Cash flows used in financing activities</t>
        </is>
      </c>
      <c r="B27" s="5" t="n">
        <v>-63.6</v>
      </c>
      <c r="C27" s="5" t="n">
        <v>-70.59999999999999</v>
      </c>
      <c r="D27" s="5" t="n">
        <v>-22.6</v>
      </c>
      <c r="E27" s="5" t="n">
        <v>-21.9</v>
      </c>
      <c r="F27" s="5" t="n">
        <v>-24.7</v>
      </c>
      <c r="G27" s="5" t="n">
        <v>-16</v>
      </c>
      <c r="H27" s="5" t="n">
        <v>-259.7</v>
      </c>
      <c r="I27" s="5" t="n">
        <v>0</v>
      </c>
      <c r="J27" s="5" t="n">
        <v>415</v>
      </c>
      <c r="K27" s="5" t="n">
        <v>-137.9</v>
      </c>
      <c r="L27" s="5" t="n">
        <v>340.9</v>
      </c>
      <c r="BE27" t="inlineStr">
        <is>
          <t>Cash flows used in financing activities</t>
        </is>
      </c>
      <c r="BF27" t="n">
        <v>340.9</v>
      </c>
      <c r="BG27" t="n">
        <v>-137.9</v>
      </c>
      <c r="BH27" t="n">
        <v>415</v>
      </c>
      <c r="BI27" t="n">
        <v>0</v>
      </c>
      <c r="BJ27" t="n">
        <v>-259.7</v>
      </c>
      <c r="BK27" t="n">
        <v>-16</v>
      </c>
      <c r="BL27" t="n">
        <v>-24.7</v>
      </c>
      <c r="BM27" t="n">
        <v>-21.9</v>
      </c>
      <c r="BN27" t="n">
        <v>-22.6</v>
      </c>
      <c r="BO27" t="n">
        <v>-70.59999999999999</v>
      </c>
      <c r="BP27" t="n">
        <v>-63.6</v>
      </c>
    </row>
    <row r="28">
      <c r="A28" s="5" t="inlineStr">
        <is>
          <t>Cash and cash equivalents at end of the year</t>
        </is>
      </c>
      <c r="B28" s="5" t="n">
        <v>902.6</v>
      </c>
      <c r="C28" s="5" t="n">
        <v>2762</v>
      </c>
      <c r="D28" s="5" t="n">
        <v>2744.4</v>
      </c>
      <c r="E28" s="5" t="n">
        <v>4990.4</v>
      </c>
      <c r="F28" s="5" t="n">
        <v>6122.5</v>
      </c>
      <c r="G28" s="5" t="n">
        <v>3906.4</v>
      </c>
      <c r="H28" s="5" t="n">
        <v>3648.1</v>
      </c>
      <c r="I28" s="5" t="n">
        <v>2792.6</v>
      </c>
      <c r="J28" s="5" t="n">
        <v>3692.8</v>
      </c>
      <c r="K28" s="5" t="n">
        <v>2134.6</v>
      </c>
      <c r="L28" s="5" t="n">
        <v>4476.2</v>
      </c>
      <c r="BE28" t="inlineStr">
        <is>
          <t>Cash and cash equivalents at end of the year</t>
        </is>
      </c>
      <c r="BF28" t="n">
        <v>4476.2</v>
      </c>
      <c r="BG28" t="n">
        <v>2134.6</v>
      </c>
      <c r="BH28" t="n">
        <v>3692.8</v>
      </c>
      <c r="BI28" t="n">
        <v>2792.6</v>
      </c>
      <c r="BJ28" t="n">
        <v>3648.1</v>
      </c>
      <c r="BK28" t="n">
        <v>3906.4</v>
      </c>
      <c r="BL28" t="n">
        <v>6122.5</v>
      </c>
      <c r="BM28" t="n">
        <v>4990.4</v>
      </c>
      <c r="BN28" t="n">
        <v>2744.4</v>
      </c>
      <c r="BO28" t="n">
        <v>2762</v>
      </c>
      <c r="BP28" t="n">
        <v>902.6</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c r="J31" s="4" t="inlineStr">
        <is>
          <t>FY2017</t>
        </is>
      </c>
      <c r="K31" s="4" t="inlineStr">
        <is>
          <t>FY2016</t>
        </is>
      </c>
      <c r="L31" s="4" t="inlineStr">
        <is>
          <t>FY2015</t>
        </is>
      </c>
    </row>
    <row r="32">
      <c r="A32" s="6" t="inlineStr">
        <is>
          <t>CET1 Ratio</t>
        </is>
      </c>
      <c r="B32" s="6" t="inlineStr">
        <is>
          <t>12.2%</t>
        </is>
      </c>
      <c r="C32" s="6" t="inlineStr">
        <is>
          <t>14.6%</t>
        </is>
      </c>
      <c r="D32" s="6" t="inlineStr">
        <is>
          <t>16.9%</t>
        </is>
      </c>
      <c r="E32" s="6" t="inlineStr">
        <is>
          <t>15.7%</t>
        </is>
      </c>
      <c r="F32" s="6" t="inlineStr">
        <is>
          <t>13.47%</t>
        </is>
      </c>
      <c r="G32" s="6" t="inlineStr">
        <is>
          <t>13.21%</t>
        </is>
      </c>
      <c r="H32" s="6" t="inlineStr">
        <is>
          <t>13.64%</t>
        </is>
      </c>
      <c r="I32" s="6" t="inlineStr">
        <is>
          <t>18.52%</t>
        </is>
      </c>
      <c r="J32" s="6" t="inlineStr">
        <is>
          <t>15.59%</t>
        </is>
      </c>
      <c r="K32" s="6" t="inlineStr">
        <is>
          <t>14.6%</t>
        </is>
      </c>
      <c r="L32" s="6" t="inlineStr">
        <is>
          <t>13.87%</t>
        </is>
      </c>
    </row>
    <row r="33">
      <c r="A33" s="6" t="inlineStr">
        <is>
          <t>Tier 1 Ratio</t>
        </is>
      </c>
      <c r="B33" s="6" t="inlineStr">
        <is>
          <t>13.3%</t>
        </is>
      </c>
      <c r="C33" s="6" t="inlineStr">
        <is>
          <t>16.0%</t>
        </is>
      </c>
      <c r="D33" s="6" t="inlineStr">
        <is>
          <t>18.5%</t>
        </is>
      </c>
      <c r="E33" s="6" t="inlineStr">
        <is>
          <t>17.5%</t>
        </is>
      </c>
      <c r="F33" s="6" t="inlineStr">
        <is>
          <t>15.35%</t>
        </is>
      </c>
      <c r="G33" s="6" t="inlineStr">
        <is>
          <t>15.18%</t>
        </is>
      </c>
      <c r="H33" s="6" t="inlineStr">
        <is>
          <t>15.94%</t>
        </is>
      </c>
      <c r="I33" s="6" t="inlineStr">
        <is>
          <t>18.52%</t>
        </is>
      </c>
      <c r="J33" s="6" t="inlineStr">
        <is>
          <t>15.59%</t>
        </is>
      </c>
      <c r="K33" s="6" t="inlineStr">
        <is>
          <t>14.6%</t>
        </is>
      </c>
      <c r="L33" s="6" t="inlineStr">
        <is>
          <t>13.9%</t>
        </is>
      </c>
    </row>
    <row r="34">
      <c r="A34" s="6" t="inlineStr">
        <is>
          <t>Total Capital Ratio</t>
        </is>
      </c>
      <c r="B34" s="6" t="inlineStr">
        <is>
          <t>15.0%</t>
        </is>
      </c>
      <c r="C34" s="6" t="inlineStr">
        <is>
          <t>18.1%</t>
        </is>
      </c>
      <c r="D34" s="6" t="inlineStr">
        <is>
          <t>21.1%</t>
        </is>
      </c>
      <c r="E34" s="6" t="inlineStr">
        <is>
          <t>20.2%</t>
        </is>
      </c>
      <c r="F34" s="6" t="inlineStr">
        <is>
          <t>18.28%</t>
        </is>
      </c>
      <c r="G34" s="6" t="inlineStr">
        <is>
          <t>18.26%</t>
        </is>
      </c>
      <c r="H34" s="6" t="inlineStr">
        <is>
          <t>19.54%</t>
        </is>
      </c>
      <c r="I34" s="6" t="inlineStr">
        <is>
          <t>22.25%</t>
        </is>
      </c>
      <c r="J34" s="6" t="inlineStr">
        <is>
          <t>19.97%</t>
        </is>
      </c>
      <c r="K34" s="6" t="inlineStr">
        <is>
          <t>19.3%</t>
        </is>
      </c>
      <c r="L34" s="6" t="inlineStr">
        <is>
          <t>19.13%</t>
        </is>
      </c>
    </row>
    <row r="35">
      <c r="A35" s="6" t="inlineStr">
        <is>
          <t>Leverage Ratio</t>
        </is>
      </c>
      <c r="B35" s="6" t="inlineStr">
        <is>
          <t>5.6%</t>
        </is>
      </c>
      <c r="C35" s="6" t="inlineStr">
        <is>
          <t>6.9%</t>
        </is>
      </c>
      <c r="D35" s="6" t="inlineStr">
        <is>
          <t>7.7%</t>
        </is>
      </c>
      <c r="E35" s="6" t="inlineStr">
        <is>
          <t>7.7%</t>
        </is>
      </c>
      <c r="F35" s="6" t="inlineStr">
        <is>
          <t>5.09%</t>
        </is>
      </c>
      <c r="G35" s="6" t="inlineStr">
        <is>
          <t>4.90%</t>
        </is>
      </c>
      <c r="H35" s="6" t="inlineStr">
        <is>
          <t>4.78%</t>
        </is>
      </c>
      <c r="I35" s="6" t="inlineStr">
        <is>
          <t>5.02%</t>
        </is>
      </c>
      <c r="J35" s="6" t="inlineStr">
        <is>
          <t>4.91%</t>
        </is>
      </c>
      <c r="K35" s="6" t="inlineStr">
        <is>
          <t>4.66%</t>
        </is>
      </c>
      <c r="L35" s="6" t="inlineStr">
        <is>
          <t>5.36%</t>
        </is>
      </c>
    </row>
    <row r="36">
      <c r="A36" s="6" t="inlineStr">
        <is>
          <t>LCR</t>
        </is>
      </c>
      <c r="B36" s="6" t="inlineStr">
        <is>
          <t>197.3%</t>
        </is>
      </c>
      <c r="C36" s="6" t="inlineStr">
        <is>
          <t>226.7%</t>
        </is>
      </c>
      <c r="D36" s="6" t="inlineStr">
        <is>
          <t>165.3%</t>
        </is>
      </c>
      <c r="E36" s="6" t="inlineStr">
        <is>
          <t>206.0%</t>
        </is>
      </c>
      <c r="F36" s="6" t="inlineStr">
        <is>
          <t>207%</t>
        </is>
      </c>
      <c r="G36" s="6" t="inlineStr">
        <is>
          <t>180%</t>
        </is>
      </c>
      <c r="H36" s="6" t="inlineStr">
        <is>
          <t>195%</t>
        </is>
      </c>
      <c r="I36" s="6" t="inlineStr">
        <is>
          <t>217%</t>
        </is>
      </c>
      <c r="J36" s="6" t="inlineStr">
        <is>
          <t>145%</t>
        </is>
      </c>
      <c r="K36" s="6" t="inlineStr">
        <is>
          <t>159%</t>
        </is>
      </c>
      <c r="L36" s="6" t="inlineStr">
        <is>
          <t>Not published – FY2015 Pillar 3 (PDF p.28) treats the LCR qualitatively; FY2015 Annual Report (p.134) says only that it was 'in excess of 100%'</t>
        </is>
      </c>
    </row>
    <row r="37">
      <c r="A37" s="6" t="inlineStr">
        <is>
          <t>NSFR</t>
        </is>
      </c>
      <c r="B37" s="6" t="inlineStr">
        <is>
          <t>122.8%</t>
        </is>
      </c>
      <c r="C37" s="6" t="inlineStr">
        <is>
          <t>136.4%</t>
        </is>
      </c>
      <c r="D37" s="6" t="inlineStr">
        <is>
          <t>183.3%</t>
        </is>
      </c>
      <c r="E37" s="6" t="inlineStr">
        <is>
          <t>163.8%</t>
        </is>
      </c>
      <c r="F37" s="6" t="inlineStr">
        <is>
          <t>121.8%</t>
        </is>
      </c>
      <c r="G37" s="6" t="inlineStr">
        <is>
          <t>Not disclosed</t>
        </is>
      </c>
      <c r="H37" s="6" t="inlineStr">
        <is>
          <t>Not disclosed</t>
        </is>
      </c>
      <c r="I37" s="6" t="inlineStr">
        <is>
          <t>Not disclosed</t>
        </is>
      </c>
      <c r="J37" s="6" t="inlineStr">
        <is>
          <t>Not disclosed</t>
        </is>
      </c>
      <c r="K37" s="6" t="inlineStr">
        <is>
          <t>Not disclosed</t>
        </is>
      </c>
      <c r="L37" s="6" t="inlineStr">
        <is>
          <t>Not disclosed</t>
        </is>
      </c>
    </row>
    <row r="39" ht="39" customHeight="1">
      <c r="A39" s="7" t="inlineStr">
        <is>
          <t>Note: Figures are duplicated from the detail sheets for at-a-glance trend viewing; see each sheet's own source citation for the underlying document/page. All amounts are in USD ($m), the reporting currency used throughout ICBC Standard Bank Plc's Annual Reports and Pillar 3 Disclosures. FY2015 is the entity's genuine historical floor (ICBC Standard Bank Plc was created 1 February 2015); pre-2018 figures reflect IAS 39 accounting and Basel III's transitional (non-KM1-template) Pillar 3 disclosure format - see the Balance Sheet, Profit &amp; Loss, Asset Quality and Pillar 3 metric sheets' own source notes for the specific terminology/basis shifts (IAS 39→IFRS 9 in 2018, no Additional Tier 1 capital before December 2019, no UK NSFR requirement before 2022).</t>
        </is>
      </c>
    </row>
  </sheetData>
  <mergeCells count="1">
    <mergeCell ref="A39:L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Consolidated Balance Sheet</t>
        </is>
      </c>
    </row>
    <row r="2">
      <c r="A2" s="2" t="inlineStr">
        <is>
          <t>ICBC Standard Bank Group (consolidated basis), $m unless stated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row>
    <row r="4">
      <c r="A4" s="5" t="inlineStr">
        <is>
          <t>Assets</t>
        </is>
      </c>
      <c r="B4" s="6" t="n"/>
      <c r="C4" s="6" t="n"/>
      <c r="D4" s="6" t="n"/>
      <c r="E4" s="6" t="n"/>
      <c r="F4" s="6" t="n"/>
      <c r="G4" s="6" t="n"/>
      <c r="H4" s="6" t="n"/>
      <c r="I4" s="6" t="n"/>
      <c r="J4" s="6" t="n"/>
      <c r="K4" s="6" t="n"/>
      <c r="L4" s="6" t="n"/>
    </row>
    <row r="5">
      <c r="A5" s="6" t="inlineStr">
        <is>
          <t>Cash and balances with central banks</t>
        </is>
      </c>
      <c r="B5" s="6" t="n">
        <v>764.5</v>
      </c>
      <c r="C5" s="6" t="n">
        <v>2674.1</v>
      </c>
      <c r="D5" s="6" t="n">
        <v>2635.9</v>
      </c>
      <c r="E5" s="6" t="n">
        <v>4856.1</v>
      </c>
      <c r="F5" s="6" t="n">
        <v>6056.5</v>
      </c>
      <c r="G5" s="6" t="n">
        <v>3117</v>
      </c>
      <c r="H5" s="6" t="n">
        <v>2844.3</v>
      </c>
      <c r="I5" s="6" t="n">
        <v>1920.9</v>
      </c>
      <c r="J5" s="6" t="n">
        <v>2989.5</v>
      </c>
      <c r="K5" s="6" t="n">
        <v>1174.3</v>
      </c>
      <c r="L5" s="6" t="n">
        <v>3254.2</v>
      </c>
    </row>
    <row r="6">
      <c r="A6" s="6" t="inlineStr">
        <is>
          <t>Due from banks and other financial institutions</t>
        </is>
      </c>
      <c r="B6" s="6" t="n">
        <v>5438.2</v>
      </c>
      <c r="C6" s="6" t="n">
        <v>3727.2</v>
      </c>
      <c r="D6" s="6" t="n">
        <v>2248.4</v>
      </c>
      <c r="E6" s="6" t="n">
        <v>2182.3</v>
      </c>
      <c r="F6" s="6" t="n">
        <v>2306.7</v>
      </c>
      <c r="G6" s="6" t="n">
        <v>2777.7</v>
      </c>
      <c r="H6" s="6" t="n">
        <v>1768.3</v>
      </c>
      <c r="I6" s="6" t="n">
        <v>1579.5</v>
      </c>
      <c r="J6" s="6" t="n">
        <v>2059.5</v>
      </c>
      <c r="K6" s="6" t="n">
        <v>1842.3</v>
      </c>
      <c r="L6" s="6" t="n">
        <v>1510.9</v>
      </c>
    </row>
    <row r="7">
      <c r="A7" s="6" t="inlineStr">
        <is>
          <t>Financial assets held for trading</t>
        </is>
      </c>
      <c r="B7" s="6" t="n">
        <v>1413.4</v>
      </c>
      <c r="C7" s="6" t="n">
        <v>1211.9</v>
      </c>
      <c r="D7" s="6" t="n">
        <v>1278.5</v>
      </c>
      <c r="E7" s="6" t="n">
        <v>702.7</v>
      </c>
      <c r="F7" s="6" t="n">
        <v>2455.7</v>
      </c>
      <c r="G7" s="6" t="n">
        <v>2187.6</v>
      </c>
      <c r="H7" s="6" t="n">
        <v>1920</v>
      </c>
      <c r="I7" s="6" t="n">
        <v>1582.4</v>
      </c>
      <c r="J7" s="6" t="n">
        <v>2579.5</v>
      </c>
      <c r="K7" s="6" t="n">
        <v>970.5</v>
      </c>
      <c r="L7" s="6" t="n">
        <v>2443.9</v>
      </c>
    </row>
    <row r="8">
      <c r="A8" s="6" t="inlineStr">
        <is>
          <t>Non-trading financial assets at fair value through profit or loss</t>
        </is>
      </c>
      <c r="B8" s="6" t="n">
        <v>1017.6</v>
      </c>
      <c r="C8" s="6" t="n">
        <v>689</v>
      </c>
      <c r="D8" s="6" t="n">
        <v>2856.6</v>
      </c>
      <c r="E8" s="6" t="n">
        <v>2193.7</v>
      </c>
      <c r="F8" s="6" t="n">
        <v>1972.1</v>
      </c>
      <c r="G8" s="6" t="n">
        <v>1971.5</v>
      </c>
      <c r="H8" s="6" t="n">
        <v>1305.3</v>
      </c>
      <c r="I8" s="6" t="n">
        <v>1340.7</v>
      </c>
      <c r="J8" s="6" t="n">
        <v>1335.9</v>
      </c>
      <c r="K8" s="6" t="n">
        <v>1339.2</v>
      </c>
      <c r="L8" s="6" t="n">
        <v>7.9</v>
      </c>
    </row>
    <row r="9">
      <c r="A9" s="6" t="inlineStr">
        <is>
          <t>Derivative financial assets</t>
        </is>
      </c>
      <c r="B9" s="6" t="n">
        <v>8686.4</v>
      </c>
      <c r="C9" s="6" t="n">
        <v>3911.2</v>
      </c>
      <c r="D9" s="6" t="n">
        <v>3383.2</v>
      </c>
      <c r="E9" s="6" t="n">
        <v>4968</v>
      </c>
      <c r="F9" s="6" t="n">
        <v>4392.1</v>
      </c>
      <c r="G9" s="6" t="n">
        <v>6084.5</v>
      </c>
      <c r="H9" s="6" t="n">
        <v>3981.9</v>
      </c>
      <c r="I9" s="6" t="n">
        <v>4019.8</v>
      </c>
      <c r="J9" s="6" t="n">
        <v>4299.5</v>
      </c>
      <c r="K9" s="6" t="n">
        <v>4715</v>
      </c>
      <c r="L9" s="6" t="n">
        <v>6223</v>
      </c>
    </row>
    <row r="10">
      <c r="A10" s="6" t="inlineStr">
        <is>
          <t>Reverse repurchase agreements</t>
        </is>
      </c>
      <c r="B10" s="6" t="n">
        <v>4987.3</v>
      </c>
      <c r="C10" s="6" t="n">
        <v>3526.8</v>
      </c>
      <c r="D10" s="6" t="n">
        <v>2936</v>
      </c>
      <c r="E10" s="6" t="n">
        <v>2614.6</v>
      </c>
      <c r="F10" s="6" t="n">
        <v>2287.8</v>
      </c>
      <c r="G10" s="6" t="n">
        <v>4021.1</v>
      </c>
      <c r="H10" s="6" t="n">
        <v>3210.3</v>
      </c>
      <c r="I10" s="6" t="n">
        <v>4060.9</v>
      </c>
      <c r="J10" s="6" t="n">
        <v>4705.5</v>
      </c>
      <c r="K10" s="6" t="n">
        <v>3601.1</v>
      </c>
      <c r="L10" s="6" t="n">
        <v>2684.5</v>
      </c>
    </row>
    <row r="11">
      <c r="A11" s="6" t="inlineStr">
        <is>
          <t>Loans and advances to customers</t>
        </is>
      </c>
      <c r="B11" s="6" t="n">
        <v>1828</v>
      </c>
      <c r="C11" s="6" t="n">
        <v>1303</v>
      </c>
      <c r="D11" s="6" t="n">
        <v>771.3</v>
      </c>
      <c r="E11" s="6" t="n">
        <v>818.6</v>
      </c>
      <c r="F11" s="6" t="n">
        <v>1608.7</v>
      </c>
      <c r="G11" s="6" t="n">
        <v>581.2</v>
      </c>
      <c r="H11" s="6" t="n">
        <v>798.4</v>
      </c>
      <c r="I11" s="6" t="n">
        <v>737.3</v>
      </c>
      <c r="J11" s="6" t="n">
        <v>606.9</v>
      </c>
      <c r="K11" s="6" t="n">
        <v>855.3</v>
      </c>
      <c r="L11" s="6" t="n">
        <v>427.1</v>
      </c>
    </row>
    <row r="12">
      <c r="A12" s="6" t="inlineStr">
        <is>
          <t>Financial investments</t>
        </is>
      </c>
      <c r="B12" s="6" t="n">
        <v>3721.7</v>
      </c>
      <c r="C12" s="6" t="n">
        <v>3176.9</v>
      </c>
      <c r="D12" s="6" t="n">
        <v>2052.8</v>
      </c>
      <c r="E12" s="6" t="n">
        <v>1293.4</v>
      </c>
      <c r="F12" s="6" t="n">
        <v>925.5</v>
      </c>
      <c r="G12" s="6" t="n">
        <v>1569.5</v>
      </c>
      <c r="H12" s="6" t="n">
        <v>1865.5</v>
      </c>
      <c r="I12" s="6" t="n">
        <v>1952.3</v>
      </c>
      <c r="J12" s="6" t="n">
        <v>962</v>
      </c>
      <c r="K12" s="6" t="n">
        <v>1300.7</v>
      </c>
      <c r="L12" s="6" t="n">
        <v>105.3</v>
      </c>
    </row>
    <row r="13">
      <c r="A13" s="6" t="inlineStr">
        <is>
          <t>Property and equipment</t>
        </is>
      </c>
      <c r="B13" s="6" t="n">
        <v>70.8</v>
      </c>
      <c r="C13" s="6" t="n">
        <v>70.3</v>
      </c>
      <c r="D13" s="6" t="n">
        <v>66.90000000000001</v>
      </c>
      <c r="E13" s="6" t="n">
        <v>34.6</v>
      </c>
      <c r="F13" s="6" t="n">
        <v>47.4</v>
      </c>
      <c r="G13" s="6" t="n">
        <v>57.9</v>
      </c>
      <c r="H13" s="6" t="n">
        <v>72.2</v>
      </c>
      <c r="I13" s="6" t="n">
        <v>20.2</v>
      </c>
      <c r="J13" s="6" t="n">
        <v>18.9</v>
      </c>
      <c r="K13" s="6" t="n">
        <v>22.6</v>
      </c>
      <c r="L13" s="6" t="n">
        <v>21.1</v>
      </c>
    </row>
    <row r="14">
      <c r="A14" s="6" t="inlineStr">
        <is>
          <t>Current tax assets</t>
        </is>
      </c>
      <c r="B14" s="6" t="n">
        <v>10.9</v>
      </c>
      <c r="C14" s="6" t="n">
        <v>7.6</v>
      </c>
      <c r="D14" s="6" t="n">
        <v>11.8</v>
      </c>
      <c r="E14" s="6" t="n">
        <v>5.5</v>
      </c>
      <c r="F14" s="6" t="n">
        <v>3.5</v>
      </c>
      <c r="G14" s="6" t="n">
        <v>0</v>
      </c>
      <c r="H14" s="6" t="n">
        <v>0.5</v>
      </c>
      <c r="I14" s="6" t="n">
        <v>0.3</v>
      </c>
      <c r="J14" s="6" t="n">
        <v>0.4</v>
      </c>
      <c r="K14" s="6" t="n">
        <v>0.4</v>
      </c>
      <c r="L14" s="6" t="n">
        <v>1.1</v>
      </c>
    </row>
    <row r="15">
      <c r="A15" s="6" t="inlineStr">
        <is>
          <t>Deferred tax assets</t>
        </is>
      </c>
      <c r="B15" s="6" t="n">
        <v>13.7</v>
      </c>
      <c r="C15" s="6" t="n">
        <v>13.3</v>
      </c>
      <c r="D15" s="6" t="n">
        <v>8</v>
      </c>
      <c r="E15" s="6" t="n">
        <v>0.6</v>
      </c>
      <c r="F15" s="6" t="n">
        <v>0.7</v>
      </c>
      <c r="G15" s="6" t="n">
        <v>0.7</v>
      </c>
      <c r="H15" s="6" t="n">
        <v>0.4</v>
      </c>
      <c r="I15" s="6" t="n">
        <v>0.3</v>
      </c>
      <c r="J15" s="6" t="n">
        <v>1.1</v>
      </c>
      <c r="K15" s="6" t="n">
        <v>1.4</v>
      </c>
      <c r="L15" s="6" t="n">
        <v>3</v>
      </c>
    </row>
    <row r="16">
      <c r="A16" s="6" t="inlineStr">
        <is>
          <t>Other assets (incl. non-financial commodities inventory held for trading)</t>
        </is>
      </c>
      <c r="B16" s="6" t="n">
        <v>9848.200000000001</v>
      </c>
      <c r="C16" s="6" t="n">
        <v>6289.1</v>
      </c>
      <c r="D16" s="6" t="n">
        <v>4997.7</v>
      </c>
      <c r="E16" s="6" t="n">
        <v>2957.2</v>
      </c>
      <c r="F16" s="6" t="n">
        <v>4211.8</v>
      </c>
      <c r="G16" s="6" t="n">
        <v>5367.6</v>
      </c>
      <c r="H16" s="6" t="n">
        <v>6658.4</v>
      </c>
      <c r="I16" s="6" t="n">
        <v>7359.9</v>
      </c>
      <c r="J16" s="6" t="n">
        <v>4295</v>
      </c>
      <c r="K16" s="6" t="n">
        <v>4400.8</v>
      </c>
      <c r="L16" s="6" t="n">
        <v>3455.5</v>
      </c>
    </row>
    <row r="17">
      <c r="A17" s="5" t="inlineStr">
        <is>
          <t>Total assets</t>
        </is>
      </c>
      <c r="B17" s="5" t="n">
        <v>37800.7</v>
      </c>
      <c r="C17" s="5" t="n">
        <v>26600.4</v>
      </c>
      <c r="D17" s="5" t="n">
        <v>23247.1</v>
      </c>
      <c r="E17" s="5" t="n">
        <v>22627.3</v>
      </c>
      <c r="F17" s="5" t="n">
        <v>26268.5</v>
      </c>
      <c r="G17" s="5" t="n">
        <v>27736.3</v>
      </c>
      <c r="H17" s="5" t="n">
        <v>24425.5</v>
      </c>
      <c r="I17" s="5" t="n">
        <v>24574.5</v>
      </c>
      <c r="J17" s="5" t="n">
        <v>23853.7</v>
      </c>
      <c r="K17" s="5" t="n">
        <v>20223.6</v>
      </c>
      <c r="L17" s="5" t="n">
        <v>20137.5</v>
      </c>
    </row>
    <row r="18">
      <c r="A18" s="5" t="inlineStr">
        <is>
          <t>Liabilities</t>
        </is>
      </c>
      <c r="B18" s="6" t="n"/>
      <c r="C18" s="6" t="n"/>
      <c r="D18" s="6" t="n"/>
      <c r="E18" s="6" t="n"/>
      <c r="F18" s="6" t="n"/>
      <c r="G18" s="6" t="n"/>
      <c r="H18" s="6" t="n"/>
      <c r="I18" s="6" t="n"/>
      <c r="J18" s="6" t="n"/>
      <c r="K18" s="6" t="n"/>
      <c r="L18" s="6" t="n"/>
    </row>
    <row r="19">
      <c r="A19" s="6" t="inlineStr">
        <is>
          <t>Financial liabilities held for trading</t>
        </is>
      </c>
      <c r="B19" s="6" t="n">
        <v>1876.9</v>
      </c>
      <c r="C19" s="6" t="n">
        <v>938</v>
      </c>
      <c r="D19" s="6" t="n">
        <v>1634.7</v>
      </c>
      <c r="E19" s="6" t="n">
        <v>1295.2</v>
      </c>
      <c r="F19" s="6" t="n">
        <v>1566.5</v>
      </c>
      <c r="G19" s="6" t="n">
        <v>1615.8</v>
      </c>
      <c r="H19" s="6" t="n">
        <v>1310.3</v>
      </c>
      <c r="I19" s="6" t="n">
        <v>855.6</v>
      </c>
      <c r="J19" s="6" t="n">
        <v>1544.2</v>
      </c>
      <c r="K19" s="6" t="n">
        <v>781.7</v>
      </c>
      <c r="L19" s="6" t="n">
        <v>984.3</v>
      </c>
    </row>
    <row r="20">
      <c r="A20" s="6" t="inlineStr">
        <is>
          <t>Non-trading financial liabilities at fair value through profit or loss</t>
        </is>
      </c>
      <c r="B20" s="6" t="n">
        <v>7342.6</v>
      </c>
      <c r="C20" s="6" t="n">
        <v>6975.3</v>
      </c>
      <c r="D20" s="6" t="n">
        <v>3744</v>
      </c>
      <c r="E20" s="6" t="n">
        <v>2951.2</v>
      </c>
      <c r="F20" s="6" t="n">
        <v>2099.9</v>
      </c>
      <c r="G20" s="6" t="n">
        <v>2068.2</v>
      </c>
      <c r="H20" s="6" t="n">
        <v>1227.6</v>
      </c>
      <c r="I20" s="6" t="n">
        <v>1257.7</v>
      </c>
      <c r="J20" s="6" t="n">
        <v>1337.6</v>
      </c>
      <c r="K20" s="6" t="n">
        <v>1313.3</v>
      </c>
      <c r="L20" s="6" t="n"/>
    </row>
    <row r="21">
      <c r="A21" s="6" t="inlineStr">
        <is>
          <t>Derivative financial liabilities</t>
        </is>
      </c>
      <c r="B21" s="6" t="n">
        <v>7368.4</v>
      </c>
      <c r="C21" s="6" t="n">
        <v>4194.9</v>
      </c>
      <c r="D21" s="6" t="n">
        <v>3782.3</v>
      </c>
      <c r="E21" s="6" t="n">
        <v>5352.8</v>
      </c>
      <c r="F21" s="6" t="n">
        <v>5050.7</v>
      </c>
      <c r="G21" s="6" t="n">
        <v>6558.5</v>
      </c>
      <c r="H21" s="6" t="n">
        <v>4563.8</v>
      </c>
      <c r="I21" s="6" t="n">
        <v>4134.7</v>
      </c>
      <c r="J21" s="6" t="n">
        <v>4652.6</v>
      </c>
      <c r="K21" s="6" t="n">
        <v>4849.3</v>
      </c>
      <c r="L21" s="6" t="n">
        <v>5926.3</v>
      </c>
    </row>
    <row r="22">
      <c r="A22" s="6" t="inlineStr">
        <is>
          <t>Due to banks and other financial institutions</t>
        </is>
      </c>
      <c r="B22" s="6" t="n">
        <v>7761.1</v>
      </c>
      <c r="C22" s="6" t="n">
        <v>4731.3</v>
      </c>
      <c r="D22" s="6" t="n">
        <v>6553.2</v>
      </c>
      <c r="E22" s="6" t="n">
        <v>6221.9</v>
      </c>
      <c r="F22" s="6" t="n">
        <v>11646.5</v>
      </c>
      <c r="G22" s="6" t="n">
        <v>9065.299999999999</v>
      </c>
      <c r="H22" s="6" t="n">
        <v>8639.700000000001</v>
      </c>
      <c r="I22" s="6" t="n">
        <v>9271.200000000001</v>
      </c>
      <c r="J22" s="6" t="n">
        <v>10120.3</v>
      </c>
      <c r="K22" s="6" t="n">
        <v>8022.7</v>
      </c>
      <c r="L22" s="6" t="n">
        <v>10259.2</v>
      </c>
    </row>
    <row r="23">
      <c r="A23" s="6" t="inlineStr">
        <is>
          <t>Repurchase agreements</t>
        </is>
      </c>
      <c r="B23" s="6" t="n">
        <v>1079.1</v>
      </c>
      <c r="C23" s="6" t="n">
        <v>1080.4</v>
      </c>
      <c r="D23" s="6" t="n">
        <v>853.1</v>
      </c>
      <c r="E23" s="6" t="n">
        <v>530.1</v>
      </c>
      <c r="F23" s="6" t="n">
        <v>693.6</v>
      </c>
      <c r="G23" s="6" t="n">
        <v>2417.1</v>
      </c>
      <c r="H23" s="6" t="n">
        <v>1560.8</v>
      </c>
      <c r="I23" s="6" t="n">
        <v>1114.7</v>
      </c>
      <c r="J23" s="6" t="n">
        <v>1794.2</v>
      </c>
      <c r="K23" s="6" t="n">
        <v>2097.7</v>
      </c>
      <c r="L23" s="6" t="n">
        <v>361.4</v>
      </c>
    </row>
    <row r="24">
      <c r="A24" s="6" t="inlineStr">
        <is>
          <t>Certificates of deposit (line eliminated from FY2019 onward - fully repaid)</t>
        </is>
      </c>
      <c r="B24" s="6" t="n"/>
      <c r="C24" s="6" t="n"/>
      <c r="D24" s="6" t="n"/>
      <c r="E24" s="6" t="n"/>
      <c r="F24" s="6" t="n"/>
      <c r="G24" s="6" t="n"/>
      <c r="H24" s="6" t="n"/>
      <c r="I24" s="6" t="n">
        <v>0</v>
      </c>
      <c r="J24" s="6" t="n">
        <v>16.7</v>
      </c>
      <c r="K24" s="6" t="n">
        <v>63.3</v>
      </c>
      <c r="L24" s="6" t="n">
        <v>97.40000000000001</v>
      </c>
    </row>
    <row r="25">
      <c r="A25" s="6" t="inlineStr">
        <is>
          <t>Due to customers</t>
        </is>
      </c>
      <c r="B25" s="6" t="n">
        <v>2386.8</v>
      </c>
      <c r="C25" s="6" t="n">
        <v>1431</v>
      </c>
      <c r="D25" s="6" t="n">
        <v>1077.1</v>
      </c>
      <c r="E25" s="6" t="n">
        <v>1736.5</v>
      </c>
      <c r="F25" s="6" t="n">
        <v>1235.8</v>
      </c>
      <c r="G25" s="6" t="n">
        <v>2273.8</v>
      </c>
      <c r="H25" s="6" t="n">
        <v>424.6</v>
      </c>
      <c r="I25" s="6" t="n">
        <v>469.7</v>
      </c>
      <c r="J25" s="6" t="n">
        <v>600.8</v>
      </c>
      <c r="K25" s="6" t="n">
        <v>519.3</v>
      </c>
      <c r="L25" s="6" t="n">
        <v>573.4</v>
      </c>
    </row>
    <row r="26">
      <c r="A26" s="6" t="inlineStr">
        <is>
          <t>Current tax liabilities</t>
        </is>
      </c>
      <c r="B26" s="6" t="n">
        <v>3.2</v>
      </c>
      <c r="C26" s="6" t="n">
        <v>0.8</v>
      </c>
      <c r="D26" s="6" t="n">
        <v>2.4</v>
      </c>
      <c r="E26" s="6" t="n">
        <v>3.5</v>
      </c>
      <c r="F26" s="6" t="n">
        <v>1.9</v>
      </c>
      <c r="G26" s="6" t="n">
        <v>3.6</v>
      </c>
      <c r="H26" s="6" t="n">
        <v>3.1</v>
      </c>
      <c r="I26" s="6" t="n">
        <v>0.8</v>
      </c>
      <c r="J26" s="6" t="n">
        <v>0.7</v>
      </c>
      <c r="K26" s="6" t="n">
        <v>0.5</v>
      </c>
      <c r="L26" s="6" t="n">
        <v>0</v>
      </c>
    </row>
    <row r="27">
      <c r="A27" s="6" t="inlineStr">
        <is>
          <t>Subordinated debt</t>
        </is>
      </c>
      <c r="B27" s="6" t="n">
        <v>251.9</v>
      </c>
      <c r="C27" s="6" t="n">
        <v>248.6</v>
      </c>
      <c r="D27" s="6" t="n">
        <v>247.6</v>
      </c>
      <c r="E27" s="6" t="n">
        <v>245.4</v>
      </c>
      <c r="F27" s="6" t="n">
        <v>250.8</v>
      </c>
      <c r="G27" s="6" t="n">
        <v>250.8</v>
      </c>
      <c r="H27" s="6" t="n">
        <v>251.2</v>
      </c>
      <c r="I27" s="6" t="n">
        <v>659.8</v>
      </c>
      <c r="J27" s="6" t="n">
        <v>668.4</v>
      </c>
      <c r="K27" s="6" t="n">
        <v>529.2</v>
      </c>
      <c r="L27" s="6" t="n">
        <v>682.9</v>
      </c>
    </row>
    <row r="28">
      <c r="A28" s="6" t="inlineStr">
        <is>
          <t>Other liabilities (incl. precious metal payables)</t>
        </is>
      </c>
      <c r="B28" s="6" t="n">
        <v>7599.3</v>
      </c>
      <c r="C28" s="6" t="n">
        <v>5056.4</v>
      </c>
      <c r="D28" s="6" t="n">
        <v>3481.8</v>
      </c>
      <c r="E28" s="6" t="n">
        <v>2608.7</v>
      </c>
      <c r="F28" s="6" t="n">
        <v>2352.8</v>
      </c>
      <c r="G28" s="6" t="n">
        <v>2181.7</v>
      </c>
      <c r="H28" s="6" t="n">
        <v>5270.9</v>
      </c>
      <c r="I28" s="6" t="n">
        <v>5552.5</v>
      </c>
      <c r="J28" s="6" t="n">
        <v>1835.9</v>
      </c>
      <c r="K28" s="6" t="n">
        <v>1089.7</v>
      </c>
      <c r="L28" s="6" t="n">
        <v>177.6</v>
      </c>
    </row>
    <row r="29">
      <c r="A29" s="5" t="inlineStr">
        <is>
          <t>Total liabilities</t>
        </is>
      </c>
      <c r="B29" s="5" t="n">
        <v>35669.3</v>
      </c>
      <c r="C29" s="5" t="n">
        <v>24656.7</v>
      </c>
      <c r="D29" s="5" t="n">
        <v>21376.2</v>
      </c>
      <c r="E29" s="5" t="n">
        <v>20945.3</v>
      </c>
      <c r="F29" s="5" t="n">
        <v>24898.5</v>
      </c>
      <c r="G29" s="5" t="n">
        <v>26434.8</v>
      </c>
      <c r="H29" s="5" t="n">
        <v>23252</v>
      </c>
      <c r="I29" s="5" t="n">
        <v>23316.7</v>
      </c>
      <c r="J29" s="5" t="n">
        <v>22571.4</v>
      </c>
      <c r="K29" s="5" t="n">
        <v>19266.7</v>
      </c>
      <c r="L29" s="5" t="n">
        <v>19062.5</v>
      </c>
    </row>
    <row r="30">
      <c r="A30" s="5" t="inlineStr">
        <is>
          <t>Equity</t>
        </is>
      </c>
      <c r="B30" s="6" t="n"/>
      <c r="C30" s="6" t="n"/>
      <c r="D30" s="6" t="n"/>
      <c r="E30" s="6" t="n"/>
      <c r="F30" s="6" t="n"/>
      <c r="G30" s="6" t="n"/>
      <c r="H30" s="6" t="n"/>
      <c r="I30" s="6" t="n"/>
      <c r="J30" s="6" t="n"/>
      <c r="K30" s="6" t="n"/>
      <c r="L30" s="6" t="n"/>
    </row>
    <row r="31">
      <c r="A31" s="6" t="inlineStr">
        <is>
          <t>Share capital (and share premium pre-FY2021 restructure)</t>
        </is>
      </c>
      <c r="B31" s="6" t="n">
        <v>1083.5</v>
      </c>
      <c r="C31" s="6" t="n">
        <v>1083.5</v>
      </c>
      <c r="D31" s="6" t="n">
        <v>1083.5</v>
      </c>
      <c r="E31" s="6" t="n">
        <v>1083.5</v>
      </c>
      <c r="F31" s="6" t="n">
        <v>1083.5</v>
      </c>
      <c r="G31" s="6" t="n">
        <v>2079.5</v>
      </c>
      <c r="H31" s="6" t="n">
        <v>2079.5</v>
      </c>
      <c r="I31" s="6" t="n">
        <v>2079.5</v>
      </c>
      <c r="J31" s="6" t="n">
        <v>2079.5</v>
      </c>
      <c r="K31" s="6" t="n">
        <v>1814.5</v>
      </c>
      <c r="L31" s="6" t="n">
        <v>1814.5</v>
      </c>
    </row>
    <row r="32">
      <c r="A32" s="6" t="inlineStr">
        <is>
          <t>Other equity instruments</t>
        </is>
      </c>
      <c r="B32" s="6" t="n">
        <v>160</v>
      </c>
      <c r="C32" s="6" t="n">
        <v>160</v>
      </c>
      <c r="D32" s="6" t="n">
        <v>160</v>
      </c>
      <c r="E32" s="6" t="n">
        <v>160</v>
      </c>
      <c r="F32" s="6" t="n">
        <v>160</v>
      </c>
      <c r="G32" s="6" t="n">
        <v>160</v>
      </c>
      <c r="H32" s="6" t="n">
        <v>160</v>
      </c>
      <c r="I32" s="6" t="n"/>
      <c r="J32" s="6" t="n"/>
      <c r="K32" s="6" t="n"/>
      <c r="L32" s="6" t="n"/>
    </row>
    <row r="33">
      <c r="A33" s="6" t="inlineStr">
        <is>
          <t>Reserves</t>
        </is>
      </c>
      <c r="B33" s="6" t="n">
        <v>887.9</v>
      </c>
      <c r="C33" s="6" t="n">
        <v>700.2</v>
      </c>
      <c r="D33" s="6" t="n">
        <v>627.4</v>
      </c>
      <c r="E33" s="6" t="n">
        <v>438.5</v>
      </c>
      <c r="F33" s="6" t="n">
        <v>126.5</v>
      </c>
      <c r="G33" s="6" t="n">
        <v>-938</v>
      </c>
      <c r="H33" s="6" t="n">
        <v>-1066</v>
      </c>
      <c r="I33" s="6" t="n">
        <v>-821.7</v>
      </c>
      <c r="J33" s="6" t="n">
        <v>-797.2</v>
      </c>
      <c r="K33" s="6" t="n">
        <v>-857.6</v>
      </c>
      <c r="L33" s="6" t="n">
        <v>-739.5</v>
      </c>
    </row>
    <row r="34">
      <c r="A34" s="5" t="inlineStr">
        <is>
          <t>Total equity (attributable to ordinary shareholders)</t>
        </is>
      </c>
      <c r="B34" s="5" t="n">
        <v>2131.4</v>
      </c>
      <c r="C34" s="5" t="n">
        <v>1943.7</v>
      </c>
      <c r="D34" s="5" t="n">
        <v>1870.9</v>
      </c>
      <c r="E34" s="5" t="n">
        <v>1682</v>
      </c>
      <c r="F34" s="5" t="n">
        <v>1370</v>
      </c>
      <c r="G34" s="5" t="n">
        <v>1301.5</v>
      </c>
      <c r="H34" s="5" t="n">
        <v>1173.5</v>
      </c>
      <c r="I34" s="5" t="n">
        <v>1257.8</v>
      </c>
      <c r="J34" s="5" t="n">
        <v>1282.3</v>
      </c>
      <c r="K34" s="5" t="n">
        <v>956.9</v>
      </c>
      <c r="L34" s="5" t="n">
        <v>1075</v>
      </c>
    </row>
    <row r="35">
      <c r="A35" s="5" t="inlineStr">
        <is>
          <t>Total liabilities and equity</t>
        </is>
      </c>
      <c r="B35" s="5" t="n">
        <v>37800.7</v>
      </c>
      <c r="C35" s="5" t="n">
        <v>26600.4</v>
      </c>
      <c r="D35" s="5" t="n">
        <v>23247.1</v>
      </c>
      <c r="E35" s="5" t="n">
        <v>22627.3</v>
      </c>
      <c r="F35" s="5" t="n">
        <v>26268.5</v>
      </c>
      <c r="G35" s="5" t="n">
        <v>27736.3</v>
      </c>
      <c r="H35" s="5" t="n">
        <v>24425.5</v>
      </c>
      <c r="I35" s="5" t="n">
        <v>24574.5</v>
      </c>
      <c r="J35" s="5" t="n">
        <v>23853.7</v>
      </c>
      <c r="K35" s="5" t="n">
        <v>20223.6</v>
      </c>
      <c r="L35" s="5" t="n">
        <v>20137.5</v>
      </c>
    </row>
    <row r="37" ht="195" customHeight="1">
      <c r="A37" s="8" t="inlineStr">
        <is>
          <t>Sources — All figures are ICBC Standard Bank Plc consolidated (Group) basis, $m unless stated, each year's own originally-published figures (not a later restated comparative). ICBCS is jointly owned by Industrial and Commercial Bank of China Limited (60%) and Standard Bank Group Limited (40%).
FY2025 &amp; FY2024: ICBC Standard Bank Consolidated Annual Report 2025, p.64 (Consolidated balance sheet) — https://v.icbc.com.cn/userfiles/resources/icbc/haiwai/standardbank/download/2023/consolidatedannualreport2025.pdf
FY2023 &amp; FY2022: ICBC Standard Bank Consolidated Annual Report 2023, p.61 (7. Consolidated balance sheet) — https://v.icbc.com.cn/userfiles/resources/icbc/haiwai/standardbank/download/2023/2023annualreportyasuo.pdf
FY2021: ICBC Standard Bank Consolidated Annual Report 2021, p.61 (6. Consolidated balance sheet) — https://v.icbc.com.cn/userfiles/Resources/ICBC/haiwai/StandardBank/Download/2022/Consolidated_Annual_Report_2021.pdf
FY2020: ICBC Standard Bank Consolidated Annual Report 2020, p.51 (6. Consolidated balance sheet) — https://v.icbc.com.cn/userfiles/Resources/ICBC/haiwai/StandardBank/Download/2021/ConsolidatedAnnualReport20.pdf
FY2019: ICBC Standard Bank Consolidated Annual Report 2019, p.47 (6. Consolidated balance sheet) — https://v.icbc.com.cn/userfiles/Resources/ICBC/haiwai/StandardBank/Download/2020/ConsolidatedAnnualReport.pdf
FY2018: ICBC Standard Bank Consolidated Annual Report 2018, p.36 (6. Consolidated balance sheet) — https://v.icbc.com.cn/userfiles/Resources/ICBC/haiwai/StandardBank/Download/2019/Consolidated_Annual_Report_2018.pdf
FY2017: ICBC Standard Bank Consolidated Annual Report 2017, p.32 (6. Consolidated balance sheet) — https://v.icbc.com.cn/userfiles/Resources/ICBC/haiwai/StandardBank/Download/2019/Consolidated_Annual_Report_2017.pdf
FY2016: ICBC Standard Bank Consolidated Annual Report 2016, p.20 (6. Consolidated balance sheet) — https://v.icbc.com.cn/userfiles/Resources/ICBC/haiwai/StandardBank/Download/2019/ConsolidatedAnnualReport2016.pdf
FY2015: ICBC Standard Bank Consolidated Annual Report 2015, p.31 (6. Consolidated balance sheet) — https://v.icbc.com.cn/userfiles/Resources/ICBC/haiwai/StandardBank/Download/2019/ICBCStandardBankPlcAFS2015.pdf
Note: an 'Ordinary share premium' line ($996.0m at FY2020) was eliminated via a June 2021 share premium restructure (cancelled and transferred to retained earnings) - by FY2021 year-end onward, share capital and premium are a single, fully-merged line; for FY2015-FY2020 the combined 'Share capital (and share premium pre-FY2021 restructure)' row is the sum of each year's own separately disclosed 'Share capital' and 'Ordinary share premium' lines. FY2015-FY2018 additionally disclose a separate 'Certificates of deposit' liability line (fully repaid by FY2018 year-end, last carried at $nil, and dropped from the balance sheet format entirely from FY2019 onward) - shown as its own row rather than folded into 'Due to customers'. 'Financial assets/liabilities designated at fair value through profit or loss' was the FY2015-FY2017 IAS 39-era name for the same line renamed 'Non-trading financial assets/liabilities at fair value through profit or loss' from FY2018 onward under IFRS 9 - treated here as the same row throughout. 'Other equity instruments' (Additional Tier 1 capital) did not exist before a $160.0m issuance to ICBC in December 2019 - blank, not zero, for FY2015-FY2018. All years' Total assets = Total liabilities and equity exactly, and each year's own closing Total equity ties to the Statement of Changes in Equity sheet.</t>
        </is>
      </c>
    </row>
  </sheetData>
  <mergeCells count="1">
    <mergeCell ref="A37:L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Consolidated Income Statement</t>
        </is>
      </c>
    </row>
    <row r="2">
      <c r="A2" s="2" t="inlineStr">
        <is>
          <t>ICBC Standard Bank Group (consolidated basis), $m unless stated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row>
    <row r="4">
      <c r="A4" s="5" t="inlineStr">
        <is>
          <t>Income</t>
        </is>
      </c>
      <c r="B4" s="6" t="n"/>
      <c r="C4" s="6" t="n"/>
      <c r="D4" s="6" t="n"/>
      <c r="E4" s="6" t="n"/>
      <c r="F4" s="6" t="n"/>
      <c r="G4" s="6" t="n"/>
      <c r="H4" s="6" t="n"/>
      <c r="I4" s="6" t="n"/>
      <c r="J4" s="6" t="n"/>
      <c r="K4" s="6" t="n"/>
      <c r="L4" s="6" t="n"/>
    </row>
    <row r="5">
      <c r="A5" s="6" t="inlineStr">
        <is>
          <t>Interest income</t>
        </is>
      </c>
      <c r="B5" s="6" t="n">
        <v>730.8</v>
      </c>
      <c r="C5" s="6" t="n">
        <v>613.4</v>
      </c>
      <c r="D5" s="6" t="n">
        <v>524.7</v>
      </c>
      <c r="E5" s="6" t="n">
        <v>254.8</v>
      </c>
      <c r="F5" s="6" t="n">
        <v>135.1</v>
      </c>
      <c r="G5" s="6" t="n">
        <v>180.6</v>
      </c>
      <c r="H5" s="6" t="n">
        <v>296.8</v>
      </c>
      <c r="I5" s="6" t="n">
        <v>249.9</v>
      </c>
      <c r="J5" s="6" t="n">
        <v>191.3</v>
      </c>
      <c r="K5" s="6" t="n">
        <v>90.2</v>
      </c>
      <c r="L5" s="6" t="n">
        <v>57.3</v>
      </c>
    </row>
    <row r="6">
      <c r="A6" s="6" t="inlineStr">
        <is>
          <t>Interest expense</t>
        </is>
      </c>
      <c r="B6" s="6" t="n">
        <v>-482.7</v>
      </c>
      <c r="C6" s="6" t="n">
        <v>-449.5</v>
      </c>
      <c r="D6" s="6" t="n">
        <v>-370.8</v>
      </c>
      <c r="E6" s="6" t="n">
        <v>-156.3</v>
      </c>
      <c r="F6" s="6" t="n">
        <v>-23.1</v>
      </c>
      <c r="G6" s="6" t="n">
        <v>-67.7</v>
      </c>
      <c r="H6" s="6" t="n">
        <v>-205</v>
      </c>
      <c r="I6" s="6" t="n">
        <v>-179</v>
      </c>
      <c r="J6" s="6" t="n">
        <v>-110.6</v>
      </c>
      <c r="K6" s="6" t="n">
        <v>-54.1</v>
      </c>
      <c r="L6" s="6" t="n">
        <v>-61</v>
      </c>
    </row>
    <row r="7">
      <c r="A7" s="5" t="inlineStr">
        <is>
          <t>Net interest income</t>
        </is>
      </c>
      <c r="B7" s="5" t="n">
        <v>248.1</v>
      </c>
      <c r="C7" s="5" t="n">
        <v>163.9</v>
      </c>
      <c r="D7" s="5" t="n">
        <v>153.9</v>
      </c>
      <c r="E7" s="5" t="n">
        <v>98.5</v>
      </c>
      <c r="F7" s="5" t="n">
        <v>112</v>
      </c>
      <c r="G7" s="5" t="n">
        <v>112.9</v>
      </c>
      <c r="H7" s="5" t="n">
        <v>91.8</v>
      </c>
      <c r="I7" s="5" t="n">
        <v>70.90000000000001</v>
      </c>
      <c r="J7" s="5" t="n">
        <v>80.7</v>
      </c>
      <c r="K7" s="5" t="n">
        <v>36.1</v>
      </c>
      <c r="L7" s="5" t="n">
        <v>-3.7</v>
      </c>
    </row>
    <row r="8">
      <c r="A8" s="6" t="inlineStr">
        <is>
          <t>Fees and commission income</t>
        </is>
      </c>
      <c r="B8" s="6" t="n">
        <v>81.3</v>
      </c>
      <c r="C8" s="6" t="n">
        <v>68.90000000000001</v>
      </c>
      <c r="D8" s="6" t="n">
        <v>65.7</v>
      </c>
      <c r="E8" s="6" t="n">
        <v>43.2</v>
      </c>
      <c r="F8" s="6" t="n">
        <v>52</v>
      </c>
      <c r="G8" s="6" t="n">
        <v>63.4</v>
      </c>
      <c r="H8" s="6" t="n">
        <v>44.7</v>
      </c>
      <c r="I8" s="6" t="n">
        <v>55.9</v>
      </c>
      <c r="J8" s="6" t="n">
        <v>42.7</v>
      </c>
      <c r="K8" s="6" t="n">
        <v>19.3</v>
      </c>
      <c r="L8" s="6" t="n">
        <v>20.2</v>
      </c>
    </row>
    <row r="9">
      <c r="A9" s="6" t="inlineStr">
        <is>
          <t>Fees and commission expenses</t>
        </is>
      </c>
      <c r="B9" s="6" t="n">
        <v>-27.1</v>
      </c>
      <c r="C9" s="6" t="n">
        <v>-24.8</v>
      </c>
      <c r="D9" s="6" t="n">
        <v>-27.1</v>
      </c>
      <c r="E9" s="6" t="n">
        <v>-17.8</v>
      </c>
      <c r="F9" s="6" t="n">
        <v>-19.1</v>
      </c>
      <c r="G9" s="6" t="n">
        <v>-19.7</v>
      </c>
      <c r="H9" s="6" t="n">
        <v>-16.6</v>
      </c>
      <c r="I9" s="6" t="n">
        <v>-11.8</v>
      </c>
      <c r="J9" s="6" t="n">
        <v>-11.6</v>
      </c>
      <c r="K9" s="6" t="n">
        <v>-1.6</v>
      </c>
      <c r="L9" s="6" t="n">
        <v>-1.6</v>
      </c>
    </row>
    <row r="10">
      <c r="A10" s="5" t="inlineStr">
        <is>
          <t>Net fees and commission</t>
        </is>
      </c>
      <c r="B10" s="5" t="n">
        <v>54.2</v>
      </c>
      <c r="C10" s="5" t="n">
        <v>44.1</v>
      </c>
      <c r="D10" s="5" t="n">
        <v>38.6</v>
      </c>
      <c r="E10" s="5" t="n">
        <v>25.4</v>
      </c>
      <c r="F10" s="5" t="n">
        <v>32.9</v>
      </c>
      <c r="G10" s="5" t="n">
        <v>43.7</v>
      </c>
      <c r="H10" s="5" t="n">
        <v>28.1</v>
      </c>
      <c r="I10" s="5" t="n">
        <v>44.1</v>
      </c>
      <c r="J10" s="5" t="n">
        <v>31.1</v>
      </c>
      <c r="K10" s="5" t="n">
        <v>17.7</v>
      </c>
      <c r="L10" s="5" t="n">
        <v>18.6</v>
      </c>
    </row>
    <row r="11">
      <c r="A11" s="6" t="inlineStr">
        <is>
          <t>Net trading revenue</t>
        </is>
      </c>
      <c r="B11" s="6" t="n">
        <v>351.7</v>
      </c>
      <c r="C11" s="6" t="n">
        <v>257</v>
      </c>
      <c r="D11" s="6" t="n">
        <v>314</v>
      </c>
      <c r="E11" s="6" t="n">
        <v>400.6</v>
      </c>
      <c r="F11" s="6" t="n">
        <v>260.6</v>
      </c>
      <c r="G11" s="6" t="n">
        <v>285.1</v>
      </c>
      <c r="H11" s="6" t="n">
        <v>213</v>
      </c>
      <c r="I11" s="6" t="n">
        <v>216.2</v>
      </c>
      <c r="J11" s="6" t="n">
        <v>248.8</v>
      </c>
      <c r="K11" s="6" t="n">
        <v>215.9</v>
      </c>
      <c r="L11" s="6" t="n">
        <v>107.3</v>
      </c>
    </row>
    <row r="12">
      <c r="A12" s="6" t="inlineStr">
        <is>
          <t>Net gain on non-trading financial assets/liabilities at fair value through profit or loss</t>
        </is>
      </c>
      <c r="B12" s="6" t="n">
        <v>85.8</v>
      </c>
      <c r="C12" s="6" t="n">
        <v>107.1</v>
      </c>
      <c r="D12" s="6" t="n">
        <v>51.5</v>
      </c>
      <c r="E12" s="6" t="n">
        <v>51.7</v>
      </c>
      <c r="F12" s="6" t="n">
        <v>48.3</v>
      </c>
      <c r="G12" s="6" t="n">
        <v>24</v>
      </c>
      <c r="H12" s="6" t="n">
        <v>3.2</v>
      </c>
      <c r="I12" s="6" t="n">
        <v>14.9</v>
      </c>
      <c r="J12" s="6" t="n">
        <v>21.8</v>
      </c>
      <c r="K12" s="6" t="n">
        <v>19</v>
      </c>
      <c r="L12" s="6" t="n"/>
    </row>
    <row r="13">
      <c r="A13" s="6" t="inlineStr">
        <is>
          <t>Recoveries/(losses) on commodity inventory intermediation</t>
        </is>
      </c>
      <c r="B13" s="6" t="n"/>
      <c r="C13" s="6" t="n"/>
      <c r="D13" s="6" t="n"/>
      <c r="E13" s="6" t="n">
        <v>233.7</v>
      </c>
      <c r="F13" s="6" t="n">
        <v>8.800000000000001</v>
      </c>
      <c r="G13" s="6" t="n">
        <v>-13.7</v>
      </c>
      <c r="H13" s="6" t="n">
        <v>-198.7</v>
      </c>
      <c r="I13" s="6" t="n"/>
      <c r="J13" s="6" t="n"/>
      <c r="K13" s="6" t="n"/>
      <c r="L13" s="6" t="n"/>
    </row>
    <row r="14">
      <c r="A14" s="6" t="inlineStr">
        <is>
          <t>Recoveries on commodity reverse repurchase agreements</t>
        </is>
      </c>
      <c r="B14" s="6" t="n"/>
      <c r="C14" s="6" t="n"/>
      <c r="D14" s="6" t="n"/>
      <c r="E14" s="6" t="n"/>
      <c r="F14" s="6" t="n">
        <v>3.4</v>
      </c>
      <c r="G14" s="6" t="n">
        <v>37.1</v>
      </c>
      <c r="H14" s="6" t="n"/>
      <c r="I14" s="6" t="n">
        <v>37.9</v>
      </c>
      <c r="J14" s="6" t="n"/>
      <c r="K14" s="6" t="n">
        <v>-2.5</v>
      </c>
      <c r="L14" s="6" t="n">
        <v>50.5</v>
      </c>
    </row>
    <row r="15">
      <c r="A15" s="5" t="inlineStr">
        <is>
          <t>Non-interest revenue</t>
        </is>
      </c>
      <c r="B15" s="5" t="n">
        <v>491.7</v>
      </c>
      <c r="C15" s="5" t="n">
        <v>408.2</v>
      </c>
      <c r="D15" s="5" t="n">
        <v>404.1</v>
      </c>
      <c r="E15" s="5" t="n">
        <v>711.4</v>
      </c>
      <c r="F15" s="5" t="n">
        <v>354</v>
      </c>
      <c r="G15" s="5" t="n">
        <v>376.2</v>
      </c>
      <c r="H15" s="5" t="n">
        <v>45.6</v>
      </c>
      <c r="I15" s="5" t="n">
        <v>313.1</v>
      </c>
      <c r="J15" s="5" t="n">
        <v>301.7</v>
      </c>
      <c r="K15" s="5" t="n">
        <v>250.1</v>
      </c>
      <c r="L15" s="5" t="n">
        <v>176.4</v>
      </c>
    </row>
    <row r="16">
      <c r="A16" s="5" t="inlineStr">
        <is>
          <t>Total operating income</t>
        </is>
      </c>
      <c r="B16" s="5" t="n">
        <v>739.8</v>
      </c>
      <c r="C16" s="5" t="n">
        <v>572.1</v>
      </c>
      <c r="D16" s="5" t="n">
        <v>558</v>
      </c>
      <c r="E16" s="5" t="n">
        <v>809.9</v>
      </c>
      <c r="F16" s="5" t="n">
        <v>466</v>
      </c>
      <c r="G16" s="5" t="n">
        <v>489.1</v>
      </c>
      <c r="H16" s="5" t="n">
        <v>137.4</v>
      </c>
      <c r="I16" s="5" t="n">
        <v>384</v>
      </c>
      <c r="J16" s="5" t="n">
        <v>382.4</v>
      </c>
      <c r="K16" s="5" t="n">
        <v>286.2</v>
      </c>
      <c r="L16" s="5" t="n">
        <v>172.7</v>
      </c>
    </row>
    <row r="17">
      <c r="A17" s="6" t="inlineStr">
        <is>
          <t>Credit impairment charges/(recoveries)</t>
        </is>
      </c>
      <c r="B17" s="6" t="n">
        <v>-15</v>
      </c>
      <c r="C17" s="6" t="n">
        <v>-2.7</v>
      </c>
      <c r="D17" s="6" t="n">
        <v>50.2</v>
      </c>
      <c r="E17" s="6" t="n">
        <v>-60.8</v>
      </c>
      <c r="F17" s="6" t="n">
        <v>2.8</v>
      </c>
      <c r="G17" s="6" t="n">
        <v>-4.7</v>
      </c>
      <c r="H17" s="6" t="n">
        <v>-0.4</v>
      </c>
      <c r="I17" s="6" t="n">
        <v>-0.7</v>
      </c>
      <c r="J17" s="6" t="n">
        <v>8.4</v>
      </c>
      <c r="K17" s="6" t="n">
        <v>-0.3</v>
      </c>
      <c r="L17" s="6" t="n">
        <v>0.4</v>
      </c>
    </row>
    <row r="18">
      <c r="A18" s="5" t="inlineStr">
        <is>
          <t>Income after credit impairments</t>
        </is>
      </c>
      <c r="B18" s="5" t="n">
        <v>724.8</v>
      </c>
      <c r="C18" s="5" t="n">
        <v>569.4</v>
      </c>
      <c r="D18" s="5" t="n">
        <v>608.2</v>
      </c>
      <c r="E18" s="5" t="n">
        <v>749.1</v>
      </c>
      <c r="F18" s="5" t="n">
        <v>468.8</v>
      </c>
      <c r="G18" s="5" t="n">
        <v>484.4</v>
      </c>
      <c r="H18" s="5" t="n">
        <v>137</v>
      </c>
      <c r="I18" s="5" t="n">
        <v>383.3</v>
      </c>
      <c r="J18" s="5" t="n">
        <v>390.8</v>
      </c>
      <c r="K18" s="5" t="n">
        <v>285.9</v>
      </c>
      <c r="L18" s="5" t="n">
        <v>173.1</v>
      </c>
    </row>
    <row r="19">
      <c r="A19" s="5" t="inlineStr">
        <is>
          <t>Operating expenses</t>
        </is>
      </c>
      <c r="B19" s="6" t="n"/>
      <c r="C19" s="6" t="n"/>
      <c r="D19" s="6" t="n"/>
      <c r="E19" s="6" t="n"/>
      <c r="F19" s="6" t="n"/>
      <c r="G19" s="6" t="n"/>
      <c r="H19" s="6" t="n"/>
      <c r="I19" s="6" t="n"/>
      <c r="J19" s="6" t="n"/>
      <c r="K19" s="6" t="n"/>
      <c r="L19" s="6" t="n"/>
    </row>
    <row r="20">
      <c r="A20" s="6" t="inlineStr">
        <is>
          <t>Staff costs</t>
        </is>
      </c>
      <c r="B20" s="6" t="n">
        <v>-279.2</v>
      </c>
      <c r="C20" s="6" t="n">
        <v>-248.5</v>
      </c>
      <c r="D20" s="6" t="n">
        <v>-247.8</v>
      </c>
      <c r="E20" s="6" t="n">
        <v>-223.9</v>
      </c>
      <c r="F20" s="6" t="n">
        <v>-216.1</v>
      </c>
      <c r="G20" s="6" t="n">
        <v>-211.8</v>
      </c>
      <c r="H20" s="6" t="n">
        <v>-216.4</v>
      </c>
      <c r="I20" s="6" t="n">
        <v>-243.5</v>
      </c>
      <c r="J20" s="6" t="n">
        <v>-262.2</v>
      </c>
      <c r="K20" s="6" t="n">
        <v>-251.8</v>
      </c>
      <c r="L20" s="6" t="n">
        <v>-229.1</v>
      </c>
    </row>
    <row r="21">
      <c r="A21" s="6" t="inlineStr">
        <is>
          <t>Other operating expenses</t>
        </is>
      </c>
      <c r="B21" s="6" t="n">
        <v>-156.8</v>
      </c>
      <c r="C21" s="6" t="n">
        <v>-130.8</v>
      </c>
      <c r="D21" s="6" t="n">
        <v>-145.9</v>
      </c>
      <c r="E21" s="6" t="n">
        <v>-147.9</v>
      </c>
      <c r="F21" s="6" t="n">
        <v>-127.7</v>
      </c>
      <c r="G21" s="6" t="n">
        <v>-117</v>
      </c>
      <c r="H21" s="6" t="n">
        <v>-123.9</v>
      </c>
      <c r="I21" s="6" t="n">
        <v>-130.4</v>
      </c>
      <c r="J21" s="6" t="n">
        <v>-103.2</v>
      </c>
      <c r="K21" s="6" t="n">
        <v>-124.6</v>
      </c>
      <c r="L21" s="6" t="n">
        <v>-152.2</v>
      </c>
    </row>
    <row r="22">
      <c r="A22" s="6" t="inlineStr">
        <is>
          <t>Restructuring costs and other impairments</t>
        </is>
      </c>
      <c r="B22" s="6" t="n"/>
      <c r="C22" s="6" t="n"/>
      <c r="D22" s="6" t="n"/>
      <c r="E22" s="6" t="n"/>
      <c r="F22" s="6" t="n">
        <v>1.4</v>
      </c>
      <c r="G22" s="6" t="n">
        <v>-18.8</v>
      </c>
      <c r="H22" s="6" t="n">
        <v>-29.6</v>
      </c>
      <c r="I22" s="6" t="n"/>
      <c r="J22" s="6" t="n"/>
      <c r="K22" s="6" t="n"/>
      <c r="L22" s="6" t="n"/>
    </row>
    <row r="23">
      <c r="A23" s="6" t="inlineStr">
        <is>
          <t>Indirect taxation</t>
        </is>
      </c>
      <c r="B23" s="6" t="n">
        <v>-7.9</v>
      </c>
      <c r="C23" s="6" t="n">
        <v>-3.1</v>
      </c>
      <c r="D23" s="6" t="n">
        <v>-3.9</v>
      </c>
      <c r="E23" s="6" t="n">
        <v>-1.8</v>
      </c>
      <c r="F23" s="6" t="n">
        <v>-5.7</v>
      </c>
      <c r="G23" s="6" t="n">
        <v>-3.9</v>
      </c>
      <c r="H23" s="6" t="n">
        <v>-4.5</v>
      </c>
      <c r="I23" s="6" t="n">
        <v>-5.2</v>
      </c>
      <c r="J23" s="6" t="n">
        <v>-5.9</v>
      </c>
      <c r="K23" s="6" t="n">
        <v>-6.5</v>
      </c>
      <c r="L23" s="6" t="n">
        <v>-4.8</v>
      </c>
    </row>
    <row r="24">
      <c r="A24" s="5" t="inlineStr">
        <is>
          <t>Operating expenses</t>
        </is>
      </c>
      <c r="B24" s="5" t="n">
        <v>-443.9</v>
      </c>
      <c r="C24" s="5" t="n">
        <v>-382.4</v>
      </c>
      <c r="D24" s="5" t="n">
        <v>-397.6</v>
      </c>
      <c r="E24" s="5" t="n">
        <v>-373.6</v>
      </c>
      <c r="F24" s="5" t="n">
        <v>-348.1</v>
      </c>
      <c r="G24" s="5" t="n">
        <v>-351.5</v>
      </c>
      <c r="H24" s="5" t="n">
        <v>-374.4</v>
      </c>
      <c r="I24" s="5" t="n">
        <v>-379.1</v>
      </c>
      <c r="J24" s="5" t="n">
        <v>-371.3</v>
      </c>
      <c r="K24" s="5" t="n">
        <v>-382.9</v>
      </c>
      <c r="L24" s="5" t="n">
        <v>-386.1</v>
      </c>
    </row>
    <row r="25">
      <c r="A25" s="5" t="inlineStr">
        <is>
          <t>Profit before taxation</t>
        </is>
      </c>
      <c r="B25" s="5" t="n">
        <v>280.9</v>
      </c>
      <c r="C25" s="5" t="n">
        <v>187</v>
      </c>
      <c r="D25" s="5" t="n">
        <v>210.6</v>
      </c>
      <c r="E25" s="5" t="n">
        <v>375.5</v>
      </c>
      <c r="F25" s="5" t="n">
        <v>120.7</v>
      </c>
      <c r="G25" s="5" t="n">
        <v>132.9</v>
      </c>
      <c r="H25" s="5" t="n">
        <v>-237.4</v>
      </c>
      <c r="I25" s="5" t="n">
        <v>4.2</v>
      </c>
      <c r="J25" s="5" t="n">
        <v>19.5</v>
      </c>
      <c r="K25" s="5" t="n">
        <v>-97</v>
      </c>
      <c r="L25" s="5" t="n">
        <v>-213</v>
      </c>
    </row>
    <row r="26">
      <c r="A26" s="6" t="inlineStr">
        <is>
          <t>Income tax charge</t>
        </is>
      </c>
      <c r="B26" s="6" t="n">
        <v>-56</v>
      </c>
      <c r="C26" s="6" t="n">
        <v>-30.5</v>
      </c>
      <c r="D26" s="6" t="n">
        <v>-23.5</v>
      </c>
      <c r="E26" s="6" t="n">
        <v>-58.4</v>
      </c>
      <c r="F26" s="6" t="n">
        <v>-22.1</v>
      </c>
      <c r="G26" s="6" t="n">
        <v>-17.4</v>
      </c>
      <c r="H26" s="6" t="n">
        <v>-10.8</v>
      </c>
      <c r="I26" s="6" t="n">
        <v>-19</v>
      </c>
      <c r="J26" s="6" t="n">
        <v>10.2</v>
      </c>
      <c r="K26" s="6" t="n">
        <v>-1.8</v>
      </c>
      <c r="L26" s="6" t="n">
        <v>-19.8</v>
      </c>
    </row>
    <row r="27">
      <c r="A27" s="6" t="inlineStr">
        <is>
          <t>Discontinued operations (FY2015 only - a business line discontinued in 2014/2015)</t>
        </is>
      </c>
      <c r="B27" s="6" t="n"/>
      <c r="C27" s="6" t="n"/>
      <c r="D27" s="6" t="n"/>
      <c r="E27" s="6" t="n"/>
      <c r="F27" s="6" t="n"/>
      <c r="G27" s="6" t="n"/>
      <c r="H27" s="6" t="n"/>
      <c r="I27" s="6" t="n"/>
      <c r="J27" s="6" t="n"/>
      <c r="K27" s="6" t="n">
        <v>0</v>
      </c>
      <c r="L27" s="6" t="n">
        <v>-34.9</v>
      </c>
    </row>
    <row r="28">
      <c r="A28" s="5" t="inlineStr">
        <is>
          <t>Profit attributable to equity shareholders</t>
        </is>
      </c>
      <c r="B28" s="5" t="n">
        <v>224.9</v>
      </c>
      <c r="C28" s="5" t="n">
        <v>156.5</v>
      </c>
      <c r="D28" s="5" t="n">
        <v>187.1</v>
      </c>
      <c r="E28" s="5" t="n">
        <v>317.1</v>
      </c>
      <c r="F28" s="5" t="n">
        <v>98.59999999999999</v>
      </c>
      <c r="G28" s="5" t="n">
        <v>115.5</v>
      </c>
      <c r="H28" s="5" t="n">
        <v>-248.2</v>
      </c>
      <c r="I28" s="5" t="n">
        <v>-14.8</v>
      </c>
      <c r="J28" s="5" t="n">
        <v>29.7</v>
      </c>
      <c r="K28" s="5" t="n">
        <v>-98.8</v>
      </c>
      <c r="L28" s="5" t="n">
        <v>-267.7</v>
      </c>
    </row>
    <row r="29">
      <c r="A29" s="5" t="inlineStr">
        <is>
          <t>Other comprehensive income</t>
        </is>
      </c>
      <c r="B29" s="6" t="n"/>
      <c r="C29" s="6" t="n"/>
      <c r="D29" s="6" t="n"/>
      <c r="E29" s="6" t="n"/>
      <c r="F29" s="6" t="n"/>
      <c r="G29" s="6" t="n"/>
      <c r="H29" s="6" t="n"/>
      <c r="I29" s="6" t="n"/>
      <c r="J29" s="6" t="n"/>
      <c r="K29" s="6" t="n"/>
      <c r="L29" s="6" t="n"/>
    </row>
    <row r="30">
      <c r="A30" s="6" t="inlineStr">
        <is>
          <t>Foreign currency translation reserve</t>
        </is>
      </c>
      <c r="B30" s="6" t="n">
        <v>1.3</v>
      </c>
      <c r="C30" s="6" t="n">
        <v>-0.7</v>
      </c>
      <c r="D30" s="6" t="n">
        <v>-0.7</v>
      </c>
      <c r="E30" s="6" t="n">
        <v>-2.6</v>
      </c>
      <c r="F30" s="6" t="n">
        <v>0.8</v>
      </c>
      <c r="G30" s="6" t="n">
        <v>1.8</v>
      </c>
      <c r="H30" s="6" t="n">
        <v>-1.2</v>
      </c>
      <c r="I30" s="6" t="n">
        <v>-3.9</v>
      </c>
      <c r="J30" s="6" t="n">
        <v>4.7</v>
      </c>
      <c r="K30" s="6" t="n">
        <v>-5.2</v>
      </c>
      <c r="L30" s="6" t="n">
        <v>-3.7</v>
      </c>
    </row>
    <row r="31">
      <c r="A31" s="6" t="inlineStr">
        <is>
          <t>Cash flow hedging reserve, net</t>
        </is>
      </c>
      <c r="B31" s="6" t="n">
        <v>15.6</v>
      </c>
      <c r="C31" s="6" t="n">
        <v>-22.8</v>
      </c>
      <c r="D31" s="6" t="n">
        <v>13.5</v>
      </c>
      <c r="E31" s="6" t="n">
        <v>13.1</v>
      </c>
      <c r="F31" s="6" t="n">
        <v>-19.3</v>
      </c>
      <c r="G31" s="6" t="n">
        <v>10.2</v>
      </c>
      <c r="H31" s="6" t="n">
        <v>5.8</v>
      </c>
      <c r="I31" s="6" t="n">
        <v>-4.9</v>
      </c>
      <c r="J31" s="6" t="n">
        <v>25.1</v>
      </c>
      <c r="K31" s="6" t="n">
        <v>-13.6</v>
      </c>
      <c r="L31" s="6" t="n">
        <v>-8.699999999999999</v>
      </c>
    </row>
    <row r="32">
      <c r="A32" s="6" t="inlineStr">
        <is>
          <t>Net investment hedge reserve</t>
        </is>
      </c>
      <c r="B32" s="6" t="n"/>
      <c r="C32" s="6" t="n"/>
      <c r="D32" s="6" t="n"/>
      <c r="E32" s="6" t="n"/>
      <c r="F32" s="6" t="n"/>
      <c r="G32" s="6" t="n"/>
      <c r="H32" s="6" t="n"/>
      <c r="I32" s="6" t="n">
        <v>0</v>
      </c>
      <c r="J32" s="6" t="n">
        <v>-1.7</v>
      </c>
      <c r="K32" s="6" t="n"/>
      <c r="L32" s="6" t="n"/>
    </row>
    <row r="33">
      <c r="A33" s="6" t="inlineStr">
        <is>
          <t>Changes in fair value of debt instruments measured at FVOCI</t>
        </is>
      </c>
      <c r="B33" s="6" t="n">
        <v>0.1</v>
      </c>
      <c r="C33" s="6" t="n">
        <v>0.9</v>
      </c>
      <c r="D33" s="6" t="n">
        <v>0.9</v>
      </c>
      <c r="E33" s="6" t="n">
        <v>-2.5</v>
      </c>
      <c r="F33" s="6" t="n">
        <v>0.6</v>
      </c>
      <c r="G33" s="6" t="n">
        <v>0.8</v>
      </c>
      <c r="H33" s="6" t="n">
        <v>-0.6</v>
      </c>
      <c r="I33" s="6" t="n">
        <v>-0.9</v>
      </c>
      <c r="J33" s="6" t="n">
        <v>2.6</v>
      </c>
      <c r="K33" s="6" t="n">
        <v>-0.5</v>
      </c>
      <c r="L33" s="6" t="n">
        <v>-0.9</v>
      </c>
    </row>
    <row r="34">
      <c r="A34" s="6" t="inlineStr">
        <is>
          <t>Gains/(losses) attributable to own credit risk</t>
        </is>
      </c>
      <c r="B34" s="6" t="n">
        <v>0</v>
      </c>
      <c r="C34" s="6" t="n">
        <v>1</v>
      </c>
      <c r="D34" s="6" t="n">
        <v>0.3</v>
      </c>
      <c r="E34" s="6" t="n">
        <v>-0.9</v>
      </c>
      <c r="F34" s="6" t="n">
        <v>-0.1</v>
      </c>
      <c r="G34" s="6" t="n">
        <v>-0.3</v>
      </c>
      <c r="H34" s="6" t="n"/>
      <c r="I34" s="6" t="n"/>
      <c r="J34" s="6" t="n"/>
      <c r="K34" s="6" t="n"/>
      <c r="L34" s="6" t="n"/>
    </row>
    <row r="35">
      <c r="A35" s="5" t="inlineStr">
        <is>
          <t>Other comprehensive income/(losses) for the year</t>
        </is>
      </c>
      <c r="B35" s="5" t="n">
        <v>17</v>
      </c>
      <c r="C35" s="5" t="n">
        <v>-21.6</v>
      </c>
      <c r="D35" s="5" t="n">
        <v>14</v>
      </c>
      <c r="E35" s="5" t="n">
        <v>7.1</v>
      </c>
      <c r="F35" s="5" t="n">
        <v>-17.9</v>
      </c>
      <c r="G35" s="5" t="n">
        <v>12.5</v>
      </c>
      <c r="H35" s="5" t="n">
        <v>4</v>
      </c>
      <c r="I35" s="5" t="n">
        <v>-9.699999999999999</v>
      </c>
      <c r="J35" s="5" t="n">
        <v>30.7</v>
      </c>
      <c r="K35" s="5" t="n">
        <v>-19.3</v>
      </c>
      <c r="L35" s="5" t="n">
        <v>-13.3</v>
      </c>
    </row>
    <row r="36">
      <c r="A36" s="5" t="inlineStr">
        <is>
          <t>Total comprehensive income attributable to equity shareholders</t>
        </is>
      </c>
      <c r="B36" s="5" t="n">
        <v>241.9</v>
      </c>
      <c r="C36" s="5" t="n">
        <v>134.9</v>
      </c>
      <c r="D36" s="5" t="n">
        <v>201.1</v>
      </c>
      <c r="E36" s="5" t="n">
        <v>324.2</v>
      </c>
      <c r="F36" s="5" t="n">
        <v>80.7</v>
      </c>
      <c r="G36" s="5" t="n">
        <v>128</v>
      </c>
      <c r="H36" s="5" t="n">
        <v>-244.2</v>
      </c>
      <c r="I36" s="5" t="n">
        <v>-24.5</v>
      </c>
      <c r="J36" s="5" t="n">
        <v>60.4</v>
      </c>
      <c r="K36" s="5" t="n">
        <v>-118.1</v>
      </c>
      <c r="L36" s="5" t="n">
        <v>-281</v>
      </c>
    </row>
    <row r="38" ht="221" customHeight="1">
      <c r="A38" s="8" t="inlineStr">
        <is>
          <t>Sources — All figures are ICBC Standard Bank Plc consolidated (Group) basis, $m unless stated, each year's own originally-published figures (not a later restated comparative). ICBCS is jointly owned by Industrial and Commercial Bank of China Limited (60%) and Standard Bank Group Limited (40%).
FY2025 &amp; FY2024: ICBC Standard Bank Consolidated Annual Report 2025, p.65 (Consolidated income statement) and p.66 (Consolidated statement of comprehensive income) — https://v.icbc.com.cn/userfiles/resources/icbc/haiwai/standardbank/download/2023/consolidatedannualreport2025.pdf
FY2023 &amp; FY2022: ICBC Standard Bank Consolidated Annual Report 2023, p.62-63 (8-9. Consolidated income statement / statement of comprehensive income) — https://v.icbc.com.cn/userfiles/resources/icbc/haiwai/standardbank/download/2023/2023annualreportyasuo.pdf
FY2021: ICBC Standard Bank Consolidated Annual Report 2021, p.62-63 (7-8. Consolidated income statement / statement of comprehensive income) — https://v.icbc.com.cn/userfiles/Resources/ICBC/haiwai/StandardBank/Download/2022/Consolidated_Annual_Report_2021.pdf
FY2020: ICBC Standard Bank Consolidated Annual Report 2020, p.52 (7-8. Consolidated income statement / statement of comprehensive income) — https://v.icbc.com.cn/userfiles/Resources/ICBC/haiwai/StandardBank/Download/2021/ConsolidatedAnnualReport20.pdf
FY2019: ICBC Standard Bank Consolidated Annual Report 2019, p.48-49 (7-8. Consolidated income statement / statement of comprehensive income) — https://v.icbc.com.cn/userfiles/Resources/ICBC/haiwai/StandardBank/Download/2020/ConsolidatedAnnualReport.pdf
FY2018: ICBC Standard Bank Consolidated Annual Report 2018, p.37-38 (7-8. Consolidated income statement / statement of comprehensive income) — https://v.icbc.com.cn/userfiles/Resources/ICBC/haiwai/StandardBank/Download/2019/Consolidated_Annual_Report_2018.pdf
FY2017: ICBC Standard Bank Consolidated Annual Report 2017, p.33-34 (7-8. Consolidated income statement / statement of comprehensive income) — https://v.icbc.com.cn/userfiles/Resources/ICBC/haiwai/StandardBank/Download/2019/Consolidated_Annual_Report_2017.pdf
FY2016: ICBC Standard Bank Consolidated Annual Report 2016, p.21 (7-8. Consolidated income statement / statement of comprehensive income) — https://v.icbc.com.cn/userfiles/Resources/ICBC/haiwai/StandardBank/Download/2019/ConsolidatedAnnualReport2016.pdf
FY2015: ICBC Standard Bank Consolidated Annual Report 2015, p.33-35 (7-8. Consolidated income statement / statement of comprehensive income) — https://v.icbc.com.cn/userfiles/Resources/ICBC/haiwai/StandardBank/Download/2019/ICBCStandardBankPlcAFS2015.pdf
Note: 'Recoveries/(losses) on commodity inventory intermediation' and 'Recoveries on commodity reverse repurchase agreements' are one-off lines that appear intermittently across vintages depending on that year's own commodity-book activity - blank cells indicate that year's report did not disclose or did not have that specific line, not a genuine zero. 'Restructuring costs and other impairments' likewise only appears in FY2021/FY2020/FY2019 (net credit sign in FY2021, net cost in FY2020/FY2019). FY2021's 'Other comprehensive income/(losses) for the year' ($(17.9)m) is derived (Total comprehensive income less Profit for the year) since that year's report does not show an explicit OCI subtotal row - the disclosed OCI component lines sum to $(18.0)m, a $0.1m rounding difference reproduced as disclosed, not forced to match. 'Net investment hedge reserve' is a distinct OCI line only for FY2017 ($(1.7)m, a one-off) and shown as an explicit $nil at FY2018 year-end (no further movements reported in FY2019/FY2020, and the static $(1.7)m balance carries unchanged on the Statement of Changes in Equity through FY2021-FY2025 with no further P&amp;L movement disclosed in any of those years either). FY2015's income statement structurally splits results into continuing and discontinued operations (ICBCS discontinued a small business line in 2014/2015); shown here as a single 'Profit before taxation' plus a separate 'Discontinued operations' adjusting row, consistent with all other years' single-line presentation. IAS 39-era years (FY2015-FY2017) label the FVOCI-equivalent OCI reserve 'available-for-sale reserve'; IFRS 9 (effective 1 January 2018) renamed it 'debt instruments measured at FVOCI' - both are shown on the same 'Changes in fair value of debt instruments measured at FVOCI' row as the same underlying reserve, per the FY2018 report's own reconciliation which explicitly marks the FY2017 AFS column as the FVOCI reserve's predecessor. Total comprehensive income reconciles exactly (Profit for the year + Other comprehensive income) in every year FY2015-FY2025.</t>
        </is>
      </c>
    </row>
  </sheetData>
  <mergeCells count="1">
    <mergeCell ref="A38:L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ICBC Standard Bank Plc — Consolidated Statement of Changes in Equity</t>
        </is>
      </c>
    </row>
    <row r="2">
      <c r="A2" s="2" t="inlineStr">
        <is>
          <t>ICBC Standard Bank Group (consolidated basis), $m, chronological roll-forward</t>
        </is>
      </c>
    </row>
    <row r="3">
      <c r="A3" s="4" t="inlineStr">
        <is>
          <t>Movement</t>
        </is>
      </c>
      <c r="B3" s="4" t="inlineStr">
        <is>
          <t>Share capital (and premium pre-restructure)</t>
        </is>
      </c>
      <c r="C3" s="4" t="inlineStr">
        <is>
          <t>Other equity instruments</t>
        </is>
      </c>
      <c r="D3" s="4" t="inlineStr">
        <is>
          <t>Cash flow hedging reserve</t>
        </is>
      </c>
      <c r="E3" s="4" t="inlineStr">
        <is>
          <t>FVOCI reserve</t>
        </is>
      </c>
      <c r="F3" s="4" t="inlineStr">
        <is>
          <t>FX translation reserve</t>
        </is>
      </c>
      <c r="G3" s="4" t="inlineStr">
        <is>
          <t>Net investment hedge reserve</t>
        </is>
      </c>
      <c r="H3" s="4" t="inlineStr">
        <is>
          <t>Own credit reserve</t>
        </is>
      </c>
      <c r="I3" s="4" t="inlineStr">
        <is>
          <t>Retained earnings</t>
        </is>
      </c>
      <c r="J3" s="4" t="inlineStr">
        <is>
          <t>Total equity</t>
        </is>
      </c>
    </row>
    <row r="4">
      <c r="A4" s="5" t="inlineStr">
        <is>
          <t>Balance at 1 January 2015 (predecessor Standard Bank Plc entity's restated FY2014 close, not a genuine ICBC Standard Bank Plc figure)</t>
        </is>
      </c>
      <c r="B4" s="5" t="n">
        <v>1514.5</v>
      </c>
      <c r="C4" s="5" t="n"/>
      <c r="D4" s="5" t="n">
        <v>0.3</v>
      </c>
      <c r="E4" s="5" t="n">
        <v>2.4</v>
      </c>
      <c r="F4" s="5" t="n">
        <v>6.8</v>
      </c>
      <c r="G4" s="5" t="n"/>
      <c r="H4" s="5" t="n"/>
      <c r="I4" s="5" t="n">
        <v>-508.9</v>
      </c>
      <c r="J4" s="5" t="n">
        <v>1015.1</v>
      </c>
    </row>
    <row r="5">
      <c r="A5" s="6" t="inlineStr">
        <is>
          <t>Total comprehensive loss for the year</t>
        </is>
      </c>
      <c r="B5" s="6" t="n"/>
      <c r="C5" s="6" t="n"/>
      <c r="D5" s="6" t="n">
        <v>-8.699999999999999</v>
      </c>
      <c r="E5" s="6" t="n">
        <v>-0.9</v>
      </c>
      <c r="F5" s="6" t="n">
        <v>-3.7</v>
      </c>
      <c r="G5" s="6" t="n"/>
      <c r="H5" s="6" t="n"/>
      <c r="I5" s="6" t="n">
        <v>-267.7</v>
      </c>
      <c r="J5" s="6" t="n">
        <v>-281</v>
      </c>
    </row>
    <row r="6">
      <c r="A6" s="6" t="inlineStr">
        <is>
          <t>Equity contribution under indemnity claim (capital contribution from Standard Bank Group)</t>
        </is>
      </c>
      <c r="B6" s="6" t="n"/>
      <c r="C6" s="6" t="n"/>
      <c r="D6" s="6" t="n"/>
      <c r="E6" s="6" t="n"/>
      <c r="F6" s="6" t="n"/>
      <c r="G6" s="6" t="n"/>
      <c r="H6" s="6" t="n"/>
      <c r="I6" s="6" t="n">
        <v>40.9</v>
      </c>
      <c r="J6" s="6" t="n">
        <v>40.9</v>
      </c>
    </row>
    <row r="7">
      <c r="A7" s="6" t="inlineStr">
        <is>
          <t>Shares issued including share premium (to Standard Bank London Holdings Limited)</t>
        </is>
      </c>
      <c r="B7" s="6" t="n">
        <v>300</v>
      </c>
      <c r="C7" s="6" t="n"/>
      <c r="D7" s="6" t="n"/>
      <c r="E7" s="6" t="n"/>
      <c r="F7" s="6" t="n"/>
      <c r="G7" s="6" t="n"/>
      <c r="H7" s="6" t="n"/>
      <c r="I7" s="6" t="n"/>
      <c r="J7" s="6" t="n">
        <v>300</v>
      </c>
    </row>
    <row r="8">
      <c r="A8" s="5" t="inlineStr">
        <is>
          <t>Balance at 31 December 2015 (FY2015 close = FY2016 opening)</t>
        </is>
      </c>
      <c r="B8" s="5" t="n">
        <v>1814.5</v>
      </c>
      <c r="C8" s="5" t="n"/>
      <c r="D8" s="5" t="n">
        <v>-8.4</v>
      </c>
      <c r="E8" s="5" t="n">
        <v>1.5</v>
      </c>
      <c r="F8" s="5" t="n">
        <v>3.1</v>
      </c>
      <c r="G8" s="5" t="n"/>
      <c r="H8" s="5" t="n"/>
      <c r="I8" s="5" t="n">
        <v>-735.7</v>
      </c>
      <c r="J8" s="5" t="n">
        <v>1075</v>
      </c>
    </row>
    <row r="9">
      <c r="A9" s="6" t="inlineStr">
        <is>
          <t>Total comprehensive loss for the year</t>
        </is>
      </c>
      <c r="B9" s="6" t="n"/>
      <c r="C9" s="6" t="n"/>
      <c r="D9" s="6" t="n">
        <v>-13.6</v>
      </c>
      <c r="E9" s="6" t="n">
        <v>-0.5</v>
      </c>
      <c r="F9" s="6" t="n">
        <v>-5.2</v>
      </c>
      <c r="G9" s="6" t="n"/>
      <c r="H9" s="6" t="n"/>
      <c r="I9" s="6" t="n">
        <v>-98.8</v>
      </c>
      <c r="J9" s="6" t="n">
        <v>-118.1</v>
      </c>
    </row>
    <row r="10">
      <c r="A10" s="5" t="inlineStr">
        <is>
          <t>Balance at 31 December 2016 (FY2016 close = FY2017 opening)</t>
        </is>
      </c>
      <c r="B10" s="5" t="n">
        <v>1814.5</v>
      </c>
      <c r="C10" s="5" t="n"/>
      <c r="D10" s="5" t="n">
        <v>-22</v>
      </c>
      <c r="E10" s="5" t="n">
        <v>1</v>
      </c>
      <c r="F10" s="5" t="n">
        <v>-2.1</v>
      </c>
      <c r="G10" s="5" t="n"/>
      <c r="H10" s="5" t="n"/>
      <c r="I10" s="5" t="n">
        <v>-834.5</v>
      </c>
      <c r="J10" s="5" t="n">
        <v>956.9</v>
      </c>
    </row>
    <row r="11">
      <c r="A11" s="6" t="inlineStr">
        <is>
          <t>Total comprehensive profit/(loss) for the year</t>
        </is>
      </c>
      <c r="B11" s="6" t="n"/>
      <c r="C11" s="6" t="n"/>
      <c r="D11" s="6" t="n">
        <v>25.1</v>
      </c>
      <c r="E11" s="6" t="n">
        <v>2.6</v>
      </c>
      <c r="F11" s="6" t="n">
        <v>4.7</v>
      </c>
      <c r="G11" s="6" t="n">
        <v>-1.7</v>
      </c>
      <c r="H11" s="6" t="n"/>
      <c r="I11" s="6" t="n">
        <v>29.7</v>
      </c>
      <c r="J11" s="6" t="n">
        <v>60.4</v>
      </c>
    </row>
    <row r="12">
      <c r="A12" s="6" t="inlineStr">
        <is>
          <t>Issue of share capital and share premium (to ICBC and Standard Bank London Holdings Limited)</t>
        </is>
      </c>
      <c r="B12" s="6" t="n">
        <v>265</v>
      </c>
      <c r="C12" s="6" t="n"/>
      <c r="D12" s="6" t="n"/>
      <c r="E12" s="6" t="n"/>
      <c r="F12" s="6" t="n"/>
      <c r="G12" s="6" t="n"/>
      <c r="H12" s="6" t="n"/>
      <c r="I12" s="6" t="n"/>
      <c r="J12" s="6" t="n">
        <v>265</v>
      </c>
    </row>
    <row r="13">
      <c r="A13" s="5" t="inlineStr">
        <is>
          <t>Balance at 31 December 2017 (FY2017 close = FY2018 opening)</t>
        </is>
      </c>
      <c r="B13" s="5" t="n">
        <v>2079.5</v>
      </c>
      <c r="C13" s="5" t="n"/>
      <c r="D13" s="5" t="n">
        <v>3.1</v>
      </c>
      <c r="E13" s="5" t="n">
        <v>3.6</v>
      </c>
      <c r="F13" s="5" t="n">
        <v>2.6</v>
      </c>
      <c r="G13" s="5" t="n">
        <v>-1.7</v>
      </c>
      <c r="H13" s="5" t="n"/>
      <c r="I13" s="5" t="n">
        <v>-804.8</v>
      </c>
      <c r="J13" s="5" t="n">
        <v>1282.3</v>
      </c>
    </row>
    <row r="14">
      <c r="A14" s="6" t="inlineStr">
        <is>
          <t>Changes on initial application of IFRS 9 (transition adjustment, 1 January 2018)</t>
        </is>
      </c>
      <c r="B14" s="6" t="n"/>
      <c r="C14" s="6" t="n"/>
      <c r="D14" s="6" t="n"/>
      <c r="E14" s="6" t="n">
        <v>-2</v>
      </c>
      <c r="F14" s="6" t="n"/>
      <c r="G14" s="6" t="n"/>
      <c r="H14" s="6" t="n"/>
      <c r="I14" s="6" t="n">
        <v>2</v>
      </c>
      <c r="J14" s="6" t="n">
        <v>0</v>
      </c>
    </row>
    <row r="15">
      <c r="A15" s="6" t="inlineStr">
        <is>
          <t>Total comprehensive loss for the year</t>
        </is>
      </c>
      <c r="B15" s="6" t="n"/>
      <c r="C15" s="6" t="n"/>
      <c r="D15" s="6" t="n">
        <v>-4.9</v>
      </c>
      <c r="E15" s="6" t="n">
        <v>-0.9</v>
      </c>
      <c r="F15" s="6" t="n">
        <v>-3.9</v>
      </c>
      <c r="G15" s="6" t="n"/>
      <c r="H15" s="6" t="n"/>
      <c r="I15" s="6" t="n">
        <v>-14.8</v>
      </c>
      <c r="J15" s="6" t="n">
        <v>-24.5</v>
      </c>
    </row>
    <row r="16">
      <c r="A16" s="5" t="inlineStr">
        <is>
          <t>Balance at 31 December 2018 (FY2018 close = FY2019 opening)</t>
        </is>
      </c>
      <c r="B16" s="5" t="n">
        <v>2079.5</v>
      </c>
      <c r="C16" s="5" t="n"/>
      <c r="D16" s="5" t="n">
        <v>-1.8</v>
      </c>
      <c r="E16" s="5" t="n">
        <v>0.7</v>
      </c>
      <c r="F16" s="5" t="n">
        <v>-1.3</v>
      </c>
      <c r="G16" s="5" t="n">
        <v>-1.7</v>
      </c>
      <c r="H16" s="5" t="n"/>
      <c r="I16" s="5" t="n">
        <v>-817.6</v>
      </c>
      <c r="J16" s="5" t="n">
        <v>1257.8</v>
      </c>
    </row>
    <row r="17">
      <c r="A17" s="6" t="inlineStr">
        <is>
          <t>Total comprehensive loss for the year</t>
        </is>
      </c>
      <c r="B17" s="6" t="n"/>
      <c r="C17" s="6" t="n"/>
      <c r="D17" s="6" t="n">
        <v>5.8</v>
      </c>
      <c r="E17" s="6" t="n">
        <v>-0.6</v>
      </c>
      <c r="F17" s="6" t="n">
        <v>-1.2</v>
      </c>
      <c r="G17" s="6" t="n"/>
      <c r="H17" s="6" t="n"/>
      <c r="I17" s="6" t="n">
        <v>-248.2</v>
      </c>
      <c r="J17" s="6" t="n">
        <v>-244.2</v>
      </c>
    </row>
    <row r="18">
      <c r="A18" s="6" t="inlineStr">
        <is>
          <t>Other equity instrument issuance (Additional Tier 1 capital, to ICBC)</t>
        </is>
      </c>
      <c r="B18" s="6" t="n"/>
      <c r="C18" s="6" t="n">
        <v>160</v>
      </c>
      <c r="D18" s="6" t="n"/>
      <c r="E18" s="6" t="n"/>
      <c r="F18" s="6" t="n"/>
      <c r="G18" s="6" t="n"/>
      <c r="H18" s="6" t="n"/>
      <c r="I18" s="6" t="n">
        <v>-0.1</v>
      </c>
      <c r="J18" s="6" t="n">
        <v>159.9</v>
      </c>
    </row>
    <row r="19">
      <c r="A19" s="5" t="inlineStr">
        <is>
          <t>Balance at 31 December 2019 (FY2019 close = FY2020 opening)</t>
        </is>
      </c>
      <c r="B19" s="5" t="n">
        <v>2079.5</v>
      </c>
      <c r="C19" s="5" t="n">
        <v>160</v>
      </c>
      <c r="D19" s="5" t="n">
        <v>4</v>
      </c>
      <c r="E19" s="5" t="n">
        <v>0.1</v>
      </c>
      <c r="F19" s="5" t="n">
        <v>-2.5</v>
      </c>
      <c r="G19" s="5" t="n">
        <v>-1.7</v>
      </c>
      <c r="H19" s="5" t="n"/>
      <c r="I19" s="5" t="n">
        <v>-1065.9</v>
      </c>
      <c r="J19" s="5" t="n">
        <v>1173.5</v>
      </c>
    </row>
    <row r="20">
      <c r="A20" s="6" t="inlineStr">
        <is>
          <t>Total comprehensive gains/(losses) for the year</t>
        </is>
      </c>
      <c r="B20" s="6" t="n"/>
      <c r="C20" s="6" t="n"/>
      <c r="D20" s="6" t="n">
        <v>10.2</v>
      </c>
      <c r="E20" s="6" t="n">
        <v>0.8</v>
      </c>
      <c r="F20" s="6" t="n">
        <v>1.8</v>
      </c>
      <c r="G20" s="6" t="n"/>
      <c r="H20" s="6" t="n">
        <v>-0.3</v>
      </c>
      <c r="I20" s="6" t="n">
        <v>115.5</v>
      </c>
      <c r="J20" s="6" t="n">
        <v>128</v>
      </c>
    </row>
    <row r="21">
      <c r="A21" s="5" t="inlineStr">
        <is>
          <t>Balance at 31 December 2020 (FY2020 close = FY2021 opening)</t>
        </is>
      </c>
      <c r="B21" s="5" t="n">
        <v>2079.5</v>
      </c>
      <c r="C21" s="5" t="n">
        <v>160</v>
      </c>
      <c r="D21" s="5" t="n">
        <v>14.2</v>
      </c>
      <c r="E21" s="5" t="n">
        <v>0.9</v>
      </c>
      <c r="F21" s="5" t="n">
        <v>-0.7</v>
      </c>
      <c r="G21" s="5" t="n">
        <v>-1.7</v>
      </c>
      <c r="H21" s="5" t="n">
        <v>-0.3</v>
      </c>
      <c r="I21" s="5" t="n">
        <v>-950.4</v>
      </c>
      <c r="J21" s="5" t="n">
        <v>1301.5</v>
      </c>
    </row>
    <row r="22">
      <c r="A22" s="6" t="inlineStr">
        <is>
          <t>Total comprehensive gains/(losses) for the year</t>
        </is>
      </c>
      <c r="B22" s="6" t="n"/>
      <c r="C22" s="6" t="n"/>
      <c r="D22" s="6" t="n">
        <v>-19.3</v>
      </c>
      <c r="E22" s="6" t="n">
        <v>0.6</v>
      </c>
      <c r="F22" s="6" t="n">
        <v>0.8</v>
      </c>
      <c r="G22" s="6" t="n"/>
      <c r="H22" s="6" t="n">
        <v>-0.1</v>
      </c>
      <c r="I22" s="6" t="n">
        <v>98.59999999999999</v>
      </c>
      <c r="J22" s="6" t="n">
        <v>80.7</v>
      </c>
    </row>
    <row r="23">
      <c r="A23" s="6" t="inlineStr">
        <is>
          <t>Share premium restructure (cancellation of share premium, transferred to retained earnings)</t>
        </is>
      </c>
      <c r="B23" s="6" t="n">
        <v>-996</v>
      </c>
      <c r="C23" s="6" t="n"/>
      <c r="D23" s="6" t="n"/>
      <c r="E23" s="6" t="n"/>
      <c r="F23" s="6" t="n"/>
      <c r="G23" s="6" t="n"/>
      <c r="H23" s="6" t="n"/>
      <c r="I23" s="6" t="n">
        <v>996</v>
      </c>
      <c r="J23" s="6" t="n">
        <v>0</v>
      </c>
    </row>
    <row r="24">
      <c r="A24" s="6" t="inlineStr">
        <is>
          <t>Coupon payment on other equity instruments</t>
        </is>
      </c>
      <c r="B24" s="6" t="n"/>
      <c r="C24" s="6" t="n"/>
      <c r="D24" s="6" t="n"/>
      <c r="E24" s="6" t="n"/>
      <c r="F24" s="6" t="n"/>
      <c r="G24" s="6" t="n"/>
      <c r="H24" s="6" t="n"/>
      <c r="I24" s="6" t="n">
        <v>-12.2</v>
      </c>
      <c r="J24" s="6" t="n">
        <v>-12.2</v>
      </c>
    </row>
    <row r="25">
      <c r="A25" s="5" t="inlineStr">
        <is>
          <t>Balance at 31 December 2021 (FY2021 close = FY2022 opening)</t>
        </is>
      </c>
      <c r="B25" s="5" t="n">
        <v>1083.5</v>
      </c>
      <c r="C25" s="5" t="n">
        <v>160</v>
      </c>
      <c r="D25" s="5" t="n">
        <v>-5.1</v>
      </c>
      <c r="E25" s="5" t="n">
        <v>1.5</v>
      </c>
      <c r="F25" s="5" t="n">
        <v>0.1</v>
      </c>
      <c r="G25" s="5" t="n">
        <v>-1.7</v>
      </c>
      <c r="H25" s="5" t="n">
        <v>-0.4</v>
      </c>
      <c r="I25" s="5" t="n">
        <v>132.1</v>
      </c>
      <c r="J25" s="5" t="n">
        <v>1370</v>
      </c>
    </row>
    <row r="26">
      <c r="A26" s="6" t="inlineStr">
        <is>
          <t>Total comprehensive gains/(losses) for the year</t>
        </is>
      </c>
      <c r="B26" s="6" t="n"/>
      <c r="C26" s="6" t="n"/>
      <c r="D26" s="6" t="n">
        <v>13.1</v>
      </c>
      <c r="E26" s="6" t="n">
        <v>-2.5</v>
      </c>
      <c r="F26" s="6" t="n">
        <v>-2.6</v>
      </c>
      <c r="G26" s="6" t="n"/>
      <c r="H26" s="6" t="n">
        <v>-0.9</v>
      </c>
      <c r="I26" s="6" t="n">
        <v>317.1</v>
      </c>
      <c r="J26" s="6" t="n">
        <v>324.2</v>
      </c>
    </row>
    <row r="27">
      <c r="A27" s="6" t="inlineStr">
        <is>
          <t>Coupon payment on other equity instruments</t>
        </is>
      </c>
      <c r="B27" s="6" t="n"/>
      <c r="C27" s="6" t="n"/>
      <c r="D27" s="6" t="n"/>
      <c r="E27" s="6" t="n"/>
      <c r="F27" s="6" t="n"/>
      <c r="G27" s="6" t="n"/>
      <c r="H27" s="6" t="n"/>
      <c r="I27" s="6" t="n">
        <v>-12.2</v>
      </c>
      <c r="J27" s="6" t="n">
        <v>-12.2</v>
      </c>
    </row>
    <row r="28">
      <c r="A28" s="5" t="inlineStr">
        <is>
          <t>Balance at 31 December 2022 (FY2022 close = FY2023 opening)</t>
        </is>
      </c>
      <c r="B28" s="5" t="n">
        <v>1083.5</v>
      </c>
      <c r="C28" s="5" t="n">
        <v>160</v>
      </c>
      <c r="D28" s="5" t="n">
        <v>8</v>
      </c>
      <c r="E28" s="5" t="n">
        <v>-1</v>
      </c>
      <c r="F28" s="5" t="n">
        <v>-2.5</v>
      </c>
      <c r="G28" s="5" t="n">
        <v>-1.7</v>
      </c>
      <c r="H28" s="5" t="n">
        <v>-1.3</v>
      </c>
      <c r="I28" s="5" t="n">
        <v>437</v>
      </c>
      <c r="J28" s="5" t="n">
        <v>1682</v>
      </c>
    </row>
    <row r="29">
      <c r="A29" s="6" t="inlineStr">
        <is>
          <t>Total comprehensive gains/(losses) for the year</t>
        </is>
      </c>
      <c r="B29" s="6" t="n"/>
      <c r="C29" s="6" t="n"/>
      <c r="D29" s="6" t="n">
        <v>13.5</v>
      </c>
      <c r="E29" s="6" t="n">
        <v>0.9</v>
      </c>
      <c r="F29" s="6" t="n">
        <v>-0.7</v>
      </c>
      <c r="G29" s="6" t="n"/>
      <c r="H29" s="6" t="n">
        <v>0.3</v>
      </c>
      <c r="I29" s="6" t="n">
        <v>187.1</v>
      </c>
      <c r="J29" s="6" t="n">
        <v>201.1</v>
      </c>
    </row>
    <row r="30">
      <c r="A30" s="6" t="inlineStr">
        <is>
          <t>Coupon payment on other equity instruments</t>
        </is>
      </c>
      <c r="B30" s="6" t="n"/>
      <c r="C30" s="6" t="n"/>
      <c r="D30" s="6" t="n"/>
      <c r="E30" s="6" t="n"/>
      <c r="F30" s="6" t="n"/>
      <c r="G30" s="6" t="n"/>
      <c r="H30" s="6" t="n"/>
      <c r="I30" s="6" t="n">
        <v>-12.2</v>
      </c>
      <c r="J30" s="6" t="n">
        <v>-12.2</v>
      </c>
    </row>
    <row r="31">
      <c r="A31" s="5" t="inlineStr">
        <is>
          <t>Balance at 31 December 2023 (FY2023 close = FY2024 opening)</t>
        </is>
      </c>
      <c r="B31" s="5" t="n">
        <v>1083.5</v>
      </c>
      <c r="C31" s="5" t="n">
        <v>160</v>
      </c>
      <c r="D31" s="5" t="n">
        <v>21.5</v>
      </c>
      <c r="E31" s="5" t="n">
        <v>-0.1</v>
      </c>
      <c r="F31" s="5" t="n">
        <v>-3.2</v>
      </c>
      <c r="G31" s="5" t="n">
        <v>-1.7</v>
      </c>
      <c r="H31" s="5" t="n">
        <v>-1</v>
      </c>
      <c r="I31" s="5" t="n">
        <v>611.9</v>
      </c>
      <c r="J31" s="5" t="n">
        <v>1870.9</v>
      </c>
    </row>
    <row r="32">
      <c r="A32" s="6" t="inlineStr">
        <is>
          <t>Total comprehensive gains/(losses) for the year</t>
        </is>
      </c>
      <c r="B32" s="6" t="n"/>
      <c r="C32" s="6" t="n"/>
      <c r="D32" s="6" t="n">
        <v>-22.8</v>
      </c>
      <c r="E32" s="6" t="n">
        <v>0.9</v>
      </c>
      <c r="F32" s="6" t="n">
        <v>-0.7</v>
      </c>
      <c r="G32" s="6" t="n"/>
      <c r="H32" s="6" t="n">
        <v>1</v>
      </c>
      <c r="I32" s="6" t="n">
        <v>156.5</v>
      </c>
      <c r="J32" s="6" t="n">
        <v>134.9</v>
      </c>
    </row>
    <row r="33">
      <c r="A33" s="6" t="inlineStr">
        <is>
          <t>Dividend payment on ordinary share capital</t>
        </is>
      </c>
      <c r="B33" s="6" t="n"/>
      <c r="C33" s="6" t="n"/>
      <c r="D33" s="6" t="n"/>
      <c r="E33" s="6" t="n"/>
      <c r="F33" s="6" t="n"/>
      <c r="G33" s="6" t="n"/>
      <c r="H33" s="6" t="n"/>
      <c r="I33" s="6" t="n">
        <v>-49.9</v>
      </c>
      <c r="J33" s="6" t="n">
        <v>-49.9</v>
      </c>
    </row>
    <row r="34">
      <c r="A34" s="6" t="inlineStr">
        <is>
          <t>Coupon payment on other equity instruments</t>
        </is>
      </c>
      <c r="B34" s="6" t="n"/>
      <c r="C34" s="6" t="n"/>
      <c r="D34" s="6" t="n"/>
      <c r="E34" s="6" t="n"/>
      <c r="F34" s="6" t="n"/>
      <c r="G34" s="6" t="n"/>
      <c r="H34" s="6" t="n"/>
      <c r="I34" s="6" t="n">
        <v>-12.2</v>
      </c>
      <c r="J34" s="6" t="n">
        <v>-12.2</v>
      </c>
    </row>
    <row r="35">
      <c r="A35" s="5" t="inlineStr">
        <is>
          <t>Balance at 31 December 2024 (FY2024 close = FY2025 opening)</t>
        </is>
      </c>
      <c r="B35" s="5" t="n">
        <v>1083.5</v>
      </c>
      <c r="C35" s="5" t="n">
        <v>160</v>
      </c>
      <c r="D35" s="5" t="n">
        <v>-1.3</v>
      </c>
      <c r="E35" s="5" t="n">
        <v>0.8</v>
      </c>
      <c r="F35" s="5" t="n">
        <v>-3.9</v>
      </c>
      <c r="G35" s="5" t="n">
        <v>-1.7</v>
      </c>
      <c r="H35" s="5" t="n">
        <v>0</v>
      </c>
      <c r="I35" s="5" t="n">
        <v>706.3</v>
      </c>
      <c r="J35" s="5" t="n">
        <v>1943.7</v>
      </c>
    </row>
    <row r="36">
      <c r="A36" s="6" t="inlineStr">
        <is>
          <t>Total comprehensive gains for the year</t>
        </is>
      </c>
      <c r="B36" s="6" t="n"/>
      <c r="C36" s="6" t="n"/>
      <c r="D36" s="6" t="n">
        <v>15.6</v>
      </c>
      <c r="E36" s="6" t="n">
        <v>0.1</v>
      </c>
      <c r="F36" s="6" t="n">
        <v>1.3</v>
      </c>
      <c r="G36" s="6" t="n"/>
      <c r="H36" s="6" t="n">
        <v>0</v>
      </c>
      <c r="I36" s="6" t="n">
        <v>224.9</v>
      </c>
      <c r="J36" s="6" t="n">
        <v>241.9</v>
      </c>
    </row>
    <row r="37">
      <c r="A37" s="6" t="inlineStr">
        <is>
          <t>Dividend payment on ordinary share capital</t>
        </is>
      </c>
      <c r="B37" s="6" t="n"/>
      <c r="C37" s="6" t="n"/>
      <c r="D37" s="6" t="n"/>
      <c r="E37" s="6" t="n"/>
      <c r="F37" s="6" t="n"/>
      <c r="G37" s="6" t="n"/>
      <c r="H37" s="6" t="n"/>
      <c r="I37" s="6" t="n">
        <v>-41.8</v>
      </c>
      <c r="J37" s="6" t="n">
        <v>-41.8</v>
      </c>
    </row>
    <row r="38">
      <c r="A38" s="6" t="inlineStr">
        <is>
          <t>Coupon payment on other equity instruments</t>
        </is>
      </c>
      <c r="B38" s="6" t="n"/>
      <c r="C38" s="6" t="n"/>
      <c r="D38" s="6" t="n"/>
      <c r="E38" s="6" t="n"/>
      <c r="F38" s="6" t="n"/>
      <c r="G38" s="6" t="n"/>
      <c r="H38" s="6" t="n"/>
      <c r="I38" s="6" t="n">
        <v>-12.4</v>
      </c>
      <c r="J38" s="6" t="n">
        <v>-12.4</v>
      </c>
    </row>
    <row r="39">
      <c r="A39" s="5" t="inlineStr">
        <is>
          <t>Balance at 31 December 2025 (FY2025 close)</t>
        </is>
      </c>
      <c r="B39" s="5" t="n">
        <v>1083.5</v>
      </c>
      <c r="C39" s="5" t="n">
        <v>160</v>
      </c>
      <c r="D39" s="5" t="n">
        <v>14.3</v>
      </c>
      <c r="E39" s="5" t="n">
        <v>0.9</v>
      </c>
      <c r="F39" s="5" t="n">
        <v>-2.6</v>
      </c>
      <c r="G39" s="5" t="n">
        <v>-1.7</v>
      </c>
      <c r="H39" s="5" t="n">
        <v>0</v>
      </c>
      <c r="I39" s="5" t="n">
        <v>877</v>
      </c>
      <c r="J39" s="5" t="n">
        <v>2131.4</v>
      </c>
    </row>
    <row r="41" ht="221" customHeight="1">
      <c r="A41" s="8" t="inlineStr">
        <is>
          <t>Sources — All figures are ICBC Standard Bank Plc consolidated (Group) basis, $m unless stated, each year's own originally-published figures (not a later restated comparative). ICBCS is jointly owned by Industrial and Commercial Bank of China Limited (60%) and Standard Bank Group Limited (40%).
FY2025 &amp; FY2024 movements: ICBC Standard Bank Consolidated Annual Report 2025, p.67 (Consolidated statement of changes in shareholders' equity) — https://v.icbc.com.cn/userfiles/resources/icbc/haiwai/standardbank/download/2023/consolidatedannualreport2025.pdf
FY2023 &amp; FY2022 movements: ICBC Standard Bank Consolidated Annual Report 2023, p.64 (10. Consolidated statement of changes in shareholders' equity) — https://v.icbc.com.cn/userfiles/resources/icbc/haiwai/standardbank/download/2023/2023annualreportyasuo.pdf
FY2021 movements: ICBC Standard Bank Consolidated Annual Report 2021, p.64 (9. Consolidated statement of changes in shareholders' equity) — https://v.icbc.com.cn/userfiles/Resources/ICBC/haiwai/StandardBank/Download/2022/Consolidated_Annual_Report_2021.pdf
FY2020 movements: ICBC Standard Bank Consolidated Annual Report 2020, p.54 (9. Consolidated statement of changes in shareholders' equity) — https://v.icbc.com.cn/userfiles/Resources/ICBC/haiwai/StandardBank/Download/2021/ConsolidatedAnnualReport20.pdf
FY2019 movements: ICBC Standard Bank Consolidated Annual Report 2019, p.50 (9. Consolidated statement of changes in shareholders' equity) — https://v.icbc.com.cn/userfiles/Resources/ICBC/haiwai/StandardBank/Download/2020/ConsolidatedAnnualReport.pdf
FY2018 movements: ICBC Standard Bank Consolidated Annual Report 2018, p.39 (9. Consolidated statement of changes in shareholders' equity) — https://v.icbc.com.cn/userfiles/Resources/ICBC/haiwai/StandardBank/Download/2019/Consolidated_Annual_Report_2018.pdf
FY2017 movements: ICBC Standard Bank Consolidated Annual Report 2017, p.35 (9. Consolidated statement of changes in shareholders' equity) — https://v.icbc.com.cn/userfiles/Resources/ICBC/haiwai/StandardBank/Download/2019/Consolidated_Annual_Report_2017.pdf
FY2016 movements: ICBC Standard Bank Consolidated Annual Report 2016, p.23 (9. Consolidated statement of changes in shareholders' equity) — https://v.icbc.com.cn/userfiles/Resources/ICBC/haiwai/StandardBank/Download/2019/ConsolidatedAnnualReport2016.pdf
FY2015 movements: ICBC Standard Bank Consolidated Annual Report 2015, p.37 (9. Consolidated statement of changes in shareholders' equity) — https://v.icbc.com.cn/userfiles/Resources/ICBC/haiwai/StandardBank/Download/2019/ICBCStandardBankPlcAFS2015.pdf
Reconciliation ladder confirmed: every year's own closing balance ties exactly to both the next year's own opening balance and that year's own Balance Sheet Total equity - zero plug rows needed anywhere across all 11 years, all the way back to the 1 January 2015 opening balance (itself the predecessor Standard Bank Plc entity's restated 31 December 2014 close - ICBC Standard Bank Plc's own first balance sheet date is 1 February 2015, so this is the closest genuine opening figure available, not fabricated). The June 2021 share premium restructure (cancellation of the $996.0m share premium account, transferred to retained earnings) is shown as an explicit, net-zero movement row rather than absorbed silently, matching how the 1 January 2018 IFRS 9 transition adjustment ($2.0m reclassified from the AFS/FVOCI reserve to retained earnings) is also shown as its own explicit, net-zero row rather than silently folded into that year's total comprehensive income. 'Own credit reserve' and 'Net investment hedge reserve' columns did not exist before FY2019/FY2017 respectively (blank, not zero, in earlier years - the reserve itself had not yet been introduced into the Group's capital structure); 'Other equity instruments' (Additional Tier 1 capital) is blank before its December 2019 issuance. 'Own credit reserve' genuinely nets to $0.0m from FY2024 year-end onward (shown as '-' in the Bank's own tables), not a blank/inapplicable cell.</t>
        </is>
      </c>
    </row>
  </sheetData>
  <mergeCells count="1">
    <mergeCell ref="A41:J4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Consolidated Statement of Cash Flows</t>
        </is>
      </c>
    </row>
    <row r="2">
      <c r="A2" s="2" t="inlineStr">
        <is>
          <t>ICBC Standard Bank Group (consolidated basis), $m unless stated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row>
    <row r="4">
      <c r="A4" s="5" t="inlineStr">
        <is>
          <t>Reconciliation of profit before tax to net cash flows from operating activities</t>
        </is>
      </c>
      <c r="B4" s="6" t="n"/>
      <c r="C4" s="6" t="n"/>
      <c r="D4" s="6" t="n"/>
      <c r="E4" s="6" t="n"/>
      <c r="F4" s="6" t="n"/>
      <c r="G4" s="6" t="n"/>
      <c r="H4" s="6" t="n"/>
      <c r="I4" s="6" t="n"/>
      <c r="J4" s="6" t="n"/>
      <c r="K4" s="6" t="n"/>
      <c r="L4" s="6" t="n"/>
    </row>
    <row r="5">
      <c r="A5" s="6" t="inlineStr">
        <is>
          <t>Profit before taxation</t>
        </is>
      </c>
      <c r="B5" s="6" t="n">
        <v>280.9</v>
      </c>
      <c r="C5" s="6" t="n">
        <v>187</v>
      </c>
      <c r="D5" s="6" t="n">
        <v>210.6</v>
      </c>
      <c r="E5" s="6" t="n">
        <v>375.5</v>
      </c>
      <c r="F5" s="6" t="n">
        <v>120.7</v>
      </c>
      <c r="G5" s="6" t="n">
        <v>132.9</v>
      </c>
      <c r="H5" s="6" t="n">
        <v>-237.4</v>
      </c>
      <c r="I5" s="6" t="n">
        <v>4.2</v>
      </c>
      <c r="J5" s="6" t="n">
        <v>19.5</v>
      </c>
      <c r="K5" s="6" t="n">
        <v>-97</v>
      </c>
      <c r="L5" s="6" t="n">
        <v>-213</v>
      </c>
    </row>
    <row r="6">
      <c r="A6" s="6" t="inlineStr">
        <is>
          <t>Discontinued operations (loss before taxation, FY2015 only)</t>
        </is>
      </c>
      <c r="B6" s="6" t="n"/>
      <c r="C6" s="6" t="n"/>
      <c r="D6" s="6" t="n"/>
      <c r="E6" s="6" t="n"/>
      <c r="F6" s="6" t="n"/>
      <c r="G6" s="6" t="n"/>
      <c r="H6" s="6" t="n"/>
      <c r="I6" s="6" t="n"/>
      <c r="J6" s="6" t="n"/>
      <c r="K6" s="6" t="n">
        <v>0</v>
      </c>
      <c r="L6" s="6" t="n">
        <v>-34.9</v>
      </c>
    </row>
    <row r="7">
      <c r="A7" s="6" t="inlineStr">
        <is>
          <t>Non-cash items included in profit before tax (as reported)</t>
        </is>
      </c>
      <c r="B7" s="6" t="n">
        <v>-4.5</v>
      </c>
      <c r="C7" s="6" t="n">
        <v>-48.1</v>
      </c>
      <c r="D7" s="6" t="n"/>
      <c r="E7" s="6" t="n"/>
      <c r="F7" s="6" t="n"/>
      <c r="G7" s="6" t="n"/>
      <c r="H7" s="6" t="n"/>
      <c r="I7" s="6" t="n"/>
      <c r="J7" s="6" t="n"/>
      <c r="K7" s="6" t="n"/>
      <c r="L7" s="6" t="n"/>
    </row>
    <row r="8">
      <c r="A8" s="6" t="inlineStr">
        <is>
          <t>Net interest income (as reported)</t>
        </is>
      </c>
      <c r="B8" s="6" t="n"/>
      <c r="C8" s="6" t="n"/>
      <c r="D8" s="6" t="n">
        <v>-153.9</v>
      </c>
      <c r="E8" s="6" t="n">
        <v>-98.5</v>
      </c>
      <c r="F8" s="6" t="n">
        <v>-112</v>
      </c>
      <c r="G8" s="6" t="n">
        <v>-112.9</v>
      </c>
      <c r="H8" s="6" t="n">
        <v>-91.8</v>
      </c>
      <c r="I8" s="6" t="n">
        <v>-70.90000000000001</v>
      </c>
      <c r="J8" s="6" t="n">
        <v>-80.7</v>
      </c>
      <c r="K8" s="6" t="n">
        <v>-36.1</v>
      </c>
      <c r="L8" s="6" t="n">
        <v>3.7</v>
      </c>
    </row>
    <row r="9">
      <c r="A9" s="6" t="inlineStr">
        <is>
          <t>Amortisation of intangible assets</t>
        </is>
      </c>
      <c r="B9" s="6" t="n">
        <v>6.5</v>
      </c>
      <c r="C9" s="6" t="n">
        <v>8.699999999999999</v>
      </c>
      <c r="D9" s="6" t="n">
        <v>9.6</v>
      </c>
      <c r="E9" s="6" t="n">
        <v>11</v>
      </c>
      <c r="F9" s="6" t="n">
        <v>11.2</v>
      </c>
      <c r="G9" s="6" t="n">
        <v>11.4</v>
      </c>
      <c r="H9" s="6" t="n">
        <v>7</v>
      </c>
      <c r="I9" s="6" t="n">
        <v>4.1</v>
      </c>
      <c r="J9" s="6" t="n">
        <v>0.7</v>
      </c>
      <c r="K9" s="6" t="n">
        <v>0.1</v>
      </c>
      <c r="L9" s="6" t="n">
        <v>11.7</v>
      </c>
    </row>
    <row r="10">
      <c r="A10" s="6" t="inlineStr">
        <is>
          <t>Depreciation of property and equipment</t>
        </is>
      </c>
      <c r="B10" s="6" t="n">
        <v>12.5</v>
      </c>
      <c r="C10" s="6" t="n">
        <v>14.8</v>
      </c>
      <c r="D10" s="6" t="n">
        <v>17.5</v>
      </c>
      <c r="E10" s="6" t="n">
        <v>18.2</v>
      </c>
      <c r="F10" s="6" t="n">
        <v>17.9</v>
      </c>
      <c r="G10" s="6" t="n">
        <v>17.9</v>
      </c>
      <c r="H10" s="6" t="n">
        <v>20</v>
      </c>
      <c r="I10" s="6" t="n">
        <v>4.6</v>
      </c>
      <c r="J10" s="6" t="n">
        <v>5.1</v>
      </c>
      <c r="K10" s="6" t="n">
        <v>7.9</v>
      </c>
      <c r="L10" s="6" t="n">
        <v>10.1</v>
      </c>
    </row>
    <row r="11">
      <c r="A11" s="6" t="inlineStr">
        <is>
          <t>Non-cash flow movements on fair value hedges</t>
        </is>
      </c>
      <c r="B11" s="6" t="n">
        <v>2.3</v>
      </c>
      <c r="C11" s="6" t="n">
        <v>-2.8</v>
      </c>
      <c r="D11" s="6" t="n">
        <v>-2.2</v>
      </c>
      <c r="E11" s="6" t="n">
        <v>0.9</v>
      </c>
      <c r="F11" s="6" t="n">
        <v>0</v>
      </c>
      <c r="G11" s="6" t="n">
        <v>-23.6</v>
      </c>
      <c r="H11" s="6" t="n">
        <v>-60.7</v>
      </c>
      <c r="I11" s="6" t="n"/>
      <c r="J11" s="6" t="n"/>
      <c r="K11" s="6" t="n"/>
      <c r="L11" s="6" t="n"/>
    </row>
    <row r="12">
      <c r="A12" s="6" t="inlineStr">
        <is>
          <t>Non-cash flow movements on subordinated debt (FY2015-FY2018 only - superseded by the fair value hedges line from FY2019)</t>
        </is>
      </c>
      <c r="B12" s="6" t="n"/>
      <c r="C12" s="6" t="n"/>
      <c r="D12" s="6" t="n"/>
      <c r="E12" s="6" t="n"/>
      <c r="F12" s="6" t="n"/>
      <c r="G12" s="6" t="n"/>
      <c r="H12" s="6" t="n"/>
      <c r="I12" s="6" t="n">
        <v>-8.6</v>
      </c>
      <c r="J12" s="6" t="n">
        <v>-11.1</v>
      </c>
      <c r="K12" s="6" t="n">
        <v>-8.9</v>
      </c>
      <c r="L12" s="6" t="n">
        <v>-1.7</v>
      </c>
    </row>
    <row r="13">
      <c r="A13" s="6" t="inlineStr">
        <is>
          <t>Incentive charges / cash-settled incentive payments</t>
        </is>
      </c>
      <c r="B13" s="6" t="n">
        <v>93.09999999999999</v>
      </c>
      <c r="C13" s="6" t="n">
        <v>69.40000000000001</v>
      </c>
      <c r="D13" s="6" t="n">
        <v>72.90000000000001</v>
      </c>
      <c r="E13" s="6" t="n">
        <v>64.59999999999999</v>
      </c>
      <c r="F13" s="6" t="n">
        <v>10.4</v>
      </c>
      <c r="G13" s="6" t="n">
        <v>25.7</v>
      </c>
      <c r="H13" s="6" t="n">
        <v>6.8</v>
      </c>
      <c r="I13" s="6" t="n">
        <v>8.6</v>
      </c>
      <c r="J13" s="6" t="n">
        <v>8</v>
      </c>
      <c r="K13" s="6" t="n">
        <v>12.2</v>
      </c>
      <c r="L13" s="6" t="n">
        <v>10.9</v>
      </c>
    </row>
    <row r="14">
      <c r="A14" s="6" t="inlineStr">
        <is>
          <t>Equity-settled share-based payments</t>
        </is>
      </c>
      <c r="B14" s="6" t="n"/>
      <c r="C14" s="6" t="n"/>
      <c r="D14" s="6" t="n"/>
      <c r="E14" s="6" t="n"/>
      <c r="F14" s="6" t="n">
        <v>-0.3</v>
      </c>
      <c r="G14" s="6" t="n"/>
      <c r="H14" s="6" t="n"/>
      <c r="I14" s="6" t="n"/>
      <c r="J14" s="6" t="n"/>
      <c r="K14" s="6" t="n"/>
      <c r="L14" s="6" t="n">
        <v>0</v>
      </c>
    </row>
    <row r="15">
      <c r="A15" s="6" t="inlineStr">
        <is>
          <t>Net credit impairment charges/(recoveries)</t>
        </is>
      </c>
      <c r="B15" s="6" t="n">
        <v>15</v>
      </c>
      <c r="C15" s="6" t="n">
        <v>2.7</v>
      </c>
      <c r="D15" s="6" t="n">
        <v>-50.2</v>
      </c>
      <c r="E15" s="6" t="n">
        <v>60.8</v>
      </c>
      <c r="F15" s="6" t="n">
        <v>-2.8</v>
      </c>
      <c r="G15" s="6" t="n">
        <v>4.7</v>
      </c>
      <c r="H15" s="6" t="n">
        <v>0.4</v>
      </c>
      <c r="I15" s="6" t="n">
        <v>0.7</v>
      </c>
      <c r="J15" s="6" t="n">
        <v>-8.4</v>
      </c>
      <c r="K15" s="6" t="n">
        <v>0.3</v>
      </c>
      <c r="L15" s="6" t="n">
        <v>0.4</v>
      </c>
    </row>
    <row r="16">
      <c r="A16" s="6" t="inlineStr">
        <is>
          <t>Impairment of property and equipment</t>
        </is>
      </c>
      <c r="B16" s="6" t="n"/>
      <c r="C16" s="6" t="n"/>
      <c r="D16" s="6" t="n"/>
      <c r="E16" s="6" t="n"/>
      <c r="F16" s="6" t="n">
        <v>-0.9</v>
      </c>
      <c r="G16" s="6" t="n">
        <v>2.9</v>
      </c>
      <c r="H16" s="6" t="n">
        <v>3.5</v>
      </c>
      <c r="I16" s="6" t="n"/>
      <c r="J16" s="6" t="n"/>
      <c r="K16" s="6" t="n"/>
      <c r="L16" s="6" t="n"/>
    </row>
    <row r="17">
      <c r="A17" s="6" t="inlineStr">
        <is>
          <t>Impairment of intangible assets</t>
        </is>
      </c>
      <c r="B17" s="6" t="n"/>
      <c r="C17" s="6" t="n"/>
      <c r="D17" s="6" t="n"/>
      <c r="E17" s="6" t="n"/>
      <c r="F17" s="6" t="n">
        <v>0</v>
      </c>
      <c r="G17" s="6" t="n">
        <v>5.4</v>
      </c>
      <c r="H17" s="6" t="n"/>
      <c r="I17" s="6" t="n"/>
      <c r="J17" s="6" t="n"/>
      <c r="K17" s="6" t="n"/>
      <c r="L17" s="6" t="n"/>
    </row>
    <row r="18">
      <c r="A18" s="6" t="inlineStr">
        <is>
          <t>Provisions for commodity inventory intermediation costs</t>
        </is>
      </c>
      <c r="B18" s="6" t="n"/>
      <c r="C18" s="6" t="n"/>
      <c r="D18" s="6" t="n"/>
      <c r="E18" s="6" t="n"/>
      <c r="F18" s="6" t="n">
        <v>-7</v>
      </c>
      <c r="G18" s="6" t="n">
        <v>11</v>
      </c>
      <c r="H18" s="6" t="n">
        <v>49.8</v>
      </c>
      <c r="I18" s="6" t="n"/>
      <c r="J18" s="6" t="n"/>
      <c r="K18" s="6" t="n"/>
      <c r="L18" s="6" t="n"/>
    </row>
    <row r="19">
      <c r="A19" s="6" t="inlineStr">
        <is>
          <t>Restructuring provisions</t>
        </is>
      </c>
      <c r="B19" s="6" t="n"/>
      <c r="C19" s="6" t="n"/>
      <c r="D19" s="6" t="n"/>
      <c r="E19" s="6" t="n"/>
      <c r="F19" s="6" t="n">
        <v>-5.3</v>
      </c>
      <c r="G19" s="6" t="n">
        <v>-10.3</v>
      </c>
      <c r="H19" s="6" t="n">
        <v>18.6</v>
      </c>
      <c r="I19" s="6" t="n"/>
      <c r="J19" s="6" t="n"/>
      <c r="K19" s="6" t="n"/>
      <c r="L19" s="6" t="n"/>
    </row>
    <row r="20">
      <c r="A20" s="6" t="inlineStr">
        <is>
          <t>Other (FY2020 only)</t>
        </is>
      </c>
      <c r="B20" s="6" t="n"/>
      <c r="C20" s="6" t="n"/>
      <c r="D20" s="6" t="n"/>
      <c r="E20" s="6" t="n"/>
      <c r="F20" s="6" t="n"/>
      <c r="G20" s="6" t="n">
        <v>16.8</v>
      </c>
      <c r="H20" s="6" t="n"/>
      <c r="I20" s="6" t="n"/>
      <c r="J20" s="6" t="n"/>
      <c r="K20" s="6" t="n"/>
      <c r="L20" s="6" t="n"/>
    </row>
    <row r="21">
      <c r="A21" s="6" t="inlineStr">
        <is>
          <t>Provisions for leave pay</t>
        </is>
      </c>
      <c r="B21" s="6" t="n">
        <v>-0.1</v>
      </c>
      <c r="C21" s="6" t="n">
        <v>0.3</v>
      </c>
      <c r="D21" s="6" t="n">
        <v>0.3</v>
      </c>
      <c r="E21" s="6" t="n">
        <v>-1.4</v>
      </c>
      <c r="F21" s="6" t="n">
        <v>-0.3</v>
      </c>
      <c r="G21" s="6" t="n">
        <v>1.9</v>
      </c>
      <c r="H21" s="6" t="n">
        <v>0.2</v>
      </c>
      <c r="I21" s="6" t="n">
        <v>0.1</v>
      </c>
      <c r="J21" s="6" t="n">
        <v>0.3</v>
      </c>
      <c r="K21" s="6" t="n">
        <v>-0.2</v>
      </c>
      <c r="L21" s="6" t="n">
        <v>1.7</v>
      </c>
    </row>
    <row r="22">
      <c r="A22" s="5" t="inlineStr">
        <is>
          <t>Subtotal after non-cash adjustments</t>
        </is>
      </c>
      <c r="B22" s="5" t="n">
        <v>405.7</v>
      </c>
      <c r="C22" s="5" t="n">
        <v>232</v>
      </c>
      <c r="D22" s="5" t="n">
        <v>104.6</v>
      </c>
      <c r="E22" s="5" t="n">
        <v>431.1</v>
      </c>
      <c r="F22" s="5" t="n">
        <v>31.6</v>
      </c>
      <c r="G22" s="5" t="n">
        <v>83.8</v>
      </c>
      <c r="H22" s="5" t="n">
        <v>-283.6</v>
      </c>
      <c r="I22" s="5" t="n">
        <v>-57.2</v>
      </c>
      <c r="J22" s="5" t="n">
        <v>-66.59999999999999</v>
      </c>
      <c r="K22" s="5" t="n">
        <v>-121.7</v>
      </c>
      <c r="L22" s="5" t="n">
        <v>-211.1</v>
      </c>
    </row>
    <row r="23">
      <c r="A23" s="5" t="inlineStr">
        <is>
          <t>Changes in operating funds</t>
        </is>
      </c>
      <c r="B23" s="6" t="n"/>
      <c r="C23" s="6" t="n"/>
      <c r="D23" s="6" t="n"/>
      <c r="E23" s="6" t="n"/>
      <c r="F23" s="6" t="n"/>
      <c r="G23" s="6" t="n"/>
      <c r="H23" s="6" t="n"/>
      <c r="I23" s="6" t="n"/>
      <c r="J23" s="6" t="n"/>
      <c r="K23" s="6" t="n"/>
      <c r="L23" s="6" t="n"/>
    </row>
    <row r="24">
      <c r="A24" s="6" t="inlineStr">
        <is>
          <t>(Increase)/decrease in income-earning assets</t>
        </is>
      </c>
      <c r="B24" s="6" t="n">
        <v>-8294</v>
      </c>
      <c r="C24" s="6" t="n">
        <v>-2780.4</v>
      </c>
      <c r="D24" s="6" t="n">
        <v>-4382.4</v>
      </c>
      <c r="E24" s="6" t="n">
        <v>2981.5</v>
      </c>
      <c r="F24" s="6" t="n">
        <v>1974.8</v>
      </c>
      <c r="G24" s="6" t="n">
        <v>-949.1</v>
      </c>
      <c r="H24" s="6" t="n">
        <v>1025.8</v>
      </c>
      <c r="I24" s="6" t="n">
        <v>-1901.8</v>
      </c>
      <c r="J24" s="6" t="n">
        <v>-2498.7</v>
      </c>
      <c r="K24" s="6" t="n">
        <v>-3948.8</v>
      </c>
      <c r="L24" s="6" t="n">
        <v>-816.4</v>
      </c>
    </row>
    <row r="25">
      <c r="A25" s="6" t="inlineStr">
        <is>
          <t>Increase/(decrease) in interest bearing and non-interest bearing liabilities</t>
        </is>
      </c>
      <c r="B25" s="6" t="n">
        <v>6161.5</v>
      </c>
      <c r="C25" s="6" t="n">
        <v>2706.7</v>
      </c>
      <c r="D25" s="6" t="n">
        <v>1994.6</v>
      </c>
      <c r="E25" s="6" t="n">
        <v>-4589.9</v>
      </c>
      <c r="F25" s="6" t="n">
        <v>154.2</v>
      </c>
      <c r="G25" s="6" t="n">
        <v>1072.1</v>
      </c>
      <c r="H25" s="6" t="n">
        <v>296.4</v>
      </c>
      <c r="I25" s="6" t="n">
        <v>1029.5</v>
      </c>
      <c r="J25" s="6" t="n">
        <v>3598.7</v>
      </c>
      <c r="K25" s="6" t="n">
        <v>1868.1</v>
      </c>
      <c r="L25" s="6" t="n">
        <v>2464.7</v>
      </c>
    </row>
    <row r="26">
      <c r="A26" s="5" t="inlineStr">
        <is>
          <t>Changes in operating funds (subtotal)</t>
        </is>
      </c>
      <c r="B26" s="5" t="n">
        <v>-2132.5</v>
      </c>
      <c r="C26" s="5" t="n">
        <v>-73.7</v>
      </c>
      <c r="D26" s="5" t="n">
        <v>-2387.8</v>
      </c>
      <c r="E26" s="5" t="n">
        <v>-1608.4</v>
      </c>
      <c r="F26" s="5" t="n">
        <v>2129</v>
      </c>
      <c r="G26" s="5" t="n">
        <v>123</v>
      </c>
      <c r="H26" s="5" t="n">
        <v>1322.2</v>
      </c>
      <c r="I26" s="5" t="n">
        <v>-872.3</v>
      </c>
      <c r="J26" s="5" t="n">
        <v>1100</v>
      </c>
      <c r="K26" s="5" t="n">
        <v>-2080.7</v>
      </c>
      <c r="L26" s="5" t="n">
        <v>1648.3</v>
      </c>
    </row>
    <row r="27">
      <c r="A27" s="6" t="inlineStr">
        <is>
          <t>Interest received (as reported)</t>
        </is>
      </c>
      <c r="B27" s="6" t="n"/>
      <c r="C27" s="6" t="n"/>
      <c r="D27" s="6" t="n">
        <v>505.7</v>
      </c>
      <c r="E27" s="6" t="n">
        <v>244.1</v>
      </c>
      <c r="F27" s="6" t="n">
        <v>146.2</v>
      </c>
      <c r="G27" s="6" t="n">
        <v>182.6</v>
      </c>
      <c r="H27" s="6" t="n">
        <v>300</v>
      </c>
      <c r="I27" s="6" t="n">
        <v>243.6</v>
      </c>
      <c r="J27" s="6" t="n">
        <v>183.2</v>
      </c>
      <c r="K27" s="6" t="n">
        <v>77.2</v>
      </c>
      <c r="L27" s="6" t="n">
        <v>59</v>
      </c>
    </row>
    <row r="28">
      <c r="A28" s="6" t="inlineStr">
        <is>
          <t>Interest paid (as reported)</t>
        </is>
      </c>
      <c r="B28" s="6" t="n"/>
      <c r="C28" s="6" t="n"/>
      <c r="D28" s="6" t="n">
        <v>-336.2</v>
      </c>
      <c r="E28" s="6" t="n">
        <v>-149.5</v>
      </c>
      <c r="F28" s="6" t="n">
        <v>-24</v>
      </c>
      <c r="G28" s="6" t="n">
        <v>-85.5</v>
      </c>
      <c r="H28" s="6" t="n">
        <v>-201</v>
      </c>
      <c r="I28" s="6" t="n">
        <v>-176.1</v>
      </c>
      <c r="J28" s="6" t="n">
        <v>-100.2</v>
      </c>
      <c r="K28" s="6" t="n">
        <v>-51.1</v>
      </c>
      <c r="L28" s="6" t="n">
        <v>-55</v>
      </c>
    </row>
    <row r="29">
      <c r="A29" s="6" t="inlineStr">
        <is>
          <t>Corporation and withholding tax paid</t>
        </is>
      </c>
      <c r="B29" s="6" t="n">
        <v>-53.5</v>
      </c>
      <c r="C29" s="6" t="n">
        <v>-30.2</v>
      </c>
      <c r="D29" s="6" t="n">
        <v>-37</v>
      </c>
      <c r="E29" s="6" t="n">
        <v>-54.6</v>
      </c>
      <c r="F29" s="6" t="n">
        <v>-27</v>
      </c>
      <c r="G29" s="6" t="n">
        <v>-21.9</v>
      </c>
      <c r="H29" s="6" t="n">
        <v>-10.2</v>
      </c>
      <c r="I29" s="6" t="n">
        <v>-20.2</v>
      </c>
      <c r="J29" s="6" t="n">
        <v>-8.6</v>
      </c>
      <c r="K29" s="6" t="n">
        <v>-0.2</v>
      </c>
      <c r="L29" s="6" t="n">
        <v>-3.4</v>
      </c>
    </row>
    <row r="30">
      <c r="A30" s="5" t="inlineStr">
        <is>
          <t>Cash flows (used in)/from operating activities</t>
        </is>
      </c>
      <c r="B30" s="5" t="n">
        <v>-1780.3</v>
      </c>
      <c r="C30" s="5" t="n">
        <v>128.1</v>
      </c>
      <c r="D30" s="5" t="n">
        <v>-2150.7</v>
      </c>
      <c r="E30" s="5" t="n">
        <v>-1137.3</v>
      </c>
      <c r="F30" s="5" t="n">
        <v>2255.8</v>
      </c>
      <c r="G30" s="5" t="n">
        <v>282</v>
      </c>
      <c r="H30" s="5" t="n">
        <v>1127.4</v>
      </c>
      <c r="I30" s="5" t="n">
        <v>-882.2</v>
      </c>
      <c r="J30" s="5" t="n">
        <v>1107.8</v>
      </c>
      <c r="K30" s="5" t="n">
        <v>-2176.5</v>
      </c>
      <c r="L30" s="5" t="n">
        <v>1437.8</v>
      </c>
    </row>
    <row r="31">
      <c r="A31" s="5" t="inlineStr">
        <is>
          <t>Investing activities</t>
        </is>
      </c>
      <c r="B31" s="6" t="n"/>
      <c r="C31" s="6" t="n"/>
      <c r="D31" s="6" t="n"/>
      <c r="E31" s="6" t="n"/>
      <c r="F31" s="6" t="n"/>
      <c r="G31" s="6" t="n"/>
      <c r="H31" s="6" t="n"/>
      <c r="I31" s="6" t="n"/>
      <c r="J31" s="6" t="n"/>
      <c r="K31" s="6" t="n"/>
      <c r="L31" s="6" t="n"/>
    </row>
    <row r="32">
      <c r="A32" s="6" t="inlineStr">
        <is>
          <t>Capital expenditure on intangible assets</t>
        </is>
      </c>
      <c r="B32" s="6" t="n">
        <v>-5</v>
      </c>
      <c r="C32" s="6" t="n">
        <v>-11.5</v>
      </c>
      <c r="D32" s="6" t="n">
        <v>-5.1</v>
      </c>
      <c r="E32" s="6" t="n">
        <v>-11.4</v>
      </c>
      <c r="F32" s="6" t="n">
        <v>-9.4</v>
      </c>
      <c r="G32" s="6" t="n">
        <v>-5.7</v>
      </c>
      <c r="H32" s="6" t="n">
        <v>-14.7</v>
      </c>
      <c r="I32" s="6" t="n">
        <v>-13</v>
      </c>
      <c r="J32" s="6" t="n">
        <v>-14.2</v>
      </c>
      <c r="K32" s="6" t="n"/>
      <c r="L32" s="6" t="n"/>
    </row>
    <row r="33">
      <c r="A33" s="6" t="inlineStr">
        <is>
          <t>Capital expenditure on property and equipment</t>
        </is>
      </c>
      <c r="B33" s="6" t="n">
        <v>-13</v>
      </c>
      <c r="C33" s="6" t="n">
        <v>-4.9</v>
      </c>
      <c r="D33" s="6" t="n">
        <v>-1.8</v>
      </c>
      <c r="E33" s="6" t="n">
        <v>-4.1</v>
      </c>
      <c r="F33" s="6" t="n">
        <v>-3.1</v>
      </c>
      <c r="G33" s="6" t="n">
        <v>-2.5</v>
      </c>
      <c r="H33" s="6" t="n">
        <v>-3.2</v>
      </c>
      <c r="I33" s="6" t="n">
        <v>-5.9</v>
      </c>
      <c r="J33" s="6" t="n">
        <v>-1.4</v>
      </c>
      <c r="K33" s="6" t="n">
        <v>-9.4</v>
      </c>
      <c r="L33" s="6" t="n">
        <v>-2</v>
      </c>
    </row>
    <row r="34">
      <c r="A34" s="5" t="inlineStr">
        <is>
          <t>Cash flows used in investing activities</t>
        </is>
      </c>
      <c r="B34" s="5" t="n">
        <v>-18</v>
      </c>
      <c r="C34" s="5" t="n">
        <v>-16.4</v>
      </c>
      <c r="D34" s="5" t="n">
        <v>-6.9</v>
      </c>
      <c r="E34" s="5" t="n">
        <v>-15.5</v>
      </c>
      <c r="F34" s="5" t="n">
        <v>-12.5</v>
      </c>
      <c r="G34" s="5" t="n">
        <v>-8.199999999999999</v>
      </c>
      <c r="H34" s="5" t="n">
        <v>-17.9</v>
      </c>
      <c r="I34" s="5" t="n">
        <v>-18.9</v>
      </c>
      <c r="J34" s="5" t="n">
        <v>-15.6</v>
      </c>
      <c r="K34" s="5" t="n">
        <v>-9.4</v>
      </c>
      <c r="L34" s="5" t="n">
        <v>-2</v>
      </c>
    </row>
    <row r="35">
      <c r="A35" s="5" t="inlineStr">
        <is>
          <t>Financing activities</t>
        </is>
      </c>
      <c r="B35" s="6" t="n"/>
      <c r="C35" s="6" t="n"/>
      <c r="D35" s="6" t="n"/>
      <c r="E35" s="6" t="n"/>
      <c r="F35" s="6" t="n"/>
      <c r="G35" s="6" t="n"/>
      <c r="H35" s="6" t="n"/>
      <c r="I35" s="6" t="n"/>
      <c r="J35" s="6" t="n"/>
      <c r="K35" s="6" t="n"/>
      <c r="L35" s="6" t="n"/>
    </row>
    <row r="36">
      <c r="A36" s="6" t="inlineStr">
        <is>
          <t>Equity contribution under indemnity claim (capital contribution from Standard Bank Group, FY2015 only)</t>
        </is>
      </c>
      <c r="B36" s="6" t="n"/>
      <c r="C36" s="6" t="n"/>
      <c r="D36" s="6" t="n"/>
      <c r="E36" s="6" t="n"/>
      <c r="F36" s="6" t="n"/>
      <c r="G36" s="6" t="n"/>
      <c r="H36" s="6" t="n"/>
      <c r="I36" s="6" t="n"/>
      <c r="J36" s="6" t="n"/>
      <c r="K36" s="6" t="n"/>
      <c r="L36" s="6" t="n">
        <v>40.9</v>
      </c>
    </row>
    <row r="37">
      <c r="A37" s="6" t="inlineStr">
        <is>
          <t>Proceeds from issue of ordinary share capital to shareholders</t>
        </is>
      </c>
      <c r="B37" s="6" t="n"/>
      <c r="C37" s="6" t="n"/>
      <c r="D37" s="6" t="n"/>
      <c r="E37" s="6" t="n"/>
      <c r="F37" s="6" t="n"/>
      <c r="G37" s="6" t="n"/>
      <c r="H37" s="6" t="n"/>
      <c r="I37" s="6" t="n"/>
      <c r="J37" s="6" t="n">
        <v>265</v>
      </c>
      <c r="K37" s="6" t="n"/>
      <c r="L37" s="6" t="n">
        <v>300</v>
      </c>
    </row>
    <row r="38">
      <c r="A38" s="6" t="inlineStr">
        <is>
          <t>Proceeds from issuance of other equity instruments (Additional Tier 1 capital, FY2019 only)</t>
        </is>
      </c>
      <c r="B38" s="6" t="n"/>
      <c r="C38" s="6" t="n"/>
      <c r="D38" s="6" t="n"/>
      <c r="E38" s="6" t="n"/>
      <c r="F38" s="6" t="n"/>
      <c r="G38" s="6" t="n"/>
      <c r="H38" s="6" t="n">
        <v>160</v>
      </c>
      <c r="I38" s="6" t="n"/>
      <c r="J38" s="6" t="n"/>
      <c r="K38" s="6" t="n"/>
      <c r="L38" s="6" t="n"/>
    </row>
    <row r="39">
      <c r="A39" s="6" t="inlineStr">
        <is>
          <t>Proceeds from issuance of subordinated debt</t>
        </is>
      </c>
      <c r="B39" s="6" t="n"/>
      <c r="C39" s="6" t="n">
        <v>100</v>
      </c>
      <c r="D39" s="6" t="n"/>
      <c r="E39" s="6" t="n">
        <v>150</v>
      </c>
      <c r="F39" s="6" t="n"/>
      <c r="G39" s="6" t="n"/>
      <c r="H39" s="6" t="n">
        <v>100</v>
      </c>
      <c r="I39" s="6" t="n"/>
      <c r="J39" s="6" t="n">
        <v>150</v>
      </c>
      <c r="K39" s="6" t="n"/>
      <c r="L39" s="6" t="n"/>
    </row>
    <row r="40">
      <c r="A40" s="6" t="inlineStr">
        <is>
          <t>Repayment of subordinated debt</t>
        </is>
      </c>
      <c r="B40" s="6" t="n"/>
      <c r="C40" s="6" t="n">
        <v>-100</v>
      </c>
      <c r="D40" s="6" t="n"/>
      <c r="E40" s="6" t="n">
        <v>-150</v>
      </c>
      <c r="F40" s="6" t="n"/>
      <c r="G40" s="6" t="n"/>
      <c r="H40" s="6" t="n">
        <v>-500</v>
      </c>
      <c r="I40" s="6" t="n"/>
      <c r="J40" s="6" t="n"/>
      <c r="K40" s="6" t="n">
        <v>-137.9</v>
      </c>
      <c r="L40" s="6" t="n"/>
    </row>
    <row r="41">
      <c r="A41" s="6" t="inlineStr">
        <is>
          <t>Dividend payment on ordinary share capital</t>
        </is>
      </c>
      <c r="B41" s="6" t="n">
        <v>-41.8</v>
      </c>
      <c r="C41" s="6" t="n">
        <v>-49.9</v>
      </c>
      <c r="D41" s="6" t="n"/>
      <c r="E41" s="6" t="n"/>
      <c r="F41" s="6" t="n"/>
      <c r="G41" s="6" t="n"/>
      <c r="H41" s="6" t="n"/>
      <c r="I41" s="6" t="n"/>
      <c r="J41" s="6" t="n"/>
      <c r="K41" s="6" t="n"/>
      <c r="L41" s="6" t="n"/>
    </row>
    <row r="42">
      <c r="A42" s="6" t="inlineStr">
        <is>
          <t>Coupon payment on other equity instruments</t>
        </is>
      </c>
      <c r="B42" s="6" t="n">
        <v>-12.4</v>
      </c>
      <c r="C42" s="6" t="n">
        <v>-12.2</v>
      </c>
      <c r="D42" s="6" t="n">
        <v>-12.2</v>
      </c>
      <c r="E42" s="6" t="n">
        <v>-12.2</v>
      </c>
      <c r="F42" s="6" t="n">
        <v>-12.2</v>
      </c>
      <c r="G42" s="6" t="n"/>
      <c r="H42" s="6" t="n"/>
      <c r="I42" s="6" t="n"/>
      <c r="J42" s="6" t="n"/>
      <c r="K42" s="6" t="n"/>
      <c r="L42" s="6" t="n"/>
    </row>
    <row r="43">
      <c r="A43" s="6" t="inlineStr">
        <is>
          <t>Principal payments on leasehold liabilities</t>
        </is>
      </c>
      <c r="B43" s="6" t="n">
        <v>-9.4</v>
      </c>
      <c r="C43" s="6" t="n">
        <v>-8.5</v>
      </c>
      <c r="D43" s="6" t="n">
        <v>-10.4</v>
      </c>
      <c r="E43" s="6" t="n">
        <v>-9.699999999999999</v>
      </c>
      <c r="F43" s="6" t="n">
        <v>-12.5</v>
      </c>
      <c r="G43" s="6" t="n">
        <v>-16</v>
      </c>
      <c r="H43" s="6" t="n">
        <v>-19.7</v>
      </c>
      <c r="I43" s="6" t="n"/>
      <c r="J43" s="6" t="n"/>
      <c r="K43" s="6" t="n"/>
      <c r="L43" s="6" t="n"/>
    </row>
    <row r="44">
      <c r="A44" s="5" t="inlineStr">
        <is>
          <t>Cash flows used in financing activities</t>
        </is>
      </c>
      <c r="B44" s="5" t="n">
        <v>-63.6</v>
      </c>
      <c r="C44" s="5" t="n">
        <v>-70.59999999999999</v>
      </c>
      <c r="D44" s="5" t="n">
        <v>-22.6</v>
      </c>
      <c r="E44" s="5" t="n">
        <v>-21.9</v>
      </c>
      <c r="F44" s="5" t="n">
        <v>-24.7</v>
      </c>
      <c r="G44" s="5" t="n">
        <v>-16</v>
      </c>
      <c r="H44" s="5" t="n">
        <v>-259.7</v>
      </c>
      <c r="I44" s="5" t="n">
        <v>0</v>
      </c>
      <c r="J44" s="5" t="n">
        <v>415</v>
      </c>
      <c r="K44" s="5" t="n">
        <v>-137.9</v>
      </c>
      <c r="L44" s="5" t="n">
        <v>340.9</v>
      </c>
    </row>
    <row r="45">
      <c r="A45" s="5" t="inlineStr">
        <is>
          <t>Net (decrease)/increase in cash and cash equivalents</t>
        </is>
      </c>
      <c r="B45" s="5" t="n">
        <v>-1861.9</v>
      </c>
      <c r="C45" s="5" t="n">
        <v>41.1</v>
      </c>
      <c r="D45" s="5" t="n">
        <v>-2180.2</v>
      </c>
      <c r="E45" s="5" t="n">
        <v>-1174.7</v>
      </c>
      <c r="F45" s="5" t="n">
        <v>2218.6</v>
      </c>
      <c r="G45" s="5" t="n">
        <v>257.8</v>
      </c>
      <c r="H45" s="5" t="n">
        <v>849.8</v>
      </c>
      <c r="I45" s="5" t="n">
        <v>-901.1</v>
      </c>
      <c r="J45" s="5" t="n">
        <v>1507.2</v>
      </c>
      <c r="K45" s="5" t="n">
        <v>-2323.8</v>
      </c>
      <c r="L45" s="5" t="n">
        <v>1776.7</v>
      </c>
    </row>
    <row r="46">
      <c r="A46" s="6" t="inlineStr">
        <is>
          <t>Effects of exchange rate changes on cash and cash equivalents</t>
        </is>
      </c>
      <c r="B46" s="6" t="n">
        <v>2.5</v>
      </c>
      <c r="C46" s="6" t="n">
        <v>-23.5</v>
      </c>
      <c r="D46" s="6" t="n">
        <v>-65.8</v>
      </c>
      <c r="E46" s="6" t="n">
        <v>42.6</v>
      </c>
      <c r="F46" s="6" t="n">
        <v>-2.5</v>
      </c>
      <c r="G46" s="6" t="n">
        <v>0.5</v>
      </c>
      <c r="H46" s="6" t="n">
        <v>5.7</v>
      </c>
      <c r="I46" s="6" t="n">
        <v>0.9</v>
      </c>
      <c r="J46" s="6" t="n">
        <v>51</v>
      </c>
      <c r="K46" s="6" t="n">
        <v>-17.8</v>
      </c>
      <c r="L46" s="6" t="n">
        <v>-0.7</v>
      </c>
    </row>
    <row r="47">
      <c r="A47" s="6" t="inlineStr">
        <is>
          <t>Cash and cash equivalents at beginning of the year</t>
        </is>
      </c>
      <c r="B47" s="6" t="n">
        <v>2762</v>
      </c>
      <c r="C47" s="6" t="n">
        <v>2744.4</v>
      </c>
      <c r="D47" s="6" t="n">
        <v>4990.4</v>
      </c>
      <c r="E47" s="6" t="n">
        <v>6122.5</v>
      </c>
      <c r="F47" s="6" t="n">
        <v>3906.4</v>
      </c>
      <c r="G47" s="6" t="n">
        <v>3648.1</v>
      </c>
      <c r="H47" s="6" t="n">
        <v>2792.6</v>
      </c>
      <c r="I47" s="6" t="n">
        <v>3692.8</v>
      </c>
      <c r="J47" s="6" t="n">
        <v>2134.6</v>
      </c>
      <c r="K47" s="6" t="n">
        <v>4476.2</v>
      </c>
      <c r="L47" s="6" t="n">
        <v>2700.2</v>
      </c>
    </row>
    <row r="48">
      <c r="A48" s="5" t="inlineStr">
        <is>
          <t>Cash and cash equivalents at end of the year</t>
        </is>
      </c>
      <c r="B48" s="5" t="n">
        <v>902.6</v>
      </c>
      <c r="C48" s="5" t="n">
        <v>2762</v>
      </c>
      <c r="D48" s="5" t="n">
        <v>2744.4</v>
      </c>
      <c r="E48" s="5" t="n">
        <v>4990.4</v>
      </c>
      <c r="F48" s="5" t="n">
        <v>6122.5</v>
      </c>
      <c r="G48" s="5" t="n">
        <v>3906.4</v>
      </c>
      <c r="H48" s="5" t="n">
        <v>3648.1</v>
      </c>
      <c r="I48" s="5" t="n">
        <v>2792.6</v>
      </c>
      <c r="J48" s="5" t="n">
        <v>3692.8</v>
      </c>
      <c r="K48" s="5" t="n">
        <v>2134.6</v>
      </c>
      <c r="L48" s="5" t="n">
        <v>4476.2</v>
      </c>
    </row>
    <row r="50" ht="195" customHeight="1">
      <c r="A50" s="8" t="inlineStr">
        <is>
          <t>Sources — all figures are ICBC Standard Bank Plc consolidated (Group) statement of cash flows, $m:
FY2025 &amp; FY2024: ICBC Standard Bank Consolidated Annual Report 2025, p.68 (Consolidated Statement of Cash Flows) — https://v.icbc.com.cn/userfiles/resources/icbc/haiwai/standardbank/download/2023/consolidatedannualreport2025.pdf
FY2023 &amp; FY2022: ICBC Standard Bank Consolidated Annual Report 2023, p.65 (11. Consolidated statement of cash flows) — https://v.icbc.com.cn/userfiles/resources/icbc/haiwai/standardbank/download/2023/2023annualreportyasuo.pdf
FY2021: ICBC Standard Bank Consolidated Annual Report 2021, p.65 (10. Consolidated statement of cash flows) — https://v.icbc.com.cn/userfiles/Resources/ICBC/haiwai/StandardBank/Download/2022/Consolidated_Annual_Report_2021.pdf
FY2020: ICBC Standard Bank Consolidated Annual Report 2020, p.55 (10. Consolidated statement of cash flows) — https://v.icbc.com.cn/userfiles/Resources/ICBC/haiwai/StandardBank/Download/2021/ConsolidatedAnnualReport20.pdf
FY2019: ICBC Standard Bank Consolidated Annual Report 2019, p.51 (10. Consolidated statement of cash flows) — https://v.icbc.com.cn/userfiles/Resources/ICBC/haiwai/StandardBank/Download/2020/ConsolidatedAnnualReport.pdf
FY2018: ICBC Standard Bank Consolidated Annual Report 2018, p.40 (10. Consolidated statement of cash flows) — https://v.icbc.com.cn/userfiles/Resources/ICBC/haiwai/StandardBank/Download/2019/Consolidated_Annual_Report_2018.pdf
FY2017: ICBC Standard Bank Consolidated Annual Report 2017, p.36 (10. Consolidated statement of cash flows) — https://v.icbc.com.cn/userfiles/Resources/ICBC/haiwai/StandardBank/Download/2019/Consolidated_Annual_Report_2017.pdf
FY2016: ICBC Standard Bank Consolidated Annual Report 2016, p.24 (10. Consolidated statement of cash flows) — https://v.icbc.com.cn/userfiles/Resources/ICBC/haiwai/StandardBank/Download/2019/ConsolidatedAnnualReport2016.pdf
FY2015: ICBC Standard Bank Consolidated Annual Report 2015, p.39 (10. Consolidated statement of cash flows) — https://v.icbc.com.cn/userfiles/Resources/ICBC/haiwai/StandardBank/Download/2019/ICBCStandardBankPlcAFS2015.pdf
Note: presentation granularity changed across report vintages. FY2025/FY2024 report a single 'Non-cash items included in profit before tax' adjustment and disclose interest received/paid only in a footnote; FY2023/FY2022 separately reconcile 'Net interest income' and show 'Interest received'/'Interest paid' as distinct lines within operating activities; FY2021-FY2019 itemise several non-cash adjustments (equity/cash-settled share-based payments, impairments, restructuring/commodity-inventory provisions, fair-value hedge movements) matching FY2021's own structure; FY2018-FY2015 use a shorter adjustments list (no fair-value-hedge or commodity-inventory-provision lines, since those specific instruments/policies did not yet exist) and FY2017-FY2015 additionally show 'Interest received'/'Interest paid' as explicit operating-activities lines (dropped from FY2018 onward, reappearing only as the FY2023/FY2022 explicit lines). FY2015's statement further splits 'Loss before taxation' into continuing vs. discontinued-operations rows (ICBCS discontinued a small business line in 2014/2015) - shown here as a single 'Profit before taxation' figure equal to their sum, with a separate 'Discontinued operations' adjusting row. Blank cells indicate that year's report did not disclose that specific line; all section totals (cash flows from operating/investing/financing activities, and cash and cash equivalents at start/end of year) reconcile exactly year-on-year across all 11 years, including FY2020's own closing cash and cash equivalents ($3,906.4m) tying exactly to FY2021's own opening balance.</t>
        </is>
      </c>
    </row>
  </sheetData>
  <mergeCells count="1">
    <mergeCell ref="A50:L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Asset Quality</t>
        </is>
      </c>
    </row>
    <row r="2">
      <c r="A2" s="2" t="inlineStr">
        <is>
          <t>ICBC Standard Bank Group (consolidated basis), $m unless stated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row>
    <row r="4">
      <c r="A4" s="5" t="inlineStr">
        <is>
          <t>Gross balances subject to the three-stage ECL model (IFRS 9, FY2018 onward)</t>
        </is>
      </c>
      <c r="B4" s="6" t="n"/>
      <c r="C4" s="6" t="n"/>
      <c r="D4" s="6" t="n"/>
      <c r="E4" s="6" t="n"/>
      <c r="F4" s="6" t="n"/>
      <c r="G4" s="6" t="n"/>
      <c r="H4" s="6" t="n"/>
      <c r="I4" s="6" t="n"/>
      <c r="J4" s="6" t="n"/>
      <c r="K4" s="6" t="n"/>
      <c r="L4" s="6" t="n"/>
    </row>
    <row r="5">
      <c r="A5" s="6" t="inlineStr">
        <is>
          <t>Stage 1 (12-month ECL)</t>
        </is>
      </c>
      <c r="B5" s="6" t="n">
        <v>13357.1</v>
      </c>
      <c r="C5" s="6" t="n">
        <v>11465.1</v>
      </c>
      <c r="D5" s="6" t="n">
        <v>9323.6</v>
      </c>
      <c r="E5" s="6" t="n">
        <v>10617.5</v>
      </c>
      <c r="F5" s="6" t="n">
        <v>11586.6</v>
      </c>
      <c r="G5" s="6" t="n">
        <v>12106.4</v>
      </c>
      <c r="H5" s="6" t="n">
        <v>10363.9</v>
      </c>
      <c r="I5" s="6" t="n">
        <v>10256.9</v>
      </c>
      <c r="J5" s="6" t="n"/>
      <c r="K5" s="6" t="n"/>
      <c r="L5" s="6" t="n"/>
    </row>
    <row r="6">
      <c r="A6" s="6" t="inlineStr">
        <is>
          <t>Stage 2 (lifetime ECL, not credit-impaired)</t>
        </is>
      </c>
      <c r="B6" s="6" t="n">
        <v>38.3</v>
      </c>
      <c r="C6" s="6" t="n">
        <v>0</v>
      </c>
      <c r="D6" s="6" t="n">
        <v>0</v>
      </c>
      <c r="E6" s="6" t="n">
        <v>9.800000000000001</v>
      </c>
      <c r="F6" s="6" t="n">
        <v>66.8</v>
      </c>
      <c r="G6" s="6" t="n">
        <v>5.1</v>
      </c>
      <c r="H6" s="6" t="n">
        <v>9.1</v>
      </c>
      <c r="I6" s="6" t="n">
        <v>34.6</v>
      </c>
      <c r="J6" s="6" t="n"/>
      <c r="K6" s="6" t="n"/>
      <c r="L6" s="6" t="n"/>
    </row>
    <row r="7">
      <c r="A7" s="6" t="inlineStr">
        <is>
          <t>Stage 3 (lifetime ECL, credit-impaired)</t>
        </is>
      </c>
      <c r="B7" s="6" t="n">
        <v>0</v>
      </c>
      <c r="C7" s="6" t="n">
        <v>0</v>
      </c>
      <c r="D7" s="6" t="n">
        <v>0</v>
      </c>
      <c r="E7" s="6" t="n">
        <v>28.3</v>
      </c>
      <c r="F7" s="6" t="n"/>
      <c r="G7" s="6" t="n">
        <v>7.7</v>
      </c>
      <c r="H7" s="6" t="n">
        <v>135.9</v>
      </c>
      <c r="I7" s="6" t="n">
        <v>0.2</v>
      </c>
      <c r="J7" s="6" t="n"/>
      <c r="K7" s="6" t="n"/>
      <c r="L7" s="6" t="n"/>
    </row>
    <row r="8">
      <c r="A8" s="6" t="inlineStr">
        <is>
          <t>Purchased or originated credit-impaired (POCI)</t>
        </is>
      </c>
      <c r="B8" s="6" t="n">
        <v>5.7</v>
      </c>
      <c r="C8" s="6" t="n">
        <v>5.3</v>
      </c>
      <c r="D8" s="6" t="n">
        <v>10.8</v>
      </c>
      <c r="E8" s="6" t="n">
        <v>95.09999999999999</v>
      </c>
      <c r="F8" s="6" t="n"/>
      <c r="G8" s="6" t="n"/>
      <c r="H8" s="6" t="n"/>
      <c r="I8" s="6" t="n"/>
      <c r="J8" s="6" t="n"/>
      <c r="K8" s="6" t="n"/>
      <c r="L8" s="6" t="n"/>
    </row>
    <row r="9">
      <c r="A9" s="5" t="inlineStr">
        <is>
          <t>Total gross balances subject to ECL</t>
        </is>
      </c>
      <c r="B9" s="5" t="n">
        <v>13401.1</v>
      </c>
      <c r="C9" s="5" t="n">
        <v>11470.4</v>
      </c>
      <c r="D9" s="5" t="n">
        <v>9334.4</v>
      </c>
      <c r="E9" s="5" t="n">
        <v>10750.7</v>
      </c>
      <c r="F9" s="5" t="n">
        <v>11653.4</v>
      </c>
      <c r="G9" s="5" t="n">
        <v>12119.2</v>
      </c>
      <c r="H9" s="5" t="n">
        <v>10508.9</v>
      </c>
      <c r="I9" s="5" t="n">
        <v>10291.7</v>
      </c>
      <c r="J9" s="5" t="n"/>
      <c r="K9" s="5" t="n"/>
      <c r="L9" s="5" t="n"/>
    </row>
    <row r="10">
      <c r="A10" s="5" t="inlineStr">
        <is>
          <t>Credit loss allowance, by stage (year-end balance) (IFRS 9, FY2018 onward)</t>
        </is>
      </c>
      <c r="B10" s="6" t="n"/>
      <c r="C10" s="6" t="n"/>
      <c r="D10" s="6" t="n"/>
      <c r="E10" s="6" t="n"/>
      <c r="F10" s="6" t="n"/>
      <c r="G10" s="6" t="n"/>
      <c r="H10" s="6" t="n"/>
      <c r="I10" s="6" t="n"/>
      <c r="J10" s="6" t="n"/>
      <c r="K10" s="6" t="n"/>
      <c r="L10" s="6" t="n"/>
    </row>
    <row r="11">
      <c r="A11" s="6" t="inlineStr">
        <is>
          <t>Stage 1 (12-month ECL)</t>
        </is>
      </c>
      <c r="B11" s="6" t="n">
        <v>-25.4</v>
      </c>
      <c r="C11" s="6" t="n">
        <v>-15.9</v>
      </c>
      <c r="D11" s="6" t="n">
        <v>-13.2</v>
      </c>
      <c r="E11" s="6" t="n">
        <v>-7.3</v>
      </c>
      <c r="F11" s="6" t="n">
        <v>-5</v>
      </c>
      <c r="G11" s="6" t="n">
        <v>-4.2</v>
      </c>
      <c r="H11" s="6" t="n">
        <v>-3.8</v>
      </c>
      <c r="I11" s="6" t="n">
        <v>-3.9</v>
      </c>
      <c r="J11" s="6" t="n"/>
      <c r="K11" s="6" t="n"/>
      <c r="L11" s="6" t="n"/>
    </row>
    <row r="12">
      <c r="A12" s="6" t="inlineStr">
        <is>
          <t>Stage 2 (lifetime ECL, not credit-impaired)</t>
        </is>
      </c>
      <c r="B12" s="6" t="n">
        <v>-4</v>
      </c>
      <c r="C12" s="6" t="n">
        <v>0</v>
      </c>
      <c r="D12" s="6" t="n">
        <v>0</v>
      </c>
      <c r="E12" s="6" t="n">
        <v>-3.8</v>
      </c>
      <c r="F12" s="6" t="n">
        <v>-0.3</v>
      </c>
      <c r="G12" s="6" t="n">
        <v>-0.1</v>
      </c>
      <c r="H12" s="6" t="n">
        <v>-0.5</v>
      </c>
      <c r="I12" s="6" t="n">
        <v>-0.1</v>
      </c>
      <c r="J12" s="6" t="n"/>
      <c r="K12" s="6" t="n"/>
      <c r="L12" s="6" t="n"/>
    </row>
    <row r="13">
      <c r="A13" s="6" t="inlineStr">
        <is>
          <t>Stage 3 (lifetime ECL, credit-impaired)</t>
        </is>
      </c>
      <c r="B13" s="6" t="n">
        <v>0</v>
      </c>
      <c r="C13" s="6" t="n">
        <v>0</v>
      </c>
      <c r="D13" s="6" t="n">
        <v>0</v>
      </c>
      <c r="E13" s="6" t="n">
        <v>-4.1</v>
      </c>
      <c r="F13" s="6" t="n">
        <v>0</v>
      </c>
      <c r="G13" s="6" t="n">
        <v>-4.8</v>
      </c>
      <c r="H13" s="6" t="n">
        <v>-0.2</v>
      </c>
      <c r="I13" s="6" t="n">
        <v>-0.2</v>
      </c>
      <c r="J13" s="6" t="n"/>
      <c r="K13" s="6" t="n"/>
      <c r="L13" s="6" t="n"/>
    </row>
    <row r="14">
      <c r="A14" s="6" t="inlineStr">
        <is>
          <t>Purchased or originated credit-impaired (POCI)</t>
        </is>
      </c>
      <c r="B14" s="6" t="n">
        <v>-5.3</v>
      </c>
      <c r="C14" s="6" t="n">
        <v>-3.5</v>
      </c>
      <c r="D14" s="6" t="n">
        <v>-3.6</v>
      </c>
      <c r="E14" s="6" t="n">
        <v>-51.4</v>
      </c>
      <c r="F14" s="6" t="n"/>
      <c r="G14" s="6" t="n"/>
      <c r="H14" s="6" t="n"/>
      <c r="I14" s="6" t="n"/>
      <c r="J14" s="6" t="n"/>
      <c r="K14" s="6" t="n"/>
      <c r="L14" s="6" t="n"/>
    </row>
    <row r="15">
      <c r="A15" s="5" t="inlineStr">
        <is>
          <t>Total credit loss allowance</t>
        </is>
      </c>
      <c r="B15" s="5" t="n">
        <v>-34.7</v>
      </c>
      <c r="C15" s="5" t="n">
        <v>-19.4</v>
      </c>
      <c r="D15" s="5" t="n">
        <v>-16.8</v>
      </c>
      <c r="E15" s="5" t="n">
        <v>-66.59999999999999</v>
      </c>
      <c r="F15" s="5" t="n">
        <v>-5.3</v>
      </c>
      <c r="G15" s="5" t="n">
        <v>-9</v>
      </c>
      <c r="H15" s="5" t="n">
        <v>-4.5</v>
      </c>
      <c r="I15" s="5" t="n">
        <v>-4.2</v>
      </c>
      <c r="J15" s="5" t="n"/>
      <c r="K15" s="5" t="n"/>
      <c r="L15" s="5" t="n"/>
    </row>
    <row r="16">
      <c r="A16" s="5" t="inlineStr">
        <is>
          <t>Derived coverage ratio (IFRS 9 years)</t>
        </is>
      </c>
      <c r="B16" s="6" t="n"/>
      <c r="C16" s="6" t="n"/>
      <c r="D16" s="6" t="n"/>
      <c r="E16" s="6" t="n"/>
      <c r="F16" s="6" t="n"/>
      <c r="G16" s="6" t="n"/>
      <c r="H16" s="6" t="n"/>
      <c r="I16" s="6" t="n"/>
      <c r="J16" s="6" t="n"/>
      <c r="K16" s="6" t="n"/>
      <c r="L16" s="6" t="n"/>
    </row>
    <row r="17">
      <c r="A17" s="6" t="inlineStr">
        <is>
          <t>Total credit loss allowance / total gross balances subject to ECL</t>
        </is>
      </c>
      <c r="B17" s="6" t="inlineStr">
        <is>
          <t>0.26%</t>
        </is>
      </c>
      <c r="C17" s="6" t="inlineStr">
        <is>
          <t>0.17%</t>
        </is>
      </c>
      <c r="D17" s="6" t="inlineStr">
        <is>
          <t>0.18%</t>
        </is>
      </c>
      <c r="E17" s="6" t="inlineStr">
        <is>
          <t>0.62%</t>
        </is>
      </c>
      <c r="F17" s="6" t="inlineStr">
        <is>
          <t>0.05%</t>
        </is>
      </c>
      <c r="G17" s="6" t="inlineStr">
        <is>
          <t>0.07%</t>
        </is>
      </c>
      <c r="H17" s="6" t="inlineStr">
        <is>
          <t>0.04%</t>
        </is>
      </c>
      <c r="I17" s="6" t="inlineStr">
        <is>
          <t>0.04%</t>
        </is>
      </c>
      <c r="J17" s="6" t="n"/>
      <c r="K17" s="6" t="n"/>
      <c r="L17" s="6" t="n"/>
    </row>
    <row r="18">
      <c r="A18" s="5" t="inlineStr">
        <is>
          <t>Pre-IFRS 9 basis (IAS 39 incurred-loss model, FY2015-FY2017 - not directly comparable to the three-stage ECL figures above)</t>
        </is>
      </c>
      <c r="B18" s="6" t="n"/>
      <c r="C18" s="6" t="n"/>
      <c r="D18" s="6" t="n"/>
      <c r="E18" s="6" t="n"/>
      <c r="F18" s="6" t="n"/>
      <c r="G18" s="6" t="n"/>
      <c r="H18" s="6" t="n"/>
      <c r="I18" s="6" t="n"/>
      <c r="J18" s="6" t="n"/>
      <c r="K18" s="6" t="n"/>
      <c r="L18" s="6" t="n"/>
    </row>
    <row r="19">
      <c r="A19" s="6" t="inlineStr">
        <is>
          <t>Specifically impaired loans and advances (gross)</t>
        </is>
      </c>
      <c r="B19" s="6" t="n"/>
      <c r="C19" s="6" t="n"/>
      <c r="D19" s="6" t="n"/>
      <c r="E19" s="6" t="n"/>
      <c r="F19" s="6" t="n"/>
      <c r="G19" s="6" t="n"/>
      <c r="H19" s="6" t="n"/>
      <c r="I19" s="6" t="n"/>
      <c r="J19" s="6" t="n">
        <v>0.5</v>
      </c>
      <c r="K19" s="6" t="n">
        <v>0</v>
      </c>
      <c r="L19" s="6" t="n">
        <v>0</v>
      </c>
    </row>
    <row r="20">
      <c r="A20" s="6" t="inlineStr">
        <is>
          <t>Specific impairment allowance</t>
        </is>
      </c>
      <c r="B20" s="6" t="n"/>
      <c r="C20" s="6" t="n"/>
      <c r="D20" s="6" t="n"/>
      <c r="E20" s="6" t="n"/>
      <c r="F20" s="6" t="n"/>
      <c r="G20" s="6" t="n"/>
      <c r="H20" s="6" t="n"/>
      <c r="I20" s="6" t="n"/>
      <c r="J20" s="6" t="n">
        <v>-0.4</v>
      </c>
      <c r="K20" s="6" t="n">
        <v>0</v>
      </c>
      <c r="L20" s="6" t="n">
        <v>0</v>
      </c>
    </row>
    <row r="21">
      <c r="A21" s="6" t="inlineStr">
        <is>
          <t>Portfolio (collective) impairment allowance for performing loans</t>
        </is>
      </c>
      <c r="B21" s="6" t="n"/>
      <c r="C21" s="6" t="n"/>
      <c r="D21" s="6" t="n"/>
      <c r="E21" s="6" t="n"/>
      <c r="F21" s="6" t="n"/>
      <c r="G21" s="6" t="n"/>
      <c r="H21" s="6" t="n"/>
      <c r="I21" s="6" t="n"/>
      <c r="J21" s="6" t="n">
        <v>-3.8</v>
      </c>
      <c r="K21" s="6" t="n">
        <v>-6.3</v>
      </c>
      <c r="L21" s="6" t="n">
        <v>-12.3</v>
      </c>
    </row>
    <row r="22">
      <c r="A22" s="5" t="inlineStr">
        <is>
          <t>Total impairment allowance (specific + portfolio)</t>
        </is>
      </c>
      <c r="B22" s="5" t="n"/>
      <c r="C22" s="5" t="n"/>
      <c r="D22" s="5" t="n"/>
      <c r="E22" s="5" t="n"/>
      <c r="F22" s="5" t="n"/>
      <c r="G22" s="5" t="n"/>
      <c r="H22" s="5" t="n"/>
      <c r="I22" s="5" t="n"/>
      <c r="J22" s="5" t="n">
        <v>-4.2</v>
      </c>
      <c r="K22" s="5" t="n">
        <v>-6.3</v>
      </c>
      <c r="L22" s="5" t="n">
        <v>-12.3</v>
      </c>
    </row>
    <row r="24" ht="208" customHeight="1">
      <c r="A24" s="8" t="inlineStr">
        <is>
          <t>Sources — All figures are ICBC Standard Bank Plc consolidated (Group) basis, $m unless stated, each year's own originally-published figures (not a later restated comparative). ICBCS is jointly owned by Industrial and Commercial Bank of China Limited (60%) and Standard Bank Group Limited (40%).
FY2025 &amp; FY2024: ICBC Standard Bank Consolidated Annual Report 2025, p.159-160 (Note 37.4 Credit risk - Analysis of gross balances/Movements in credit loss allowances) — https://v.icbc.com.cn/userfiles/resources/icbc/haiwai/standardbank/download/2023/consolidatedannualreport2025.pdf
FY2023 &amp; FY2022: ICBC Standard Bank Consolidated Annual Report 2023, p.147-148 (Note 37 Risk management - same tables) — https://v.icbc.com.cn/userfiles/resources/icbc/haiwai/standardbank/download/2023/2023annualreportyasuo.pdf
FY2021: ICBC Standard Bank Consolidated Annual Report 2021, p.143-144 (Note 37 Risk management - same tables) — https://v.icbc.com.cn/userfiles/Resources/ICBC/haiwai/StandardBank/Download/2022/Consolidated_Annual_Report_2021.pdf
FY2020: ICBC Standard Bank Consolidated Annual Report 2020, p.130-131 (Note 37 Risk management - Analysis of gross balances / Movements in credit loss allowances) — https://v.icbc.com.cn/userfiles/Resources/ICBC/haiwai/StandardBank/Download/2021/ConsolidatedAnnualReport20.pdf
FY2019: ICBC Standard Bank Consolidated Annual Report 2019, p.123-124 (Note 37 Risk management - same tables) — https://v.icbc.com.cn/userfiles/Resources/ICBC/haiwai/StandardBank/Download/2020/ConsolidatedAnnualReport.pdf
FY2018: ICBC Standard Bank Consolidated Annual Report 2018, p.104 (Note 37 Risk management - same tables) — https://v.icbc.com.cn/userfiles/Resources/ICBC/haiwai/StandardBank/Download/2019/Consolidated_Annual_Report_2018.pdf
FY2017: ICBC Standard Bank Consolidated Annual Report 2017, p.95 (Note 37 Risk management - Analysis of specifically impaired loans and advances / Performing portfolio impairments) — https://v.icbc.com.cn/userfiles/Resources/ICBC/haiwai/StandardBank/Download/2019/Consolidated_Annual_Report_2017.pdf
FY2016: ICBC Standard Bank Consolidated Annual Report 2016, p.82 (Note 37 Risk management - same tables) — https://v.icbc.com.cn/userfiles/Resources/ICBC/haiwai/StandardBank/Download/2019/ConsolidatedAnnualReport2016.pdf
FY2015: ICBC Standard Bank Consolidated Annual Report 2015, p.123 (Note 37 Risk management - same tables) — https://v.icbc.com.cn/userfiles/Resources/ICBC/haiwai/StandardBank/Download/2019/ICBCStandardBankPlcAFS2015.pdf
Note: coverage is across the Group's entire ECL-model population (cash, interbank placements, reverse repos, loans and advances, financial investments, commitments/guarantees) - not restricted to customer loans, since that is how the Group's own credit-risk note is structured. FY2021's own disclosure does not break out a separate POCI column (leave blank, not zero) or a distinct 'Sub-standard/Doubtful/Loss' Stage 3 sub-split; FY2021 Stage 3 total is genuinely nil. The derived coverage ratio (total allowance / total gross balances) is computed here for a comparable cross-year signal, not itself a disclosed figure. IMPORTANT BASIS CAVEAT: ICBCS adopted IFRS 9's three-stage expected credit loss (ECL) model from 1 January 2018 (see the Statement of Changes in Equity sheet's transition-adjustment row); FY2015-FY2017 instead disclose impairment under IAS 39's incurred-loss model - an 'Analysis of specifically impaired loans and advances' (Sub-standard/Doubtful/Loss grading) plus a separate collective 'Performing portfolio impairment' provision, not a forward-looking staged model. These are shown in their own section below the IFRS 9 figures rather than force-mapped into the Stage 1/2/3 columns, since the two bases measure genuinely different things (incurred losses already identified vs. forward-looking expected losses) - a caveat, not a data gap. FY2015-FY2016 both show zero specifically-impaired loans (all impairment was portfolio/collective); FY2017 shows a small $0.5m specifically impaired balance. There are no past-due-but-not-impaired exposures disclosed in any of FY2015-FY2021.</t>
        </is>
      </c>
    </row>
  </sheetData>
  <mergeCells count="1">
    <mergeCell ref="A24:L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Return on equity - average equity basis</t>
        </is>
      </c>
      <c r="B4" s="6" t="inlineStr">
        <is>
          <t>11.04%</t>
        </is>
      </c>
      <c r="C4" s="6" t="inlineStr">
        <is>
          <t>8.21%</t>
        </is>
      </c>
      <c r="D4" s="6" t="inlineStr">
        <is>
          <t>10.53%</t>
        </is>
      </c>
      <c r="E4" s="6" t="inlineStr">
        <is>
          <t>20.78%</t>
        </is>
      </c>
      <c r="F4" s="6" t="inlineStr">
        <is>
          <t>7.38%</t>
        </is>
      </c>
      <c r="G4" s="6" t="inlineStr">
        <is>
          <t>9.33%</t>
        </is>
      </c>
      <c r="H4" s="6" t="inlineStr">
        <is>
          <t>-20.42%</t>
        </is>
      </c>
      <c r="I4" s="6" t="inlineStr">
        <is>
          <t>-1.17%</t>
        </is>
      </c>
      <c r="J4" s="6" t="inlineStr">
        <is>
          <t>2.65%</t>
        </is>
      </c>
      <c r="K4" s="6" t="inlineStr">
        <is>
          <t>-9.72%</t>
        </is>
      </c>
      <c r="L4" s="6" t="n"/>
    </row>
    <row r="5">
      <c r="A5" s="6" t="inlineStr">
        <is>
          <t>Return on equity - year-end equity basis</t>
        </is>
      </c>
      <c r="B5" s="6" t="inlineStr">
        <is>
          <t>10.55%</t>
        </is>
      </c>
      <c r="C5" s="6" t="inlineStr">
        <is>
          <t>8.05%</t>
        </is>
      </c>
      <c r="D5" s="6" t="inlineStr">
        <is>
          <t>10.00%</t>
        </is>
      </c>
      <c r="E5" s="6" t="inlineStr">
        <is>
          <t>18.85%</t>
        </is>
      </c>
      <c r="F5" s="6" t="inlineStr">
        <is>
          <t>7.20%</t>
        </is>
      </c>
      <c r="G5" s="6" t="inlineStr">
        <is>
          <t>8.87%</t>
        </is>
      </c>
      <c r="H5" s="6" t="inlineStr">
        <is>
          <t>-21.15%</t>
        </is>
      </c>
      <c r="I5" s="6" t="inlineStr">
        <is>
          <t>-1.18%</t>
        </is>
      </c>
      <c r="J5" s="6" t="inlineStr">
        <is>
          <t>2.32%</t>
        </is>
      </c>
      <c r="K5" s="6" t="inlineStr">
        <is>
          <t>-10.33%</t>
        </is>
      </c>
      <c r="L5" s="6" t="inlineStr">
        <is>
          <t>-24.90%</t>
        </is>
      </c>
    </row>
    <row r="6">
      <c r="A6" s="6" t="inlineStr">
        <is>
          <t>Return on assets - average assets basis</t>
        </is>
      </c>
      <c r="B6" s="6" t="inlineStr">
        <is>
          <t>0.70%</t>
        </is>
      </c>
      <c r="C6" s="6" t="inlineStr">
        <is>
          <t>0.63%</t>
        </is>
      </c>
      <c r="D6" s="6" t="inlineStr">
        <is>
          <t>0.82%</t>
        </is>
      </c>
      <c r="E6" s="6" t="inlineStr">
        <is>
          <t>1.30%</t>
        </is>
      </c>
      <c r="F6" s="6" t="inlineStr">
        <is>
          <t>0.37%</t>
        </is>
      </c>
      <c r="G6" s="6" t="inlineStr">
        <is>
          <t>0.44%</t>
        </is>
      </c>
      <c r="H6" s="6" t="inlineStr">
        <is>
          <t>-1.01%</t>
        </is>
      </c>
      <c r="I6" s="6" t="inlineStr">
        <is>
          <t>-0.06%</t>
        </is>
      </c>
      <c r="J6" s="6" t="inlineStr">
        <is>
          <t>0.13%</t>
        </is>
      </c>
      <c r="K6" s="6" t="inlineStr">
        <is>
          <t>-0.49%</t>
        </is>
      </c>
      <c r="L6" s="6" t="n"/>
    </row>
    <row r="7">
      <c r="A7" s="6" t="inlineStr">
        <is>
          <t>Return on assets - year-end assets basis</t>
        </is>
      </c>
      <c r="B7" s="6" t="inlineStr">
        <is>
          <t>0.59%</t>
        </is>
      </c>
      <c r="C7" s="6" t="inlineStr">
        <is>
          <t>0.59%</t>
        </is>
      </c>
      <c r="D7" s="6" t="inlineStr">
        <is>
          <t>0.80%</t>
        </is>
      </c>
      <c r="E7" s="6" t="inlineStr">
        <is>
          <t>1.40%</t>
        </is>
      </c>
      <c r="F7" s="6" t="inlineStr">
        <is>
          <t>0.38%</t>
        </is>
      </c>
      <c r="G7" s="6" t="inlineStr">
        <is>
          <t>0.42%</t>
        </is>
      </c>
      <c r="H7" s="6" t="inlineStr">
        <is>
          <t>-1.02%</t>
        </is>
      </c>
      <c r="I7" s="6" t="inlineStr">
        <is>
          <t>-0.06%</t>
        </is>
      </c>
      <c r="J7" s="6" t="inlineStr">
        <is>
          <t>0.12%</t>
        </is>
      </c>
      <c r="K7" s="6" t="inlineStr">
        <is>
          <t>-0.49%</t>
        </is>
      </c>
      <c r="L7" s="6" t="inlineStr">
        <is>
          <t>-1.33%</t>
        </is>
      </c>
    </row>
    <row r="8">
      <c r="A8" s="6" t="inlineStr">
        <is>
          <t>Return on equity (as published)</t>
        </is>
      </c>
      <c r="B8" s="6" t="n"/>
      <c r="C8" s="6" t="n"/>
      <c r="D8" s="6" t="n"/>
      <c r="E8" s="6" t="n"/>
      <c r="F8" s="6" t="inlineStr">
        <is>
          <t>7.3%</t>
        </is>
      </c>
      <c r="G8" s="6" t="inlineStr">
        <is>
          <t>Not published</t>
        </is>
      </c>
      <c r="H8" s="6" t="n"/>
      <c r="I8" s="6" t="n"/>
      <c r="J8" s="6" t="n"/>
      <c r="K8" s="6" t="n"/>
      <c r="L8" s="6" t="n"/>
    </row>
    <row r="9" ht="182"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20.78% on an average basis and 18.85% on a year-end basis.
FY2015 HAS NO AVERAGE-BASIS RATIO, AND THAT IS CORRECT. An average denominator needs an opening balance, and FY2015 is the oldest column this workbook carries, so there is no prior year to open from. The blank is structural, not a missing figure. The year-end basis is shown for FY2015 because it needs only the closing balance.
FIGURES THE BANK PUBLISHED ONLY AS A LATER EDITION'S COMPARATIVE, AND WHY THEY ARE NOT IN THE CELLS ABOVE. FY2020 Return on equity 9.4%.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attributable to equity shareholders” and the Balance Sheet rows “total equity (attributable to ordinary shareholders)” and “total assets”, resolved BY LABEL at build time through the shared resolver scripts/profitability_rows.py, so this sheet cannot drift from the statements it summarises. Those rows are themselves transcribed from ICBC Standard Bank Plc's Annual Report and Accounts for each year; see the source cells on the Balance Sheet and Profit &amp; Loss sheets for the exact document, page and table behind every input to every percentage above.
The '(as published)' rows are quoted verbatim from ICBC Standard Bank Plc's own disclosures and are recorded, with the exact document, page and verification state for each, in research/profitability/published_returns.jsonl under ‘ICBC STANDARD BANK PLC’.</t>
        </is>
      </c>
    </row>
  </sheetData>
  <mergeCells count="2">
    <mergeCell ref="A11:L11"/>
    <mergeCell ref="A9:L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6" customWidth="1" min="1" max="1"/>
    <col width="15" customWidth="1" min="2" max="2"/>
    <col width="15" customWidth="1" min="3" max="3"/>
    <col width="15" customWidth="1" min="4" max="4"/>
    <col width="15" customWidth="1" min="5" max="5"/>
    <col width="15" customWidth="1" min="6" max="6"/>
  </cols>
  <sheetData>
    <row r="1">
      <c r="A1" s="1" t="inlineStr">
        <is>
          <t>ICBC Standard Bank Plc — UK KM1 Key Metrics Template</t>
        </is>
      </c>
    </row>
    <row r="2">
      <c r="A2" s="2" t="inlineStr">
        <is>
          <t>ICBCS Group (consolidated basis), as published. Amounts in USD millions; ratios as printed.</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1819.5</v>
      </c>
      <c r="C5" s="6" t="n">
        <v>1676.1</v>
      </c>
      <c r="D5" s="6" t="n">
        <v>1629.1</v>
      </c>
      <c r="E5" s="6" t="n">
        <v>1454.6</v>
      </c>
      <c r="F5" s="6" t="n">
        <v>1148.4</v>
      </c>
    </row>
    <row r="6">
      <c r="A6" s="6" t="inlineStr">
        <is>
          <t>2 Tier 1 capital ($m)</t>
        </is>
      </c>
      <c r="B6" s="6" t="n">
        <v>1979.5</v>
      </c>
      <c r="C6" s="6" t="n">
        <v>1836.1</v>
      </c>
      <c r="D6" s="6" t="n">
        <v>1789.1</v>
      </c>
      <c r="E6" s="6" t="n">
        <v>1614.6</v>
      </c>
      <c r="F6" s="6" t="n">
        <v>1308.4</v>
      </c>
    </row>
    <row r="7">
      <c r="A7" s="6" t="inlineStr">
        <is>
          <t>3 Total capital ($m)</t>
        </is>
      </c>
      <c r="B7" s="6" t="n">
        <v>2229.5</v>
      </c>
      <c r="C7" s="6" t="n">
        <v>2086.1</v>
      </c>
      <c r="D7" s="6" t="n">
        <v>2039.1</v>
      </c>
      <c r="E7" s="6" t="n">
        <v>1864.6</v>
      </c>
      <c r="F7" s="6" t="n">
        <v>1558.4</v>
      </c>
    </row>
    <row r="8">
      <c r="A8" s="5" t="inlineStr">
        <is>
          <t>Risk-weighted exposure amounts</t>
        </is>
      </c>
      <c r="B8" s="6" t="n"/>
      <c r="C8" s="6" t="n"/>
      <c r="D8" s="6" t="n"/>
      <c r="E8" s="6" t="n"/>
      <c r="F8" s="6" t="n"/>
    </row>
    <row r="9">
      <c r="A9" s="6" t="inlineStr">
        <is>
          <t>4 Total risk-weighted exposure amount ($m)</t>
        </is>
      </c>
      <c r="B9" s="6" t="n">
        <v>14902.7</v>
      </c>
      <c r="C9" s="6" t="n">
        <v>11500.1</v>
      </c>
      <c r="D9" s="6" t="n">
        <v>9653.200000000001</v>
      </c>
      <c r="E9" s="6" t="n">
        <v>9251</v>
      </c>
      <c r="F9" s="6" t="n">
        <v>8526.299999999999</v>
      </c>
    </row>
    <row r="10">
      <c r="A10" s="5" t="inlineStr">
        <is>
          <t>Capital ratios (as a percentage of risk-weighted exposure amount)</t>
        </is>
      </c>
      <c r="B10" s="6" t="n"/>
      <c r="C10" s="6" t="n"/>
      <c r="D10" s="6" t="n"/>
      <c r="E10" s="6" t="n"/>
      <c r="F10" s="6" t="n"/>
    </row>
    <row r="11">
      <c r="A11" s="6" t="inlineStr">
        <is>
          <t>5 Common Equity Tier 1 ratio (%)</t>
        </is>
      </c>
      <c r="B11" s="6" t="inlineStr">
        <is>
          <t>12.2%</t>
        </is>
      </c>
      <c r="C11" s="6" t="inlineStr">
        <is>
          <t>14.6%</t>
        </is>
      </c>
      <c r="D11" s="6" t="inlineStr">
        <is>
          <t>16.9%</t>
        </is>
      </c>
      <c r="E11" s="6" t="inlineStr">
        <is>
          <t>15.7%</t>
        </is>
      </c>
      <c r="F11" s="6" t="inlineStr">
        <is>
          <t>13.5%</t>
        </is>
      </c>
    </row>
    <row r="12">
      <c r="A12" s="6" t="inlineStr">
        <is>
          <t>6 Tier 1 ratio (%)</t>
        </is>
      </c>
      <c r="B12" s="6" t="inlineStr">
        <is>
          <t>13.3%</t>
        </is>
      </c>
      <c r="C12" s="6" t="inlineStr">
        <is>
          <t>16.0%</t>
        </is>
      </c>
      <c r="D12" s="6" t="inlineStr">
        <is>
          <t>18.5%</t>
        </is>
      </c>
      <c r="E12" s="6" t="inlineStr">
        <is>
          <t>17.5%</t>
        </is>
      </c>
      <c r="F12" s="6" t="inlineStr">
        <is>
          <t>15.4%</t>
        </is>
      </c>
    </row>
    <row r="13">
      <c r="A13" s="6" t="inlineStr">
        <is>
          <t>7 Total capital ratio (%)</t>
        </is>
      </c>
      <c r="B13" s="6" t="inlineStr">
        <is>
          <t>15.0%</t>
        </is>
      </c>
      <c r="C13" s="6" t="inlineStr">
        <is>
          <t>18.1%</t>
        </is>
      </c>
      <c r="D13" s="6" t="inlineStr">
        <is>
          <t>21.1%</t>
        </is>
      </c>
      <c r="E13" s="6" t="inlineStr">
        <is>
          <t>20.2%</t>
        </is>
      </c>
      <c r="F13" s="6" t="inlineStr">
        <is>
          <t>18.3%</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1.3%</t>
        </is>
      </c>
      <c r="C15" s="6" t="inlineStr">
        <is>
          <t>1.7%</t>
        </is>
      </c>
      <c r="D15" s="6" t="inlineStr">
        <is>
          <t>1.7%</t>
        </is>
      </c>
      <c r="E15" s="6" t="inlineStr">
        <is>
          <t>1.9%</t>
        </is>
      </c>
      <c r="F15" s="6" t="inlineStr">
        <is>
          <t>1.9%</t>
        </is>
      </c>
    </row>
    <row r="16">
      <c r="A16" s="6" t="inlineStr">
        <is>
          <t>UK 7b Additional AT1 SREP requirements (%)</t>
        </is>
      </c>
      <c r="B16" s="6" t="inlineStr">
        <is>
          <t>0.4%</t>
        </is>
      </c>
      <c r="C16" s="6" t="inlineStr">
        <is>
          <t>0.6%</t>
        </is>
      </c>
      <c r="D16" s="6" t="inlineStr">
        <is>
          <t>0.6%</t>
        </is>
      </c>
      <c r="E16" s="6" t="inlineStr">
        <is>
          <t>0.6%</t>
        </is>
      </c>
      <c r="F16" s="6" t="inlineStr">
        <is>
          <t>0.6%</t>
        </is>
      </c>
    </row>
    <row r="17">
      <c r="A17" s="6" t="inlineStr">
        <is>
          <t>UK 7c Additional T2 SREP requirements (%)</t>
        </is>
      </c>
      <c r="B17" s="6" t="inlineStr">
        <is>
          <t>0.6%</t>
        </is>
      </c>
      <c r="C17" s="6" t="inlineStr">
        <is>
          <t>0.8%</t>
        </is>
      </c>
      <c r="D17" s="6" t="inlineStr">
        <is>
          <t>0.8%</t>
        </is>
      </c>
      <c r="E17" s="6" t="inlineStr">
        <is>
          <t>0.8%</t>
        </is>
      </c>
      <c r="F17" s="6" t="inlineStr">
        <is>
          <t>0.8%</t>
        </is>
      </c>
    </row>
    <row r="18">
      <c r="A18" s="6" t="inlineStr">
        <is>
          <t>UK 7d Total SREP own funds requirements (%)</t>
        </is>
      </c>
      <c r="B18" s="6" t="inlineStr">
        <is>
          <t>10.3%</t>
        </is>
      </c>
      <c r="C18" s="6" t="inlineStr">
        <is>
          <t>11.0%</t>
        </is>
      </c>
      <c r="D18" s="6" t="inlineStr">
        <is>
          <t>11.0%</t>
        </is>
      </c>
      <c r="E18" s="6" t="inlineStr">
        <is>
          <t>11.3%</t>
        </is>
      </c>
      <c r="F18" s="6" t="inlineStr">
        <is>
          <t>11.3%</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UK 8a Conservation buffer due to macro-prudential or systemic risk identified at the level of a Member State (%)</t>
        </is>
      </c>
      <c r="B21" s="6" t="inlineStr">
        <is>
          <t>0.0%</t>
        </is>
      </c>
      <c r="C21" s="6" t="inlineStr">
        <is>
          <t>0.0%</t>
        </is>
      </c>
      <c r="D21" s="6" t="inlineStr">
        <is>
          <t>0.0%</t>
        </is>
      </c>
      <c r="E21" s="6" t="inlineStr">
        <is>
          <t>0.0%</t>
        </is>
      </c>
      <c r="F21" s="6" t="inlineStr">
        <is>
          <t>0.0%</t>
        </is>
      </c>
    </row>
    <row r="22">
      <c r="A22" s="6" t="inlineStr">
        <is>
          <t>9 Institution specific countercyclical capital buffer (%)</t>
        </is>
      </c>
      <c r="B22" s="6" t="inlineStr">
        <is>
          <t>0.5%</t>
        </is>
      </c>
      <c r="C22" s="6" t="inlineStr">
        <is>
          <t>0.5%</t>
        </is>
      </c>
      <c r="D22" s="6" t="inlineStr">
        <is>
          <t>0.4%</t>
        </is>
      </c>
      <c r="E22" s="6" t="inlineStr">
        <is>
          <t>0.2%</t>
        </is>
      </c>
      <c r="F22" s="6" t="inlineStr">
        <is>
          <t>0.1%</t>
        </is>
      </c>
    </row>
    <row r="23">
      <c r="A23" s="6" t="inlineStr">
        <is>
          <t>UK 9a Systemic risk buffer (%)</t>
        </is>
      </c>
      <c r="B23" s="6" t="inlineStr">
        <is>
          <t>0.0%</t>
        </is>
      </c>
      <c r="C23" s="6" t="inlineStr">
        <is>
          <t>0.0%</t>
        </is>
      </c>
      <c r="D23" s="6" t="inlineStr">
        <is>
          <t>0.0%</t>
        </is>
      </c>
      <c r="E23" s="6" t="inlineStr">
        <is>
          <t>0.0%</t>
        </is>
      </c>
      <c r="F23" s="6" t="inlineStr">
        <is>
          <t>0.0%</t>
        </is>
      </c>
    </row>
    <row r="24">
      <c r="A24" s="6" t="inlineStr">
        <is>
          <t>10 Global Systemically Important Institution buffer (%)</t>
        </is>
      </c>
      <c r="B24" s="6" t="inlineStr">
        <is>
          <t>0.0%</t>
        </is>
      </c>
      <c r="C24" s="6" t="inlineStr">
        <is>
          <t>0.0%</t>
        </is>
      </c>
      <c r="D24" s="6" t="inlineStr">
        <is>
          <t>0.0%</t>
        </is>
      </c>
      <c r="E24" s="6" t="inlineStr">
        <is>
          <t>0.0%</t>
        </is>
      </c>
      <c r="F24" s="6" t="inlineStr">
        <is>
          <t>0.0%</t>
        </is>
      </c>
    </row>
    <row r="25">
      <c r="A25" s="6" t="inlineStr">
        <is>
          <t>UK 10a Other Systemically Important Institution buffer</t>
        </is>
      </c>
      <c r="B25" s="6" t="inlineStr">
        <is>
          <t>0.0%</t>
        </is>
      </c>
      <c r="C25" s="6" t="inlineStr">
        <is>
          <t>0.0%</t>
        </is>
      </c>
      <c r="D25" s="6" t="inlineStr">
        <is>
          <t>0.0%</t>
        </is>
      </c>
      <c r="E25" s="6" t="inlineStr">
        <is>
          <t>0.0%</t>
        </is>
      </c>
      <c r="F25" s="6" t="inlineStr">
        <is>
          <t>0.0%</t>
        </is>
      </c>
    </row>
    <row r="26">
      <c r="A26" s="6" t="inlineStr">
        <is>
          <t>11 Combined buffer requirement (%)</t>
        </is>
      </c>
      <c r="B26" s="6" t="inlineStr">
        <is>
          <t>3.0%</t>
        </is>
      </c>
      <c r="C26" s="6" t="inlineStr">
        <is>
          <t>3.0%</t>
        </is>
      </c>
      <c r="D26" s="6" t="inlineStr">
        <is>
          <t>2.9%</t>
        </is>
      </c>
      <c r="E26" s="6" t="inlineStr">
        <is>
          <t>2.7%</t>
        </is>
      </c>
      <c r="F26" s="6" t="inlineStr">
        <is>
          <t>2.6%</t>
        </is>
      </c>
    </row>
    <row r="27">
      <c r="A27" s="6" t="inlineStr">
        <is>
          <t>UK 11a Overall capital requirements (%)</t>
        </is>
      </c>
      <c r="B27" s="6" t="inlineStr">
        <is>
          <t>13.3%</t>
        </is>
      </c>
      <c r="C27" s="6" t="inlineStr">
        <is>
          <t>14.0%</t>
        </is>
      </c>
      <c r="D27" s="6" t="inlineStr">
        <is>
          <t>13.9%</t>
        </is>
      </c>
      <c r="E27" s="6" t="inlineStr">
        <is>
          <t>14.1%</t>
        </is>
      </c>
      <c r="F27" s="6" t="inlineStr">
        <is>
          <t>13.9%</t>
        </is>
      </c>
    </row>
    <row r="28">
      <c r="A28" s="6" t="inlineStr">
        <is>
          <t>12 CET1 available after meeting the total SREP own funds requirements (%)</t>
        </is>
      </c>
      <c r="B28" s="6" t="inlineStr">
        <is>
          <t>4.3%</t>
        </is>
      </c>
      <c r="C28" s="6" t="inlineStr">
        <is>
          <t>7.2%</t>
        </is>
      </c>
      <c r="D28" s="6" t="inlineStr">
        <is>
          <t>10.7%</t>
        </is>
      </c>
      <c r="E28" s="6" t="inlineStr">
        <is>
          <t>9.4%</t>
        </is>
      </c>
      <c r="F28" s="6" t="inlineStr">
        <is>
          <t>7.1%</t>
        </is>
      </c>
    </row>
    <row r="29">
      <c r="A29" s="5" t="inlineStr">
        <is>
          <t>Leverage ratio</t>
        </is>
      </c>
      <c r="B29" s="6" t="n"/>
      <c r="C29" s="6" t="n"/>
      <c r="D29" s="6" t="n"/>
      <c r="E29" s="6" t="n"/>
      <c r="F29" s="6" t="n"/>
    </row>
    <row r="30">
      <c r="A30" s="6" t="inlineStr">
        <is>
          <t>13 Total exposure measure excluding claims on central banks ($m)</t>
        </is>
      </c>
      <c r="B30" s="6" t="n">
        <v>35294.7</v>
      </c>
      <c r="C30" s="6" t="n">
        <v>26624</v>
      </c>
      <c r="D30" s="6" t="n">
        <v>23301</v>
      </c>
      <c r="E30" s="6" t="n">
        <v>20958.2</v>
      </c>
      <c r="F30" s="6" t="n">
        <v>25679.8</v>
      </c>
    </row>
    <row r="31">
      <c r="A31" s="6" t="inlineStr">
        <is>
          <t>14 Leverage ratio excluding claims on central banks (%)</t>
        </is>
      </c>
      <c r="B31" s="6" t="inlineStr">
        <is>
          <t>5.6%</t>
        </is>
      </c>
      <c r="C31" s="6" t="inlineStr">
        <is>
          <t>6.9%</t>
        </is>
      </c>
      <c r="D31" s="6" t="inlineStr">
        <is>
          <t>7.7%</t>
        </is>
      </c>
      <c r="E31" s="6" t="inlineStr">
        <is>
          <t>7.7%</t>
        </is>
      </c>
      <c r="F31" s="6" t="inlineStr">
        <is>
          <t>5.1%</t>
        </is>
      </c>
    </row>
    <row r="32">
      <c r="A32" s="5" t="inlineStr">
        <is>
          <t>Liquidity Coverage Ratio</t>
        </is>
      </c>
      <c r="B32" s="6" t="n"/>
      <c r="C32" s="6" t="n"/>
      <c r="D32" s="6" t="n"/>
      <c r="E32" s="6" t="n"/>
      <c r="F32" s="6" t="n"/>
    </row>
    <row r="33">
      <c r="A33" s="6" t="inlineStr">
        <is>
          <t>15 Total high-quality liquid assets (HQLA) (Weighted value - average) ($m)</t>
        </is>
      </c>
      <c r="B33" s="6" t="n">
        <v>5294.2</v>
      </c>
      <c r="C33" s="6" t="n">
        <v>5216.2</v>
      </c>
      <c r="D33" s="6" t="n">
        <v>5704.2</v>
      </c>
      <c r="E33" s="6" t="n">
        <v>6280.5</v>
      </c>
      <c r="F33" s="6" t="n">
        <v>5026.7</v>
      </c>
    </row>
    <row r="34">
      <c r="A34" s="6" t="inlineStr">
        <is>
          <t>UK 16a Cash outflows - Total weighted value ($m)</t>
        </is>
      </c>
      <c r="B34" s="6" t="n">
        <v>11109</v>
      </c>
      <c r="C34" s="6" t="n">
        <v>8275.1</v>
      </c>
      <c r="D34" s="6" t="n">
        <v>8049.2</v>
      </c>
      <c r="E34" s="6" t="n">
        <v>8343</v>
      </c>
      <c r="F34" s="6" t="n">
        <v>9199.299999999999</v>
      </c>
    </row>
    <row r="35">
      <c r="A35" s="6" t="inlineStr">
        <is>
          <t>UK 16b Cash inflows - Total weighted value ($m)</t>
        </is>
      </c>
      <c r="B35" s="6" t="n">
        <v>9539.9</v>
      </c>
      <c r="C35" s="6" t="n">
        <v>6036.4</v>
      </c>
      <c r="D35" s="6" t="n">
        <v>4559.5</v>
      </c>
      <c r="E35" s="6" t="n">
        <v>5656.9</v>
      </c>
      <c r="F35" s="6" t="n">
        <v>7290.9</v>
      </c>
    </row>
    <row r="36">
      <c r="A36" s="6" t="inlineStr">
        <is>
          <t>16 Total net cash outflows (adjusted value) ($m)</t>
        </is>
      </c>
      <c r="B36" s="6" t="n">
        <v>2777.2</v>
      </c>
      <c r="C36" s="6" t="n">
        <v>2422.5</v>
      </c>
      <c r="D36" s="6" t="n">
        <v>3561.5</v>
      </c>
      <c r="E36" s="6" t="n">
        <v>2926.2</v>
      </c>
      <c r="F36" s="6" t="n">
        <v>2425.2</v>
      </c>
    </row>
    <row r="37">
      <c r="A37" s="6" t="inlineStr">
        <is>
          <t>17 Liquidity coverage ratio (%)</t>
        </is>
      </c>
      <c r="B37" s="6" t="inlineStr">
        <is>
          <t>197.3%</t>
        </is>
      </c>
      <c r="C37" s="6" t="inlineStr">
        <is>
          <t>226.7%</t>
        </is>
      </c>
      <c r="D37" s="6" t="inlineStr">
        <is>
          <t>165.3%</t>
        </is>
      </c>
      <c r="E37" s="6" t="inlineStr">
        <is>
          <t>206.0%</t>
        </is>
      </c>
      <c r="F37" s="6" t="inlineStr">
        <is>
          <t>207.3%</t>
        </is>
      </c>
    </row>
    <row r="38">
      <c r="A38" s="5" t="inlineStr">
        <is>
          <t>Net Stable Funding Ratio</t>
        </is>
      </c>
      <c r="B38" s="6" t="n"/>
      <c r="C38" s="6" t="n"/>
      <c r="D38" s="6" t="n"/>
      <c r="E38" s="6" t="n"/>
      <c r="F38" s="6" t="n"/>
    </row>
    <row r="39">
      <c r="A39" s="6" t="inlineStr">
        <is>
          <t>18 Total available stable funding ($m)</t>
        </is>
      </c>
      <c r="B39" s="6" t="n">
        <v>9393</v>
      </c>
      <c r="C39" s="6" t="n">
        <v>8348.6</v>
      </c>
      <c r="D39" s="6" t="n">
        <v>7963.4</v>
      </c>
      <c r="E39" s="6" t="n">
        <v>8417.6</v>
      </c>
      <c r="F39" s="6" t="n">
        <v>8474.799999999999</v>
      </c>
    </row>
    <row r="40">
      <c r="A40" s="6" t="inlineStr">
        <is>
          <t>19 Total required stable funding ($m)</t>
        </is>
      </c>
      <c r="B40" s="6" t="n">
        <v>7736.7</v>
      </c>
      <c r="C40" s="6" t="n">
        <v>6118.4</v>
      </c>
      <c r="D40" s="6" t="n">
        <v>4462</v>
      </c>
      <c r="E40" s="6" t="n">
        <v>5266.3</v>
      </c>
      <c r="F40" s="6" t="n">
        <v>6955.7</v>
      </c>
    </row>
    <row r="41">
      <c r="A41" s="6" t="inlineStr">
        <is>
          <t>20 NSFR ratio (%)</t>
        </is>
      </c>
      <c r="B41" s="6" t="inlineStr">
        <is>
          <t>122.8%</t>
        </is>
      </c>
      <c r="C41" s="6" t="inlineStr">
        <is>
          <t>136.4%</t>
        </is>
      </c>
      <c r="D41" s="6" t="inlineStr">
        <is>
          <t>183.3%</t>
        </is>
      </c>
      <c r="E41" s="6" t="inlineStr">
        <is>
          <t>163.8%</t>
        </is>
      </c>
      <c r="F41" s="6" t="inlineStr">
        <is>
          <t>121.8%</t>
        </is>
      </c>
    </row>
    <row r="43" ht="377" customHeight="1">
      <c r="A43" s="8" t="inlineStr">
        <is>
          <t>Sources — ICBC Standard Bank Plc's own 'UK KM1 - Key metrics template', reproduced as published. ICBCS Group (consolidated basis), USD millions, the presentation currency of the template itself.
FY2025 &amp; FY2024 column-header years 2025/2024: Pillar 3 Disclosures 2025, p.5 (Table: UK KM1 - Key metrics template, in section 'Key metrics and overview of risk-weighted exposure amounts') — https://v.icbc.com.cn/userfiles/resources/icbc/haiwai/standardbank/download/2023/2025pillar3disclosures.pdf
FY2024: Pillar 3 Disclosures 2024, p.5 (UK KM1), its OWN reporting year — https://v.icbc.com.cn/userfiles/resources/icbc/haiwai/standardbank/download/2023/2024pillar3.pdf
FY2023: Pillar 3 Disclosures 2023, p.5 (UK KM1), its OWN reporting year — https://v.icbc.com.cn/userfiles/resources/icbc/haiwai/standardbank/download/2023/2023pillar3.pdf
FY2022: Pillar 3 Disclosures 2022, p.5 (UK KM1), its OWN reporting year — https://v.icbc.com.cn/userfiles/resources/icbc/haiwai/standardbank/download/2023/2022pillar3re-publish.pdf
FY2021: NOT from a FY2021 KM1 — the Pillar 3 Disclosures 2021 document prints NO UK KM1 template at all (see the sheet note). The FY2021 column here is the 2022 edition's own '31.12.2021' COMPARATIVE column, p.5 — https://v.icbc.com.cn/userfiles/resources/icbc/haiwai/standardbank/download/2023/2022pillar3re-publish.pdf
Each of FY2025/FY2024/FY2023/FY2022 is taken from the edition in which that year is the REPORTING year, not from a later edition's comparative. Where both were available they were compared and agree digit for digit (e.g. the 2025 edition's 2024 comparative reproduces the 2024 edition's own 2024 column exactly, and the same holds for 2023 in the 2024 edition and 2022 in the 2023 edition).
Column-header style is the bank's own and changes between editions (the 2022 edition heads its columns '31.12.2022 / 31.12.2021'; the 2023, 2024 and 2025 editions use bare years). Every row number, row label, row order and printed precision below is the bank's own.
FY2020 AND EARLIER ARE BLANK BECAUSE THE TEMPLATE DOES NOT EXIST IN THOSE EDITIONS, not because it was not found. All eleven ICBC Standard Bank Pillar 3 editions 2015-2025 were downloaded and searched this session. The 2015-2021 editions print no UK KM1 template: what they do print is 'Table 9: IFRS9 Transitionals', a DIFFERENT prescribed template (the IFRS9-FL transitional-arrangements disclosure). It carries seventeen of its own row numbers covering CET1/Tier 1/Total capital, RWAs, the three capital ratios and the leverage ratio, each also shown 'as if IFRS 9 transitional arrangements had not been applied' — but it has NO SREP rows, no buffer rows, no LCR rows and no NSFR rows. On the row-set test it is not the KM1 template, and mapping its rows onto KM1 row numbers would invent a correspondence the bank never published. Those years' figures are on the eleven single-metric sheets instead, sourced from that table and from Table 5 (Capital Resources), as each of those sheets' own notes records.
FY2021 IS FILLED FROM A COMPARATIVE, AND IS THE ONLY COLUMN ON THIS SHEET THAT IS. The FY2021 edition prints no KM1 at all (above), so there is no own-edition table for that year to displace; the column is the 2022 edition's own 31.12.2021 comparative. It is independently corroborated by the 2021 edition's own Table 9, which prints the same CET1 capital (1,148.4), Tier 1 capital (1,308.4), Total capital (1,558.4), RWAs (8,526.3) and leverage exposure measure (25,679.8) to the same decimal.
PRECISION DIFFERS BETWEEN THE TWO FY2021 SOURCES AND IS REPRODUCED, NOT RECONCILED. The 2021 edition's Table 9 prints the FY2021 ratios to two decimals (CET1 13.47%, Tier 1 15.35%, Total capital 18.28%, leverage 5.09%) while the 2022 edition's KM1 comparative rounds the same ratios to one (13.5%, 15.4%, 18.3%, 5.1%). This sheet shows the KM1 comparative as the KM1 template printed it; the single-metric sheets show the 2021 edition's own two-decimal figures. Both are the bank's own numbers at different printed precision, and each is left exactly as the document that carries it printed it.
FY2021 NSFR: the 2022 edition's KM1 prints a 31.12.2021 NSFR comparative (121.8%, with available/required stable funding of 8,474.8 / 6,955.7), footnoted as SPOT values because the NSFR went live on 1 January 2022. The NSFR sheet previously said no FY2021 figure was available; since 2026-09-19 (GA-020) it carries these same three figures from this same page, with the spot-basis caveat, so the two sheets now agree.</t>
        </is>
      </c>
    </row>
    <row r="45" ht="330" customHeight="1">
      <c r="A45" s="8" t="inlineStr">
        <is>
          <t>(continued)
Rows UK 8a, UK 9a, 10 and UK 10a are printed as an explicit '0.0%' in every edition from 2022 onward, not as a dash, so they are recorded as zeros. Rows UK 14a-14e are absent from every edition: each one states in a footnote that they 'have not been disclosed as these are only applicable to LREQ firms', and the 2025 edition adds that ICBCS is out of scope of the PRA's binding leverage ratio requirement by way of a modification by consent. That is a stated exclusion, not a gap.</t>
        </is>
      </c>
    </row>
  </sheetData>
  <mergeCells count="2">
    <mergeCell ref="A45:F45"/>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CET1 Capital</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(CET1) capital</t>
        </is>
      </c>
      <c r="B4" s="6" t="n">
        <v>1819.5</v>
      </c>
      <c r="C4" s="6" t="n">
        <v>1676.1</v>
      </c>
      <c r="D4" s="6" t="n">
        <v>1629.1</v>
      </c>
      <c r="E4" s="6" t="n">
        <v>1454.6</v>
      </c>
      <c r="F4" s="6" t="n">
        <v>1148.4</v>
      </c>
      <c r="G4" s="6" t="n">
        <v>1072.9</v>
      </c>
      <c r="H4" s="6" t="n">
        <v>948.3</v>
      </c>
      <c r="I4" s="6" t="n">
        <v>1204</v>
      </c>
      <c r="J4" s="6" t="n">
        <v>1229.5</v>
      </c>
      <c r="K4" s="6" t="n">
        <v>928.6</v>
      </c>
      <c r="L4" s="6" t="n">
        <v>1051</v>
      </c>
    </row>
    <row r="5" ht="30" customHeight="1">
      <c r="A5" s="7" t="inlineStr">
        <is>
          <t>Note: FY2021-FY2015 figures are each year's own 'Total Common Equity Tier I' from that year's Table 5 (Capital Resources), the transitional-basis equivalent of the UK KM1 template row used from FY2022 onward. Additional Tier 1 capital did not exist before a $160.0m issuance to ICBC in December 2019, so CET1 capital equals Tier 1 capital exactly for FY2015-FY2018.</t>
        </is>
      </c>
    </row>
    <row r="7" ht="169" customHeight="1">
      <c r="A7"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p.26 (Table 5: ICBCS - Capital Resources) — https://v.icbc.com.cn/userfiles/Resources/ICBC/haiwai/StandardBank/Download/2021/2020Pillar3.pdf
FY2019: ICBC Standard Bank Pillar 3 Disclosures 2019, p.27 (Table 5: ICBCS - Capital Resources) — https://v.icbc.com.cn/userfiles/Resources/ICBC/haiwai/StandardBank/Download/2020/Pillar3Disclosures19.pdf
FY2018: ICBC Standard Bank Pillar 3 Disclosures 2018, p.25 (Table 5: ICBCS - Capital Resources) — https://v.icbc.com.cn/userfiles/Resources/ICBC/haiwai/StandardBank/Download/2019/Pillar_3_Disclosures_2018.pdf
FY2017: ICBC Standard Bank Pillar 3 Disclosures 2017, p.25 (Table 5: ICBCS - Capital Resources) — https://v.icbc.com.cn/userfiles/Resources/ICBC/haiwai/StandardBank/Download/2019/Pillar_3_Disclosures_2017.pdf
FY2016: ICBC Standard Bank Pillar 3 Disclosures 2016, p.23 (Table 5: ICBCS - Capital Resources) — https://v.icbc.com.cn/userfiles/Resources/ICBC/haiwai/StandardBank/Download/2019/Pillar3Disclosures2016.pdf
FY2015: ICBC Standard Bank Pillar 3 Disclosures 2015, p.25 (Table 5: ICBCS - Capital Resources)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2">
    <mergeCell ref="A5:L5"/>
    <mergeCell ref="A7:L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CET1 Ratio</t>
        </is>
      </c>
    </row>
    <row r="2">
      <c r="A2" s="2" t="inlineStr">
        <is>
          <t>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(CET1) ratio</t>
        </is>
      </c>
      <c r="B4" s="6" t="inlineStr">
        <is>
          <t>12.2%</t>
        </is>
      </c>
      <c r="C4" s="6" t="inlineStr">
        <is>
          <t>14.6%</t>
        </is>
      </c>
      <c r="D4" s="6" t="inlineStr">
        <is>
          <t>16.9%</t>
        </is>
      </c>
      <c r="E4" s="6" t="inlineStr">
        <is>
          <t>15.7%</t>
        </is>
      </c>
      <c r="F4" s="6" t="inlineStr">
        <is>
          <t>13.47%</t>
        </is>
      </c>
      <c r="G4" s="6" t="inlineStr">
        <is>
          <t>13.21%</t>
        </is>
      </c>
      <c r="H4" s="6" t="inlineStr">
        <is>
          <t>13.64%</t>
        </is>
      </c>
      <c r="I4" s="6" t="inlineStr">
        <is>
          <t>18.52%</t>
        </is>
      </c>
      <c r="J4" s="6" t="inlineStr">
        <is>
          <t>15.59%</t>
        </is>
      </c>
      <c r="K4" s="6" t="inlineStr">
        <is>
          <t>14.6%</t>
        </is>
      </c>
      <c r="L4" s="6" t="inlineStr">
        <is>
          <t>13.87%</t>
        </is>
      </c>
    </row>
    <row r="6" ht="169" customHeight="1">
      <c r="A6"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p.26 (Table 5: ICBCS - Capital Resources) — https://v.icbc.com.cn/userfiles/Resources/ICBC/haiwai/StandardBank/Download/2021/2020Pillar3.pdf
FY2019: ICBC Standard Bank Pillar 3 Disclosures 2019, p.27 (Table 5: ICBCS - Capital Resources) — https://v.icbc.com.cn/userfiles/Resources/ICBC/haiwai/StandardBank/Download/2020/Pillar3Disclosures19.pdf
FY2018: ICBC Standard Bank Pillar 3 Disclosures 2018, p.25 (Table 5: ICBCS - Capital Resources) — https://v.icbc.com.cn/userfiles/Resources/ICBC/haiwai/StandardBank/Download/2019/Pillar_3_Disclosures_2018.pdf
FY2017: ICBC Standard Bank Pillar 3 Disclosures 2017, p.25 (Table 5: ICBCS - Capital Resources) — https://v.icbc.com.cn/userfiles/Resources/ICBC/haiwai/StandardBank/Download/2019/Pillar_3_Disclosures_2017.pdf
FY2016: ICBC Standard Bank Pillar 3 Disclosures 2016, p.23 (Table 5: ICBCS - Capital Resources) — https://v.icbc.com.cn/userfiles/Resources/ICBC/haiwai/StandardBank/Download/2019/Pillar3Disclosures2016.pdf
FY2015: ICBC Standard Bank Pillar 3 Disclosures 2015, p.25 (Table 5: ICBCS - Capital Resources)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1">
    <mergeCell ref="A6:L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Tier 1 Capital</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t>
        </is>
      </c>
      <c r="B4" s="6" t="n">
        <v>1979.5</v>
      </c>
      <c r="C4" s="6" t="n">
        <v>1836.1</v>
      </c>
      <c r="D4" s="6" t="n">
        <v>1789.1</v>
      </c>
      <c r="E4" s="6" t="n">
        <v>1614.6</v>
      </c>
      <c r="F4" s="6" t="n">
        <v>1308.4</v>
      </c>
      <c r="G4" s="6" t="n">
        <v>1232.9</v>
      </c>
      <c r="H4" s="6" t="n">
        <v>1108.3</v>
      </c>
      <c r="I4" s="6" t="n">
        <v>1204</v>
      </c>
      <c r="J4" s="6" t="n">
        <v>1229.5</v>
      </c>
      <c r="K4" s="6" t="n">
        <v>928.6</v>
      </c>
      <c r="L4" s="6" t="n">
        <v>1051</v>
      </c>
    </row>
    <row r="6" ht="169" customHeight="1">
      <c r="A6"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p.26 (Table 5: ICBCS - Capital Resources) — https://v.icbc.com.cn/userfiles/Resources/ICBC/haiwai/StandardBank/Download/2021/2020Pillar3.pdf
FY2019: ICBC Standard Bank Pillar 3 Disclosures 2019, p.27 (Table 5: ICBCS - Capital Resources) — https://v.icbc.com.cn/userfiles/Resources/ICBC/haiwai/StandardBank/Download/2020/Pillar3Disclosures19.pdf
FY2018: ICBC Standard Bank Pillar 3 Disclosures 2018, p.25 (Table 5: ICBCS - Capital Resources) — https://v.icbc.com.cn/userfiles/Resources/ICBC/haiwai/StandardBank/Download/2019/Pillar_3_Disclosures_2018.pdf
FY2017: ICBC Standard Bank Pillar 3 Disclosures 2017, p.25 (Table 5: ICBCS - Capital Resources) — https://v.icbc.com.cn/userfiles/Resources/ICBC/haiwai/StandardBank/Download/2019/Pillar_3_Disclosures_2017.pdf
FY2016: ICBC Standard Bank Pillar 3 Disclosures 2016, p.23 (Table 5: ICBCS - Capital Resources) — https://v.icbc.com.cn/userfiles/Resources/ICBC/haiwai/StandardBank/Download/2019/Pillar3Disclosures2016.pdf
FY2015: ICBC Standard Bank Pillar 3 Disclosures 2015, p.25 (Table 5: ICBCS - Capital Resources)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1">
    <mergeCell ref="A6:L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Tier 1 Ratio</t>
        </is>
      </c>
    </row>
    <row r="2">
      <c r="A2" s="2" t="inlineStr">
        <is>
          <t>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ratio</t>
        </is>
      </c>
      <c r="B4" s="6" t="inlineStr">
        <is>
          <t>13.3%</t>
        </is>
      </c>
      <c r="C4" s="6" t="inlineStr">
        <is>
          <t>16.0%</t>
        </is>
      </c>
      <c r="D4" s="6" t="inlineStr">
        <is>
          <t>18.5%</t>
        </is>
      </c>
      <c r="E4" s="6" t="inlineStr">
        <is>
          <t>17.5%</t>
        </is>
      </c>
      <c r="F4" s="6" t="inlineStr">
        <is>
          <t>15.35%</t>
        </is>
      </c>
      <c r="G4" s="6" t="inlineStr">
        <is>
          <t>15.18%</t>
        </is>
      </c>
      <c r="H4" s="6" t="inlineStr">
        <is>
          <t>15.94%</t>
        </is>
      </c>
      <c r="I4" s="6" t="inlineStr">
        <is>
          <t>18.52%</t>
        </is>
      </c>
      <c r="J4" s="6" t="inlineStr">
        <is>
          <t>15.59%</t>
        </is>
      </c>
      <c r="K4" s="6" t="inlineStr">
        <is>
          <t>14.6%</t>
        </is>
      </c>
      <c r="L4" s="6" t="inlineStr">
        <is>
          <t>13.9%</t>
        </is>
      </c>
    </row>
    <row r="5" ht="30" customHeight="1">
      <c r="A5" s="7" t="inlineStr">
        <is>
          <t>Note: FY2021 figure is 'Tier 1 Risk Asset Ratio' from Table 5, the transitional-basis equivalent of the later UK KM1 template row; same for FY2020-FY2015. Tier 1 ratio equals the CET1 ratio exactly for FY2015-FY2018 (no Additional Tier 1 capital existed yet).</t>
        </is>
      </c>
    </row>
    <row r="7" ht="169" customHeight="1">
      <c r="A7"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p.26 (Table 5: ICBCS - Capital Resources) — https://v.icbc.com.cn/userfiles/Resources/ICBC/haiwai/StandardBank/Download/2021/2020Pillar3.pdf
FY2019: ICBC Standard Bank Pillar 3 Disclosures 2019, p.27 (Table 5: ICBCS - Capital Resources) — https://v.icbc.com.cn/userfiles/Resources/ICBC/haiwai/StandardBank/Download/2020/Pillar3Disclosures19.pdf
FY2018: ICBC Standard Bank Pillar 3 Disclosures 2018, p.25 (Table 5: ICBCS - Capital Resources) — https://v.icbc.com.cn/userfiles/Resources/ICBC/haiwai/StandardBank/Download/2019/Pillar_3_Disclosures_2018.pdf
FY2017: ICBC Standard Bank Pillar 3 Disclosures 2017, p.25 (Table 5: ICBCS - Capital Resources) — https://v.icbc.com.cn/userfiles/Resources/ICBC/haiwai/StandardBank/Download/2019/Pillar_3_Disclosures_2017.pdf
FY2016: ICBC Standard Bank Pillar 3 Disclosures 2016, p.23 (Table 5: ICBCS - Capital Resources) — https://v.icbc.com.cn/userfiles/Resources/ICBC/haiwai/StandardBank/Download/2019/Pillar3Disclosures2016.pdf
FY2015: ICBC Standard Bank Pillar 3 Disclosures 2015, p.25 (Table 5: ICBCS - Capital Resources)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2">
    <mergeCell ref="A5:L5"/>
    <mergeCell ref="A7:L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Total Capital</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t>
        </is>
      </c>
      <c r="B4" s="6" t="n">
        <v>2229.5</v>
      </c>
      <c r="C4" s="6" t="n">
        <v>2086.1</v>
      </c>
      <c r="D4" s="6" t="n">
        <v>2039.1</v>
      </c>
      <c r="E4" s="6" t="n">
        <v>1864.6</v>
      </c>
      <c r="F4" s="6" t="n">
        <v>1558.4</v>
      </c>
      <c r="G4" s="6" t="n">
        <v>1482.9</v>
      </c>
      <c r="H4" s="6" t="n">
        <v>1358.3</v>
      </c>
      <c r="I4" s="6" t="n">
        <v>1446.1</v>
      </c>
      <c r="J4" s="6" t="n">
        <v>1575.4</v>
      </c>
      <c r="K4" s="6" t="n">
        <v>1227.3</v>
      </c>
      <c r="L4" s="6" t="n">
        <v>1449.6</v>
      </c>
    </row>
    <row r="5" ht="30" customHeight="1">
      <c r="A5" s="7" t="inlineStr">
        <is>
          <t>Note: FY2021-FY2015 figures are each year's own 'Total eligible capital' from that year's Table 5, the transitional-basis equivalent of the later UK KM1 template row.</t>
        </is>
      </c>
    </row>
    <row r="7" ht="169" customHeight="1">
      <c r="A7"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p.26 (Table 5: ICBCS - Capital Resources) — https://v.icbc.com.cn/userfiles/Resources/ICBC/haiwai/StandardBank/Download/2021/2020Pillar3.pdf
FY2019: ICBC Standard Bank Pillar 3 Disclosures 2019, p.27 (Table 5: ICBCS - Capital Resources) — https://v.icbc.com.cn/userfiles/Resources/ICBC/haiwai/StandardBank/Download/2020/Pillar3Disclosures19.pdf
FY2018: ICBC Standard Bank Pillar 3 Disclosures 2018, p.25 (Table 5: ICBCS - Capital Resources) — https://v.icbc.com.cn/userfiles/Resources/ICBC/haiwai/StandardBank/Download/2019/Pillar_3_Disclosures_2018.pdf
FY2017: ICBC Standard Bank Pillar 3 Disclosures 2017, p.25 (Table 5: ICBCS - Capital Resources) — https://v.icbc.com.cn/userfiles/Resources/ICBC/haiwai/StandardBank/Download/2019/Pillar_3_Disclosures_2017.pdf
FY2016: ICBC Standard Bank Pillar 3 Disclosures 2016, p.23 (Table 5: ICBCS - Capital Resources) — https://v.icbc.com.cn/userfiles/Resources/ICBC/haiwai/StandardBank/Download/2019/Pillar3Disclosures2016.pdf
FY2015: ICBC Standard Bank Pillar 3 Disclosures 2015, p.25 (Table 5: ICBCS - Capital Resources)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2">
    <mergeCell ref="A5:L5"/>
    <mergeCell ref="A7:L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Total Capital Ratio</t>
        </is>
      </c>
    </row>
    <row r="2">
      <c r="A2" s="2" t="inlineStr">
        <is>
          <t>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 ratio</t>
        </is>
      </c>
      <c r="B4" s="6" t="inlineStr">
        <is>
          <t>15.0%</t>
        </is>
      </c>
      <c r="C4" s="6" t="inlineStr">
        <is>
          <t>18.1%</t>
        </is>
      </c>
      <c r="D4" s="6" t="inlineStr">
        <is>
          <t>21.1%</t>
        </is>
      </c>
      <c r="E4" s="6" t="inlineStr">
        <is>
          <t>20.2%</t>
        </is>
      </c>
      <c r="F4" s="6" t="inlineStr">
        <is>
          <t>18.28%</t>
        </is>
      </c>
      <c r="G4" s="6" t="inlineStr">
        <is>
          <t>18.26%</t>
        </is>
      </c>
      <c r="H4" s="6" t="inlineStr">
        <is>
          <t>19.54%</t>
        </is>
      </c>
      <c r="I4" s="6" t="inlineStr">
        <is>
          <t>22.25%</t>
        </is>
      </c>
      <c r="J4" s="6" t="inlineStr">
        <is>
          <t>19.97%</t>
        </is>
      </c>
      <c r="K4" s="6" t="inlineStr">
        <is>
          <t>19.3%</t>
        </is>
      </c>
      <c r="L4" s="6" t="inlineStr">
        <is>
          <t>19.13%</t>
        </is>
      </c>
    </row>
    <row r="5" ht="30" customHeight="1">
      <c r="A5" s="7" t="inlineStr">
        <is>
          <t>Note: FY2021-FY2015 figures are each year's own 'Capital Adequacy ratio' from that year's Table 5, the transitional-basis equivalent of the later UK KM1 template row.</t>
        </is>
      </c>
    </row>
    <row r="7" ht="169" customHeight="1">
      <c r="A7"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p.26 (Table 5: ICBCS - Capital Resources) — https://v.icbc.com.cn/userfiles/Resources/ICBC/haiwai/StandardBank/Download/2021/2020Pillar3.pdf
FY2019: ICBC Standard Bank Pillar 3 Disclosures 2019, p.27 (Table 5: ICBCS - Capital Resources) — https://v.icbc.com.cn/userfiles/Resources/ICBC/haiwai/StandardBank/Download/2020/Pillar3Disclosures19.pdf
FY2018: ICBC Standard Bank Pillar 3 Disclosures 2018, p.25 (Table 5: ICBCS - Capital Resources) — https://v.icbc.com.cn/userfiles/Resources/ICBC/haiwai/StandardBank/Download/2019/Pillar_3_Disclosures_2018.pdf
FY2017: ICBC Standard Bank Pillar 3 Disclosures 2017, p.25 (Table 5: ICBCS - Capital Resources) — https://v.icbc.com.cn/userfiles/Resources/ICBC/haiwai/StandardBank/Download/2019/Pillar_3_Disclosures_2017.pdf
FY2016: ICBC Standard Bank Pillar 3 Disclosures 2016, p.23 (Table 5: ICBCS - Capital Resources) — https://v.icbc.com.cn/userfiles/Resources/ICBC/haiwai/StandardBank/Download/2019/Pillar3Disclosures2016.pdf
FY2015: ICBC Standard Bank Pillar 3 Disclosures 2015, p.25 (Table 5: ICBCS - Capital Resources)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2">
    <mergeCell ref="A5:L5"/>
    <mergeCell ref="A7:L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Total RWAs</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risk-weighted exposure amount</t>
        </is>
      </c>
      <c r="B4" s="6" t="n">
        <v>14902.7</v>
      </c>
      <c r="C4" s="6" t="n">
        <v>11500.1</v>
      </c>
      <c r="D4" s="6" t="n">
        <v>9653.200000000001</v>
      </c>
      <c r="E4" s="6" t="n">
        <v>9251</v>
      </c>
      <c r="F4" s="6" t="n">
        <v>8526.299999999999</v>
      </c>
      <c r="G4" s="6" t="n">
        <v>8122.8</v>
      </c>
      <c r="H4" s="6" t="n">
        <v>6952.8</v>
      </c>
      <c r="I4" s="6" t="n">
        <v>6500.2</v>
      </c>
      <c r="J4" s="6" t="n">
        <v>7887.7</v>
      </c>
      <c r="K4" s="6" t="n">
        <v>6362.8</v>
      </c>
      <c r="L4" s="6" t="n">
        <v>7579.7</v>
      </c>
    </row>
    <row r="6" ht="169" customHeight="1">
      <c r="A6"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p.26 (Table 5: ICBCS - Capital Resources) — https://v.icbc.com.cn/userfiles/Resources/ICBC/haiwai/StandardBank/Download/2021/2020Pillar3.pdf
FY2019: ICBC Standard Bank Pillar 3 Disclosures 2019, p.27 (Table 5: ICBCS - Capital Resources) — https://v.icbc.com.cn/userfiles/Resources/ICBC/haiwai/StandardBank/Download/2020/Pillar3Disclosures19.pdf
FY2018: ICBC Standard Bank Pillar 3 Disclosures 2018, p.25 (Table 5: ICBCS - Capital Resources) — https://v.icbc.com.cn/userfiles/Resources/ICBC/haiwai/StandardBank/Download/2019/Pillar_3_Disclosures_2018.pdf
FY2017: ICBC Standard Bank Pillar 3 Disclosures 2017, p.25 (Table 5: ICBCS - Capital Resources) — https://v.icbc.com.cn/userfiles/Resources/ICBC/haiwai/StandardBank/Download/2019/Pillar_3_Disclosures_2017.pdf
FY2016: ICBC Standard Bank Pillar 3 Disclosures 2016, p.23 (Table 5: ICBCS - Capital Resources) — https://v.icbc.com.cn/userfiles/Resources/ICBC/haiwai/StandardBank/Download/2019/Pillar3Disclosures2016.pdf
FY2015: ICBC Standard Bank Pillar 3 Disclosures 2015, p.25 (Table 5: ICBCS - Capital Resources)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1">
    <mergeCell ref="A6:L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RWA Breakdown</t>
        </is>
      </c>
    </row>
    <row r="2">
      <c r="A2" s="2" t="inlineStr">
        <is>
          <t>ICBC Standard Bank Group (consolidated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row>
    <row r="4">
      <c r="A4" s="5" t="inlineStr">
        <is>
          <t>Risk-weighted exposure amounts by category</t>
        </is>
      </c>
      <c r="B4" s="6" t="n"/>
      <c r="C4" s="6" t="n"/>
      <c r="D4" s="6" t="n"/>
      <c r="E4" s="6" t="n"/>
      <c r="F4" s="6" t="n"/>
      <c r="G4" s="6" t="n"/>
      <c r="H4" s="6" t="n"/>
      <c r="I4" s="6" t="n"/>
      <c r="J4" s="6" t="n"/>
      <c r="K4" s="6" t="n"/>
      <c r="L4" s="6" t="n"/>
    </row>
    <row r="5">
      <c r="A5" s="6" t="inlineStr">
        <is>
          <t>Credit risk (excluding CCR)</t>
        </is>
      </c>
      <c r="B5" s="6" t="n">
        <v>3495</v>
      </c>
      <c r="C5" s="6" t="n">
        <v>2736.3</v>
      </c>
      <c r="D5" s="6" t="n">
        <v>2692.2</v>
      </c>
      <c r="E5" s="6" t="n">
        <v>1770.9</v>
      </c>
      <c r="F5" s="6" t="n"/>
      <c r="G5" s="6" t="n"/>
      <c r="H5" s="6" t="n"/>
      <c r="I5" s="6" t="n"/>
      <c r="J5" s="6" t="n"/>
      <c r="K5" s="6" t="n"/>
      <c r="L5" s="6" t="n"/>
    </row>
    <row r="6">
      <c r="A6" s="6" t="inlineStr">
        <is>
          <t>Credit risk, counterparty credit risk and dilution risk, combined (pre-UK-OV1 disclosure format used FY2015-FY2021 - not separable into the components above; derived from each year's own capital requirement ÷8%)</t>
        </is>
      </c>
      <c r="B6" s="6" t="n"/>
      <c r="C6" s="6" t="n"/>
      <c r="D6" s="6" t="n"/>
      <c r="E6" s="6" t="n"/>
      <c r="F6" s="6" t="n">
        <v>3830</v>
      </c>
      <c r="G6" s="6" t="n">
        <v>3565</v>
      </c>
      <c r="H6" s="6" t="n">
        <v>3590</v>
      </c>
      <c r="I6" s="6" t="n">
        <v>3116.25</v>
      </c>
      <c r="J6" s="6" t="n">
        <v>3396.25</v>
      </c>
      <c r="K6" s="6" t="n">
        <v>2772.5</v>
      </c>
      <c r="L6" s="6" t="n">
        <v>2832.5</v>
      </c>
    </row>
    <row r="7">
      <c r="A7" s="6" t="inlineStr">
        <is>
          <t>Counterparty credit risk (CCR)</t>
        </is>
      </c>
      <c r="B7" s="6" t="n">
        <v>5023.6</v>
      </c>
      <c r="C7" s="6" t="n">
        <v>2843.7</v>
      </c>
      <c r="D7" s="6" t="n">
        <v>2109.9</v>
      </c>
      <c r="E7" s="6" t="n">
        <v>1854</v>
      </c>
      <c r="F7" s="6" t="n"/>
      <c r="G7" s="6" t="n"/>
      <c r="H7" s="6" t="n"/>
      <c r="I7" s="6" t="n"/>
      <c r="J7" s="6" t="n"/>
      <c r="K7" s="6" t="n"/>
      <c r="L7" s="6" t="n"/>
    </row>
    <row r="8">
      <c r="A8" s="6" t="inlineStr">
        <is>
          <t>Of which credit valuation adjustment (CVA)</t>
        </is>
      </c>
      <c r="B8" s="6" t="n">
        <v>460.4</v>
      </c>
      <c r="C8" s="6" t="n">
        <v>276</v>
      </c>
      <c r="D8" s="6" t="n">
        <v>219.9</v>
      </c>
      <c r="E8" s="6" t="n">
        <v>243.4</v>
      </c>
      <c r="F8" s="6" t="n">
        <v>193.75</v>
      </c>
      <c r="G8" s="6" t="n">
        <v>286.25</v>
      </c>
      <c r="H8" s="6" t="n">
        <v>278.75</v>
      </c>
      <c r="I8" s="6" t="n">
        <v>601.25</v>
      </c>
      <c r="J8" s="6" t="n">
        <v>312.5</v>
      </c>
      <c r="K8" s="6" t="n">
        <v>246.25</v>
      </c>
      <c r="L8" s="6" t="n">
        <v>308.75</v>
      </c>
    </row>
    <row r="9">
      <c r="A9" s="6" t="inlineStr">
        <is>
          <t>Settlement risk</t>
        </is>
      </c>
      <c r="B9" s="6" t="n">
        <v>0.2</v>
      </c>
      <c r="C9" s="6" t="n">
        <v>0.6</v>
      </c>
      <c r="D9" s="6" t="n">
        <v>0.1</v>
      </c>
      <c r="E9" s="6" t="n">
        <v>24.9</v>
      </c>
      <c r="F9" s="6" t="n">
        <v>2.5</v>
      </c>
      <c r="G9" s="6" t="n">
        <v>1.25</v>
      </c>
      <c r="H9" s="6" t="n">
        <v>10</v>
      </c>
      <c r="I9" s="6" t="n">
        <v>2.5</v>
      </c>
      <c r="J9" s="6" t="n">
        <v>2.5</v>
      </c>
      <c r="K9" s="6" t="n">
        <v>3.75</v>
      </c>
      <c r="L9" s="6" t="n">
        <v>1.25</v>
      </c>
    </row>
    <row r="10">
      <c r="A10" s="6" t="inlineStr">
        <is>
          <t>Securitisation exposures in the non-trading book</t>
        </is>
      </c>
      <c r="B10" s="6" t="n">
        <v>0</v>
      </c>
      <c r="C10" s="6" t="n">
        <v>0</v>
      </c>
      <c r="D10" s="6" t="n">
        <v>0</v>
      </c>
      <c r="E10" s="6" t="n">
        <v>0</v>
      </c>
      <c r="F10" s="6" t="n"/>
      <c r="G10" s="6" t="n"/>
      <c r="H10" s="6" t="n"/>
      <c r="I10" s="6" t="n"/>
      <c r="J10" s="6" t="n"/>
      <c r="K10" s="6" t="n"/>
      <c r="L10" s="6" t="n"/>
    </row>
    <row r="11">
      <c r="A11" s="6" t="inlineStr">
        <is>
          <t>Market risk (position, foreign exchange and commodities)</t>
        </is>
      </c>
      <c r="B11" s="6" t="n">
        <v>4799.2</v>
      </c>
      <c r="C11" s="6" t="n">
        <v>4464.4</v>
      </c>
      <c r="D11" s="6" t="n">
        <v>3475.5</v>
      </c>
      <c r="E11" s="6" t="n">
        <v>4277.5</v>
      </c>
      <c r="F11" s="6" t="n">
        <v>3681.25</v>
      </c>
      <c r="G11" s="6" t="n">
        <v>3485</v>
      </c>
      <c r="H11" s="6" t="n">
        <v>2396.25</v>
      </c>
      <c r="I11" s="6" t="n">
        <v>1991.25</v>
      </c>
      <c r="J11" s="6" t="n">
        <v>3612.5</v>
      </c>
      <c r="K11" s="6" t="n">
        <v>2706.25</v>
      </c>
      <c r="L11" s="6" t="n">
        <v>3175</v>
      </c>
    </row>
    <row r="12">
      <c r="A12" s="6" t="inlineStr">
        <is>
          <t>Operational risk</t>
        </is>
      </c>
      <c r="B12" s="6" t="n">
        <v>1402.4</v>
      </c>
      <c r="C12" s="6" t="n">
        <v>1455.1</v>
      </c>
      <c r="D12" s="6" t="n">
        <v>1375.5</v>
      </c>
      <c r="E12" s="6" t="n">
        <v>1323.7</v>
      </c>
      <c r="F12" s="6" t="n">
        <v>818.75</v>
      </c>
      <c r="G12" s="6" t="n">
        <v>757.5</v>
      </c>
      <c r="H12" s="6" t="n">
        <v>677.5</v>
      </c>
      <c r="I12" s="6" t="n">
        <v>790</v>
      </c>
      <c r="J12" s="6" t="n">
        <v>460</v>
      </c>
      <c r="K12" s="6" t="n">
        <v>537.5</v>
      </c>
      <c r="L12" s="6" t="n">
        <v>760</v>
      </c>
    </row>
    <row r="13">
      <c r="A13" s="6" t="inlineStr">
        <is>
          <t>Large exposures in the trading book (pre-UK-OV1 disclosure format only - no equivalent line in the later UK OV1 template)</t>
        </is>
      </c>
      <c r="B13" s="6" t="n"/>
      <c r="C13" s="6" t="n"/>
      <c r="D13" s="6" t="n"/>
      <c r="E13" s="6" t="n"/>
      <c r="F13" s="6" t="n"/>
      <c r="G13" s="6" t="n">
        <v>28.75</v>
      </c>
      <c r="H13" s="6" t="n">
        <v>0</v>
      </c>
      <c r="I13" s="6" t="n">
        <v>0</v>
      </c>
      <c r="J13" s="6" t="n">
        <v>103.75</v>
      </c>
      <c r="K13" s="6" t="n">
        <v>96.25</v>
      </c>
      <c r="L13" s="6" t="n">
        <v>500</v>
      </c>
    </row>
    <row r="14">
      <c r="A14" s="6" t="inlineStr">
        <is>
          <t>Amounts below thresholds for deduction (subject to 250% risk weight, for information)</t>
        </is>
      </c>
      <c r="B14" s="6" t="n">
        <v>4.9</v>
      </c>
      <c r="C14" s="6" t="n">
        <v>3</v>
      </c>
      <c r="D14" s="6" t="n">
        <v>5.4</v>
      </c>
      <c r="E14" s="6" t="n">
        <v>1.5</v>
      </c>
      <c r="F14" s="6" t="n"/>
      <c r="G14" s="6" t="n"/>
      <c r="H14" s="6" t="n"/>
      <c r="I14" s="6" t="n"/>
      <c r="J14" s="6" t="n"/>
      <c r="K14" s="6" t="n"/>
      <c r="L14" s="6" t="n"/>
    </row>
    <row r="15">
      <c r="A15" s="5" t="inlineStr">
        <is>
          <t>Total risk-weighted exposure amount</t>
        </is>
      </c>
      <c r="B15" s="5" t="n">
        <v>14902.7</v>
      </c>
      <c r="C15" s="5" t="n">
        <v>11500.1</v>
      </c>
      <c r="D15" s="5" t="n">
        <v>9653.200000000001</v>
      </c>
      <c r="E15" s="5" t="n">
        <v>9251</v>
      </c>
      <c r="F15" s="5" t="n">
        <v>8526.299999999999</v>
      </c>
      <c r="G15" s="5" t="n">
        <v>8122.8</v>
      </c>
      <c r="H15" s="5" t="n">
        <v>6952.8</v>
      </c>
      <c r="I15" s="5" t="n">
        <v>6500.2</v>
      </c>
      <c r="J15" s="5" t="n">
        <v>7887.7</v>
      </c>
      <c r="K15" s="5" t="n">
        <v>6362.8</v>
      </c>
      <c r="L15" s="5" t="n">
        <v>7579.7</v>
      </c>
    </row>
    <row r="17" ht="182" customHeight="1">
      <c r="A17" s="8" t="inlineStr">
        <is>
          <t>Sources — All figures are ICBC Standard Bank Plc consolidated (Group) basis, $m unless stated, each year's own originally-published figures (not a later restated comparative). ICBCS is jointly owned by Industrial and Commercial Bank of China Limited (60%) and Standard Bank Group Limited (40%).
FY2025 &amp; FY2024: ICBC Standard Bank Pillar 3 Disclosures 2025, p.6 (UK OV1 - Overview of risk-weighted exposure amounts) — https://v.icbc.com.cn/userfiles/resources/icbc/haiwai/standardbank/download/2023/2025pillar3disclosures.pdf
FY2023 &amp; FY2022: ICBC Standard Bank Pillar 3 Disclosures 2023, p.6-7 (UK OV1) — https://v.icbc.com.cn/userfiles/resources/icbc/haiwai/standardbank/download/2023/2023pillar3.pdf
FY2021: ICBC Standard Bank Pillar 3 Disclosures 2021, p.24 (Table 6: ICBCS - Capital Requirements, pre-UK-OV1 format) — https://v.icbc.com.cn/userfiles/Resources/ICBC/haiwai/StandardBank/Download/2022/2021_Pillar_3_document.pdf
FY2020: ICBC Standard Bank Pillar 3 Disclosures 2020, p.25 (Table 7: ICBCS - Capital Requirements) — https://v.icbc.com.cn/userfiles/Resources/ICBC/haiwai/StandardBank/Download/2021/2020Pillar3.pdf
FY2019: ICBC Standard Bank Pillar 3 Disclosures 2019, p.26 (Table 8: ICBCS - Capital Requirements) — https://v.icbc.com.cn/userfiles/Resources/ICBC/haiwai/StandardBank/Download/2020/Pillar3Disclosures19.pdf
FY2018: ICBC Standard Bank Pillar 3 Disclosures 2018, p.24 (Table 6: ICBCS - Capital Requirements) — https://v.icbc.com.cn/userfiles/Resources/ICBC/haiwai/StandardBank/Download/2019/Pillar_3_Disclosures_2018.pdf
FY2017: ICBC Standard Bank Pillar 3 Disclosures 2017, p.24 (Table 6: ICBCS - Capital Requirements) — https://v.icbc.com.cn/userfiles/Resources/ICBC/haiwai/StandardBank/Download/2019/Pillar_3_Disclosures_2017.pdf
FY2016: ICBC Standard Bank Pillar 3 Disclosures 2016, p.22 (Table 6: ICBCS - Capital Requirements) — https://v.icbc.com.cn/userfiles/Resources/ICBC/haiwai/StandardBank/Download/2019/Pillar3Disclosures2016.pdf
FY2015: ICBC Standard Bank Pillar 3 Disclosures 2015, p.25-26 (Table 6: ICBCS - Capital Requirements) — https://v.icbc.com.cn/userfiles/Resources/ICBC/haiwai/StandardBank/Download/2019/ICBCS_Pillar_3_2015.pdf
Note: every one of FY2015-FY2021's Pillar 3 documents predates the UK OV1 template and combines credit, counterparty credit and dilution risk into one 'standardised approach' capital-requirement line, so none of them can be split into 'Credit risk (excluding CCR)' and 'Counterparty credit risk (CCR)' the way FY2022 onward's disclosures are - shown as its own combined line instead of blended into either category. All FY2015-FY2021 category figures are derived (disclosed capital requirement ÷ 8%, the standard CRR conversion), not directly disclosed as RWA amounts; each year's derived components sum to that year's own disclosed Total RWA (to within rounding, e.g. FY2015: $7,577.5m derived vs. $7,579.7m disclosed). FY2015-FY2021's documents also carry a 'Large exposures in the trading book' capital-requirement line with no equivalent in the later UK OV1 template (shown as its own row, genuinely zero for FY2018/FY2019 rather than not disclosed) and have no 'Securitisation exposures' or 'Amounts below thresholds for deduction' line at all (genuinely not disclosed in that format, left blank rather than assumed zero).</t>
        </is>
      </c>
    </row>
  </sheetData>
  <mergeCells count="1">
    <mergeCell ref="A17:L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Leverage Ratio</t>
        </is>
      </c>
    </row>
    <row r="2">
      <c r="A2" s="2" t="inlineStr">
        <is>
          <t>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exposure measure excluding claims on central banks ($m)</t>
        </is>
      </c>
      <c r="B4" s="6" t="n">
        <v>35294.7</v>
      </c>
      <c r="C4" s="6" t="n">
        <v>26624</v>
      </c>
      <c r="D4" s="6" t="n">
        <v>23301</v>
      </c>
      <c r="E4" s="6" t="n">
        <v>20958.2</v>
      </c>
      <c r="F4" s="6" t="n">
        <v>25680</v>
      </c>
      <c r="G4" s="6" t="n">
        <v>25179</v>
      </c>
      <c r="H4" s="6" t="n">
        <v>23166</v>
      </c>
      <c r="I4" s="6" t="n">
        <v>23996</v>
      </c>
      <c r="J4" s="6" t="n">
        <v>25016</v>
      </c>
      <c r="K4" s="6" t="n">
        <v>19938</v>
      </c>
      <c r="L4" s="6" t="n">
        <v>19607</v>
      </c>
    </row>
    <row r="5">
      <c r="A5" s="6" t="inlineStr">
        <is>
          <t>Leverage ratio excluding claims on central banks (%)</t>
        </is>
      </c>
      <c r="B5" s="6" t="inlineStr">
        <is>
          <t>5.6%</t>
        </is>
      </c>
      <c r="C5" s="6" t="inlineStr">
        <is>
          <t>6.9%</t>
        </is>
      </c>
      <c r="D5" s="6" t="inlineStr">
        <is>
          <t>7.7%</t>
        </is>
      </c>
      <c r="E5" s="6" t="inlineStr">
        <is>
          <t>7.7%</t>
        </is>
      </c>
      <c r="F5" s="6" t="inlineStr">
        <is>
          <t>5.09%</t>
        </is>
      </c>
      <c r="G5" s="6" t="inlineStr">
        <is>
          <t>4.90%</t>
        </is>
      </c>
      <c r="H5" s="6" t="inlineStr">
        <is>
          <t>4.78%</t>
        </is>
      </c>
      <c r="I5" s="6" t="inlineStr">
        <is>
          <t>5.02%</t>
        </is>
      </c>
      <c r="J5" s="6" t="inlineStr">
        <is>
          <t>4.91%</t>
        </is>
      </c>
      <c r="K5" s="6" t="inlineStr">
        <is>
          <t>4.66%</t>
        </is>
      </c>
      <c r="L5" s="6" t="inlineStr">
        <is>
          <t>5.36%</t>
        </is>
      </c>
    </row>
    <row r="6" ht="130" customHeight="1">
      <c r="A6" s="7" t="inlineStr">
        <is>
          <t xml:space="preserve">Note: FY2021-FY2015 all use the CRR Leverage Ratio Common Disclosure Template's 'Total leverage ratio exposures' and 'Leverage ratio' rows (Annex D) — the pre-'excluding central banks' presentation format used before the later UK KM1 template split the exposure measure basis.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(10 returned a real PDF, %PDF magic bytes checked), and each document's full text was searched for an LR2/LRCom template and for the 'including claims on central banks' wording. Every match was opened and read on 2026-10-09; none is an in-scope disclosure. In PRE-2022 editions the hit is the OLD CRR 'Leverage ratio common disclosure', not the UK dual-basis template: it prints a single 'Leverage ratio total exposure measure' with no excluding/including split, which is why those same documents carry no 'excluding claims on central banks' wording either. The UK split took effect only for periods from 1 January 2022, so those editions confirm the dual basis did not yet exist rather than offering a figure to carry. The remaining matches are NOT leverage at all: template UK CC1 (composition of regulatory own funds) has its own rows UK-25a 'Losses for the current financial year' and UK-25b 'Foreseeable tax charges', which collide with the leverage template's UK-25a/UK-25c row numbering. A row number alone never identifies a template.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169" customHeight="1">
      <c r="A8"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p.90 (Annex D: Leverage Ratio Common Disclosure Template) — https://v.icbc.com.cn/userfiles/Resources/ICBC/haiwai/StandardBank/Download/2021/2020Pillar3.pdf
FY2019: ICBC Standard Bank Pillar 3 Disclosures 2019, p.94 (Annex D: Leverage Ratio Common Disclosure Template) — https://v.icbc.com.cn/userfiles/Resources/ICBC/haiwai/StandardBank/Download/2020/Pillar3Disclosures19.pdf
FY2018: ICBC Standard Bank Pillar 3 Disclosures 2018, p.87 (Annex D: Leverage Ratio Common Disclosure Template) — https://v.icbc.com.cn/userfiles/Resources/ICBC/haiwai/StandardBank/Download/2019/Pillar_3_Disclosures_2018.pdf
FY2017: ICBC Standard Bank Pillar 3 Disclosures 2017, p.88 (Annex D: Leverage Ratio Common Disclosure Template) — https://v.icbc.com.cn/userfiles/Resources/ICBC/haiwai/StandardBank/Download/2019/Pillar_3_Disclosures_2017.pdf
FY2016: ICBC Standard Bank Pillar 3 Disclosures 2016, p.85 (Annex D: Leverage Ratio Common Disclosure Template) — https://v.icbc.com.cn/userfiles/Resources/ICBC/haiwai/StandardBank/Download/2019/Pillar3Disclosures2016.pdf
FY2015: ICBC Standard Bank Pillar 3 Disclosures 2015, p.83 (Annex D: Leverage Ratio Common Disclosure Template)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2">
    <mergeCell ref="A8:L8"/>
    <mergeCell ref="A6:L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LCR</t>
        </is>
      </c>
    </row>
    <row r="2">
      <c r="A2" s="2" t="inlineStr">
        <is>
          <t>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high-quality liquid assets (HQLA), weighted value (average) ($m)</t>
        </is>
      </c>
      <c r="B4" s="6" t="n">
        <v>5294.2</v>
      </c>
      <c r="C4" s="6" t="n">
        <v>5216.2</v>
      </c>
      <c r="D4" s="6" t="n">
        <v>5704.2</v>
      </c>
      <c r="E4" s="6" t="n">
        <v>6280.5</v>
      </c>
      <c r="F4" s="6" t="n">
        <v>5027</v>
      </c>
      <c r="G4" s="6" t="n">
        <v>4371</v>
      </c>
      <c r="H4" s="6" t="n">
        <v>4856</v>
      </c>
      <c r="I4" s="6" t="n">
        <v>4458</v>
      </c>
      <c r="J4" s="6" t="n">
        <v>4322</v>
      </c>
      <c r="K4" s="6" t="n"/>
      <c r="L4" s="6" t="n"/>
    </row>
    <row r="5">
      <c r="A5" s="6" t="inlineStr">
        <is>
          <t>Total net cash outflows, adjusted value ($m)</t>
        </is>
      </c>
      <c r="B5" s="6" t="n">
        <v>2777.2</v>
      </c>
      <c r="C5" s="6" t="n">
        <v>2422.5</v>
      </c>
      <c r="D5" s="6" t="n">
        <v>3561.5</v>
      </c>
      <c r="E5" s="6" t="n">
        <v>2926.2</v>
      </c>
      <c r="F5" s="6" t="n">
        <v>2425</v>
      </c>
      <c r="G5" s="6" t="n">
        <v>2426</v>
      </c>
      <c r="H5" s="6" t="n">
        <v>2509</v>
      </c>
      <c r="I5" s="6" t="n">
        <v>2062</v>
      </c>
      <c r="J5" s="6" t="n">
        <v>3126</v>
      </c>
      <c r="K5" s="6" t="n"/>
      <c r="L5" s="6" t="n"/>
    </row>
    <row r="6">
      <c r="A6" s="6" t="inlineStr">
        <is>
          <t>Liquidity Coverage Ratio (%)</t>
        </is>
      </c>
      <c r="B6" s="6" t="inlineStr">
        <is>
          <t>197.3%</t>
        </is>
      </c>
      <c r="C6" s="6" t="inlineStr">
        <is>
          <t>226.7%</t>
        </is>
      </c>
      <c r="D6" s="6" t="inlineStr">
        <is>
          <t>165.3%</t>
        </is>
      </c>
      <c r="E6" s="6" t="inlineStr">
        <is>
          <t>206.0%</t>
        </is>
      </c>
      <c r="F6" s="6" t="inlineStr">
        <is>
          <t>207%</t>
        </is>
      </c>
      <c r="G6" s="6" t="inlineStr">
        <is>
          <t>180%</t>
        </is>
      </c>
      <c r="H6" s="6" t="inlineStr">
        <is>
          <t>195%</t>
        </is>
      </c>
      <c r="I6" s="6" t="inlineStr">
        <is>
          <t>217%</t>
        </is>
      </c>
      <c r="J6" s="6" t="inlineStr">
        <is>
          <t>145%</t>
        </is>
      </c>
      <c r="K6" s="6" t="inlineStr">
        <is>
          <t>159%</t>
        </is>
      </c>
      <c r="L6" s="6" t="inlineStr">
        <is>
          <t>Not published – FY2015 Pillar 3 (PDF p.28) treats the LCR qualitatively; FY2015 Annual Report (p.134) says only that it was 'in excess of 100%'</t>
        </is>
      </c>
    </row>
    <row r="7" ht="52" customHeight="1">
      <c r="A7" s="7" t="inlineStr">
        <is>
          <t>Note: LCR figures are averages of month-end observations over the 12 months preceding each year-end. FY2021-FY2017 figures are each year's own 31 December quarter-end column of the 'Consolidated Liquidity Coverage Ratio for ICBCS (Group)' table, the same consolidated-Group basis used by the later UK KM1 template rows. FY2016's Pillar 3 document discloses only a single point-in-time LCR% as at 31 December 2016 (159%, PRA minimum 80% that year) with no HQLA/net-outflow $ breakdown and not framed as a 12-month average - a narrower disclosure format than later years', shown with blank $m cells rather than a fabricated breakdown. FY2015's Pillar 3 document discusses the LCR requirement only qualitatively, with no numeric LCR%, HQLA or net-outflow figure disclosed at all that year (the EBA/PRA quarterly LCR disclosure tables used from FY2017 onward were not yet in place) - a genuine self-skip, not a search failure.</t>
        </is>
      </c>
    </row>
    <row r="9" ht="169" customHeight="1">
      <c r="A9"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
FY2020: ICBC Standard Bank Pillar 3 Disclosures 2020, p.30 (Table 8/9/10: Consolidated Liquidity Coverage Ratio for ICBCS (Group)) — https://v.icbc.com.cn/userfiles/Resources/ICBC/haiwai/StandardBank/Download/2021/2020Pillar3.pdf
FY2019: ICBC Standard Bank Pillar 3 Disclosures 2019, p.31 (Table 8/9/10: Consolidated Liquidity Coverage Ratio for ICBCS (Group)) — https://v.icbc.com.cn/userfiles/Resources/ICBC/haiwai/StandardBank/Download/2020/Pillar3Disclosures19.pdf
FY2018: ICBC Standard Bank Pillar 3 Disclosures 2018, p.29 (Table 8/9/10: Consolidated Liquidity Coverage Ratio for ICBCS (Group)) — https://v.icbc.com.cn/userfiles/Resources/ICBC/haiwai/StandardBank/Download/2019/Pillar_3_Disclosures_2018.pdf
FY2017: ICBC Standard Bank Pillar 3 Disclosures 2017, p.30 (Table 8/9/10: Consolidated Liquidity Coverage Ratio for ICBCS (Group)) — https://v.icbc.com.cn/userfiles/Resources/ICBC/haiwai/StandardBank/Download/2019/Pillar_3_Disclosures_2017.pdf
FY2016: ICBC Standard Bank Pillar 3 Disclosures 2016, p.27 (Table 8/9/10: Consolidated Liquidity Coverage Ratio for ICBCS (Group)) — https://v.icbc.com.cn/userfiles/Resources/ICBC/haiwai/StandardBank/Download/2019/Pillar3Disclosures2016.pdf
FY2015: ICBC Standard Bank Pillar 3 Disclosures 2015, p.27 (Table 8/9/10: Consolidated Liquidity Coverage Ratio for ICBCS (Group)) — https://v.icbc.com.cn/userfiles/Resources/ICBC/haiwai/StandardBank/Download/2019/ICBCS_Pillar_3_2015.pdf
Caveat: Additional Tier 1 capital did not exist in ICBCS's structure until a $160.0m AT1 issuance to ICBC in December 2019 - for FY2015-FY2018, Total Tier 1 capital equals CET1 capital exactly (Additional Tier 1 is nil), and the 'Tier 1 ratio'/'CET1 ratio' rows are numerically identical for those years.</t>
        </is>
      </c>
    </row>
  </sheetData>
  <mergeCells count="2">
    <mergeCell ref="A7:L7"/>
    <mergeCell ref="A9:L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NSFR</t>
        </is>
      </c>
    </row>
    <row r="2">
      <c r="A2" s="2" t="inlineStr">
        <is>
          <t>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available stable funding ($m)</t>
        </is>
      </c>
      <c r="B4" s="6" t="n">
        <v>9393</v>
      </c>
      <c r="C4" s="6" t="n">
        <v>8348.6</v>
      </c>
      <c r="D4" s="6" t="n">
        <v>7963.4</v>
      </c>
      <c r="E4" s="6" t="n">
        <v>8417.6</v>
      </c>
      <c r="F4" s="6" t="n">
        <v>8474.799999999999</v>
      </c>
      <c r="G4" s="6" t="n"/>
      <c r="H4" s="6" t="n"/>
      <c r="I4" s="6" t="n"/>
      <c r="J4" s="6" t="n"/>
      <c r="K4" s="6" t="n"/>
      <c r="L4" s="6" t="n"/>
    </row>
    <row r="5">
      <c r="A5" s="6" t="inlineStr">
        <is>
          <t>Total required stable funding ($m)</t>
        </is>
      </c>
      <c r="B5" s="6" t="n">
        <v>7736.7</v>
      </c>
      <c r="C5" s="6" t="n">
        <v>6118.4</v>
      </c>
      <c r="D5" s="6" t="n">
        <v>4462</v>
      </c>
      <c r="E5" s="6" t="n">
        <v>5266.3</v>
      </c>
      <c r="F5" s="6" t="n">
        <v>6955.7</v>
      </c>
      <c r="G5" s="6" t="n"/>
      <c r="H5" s="6" t="n"/>
      <c r="I5" s="6" t="n"/>
      <c r="J5" s="6" t="n"/>
      <c r="K5" s="6" t="n"/>
      <c r="L5" s="6" t="n"/>
    </row>
    <row r="6">
      <c r="A6" s="6" t="inlineStr">
        <is>
          <t>Net Stable Funding Ratio (%)</t>
        </is>
      </c>
      <c r="B6" s="6" t="inlineStr">
        <is>
          <t>122.8%</t>
        </is>
      </c>
      <c r="C6" s="6" t="inlineStr">
        <is>
          <t>136.4%</t>
        </is>
      </c>
      <c r="D6" s="6" t="inlineStr">
        <is>
          <t>183.3%</t>
        </is>
      </c>
      <c r="E6" s="6" t="inlineStr">
        <is>
          <t>163.8%</t>
        </is>
      </c>
      <c r="F6" s="6" t="inlineStr">
        <is>
          <t>121.8%</t>
        </is>
      </c>
      <c r="G6" s="6" t="inlineStr">
        <is>
          <t>Not published – no NSFR figure in the FY2020 Pillar 3 (text-searched 2026-09-19); UK NSFR applied from 1 Jan 2022</t>
        </is>
      </c>
      <c r="H6" s="6" t="inlineStr">
        <is>
          <t>Not published – no NSFR figure in the FY2019 Pillar 3 (text-searched 2026-09-19); UK NSFR applied from 1 Jan 2022</t>
        </is>
      </c>
      <c r="I6" s="6" t="inlineStr">
        <is>
          <t>Not published – no NSFR figure in the FY2018 Pillar 3 (text-searched 2026-09-19); UK NSFR applied from 1 Jan 2022</t>
        </is>
      </c>
      <c r="J6" s="6" t="inlineStr">
        <is>
          <t>Not published – no NSFR figure in the FY2017 Pillar 3 (text-searched 2026-09-19); UK NSFR applied from 1 Jan 2022</t>
        </is>
      </c>
      <c r="K6" s="6" t="inlineStr">
        <is>
          <t>Not published – no NSFR figure in the FY2016 Pillar 3 (text-searched 2026-09-19); UK NSFR applied from 1 Jan 2022</t>
        </is>
      </c>
      <c r="L6" s="6" t="inlineStr">
        <is>
          <t>Not published – no NSFR figure in the FY2015 Pillar 3 (text-searched 2026-09-19; narrative only: 'expected to go live in January 2018'); UK NSFR applied from 1 Jan 2022</t>
        </is>
      </c>
    </row>
    <row r="7" ht="130" customHeight="1">
      <c r="A7" s="7" t="inlineStr">
        <is>
          <t>Note: OMISSION CORRECTED 2026-09-17 (KM1-017): the four NSFR percentages for FY2025-FY2022 were MISSING from this sheet until this ticket. The available and required stable funding amounts were present for those four years but the ratio row carried no value for any of them - it was built from a comprehension that assigned 'Not disclosed' to every year EXCEPT FY2025-FY2022, and then never assigned those four anything at all, so they rendered blank. The bank does disclose them: they are row 20 of its own UK KM1 template in each year's edition (FY2025 122.8%, FY2024 136.4%, FY2023 183.3%, FY2022 163.8%), the same table this workbook's KM1 Key Metrics sheet reproduces and the same table the stable-funding amounts on the rows above already came from. Nothing was re-derived: each figure is transcribed from the edition in which that year is the reporting year. The omission came to light on 2026-09-17, when this workbook gained a KM1 Key Metrics sheet reproducing row 20 of the same table for the same years and so placed a second, independent transcription of each of those four figures beside this sheet's.
FY2021 (ASF 8,474.8 / RSF 6,955.7 / NSFR 121.8%) ADDED 2026-09-19 (GA-020) from the 31.12.2021 comparative column of UK KM1 rows 18-20, p.5 of the 2022 Pillar 3 Disclosures (https://v.icbc.com.cn/userfiles/resources/icbc/haiwai/standardbank/download/2023/2022pillar3re-publish.pdf), read off the page image. BASIS DIFFERS FROM THE COLUMNS BESIDE IT, as the template's own footnote 2 says: '2021 numbers are spot values as at 31 December 2021 as NSFR went live from 1 January 2022', whereas FY2022 onward are four-quarter averages. The 2021 edition itself prints no NSFR figure (its three NSFR mentions are narrative), so this is the only published FY2021 value. This also removes the disagreement the KM1 sheet's note recorded between that sheet's row 20 and this one.
NSFR was not a UK Pillar 3 disclosure requirement until 1 January 2022 (the UK NSFR regime's effective date), so no FY2015-FY2020 figures are available in any of the eleven ICBC Standard Bank Pillar 3 Disclosures reports reviewed (2015-2025). FY2015's own Pillar 3 document explicitly notes 'the NSFR is expected to go live in January 2018' (an EU timeline later superseded by the UK's own 1 January 2022 implementation) - confirming this is a genuine regulatory-timeline gap, not a missed disclosure. Balances shown for FY2022 onward are averages of the four quarter-ends preceding each year-end.</t>
        </is>
      </c>
    </row>
    <row r="9" ht="100" customHeight="1">
      <c r="A9"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t>
        </is>
      </c>
    </row>
  </sheetData>
  <mergeCells count="2">
    <mergeCell ref="A7:L7"/>
    <mergeCell ref="A9:L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ICBC Standard Bank Plc — MREL Ratio</t>
        </is>
      </c>
    </row>
    <row r="2">
      <c r="A2" s="2" t="inlineStr">
        <is>
          <t>Consolidated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MREL ratio</t>
        </is>
      </c>
      <c r="B4" s="6" t="inlineStr">
        <is>
          <t>Not published – no MREL figure in any ICBCS Pillar 3 (all 11 editions 2015-2025 text-searched 2026-09-19: 'MREL' 0 hits)</t>
        </is>
      </c>
      <c r="C4" s="6" t="inlineStr">
        <is>
          <t>Not published – no MREL figure in any ICBCS Pillar 3 (all 11 editions 2015-2025 text-searched 2026-09-19: 'MREL' 0 hits)</t>
        </is>
      </c>
      <c r="D4" s="6" t="inlineStr">
        <is>
          <t>Not published – no MREL figure in any ICBCS Pillar 3 (all 11 editions 2015-2025 text-searched 2026-09-19: 'MREL' 0 hits)</t>
        </is>
      </c>
      <c r="E4" s="6" t="inlineStr">
        <is>
          <t>Not published – no MREL figure in any ICBCS Pillar 3 (all 11 editions 2015-2025 text-searched 2026-09-19: 'MREL' 0 hits)</t>
        </is>
      </c>
      <c r="F4" s="6" t="inlineStr">
        <is>
          <t>Not published – no MREL figure in any ICBCS Pillar 3 (all 11 editions 2015-2025 text-searched 2026-09-19: 'MREL' 0 hits)</t>
        </is>
      </c>
      <c r="G4" s="6" t="inlineStr">
        <is>
          <t>Not published – no MREL figure in any ICBCS Pillar 3 (all 11 editions 2015-2025 text-searched 2026-09-19: 'MREL' 0 hits)</t>
        </is>
      </c>
      <c r="H4" s="6" t="inlineStr">
        <is>
          <t>Not published – no MREL figure in any ICBCS Pillar 3 (all 11 editions 2015-2025 text-searched 2026-09-19: 'MREL' 0 hits)</t>
        </is>
      </c>
      <c r="I4" s="6" t="inlineStr">
        <is>
          <t>Not published – no MREL figure in any ICBCS Pillar 3 (all 11 editions 2015-2025 text-searched 2026-09-19: 'MREL' 0 hits)</t>
        </is>
      </c>
      <c r="J4" s="6" t="inlineStr">
        <is>
          <t>Not published – no MREL figure in any ICBCS Pillar 3 (all 11 editions 2015-2025 text-searched 2026-09-19: 'MREL' 0 hits)</t>
        </is>
      </c>
      <c r="K4" s="6" t="inlineStr">
        <is>
          <t>Not published – no MREL figure in any ICBCS Pillar 3 (all 11 editions 2015-2025 text-searched 2026-09-19: 'MREL' 0 hits)</t>
        </is>
      </c>
      <c r="L4" s="6" t="inlineStr">
        <is>
          <t>Not published – no MREL figure in any ICBCS Pillar 3 (all 11 editions 2015-2025 text-searched 2026-09-19: 'MREL' 0 hits)</t>
        </is>
      </c>
    </row>
    <row r="5" ht="30" customHeight="1">
      <c r="A5" s="7" t="inlineStr">
        <is>
          <t>Note: No MREL disclosure appears in any of the eleven ICBC Standard Bank Pillar 3 Disclosures reports (2015-2025): each was re-fetched from its cited URL and text-searched on 2026-09-19, and 'MREL' returns zero hits in every one. An earlier version of this note added that ICBC Standard Bank Plc is not itself a resolution entity subject to a standalone MREL requirement; no document stating that was cited, so the cells rest on the absence alone.</t>
        </is>
      </c>
    </row>
    <row r="7" ht="100" customHeight="1">
      <c r="A7" s="8" t="inlineStr">
        <is>
          <t>Sources — ICBC Standard Bank Plc (ICBCS Group) consolidated (Pillar 3) basis:
FY2025 &amp; FY2024: ICBC Standard Bank Pillar 3 Disclosures 2025, p.5 (UK KM1 - Key metrics template) — https://v.icbc.com.cn/userfiles/resources/icbc/haiwai/standardbank/download/2023/2025pillar3disclosures.pdf
FY2023 &amp; FY2022: ICBC Standard Bank Pillar 3 Disclosures 2023, p.5 (UK KM1 - Key metrics template) — https://v.icbc.com.cn/userfiles/resources/icbc/haiwai/standardbank/download/2023/2023pillar3.pdf
FY2021: ICBC Standard Bank Pillar 3 Disclosures 2021, p.23 (Table 5: ICBCS - Capital Resources), p.87 (Annex D: Leverage Ratio Common Disclosure Template), p.28 (Table 8: Average Consolidated Liquidity Coverage Ratio for ICBCS Group) — https://v.icbc.com.cn/userfiles/Resources/ICBC/haiwai/StandardBank/Download/2022/2021_Pillar_3_document.pdf</t>
        </is>
      </c>
    </row>
  </sheetData>
  <mergeCells count="2">
    <mergeCell ref="A5:L5"/>
    <mergeCell ref="A7:L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2026-10-26T09:36:06Z</dcterms:created>
  <dcterms:modified xmlns:dcterms="http://purl.org/dc/terms/" xmlns:xsi="http://www.w3.org/2001/XMLSchema-instance" xsi:type="dcterms:W3CDTF">2026-10-26T09:36:06Z</dcterms:modified>
</cp:coreProperties>
</file>