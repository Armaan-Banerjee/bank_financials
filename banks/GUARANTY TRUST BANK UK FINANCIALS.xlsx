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B721"/>
        <bgColor rgb="0000B72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'Overview'!AG23</f>
            </strRef>
          </tx>
          <spPr>
            <a:ln xmlns:a="http://schemas.openxmlformats.org/drawingml/2006/main">
              <a:prstDash val="solid"/>
            </a:ln>
          </spPr>
          <cat>
            <numRef>
              <f>'Overview'!$AH$22:$AL$22</f>
            </numRef>
          </cat>
          <val>
            <numRef>
              <f>'Overview'!$AH$23:$AL$23</f>
            </numRef>
          </val>
        </ser>
        <ser>
          <idx val="1"/>
          <order val="1"/>
          <tx>
            <strRef>
              <f>'Overview'!AG24</f>
            </strRef>
          </tx>
          <spPr>
            <a:ln xmlns:a="http://schemas.openxmlformats.org/drawingml/2006/main">
              <a:prstDash val="solid"/>
            </a:ln>
          </spPr>
          <cat>
            <numRef>
              <f>'Overview'!$AH$22:$AL$22</f>
            </numRef>
          </cat>
          <val>
            <numRef>
              <f>'Overview'!$AH$24:$AL$24</f>
            </numRef>
          </val>
        </ser>
        <ser>
          <idx val="2"/>
          <order val="2"/>
          <tx>
            <strRef>
              <f>'Overview'!AG25</f>
            </strRef>
          </tx>
          <spPr>
            <a:ln xmlns:a="http://schemas.openxmlformats.org/drawingml/2006/main">
              <a:prstDash val="solid"/>
            </a:ln>
          </spPr>
          <cat>
            <numRef>
              <f>'Overview'!$AH$22:$AL$22</f>
            </numRef>
          </cat>
          <val>
            <numRef>
              <f>'Overview'!$AH$25:$AL$25</f>
            </numRef>
          </val>
        </ser>
        <ser>
          <idx val="3"/>
          <order val="3"/>
          <tx>
            <strRef>
              <f>'Overview'!AG26</f>
            </strRef>
          </tx>
          <spPr>
            <a:ln xmlns:a="http://schemas.openxmlformats.org/drawingml/2006/main">
              <a:prstDash val="solid"/>
            </a:ln>
          </spPr>
          <cat>
            <numRef>
              <f>'Overview'!$AH$22:$AL$22</f>
            </numRef>
          </cat>
          <val>
            <numRef>
              <f>'Overview'!$AH$26:$AL$26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Guaranty Trust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c r="C6" s="5" t="n">
        <v>583445887</v>
      </c>
      <c r="D6" s="5" t="n">
        <v>470783450</v>
      </c>
      <c r="E6" s="5" t="n">
        <v>626844615</v>
      </c>
      <c r="F6" s="5" t="n">
        <v>490836145</v>
      </c>
      <c r="I6" t="inlineStr">
        <is>
          <t>Total assets</t>
        </is>
      </c>
      <c r="J6" t="n">
        <v>490836145</v>
      </c>
      <c r="K6" t="n">
        <v>626844615</v>
      </c>
      <c r="L6" t="n">
        <v>470783450</v>
      </c>
      <c r="M6" t="n">
        <v>583445887</v>
      </c>
    </row>
    <row r="7">
      <c r="A7" s="5" t="inlineStr">
        <is>
          <t>Loans and advances to customers</t>
        </is>
      </c>
      <c r="B7" s="5" t="n"/>
      <c r="C7" s="5" t="n">
        <v>62534590</v>
      </c>
      <c r="D7" s="5" t="n">
        <v>57675796</v>
      </c>
      <c r="E7" s="5" t="n">
        <v>61872149</v>
      </c>
      <c r="F7" s="5" t="n">
        <v>57660949</v>
      </c>
      <c r="I7" t="inlineStr">
        <is>
          <t>Loans and advances to customers</t>
        </is>
      </c>
      <c r="J7" t="n">
        <v>57660949</v>
      </c>
      <c r="K7" t="n">
        <v>61872149</v>
      </c>
      <c r="L7" t="n">
        <v>57675796</v>
      </c>
      <c r="M7" t="n">
        <v>62534590</v>
      </c>
    </row>
    <row r="8">
      <c r="A8" s="5" t="inlineStr">
        <is>
          <t>Total liabilities</t>
        </is>
      </c>
      <c r="B8" s="5" t="n"/>
      <c r="C8" s="5" t="n">
        <v>535370508</v>
      </c>
      <c r="D8" s="5" t="n">
        <v>431392457</v>
      </c>
      <c r="E8" s="5" t="n">
        <v>598500237</v>
      </c>
      <c r="F8" s="5" t="n">
        <v>465746504</v>
      </c>
      <c r="I8" t="inlineStr">
        <is>
          <t>Total liabilities</t>
        </is>
      </c>
      <c r="J8" t="n">
        <v>465746504</v>
      </c>
      <c r="K8" t="n">
        <v>598500237</v>
      </c>
      <c r="L8" t="n">
        <v>431392457</v>
      </c>
      <c r="M8" t="n">
        <v>535370508</v>
      </c>
    </row>
    <row r="9">
      <c r="A9" s="5" t="inlineStr">
        <is>
          <t>Shareholders' funds (Total equity)</t>
        </is>
      </c>
      <c r="B9" s="5" t="n"/>
      <c r="C9" s="5" t="n">
        <v>48075379</v>
      </c>
      <c r="D9" s="5" t="n">
        <v>39390993</v>
      </c>
      <c r="E9" s="5" t="n">
        <v>28344378</v>
      </c>
      <c r="F9" s="5" t="n">
        <v>25089641</v>
      </c>
      <c r="I9" t="inlineStr">
        <is>
          <t>Shareholders' funds (Total equity)</t>
        </is>
      </c>
      <c r="J9" t="n">
        <v>25089641</v>
      </c>
      <c r="K9" t="n">
        <v>28344378</v>
      </c>
      <c r="L9" t="n">
        <v>39390993</v>
      </c>
      <c r="M9" t="n">
        <v>48075379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c r="C13" s="5" t="n">
        <v>25709803</v>
      </c>
      <c r="D13" s="5" t="n">
        <v>27461859</v>
      </c>
      <c r="E13" s="5" t="n">
        <v>17528715</v>
      </c>
      <c r="F13" s="5" t="n">
        <v>7426157</v>
      </c>
      <c r="Q13" t="inlineStr">
        <is>
          <t>Operating income</t>
        </is>
      </c>
      <c r="R13" t="n">
        <v>7426157</v>
      </c>
      <c r="S13" t="n">
        <v>17528715</v>
      </c>
      <c r="T13" t="n">
        <v>27461859</v>
      </c>
      <c r="U13" t="n">
        <v>25709803</v>
      </c>
    </row>
    <row r="14">
      <c r="A14" s="5" t="inlineStr">
        <is>
          <t>Total operating expenses</t>
        </is>
      </c>
      <c r="B14" s="5" t="n"/>
      <c r="C14" s="5" t="n">
        <v>-14155063</v>
      </c>
      <c r="D14" s="5" t="n">
        <v>-13536374</v>
      </c>
      <c r="E14" s="5" t="n">
        <v>-12466246</v>
      </c>
      <c r="F14" s="5" t="n">
        <v>-17318100</v>
      </c>
      <c r="Q14" t="inlineStr">
        <is>
          <t>Total operating expenses</t>
        </is>
      </c>
      <c r="R14" t="n">
        <v>-17318100</v>
      </c>
      <c r="S14" t="n">
        <v>-12466246</v>
      </c>
      <c r="T14" t="n">
        <v>-13536374</v>
      </c>
      <c r="U14" t="n">
        <v>-14155063</v>
      </c>
    </row>
    <row r="15">
      <c r="A15" s="5" t="inlineStr">
        <is>
          <t>Profit/(Loss) for the year</t>
        </is>
      </c>
      <c r="B15" s="5" t="n"/>
      <c r="C15" s="5" t="n">
        <v>8638639</v>
      </c>
      <c r="D15" s="5" t="n">
        <v>10406901</v>
      </c>
      <c r="E15" s="5" t="n">
        <v>3874638</v>
      </c>
      <c r="F15" s="5" t="n">
        <v>-8329814</v>
      </c>
      <c r="Q15" t="inlineStr">
        <is>
          <t>Profit/(Loss) for the year</t>
        </is>
      </c>
      <c r="R15" t="n">
        <v>-8329814</v>
      </c>
      <c r="S15" t="n">
        <v>3874638</v>
      </c>
      <c r="T15" t="n">
        <v>10406901</v>
      </c>
      <c r="U15" t="n">
        <v>8638639</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equity, end of year</t>
        </is>
      </c>
      <c r="B19" s="5" t="n"/>
      <c r="C19" s="5" t="n">
        <v>48075379</v>
      </c>
      <c r="D19" s="5" t="n">
        <v>39390993</v>
      </c>
      <c r="E19" s="5" t="n">
        <v>28344378</v>
      </c>
      <c r="F19" s="5" t="n">
        <v>25089641</v>
      </c>
      <c r="Y19" t="inlineStr">
        <is>
          <t>Total equity, end of year</t>
        </is>
      </c>
      <c r="Z19" t="n">
        <v>25089641</v>
      </c>
      <c r="AA19" t="n">
        <v>28344378</v>
      </c>
      <c r="AB19" t="n">
        <v>39390993</v>
      </c>
      <c r="AC19" t="n">
        <v>48075379</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AH22" t="inlineStr">
        <is>
          <t>FY2021</t>
        </is>
      </c>
      <c r="AI22" t="inlineStr">
        <is>
          <t>FY2022</t>
        </is>
      </c>
      <c r="AJ22" t="inlineStr">
        <is>
          <t>FY2023</t>
        </is>
      </c>
      <c r="AK22" t="inlineStr">
        <is>
          <t>FY2024</t>
        </is>
      </c>
      <c r="AL22" t="inlineStr">
        <is>
          <t>FY2025</t>
        </is>
      </c>
    </row>
    <row r="23">
      <c r="A23" s="5" t="inlineStr">
        <is>
          <t>Net cash flow from/(used in) operating activities</t>
        </is>
      </c>
      <c r="B23" s="5" t="n"/>
      <c r="C23" s="5" t="n">
        <v>57935255</v>
      </c>
      <c r="D23" s="5" t="n">
        <v>-102327202</v>
      </c>
      <c r="E23" s="5" t="n">
        <v>117737509</v>
      </c>
      <c r="F23" s="5" t="n">
        <v>52298689</v>
      </c>
      <c r="AG23" t="inlineStr">
        <is>
          <t>Net cash flow from/(used in) operating activities</t>
        </is>
      </c>
      <c r="AH23" t="n">
        <v>52298689</v>
      </c>
      <c r="AI23" t="n">
        <v>117737509</v>
      </c>
      <c r="AJ23" t="n">
        <v>-102327202</v>
      </c>
      <c r="AK23" t="n">
        <v>57935255</v>
      </c>
    </row>
    <row r="24">
      <c r="A24" s="5" t="inlineStr">
        <is>
          <t>Net cash flow from/(used in) investing activities</t>
        </is>
      </c>
      <c r="B24" s="5" t="n"/>
      <c r="C24" s="5" t="n">
        <v>11837282</v>
      </c>
      <c r="D24" s="5" t="n">
        <v>-38512179</v>
      </c>
      <c r="E24" s="5" t="n">
        <v>-26064114</v>
      </c>
      <c r="F24" s="5" t="n">
        <v>-17917411</v>
      </c>
      <c r="AG24" t="inlineStr">
        <is>
          <t>Net cash flow from/(used in) investing activities</t>
        </is>
      </c>
      <c r="AH24" t="n">
        <v>-17917411</v>
      </c>
      <c r="AI24" t="n">
        <v>-26064114</v>
      </c>
      <c r="AJ24" t="n">
        <v>-38512179</v>
      </c>
      <c r="AK24" t="n">
        <v>11837282</v>
      </c>
    </row>
    <row r="25">
      <c r="A25" s="5" t="inlineStr">
        <is>
          <t>Net cash flow from/(used in) financing activities</t>
        </is>
      </c>
      <c r="B25" s="5" t="n"/>
      <c r="C25" s="5" t="n">
        <v>-705754</v>
      </c>
      <c r="D25" s="5" t="n">
        <v>-570000</v>
      </c>
      <c r="E25" s="5" t="n">
        <v>-1892429</v>
      </c>
      <c r="F25" s="5" t="n">
        <v>-1411693</v>
      </c>
      <c r="AG25" t="inlineStr">
        <is>
          <t>Net cash flow from/(used in) financing activities</t>
        </is>
      </c>
      <c r="AH25" t="n">
        <v>-1411693</v>
      </c>
      <c r="AI25" t="n">
        <v>-1892429</v>
      </c>
      <c r="AJ25" t="n">
        <v>-570000</v>
      </c>
      <c r="AK25" t="n">
        <v>-705754</v>
      </c>
    </row>
    <row r="26">
      <c r="A26" s="5" t="inlineStr">
        <is>
          <t>Cash and cash equivalents at end of year</t>
        </is>
      </c>
      <c r="B26" s="5" t="n"/>
      <c r="C26" s="5" t="n">
        <v>308066190</v>
      </c>
      <c r="D26" s="5" t="n">
        <v>238999407</v>
      </c>
      <c r="E26" s="5" t="n">
        <v>380408788</v>
      </c>
      <c r="F26" s="5" t="n">
        <v>116275570</v>
      </c>
      <c r="AG26" t="inlineStr">
        <is>
          <t>Cash and cash equivalents at end of year</t>
        </is>
      </c>
      <c r="AH26" t="n">
        <v>116275570</v>
      </c>
      <c r="AI26" t="n">
        <v>380408788</v>
      </c>
      <c r="AJ26" t="n">
        <v>238999407</v>
      </c>
      <c r="AK26" t="n">
        <v>308066190</v>
      </c>
    </row>
    <row r="28">
      <c r="A28" s="3" t="inlineStr">
        <is>
          <t>Pillar 3 Key Metrics: not applicable — no ratios are disclosed for this entity (see the individual Pillar 3 metric sheets).</t>
        </is>
      </c>
    </row>
    <row r="30" ht="45" customHeight="1">
      <c r="A30" s="6" t="inlineStr">
        <is>
          <t>Note: No Pillar 3 ratios (CET1/Tier 1/Total Capital/Leverage/LCR/NSFR/MREL) are disclosed for this entity at all - only a single £ regulatory-capital figure (see the CET1/Tier 1/Total Capital sheets). Figures above are duplicated from the Cash Flow Statement sheet for at-a-glance trend viewing; see that sheet's own source citation, including a flagged FY2021/FY2022 basis discontinuity in the cash-equivalents figures.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Financial Position</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money market funds</t>
        </is>
      </c>
      <c r="B5" s="7" t="n"/>
      <c r="C5" s="7" t="n">
        <v>100662477</v>
      </c>
      <c r="D5" s="7" t="n">
        <v>94365231</v>
      </c>
      <c r="E5" s="7" t="n"/>
      <c r="F5" s="7" t="n"/>
    </row>
    <row r="6">
      <c r="A6" s="7" t="inlineStr">
        <is>
          <t>Cash and cash equivalents</t>
        </is>
      </c>
      <c r="B6" s="7" t="n"/>
      <c r="C6" s="7" t="n"/>
      <c r="D6" s="7" t="n"/>
      <c r="E6" s="7" t="n">
        <v>97716359</v>
      </c>
      <c r="F6" s="7" t="n">
        <v>116275570</v>
      </c>
    </row>
    <row r="7">
      <c r="A7" s="7" t="inlineStr">
        <is>
          <t>Loans and advances to banks</t>
        </is>
      </c>
      <c r="B7" s="7" t="n"/>
      <c r="C7" s="7" t="n">
        <v>259678468</v>
      </c>
      <c r="D7" s="7" t="n">
        <v>152612406</v>
      </c>
      <c r="E7" s="7" t="n">
        <v>345107924</v>
      </c>
      <c r="F7" s="7" t="n">
        <v>230460594</v>
      </c>
    </row>
    <row r="8">
      <c r="A8" s="7" t="inlineStr">
        <is>
          <t>Loans and advances to customers</t>
        </is>
      </c>
      <c r="B8" s="7" t="n"/>
      <c r="C8" s="7" t="n">
        <v>62534590</v>
      </c>
      <c r="D8" s="7" t="n">
        <v>57675796</v>
      </c>
      <c r="E8" s="7" t="n">
        <v>61872149</v>
      </c>
      <c r="F8" s="7" t="n">
        <v>57660949</v>
      </c>
    </row>
    <row r="9">
      <c r="A9" s="7" t="inlineStr">
        <is>
          <t>Investment securities</t>
        </is>
      </c>
      <c r="B9" s="7" t="n"/>
      <c r="C9" s="7" t="n">
        <v>146470054</v>
      </c>
      <c r="D9" s="7" t="n">
        <v>151922722</v>
      </c>
      <c r="E9" s="7" t="n">
        <v>107015424</v>
      </c>
      <c r="F9" s="7" t="n">
        <v>82190414</v>
      </c>
    </row>
    <row r="10">
      <c r="A10" s="7" t="inlineStr">
        <is>
          <t>Property and equipment</t>
        </is>
      </c>
      <c r="B10" s="7" t="n"/>
      <c r="C10" s="7" t="n">
        <v>3746354</v>
      </c>
      <c r="D10" s="7" t="n">
        <v>3197915</v>
      </c>
      <c r="E10" s="7" t="n">
        <v>2292269</v>
      </c>
      <c r="F10" s="7" t="n">
        <v>691135</v>
      </c>
    </row>
    <row r="11">
      <c r="A11" s="7" t="inlineStr">
        <is>
          <t>Right-of-use leasehold property</t>
        </is>
      </c>
      <c r="B11" s="7" t="n"/>
      <c r="C11" s="7" t="n">
        <v>9777616</v>
      </c>
      <c r="D11" s="7" t="n">
        <v>10556149</v>
      </c>
      <c r="E11" s="7" t="n">
        <v>11599109</v>
      </c>
      <c r="F11" s="7" t="n">
        <v>616484</v>
      </c>
    </row>
    <row r="12">
      <c r="A12" s="7" t="inlineStr">
        <is>
          <t>Other assets</t>
        </is>
      </c>
      <c r="B12" s="7" t="n"/>
      <c r="C12" s="7" t="n">
        <v>567044</v>
      </c>
      <c r="D12" s="7" t="n">
        <v>440852</v>
      </c>
      <c r="E12" s="7" t="n">
        <v>291795</v>
      </c>
      <c r="F12" s="7" t="n">
        <v>898439</v>
      </c>
    </row>
    <row r="13">
      <c r="A13" s="7" t="inlineStr">
        <is>
          <t>Deferred tax asset</t>
        </is>
      </c>
      <c r="B13" s="7" t="n"/>
      <c r="C13" s="7" t="n">
        <v>9284</v>
      </c>
      <c r="D13" s="7" t="n">
        <v>12379</v>
      </c>
      <c r="E13" s="7" t="n">
        <v>949586</v>
      </c>
      <c r="F13" s="7" t="n">
        <v>2042560</v>
      </c>
    </row>
    <row r="14">
      <c r="A14" s="5" t="inlineStr">
        <is>
          <t>Total assets</t>
        </is>
      </c>
      <c r="B14" s="5" t="n"/>
      <c r="C14" s="5" t="n">
        <v>583445887</v>
      </c>
      <c r="D14" s="5" t="n">
        <v>470783450</v>
      </c>
      <c r="E14" s="5" t="n">
        <v>626844615</v>
      </c>
      <c r="F14" s="5" t="n">
        <v>490836145</v>
      </c>
    </row>
    <row r="15">
      <c r="A15" s="5" t="inlineStr">
        <is>
          <t>Liabilities</t>
        </is>
      </c>
      <c r="B15" s="7" t="n"/>
      <c r="C15" s="7" t="n"/>
      <c r="D15" s="7" t="n"/>
      <c r="E15" s="7" t="n"/>
      <c r="F15" s="7" t="n"/>
    </row>
    <row r="16">
      <c r="A16" s="7" t="inlineStr">
        <is>
          <t>Deposits by banks</t>
        </is>
      </c>
      <c r="B16" s="7" t="n"/>
      <c r="C16" s="7" t="n">
        <v>329988520</v>
      </c>
      <c r="D16" s="7" t="n">
        <v>217403953</v>
      </c>
      <c r="E16" s="7" t="n">
        <v>344658275</v>
      </c>
      <c r="F16" s="7" t="n">
        <v>291426385</v>
      </c>
    </row>
    <row r="17">
      <c r="A17" s="7" t="inlineStr">
        <is>
          <t>Deposits by customers</t>
        </is>
      </c>
      <c r="B17" s="7" t="n"/>
      <c r="C17" s="7" t="n">
        <v>191532438</v>
      </c>
      <c r="D17" s="7" t="n">
        <v>196877072</v>
      </c>
      <c r="E17" s="7" t="n">
        <v>232269660</v>
      </c>
      <c r="F17" s="7" t="n">
        <v>163962244</v>
      </c>
    </row>
    <row r="18">
      <c r="A18" s="7" t="inlineStr">
        <is>
          <t>Leasehold liability</t>
        </is>
      </c>
      <c r="B18" s="7" t="n"/>
      <c r="C18" s="7" t="n">
        <v>10765913</v>
      </c>
      <c r="D18" s="7" t="n">
        <v>11061158</v>
      </c>
      <c r="E18" s="7" t="n">
        <v>11215172</v>
      </c>
      <c r="F18" s="7" t="n">
        <v>704605</v>
      </c>
    </row>
    <row r="19">
      <c r="A19" s="7" t="inlineStr">
        <is>
          <t>Other liabilities</t>
        </is>
      </c>
      <c r="B19" s="7" t="n"/>
      <c r="C19" s="7" t="n">
        <v>2832498</v>
      </c>
      <c r="D19" s="7" t="n">
        <v>5875018</v>
      </c>
      <c r="E19" s="7" t="n">
        <v>10338218</v>
      </c>
      <c r="F19" s="7" t="n">
        <v>9598620</v>
      </c>
    </row>
    <row r="20">
      <c r="A20" s="7" t="inlineStr">
        <is>
          <t>Deferred tax liability</t>
        </is>
      </c>
      <c r="B20" s="7" t="n"/>
      <c r="C20" s="7" t="n">
        <v>251139</v>
      </c>
      <c r="D20" s="7" t="n">
        <v>175256</v>
      </c>
      <c r="E20" s="7" t="n">
        <v>18912</v>
      </c>
      <c r="F20" s="7" t="n">
        <v>54650</v>
      </c>
    </row>
    <row r="21">
      <c r="A21" s="5" t="inlineStr">
        <is>
          <t>Total liabilities</t>
        </is>
      </c>
      <c r="B21" s="5" t="n"/>
      <c r="C21" s="5" t="n">
        <v>535370508</v>
      </c>
      <c r="D21" s="5" t="n">
        <v>431392457</v>
      </c>
      <c r="E21" s="5" t="n">
        <v>598500237</v>
      </c>
      <c r="F21" s="5" t="n">
        <v>465746504</v>
      </c>
    </row>
    <row r="22">
      <c r="A22" s="5" t="inlineStr">
        <is>
          <t>Equity</t>
        </is>
      </c>
      <c r="B22" s="7" t="n"/>
      <c r="C22" s="7" t="n"/>
      <c r="D22" s="7" t="n"/>
      <c r="E22" s="7" t="n"/>
      <c r="F22" s="7" t="n"/>
    </row>
    <row r="23">
      <c r="A23" s="7" t="inlineStr">
        <is>
          <t>Called up share capital</t>
        </is>
      </c>
      <c r="B23" s="7" t="n"/>
      <c r="C23" s="7" t="n">
        <v>37000000</v>
      </c>
      <c r="D23" s="7" t="n">
        <v>37000000</v>
      </c>
      <c r="E23" s="7" t="n">
        <v>37000000</v>
      </c>
      <c r="F23" s="7" t="n">
        <v>37000000</v>
      </c>
    </row>
    <row r="24">
      <c r="A24" s="7" t="inlineStr">
        <is>
          <t>Retained earnings</t>
        </is>
      </c>
      <c r="B24" s="7" t="n"/>
      <c r="C24" s="7" t="n">
        <v>11019326</v>
      </c>
      <c r="D24" s="7" t="n">
        <v>2380687</v>
      </c>
      <c r="E24" s="7" t="n">
        <v>-8026214</v>
      </c>
      <c r="F24" s="7" t="n">
        <v>-11900852</v>
      </c>
    </row>
    <row r="25">
      <c r="A25" s="7" t="inlineStr">
        <is>
          <t>Fair value reserves</t>
        </is>
      </c>
      <c r="B25" s="7" t="n"/>
      <c r="C25" s="7" t="n">
        <v>56053</v>
      </c>
      <c r="D25" s="7" t="n">
        <v>10306</v>
      </c>
      <c r="E25" s="7" t="n">
        <v>-629408</v>
      </c>
      <c r="F25" s="7" t="n">
        <v>-9507</v>
      </c>
    </row>
    <row r="26">
      <c r="A26" s="5" t="inlineStr">
        <is>
          <t>Shareholders' funds (Total equity)</t>
        </is>
      </c>
      <c r="B26" s="5" t="n"/>
      <c r="C26" s="5" t="n">
        <v>48075379</v>
      </c>
      <c r="D26" s="5" t="n">
        <v>39390993</v>
      </c>
      <c r="E26" s="5" t="n">
        <v>28344378</v>
      </c>
      <c r="F26" s="5" t="n">
        <v>25089641</v>
      </c>
    </row>
    <row r="27">
      <c r="A27" s="5" t="inlineStr">
        <is>
          <t>Total liabilities and shareholders' funds</t>
        </is>
      </c>
      <c r="B27" s="5" t="n"/>
      <c r="C27" s="5" t="n">
        <v>583445887</v>
      </c>
      <c r="D27" s="5" t="n">
        <v>470783450</v>
      </c>
      <c r="E27" s="5" t="n">
        <v>626844615</v>
      </c>
      <c r="F27" s="5" t="n">
        <v>490836145</v>
      </c>
    </row>
    <row r="29" ht="260" customHeight="1">
      <c r="A29" s="8" t="inlineStr">
        <is>
          <t>The Bank's own Statement of financial position labels the cash line 'Cash and money market funds'
FY2023-FY2024 and 'Cash and cash equivalents' FY2021-FY2022 - same line, presentation relabelled;
shown on separate rows above rather than merged, to match each year's own disclosed label.
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Comprehensive Income</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income</t>
        </is>
      </c>
      <c r="B5" s="7" t="n"/>
      <c r="C5" s="7" t="n">
        <v>26095367</v>
      </c>
      <c r="D5" s="7" t="n">
        <v>24585386</v>
      </c>
      <c r="E5" s="7" t="n">
        <v>12096324</v>
      </c>
      <c r="F5" s="7" t="n">
        <v>3155907</v>
      </c>
    </row>
    <row r="6">
      <c r="A6" s="7" t="inlineStr">
        <is>
          <t>Interest expense</t>
        </is>
      </c>
      <c r="B6" s="7" t="n"/>
      <c r="C6" s="7" t="n">
        <v>-8140535</v>
      </c>
      <c r="D6" s="7" t="n">
        <v>-5078320</v>
      </c>
      <c r="E6" s="7" t="n">
        <v>-1902227</v>
      </c>
      <c r="F6" s="7" t="n">
        <v>-780155</v>
      </c>
    </row>
    <row r="7">
      <c r="A7" s="5" t="inlineStr">
        <is>
          <t>Net interest income</t>
        </is>
      </c>
      <c r="B7" s="5" t="n"/>
      <c r="C7" s="5" t="n">
        <v>17954832</v>
      </c>
      <c r="D7" s="5" t="n">
        <v>19507066</v>
      </c>
      <c r="E7" s="5" t="n">
        <v>10194097</v>
      </c>
      <c r="F7" s="5" t="n">
        <v>2375752</v>
      </c>
    </row>
    <row r="8">
      <c r="A8" s="7" t="inlineStr">
        <is>
          <t>Fees and commissions income</t>
        </is>
      </c>
      <c r="B8" s="7" t="n"/>
      <c r="C8" s="7" t="n">
        <v>3222120</v>
      </c>
      <c r="D8" s="7" t="n">
        <v>3544250</v>
      </c>
      <c r="E8" s="7" t="n">
        <v>3569967</v>
      </c>
      <c r="F8" s="7" t="n">
        <v>2462438</v>
      </c>
    </row>
    <row r="9">
      <c r="A9" s="7" t="inlineStr">
        <is>
          <t>Other operating income</t>
        </is>
      </c>
      <c r="B9" s="7" t="n"/>
      <c r="C9" s="7" t="n">
        <v>4532851</v>
      </c>
      <c r="D9" s="7" t="n">
        <v>4410543</v>
      </c>
      <c r="E9" s="7" t="n">
        <v>3764651</v>
      </c>
      <c r="F9" s="7" t="n">
        <v>2587967</v>
      </c>
    </row>
    <row r="10">
      <c r="A10" s="5" t="inlineStr">
        <is>
          <t>Operating income</t>
        </is>
      </c>
      <c r="B10" s="5" t="n"/>
      <c r="C10" s="5" t="n">
        <v>25709803</v>
      </c>
      <c r="D10" s="5" t="n">
        <v>27461859</v>
      </c>
      <c r="E10" s="5" t="n">
        <v>17528715</v>
      </c>
      <c r="F10" s="5" t="n">
        <v>7426157</v>
      </c>
    </row>
    <row r="11">
      <c r="A11" s="5" t="inlineStr">
        <is>
          <t>Operating expenses</t>
        </is>
      </c>
      <c r="B11" s="7" t="n"/>
      <c r="C11" s="7" t="n"/>
      <c r="D11" s="7" t="n"/>
      <c r="E11" s="7" t="n"/>
      <c r="F11" s="7" t="n"/>
    </row>
    <row r="12">
      <c r="A12" s="7" t="inlineStr">
        <is>
          <t>Personnel expenses</t>
        </is>
      </c>
      <c r="B12" s="7" t="n"/>
      <c r="C12" s="7" t="n">
        <v>-8202750</v>
      </c>
      <c r="D12" s="7" t="n">
        <v>-8017084</v>
      </c>
      <c r="E12" s="7" t="n">
        <v>-5831341</v>
      </c>
      <c r="F12" s="7" t="n">
        <v>-5096462</v>
      </c>
    </row>
    <row r="13">
      <c r="A13" s="7" t="inlineStr">
        <is>
          <t>Depreciation</t>
        </is>
      </c>
      <c r="B13" s="7" t="n"/>
      <c r="C13" s="7" t="n">
        <v>-1370575</v>
      </c>
      <c r="D13" s="7" t="n">
        <v>-1560012</v>
      </c>
      <c r="E13" s="7" t="n">
        <v>-2176624</v>
      </c>
      <c r="F13" s="7" t="n">
        <v>-1569766</v>
      </c>
    </row>
    <row r="14">
      <c r="A14" s="7" t="inlineStr">
        <is>
          <t>Other operating expenses</t>
        </is>
      </c>
      <c r="B14" s="7" t="n"/>
      <c r="C14" s="7" t="n">
        <v>-4581738</v>
      </c>
      <c r="D14" s="7" t="n">
        <v>-3959278</v>
      </c>
      <c r="E14" s="7" t="n">
        <v>-4458281</v>
      </c>
      <c r="F14" s="7" t="n">
        <v>-10651872</v>
      </c>
    </row>
    <row r="15">
      <c r="A15" s="5" t="inlineStr">
        <is>
          <t>Total operating expenses</t>
        </is>
      </c>
      <c r="B15" s="5" t="n"/>
      <c r="C15" s="5" t="n">
        <v>-14155063</v>
      </c>
      <c r="D15" s="5" t="n">
        <v>-13536374</v>
      </c>
      <c r="E15" s="5" t="n">
        <v>-12466246</v>
      </c>
      <c r="F15" s="5" t="n">
        <v>-17318100</v>
      </c>
    </row>
    <row r="16">
      <c r="A16" s="7" t="inlineStr">
        <is>
          <t>Other income</t>
        </is>
      </c>
      <c r="B16" s="7" t="n"/>
      <c r="C16" s="7" t="n"/>
      <c r="D16" s="7" t="n"/>
      <c r="E16" s="7" t="n">
        <v>180144</v>
      </c>
      <c r="F16" s="7" t="n">
        <v>176822</v>
      </c>
    </row>
    <row r="17">
      <c r="A17" s="7" t="inlineStr">
        <is>
          <t>Rental income</t>
        </is>
      </c>
      <c r="B17" s="7" t="n"/>
      <c r="C17" s="7" t="n"/>
      <c r="D17" s="7" t="n">
        <v>20786</v>
      </c>
      <c r="E17" s="7" t="n"/>
      <c r="F17" s="7" t="n"/>
    </row>
    <row r="18">
      <c r="A18" s="7" t="inlineStr">
        <is>
          <t>Expected credit impairment losses (charge)/reversal</t>
        </is>
      </c>
      <c r="B18" s="7" t="n"/>
      <c r="C18" s="7" t="n">
        <v>-74019</v>
      </c>
      <c r="D18" s="7" t="n">
        <v>12663</v>
      </c>
      <c r="E18" s="7" t="n">
        <v>-120728</v>
      </c>
      <c r="F18" s="7" t="n">
        <v>-17516</v>
      </c>
    </row>
    <row r="19">
      <c r="A19" s="5" t="inlineStr">
        <is>
          <t>Profit/(Loss) before taxation</t>
        </is>
      </c>
      <c r="B19" s="5" t="n"/>
      <c r="C19" s="5" t="n">
        <v>11480721</v>
      </c>
      <c r="D19" s="5" t="n">
        <v>13958934</v>
      </c>
      <c r="E19" s="5" t="n">
        <v>5121885</v>
      </c>
      <c r="F19" s="5" t="n">
        <v>-9732637</v>
      </c>
    </row>
    <row r="20">
      <c r="A20" s="7" t="inlineStr">
        <is>
          <t>Taxation (charge)/credit</t>
        </is>
      </c>
      <c r="B20" s="7" t="n"/>
      <c r="C20" s="7" t="n">
        <v>-2842082</v>
      </c>
      <c r="D20" s="7" t="n">
        <v>-3552033</v>
      </c>
      <c r="E20" s="7" t="n">
        <v>-1247247</v>
      </c>
      <c r="F20" s="7" t="n">
        <v>1402823</v>
      </c>
    </row>
    <row r="21">
      <c r="A21" s="5" t="inlineStr">
        <is>
          <t>Profit/(Loss) for the year</t>
        </is>
      </c>
      <c r="B21" s="5" t="n"/>
      <c r="C21" s="5" t="n">
        <v>8638639</v>
      </c>
      <c r="D21" s="5" t="n">
        <v>10406901</v>
      </c>
      <c r="E21" s="5" t="n">
        <v>3874638</v>
      </c>
      <c r="F21" s="5" t="n">
        <v>-8329814</v>
      </c>
    </row>
    <row r="22">
      <c r="A22" s="5" t="inlineStr">
        <is>
          <t>Other comprehensive income, net of corporation tax</t>
        </is>
      </c>
      <c r="B22" s="7" t="n"/>
      <c r="C22" s="7" t="n"/>
      <c r="D22" s="7" t="n"/>
      <c r="E22" s="7" t="n"/>
      <c r="F22" s="7" t="n"/>
    </row>
    <row r="23">
      <c r="A23" s="7" t="inlineStr">
        <is>
          <t>Fair value gain/(loss) on FVOCI investment securities, net of tax</t>
        </is>
      </c>
      <c r="B23" s="7" t="n"/>
      <c r="C23" s="7" t="n">
        <v>56053</v>
      </c>
      <c r="D23" s="7" t="n">
        <v>10306</v>
      </c>
      <c r="E23" s="7" t="n">
        <v>-629408</v>
      </c>
      <c r="F23" s="7" t="n">
        <v>-6686</v>
      </c>
    </row>
    <row r="24">
      <c r="A24" s="7" t="inlineStr">
        <is>
          <t>Fair value (gain)/loss reclassified to profit or loss</t>
        </is>
      </c>
      <c r="B24" s="7" t="n"/>
      <c r="C24" s="7" t="n">
        <v>-10306</v>
      </c>
      <c r="D24" s="7" t="n">
        <v>629408</v>
      </c>
      <c r="E24" s="7" t="n">
        <v>9507</v>
      </c>
      <c r="F24" s="7" t="n">
        <v>-9507</v>
      </c>
    </row>
    <row r="25">
      <c r="A25" s="5" t="inlineStr">
        <is>
          <t>Total comprehensive income/(loss) for the year, net of tax</t>
        </is>
      </c>
      <c r="B25" s="5" t="n"/>
      <c r="C25" s="5" t="n">
        <v>8684386</v>
      </c>
      <c r="D25" s="5" t="n">
        <v>11046615</v>
      </c>
      <c r="E25" s="5" t="n">
        <v>3254737</v>
      </c>
      <c r="F25" s="5" t="n">
        <v>-8346007</v>
      </c>
    </row>
    <row r="27" ht="200" customHeight="1">
      <c r="A27"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Guaranty Trust Bank (UK)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chain.</t>
        </is>
      </c>
    </row>
    <row r="3">
      <c r="A3" s="4" t="inlineStr">
        <is>
          <t>Movement</t>
        </is>
      </c>
      <c r="B3" s="4" t="inlineStr">
        <is>
          <t>Share capital</t>
        </is>
      </c>
      <c r="C3" s="4" t="inlineStr">
        <is>
          <t>Retained earnings</t>
        </is>
      </c>
      <c r="D3" s="4" t="inlineStr">
        <is>
          <t>Fair value reserve</t>
        </is>
      </c>
      <c r="E3" s="4" t="inlineStr">
        <is>
          <t>Total equity</t>
        </is>
      </c>
    </row>
    <row r="4">
      <c r="A4" s="7" t="inlineStr">
        <is>
          <t>Balance as at 1 January 2021</t>
        </is>
      </c>
      <c r="B4" s="7" t="n">
        <v>37000000</v>
      </c>
      <c r="C4" s="7" t="n">
        <v>-3571038</v>
      </c>
      <c r="D4" s="7" t="n">
        <v>6686</v>
      </c>
      <c r="E4" s="7" t="n">
        <v>33435648</v>
      </c>
    </row>
    <row r="5">
      <c r="A5" s="7" t="inlineStr">
        <is>
          <t>Loss for the year</t>
        </is>
      </c>
      <c r="B5" s="7" t="n"/>
      <c r="C5" s="7" t="n">
        <v>-8329814</v>
      </c>
      <c r="D5" s="7" t="n"/>
      <c r="E5" s="7" t="n">
        <v>-8329814</v>
      </c>
    </row>
    <row r="6">
      <c r="A6" s="7" t="inlineStr">
        <is>
          <t>Net change in fair value</t>
        </is>
      </c>
      <c r="B6" s="7" t="n"/>
      <c r="C6" s="7" t="n"/>
      <c r="D6" s="7" t="n">
        <v>-6686</v>
      </c>
      <c r="E6" s="7" t="n">
        <v>-6686</v>
      </c>
    </row>
    <row r="7">
      <c r="A7" s="7" t="inlineStr">
        <is>
          <t>Net amount reclassified to P&amp;L</t>
        </is>
      </c>
      <c r="B7" s="7" t="n"/>
      <c r="C7" s="7" t="n"/>
      <c r="D7" s="7" t="n">
        <v>-9507</v>
      </c>
      <c r="E7" s="7" t="n">
        <v>-9507</v>
      </c>
    </row>
    <row r="8">
      <c r="A8" s="5" t="inlineStr">
        <is>
          <t>Balance as at 31 December 2021</t>
        </is>
      </c>
      <c r="B8" s="5" t="n">
        <v>37000000</v>
      </c>
      <c r="C8" s="5" t="n">
        <v>-11900852</v>
      </c>
      <c r="D8" s="5" t="n">
        <v>-9507</v>
      </c>
      <c r="E8" s="5" t="n">
        <v>25089641</v>
      </c>
    </row>
    <row r="9">
      <c r="A9" s="7" t="inlineStr">
        <is>
          <t>Profit for the year</t>
        </is>
      </c>
      <c r="B9" s="7" t="n"/>
      <c r="C9" s="7" t="n">
        <v>3874638</v>
      </c>
      <c r="D9" s="7" t="n"/>
      <c r="E9" s="7" t="n">
        <v>3874638</v>
      </c>
    </row>
    <row r="10">
      <c r="A10" s="7" t="inlineStr">
        <is>
          <t>Fair value (loss) on FVOCI investment securities, net of tax</t>
        </is>
      </c>
      <c r="B10" s="7" t="n"/>
      <c r="C10" s="7" t="n"/>
      <c r="D10" s="7" t="n">
        <v>-629408</v>
      </c>
      <c r="E10" s="7" t="n">
        <v>-629408</v>
      </c>
    </row>
    <row r="11">
      <c r="A11" s="7" t="inlineStr">
        <is>
          <t>Net profit/(loss) reclassified to profit or loss</t>
        </is>
      </c>
      <c r="B11" s="7" t="n"/>
      <c r="C11" s="7" t="n"/>
      <c r="D11" s="7" t="n">
        <v>9507</v>
      </c>
      <c r="E11" s="7" t="n">
        <v>9507</v>
      </c>
    </row>
    <row r="12">
      <c r="A12" s="5" t="inlineStr">
        <is>
          <t>Balance as at 31 December 2022</t>
        </is>
      </c>
      <c r="B12" s="5" t="n">
        <v>37000000</v>
      </c>
      <c r="C12" s="5" t="n">
        <v>-8026214</v>
      </c>
      <c r="D12" s="5" t="n">
        <v>-629408</v>
      </c>
      <c r="E12" s="5" t="n">
        <v>28344378</v>
      </c>
    </row>
    <row r="13">
      <c r="A13" s="7" t="inlineStr">
        <is>
          <t>Profit for the year</t>
        </is>
      </c>
      <c r="B13" s="7" t="n"/>
      <c r="C13" s="7" t="n">
        <v>10406901</v>
      </c>
      <c r="D13" s="7" t="n"/>
      <c r="E13" s="7" t="n">
        <v>10406901</v>
      </c>
    </row>
    <row r="14">
      <c r="A14" s="7" t="inlineStr">
        <is>
          <t>Fair value gain on FVOCI investment securities, net of tax</t>
        </is>
      </c>
      <c r="B14" s="7" t="n"/>
      <c r="C14" s="7" t="n"/>
      <c r="D14" s="7" t="n">
        <v>10306</v>
      </c>
      <c r="E14" s="7" t="n">
        <v>10306</v>
      </c>
    </row>
    <row r="15">
      <c r="A15" s="7" t="inlineStr">
        <is>
          <t>Fair value loss reclassified to profit or loss</t>
        </is>
      </c>
      <c r="B15" s="7" t="n"/>
      <c r="C15" s="7" t="n"/>
      <c r="D15" s="7" t="n">
        <v>629408</v>
      </c>
      <c r="E15" s="7" t="n">
        <v>629408</v>
      </c>
    </row>
    <row r="16">
      <c r="A16" s="5" t="inlineStr">
        <is>
          <t>Balance as at 31 December 2023</t>
        </is>
      </c>
      <c r="B16" s="5" t="n">
        <v>37000000</v>
      </c>
      <c r="C16" s="5" t="n">
        <v>2380687</v>
      </c>
      <c r="D16" s="5" t="n">
        <v>10306</v>
      </c>
      <c r="E16" s="5" t="n">
        <v>39390993</v>
      </c>
    </row>
    <row r="17">
      <c r="A17" s="7" t="inlineStr">
        <is>
          <t>Profit for the year</t>
        </is>
      </c>
      <c r="B17" s="7" t="n"/>
      <c r="C17" s="7" t="n">
        <v>8638639</v>
      </c>
      <c r="D17" s="7" t="n"/>
      <c r="E17" s="7" t="n">
        <v>8638639</v>
      </c>
    </row>
    <row r="18">
      <c r="A18" s="7" t="inlineStr">
        <is>
          <t>Fair value gain on FVOCI investment securities, net of tax</t>
        </is>
      </c>
      <c r="B18" s="7" t="n"/>
      <c r="C18" s="7" t="n"/>
      <c r="D18" s="7" t="n">
        <v>56053</v>
      </c>
      <c r="E18" s="7" t="n">
        <v>56053</v>
      </c>
    </row>
    <row r="19">
      <c r="A19" s="7" t="inlineStr">
        <is>
          <t>Fair value gain reclassified to profit or loss</t>
        </is>
      </c>
      <c r="B19" s="7" t="n"/>
      <c r="C19" s="7" t="n"/>
      <c r="D19" s="7" t="n">
        <v>-10306</v>
      </c>
      <c r="E19" s="7" t="n">
        <v>-10306</v>
      </c>
    </row>
    <row r="20">
      <c r="A20" s="5" t="inlineStr">
        <is>
          <t>Balance as at 31 December 2024</t>
        </is>
      </c>
      <c r="B20" s="5" t="n">
        <v>37000000</v>
      </c>
      <c r="C20" s="5" t="n">
        <v>11019326</v>
      </c>
      <c r="D20" s="5" t="n">
        <v>56053</v>
      </c>
      <c r="E20" s="5" t="n">
        <v>48075379</v>
      </c>
    </row>
    <row r="22" ht="200" customHeight="1">
      <c r="A22"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Cash Flows</t>
        </is>
      </c>
    </row>
    <row r="2">
      <c r="A2" s="2" t="inlineStr">
        <is>
          <t>As originally published in each year's own Annual Report (see DATA QUALITY note on a FY2021/FY2022 cash-equivalents basis discontinuity in the source citation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7" t="n"/>
      <c r="C4" s="7" t="n"/>
      <c r="D4" s="7" t="n"/>
      <c r="E4" s="7" t="n"/>
      <c r="F4" s="7" t="n"/>
    </row>
    <row r="5">
      <c r="A5" s="7" t="inlineStr">
        <is>
          <t>Profit/(Loss) for the period before taxation</t>
        </is>
      </c>
      <c r="B5" s="7" t="n"/>
      <c r="C5" s="7" t="n">
        <v>11480721</v>
      </c>
      <c r="D5" s="7" t="n">
        <v>13958934</v>
      </c>
      <c r="E5" s="7" t="n">
        <v>5121885</v>
      </c>
      <c r="F5" s="7" t="n">
        <v>-9732637</v>
      </c>
    </row>
    <row r="6">
      <c r="A6" s="7" t="inlineStr">
        <is>
          <t>Amortisation of investment securities</t>
        </is>
      </c>
      <c r="B6" s="7" t="n"/>
      <c r="C6" s="7" t="n"/>
      <c r="D6" s="7" t="n"/>
      <c r="E6" s="7" t="n">
        <v>-1476950</v>
      </c>
      <c r="F6" s="7" t="n">
        <v>-1408658</v>
      </c>
    </row>
    <row r="7">
      <c r="A7" s="7" t="inlineStr">
        <is>
          <t>Interest income from investment securities</t>
        </is>
      </c>
      <c r="B7" s="7" t="n"/>
      <c r="C7" s="7" t="n">
        <v>-7475529</v>
      </c>
      <c r="D7" s="7" t="n">
        <v>-7178103</v>
      </c>
      <c r="E7" s="7" t="n"/>
      <c r="F7" s="7" t="n"/>
    </row>
    <row r="8">
      <c r="A8" s="7" t="inlineStr">
        <is>
          <t>Depreciation</t>
        </is>
      </c>
      <c r="B8" s="7" t="n"/>
      <c r="C8" s="7" t="n">
        <v>592042</v>
      </c>
      <c r="D8" s="7" t="n">
        <v>517052</v>
      </c>
      <c r="E8" s="7" t="n">
        <v>379244</v>
      </c>
      <c r="F8" s="7" t="n">
        <v>570173</v>
      </c>
    </row>
    <row r="9">
      <c r="A9" s="7" t="inlineStr">
        <is>
          <t>Net (increase)/decrease in fair value of securities</t>
        </is>
      </c>
      <c r="B9" s="7" t="n"/>
      <c r="C9" s="7" t="n"/>
      <c r="D9" s="7" t="n"/>
      <c r="E9" s="7" t="n"/>
      <c r="F9" s="7" t="n">
        <v>-1192264</v>
      </c>
    </row>
    <row r="10">
      <c r="A10" s="7" t="inlineStr">
        <is>
          <t>Expected credit losses / allowances for credit impairment charge/(reversal)</t>
        </is>
      </c>
      <c r="B10" s="7" t="n"/>
      <c r="C10" s="7" t="n">
        <v>74019</v>
      </c>
      <c r="D10" s="7" t="n">
        <v>-12663</v>
      </c>
      <c r="E10" s="7" t="n">
        <v>120728</v>
      </c>
      <c r="F10" s="7" t="n"/>
    </row>
    <row r="11">
      <c r="A11" s="7" t="inlineStr">
        <is>
          <t>Effective interest rate adjustment</t>
        </is>
      </c>
      <c r="B11" s="7" t="n"/>
      <c r="C11" s="7" t="n">
        <v>-166166</v>
      </c>
      <c r="D11" s="7" t="n">
        <v>-271506</v>
      </c>
      <c r="E11" s="7" t="n">
        <v>-126000</v>
      </c>
      <c r="F11" s="7" t="n"/>
    </row>
    <row r="12">
      <c r="A12" s="7" t="inlineStr">
        <is>
          <t>Lease finance charge</t>
        </is>
      </c>
      <c r="B12" s="7" t="n"/>
      <c r="C12" s="7" t="n">
        <v>410509</v>
      </c>
      <c r="D12" s="7" t="n">
        <v>415986</v>
      </c>
      <c r="E12" s="7" t="n">
        <v>209082</v>
      </c>
      <c r="F12" s="7" t="n"/>
    </row>
    <row r="13">
      <c r="A13" s="7" t="inlineStr">
        <is>
          <t>Provision for lease dilapidation</t>
        </is>
      </c>
      <c r="B13" s="7" t="n"/>
      <c r="C13" s="7" t="n">
        <v>11240</v>
      </c>
      <c r="D13" s="7" t="n">
        <v>10833</v>
      </c>
      <c r="E13" s="7" t="n"/>
      <c r="F13" s="7" t="n"/>
    </row>
    <row r="14">
      <c r="A14" s="7" t="inlineStr">
        <is>
          <t>Depreciation of leasehold right of use asset</t>
        </is>
      </c>
      <c r="B14" s="7" t="n"/>
      <c r="C14" s="7" t="n">
        <v>778533</v>
      </c>
      <c r="D14" s="7" t="n">
        <v>1042960</v>
      </c>
      <c r="E14" s="7" t="n">
        <v>1797381</v>
      </c>
      <c r="F14" s="7" t="n">
        <v>999594</v>
      </c>
    </row>
    <row r="15">
      <c r="A15" s="5" t="inlineStr">
        <is>
          <t>Operating cash flows before movement in working capital</t>
        </is>
      </c>
      <c r="B15" s="5" t="n"/>
      <c r="C15" s="5" t="n">
        <v>5705369</v>
      </c>
      <c r="D15" s="5" t="n">
        <v>8483493</v>
      </c>
      <c r="E15" s="5" t="n">
        <v>6025370</v>
      </c>
      <c r="F15" s="5" t="n">
        <v>-10764152</v>
      </c>
    </row>
    <row r="16">
      <c r="A16" s="7" t="inlineStr">
        <is>
          <t>(Increase)/decrease in loans and advances to banks</t>
        </is>
      </c>
      <c r="B16" s="7" t="n"/>
      <c r="C16" s="7" t="n">
        <v>-44371958</v>
      </c>
      <c r="D16" s="7" t="n">
        <v>54491422</v>
      </c>
      <c r="E16" s="7" t="n">
        <v>-6313430</v>
      </c>
      <c r="F16" s="7" t="n">
        <v>29961133</v>
      </c>
    </row>
    <row r="17">
      <c r="A17" s="7" t="inlineStr">
        <is>
          <t>(Increase)/decrease in loans and advances to customers</t>
        </is>
      </c>
      <c r="B17" s="7" t="n"/>
      <c r="C17" s="7" t="n">
        <v>-4695033</v>
      </c>
      <c r="D17" s="7" t="n">
        <v>4426364</v>
      </c>
      <c r="E17" s="7" t="n">
        <v>-4402308</v>
      </c>
      <c r="F17" s="7" t="n">
        <v>-6639736</v>
      </c>
    </row>
    <row r="18">
      <c r="A18" s="7" t="inlineStr">
        <is>
          <t>Increase/(decrease) in other assets</t>
        </is>
      </c>
      <c r="B18" s="7" t="n"/>
      <c r="C18" s="7" t="n">
        <v>-126192</v>
      </c>
      <c r="D18" s="7" t="n">
        <v>-149057</v>
      </c>
      <c r="E18" s="7" t="n">
        <v>606644</v>
      </c>
      <c r="F18" s="7" t="n">
        <v>52687</v>
      </c>
    </row>
    <row r="19">
      <c r="A19" s="7" t="inlineStr">
        <is>
          <t>Increase/(decrease) in deposits by banks</t>
        </is>
      </c>
      <c r="B19" s="7" t="n"/>
      <c r="C19" s="7" t="n">
        <v>112584567</v>
      </c>
      <c r="D19" s="7" t="n">
        <v>-127254322</v>
      </c>
      <c r="E19" s="7" t="n">
        <v>53231890</v>
      </c>
      <c r="F19" s="7" t="n">
        <v>23544174</v>
      </c>
    </row>
    <row r="20">
      <c r="A20" s="7" t="inlineStr">
        <is>
          <t>Increase/(decrease) in deposits by customers</t>
        </is>
      </c>
      <c r="B20" s="7" t="n"/>
      <c r="C20" s="7" t="n">
        <v>-5344634</v>
      </c>
      <c r="D20" s="7" t="n">
        <v>-35392588</v>
      </c>
      <c r="E20" s="7" t="n">
        <v>68307416</v>
      </c>
      <c r="F20" s="7" t="n">
        <v>9653264</v>
      </c>
    </row>
    <row r="21">
      <c r="A21" s="7" t="inlineStr">
        <is>
          <t>Increase/(decrease) in other liabilities</t>
        </is>
      </c>
      <c r="B21" s="7" t="n"/>
      <c r="C21" s="7" t="n">
        <v>-1147659</v>
      </c>
      <c r="D21" s="7" t="n">
        <v>-6957695</v>
      </c>
      <c r="E21" s="7" t="n">
        <v>491009</v>
      </c>
      <c r="F21" s="7" t="n">
        <v>6491319</v>
      </c>
    </row>
    <row r="22">
      <c r="A22" s="5" t="inlineStr">
        <is>
          <t>Changes in working capital (cumulative, incl. operating cash flows above)</t>
        </is>
      </c>
      <c r="B22" s="5" t="n"/>
      <c r="C22" s="5" t="n">
        <v>62604460</v>
      </c>
      <c r="D22" s="5" t="n">
        <v>-102352383</v>
      </c>
      <c r="E22" s="5" t="n">
        <v>117946591</v>
      </c>
      <c r="F22" s="5" t="n">
        <v>52298689</v>
      </c>
    </row>
    <row r="23">
      <c r="A23" s="7" t="inlineStr">
        <is>
          <t>Interest paid on leases</t>
        </is>
      </c>
      <c r="B23" s="7" t="n"/>
      <c r="C23" s="7" t="n"/>
      <c r="D23" s="7" t="n"/>
      <c r="E23" s="7" t="n">
        <v>-209082</v>
      </c>
      <c r="F23" s="7" t="n"/>
    </row>
    <row r="24">
      <c r="A24" s="7" t="inlineStr">
        <is>
          <t>Corporation tax (paid)/received</t>
        </is>
      </c>
      <c r="B24" s="7" t="n"/>
      <c r="C24" s="7" t="n">
        <v>-4669205</v>
      </c>
      <c r="D24" s="7" t="n">
        <v>25181</v>
      </c>
      <c r="E24" s="7" t="n"/>
      <c r="F24" s="7" t="n">
        <v>0</v>
      </c>
    </row>
    <row r="25">
      <c r="A25" s="5" t="inlineStr">
        <is>
          <t>Net cash flow from/(used in) operating activities</t>
        </is>
      </c>
      <c r="B25" s="5" t="n"/>
      <c r="C25" s="5" t="n">
        <v>57935255</v>
      </c>
      <c r="D25" s="5" t="n">
        <v>-102327202</v>
      </c>
      <c r="E25" s="5" t="n">
        <v>117737509</v>
      </c>
      <c r="F25" s="5" t="n">
        <v>52298689</v>
      </c>
    </row>
    <row r="26">
      <c r="A26" s="5" t="inlineStr">
        <is>
          <t>Cash flows from investing activities</t>
        </is>
      </c>
      <c r="B26" s="7" t="n"/>
      <c r="C26" s="7" t="n"/>
      <c r="D26" s="7" t="n"/>
      <c r="E26" s="7" t="n"/>
      <c r="F26" s="7" t="n"/>
    </row>
    <row r="27">
      <c r="A27" s="7" t="inlineStr">
        <is>
          <t>Acquisition of investment securities</t>
        </is>
      </c>
      <c r="B27" s="7" t="n"/>
      <c r="C27" s="7" t="n">
        <v>-309552620</v>
      </c>
      <c r="D27" s="7" t="n">
        <v>-322726031</v>
      </c>
      <c r="E27" s="7" t="n">
        <v>-243814896</v>
      </c>
      <c r="F27" s="7" t="n">
        <v>-160562399</v>
      </c>
    </row>
    <row r="28">
      <c r="A28" s="7" t="inlineStr">
        <is>
          <t>Sale and maturity of investment securities</t>
        </is>
      </c>
      <c r="B28" s="7" t="n"/>
      <c r="C28" s="7" t="n">
        <v>315933183</v>
      </c>
      <c r="D28" s="7" t="n">
        <v>280019392</v>
      </c>
      <c r="E28" s="7" t="n">
        <v>219731160</v>
      </c>
      <c r="F28" s="7" t="n">
        <v>142726224</v>
      </c>
    </row>
    <row r="29">
      <c r="A29" s="7" t="inlineStr">
        <is>
          <t>Interest received from investment securities</t>
        </is>
      </c>
      <c r="B29" s="7" t="n"/>
      <c r="C29" s="7" t="n">
        <v>6597200</v>
      </c>
      <c r="D29" s="7" t="n">
        <v>5617158</v>
      </c>
      <c r="E29" s="7" t="n"/>
      <c r="F29" s="7" t="n"/>
    </row>
    <row r="30">
      <c r="A30" s="7" t="inlineStr">
        <is>
          <t>Acquisition of property and equipment</t>
        </is>
      </c>
      <c r="B30" s="7" t="n"/>
      <c r="C30" s="7" t="n">
        <v>-1140481</v>
      </c>
      <c r="D30" s="7" t="n">
        <v>-1422698</v>
      </c>
      <c r="E30" s="7" t="n">
        <v>-1980378</v>
      </c>
      <c r="F30" s="7" t="n">
        <v>-81236</v>
      </c>
    </row>
    <row r="31">
      <c r="A31" s="5" t="inlineStr">
        <is>
          <t>Net cash flow from/(used in) investing activities</t>
        </is>
      </c>
      <c r="B31" s="5" t="n"/>
      <c r="C31" s="5" t="n">
        <v>11837282</v>
      </c>
      <c r="D31" s="5" t="n">
        <v>-38512179</v>
      </c>
      <c r="E31" s="5" t="n">
        <v>-26064114</v>
      </c>
      <c r="F31" s="5" t="n">
        <v>-17917411</v>
      </c>
    </row>
    <row r="32">
      <c r="A32" s="5" t="inlineStr">
        <is>
          <t>Cash flows from financing activities</t>
        </is>
      </c>
      <c r="B32" s="7" t="n"/>
      <c r="C32" s="7" t="n"/>
      <c r="D32" s="7" t="n"/>
      <c r="E32" s="7" t="n"/>
      <c r="F32" s="7" t="n"/>
    </row>
    <row r="33">
      <c r="A33" s="7" t="inlineStr">
        <is>
          <t>Repayment of lease</t>
        </is>
      </c>
      <c r="B33" s="7" t="n"/>
      <c r="C33" s="7" t="n">
        <v>-705754</v>
      </c>
      <c r="D33" s="7" t="n">
        <v>-570000</v>
      </c>
      <c r="E33" s="7" t="n"/>
      <c r="F33" s="7" t="n"/>
    </row>
    <row r="34">
      <c r="A34" s="7" t="inlineStr">
        <is>
          <t>Increase/(decrease) in lease liabilities</t>
        </is>
      </c>
      <c r="B34" s="7" t="n"/>
      <c r="C34" s="7" t="n"/>
      <c r="D34" s="7" t="n"/>
      <c r="E34" s="7" t="n">
        <v>-1892429</v>
      </c>
      <c r="F34" s="7" t="n">
        <v>-1411693</v>
      </c>
    </row>
    <row r="35">
      <c r="A35" s="5" t="inlineStr">
        <is>
          <t>Net cash flow from/(used in) financing activities</t>
        </is>
      </c>
      <c r="B35" s="5" t="n"/>
      <c r="C35" s="5" t="n">
        <v>-705754</v>
      </c>
      <c r="D35" s="5" t="n">
        <v>-570000</v>
      </c>
      <c r="E35" s="5" t="n">
        <v>-1892429</v>
      </c>
      <c r="F35" s="5" t="n">
        <v>-1411693</v>
      </c>
    </row>
    <row r="36">
      <c r="A36" s="5" t="inlineStr">
        <is>
          <t>Net increase/(decrease) in cash and cash equivalents</t>
        </is>
      </c>
      <c r="B36" s="5" t="n"/>
      <c r="C36" s="5" t="n">
        <v>69066783</v>
      </c>
      <c r="D36" s="5" t="n">
        <v>-141409381</v>
      </c>
      <c r="E36" s="5" t="n">
        <v>89780966</v>
      </c>
      <c r="F36" s="5" t="n">
        <v>32969585</v>
      </c>
    </row>
    <row r="37">
      <c r="A37" s="7" t="inlineStr">
        <is>
          <t>Cash and cash equivalents at the beginning of the year</t>
        </is>
      </c>
      <c r="B37" s="7" t="n"/>
      <c r="C37" s="7" t="n">
        <v>238999407</v>
      </c>
      <c r="D37" s="7" t="n">
        <v>380408788</v>
      </c>
      <c r="E37" s="7" t="n">
        <v>290627822</v>
      </c>
      <c r="F37" s="7" t="n">
        <v>83305985</v>
      </c>
    </row>
    <row r="38">
      <c r="A38" s="5" t="inlineStr">
        <is>
          <t>Cash and cash equivalents at the end of the year</t>
        </is>
      </c>
      <c r="B38" s="5" t="n"/>
      <c r="C38" s="5" t="n">
        <v>308066190</v>
      </c>
      <c r="D38" s="5" t="n">
        <v>238999407</v>
      </c>
      <c r="E38" s="5" t="n">
        <v>380408788</v>
      </c>
      <c r="F38" s="5" t="n">
        <v>116275570</v>
      </c>
    </row>
    <row r="40" ht="230" customHeight="1">
      <c r="A40" s="8" t="inlineStr">
        <is>
          <t>Sources - all figures are Guaranty Trust Bank (UK) Limited's own Statement of Cash Flows, as originally
published in each year's own Companies House-filed Annual Report and Financial Statements (not a later
year's restated comparative, except where noted):
FY2024: Annual Report for the year ended 31 Dec 2024, p.26-27 (Statement of Cash Flows) - https://find-and-update.company-information.service.gov.uk/company/05969821/filing-history/MzQ2NTE3NTM2NmFkaXF6a2N4/document?format=pdf&amp;download=0
FY2023: as above (FY2024 Annual Report's own FY2023 comparative column, p.26-27) - https://find-and-update.company-information.service.gov.uk/company/05969821/filing-history/MzQ2NTE3NTM2NmFkaXF6a2N4/document?format=pdf&amp;download=0
FY2022: Annual Report for the year ended 31 Dec 2022, p.25 (Statement of cash flows) - https://find-and-update.company-information.service.gov.uk/company/05969821/filing-history/MzQwNjA2NDkyOGFkaXF6a2N4/document?format=pdf&amp;download=0
FY2021: Annual Report for the year ended 31 Dec 2021, p.24 (Statement of cash flows)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Asset Quality</t>
        </is>
      </c>
    </row>
    <row r="2">
      <c r="A2" s="2" t="inlineStr">
        <is>
          <t>Loan book by maturity band and Expected Credit Loss (ECL) allowance, as originally published each year. The Bank does not disclose an IFRS 9 Stage 1/2/3 split anywhere in its Annual Report - only a single aggregate ECL figure per loan category - confirmed by reading Notes 12/13 and Note 23 (credit risk) in full each year;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banks</t>
        </is>
      </c>
      <c r="B4" s="7" t="n"/>
      <c r="C4" s="7" t="n"/>
      <c r="D4" s="7" t="n"/>
      <c r="E4" s="7" t="n"/>
      <c r="F4" s="7" t="n"/>
    </row>
    <row r="5">
      <c r="A5" s="7" t="inlineStr">
        <is>
          <t>Three months or less</t>
        </is>
      </c>
      <c r="B5" s="7" t="n"/>
      <c r="C5" s="7" t="n">
        <v>207403713</v>
      </c>
      <c r="D5" s="7" t="n">
        <v>144634176</v>
      </c>
      <c r="E5" s="7" t="n">
        <v>335020113</v>
      </c>
      <c r="F5" s="7" t="n">
        <v>218116770</v>
      </c>
    </row>
    <row r="6">
      <c r="A6" s="7" t="inlineStr">
        <is>
          <t>One year or less but over three months</t>
        </is>
      </c>
      <c r="B6" s="7" t="n"/>
      <c r="C6" s="7" t="n">
        <v>52375036</v>
      </c>
      <c r="D6" s="7" t="n">
        <v>8003078</v>
      </c>
      <c r="E6" s="7" t="n">
        <v>10166817</v>
      </c>
      <c r="F6" s="7" t="n">
        <v>12416941</v>
      </c>
    </row>
    <row r="7">
      <c r="A7" s="7" t="inlineStr">
        <is>
          <t>Expected credit losses</t>
        </is>
      </c>
      <c r="B7" s="7" t="n"/>
      <c r="C7" s="7" t="n">
        <v>-100281</v>
      </c>
      <c r="D7" s="7" t="n">
        <v>-24848</v>
      </c>
      <c r="E7" s="7" t="n">
        <v>-79006</v>
      </c>
      <c r="F7" s="7" t="n">
        <v>-73117</v>
      </c>
    </row>
    <row r="8">
      <c r="A8" s="5" t="inlineStr">
        <is>
          <t>Net loans and advances to banks</t>
        </is>
      </c>
      <c r="B8" s="5" t="n"/>
      <c r="C8" s="5" t="n">
        <v>259678468</v>
      </c>
      <c r="D8" s="5" t="n">
        <v>152612406</v>
      </c>
      <c r="E8" s="5" t="n">
        <v>345107924</v>
      </c>
      <c r="F8" s="5" t="n">
        <v>230460594</v>
      </c>
    </row>
    <row r="9">
      <c r="A9" s="5" t="inlineStr">
        <is>
          <t>Loans and advances to customers</t>
        </is>
      </c>
      <c r="B9" s="7" t="n"/>
      <c r="C9" s="7" t="n"/>
      <c r="D9" s="7" t="n"/>
      <c r="E9" s="7" t="n"/>
      <c r="F9" s="7" t="n"/>
    </row>
    <row r="10">
      <c r="A10" s="7" t="inlineStr">
        <is>
          <t>Three months or less</t>
        </is>
      </c>
      <c r="B10" s="7" t="n"/>
      <c r="C10" s="7" t="n">
        <v>1784014</v>
      </c>
      <c r="D10" s="7" t="n">
        <v>1022971</v>
      </c>
      <c r="E10" s="7" t="n">
        <v>1040567</v>
      </c>
      <c r="F10" s="7" t="n">
        <v>1416091</v>
      </c>
    </row>
    <row r="11">
      <c r="A11" s="7" t="inlineStr">
        <is>
          <t>One year or less but over three months</t>
        </is>
      </c>
      <c r="B11" s="7" t="n"/>
      <c r="C11" s="7" t="n">
        <v>5175504</v>
      </c>
      <c r="D11" s="7" t="n">
        <v>4571746</v>
      </c>
      <c r="E11" s="7" t="n">
        <v>6260705</v>
      </c>
      <c r="F11" s="7" t="n">
        <v>4406409</v>
      </c>
    </row>
    <row r="12">
      <c r="A12" s="7" t="inlineStr">
        <is>
          <t>Five years or less but over one year</t>
        </is>
      </c>
      <c r="B12" s="7" t="n"/>
      <c r="C12" s="7" t="n">
        <v>17362794</v>
      </c>
      <c r="D12" s="7" t="n">
        <v>15880590</v>
      </c>
      <c r="E12" s="7" t="n">
        <v>15958829</v>
      </c>
      <c r="F12" s="7" t="n">
        <v>16188919</v>
      </c>
    </row>
    <row r="13">
      <c r="A13" s="7" t="inlineStr">
        <is>
          <t>Over five years</t>
        </is>
      </c>
      <c r="B13" s="7" t="n"/>
      <c r="C13" s="7" t="n">
        <v>38770629</v>
      </c>
      <c r="D13" s="7" t="n">
        <v>36660770</v>
      </c>
      <c r="E13" s="7" t="n">
        <v>39112659</v>
      </c>
      <c r="F13" s="7" t="n">
        <v>35959033</v>
      </c>
    </row>
    <row r="14">
      <c r="A14" s="7" t="inlineStr">
        <is>
          <t>Less: Deferred Mortgage Arrangement Fees (EIR liability)</t>
        </is>
      </c>
      <c r="B14" s="7" t="n"/>
      <c r="C14" s="7" t="n">
        <v>-532746</v>
      </c>
      <c r="D14" s="7" t="n">
        <v>-437081</v>
      </c>
      <c r="E14" s="7" t="n">
        <v>-389084</v>
      </c>
      <c r="F14" s="7" t="n">
        <v>-307451</v>
      </c>
    </row>
    <row r="15">
      <c r="A15" s="7" t="inlineStr">
        <is>
          <t>Expected credit losses</t>
        </is>
      </c>
      <c r="B15" s="7" t="n"/>
      <c r="C15" s="7" t="n">
        <v>-25605</v>
      </c>
      <c r="D15" s="7" t="n">
        <v>-23200</v>
      </c>
      <c r="E15" s="7" t="n">
        <v>-111527</v>
      </c>
      <c r="F15" s="7" t="n">
        <v>-2052</v>
      </c>
    </row>
    <row r="16">
      <c r="A16" s="5" t="inlineStr">
        <is>
          <t>Net loans and advances to customers</t>
        </is>
      </c>
      <c r="B16" s="5" t="n"/>
      <c r="C16" s="5" t="n">
        <v>62534590</v>
      </c>
      <c r="D16" s="5" t="n">
        <v>57675796</v>
      </c>
      <c r="E16" s="5" t="n">
        <v>61872149</v>
      </c>
      <c r="F16" s="5" t="n">
        <v>57660949</v>
      </c>
    </row>
    <row r="17">
      <c r="A17" s="5" t="inlineStr">
        <is>
          <t>Derived ratios (not directly disclosed, computed for reference)</t>
        </is>
      </c>
      <c r="B17" s="7" t="n"/>
      <c r="C17" s="7" t="n"/>
      <c r="D17" s="7" t="n"/>
      <c r="E17" s="7" t="n"/>
      <c r="F17" s="7" t="n"/>
    </row>
    <row r="18">
      <c r="A18" s="7" t="inlineStr">
        <is>
          <t>ECL coverage - loans and advances to customers (ECL / gross carrying amount)</t>
        </is>
      </c>
      <c r="B18" s="7" t="n"/>
      <c r="C18" s="7" t="inlineStr">
        <is>
          <t>0.04%</t>
        </is>
      </c>
      <c r="D18" s="7" t="inlineStr">
        <is>
          <t>0.04%</t>
        </is>
      </c>
      <c r="E18" s="7" t="inlineStr">
        <is>
          <t>0.18%</t>
        </is>
      </c>
      <c r="F18" s="7" t="inlineStr">
        <is>
          <t>0.00%</t>
        </is>
      </c>
    </row>
    <row r="20" ht="210" customHeight="1">
      <c r="A20" s="8" t="inlineStr">
        <is>
          <t>Sources - Notes 12 (Loans and advances to banks) and 13 (Loans and advances to customers) of each year's own Annual Report (same documents as the Balance Sheet sheet above); FY2023 sourced from the FY2024 Annual Report's own FY2023 comparative column. Each year's own Annual Report states 'All loans and advances to banks were performing' and loans and advances to customers were 'performing or adequately collateralised' - no non-performing loan balance is disclosed for any year. The ECL coverage ratio row is calculated (ECL / (gross carrying amount before ECL)), not a figure the Bank itself publishes - shown for reference only.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c r="C4" s="7" t="n">
        <v>48075379</v>
      </c>
      <c r="D4" s="7" t="n">
        <v>39390993</v>
      </c>
      <c r="E4" s="7" t="n">
        <v>28344378</v>
      </c>
      <c r="F4" s="7" t="n">
        <v>25089641</v>
      </c>
    </row>
    <row r="6" ht="17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c r="C4" s="7" t="n">
        <v>48075379</v>
      </c>
      <c r="D4" s="7" t="n">
        <v>39390993</v>
      </c>
      <c r="E4" s="7" t="n">
        <v>28344378</v>
      </c>
      <c r="F4" s="7" t="n">
        <v>25089641</v>
      </c>
    </row>
    <row r="5" ht="60" customHeight="1">
      <c r="A5" s="6" t="inlineStr">
        <is>
          <t>Note: The Bank has no Additional Tier 1 capital, so Tier 1 capital equals CET1 capital.</t>
        </is>
      </c>
    </row>
    <row r="7" ht="170" customHeight="1">
      <c r="A7"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 (unaudited)</t>
        </is>
      </c>
      <c r="B4" s="7" t="n"/>
      <c r="C4" s="7" t="n">
        <v>48075379</v>
      </c>
      <c r="D4" s="7" t="n">
        <v>39390993</v>
      </c>
      <c r="E4" s="7" t="n">
        <v>28344378</v>
      </c>
      <c r="F4" s="7" t="n">
        <v>25089641</v>
      </c>
    </row>
    <row r="5" ht="60" customHeight="1">
      <c r="A5" s="6" t="inlineStr">
        <is>
          <t>Note: The Bank has no Tier 2 capital, so Total Capital equals Tier 1 capital equals CET1 capital.</t>
        </is>
      </c>
    </row>
    <row r="7" ht="170" customHeight="1">
      <c r="A7"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Guaranty Trust Bank (UK)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Not publicly disclosed</t>
        </is>
      </c>
      <c r="B4" s="7" t="n"/>
      <c r="C4" s="7" t="n"/>
      <c r="D4" s="7" t="n"/>
      <c r="E4" s="7" t="n"/>
      <c r="F4" s="7" t="n"/>
    </row>
    <row r="6" ht="28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2026-09-03T09:00:20Z</dcterms:created>
  <dcterms:modified xmlns:dcterms="http://purl.org/dc/terms/" xmlns:xsi="http://www.w3.org/2001/XMLSchema-instance" xsi:type="dcterms:W3CDTF">2026-09-03T09:00:20Z</dcterms:modified>
</cp:coreProperties>
</file>