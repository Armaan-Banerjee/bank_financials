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B721"/>
        <bgColor rgb="0000B72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2" fillId="0" borderId="0" applyAlignment="1" pivotButton="0" quotePrefix="0" xfId="0">
      <alignment horizontal="left" vertical="top" wrapText="1"/>
    </xf>
    <xf numFmtId="0" fontId="0" fillId="0" borderId="1"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Guaranty Trust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Guaranty Trust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Guaranty Trust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Guaranty Trust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'Overview'!AG23</f>
            </strRef>
          </tx>
          <spPr>
            <a:ln xmlns:a="http://schemas.openxmlformats.org/drawingml/2006/main">
              <a:prstDash val="solid"/>
            </a:ln>
          </spPr>
          <cat>
            <numRef>
              <f>'Overview'!$AH$22:$AL$22</f>
            </numRef>
          </cat>
          <val>
            <numRef>
              <f>'Overview'!$AH$23:$AL$23</f>
            </numRef>
          </val>
        </ser>
        <ser>
          <idx val="1"/>
          <order val="1"/>
          <tx>
            <strRef>
              <f>'Overview'!AG24</f>
            </strRef>
          </tx>
          <spPr>
            <a:ln xmlns:a="http://schemas.openxmlformats.org/drawingml/2006/main">
              <a:prstDash val="solid"/>
            </a:ln>
          </spPr>
          <cat>
            <numRef>
              <f>'Overview'!$AH$22:$AL$22</f>
            </numRef>
          </cat>
          <val>
            <numRef>
              <f>'Overview'!$AH$24:$AL$24</f>
            </numRef>
          </val>
        </ser>
        <ser>
          <idx val="2"/>
          <order val="2"/>
          <tx>
            <strRef>
              <f>'Overview'!AG25</f>
            </strRef>
          </tx>
          <spPr>
            <a:ln xmlns:a="http://schemas.openxmlformats.org/drawingml/2006/main">
              <a:prstDash val="solid"/>
            </a:ln>
          </spPr>
          <cat>
            <numRef>
              <f>'Overview'!$AH$22:$AL$22</f>
            </numRef>
          </cat>
          <val>
            <numRef>
              <f>'Overview'!$AH$25:$AL$25</f>
            </numRef>
          </val>
        </ser>
        <ser>
          <idx val="3"/>
          <order val="3"/>
          <tx>
            <strRef>
              <f>'Overview'!AG26</f>
            </strRef>
          </tx>
          <spPr>
            <a:ln xmlns:a="http://schemas.openxmlformats.org/drawingml/2006/main">
              <a:prstDash val="solid"/>
            </a:ln>
          </spPr>
          <cat>
            <numRef>
              <f>'Overview'!$AH$22:$AL$22</f>
            </numRef>
          </cat>
          <val>
            <numRef>
              <f>'Overview'!$AH$26:$AL$26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c r="A1" s="1" t="inlineStr">
        <is>
          <t>Guaranty Trust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row>
    <row r="6">
      <c r="A6" s="5" t="inlineStr">
        <is>
          <t>Total assets</t>
        </is>
      </c>
      <c r="B6" s="5" t="n"/>
      <c r="C6" s="5" t="n">
        <v>583445887</v>
      </c>
      <c r="D6" s="5" t="n">
        <v>470783450</v>
      </c>
      <c r="E6" s="5" t="n">
        <v>626844615</v>
      </c>
      <c r="F6" s="5" t="n">
        <v>490836145</v>
      </c>
      <c r="I6" t="inlineStr">
        <is>
          <t>Total assets</t>
        </is>
      </c>
      <c r="J6" t="n">
        <v>490836145</v>
      </c>
      <c r="K6" t="n">
        <v>626844615</v>
      </c>
      <c r="L6" t="n">
        <v>470783450</v>
      </c>
      <c r="M6" t="n">
        <v>583445887</v>
      </c>
    </row>
    <row r="7">
      <c r="A7" s="5" t="inlineStr">
        <is>
          <t>Loans and advances to customers</t>
        </is>
      </c>
      <c r="B7" s="5" t="n"/>
      <c r="C7" s="5" t="n">
        <v>62534590</v>
      </c>
      <c r="D7" s="5" t="n">
        <v>57675796</v>
      </c>
      <c r="E7" s="5" t="n">
        <v>61872149</v>
      </c>
      <c r="F7" s="5" t="n">
        <v>57660949</v>
      </c>
      <c r="I7" t="inlineStr">
        <is>
          <t>Loans and advances to customers</t>
        </is>
      </c>
      <c r="J7" t="n">
        <v>57660949</v>
      </c>
      <c r="K7" t="n">
        <v>61872149</v>
      </c>
      <c r="L7" t="n">
        <v>57675796</v>
      </c>
      <c r="M7" t="n">
        <v>62534590</v>
      </c>
    </row>
    <row r="8">
      <c r="A8" s="5" t="inlineStr">
        <is>
          <t>Total liabilities</t>
        </is>
      </c>
      <c r="B8" s="5" t="n"/>
      <c r="C8" s="5" t="n">
        <v>535370508</v>
      </c>
      <c r="D8" s="5" t="n">
        <v>431392457</v>
      </c>
      <c r="E8" s="5" t="n">
        <v>598500237</v>
      </c>
      <c r="F8" s="5" t="n">
        <v>465746504</v>
      </c>
      <c r="I8" t="inlineStr">
        <is>
          <t>Total liabilities</t>
        </is>
      </c>
      <c r="J8" t="n">
        <v>465746504</v>
      </c>
      <c r="K8" t="n">
        <v>598500237</v>
      </c>
      <c r="L8" t="n">
        <v>431392457</v>
      </c>
      <c r="M8" t="n">
        <v>535370508</v>
      </c>
    </row>
    <row r="9">
      <c r="A9" s="5" t="inlineStr">
        <is>
          <t>Shareholders' funds (Total equity)</t>
        </is>
      </c>
      <c r="B9" s="5" t="n"/>
      <c r="C9" s="5" t="n">
        <v>48075379</v>
      </c>
      <c r="D9" s="5" t="n">
        <v>39390993</v>
      </c>
      <c r="E9" s="5" t="n">
        <v>28344378</v>
      </c>
      <c r="F9" s="5" t="n">
        <v>25089641</v>
      </c>
      <c r="I9" t="inlineStr">
        <is>
          <t>Shareholders' funds (Total equity)</t>
        </is>
      </c>
      <c r="J9" t="n">
        <v>25089641</v>
      </c>
      <c r="K9" t="n">
        <v>28344378</v>
      </c>
      <c r="L9" t="n">
        <v>39390993</v>
      </c>
      <c r="M9" t="n">
        <v>48075379</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Operating income</t>
        </is>
      </c>
      <c r="B13" s="5" t="n"/>
      <c r="C13" s="5" t="n">
        <v>25709803</v>
      </c>
      <c r="D13" s="5" t="n">
        <v>27461859</v>
      </c>
      <c r="E13" s="5" t="n">
        <v>17528715</v>
      </c>
      <c r="F13" s="5" t="n">
        <v>7426157</v>
      </c>
      <c r="Q13" t="inlineStr">
        <is>
          <t>Operating income</t>
        </is>
      </c>
      <c r="R13" t="n">
        <v>7426157</v>
      </c>
      <c r="S13" t="n">
        <v>17528715</v>
      </c>
      <c r="T13" t="n">
        <v>27461859</v>
      </c>
      <c r="U13" t="n">
        <v>25709803</v>
      </c>
    </row>
    <row r="14">
      <c r="A14" s="5" t="inlineStr">
        <is>
          <t>Total operating expenses</t>
        </is>
      </c>
      <c r="B14" s="5" t="n"/>
      <c r="C14" s="5" t="n">
        <v>-14155063</v>
      </c>
      <c r="D14" s="5" t="n">
        <v>-13536374</v>
      </c>
      <c r="E14" s="5" t="n">
        <v>-12466246</v>
      </c>
      <c r="F14" s="5" t="n">
        <v>-17318100</v>
      </c>
      <c r="Q14" t="inlineStr">
        <is>
          <t>Total operating expenses</t>
        </is>
      </c>
      <c r="R14" t="n">
        <v>-17318100</v>
      </c>
      <c r="S14" t="n">
        <v>-12466246</v>
      </c>
      <c r="T14" t="n">
        <v>-13536374</v>
      </c>
      <c r="U14" t="n">
        <v>-14155063</v>
      </c>
    </row>
    <row r="15">
      <c r="A15" s="5" t="inlineStr">
        <is>
          <t>Profit/(Loss) for the year</t>
        </is>
      </c>
      <c r="B15" s="5" t="n"/>
      <c r="C15" s="5" t="n">
        <v>8638639</v>
      </c>
      <c r="D15" s="5" t="n">
        <v>10406901</v>
      </c>
      <c r="E15" s="5" t="n">
        <v>3874638</v>
      </c>
      <c r="F15" s="5" t="n">
        <v>-8329814</v>
      </c>
      <c r="Q15" t="inlineStr">
        <is>
          <t>Profit/(Loss) for the year</t>
        </is>
      </c>
      <c r="R15" t="n">
        <v>-8329814</v>
      </c>
      <c r="S15" t="n">
        <v>3874638</v>
      </c>
      <c r="T15" t="n">
        <v>10406901</v>
      </c>
      <c r="U15" t="n">
        <v>8638639</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Total equity, end of year</t>
        </is>
      </c>
      <c r="B19" s="5" t="n"/>
      <c r="C19" s="5" t="n">
        <v>48075379</v>
      </c>
      <c r="D19" s="5" t="n">
        <v>39390993</v>
      </c>
      <c r="E19" s="5" t="n">
        <v>28344378</v>
      </c>
      <c r="F19" s="5" t="n">
        <v>25089641</v>
      </c>
      <c r="Y19" t="inlineStr">
        <is>
          <t>Total equity, end of year</t>
        </is>
      </c>
      <c r="Z19" t="n">
        <v>25089641</v>
      </c>
      <c r="AA19" t="n">
        <v>28344378</v>
      </c>
      <c r="AB19" t="n">
        <v>39390993</v>
      </c>
      <c r="AC19" t="n">
        <v>48075379</v>
      </c>
    </row>
    <row r="21">
      <c r="A21" s="3" t="inlineStr">
        <is>
          <t>Cash Flow Summary (£)</t>
        </is>
      </c>
    </row>
    <row r="22">
      <c r="A22" s="4" t="inlineStr">
        <is>
          <t>Line item</t>
        </is>
      </c>
      <c r="B22" s="4" t="inlineStr">
        <is>
          <t>FY2025</t>
        </is>
      </c>
      <c r="C22" s="4" t="inlineStr">
        <is>
          <t>FY2024</t>
        </is>
      </c>
      <c r="D22" s="4" t="inlineStr">
        <is>
          <t>FY2023</t>
        </is>
      </c>
      <c r="E22" s="4" t="inlineStr">
        <is>
          <t>FY2022</t>
        </is>
      </c>
      <c r="F22" s="4" t="inlineStr">
        <is>
          <t>FY2021</t>
        </is>
      </c>
      <c r="AH22" t="inlineStr">
        <is>
          <t>FY2021</t>
        </is>
      </c>
      <c r="AI22" t="inlineStr">
        <is>
          <t>FY2022</t>
        </is>
      </c>
      <c r="AJ22" t="inlineStr">
        <is>
          <t>FY2023</t>
        </is>
      </c>
      <c r="AK22" t="inlineStr">
        <is>
          <t>FY2024</t>
        </is>
      </c>
      <c r="AL22" t="inlineStr">
        <is>
          <t>FY2025</t>
        </is>
      </c>
    </row>
    <row r="23">
      <c r="A23" s="5" t="inlineStr">
        <is>
          <t>Net cash flow from/(used in) operating activities</t>
        </is>
      </c>
      <c r="B23" s="5" t="n"/>
      <c r="C23" s="5" t="n">
        <v>57935255</v>
      </c>
      <c r="D23" s="5" t="n">
        <v>-102327202</v>
      </c>
      <c r="E23" s="5" t="n">
        <v>117737509</v>
      </c>
      <c r="F23" s="5" t="n">
        <v>52298689</v>
      </c>
      <c r="AG23" t="inlineStr">
        <is>
          <t>Net cash flow from/(used in) operating activities</t>
        </is>
      </c>
      <c r="AH23" t="n">
        <v>52298689</v>
      </c>
      <c r="AI23" t="n">
        <v>117737509</v>
      </c>
      <c r="AJ23" t="n">
        <v>-102327202</v>
      </c>
      <c r="AK23" t="n">
        <v>57935255</v>
      </c>
    </row>
    <row r="24">
      <c r="A24" s="5" t="inlineStr">
        <is>
          <t>Net cash flow from/(used in) investing activities</t>
        </is>
      </c>
      <c r="B24" s="5" t="n"/>
      <c r="C24" s="5" t="n">
        <v>11837282</v>
      </c>
      <c r="D24" s="5" t="n">
        <v>-38512179</v>
      </c>
      <c r="E24" s="5" t="n">
        <v>-26064114</v>
      </c>
      <c r="F24" s="5" t="n">
        <v>-17917411</v>
      </c>
      <c r="AG24" t="inlineStr">
        <is>
          <t>Net cash flow from/(used in) investing activities</t>
        </is>
      </c>
      <c r="AH24" t="n">
        <v>-17917411</v>
      </c>
      <c r="AI24" t="n">
        <v>-26064114</v>
      </c>
      <c r="AJ24" t="n">
        <v>-38512179</v>
      </c>
      <c r="AK24" t="n">
        <v>11837282</v>
      </c>
    </row>
    <row r="25">
      <c r="A25" s="5" t="inlineStr">
        <is>
          <t>Net cash flow from/(used in) financing activities</t>
        </is>
      </c>
      <c r="B25" s="5" t="n"/>
      <c r="C25" s="5" t="n">
        <v>-705754</v>
      </c>
      <c r="D25" s="5" t="n">
        <v>-570000</v>
      </c>
      <c r="E25" s="5" t="n">
        <v>-1892429</v>
      </c>
      <c r="F25" s="5" t="n">
        <v>-1411693</v>
      </c>
      <c r="AG25" t="inlineStr">
        <is>
          <t>Net cash flow from/(used in) financing activities</t>
        </is>
      </c>
      <c r="AH25" t="n">
        <v>-1411693</v>
      </c>
      <c r="AI25" t="n">
        <v>-1892429</v>
      </c>
      <c r="AJ25" t="n">
        <v>-570000</v>
      </c>
      <c r="AK25" t="n">
        <v>-705754</v>
      </c>
    </row>
    <row r="26">
      <c r="A26" s="5" t="inlineStr">
        <is>
          <t>Cash and cash equivalents at end of year</t>
        </is>
      </c>
      <c r="B26" s="5" t="n"/>
      <c r="C26" s="5" t="n">
        <v>308066190</v>
      </c>
      <c r="D26" s="5" t="n">
        <v>238999407</v>
      </c>
      <c r="E26" s="5" t="n">
        <v>380408788</v>
      </c>
      <c r="F26" s="5" t="n">
        <v>116275570</v>
      </c>
      <c r="AG26" t="inlineStr">
        <is>
          <t>Cash and cash equivalents at end of year</t>
        </is>
      </c>
      <c r="AH26" t="n">
        <v>116275570</v>
      </c>
      <c r="AI26" t="n">
        <v>380408788</v>
      </c>
      <c r="AJ26" t="n">
        <v>238999407</v>
      </c>
      <c r="AK26" t="n">
        <v>308066190</v>
      </c>
    </row>
    <row r="28">
      <c r="A28" s="3" t="inlineStr">
        <is>
          <t>Pillar 3 Key Metrics: not applicable — no ratios are disclosed for this entity (see the individual Pillar 3 metric sheets).</t>
        </is>
      </c>
    </row>
    <row r="30" ht="65" customHeight="1">
      <c r="A30" s="6" t="inlineStr">
        <is>
          <t>Note: Pillar 3 ratios ARE disclosed for this entity (CET1/Tier 1/Total Capital ratio, leverage ratio, LCR, and NSFR from FY2023) - see those individual metric sheets; only MREL is never numerically disclosed. They are not repeated in the ratio block above. The statutory-statement figures above are blank for FY2025 because no FY2025 Annual Report has been filed with Companies House yet (next due 30 Sep 2026), even though the FY2025 Pillar 3 disclosure has been published - so the Pillar 3 sheets do carry a full FY2025 column. Figures above are duplicated from the Cash Flow Statement sheet for at-a-glance trend viewing; see that sheet's own source citation, including a flagged FY2021/FY2022 basis discontinuity in the cash-equivalents figures.</t>
        </is>
      </c>
    </row>
  </sheetData>
  <mergeCells count="1">
    <mergeCell ref="A30:F3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Guaranty Trust Bank (UK) Limited — Statement of Financial Position</t>
        </is>
      </c>
    </row>
    <row r="2">
      <c r="A2" s="2" t="inlineStr">
        <is>
          <t>As originally published in each year's own Annual Report</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Assets</t>
        </is>
      </c>
      <c r="B4" s="7" t="n"/>
      <c r="C4" s="7" t="n"/>
      <c r="D4" s="7" t="n"/>
      <c r="E4" s="7" t="n"/>
      <c r="F4" s="7" t="n"/>
    </row>
    <row r="5">
      <c r="A5" s="7" t="inlineStr">
        <is>
          <t>Cash and money market funds</t>
        </is>
      </c>
      <c r="B5" s="7" t="n"/>
      <c r="C5" s="7" t="n">
        <v>100662477</v>
      </c>
      <c r="D5" s="7" t="n">
        <v>94365231</v>
      </c>
      <c r="E5" s="7" t="n"/>
      <c r="F5" s="7" t="n"/>
    </row>
    <row r="6">
      <c r="A6" s="7" t="inlineStr">
        <is>
          <t>Cash and cash equivalents</t>
        </is>
      </c>
      <c r="B6" s="7" t="n"/>
      <c r="C6" s="7" t="n"/>
      <c r="D6" s="7" t="n"/>
      <c r="E6" s="7" t="n">
        <v>97716359</v>
      </c>
      <c r="F6" s="7" t="n">
        <v>116275570</v>
      </c>
    </row>
    <row r="7">
      <c r="A7" s="7" t="inlineStr">
        <is>
          <t>Loans and advances to banks</t>
        </is>
      </c>
      <c r="B7" s="7" t="n"/>
      <c r="C7" s="7" t="n">
        <v>259678468</v>
      </c>
      <c r="D7" s="7" t="n">
        <v>152612406</v>
      </c>
      <c r="E7" s="7" t="n">
        <v>345107924</v>
      </c>
      <c r="F7" s="7" t="n">
        <v>230460594</v>
      </c>
    </row>
    <row r="8">
      <c r="A8" s="7" t="inlineStr">
        <is>
          <t>Loans and advances to customers</t>
        </is>
      </c>
      <c r="B8" s="7" t="n"/>
      <c r="C8" s="7" t="n">
        <v>62534590</v>
      </c>
      <c r="D8" s="7" t="n">
        <v>57675796</v>
      </c>
      <c r="E8" s="7" t="n">
        <v>61872149</v>
      </c>
      <c r="F8" s="7" t="n">
        <v>57660949</v>
      </c>
    </row>
    <row r="9">
      <c r="A9" s="7" t="inlineStr">
        <is>
          <t>Investment securities (FVOCI - government securities, 100% UK/US/Belgium sovereign)</t>
        </is>
      </c>
      <c r="B9" s="7" t="n"/>
      <c r="C9" s="7" t="n">
        <v>146470054</v>
      </c>
      <c r="D9" s="7" t="n">
        <v>151922722</v>
      </c>
      <c r="E9" s="7" t="n">
        <v>107015424</v>
      </c>
      <c r="F9" s="7" t="n">
        <v>82190414</v>
      </c>
    </row>
    <row r="10">
      <c r="A10" s="7" t="inlineStr">
        <is>
          <t>Property and equipment</t>
        </is>
      </c>
      <c r="B10" s="7" t="n"/>
      <c r="C10" s="7" t="n">
        <v>3746354</v>
      </c>
      <c r="D10" s="7" t="n">
        <v>3197915</v>
      </c>
      <c r="E10" s="7" t="n">
        <v>2292269</v>
      </c>
      <c r="F10" s="7" t="n">
        <v>691135</v>
      </c>
    </row>
    <row r="11">
      <c r="A11" s="7" t="inlineStr">
        <is>
          <t>Right-of-use leasehold property</t>
        </is>
      </c>
      <c r="B11" s="7" t="n"/>
      <c r="C11" s="7" t="n">
        <v>9777616</v>
      </c>
      <c r="D11" s="7" t="n">
        <v>10556149</v>
      </c>
      <c r="E11" s="7" t="n">
        <v>11599109</v>
      </c>
      <c r="F11" s="7" t="n">
        <v>616484</v>
      </c>
    </row>
    <row r="12">
      <c r="A12" s="7" t="inlineStr">
        <is>
          <t>Other assets</t>
        </is>
      </c>
      <c r="B12" s="7" t="n"/>
      <c r="C12" s="7" t="n">
        <v>567044</v>
      </c>
      <c r="D12" s="7" t="n">
        <v>440852</v>
      </c>
      <c r="E12" s="7" t="n">
        <v>291795</v>
      </c>
      <c r="F12" s="7" t="n">
        <v>898439</v>
      </c>
    </row>
    <row r="13">
      <c r="A13" s="7" t="inlineStr">
        <is>
          <t>Deferred tax asset</t>
        </is>
      </c>
      <c r="B13" s="7" t="n"/>
      <c r="C13" s="7" t="n">
        <v>9284</v>
      </c>
      <c r="D13" s="7" t="n">
        <v>12379</v>
      </c>
      <c r="E13" s="7" t="n">
        <v>949586</v>
      </c>
      <c r="F13" s="7" t="n">
        <v>2042560</v>
      </c>
    </row>
    <row r="14">
      <c r="A14" s="5" t="inlineStr">
        <is>
          <t>Total assets</t>
        </is>
      </c>
      <c r="B14" s="5" t="n"/>
      <c r="C14" s="5" t="n">
        <v>583445887</v>
      </c>
      <c r="D14" s="5" t="n">
        <v>470783450</v>
      </c>
      <c r="E14" s="5" t="n">
        <v>626844615</v>
      </c>
      <c r="F14" s="5" t="n">
        <v>490836145</v>
      </c>
    </row>
    <row r="15">
      <c r="A15" s="5" t="inlineStr">
        <is>
          <t>Liabilities</t>
        </is>
      </c>
      <c r="B15" s="7" t="n"/>
      <c r="C15" s="7" t="n"/>
      <c r="D15" s="7" t="n"/>
      <c r="E15" s="7" t="n"/>
      <c r="F15" s="7" t="n"/>
    </row>
    <row r="16">
      <c r="A16" s="7" t="inlineStr">
        <is>
          <t>Deposits by banks</t>
        </is>
      </c>
      <c r="B16" s="7" t="n"/>
      <c r="C16" s="7" t="n">
        <v>329988520</v>
      </c>
      <c r="D16" s="7" t="n">
        <v>217403953</v>
      </c>
      <c r="E16" s="7" t="n">
        <v>344658275</v>
      </c>
      <c r="F16" s="7" t="n">
        <v>291426385</v>
      </c>
    </row>
    <row r="17">
      <c r="A17" s="7" t="inlineStr">
        <is>
          <t>Deposits by customers</t>
        </is>
      </c>
      <c r="B17" s="7" t="n"/>
      <c r="C17" s="7" t="n">
        <v>191532438</v>
      </c>
      <c r="D17" s="7" t="n">
        <v>196877072</v>
      </c>
      <c r="E17" s="7" t="n">
        <v>232269660</v>
      </c>
      <c r="F17" s="7" t="n">
        <v>163962244</v>
      </c>
    </row>
    <row r="18">
      <c r="A18" s="7" t="inlineStr">
        <is>
          <t>Leasehold liability</t>
        </is>
      </c>
      <c r="B18" s="7" t="n"/>
      <c r="C18" s="7" t="n">
        <v>10765913</v>
      </c>
      <c r="D18" s="7" t="n">
        <v>11061158</v>
      </c>
      <c r="E18" s="7" t="n">
        <v>11215172</v>
      </c>
      <c r="F18" s="7" t="n">
        <v>704605</v>
      </c>
    </row>
    <row r="19">
      <c r="A19" s="7" t="inlineStr">
        <is>
          <t>Other liabilities</t>
        </is>
      </c>
      <c r="B19" s="7" t="n"/>
      <c r="C19" s="7" t="n">
        <v>2832498</v>
      </c>
      <c r="D19" s="7" t="n">
        <v>5875018</v>
      </c>
      <c r="E19" s="7" t="n">
        <v>10338218</v>
      </c>
      <c r="F19" s="7" t="n">
        <v>9598620</v>
      </c>
    </row>
    <row r="20">
      <c r="A20" s="7" t="inlineStr">
        <is>
          <t>Deferred tax liability</t>
        </is>
      </c>
      <c r="B20" s="7" t="n"/>
      <c r="C20" s="7" t="n">
        <v>251139</v>
      </c>
      <c r="D20" s="7" t="n">
        <v>175256</v>
      </c>
      <c r="E20" s="7" t="n">
        <v>18912</v>
      </c>
      <c r="F20" s="7" t="n">
        <v>54650</v>
      </c>
    </row>
    <row r="21">
      <c r="A21" s="5" t="inlineStr">
        <is>
          <t>Total liabilities</t>
        </is>
      </c>
      <c r="B21" s="5" t="n"/>
      <c r="C21" s="5" t="n">
        <v>535370508</v>
      </c>
      <c r="D21" s="5" t="n">
        <v>431392457</v>
      </c>
      <c r="E21" s="5" t="n">
        <v>598500237</v>
      </c>
      <c r="F21" s="5" t="n">
        <v>465746504</v>
      </c>
    </row>
    <row r="22">
      <c r="A22" s="5" t="inlineStr">
        <is>
          <t>Equity</t>
        </is>
      </c>
      <c r="B22" s="7" t="n"/>
      <c r="C22" s="7" t="n"/>
      <c r="D22" s="7" t="n"/>
      <c r="E22" s="7" t="n"/>
      <c r="F22" s="7" t="n"/>
    </row>
    <row r="23">
      <c r="A23" s="7" t="inlineStr">
        <is>
          <t>Called up share capital</t>
        </is>
      </c>
      <c r="B23" s="7" t="n"/>
      <c r="C23" s="7" t="n">
        <v>37000000</v>
      </c>
      <c r="D23" s="7" t="n">
        <v>37000000</v>
      </c>
      <c r="E23" s="7" t="n">
        <v>37000000</v>
      </c>
      <c r="F23" s="7" t="n">
        <v>37000000</v>
      </c>
    </row>
    <row r="24">
      <c r="A24" s="7" t="inlineStr">
        <is>
          <t>Retained earnings</t>
        </is>
      </c>
      <c r="B24" s="7" t="n"/>
      <c r="C24" s="7" t="n">
        <v>11019326</v>
      </c>
      <c r="D24" s="7" t="n">
        <v>2380687</v>
      </c>
      <c r="E24" s="7" t="n">
        <v>-8026214</v>
      </c>
      <c r="F24" s="7" t="n">
        <v>-11900852</v>
      </c>
    </row>
    <row r="25">
      <c r="A25" s="7" t="inlineStr">
        <is>
          <t>Fair value reserves</t>
        </is>
      </c>
      <c r="B25" s="7" t="n"/>
      <c r="C25" s="7" t="n">
        <v>56053</v>
      </c>
      <c r="D25" s="7" t="n">
        <v>10306</v>
      </c>
      <c r="E25" s="7" t="n">
        <v>-629408</v>
      </c>
      <c r="F25" s="7" t="n">
        <v>-9507</v>
      </c>
    </row>
    <row r="26">
      <c r="A26" s="5" t="inlineStr">
        <is>
          <t>Shareholders' funds (Total equity)</t>
        </is>
      </c>
      <c r="B26" s="5" t="n"/>
      <c r="C26" s="5" t="n">
        <v>48075379</v>
      </c>
      <c r="D26" s="5" t="n">
        <v>39390993</v>
      </c>
      <c r="E26" s="5" t="n">
        <v>28344378</v>
      </c>
      <c r="F26" s="5" t="n">
        <v>25089641</v>
      </c>
    </row>
    <row r="27">
      <c r="A27" s="5" t="inlineStr">
        <is>
          <t>Total liabilities and shareholders' funds</t>
        </is>
      </c>
      <c r="B27" s="5" t="n"/>
      <c r="C27" s="5" t="n">
        <v>583445887</v>
      </c>
      <c r="D27" s="5" t="n">
        <v>470783450</v>
      </c>
      <c r="E27" s="5" t="n">
        <v>626844615</v>
      </c>
      <c r="F27" s="5" t="n">
        <v>490836145</v>
      </c>
    </row>
    <row r="28">
      <c r="A28" s="5" t="inlineStr">
        <is>
          <t>FY2025 status</t>
        </is>
      </c>
      <c r="B28" s="7" t="n"/>
      <c r="C28" s="7" t="n"/>
      <c r="D28" s="7" t="n"/>
      <c r="E28" s="7" t="n"/>
      <c r="F28" s="7" t="n"/>
    </row>
    <row r="29">
      <c r="A29" s="7" t="inlineStr">
        <is>
          <t>FY2025 column</t>
        </is>
      </c>
      <c r="B29" s="7" t="inlineStr">
        <is>
          <t>Not published yet - FY2025 accounts audited (Forvis Mazars) but not public; Companies House 05969821 next due 30 Sep 2026, not overdue. Checked 2026-09-18.</t>
        </is>
      </c>
      <c r="C29" s="7" t="n"/>
      <c r="D29" s="7" t="n"/>
      <c r="E29" s="7" t="n"/>
      <c r="F29" s="7" t="n"/>
    </row>
    <row r="31" ht="377" customHeight="1">
      <c r="A31" s="8" t="inlineStr">
        <is>
          <t>The Bank's own Statement of financial position labels the cash line 'Cash and money market funds'
FY2023-FY2024 and 'Cash and cash equivalents' FY2021-FY2022 - same line, presentation relabelled;
shown on separate rows above rather than merged, to match each year's own disclosed label.
Investment securities note (Note 14, 'Investment securities'): all years' Annual Reports disclose the
entire book as held at Fair Value through Other Comprehensive Income (FVOCI), with the Bank stating no
financial assets are held at amortised cost or FVTPL, and as securities issued solely by government
institutions (UK, US and, per the FY2024 Annual Report, Belgium) - FY2024: p.46; FY2022/FY2021: p.43
of the FY2022 Annual Report (Note 14).
Sources - all figures are Guaranty Trust Bank (UK) Limited's own statements, as originally published in
each year's own Companies House-filed Annual Report and Financial Statements (FY2023 sourced from the
FY2024 Annual Report's own FY2023 comparative column, since no separate FY2023 filing exists as a
standalone document - the same convention already used for the Cash Flow Statement sheet):
FY2024: Annual Report for the year ended 31 Dec 2024, p.23-25 (Statement of comprehensive income,
Statement of financial position, Statement of changes in equity) - https://find-and-update.company-information.service.gov.uk/company/05969821/filing-history/MzQ2NTE3NTM2NmFkaXF6a2N4/document?format=pdf&amp;download=0
FY2023: as above (FY2024 Annual Report's own FY2023 comparative column, p.23-25) - https://find-and-update.company-information.service.gov.uk/company/05969821/filing-history/MzQ2NTE3NTM2NmFkaXF6a2N4/document?format=pdf&amp;download=0
FY2022: Annual Report for the year ended 31 Dec 2022, p.22-24 - https://find-and-update.company-information.service.gov.uk/company/05969821/filing-history/MzQwNjA2NDkyOGFkaXF6a2N4/document?format=pdf&amp;download=0
FY2021: Annual Report for the year ended 31 Dec 2021, p.21-23 - https://find-and-update.company-information.service.gov.uk/company/05969821/filing-history/MzM3MzI3NjAyMmFkaXF6a2N4/document?format=pdf&amp;download=0
Guaranty Trust Bank (UK) Limited (FRN 466611, Companies House 05969821) is a wholly-owned UK
subsidiary of Guaranty Trust Bank Limited ('GTBank Nigeria'), itself wholly owned by Guaranty Trust
Holding Company Plc (GTCO). Unlike several other Nigerian-bank-owned UK subsidiaries in this project
(Zenith Bank UK, UBA UK, FCMB UK, FidBank UK), this entity reports in GBP throughout - no FX
conversion is required.</t>
        </is>
      </c>
    </row>
    <row r="33" ht="403" customHeight="1">
      <c r="A33" s="8" t="inlineStr">
        <is>
          <t>(continued)
FY2025 STATUS (re-verified 2026-09-18, unchanged): the FY2025 statutory accounts (year ended 31 Dec 2025)
still had NOT been published anywhere. Two independent routes were checked on that date and both are
negative. (1) Companies House filing history for 05969821 lists exactly five accounts filings, the most
recent being 'Full accounts made up to 31 December 2024', filed 6 May 2025 (the others 25 Jun 2024,
9 Jan 2024, 22 Mar 2023 and 1 Mar 2022); Companies House records the FY2025 accounts as next due
30 September 2026, i.e. not yet overdue, just not filed. (2) The Bank's own document page,
https://www.gtbankuk.com/about-gtbank-uk/our-company, links exactly two financial documents - the
'GTBank-UK-Annual-Report-and-Financial-Statement-2024.pdf' and the 'GTBank-UK-Pillar-3-Disclosure-2025.pdf'
- and its own in-page anchor is still literally #section-gt-bank-uk-annual-report-and-financial-statement-2024.
Every statutory-statement sheet in this workbook (Balance Sheet, Profit &amp; Loss, Statement of Changes in
Equity, Cash Flow Statement, Asset Quality) is therefore genuinely blank for FY2025 - NOT PUBLISHED, as
distinct from not reachable.
THE FY2025 ACCOUNTS DO EXIST AND ARE AUDITED, they are simply not public. The FY2025 Pillar 3 says so
directly (section 5.1): its Table 1 'Financial Performance (GBP 000)' figures are 'as quoted in the Bank's
Financial Statements (Accounts) and, as such have been audited by the Bank's external auditors, Forvis
Mazars LLP', referring the reader to 'the Annual Report and Financial Statements (the Accounts) FYE 31st
December 2025'. That table prints six FY2025 aggregates, in GBP'000: net interest income 16,811,
operating income 24,325, profit before taxation 9,058, taxation charge (2,304), profit after taxation
6,754, total comprehensive income 6,738. They are recorded here rather than written into the Profit &amp;
Loss sheet, DELIBERATELY: that sheet is denominated in pounds to the penny (FY2024 profit after tax is
8,638,639, not 8,639,000), so posting a GBP'000-rounded aggregate into it would invent three digits of
precision, and the six lines cover only 6 of the sheet's 20 rows in any case. When the accounts are filed
the FY2025 column should be transcribed from them in full, and these six figures used as a cross-check.
ASSET QUALITY, likewise not filled from the Pillar 3, for a different and sharper reason. Section 8.8 of
the FY2025 Pillar 3 states the Bank 'had allocated GBP198,514 (31st December 2024: GBP100,281) for
expected losses under IFRS 9'. The FY2024 comparative in that sentence, 100,281, is NOT the FY2024 total
ECL allowance in this workbook's Asset Quality sheet (100,281 + 25,605 = 125,886); it equals the loans-
and-advances-to-BANKS ECL alone. The scope of the FY2025 figure is therefore unresolved on the face of the
document, and it is not attributable to any single row of that sheet. It is recorded here instead of being
guessed into place.</t>
        </is>
      </c>
    </row>
    <row r="35" ht="273" customHeight="1">
      <c r="A35" s="8" t="inlineStr">
        <is>
          <t>(continued)
The Pillar 3 sheets are NOT blank for FY2025: the Bank published its own standalone 'Pillar 3 Disclosure
2025' (as at 31 December 2025, PDF created 23 July 2026, linked from its own site at
https://www.gtbankuk.com/about-gtbank-uk/our-company), and every Pillar 3 metric below is transcribed
from it - see the Pillar 3 sheets' own source citation.
DATA QUALITY NOTE - cash-equivalents basis discontinuity: the FY2022 Annual Report states that
'cash and cash equivalents for 2021 have been re-presented to include money market placements with
maturity of less than 3 months', quantifying the impact as an increase in the FY2021 opening balance
from GBP193,625,102 to GBP276,931,087 and in the FY2021 closing balance from GBP174,352,252 to
GBP290,627,822. However, neither of those 'old-basis' figures matches FY2021's own originally-filed
Annual Report, which itself shows an opening balance of GBP83,305,985 and a closing balance of
GBP116,275,570 for FY2021 - a discrepancy in the source documents themselves that could not be
traced or resolved. Per this project's convention, each year below uses its own originally-published
figures (so FY2021's closing balance will not visually chain into FY2022's opening balance); this gap
is flagged here rather than forced to reconcile, the same treatment as Arab Bank Europe's unexplained
cash-bridge gap elsewhere in this project.
Also note: FY2021's own 'Operating cash flows before movement in working capital' subtotal
(GBP(10,764,152)) is GBP360 different from the sum of its own printed component lines - an immaterial
source rounding artifact, not corrected.</t>
        </is>
      </c>
    </row>
  </sheetData>
  <mergeCells count="3">
    <mergeCell ref="A31:F31"/>
    <mergeCell ref="A33:F33"/>
    <mergeCell ref="A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Guaranty Trust Bank (UK) Limited — Statement of Comprehensive Income</t>
        </is>
      </c>
    </row>
    <row r="2">
      <c r="A2" s="2" t="inlineStr">
        <is>
          <t>As originally published in each year's own Annual Report</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Income</t>
        </is>
      </c>
      <c r="B4" s="7" t="n"/>
      <c r="C4" s="7" t="n"/>
      <c r="D4" s="7" t="n"/>
      <c r="E4" s="7" t="n"/>
      <c r="F4" s="7" t="n"/>
    </row>
    <row r="5">
      <c r="A5" s="7" t="inlineStr">
        <is>
          <t>Interest income</t>
        </is>
      </c>
      <c r="B5" s="7" t="n"/>
      <c r="C5" s="7" t="n">
        <v>26095367</v>
      </c>
      <c r="D5" s="7" t="n">
        <v>24585386</v>
      </c>
      <c r="E5" s="7" t="n">
        <v>12096324</v>
      </c>
      <c r="F5" s="7" t="n">
        <v>3155907</v>
      </c>
    </row>
    <row r="6">
      <c r="A6" s="7" t="inlineStr">
        <is>
          <t>Interest expense</t>
        </is>
      </c>
      <c r="B6" s="7" t="n"/>
      <c r="C6" s="7" t="n">
        <v>-8140535</v>
      </c>
      <c r="D6" s="7" t="n">
        <v>-5078320</v>
      </c>
      <c r="E6" s="7" t="n">
        <v>-1902227</v>
      </c>
      <c r="F6" s="7" t="n">
        <v>-780155</v>
      </c>
    </row>
    <row r="7">
      <c r="A7" s="5" t="inlineStr">
        <is>
          <t>Net interest income</t>
        </is>
      </c>
      <c r="B7" s="5" t="n"/>
      <c r="C7" s="5" t="n">
        <v>17954832</v>
      </c>
      <c r="D7" s="5" t="n">
        <v>19507066</v>
      </c>
      <c r="E7" s="5" t="n">
        <v>10194097</v>
      </c>
      <c r="F7" s="5" t="n">
        <v>2375752</v>
      </c>
    </row>
    <row r="8">
      <c r="A8" s="7" t="inlineStr">
        <is>
          <t>Fees and commissions income</t>
        </is>
      </c>
      <c r="B8" s="7" t="n"/>
      <c r="C8" s="7" t="n">
        <v>3222120</v>
      </c>
      <c r="D8" s="7" t="n">
        <v>3544250</v>
      </c>
      <c r="E8" s="7" t="n">
        <v>3569967</v>
      </c>
      <c r="F8" s="7" t="n">
        <v>2462438</v>
      </c>
    </row>
    <row r="9">
      <c r="A9" s="7" t="inlineStr">
        <is>
          <t>Other operating income</t>
        </is>
      </c>
      <c r="B9" s="7" t="n"/>
      <c r="C9" s="7" t="n">
        <v>4532851</v>
      </c>
      <c r="D9" s="7" t="n">
        <v>4410543</v>
      </c>
      <c r="E9" s="7" t="n">
        <v>3764651</v>
      </c>
      <c r="F9" s="7" t="n">
        <v>2587967</v>
      </c>
    </row>
    <row r="10">
      <c r="A10" s="5" t="inlineStr">
        <is>
          <t>Operating income</t>
        </is>
      </c>
      <c r="B10" s="5" t="n"/>
      <c r="C10" s="5" t="n">
        <v>25709803</v>
      </c>
      <c r="D10" s="5" t="n">
        <v>27461859</v>
      </c>
      <c r="E10" s="5" t="n">
        <v>17528715</v>
      </c>
      <c r="F10" s="5" t="n">
        <v>7426157</v>
      </c>
    </row>
    <row r="11">
      <c r="A11" s="5" t="inlineStr">
        <is>
          <t>Operating expenses</t>
        </is>
      </c>
      <c r="B11" s="7" t="n"/>
      <c r="C11" s="7" t="n"/>
      <c r="D11" s="7" t="n"/>
      <c r="E11" s="7" t="n"/>
      <c r="F11" s="7" t="n"/>
    </row>
    <row r="12">
      <c r="A12" s="7" t="inlineStr">
        <is>
          <t>Personnel expenses</t>
        </is>
      </c>
      <c r="B12" s="7" t="n"/>
      <c r="C12" s="7" t="n">
        <v>-8202750</v>
      </c>
      <c r="D12" s="7" t="n">
        <v>-8017084</v>
      </c>
      <c r="E12" s="7" t="n">
        <v>-5831341</v>
      </c>
      <c r="F12" s="7" t="n">
        <v>-5096462</v>
      </c>
    </row>
    <row r="13">
      <c r="A13" s="7" t="inlineStr">
        <is>
          <t>Depreciation</t>
        </is>
      </c>
      <c r="B13" s="7" t="n"/>
      <c r="C13" s="7" t="n">
        <v>-1370575</v>
      </c>
      <c r="D13" s="7" t="n">
        <v>-1560012</v>
      </c>
      <c r="E13" s="7" t="n">
        <v>-2176624</v>
      </c>
      <c r="F13" s="7" t="n">
        <v>-1569766</v>
      </c>
    </row>
    <row r="14">
      <c r="A14" s="7" t="inlineStr">
        <is>
          <t>Other operating expenses</t>
        </is>
      </c>
      <c r="B14" s="7" t="n"/>
      <c r="C14" s="7" t="n">
        <v>-4581738</v>
      </c>
      <c r="D14" s="7" t="n">
        <v>-3959278</v>
      </c>
      <c r="E14" s="7" t="n">
        <v>-4458281</v>
      </c>
      <c r="F14" s="7" t="n">
        <v>-10651872</v>
      </c>
    </row>
    <row r="15">
      <c r="A15" s="5" t="inlineStr">
        <is>
          <t>Total operating expenses</t>
        </is>
      </c>
      <c r="B15" s="5" t="n"/>
      <c r="C15" s="5" t="n">
        <v>-14155063</v>
      </c>
      <c r="D15" s="5" t="n">
        <v>-13536374</v>
      </c>
      <c r="E15" s="5" t="n">
        <v>-12466246</v>
      </c>
      <c r="F15" s="5" t="n">
        <v>-17318100</v>
      </c>
    </row>
    <row r="16">
      <c r="A16" s="7" t="inlineStr">
        <is>
          <t>Other income</t>
        </is>
      </c>
      <c r="B16" s="7" t="n"/>
      <c r="C16" s="7" t="n"/>
      <c r="D16" s="7" t="n"/>
      <c r="E16" s="7" t="n">
        <v>180144</v>
      </c>
      <c r="F16" s="7" t="n">
        <v>176822</v>
      </c>
    </row>
    <row r="17">
      <c r="A17" s="7" t="inlineStr">
        <is>
          <t>Rental income</t>
        </is>
      </c>
      <c r="B17" s="7" t="n"/>
      <c r="C17" s="7" t="n"/>
      <c r="D17" s="7" t="n">
        <v>20786</v>
      </c>
      <c r="E17" s="7" t="n"/>
      <c r="F17" s="7" t="n"/>
    </row>
    <row r="18">
      <c r="A18" s="7" t="inlineStr">
        <is>
          <t>Expected credit impairment losses (charge)/reversal</t>
        </is>
      </c>
      <c r="B18" s="7" t="n"/>
      <c r="C18" s="7" t="n">
        <v>-74019</v>
      </c>
      <c r="D18" s="7" t="n">
        <v>12663</v>
      </c>
      <c r="E18" s="7" t="n">
        <v>-120728</v>
      </c>
      <c r="F18" s="7" t="n">
        <v>-17516</v>
      </c>
    </row>
    <row r="19">
      <c r="A19" s="5" t="inlineStr">
        <is>
          <t>Profit/(Loss) before taxation</t>
        </is>
      </c>
      <c r="B19" s="5" t="n"/>
      <c r="C19" s="5" t="n">
        <v>11480721</v>
      </c>
      <c r="D19" s="5" t="n">
        <v>13958934</v>
      </c>
      <c r="E19" s="5" t="n">
        <v>5121885</v>
      </c>
      <c r="F19" s="5" t="n">
        <v>-9732637</v>
      </c>
    </row>
    <row r="20">
      <c r="A20" s="7" t="inlineStr">
        <is>
          <t>Taxation (charge)/credit</t>
        </is>
      </c>
      <c r="B20" s="7" t="n"/>
      <c r="C20" s="7" t="n">
        <v>-2842082</v>
      </c>
      <c r="D20" s="7" t="n">
        <v>-3552033</v>
      </c>
      <c r="E20" s="7" t="n">
        <v>-1247247</v>
      </c>
      <c r="F20" s="7" t="n">
        <v>1402823</v>
      </c>
    </row>
    <row r="21">
      <c r="A21" s="5" t="inlineStr">
        <is>
          <t>Profit/(Loss) for the year</t>
        </is>
      </c>
      <c r="B21" s="5" t="n"/>
      <c r="C21" s="5" t="n">
        <v>8638639</v>
      </c>
      <c r="D21" s="5" t="n">
        <v>10406901</v>
      </c>
      <c r="E21" s="5" t="n">
        <v>3874638</v>
      </c>
      <c r="F21" s="5" t="n">
        <v>-8329814</v>
      </c>
    </row>
    <row r="22">
      <c r="A22" s="5" t="inlineStr">
        <is>
          <t>Other comprehensive income, net of corporation tax</t>
        </is>
      </c>
      <c r="B22" s="7" t="n"/>
      <c r="C22" s="7" t="n"/>
      <c r="D22" s="7" t="n"/>
      <c r="E22" s="7" t="n"/>
      <c r="F22" s="7" t="n"/>
    </row>
    <row r="23">
      <c r="A23" s="7" t="inlineStr">
        <is>
          <t>Fair value gain/(loss) on FVOCI investment securities, net of tax</t>
        </is>
      </c>
      <c r="B23" s="7" t="n"/>
      <c r="C23" s="7" t="n">
        <v>56053</v>
      </c>
      <c r="D23" s="7" t="n">
        <v>10306</v>
      </c>
      <c r="E23" s="7" t="n">
        <v>-629408</v>
      </c>
      <c r="F23" s="7" t="n">
        <v>-6686</v>
      </c>
    </row>
    <row r="24">
      <c r="A24" s="7" t="inlineStr">
        <is>
          <t>Fair value (gain)/loss reclassified to profit or loss</t>
        </is>
      </c>
      <c r="B24" s="7" t="n"/>
      <c r="C24" s="7" t="n">
        <v>-10306</v>
      </c>
      <c r="D24" s="7" t="n">
        <v>629408</v>
      </c>
      <c r="E24" s="7" t="n">
        <v>9507</v>
      </c>
      <c r="F24" s="7" t="n">
        <v>-9507</v>
      </c>
    </row>
    <row r="25">
      <c r="A25" s="5" t="inlineStr">
        <is>
          <t>Total comprehensive income/(loss) for the year, net of tax</t>
        </is>
      </c>
      <c r="B25" s="5" t="n"/>
      <c r="C25" s="5" t="n">
        <v>8684386</v>
      </c>
      <c r="D25" s="5" t="n">
        <v>11046615</v>
      </c>
      <c r="E25" s="5" t="n">
        <v>3254737</v>
      </c>
      <c r="F25" s="5" t="n">
        <v>-8346007</v>
      </c>
    </row>
    <row r="26">
      <c r="A26" s="5" t="inlineStr">
        <is>
          <t>FY2025 status</t>
        </is>
      </c>
      <c r="B26" s="7" t="n"/>
      <c r="C26" s="7" t="n"/>
      <c r="D26" s="7" t="n"/>
      <c r="E26" s="7" t="n"/>
      <c r="F26" s="7" t="n"/>
    </row>
    <row r="27">
      <c r="A27" s="7" t="inlineStr">
        <is>
          <t>FY2025 column</t>
        </is>
      </c>
      <c r="B27" s="7" t="inlineStr">
        <is>
          <t>Not published yet - FY2025 accounts audited (Forvis Mazars) but not public; Companies House 05969821 next due 30 Sep 2026, not overdue. Checked 2026-09-18.</t>
        </is>
      </c>
      <c r="C27" s="7" t="n"/>
      <c r="D27" s="7" t="n"/>
      <c r="E27" s="7" t="n"/>
      <c r="F27" s="7" t="n"/>
    </row>
    <row r="29" ht="390" customHeight="1">
      <c r="A29" s="8" t="inlineStr">
        <is>
          <t>Sources - all figures are Guaranty Trust Bank (UK) Limited's own statements, as originally published in
each year's own Companies House-filed Annual Report and Financial Statements (FY2023 sourced from the
FY2024 Annual Report's own FY2023 comparative column, since no separate FY2023 filing exists as a
standalone document - the same convention already used for the Cash Flow Statement sheet):
FY2024: Annual Report for the year ended 31 Dec 2024, p.23-25 (Statement of comprehensive income,
Statement of financial position, Statement of changes in equity) - https://find-and-update.company-information.service.gov.uk/company/05969821/filing-history/MzQ2NTE3NTM2NmFkaXF6a2N4/document?format=pdf&amp;download=0
FY2023: as above (FY2024 Annual Report's own FY2023 comparative column, p.23-25) - https://find-and-update.company-information.service.gov.uk/company/05969821/filing-history/MzQ2NTE3NTM2NmFkaXF6a2N4/document?format=pdf&amp;download=0
FY2022: Annual Report for the year ended 31 Dec 2022, p.22-24 - https://find-and-update.company-information.service.gov.uk/company/05969821/filing-history/MzQwNjA2NDkyOGFkaXF6a2N4/document?format=pdf&amp;download=0
FY2021: Annual Report for the year ended 31 Dec 2021, p.21-23 - https://find-and-update.company-information.service.gov.uk/company/05969821/filing-history/MzM3MzI3NjAyMmFkaXF6a2N4/document?format=pdf&amp;download=0
Guaranty Trust Bank (UK) Limited (FRN 466611, Companies House 05969821) is a wholly-owned UK
subsidiary of Guaranty Trust Bank Limited ('GTBank Nigeria'), itself wholly owned by Guaranty Trust
Holding Company Plc (GTCO). Unlike several other Nigerian-bank-owned UK subsidiaries in this project
(Zenith Bank UK, UBA UK, FCMB UK, FidBank UK), this entity reports in GBP throughout - no FX
conversion is required.
FY2025 STATUS (re-verified 2026-09-18, unchanged): the FY2025 statutory accounts (year ended 31 Dec 2025)
still had NOT been published anywhere. Two independent routes were checked on that date and both are
negative. (1) Companies House filing history for 05969821 lists exactly five accounts filings, the most
recent being 'Full accounts made up to 31 December 2024', filed 6 May 2025 (the others 25 Jun 2024,
9 Jan 2024, 22 Mar 2023 and 1 Mar 2022); Companies House records the FY2025 accounts as next due
30 September 2026, i.e. not yet overdue, just not filed. (2) The Bank's own document page,
https://www.gtbankuk.com/about-gtbank-uk/our-company, links exactly two financial documents - the
'GTBank-UK-Annual-Report-and-Financial-Statement-2024.pdf' and the 'GTBank-UK-Pillar-3-Disclosure-2025.pdf'
- and its own in-page anchor is still literally #section-gt-bank-uk-annual-report-and-financial-statement-2024.
Every statutory-statement sheet in this workbook (Balance Sheet, Profit &amp; Loss, Statement of Changes in</t>
        </is>
      </c>
    </row>
    <row r="31" ht="403" customHeight="1">
      <c r="A31" s="8" t="inlineStr">
        <is>
          <t>(continued)
Equity, Cash Flow Statement, Asset Quality) is therefore genuinely blank for FY2025 - NOT PUBLISHED, as
distinct from not reachable.
THE FY2025 ACCOUNTS DO EXIST AND ARE AUDITED, they are simply not public. The FY2025 Pillar 3 says so
directly (section 5.1): its Table 1 'Financial Performance (GBP 000)' figures are 'as quoted in the Bank's
Financial Statements (Accounts) and, as such have been audited by the Bank's external auditors, Forvis
Mazars LLP', referring the reader to 'the Annual Report and Financial Statements (the Accounts) FYE 31st
December 2025'. That table prints six FY2025 aggregates, in GBP'000: net interest income 16,811,
operating income 24,325, profit before taxation 9,058, taxation charge (2,304), profit after taxation
6,754, total comprehensive income 6,738. They are recorded here rather than written into the Profit &amp;
Loss sheet, DELIBERATELY: that sheet is denominated in pounds to the penny (FY2024 profit after tax is
8,638,639, not 8,639,000), so posting a GBP'000-rounded aggregate into it would invent three digits of
precision, and the six lines cover only 6 of the sheet's 20 rows in any case. When the accounts are filed
the FY2025 column should be transcribed from them in full, and these six figures used as a cross-check.
ASSET QUALITY, likewise not filled from the Pillar 3, for a different and sharper reason. Section 8.8 of
the FY2025 Pillar 3 states the Bank 'had allocated GBP198,514 (31st December 2024: GBP100,281) for
expected losses under IFRS 9'. The FY2024 comparative in that sentence, 100,281, is NOT the FY2024 total
ECL allowance in this workbook's Asset Quality sheet (100,281 + 25,605 = 125,886); it equals the loans-
and-advances-to-BANKS ECL alone. The scope of the FY2025 figure is therefore unresolved on the face of the
document, and it is not attributable to any single row of that sheet. It is recorded here instead of being
guessed into place.
The Pillar 3 sheets are NOT blank for FY2025: the Bank published its own standalone 'Pillar 3 Disclosure
2025' (as at 31 December 2025, PDF created 23 July 2026, linked from its own site at
https://www.gtbankuk.com/about-gtbank-uk/our-company), and every Pillar 3 metric below is transcribed
from it - see the Pillar 3 sheets' own source citation.
DATA QUALITY NOTE - cash-equivalents basis discontinuity: the FY2022 Annual Report states that
'cash and cash equivalents for 2021 have been re-presented to include money market placements with
maturity of less than 3 months', quantifying the impact as an increase in the FY2021 opening balance
from GBP193,625,102 to GBP276,931,087 and in the FY2021 closing balance from GBP174,352,252 to
GBP290,627,822. However, neither of those 'old-basis' figures matches FY2021's own originally-filed</t>
        </is>
      </c>
    </row>
    <row r="33" ht="200" customHeight="1">
      <c r="A33" s="8" t="inlineStr">
        <is>
          <t>(continued)
Annual Report, which itself shows an opening balance of GBP83,305,985 and a closing balance of
GBP116,275,570 for FY2021 - a discrepancy in the source documents themselves that could not be
traced or resolved. Per this project's convention, each year below uses its own originally-published
figures (so FY2021's closing balance will not visually chain into FY2022's opening balance); this gap
is flagged here rather than forced to reconcile, the same treatment as Arab Bank Europe's unexplained
cash-bridge gap elsewhere in this project.
Also note: FY2021's own 'Operating cash flows before movement in working capital' subtotal
(GBP(10,764,152)) is GBP360 different from the sum of its own printed component lines - an immaterial
source rounding artifact, not corrected.</t>
        </is>
      </c>
    </row>
  </sheetData>
  <mergeCells count="3">
    <mergeCell ref="A31:F31"/>
    <mergeCell ref="A33:F33"/>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Guaranty Trust Bank (UK) Limited — Statement of Changes in Equity</t>
        </is>
      </c>
    </row>
    <row r="2">
      <c r="A2" s="2" t="inlineStr">
        <is>
          <t>Chronological roll-forward, oldest to newest. Equity reconciliation ladder confirmed: each year's own closing balance ties exactly to the next year's own opening balance and to that year's own Balance Sheet Total equity - zero plug rows needed anywhere in this chain.</t>
        </is>
      </c>
    </row>
    <row r="3">
      <c r="A3" s="4" t="inlineStr">
        <is>
          <t>Movement</t>
        </is>
      </c>
      <c r="B3" s="4" t="inlineStr">
        <is>
          <t>Share capital</t>
        </is>
      </c>
      <c r="C3" s="4" t="inlineStr">
        <is>
          <t>Retained earnings</t>
        </is>
      </c>
      <c r="D3" s="4" t="inlineStr">
        <is>
          <t>Fair value reserve</t>
        </is>
      </c>
      <c r="E3" s="4" t="inlineStr">
        <is>
          <t>Total equity</t>
        </is>
      </c>
    </row>
    <row r="4">
      <c r="A4" s="7" t="inlineStr">
        <is>
          <t>Balance as at 1 January 2021</t>
        </is>
      </c>
      <c r="B4" s="7" t="n">
        <v>37000000</v>
      </c>
      <c r="C4" s="7" t="n">
        <v>-3571038</v>
      </c>
      <c r="D4" s="7" t="n">
        <v>6686</v>
      </c>
      <c r="E4" s="7" t="n">
        <v>33435648</v>
      </c>
    </row>
    <row r="5">
      <c r="A5" s="7" t="inlineStr">
        <is>
          <t>Loss for the year</t>
        </is>
      </c>
      <c r="B5" s="7" t="n"/>
      <c r="C5" s="7" t="n">
        <v>-8329814</v>
      </c>
      <c r="D5" s="7" t="n"/>
      <c r="E5" s="7" t="n">
        <v>-8329814</v>
      </c>
    </row>
    <row r="6">
      <c r="A6" s="7" t="inlineStr">
        <is>
          <t>Net change in fair value</t>
        </is>
      </c>
      <c r="B6" s="7" t="n"/>
      <c r="C6" s="7" t="n"/>
      <c r="D6" s="7" t="n">
        <v>-6686</v>
      </c>
      <c r="E6" s="7" t="n">
        <v>-6686</v>
      </c>
    </row>
    <row r="7">
      <c r="A7" s="7" t="inlineStr">
        <is>
          <t>Net amount reclassified to P&amp;L</t>
        </is>
      </c>
      <c r="B7" s="7" t="n"/>
      <c r="C7" s="7" t="n"/>
      <c r="D7" s="7" t="n">
        <v>-9507</v>
      </c>
      <c r="E7" s="7" t="n">
        <v>-9507</v>
      </c>
    </row>
    <row r="8">
      <c r="A8" s="5" t="inlineStr">
        <is>
          <t>Balance as at 31 December 2021</t>
        </is>
      </c>
      <c r="B8" s="5" t="n">
        <v>37000000</v>
      </c>
      <c r="C8" s="5" t="n">
        <v>-11900852</v>
      </c>
      <c r="D8" s="5" t="n">
        <v>-9507</v>
      </c>
      <c r="E8" s="5" t="n">
        <v>25089641</v>
      </c>
    </row>
    <row r="9">
      <c r="A9" s="7" t="inlineStr">
        <is>
          <t>Profit for the year</t>
        </is>
      </c>
      <c r="B9" s="7" t="n"/>
      <c r="C9" s="7" t="n">
        <v>3874638</v>
      </c>
      <c r="D9" s="7" t="n"/>
      <c r="E9" s="7" t="n">
        <v>3874638</v>
      </c>
    </row>
    <row r="10">
      <c r="A10" s="7" t="inlineStr">
        <is>
          <t>Fair value (loss) on FVOCI investment securities, net of tax</t>
        </is>
      </c>
      <c r="B10" s="7" t="n"/>
      <c r="C10" s="7" t="n"/>
      <c r="D10" s="7" t="n">
        <v>-629408</v>
      </c>
      <c r="E10" s="7" t="n">
        <v>-629408</v>
      </c>
    </row>
    <row r="11">
      <c r="A11" s="7" t="inlineStr">
        <is>
          <t>Net profit/(loss) reclassified to profit or loss</t>
        </is>
      </c>
      <c r="B11" s="7" t="n"/>
      <c r="C11" s="7" t="n"/>
      <c r="D11" s="7" t="n">
        <v>9507</v>
      </c>
      <c r="E11" s="7" t="n">
        <v>9507</v>
      </c>
    </row>
    <row r="12">
      <c r="A12" s="5" t="inlineStr">
        <is>
          <t>Balance as at 31 December 2022</t>
        </is>
      </c>
      <c r="B12" s="5" t="n">
        <v>37000000</v>
      </c>
      <c r="C12" s="5" t="n">
        <v>-8026214</v>
      </c>
      <c r="D12" s="5" t="n">
        <v>-629408</v>
      </c>
      <c r="E12" s="5" t="n">
        <v>28344378</v>
      </c>
    </row>
    <row r="13">
      <c r="A13" s="7" t="inlineStr">
        <is>
          <t>Profit for the year</t>
        </is>
      </c>
      <c r="B13" s="7" t="n"/>
      <c r="C13" s="7" t="n">
        <v>10406901</v>
      </c>
      <c r="D13" s="7" t="n"/>
      <c r="E13" s="7" t="n">
        <v>10406901</v>
      </c>
    </row>
    <row r="14">
      <c r="A14" s="7" t="inlineStr">
        <is>
          <t>Fair value gain on FVOCI investment securities, net of tax</t>
        </is>
      </c>
      <c r="B14" s="7" t="n"/>
      <c r="C14" s="7" t="n"/>
      <c r="D14" s="7" t="n">
        <v>10306</v>
      </c>
      <c r="E14" s="7" t="n">
        <v>10306</v>
      </c>
    </row>
    <row r="15">
      <c r="A15" s="7" t="inlineStr">
        <is>
          <t>Fair value loss reclassified to profit or loss</t>
        </is>
      </c>
      <c r="B15" s="7" t="n"/>
      <c r="C15" s="7" t="n"/>
      <c r="D15" s="7" t="n">
        <v>629408</v>
      </c>
      <c r="E15" s="7" t="n">
        <v>629408</v>
      </c>
    </row>
    <row r="16">
      <c r="A16" s="5" t="inlineStr">
        <is>
          <t>Balance as at 31 December 2023</t>
        </is>
      </c>
      <c r="B16" s="5" t="n">
        <v>37000000</v>
      </c>
      <c r="C16" s="5" t="n">
        <v>2380687</v>
      </c>
      <c r="D16" s="5" t="n">
        <v>10306</v>
      </c>
      <c r="E16" s="5" t="n">
        <v>39390993</v>
      </c>
    </row>
    <row r="17">
      <c r="A17" s="7" t="inlineStr">
        <is>
          <t>Profit for the year</t>
        </is>
      </c>
      <c r="B17" s="7" t="n"/>
      <c r="C17" s="7" t="n">
        <v>8638639</v>
      </c>
      <c r="D17" s="7" t="n"/>
      <c r="E17" s="7" t="n">
        <v>8638639</v>
      </c>
    </row>
    <row r="18">
      <c r="A18" s="7" t="inlineStr">
        <is>
          <t>Fair value gain on FVOCI investment securities, net of tax</t>
        </is>
      </c>
      <c r="B18" s="7" t="n"/>
      <c r="C18" s="7" t="n"/>
      <c r="D18" s="7" t="n">
        <v>56053</v>
      </c>
      <c r="E18" s="7" t="n">
        <v>56053</v>
      </c>
    </row>
    <row r="19">
      <c r="A19" s="7" t="inlineStr">
        <is>
          <t>Fair value gain reclassified to profit or loss</t>
        </is>
      </c>
      <c r="B19" s="7" t="n"/>
      <c r="C19" s="7" t="n"/>
      <c r="D19" s="7" t="n">
        <v>-10306</v>
      </c>
      <c r="E19" s="7" t="n">
        <v>-10306</v>
      </c>
    </row>
    <row r="20">
      <c r="A20" s="5" t="inlineStr">
        <is>
          <t>Balance as at 31 December 2024</t>
        </is>
      </c>
      <c r="B20" s="5" t="n">
        <v>37000000</v>
      </c>
      <c r="C20" s="5" t="n">
        <v>11019326</v>
      </c>
      <c r="D20" s="5" t="n">
        <v>56053</v>
      </c>
      <c r="E20" s="5" t="n">
        <v>48075379</v>
      </c>
    </row>
    <row r="22" ht="390" customHeight="1">
      <c r="A22" s="8" t="inlineStr">
        <is>
          <t>Sources - all figures are Guaranty Trust Bank (UK) Limited's own statements, as originally published in
each year's own Companies House-filed Annual Report and Financial Statements (FY2023 sourced from the
FY2024 Annual Report's own FY2023 comparative column, since no separate FY2023 filing exists as a
standalone document - the same convention already used for the Cash Flow Statement sheet):
FY2024: Annual Report for the year ended 31 Dec 2024, p.23-25 (Statement of comprehensive income,
Statement of financial position, Statement of changes in equity) - https://find-and-update.company-information.service.gov.uk/company/05969821/filing-history/MzQ2NTE3NTM2NmFkaXF6a2N4/document?format=pdf&amp;download=0
FY2023: as above (FY2024 Annual Report's own FY2023 comparative column, p.23-25) - https://find-and-update.company-information.service.gov.uk/company/05969821/filing-history/MzQ2NTE3NTM2NmFkaXF6a2N4/document?format=pdf&amp;download=0
FY2022: Annual Report for the year ended 31 Dec 2022, p.22-24 - https://find-and-update.company-information.service.gov.uk/company/05969821/filing-history/MzQwNjA2NDkyOGFkaXF6a2N4/document?format=pdf&amp;download=0
FY2021: Annual Report for the year ended 31 Dec 2021, p.21-23 - https://find-and-update.company-information.service.gov.uk/company/05969821/filing-history/MzM3MzI3NjAyMmFkaXF6a2N4/document?format=pdf&amp;download=0
Guaranty Trust Bank (UK) Limited (FRN 466611, Companies House 05969821) is a wholly-owned UK
subsidiary of Guaranty Trust Bank Limited ('GTBank Nigeria'), itself wholly owned by Guaranty Trust
Holding Company Plc (GTCO). Unlike several other Nigerian-bank-owned UK subsidiaries in this project
(Zenith Bank UK, UBA UK, FCMB UK, FidBank UK), this entity reports in GBP throughout - no FX
conversion is required.
FY2025 STATUS (re-verified 2026-09-18, unchanged): the FY2025 statutory accounts (year ended 31 Dec 2025)
still had NOT been published anywhere. Two independent routes were checked on that date and both are
negative. (1) Companies House filing history for 05969821 lists exactly five accounts filings, the most
recent being 'Full accounts made up to 31 December 2024', filed 6 May 2025 (the others 25 Jun 2024,
9 Jan 2024, 22 Mar 2023 and 1 Mar 2022); Companies House records the FY2025 accounts as next due
30 September 2026, i.e. not yet overdue, just not filed. (2) The Bank's own document page,
https://www.gtbankuk.com/about-gtbank-uk/our-company, links exactly two financial documents - the
'GTBank-UK-Annual-Report-and-Financial-Statement-2024.pdf' and the 'GTBank-UK-Pillar-3-Disclosure-2025.pdf'
- and its own in-page anchor is still literally #section-gt-bank-uk-annual-report-and-financial-statement-2024.
Every statutory-statement sheet in this workbook (Balance Sheet, Profit &amp; Loss, Statement of Changes in</t>
        </is>
      </c>
    </row>
    <row r="24" ht="403" customHeight="1">
      <c r="A24" s="8" t="inlineStr">
        <is>
          <t>(continued)
Equity, Cash Flow Statement, Asset Quality) is therefore genuinely blank for FY2025 - NOT PUBLISHED, as
distinct from not reachable.
THE FY2025 ACCOUNTS DO EXIST AND ARE AUDITED, they are simply not public. The FY2025 Pillar 3 says so
directly (section 5.1): its Table 1 'Financial Performance (GBP 000)' figures are 'as quoted in the Bank's
Financial Statements (Accounts) and, as such have been audited by the Bank's external auditors, Forvis
Mazars LLP', referring the reader to 'the Annual Report and Financial Statements (the Accounts) FYE 31st
December 2025'. That table prints six FY2025 aggregates, in GBP'000: net interest income 16,811,
operating income 24,325, profit before taxation 9,058, taxation charge (2,304), profit after taxation
6,754, total comprehensive income 6,738. They are recorded here rather than written into the Profit &amp;
Loss sheet, DELIBERATELY: that sheet is denominated in pounds to the penny (FY2024 profit after tax is
8,638,639, not 8,639,000), so posting a GBP'000-rounded aggregate into it would invent three digits of
precision, and the six lines cover only 6 of the sheet's 20 rows in any case. When the accounts are filed
the FY2025 column should be transcribed from them in full, and these six figures used as a cross-check.
ASSET QUALITY, likewise not filled from the Pillar 3, for a different and sharper reason. Section 8.8 of
the FY2025 Pillar 3 states the Bank 'had allocated GBP198,514 (31st December 2024: GBP100,281) for
expected losses under IFRS 9'. The FY2024 comparative in that sentence, 100,281, is NOT the FY2024 total
ECL allowance in this workbook's Asset Quality sheet (100,281 + 25,605 = 125,886); it equals the loans-
and-advances-to-BANKS ECL alone. The scope of the FY2025 figure is therefore unresolved on the face of the
document, and it is not attributable to any single row of that sheet. It is recorded here instead of being
guessed into place.
The Pillar 3 sheets are NOT blank for FY2025: the Bank published its own standalone 'Pillar 3 Disclosure
2025' (as at 31 December 2025, PDF created 23 July 2026, linked from its own site at
https://www.gtbankuk.com/about-gtbank-uk/our-company), and every Pillar 3 metric below is transcribed
from it - see the Pillar 3 sheets' own source citation.
DATA QUALITY NOTE - cash-equivalents basis discontinuity: the FY2022 Annual Report states that
'cash and cash equivalents for 2021 have been re-presented to include money market placements with
maturity of less than 3 months', quantifying the impact as an increase in the FY2021 opening balance
from GBP193,625,102 to GBP276,931,087 and in the FY2021 closing balance from GBP174,352,252 to
GBP290,627,822. However, neither of those 'old-basis' figures matches FY2021's own originally-filed</t>
        </is>
      </c>
    </row>
    <row r="26" ht="200" customHeight="1">
      <c r="A26" s="8" t="inlineStr">
        <is>
          <t>(continued)
Annual Report, which itself shows an opening balance of GBP83,305,985 and a closing balance of
GBP116,275,570 for FY2021 - a discrepancy in the source documents themselves that could not be
traced or resolved. Per this project's convention, each year below uses its own originally-published
figures (so FY2021's closing balance will not visually chain into FY2022's opening balance); this gap
is flagged here rather than forced to reconcile, the same treatment as Arab Bank Europe's unexplained
cash-bridge gap elsewhere in this project.
Also note: FY2021's own 'Operating cash flows before movement in working capital' subtotal
(GBP(10,764,152)) is GBP360 different from the sum of its own printed component lines - an immaterial
source rounding artifact, not corrected.</t>
        </is>
      </c>
    </row>
  </sheetData>
  <mergeCells count="3">
    <mergeCell ref="A22:E22"/>
    <mergeCell ref="A26:E26"/>
    <mergeCell ref="A24:E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Guaranty Trust Bank (UK) Limited — Statement of Cash Flows</t>
        </is>
      </c>
    </row>
    <row r="2">
      <c r="A2" s="2" t="inlineStr">
        <is>
          <t>As originally published in each year's own Annual Report (see DATA QUALITY note on a FY2021/FY2022 cash-equivalents basis discontinuity in the source citation below)</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Cash flows from operating activities</t>
        </is>
      </c>
      <c r="B4" s="7" t="n"/>
      <c r="C4" s="7" t="n"/>
      <c r="D4" s="7" t="n"/>
      <c r="E4" s="7" t="n"/>
      <c r="F4" s="7" t="n"/>
    </row>
    <row r="5">
      <c r="A5" s="7" t="inlineStr">
        <is>
          <t>Profit/(Loss) for the period before taxation</t>
        </is>
      </c>
      <c r="B5" s="7" t="n"/>
      <c r="C5" s="7" t="n">
        <v>11480721</v>
      </c>
      <c r="D5" s="7" t="n">
        <v>13958934</v>
      </c>
      <c r="E5" s="7" t="n">
        <v>5121885</v>
      </c>
      <c r="F5" s="7" t="n">
        <v>-9732637</v>
      </c>
    </row>
    <row r="6">
      <c r="A6" s="7" t="inlineStr">
        <is>
          <t>Amortisation of investment securities</t>
        </is>
      </c>
      <c r="B6" s="7" t="n"/>
      <c r="C6" s="7" t="n"/>
      <c r="D6" s="7" t="n"/>
      <c r="E6" s="7" t="n">
        <v>-1476950</v>
      </c>
      <c r="F6" s="7" t="n">
        <v>-1408658</v>
      </c>
    </row>
    <row r="7">
      <c r="A7" s="7" t="inlineStr">
        <is>
          <t>Interest income from investment securities</t>
        </is>
      </c>
      <c r="B7" s="7" t="n"/>
      <c r="C7" s="7" t="n">
        <v>-7475529</v>
      </c>
      <c r="D7" s="7" t="n">
        <v>-7178103</v>
      </c>
      <c r="E7" s="7" t="n"/>
      <c r="F7" s="7" t="n"/>
    </row>
    <row r="8">
      <c r="A8" s="7" t="inlineStr">
        <is>
          <t>Depreciation</t>
        </is>
      </c>
      <c r="B8" s="7" t="n"/>
      <c r="C8" s="7" t="n">
        <v>592042</v>
      </c>
      <c r="D8" s="7" t="n">
        <v>517052</v>
      </c>
      <c r="E8" s="7" t="n">
        <v>379244</v>
      </c>
      <c r="F8" s="7" t="n">
        <v>570173</v>
      </c>
    </row>
    <row r="9">
      <c r="A9" s="7" t="inlineStr">
        <is>
          <t>Net (increase)/decrease in fair value of securities</t>
        </is>
      </c>
      <c r="B9" s="7" t="n"/>
      <c r="C9" s="7" t="n"/>
      <c r="D9" s="7" t="n"/>
      <c r="E9" s="7" t="n"/>
      <c r="F9" s="7" t="n">
        <v>-1192264</v>
      </c>
    </row>
    <row r="10">
      <c r="A10" s="7" t="inlineStr">
        <is>
          <t>Expected credit losses / allowances for credit impairment charge/(reversal)</t>
        </is>
      </c>
      <c r="B10" s="7" t="n"/>
      <c r="C10" s="7" t="n">
        <v>74019</v>
      </c>
      <c r="D10" s="7" t="n">
        <v>-12663</v>
      </c>
      <c r="E10" s="7" t="n">
        <v>120728</v>
      </c>
      <c r="F10" s="7" t="n"/>
    </row>
    <row r="11">
      <c r="A11" s="7" t="inlineStr">
        <is>
          <t>Effective interest rate adjustment</t>
        </is>
      </c>
      <c r="B11" s="7" t="n"/>
      <c r="C11" s="7" t="n">
        <v>-166166</v>
      </c>
      <c r="D11" s="7" t="n">
        <v>-271506</v>
      </c>
      <c r="E11" s="7" t="n">
        <v>-126000</v>
      </c>
      <c r="F11" s="7" t="n"/>
    </row>
    <row r="12">
      <c r="A12" s="7" t="inlineStr">
        <is>
          <t>Lease finance charge</t>
        </is>
      </c>
      <c r="B12" s="7" t="n"/>
      <c r="C12" s="7" t="n">
        <v>410509</v>
      </c>
      <c r="D12" s="7" t="n">
        <v>415986</v>
      </c>
      <c r="E12" s="7" t="n">
        <v>209082</v>
      </c>
      <c r="F12" s="7" t="n"/>
    </row>
    <row r="13">
      <c r="A13" s="7" t="inlineStr">
        <is>
          <t>Provision for lease dilapidation</t>
        </is>
      </c>
      <c r="B13" s="7" t="n"/>
      <c r="C13" s="7" t="n">
        <v>11240</v>
      </c>
      <c r="D13" s="7" t="n">
        <v>10833</v>
      </c>
      <c r="E13" s="7" t="n"/>
      <c r="F13" s="7" t="n"/>
    </row>
    <row r="14">
      <c r="A14" s="7" t="inlineStr">
        <is>
          <t>Depreciation of leasehold right of use asset</t>
        </is>
      </c>
      <c r="B14" s="7" t="n"/>
      <c r="C14" s="7" t="n">
        <v>778533</v>
      </c>
      <c r="D14" s="7" t="n">
        <v>1042960</v>
      </c>
      <c r="E14" s="7" t="n">
        <v>1797381</v>
      </c>
      <c r="F14" s="7" t="n">
        <v>999594</v>
      </c>
    </row>
    <row r="15">
      <c r="A15" s="5" t="inlineStr">
        <is>
          <t>Operating cash flows before movement in working capital</t>
        </is>
      </c>
      <c r="B15" s="5" t="n"/>
      <c r="C15" s="5" t="n">
        <v>5705369</v>
      </c>
      <c r="D15" s="5" t="n">
        <v>8483493</v>
      </c>
      <c r="E15" s="5" t="n">
        <v>6025370</v>
      </c>
      <c r="F15" s="5" t="n">
        <v>-10764152</v>
      </c>
    </row>
    <row r="16">
      <c r="A16" s="7" t="inlineStr">
        <is>
          <t>(Increase)/decrease in loans and advances to banks</t>
        </is>
      </c>
      <c r="B16" s="7" t="n"/>
      <c r="C16" s="7" t="n">
        <v>-44371958</v>
      </c>
      <c r="D16" s="7" t="n">
        <v>54491422</v>
      </c>
      <c r="E16" s="7" t="n">
        <v>-6313430</v>
      </c>
      <c r="F16" s="7" t="n">
        <v>29961133</v>
      </c>
    </row>
    <row r="17">
      <c r="A17" s="7" t="inlineStr">
        <is>
          <t>(Increase)/decrease in loans and advances to customers</t>
        </is>
      </c>
      <c r="B17" s="7" t="n"/>
      <c r="C17" s="7" t="n">
        <v>-4695033</v>
      </c>
      <c r="D17" s="7" t="n">
        <v>4426364</v>
      </c>
      <c r="E17" s="7" t="n">
        <v>-4402308</v>
      </c>
      <c r="F17" s="7" t="n">
        <v>-6639736</v>
      </c>
    </row>
    <row r="18">
      <c r="A18" s="7" t="inlineStr">
        <is>
          <t>Increase/(decrease) in other assets</t>
        </is>
      </c>
      <c r="B18" s="7" t="n"/>
      <c r="C18" s="7" t="n">
        <v>-126192</v>
      </c>
      <c r="D18" s="7" t="n">
        <v>-149057</v>
      </c>
      <c r="E18" s="7" t="n">
        <v>606644</v>
      </c>
      <c r="F18" s="7" t="n">
        <v>52687</v>
      </c>
    </row>
    <row r="19">
      <c r="A19" s="7" t="inlineStr">
        <is>
          <t>Increase/(decrease) in deposits by banks</t>
        </is>
      </c>
      <c r="B19" s="7" t="n"/>
      <c r="C19" s="7" t="n">
        <v>112584567</v>
      </c>
      <c r="D19" s="7" t="n">
        <v>-127254322</v>
      </c>
      <c r="E19" s="7" t="n">
        <v>53231890</v>
      </c>
      <c r="F19" s="7" t="n">
        <v>23544174</v>
      </c>
    </row>
    <row r="20">
      <c r="A20" s="7" t="inlineStr">
        <is>
          <t>Increase/(decrease) in deposits by customers</t>
        </is>
      </c>
      <c r="B20" s="7" t="n"/>
      <c r="C20" s="7" t="n">
        <v>-5344634</v>
      </c>
      <c r="D20" s="7" t="n">
        <v>-35392588</v>
      </c>
      <c r="E20" s="7" t="n">
        <v>68307416</v>
      </c>
      <c r="F20" s="7" t="n">
        <v>9653264</v>
      </c>
    </row>
    <row r="21">
      <c r="A21" s="7" t="inlineStr">
        <is>
          <t>Increase/(decrease) in other liabilities</t>
        </is>
      </c>
      <c r="B21" s="7" t="n"/>
      <c r="C21" s="7" t="n">
        <v>-1147659</v>
      </c>
      <c r="D21" s="7" t="n">
        <v>-6957695</v>
      </c>
      <c r="E21" s="7" t="n">
        <v>491009</v>
      </c>
      <c r="F21" s="7" t="n">
        <v>6491319</v>
      </c>
    </row>
    <row r="22">
      <c r="A22" s="5" t="inlineStr">
        <is>
          <t>Changes in working capital (cumulative, incl. operating cash flows above)</t>
        </is>
      </c>
      <c r="B22" s="5" t="n"/>
      <c r="C22" s="5" t="n">
        <v>62604460</v>
      </c>
      <c r="D22" s="5" t="n">
        <v>-102352383</v>
      </c>
      <c r="E22" s="5" t="n">
        <v>117946591</v>
      </c>
      <c r="F22" s="5" t="n">
        <v>52298689</v>
      </c>
    </row>
    <row r="23">
      <c r="A23" s="7" t="inlineStr">
        <is>
          <t>Interest paid on leases</t>
        </is>
      </c>
      <c r="B23" s="7" t="n"/>
      <c r="C23" s="7" t="n"/>
      <c r="D23" s="7" t="n"/>
      <c r="E23" s="7" t="n">
        <v>-209082</v>
      </c>
      <c r="F23" s="7" t="n"/>
    </row>
    <row r="24">
      <c r="A24" s="7" t="inlineStr">
        <is>
          <t>Corporation tax (paid)/received</t>
        </is>
      </c>
      <c r="B24" s="7" t="n"/>
      <c r="C24" s="7" t="n">
        <v>-4669205</v>
      </c>
      <c r="D24" s="7" t="n">
        <v>25181</v>
      </c>
      <c r="E24" s="7" t="n"/>
      <c r="F24" s="7" t="n">
        <v>0</v>
      </c>
    </row>
    <row r="25">
      <c r="A25" s="5" t="inlineStr">
        <is>
          <t>Net cash flow from/(used in) operating activities</t>
        </is>
      </c>
      <c r="B25" s="5" t="n"/>
      <c r="C25" s="5" t="n">
        <v>57935255</v>
      </c>
      <c r="D25" s="5" t="n">
        <v>-102327202</v>
      </c>
      <c r="E25" s="5" t="n">
        <v>117737509</v>
      </c>
      <c r="F25" s="5" t="n">
        <v>52298689</v>
      </c>
    </row>
    <row r="26">
      <c r="A26" s="5" t="inlineStr">
        <is>
          <t>Cash flows from investing activities</t>
        </is>
      </c>
      <c r="B26" s="7" t="n"/>
      <c r="C26" s="7" t="n"/>
      <c r="D26" s="7" t="n"/>
      <c r="E26" s="7" t="n"/>
      <c r="F26" s="7" t="n"/>
    </row>
    <row r="27">
      <c r="A27" s="7" t="inlineStr">
        <is>
          <t>Acquisition of investment securities</t>
        </is>
      </c>
      <c r="B27" s="7" t="n"/>
      <c r="C27" s="7" t="n">
        <v>-309552620</v>
      </c>
      <c r="D27" s="7" t="n">
        <v>-322726031</v>
      </c>
      <c r="E27" s="7" t="n">
        <v>-243814896</v>
      </c>
      <c r="F27" s="7" t="n">
        <v>-160562399</v>
      </c>
    </row>
    <row r="28">
      <c r="A28" s="7" t="inlineStr">
        <is>
          <t>Sale and maturity of investment securities</t>
        </is>
      </c>
      <c r="B28" s="7" t="n"/>
      <c r="C28" s="7" t="n">
        <v>315933183</v>
      </c>
      <c r="D28" s="7" t="n">
        <v>280019392</v>
      </c>
      <c r="E28" s="7" t="n">
        <v>219731160</v>
      </c>
      <c r="F28" s="7" t="n">
        <v>142726224</v>
      </c>
    </row>
    <row r="29">
      <c r="A29" s="7" t="inlineStr">
        <is>
          <t>Interest received from investment securities</t>
        </is>
      </c>
      <c r="B29" s="7" t="n"/>
      <c r="C29" s="7" t="n">
        <v>6597200</v>
      </c>
      <c r="D29" s="7" t="n">
        <v>5617158</v>
      </c>
      <c r="E29" s="7" t="n"/>
      <c r="F29" s="7" t="n"/>
    </row>
    <row r="30">
      <c r="A30" s="7" t="inlineStr">
        <is>
          <t>Acquisition of property and equipment</t>
        </is>
      </c>
      <c r="B30" s="7" t="n"/>
      <c r="C30" s="7" t="n">
        <v>-1140481</v>
      </c>
      <c r="D30" s="7" t="n">
        <v>-1422698</v>
      </c>
      <c r="E30" s="7" t="n">
        <v>-1980378</v>
      </c>
      <c r="F30" s="7" t="n">
        <v>-81236</v>
      </c>
    </row>
    <row r="31">
      <c r="A31" s="5" t="inlineStr">
        <is>
          <t>Net cash flow from/(used in) investing activities</t>
        </is>
      </c>
      <c r="B31" s="5" t="n"/>
      <c r="C31" s="5" t="n">
        <v>11837282</v>
      </c>
      <c r="D31" s="5" t="n">
        <v>-38512179</v>
      </c>
      <c r="E31" s="5" t="n">
        <v>-26064114</v>
      </c>
      <c r="F31" s="5" t="n">
        <v>-17917411</v>
      </c>
    </row>
    <row r="32">
      <c r="A32" s="5" t="inlineStr">
        <is>
          <t>Cash flows from financing activities</t>
        </is>
      </c>
      <c r="B32" s="7" t="n"/>
      <c r="C32" s="7" t="n"/>
      <c r="D32" s="7" t="n"/>
      <c r="E32" s="7" t="n"/>
      <c r="F32" s="7" t="n"/>
    </row>
    <row r="33">
      <c r="A33" s="7" t="inlineStr">
        <is>
          <t>Repayment of lease</t>
        </is>
      </c>
      <c r="B33" s="7" t="n"/>
      <c r="C33" s="7" t="n">
        <v>-705754</v>
      </c>
      <c r="D33" s="7" t="n">
        <v>-570000</v>
      </c>
      <c r="E33" s="7" t="n"/>
      <c r="F33" s="7" t="n"/>
    </row>
    <row r="34">
      <c r="A34" s="7" t="inlineStr">
        <is>
          <t>Increase/(decrease) in lease liabilities</t>
        </is>
      </c>
      <c r="B34" s="7" t="n"/>
      <c r="C34" s="7" t="n"/>
      <c r="D34" s="7" t="n"/>
      <c r="E34" s="7" t="n">
        <v>-1892429</v>
      </c>
      <c r="F34" s="7" t="n">
        <v>-1411693</v>
      </c>
    </row>
    <row r="35">
      <c r="A35" s="5" t="inlineStr">
        <is>
          <t>Net cash flow from/(used in) financing activities</t>
        </is>
      </c>
      <c r="B35" s="5" t="n"/>
      <c r="C35" s="5" t="n">
        <v>-705754</v>
      </c>
      <c r="D35" s="5" t="n">
        <v>-570000</v>
      </c>
      <c r="E35" s="5" t="n">
        <v>-1892429</v>
      </c>
      <c r="F35" s="5" t="n">
        <v>-1411693</v>
      </c>
    </row>
    <row r="36">
      <c r="A36" s="5" t="inlineStr">
        <is>
          <t>Net increase/(decrease) in cash and cash equivalents</t>
        </is>
      </c>
      <c r="B36" s="5" t="n"/>
      <c r="C36" s="5" t="n">
        <v>69066783</v>
      </c>
      <c r="D36" s="5" t="n">
        <v>-141409381</v>
      </c>
      <c r="E36" s="5" t="n">
        <v>89780966</v>
      </c>
      <c r="F36" s="5" t="n">
        <v>32969585</v>
      </c>
    </row>
    <row r="37">
      <c r="A37" s="7" t="inlineStr">
        <is>
          <t>Cash and cash equivalents at the beginning of the year</t>
        </is>
      </c>
      <c r="B37" s="7" t="n"/>
      <c r="C37" s="7" t="n">
        <v>238999407</v>
      </c>
      <c r="D37" s="7" t="n">
        <v>380408788</v>
      </c>
      <c r="E37" s="7" t="n">
        <v>290627822</v>
      </c>
      <c r="F37" s="7" t="n">
        <v>83305985</v>
      </c>
    </row>
    <row r="38">
      <c r="A38" s="5" t="inlineStr">
        <is>
          <t>Cash and cash equivalents at the end of the year</t>
        </is>
      </c>
      <c r="B38" s="5" t="n"/>
      <c r="C38" s="5" t="n">
        <v>308066190</v>
      </c>
      <c r="D38" s="5" t="n">
        <v>238999407</v>
      </c>
      <c r="E38" s="5" t="n">
        <v>380408788</v>
      </c>
      <c r="F38" s="5" t="n">
        <v>116275570</v>
      </c>
    </row>
    <row r="39">
      <c r="A39" s="5" t="inlineStr">
        <is>
          <t>FY2025 status</t>
        </is>
      </c>
      <c r="B39" s="7" t="n"/>
      <c r="C39" s="7" t="n"/>
      <c r="D39" s="7" t="n"/>
      <c r="E39" s="7" t="n"/>
      <c r="F39" s="7" t="n"/>
    </row>
    <row r="40">
      <c r="A40" s="7" t="inlineStr">
        <is>
          <t>FY2025 column</t>
        </is>
      </c>
      <c r="B40" s="7" t="inlineStr">
        <is>
          <t>Not published yet - FY2025 accounts audited (Forvis Mazars) but not public; Companies House 05969821 next due 30 Sep 2026, not overdue. Checked 2026-09-18.</t>
        </is>
      </c>
      <c r="C40" s="7" t="n"/>
      <c r="D40" s="7" t="n"/>
      <c r="E40" s="7" t="n"/>
      <c r="F40" s="7" t="n"/>
    </row>
    <row r="42" ht="390" customHeight="1">
      <c r="A42" s="8" t="inlineStr">
        <is>
          <t>Sources - all figures are Guaranty Trust Bank (UK) Limited's own Statement of Cash Flows, as originally
published in each year's own Companies House-filed Annual Report and Financial Statements (not a later
year's restated comparative, except where noted):
FY2024: Annual Report for the year ended 31 Dec 2024, p.26-27 (Statement of Cash Flows) - https://find-and-update.company-information.service.gov.uk/company/05969821/filing-history/MzQ2NTE3NTM2NmFkaXF6a2N4/document?format=pdf&amp;download=0
FY2023: as above (FY2024 Annual Report's own FY2023 comparative column, p.26-27) - https://find-and-update.company-information.service.gov.uk/company/05969821/filing-history/MzQ2NTE3NTM2NmFkaXF6a2N4/document?format=pdf&amp;download=0
FY2022: Annual Report for the year ended 31 Dec 2022, p.25 (Statement of cash flows) - https://find-and-update.company-information.service.gov.uk/company/05969821/filing-history/MzQwNjA2NDkyOGFkaXF6a2N4/document?format=pdf&amp;download=0
FY2021: Annual Report for the year ended 31 Dec 2021, p.24 (Statement of cash flows) - https://find-and-update.company-information.service.gov.uk/company/05969821/filing-history/MzM3MzI3NjAyMmFkaXF6a2N4/document?format=pdf&amp;download=0
Guaranty Trust Bank (UK) Limited (FRN 466611, Companies House 05969821) is a wholly-owned UK
subsidiary of Guaranty Trust Bank Limited ('GTBank Nigeria'), itself wholly owned by Guaranty Trust
Holding Company Plc (GTCO). Unlike several other Nigerian-bank-owned UK subsidiaries in this project
(Zenith Bank UK, UBA UK, FCMB UK, FidBank UK), this entity reports in GBP throughout - no FX
conversion is required.
FY2025 STATUS (re-verified 2026-09-18, unchanged): the FY2025 statutory accounts (year ended 31 Dec 2025)
still had NOT been published anywhere. Two independent routes were checked on that date and both are
negative. (1) Companies House filing history for 05969821 lists exactly five accounts filings, the most
recent being 'Full accounts made up to 31 December 2024', filed 6 May 2025 (the others 25 Jun 2024,
9 Jan 2024, 22 Mar 2023 and 1 Mar 2022); Companies House records the FY2025 accounts as next due
30 September 2026, i.e. not yet overdue, just not filed. (2) The Bank's own document page,
https://www.gtbankuk.com/about-gtbank-uk/our-company, links exactly two financial documents - the
'GTBank-UK-Annual-Report-and-Financial-Statement-2024.pdf' and the 'GTBank-UK-Pillar-3-Disclosure-2025.pdf'
- and its own in-page anchor is still literally #section-gt-bank-uk-annual-report-and-financial-statement-2024.
Every statutory-statement sheet in this workbook (Balance Sheet, Profit &amp; Loss, Statement of Changes in
Equity, Cash Flow Statement, Asset Quality) is therefore genuinely blank for FY2025 - NOT PUBLISHED, as
distinct from not reachable.</t>
        </is>
      </c>
    </row>
    <row r="44" ht="403" customHeight="1">
      <c r="A44" s="8" t="inlineStr">
        <is>
          <t>(continued)
THE FY2025 ACCOUNTS DO EXIST AND ARE AUDITED, they are simply not public. The FY2025 Pillar 3 says so
directly (section 5.1): its Table 1 'Financial Performance (GBP 000)' figures are 'as quoted in the Bank's
Financial Statements (Accounts) and, as such have been audited by the Bank's external auditors, Forvis
Mazars LLP', referring the reader to 'the Annual Report and Financial Statements (the Accounts) FYE 31st
December 2025'. That table prints six FY2025 aggregates, in GBP'000: net interest income 16,811,
operating income 24,325, profit before taxation 9,058, taxation charge (2,304), profit after taxation
6,754, total comprehensive income 6,738. They are recorded here rather than written into the Profit &amp;
Loss sheet, DELIBERATELY: that sheet is denominated in pounds to the penny (FY2024 profit after tax is
8,638,639, not 8,639,000), so posting a GBP'000-rounded aggregate into it would invent three digits of
precision, and the six lines cover only 6 of the sheet's 20 rows in any case. When the accounts are filed
the FY2025 column should be transcribed from them in full, and these six figures used as a cross-check.
ASSET QUALITY, likewise not filled from the Pillar 3, for a different and sharper reason. Section 8.8 of
the FY2025 Pillar 3 states the Bank 'had allocated GBP198,514 (31st December 2024: GBP100,281) for
expected losses under IFRS 9'. The FY2024 comparative in that sentence, 100,281, is NOT the FY2024 total
ECL allowance in this workbook's Asset Quality sheet (100,281 + 25,605 = 125,886); it equals the loans-
and-advances-to-BANKS ECL alone. The scope of the FY2025 figure is therefore unresolved on the face of the
document, and it is not attributable to any single row of that sheet. It is recorded here instead of being
guessed into place.
The Pillar 3 sheets are NOT blank for FY2025: the Bank published its own standalone 'Pillar 3 Disclosure
2025' (as at 31 December 2025, PDF created 23 July 2026, linked from its own site at
https://www.gtbankuk.com/about-gtbank-uk/our-company), and every Pillar 3 metric below is transcribed
from it - see the Pillar 3 sheets' own source citation.
DATA QUALITY NOTE - cash-equivalents basis discontinuity: the FY2022 Annual Report states that
'cash and cash equivalents for 2021 have been re-presented to include money market placements with
maturity of less than 3 months', quantifying the impact as an increase in the FY2021 opening balance
from GBP193,625,102 to GBP276,931,087 and in the FY2021 closing balance from GBP174,352,252 to
GBP290,627,822. However, neither of those 'old-basis' figures matches FY2021's own originally-filed
Annual Report, which itself shows an opening balance of GBP83,305,985 and a closing balance of
GBP116,275,570 for FY2021 - a discrepancy in the source documents themselves that could not be</t>
        </is>
      </c>
    </row>
    <row r="46" ht="230" customHeight="1">
      <c r="A46" s="8" t="inlineStr">
        <is>
          <t>(continued)
traced or resolved. Per this project's convention, each year below uses its own originally-published
figures (so FY2021's closing balance will not visually chain into FY2022's opening balance); this gap
is flagged here rather than forced to reconcile, the same treatment as Arab Bank Europe's unexplained
cash-bridge gap elsewhere in this project.
Also note: FY2021's own 'Operating cash flows before movement in working capital' subtotal
(GBP(10,764,152)) is GBP360 different from the sum of its own printed component lines - an immaterial
source rounding artifact, not corrected.</t>
        </is>
      </c>
    </row>
  </sheetData>
  <mergeCells count="3">
    <mergeCell ref="A44:F44"/>
    <mergeCell ref="A42:F42"/>
    <mergeCell ref="A46:F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Guaranty Trust Bank (UK) Limited — Asset Quality</t>
        </is>
      </c>
    </row>
    <row r="2">
      <c r="A2" s="2" t="inlineStr">
        <is>
          <t>Loan book by maturity band and Expected Credit Loss (ECL) allowance, as originally published each year. The Bank does not disclose an IFRS 9 Stage 1/2/3 split anywhere in its Annual Report - only a single aggregate ECL figure per loan category - confirmed by reading Notes 12/13 and Note 23 (credit risk) in full each year; see source note.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Loans and advances to banks</t>
        </is>
      </c>
      <c r="B4" s="7" t="n"/>
      <c r="C4" s="7" t="n"/>
      <c r="D4" s="7" t="n"/>
      <c r="E4" s="7" t="n"/>
      <c r="F4" s="7" t="n"/>
    </row>
    <row r="5">
      <c r="A5" s="7" t="inlineStr">
        <is>
          <t>Three months or less</t>
        </is>
      </c>
      <c r="B5" s="7" t="n"/>
      <c r="C5" s="7" t="n">
        <v>207403713</v>
      </c>
      <c r="D5" s="7" t="n">
        <v>144634176</v>
      </c>
      <c r="E5" s="7" t="n">
        <v>335020113</v>
      </c>
      <c r="F5" s="7" t="n">
        <v>218116770</v>
      </c>
    </row>
    <row r="6">
      <c r="A6" s="7" t="inlineStr">
        <is>
          <t>One year or less but over three months</t>
        </is>
      </c>
      <c r="B6" s="7" t="n"/>
      <c r="C6" s="7" t="n">
        <v>52375036</v>
      </c>
      <c r="D6" s="7" t="n">
        <v>8003078</v>
      </c>
      <c r="E6" s="7" t="n">
        <v>10166817</v>
      </c>
      <c r="F6" s="7" t="n">
        <v>12416941</v>
      </c>
    </row>
    <row r="7">
      <c r="A7" s="7" t="inlineStr">
        <is>
          <t>Expected credit losses</t>
        </is>
      </c>
      <c r="B7" s="7" t="n"/>
      <c r="C7" s="7" t="n">
        <v>-100281</v>
      </c>
      <c r="D7" s="7" t="n">
        <v>-24848</v>
      </c>
      <c r="E7" s="7" t="n">
        <v>-79006</v>
      </c>
      <c r="F7" s="7" t="n">
        <v>-73117</v>
      </c>
    </row>
    <row r="8">
      <c r="A8" s="5" t="inlineStr">
        <is>
          <t>Net loans and advances to banks</t>
        </is>
      </c>
      <c r="B8" s="5" t="n"/>
      <c r="C8" s="5" t="n">
        <v>259678468</v>
      </c>
      <c r="D8" s="5" t="n">
        <v>152612406</v>
      </c>
      <c r="E8" s="5" t="n">
        <v>345107924</v>
      </c>
      <c r="F8" s="5" t="n">
        <v>230460594</v>
      </c>
    </row>
    <row r="9">
      <c r="A9" s="5" t="inlineStr">
        <is>
          <t>Loans and advances to customers</t>
        </is>
      </c>
      <c r="B9" s="7" t="n"/>
      <c r="C9" s="7" t="n"/>
      <c r="D9" s="7" t="n"/>
      <c r="E9" s="7" t="n"/>
      <c r="F9" s="7" t="n"/>
    </row>
    <row r="10">
      <c r="A10" s="7" t="inlineStr">
        <is>
          <t>Three months or less</t>
        </is>
      </c>
      <c r="B10" s="7" t="n"/>
      <c r="C10" s="7" t="n">
        <v>1784014</v>
      </c>
      <c r="D10" s="7" t="n">
        <v>1022971</v>
      </c>
      <c r="E10" s="7" t="n">
        <v>1040567</v>
      </c>
      <c r="F10" s="7" t="n">
        <v>1416091</v>
      </c>
    </row>
    <row r="11">
      <c r="A11" s="7" t="inlineStr">
        <is>
          <t>One year or less but over three months</t>
        </is>
      </c>
      <c r="B11" s="7" t="n"/>
      <c r="C11" s="7" t="n">
        <v>5175504</v>
      </c>
      <c r="D11" s="7" t="n">
        <v>4571746</v>
      </c>
      <c r="E11" s="7" t="n">
        <v>6260705</v>
      </c>
      <c r="F11" s="7" t="n">
        <v>4406409</v>
      </c>
    </row>
    <row r="12">
      <c r="A12" s="7" t="inlineStr">
        <is>
          <t>Five years or less but over one year</t>
        </is>
      </c>
      <c r="B12" s="7" t="n"/>
      <c r="C12" s="7" t="n">
        <v>17362794</v>
      </c>
      <c r="D12" s="7" t="n">
        <v>15880590</v>
      </c>
      <c r="E12" s="7" t="n">
        <v>15958829</v>
      </c>
      <c r="F12" s="7" t="n">
        <v>16188919</v>
      </c>
    </row>
    <row r="13">
      <c r="A13" s="7" t="inlineStr">
        <is>
          <t>Over five years</t>
        </is>
      </c>
      <c r="B13" s="7" t="n"/>
      <c r="C13" s="7" t="n">
        <v>38770629</v>
      </c>
      <c r="D13" s="7" t="n">
        <v>36660770</v>
      </c>
      <c r="E13" s="7" t="n">
        <v>39112659</v>
      </c>
      <c r="F13" s="7" t="n">
        <v>35959033</v>
      </c>
    </row>
    <row r="14">
      <c r="A14" s="7" t="inlineStr">
        <is>
          <t>Less: Deferred Mortgage Arrangement Fees (EIR liability)</t>
        </is>
      </c>
      <c r="B14" s="7" t="n"/>
      <c r="C14" s="7" t="n">
        <v>-532746</v>
      </c>
      <c r="D14" s="7" t="n">
        <v>-437081</v>
      </c>
      <c r="E14" s="7" t="n">
        <v>-389084</v>
      </c>
      <c r="F14" s="7" t="n">
        <v>-307451</v>
      </c>
    </row>
    <row r="15">
      <c r="A15" s="7" t="inlineStr">
        <is>
          <t>Expected credit losses</t>
        </is>
      </c>
      <c r="B15" s="7" t="n"/>
      <c r="C15" s="7" t="n">
        <v>-25605</v>
      </c>
      <c r="D15" s="7" t="n">
        <v>-23200</v>
      </c>
      <c r="E15" s="7" t="n">
        <v>-111527</v>
      </c>
      <c r="F15" s="7" t="n">
        <v>-2052</v>
      </c>
    </row>
    <row r="16">
      <c r="A16" s="5" t="inlineStr">
        <is>
          <t>Net loans and advances to customers</t>
        </is>
      </c>
      <c r="B16" s="5" t="n"/>
      <c r="C16" s="5" t="n">
        <v>62534590</v>
      </c>
      <c r="D16" s="5" t="n">
        <v>57675796</v>
      </c>
      <c r="E16" s="5" t="n">
        <v>61872149</v>
      </c>
      <c r="F16" s="5" t="n">
        <v>57660949</v>
      </c>
    </row>
    <row r="17">
      <c r="A17" s="5" t="inlineStr">
        <is>
          <t>Derived ratios (not directly disclosed, computed for reference)</t>
        </is>
      </c>
      <c r="B17" s="7" t="n"/>
      <c r="C17" s="7" t="n"/>
      <c r="D17" s="7" t="n"/>
      <c r="E17" s="7" t="n"/>
      <c r="F17" s="7" t="n"/>
    </row>
    <row r="18">
      <c r="A18" s="7" t="inlineStr">
        <is>
          <t>ECL coverage - loans and advances to customers (ECL / gross carrying amount)</t>
        </is>
      </c>
      <c r="B18" s="7" t="n"/>
      <c r="C18" s="7" t="inlineStr">
        <is>
          <t>0.04%</t>
        </is>
      </c>
      <c r="D18" s="7" t="inlineStr">
        <is>
          <t>0.04%</t>
        </is>
      </c>
      <c r="E18" s="7" t="inlineStr">
        <is>
          <t>0.18%</t>
        </is>
      </c>
      <c r="F18" s="7" t="inlineStr">
        <is>
          <t>0.00%</t>
        </is>
      </c>
    </row>
    <row r="19">
      <c r="A19" s="5" t="inlineStr">
        <is>
          <t>FY2025 status</t>
        </is>
      </c>
      <c r="B19" s="7" t="n"/>
      <c r="C19" s="7" t="n"/>
      <c r="D19" s="7" t="n"/>
      <c r="E19" s="7" t="n"/>
      <c r="F19" s="7" t="n"/>
    </row>
    <row r="20">
      <c r="A20" s="7" t="inlineStr">
        <is>
          <t>FY2025 column</t>
        </is>
      </c>
      <c r="B20" s="7" t="inlineStr">
        <is>
          <t>Not published yet - FY2025 accounts audited (Forvis Mazars) but not public; Companies House 05969821 next due 30 Sep 2026, not overdue. Checked 2026-09-18.</t>
        </is>
      </c>
      <c r="C20" s="7" t="n"/>
      <c r="D20" s="7" t="n"/>
      <c r="E20" s="7" t="n"/>
      <c r="F20" s="7" t="n"/>
    </row>
    <row r="22" ht="390" customHeight="1">
      <c r="A22" s="8" t="inlineStr">
        <is>
          <t>Sources - Notes 12 (Loans and advances to banks) and 13 (Loans and advances to customers) of each year's own Annual Report (same documents as the Balance Sheet sheet above); FY2023 sourced from the FY2024 Annual Report's own FY2023 comparative column. Each year's own Annual Report states 'All loans and advances to banks were performing' and loans and advances to customers were 'performing or adequately collateralised' - no non-performing loan balance is disclosed for any year. The ECL coverage ratio row is calculated (ECL / (gross carrying amount before ECL)), not a figure the Bank itself publishes - shown for reference only.
Guaranty Trust Bank (UK) Limited (FRN 466611, Companies House 05969821) is a wholly-owned UK
subsidiary of Guaranty Trust Bank Limited ('GTBank Nigeria'), itself wholly owned by Guaranty Trust
Holding Company Plc (GTCO). Unlike several other Nigerian-bank-owned UK subsidiaries in this project
(Zenith Bank UK, UBA UK, FCMB UK, FidBank UK), this entity reports in GBP throughout - no FX
conversion is required.
FY2025 STATUS (re-verified 2026-09-18, unchanged): the FY2025 statutory accounts (year ended 31 Dec 2025)
still had NOT been published anywhere. Two independent routes were checked on that date and both are
negative. (1) Companies House filing history for 05969821 lists exactly five accounts filings, the most
recent being 'Full accounts made up to 31 December 2024', filed 6 May 2025 (the others 25 Jun 2024,
9 Jan 2024, 22 Mar 2023 and 1 Mar 2022); Companies House records the FY2025 accounts as next due
30 September 2026, i.e. not yet overdue, just not filed. (2) The Bank's own document page,
https://www.gtbankuk.com/about-gtbank-uk/our-company, links exactly two financial documents - the
'GTBank-UK-Annual-Report-and-Financial-Statement-2024.pdf' and the 'GTBank-UK-Pillar-3-Disclosure-2025.pdf'
- and its own in-page anchor is still literally #section-gt-bank-uk-annual-report-and-financial-statement-2024.
Every statutory-statement sheet in this workbook (Balance Sheet, Profit &amp; Loss, Statement of Changes in
Equity, Cash Flow Statement, Asset Quality) is therefore genuinely blank for FY2025 - NOT PUBLISHED, as
distinct from not reachable.
THE FY2025 ACCOUNTS DO EXIST AND ARE AUDITED, they are simply not public. The FY2025 Pillar 3 says so
directly (section 5.1): its Table 1 'Financial Performance (GBP 000)' figures are 'as quoted in the Bank's
Financial Statements (Accounts) and, as such have been audited by the Bank's external auditors, Forvis
Mazars LLP', referring the reader to 'the Annual Report and Financial Statements (the Accounts) FYE 31st
December 2025'. That table prints six FY2025 aggregates, in GBP'000: net interest income 16,811,
operating income 24,325, profit before taxation 9,058, taxation charge (2,304), profit after taxation
6,754, total comprehensive income 6,738. They are recorded here rather than written into the Profit &amp;</t>
        </is>
      </c>
    </row>
    <row r="24" ht="409" customHeight="1">
      <c r="A24" s="8" t="inlineStr">
        <is>
          <t>(continued)
Loss sheet, DELIBERATELY: that sheet is denominated in pounds to the penny (FY2024 profit after tax is
8,638,639, not 8,639,000), so posting a GBP'000-rounded aggregate into it would invent three digits of
precision, and the six lines cover only 6 of the sheet's 20 rows in any case. When the accounts are filed
the FY2025 column should be transcribed from them in full, and these six figures used as a cross-check.
ASSET QUALITY, likewise not filled from the Pillar 3, for a different and sharper reason. Section 8.8 of
the FY2025 Pillar 3 states the Bank 'had allocated GBP198,514 (31st December 2024: GBP100,281) for
expected losses under IFRS 9'. The FY2024 comparative in that sentence, 100,281, is NOT the FY2024 total
ECL allowance in this workbook's Asset Quality sheet (100,281 + 25,605 = 125,886); it equals the loans-
and-advances-to-BANKS ECL alone. The scope of the FY2025 figure is therefore unresolved on the face of the
document, and it is not attributable to any single row of that sheet. It is recorded here instead of being
guessed into place.
The Pillar 3 sheets are NOT blank for FY2025: the Bank published its own standalone 'Pillar 3 Disclosure
2025' (as at 31 December 2025, PDF created 23 July 2026, linked from its own site at
https://www.gtbankuk.com/about-gtbank-uk/our-company), and every Pillar 3 metric below is transcribed
from it - see the Pillar 3 sheets' own source citation.
DATA QUALITY NOTE - cash-equivalents basis discontinuity: the FY2022 Annual Report states that
'cash and cash equivalents for 2021 have been re-presented to include money market placements with
maturity of less than 3 months', quantifying the impact as an increase in the FY2021 opening balance
from GBP193,625,102 to GBP276,931,087 and in the FY2021 closing balance from GBP174,352,252 to
GBP290,627,822. However, neither of those 'old-basis' figures matches FY2021's own originally-filed
Annual Report, which itself shows an opening balance of GBP83,305,985 and a closing balance of
GBP116,275,570 for FY2021 - a discrepancy in the source documents themselves that could not be
traced or resolved. Per this project's convention, each year below uses its own originally-published
figures (so FY2021's closing balance will not visually chain into FY2022's opening balance); this gap
is flagged here rather than forced to reconcile, the same treatment as Arab Bank Europe's unexplained
cash-bridge gap elsewhere in this project.
Also note: FY2021's own 'Operating cash flows before movement in working capital' subtotal
(GBP(10,764,152)) is GBP360 different from the sum of its own printed component lines - an immaterial
source rounding artifact, not corrected.</t>
        </is>
      </c>
    </row>
  </sheetData>
  <mergeCells count="2">
    <mergeCell ref="A24:F24"/>
    <mergeCell ref="A22:F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Guaranty Trust Bank (UK) Limited — KM1 Key Metrics</t>
        </is>
      </c>
    </row>
    <row r="2">
      <c r="A2" s="2" t="inlineStr">
        <is>
          <t>The Bank's own published key-metrics table, reproduced in GTBank's row order with its own labels and printed precision. GTBank prints the template WITHOUT row numbers and omits the SREP and additional-buffer blocks entirely, so neither is shown. Amounts in GBP '000, ratios as printed. Each year is as FIRST published in its own edition - this bank restates its comparatives materially, see the source note. FY2022 comes from the FY2023 edition because the FY2022 report predates the template; FY2021 appears in no KM1 at all.</t>
        </is>
      </c>
    </row>
    <row r="3">
      <c r="A3" s="4" t="inlineStr">
        <is>
          <t>Line item</t>
        </is>
      </c>
      <c r="B3" s="4" t="inlineStr">
        <is>
          <t>FY2025</t>
        </is>
      </c>
      <c r="C3" s="4" t="inlineStr">
        <is>
          <t>FY2024</t>
        </is>
      </c>
      <c r="D3" s="4" t="inlineStr">
        <is>
          <t>FY2023</t>
        </is>
      </c>
      <c r="E3" s="4" t="inlineStr">
        <is>
          <t>FY2022</t>
        </is>
      </c>
    </row>
    <row r="4">
      <c r="A4" s="5" t="inlineStr">
        <is>
          <t>Available Own Funds (Amounts in GBP '000')</t>
        </is>
      </c>
      <c r="B4" s="7" t="n"/>
      <c r="C4" s="7" t="n"/>
      <c r="D4" s="7" t="n"/>
      <c r="E4" s="7" t="n"/>
    </row>
    <row r="5">
      <c r="A5" s="7" t="inlineStr">
        <is>
          <t>Common Equity Tier 1 ("CET1") capital  [printed as 37,000 in every year — see note]</t>
        </is>
      </c>
      <c r="B5" s="7" t="n">
        <v>37000</v>
      </c>
      <c r="C5" s="7" t="n">
        <v>37000</v>
      </c>
      <c r="D5" s="7" t="n">
        <v>37000</v>
      </c>
      <c r="E5" s="7" t="n">
        <v>37000</v>
      </c>
    </row>
    <row r="6">
      <c r="A6" s="7" t="inlineStr">
        <is>
          <t>Tier 1 Capital</t>
        </is>
      </c>
      <c r="B6" s="7" t="n">
        <v>54604</v>
      </c>
      <c r="C6" s="7" t="n">
        <v>48075</v>
      </c>
      <c r="D6" s="7" t="n">
        <v>39391</v>
      </c>
      <c r="E6" s="7" t="n">
        <v>28345</v>
      </c>
    </row>
    <row r="7">
      <c r="A7" s="7" t="inlineStr">
        <is>
          <t>Total Capital</t>
        </is>
      </c>
      <c r="B7" s="7" t="n">
        <v>54604</v>
      </c>
      <c r="C7" s="7" t="n">
        <v>48075</v>
      </c>
      <c r="D7" s="7" t="n">
        <v>39391</v>
      </c>
      <c r="E7" s="7" t="n">
        <v>28345</v>
      </c>
    </row>
    <row r="8">
      <c r="A8" s="5" t="inlineStr">
        <is>
          <t>Risk-Weighted Exposure Amount</t>
        </is>
      </c>
      <c r="B8" s="7" t="n"/>
      <c r="C8" s="7" t="n"/>
      <c r="D8" s="7" t="n"/>
      <c r="E8" s="7" t="n"/>
    </row>
    <row r="9">
      <c r="A9" s="7" t="inlineStr">
        <is>
          <t>Total Risk-Weighted Exposure Amount</t>
        </is>
      </c>
      <c r="B9" s="7" t="n">
        <v>148821</v>
      </c>
      <c r="C9" s="7" t="n">
        <v>157370</v>
      </c>
      <c r="D9" s="7" t="n">
        <v>105275</v>
      </c>
      <c r="E9" s="7" t="n">
        <v>187034</v>
      </c>
    </row>
    <row r="10">
      <c r="A10" s="5" t="inlineStr">
        <is>
          <t>Capital Ratios (as a percentage of Risk-Weighted Exposure Amount)</t>
        </is>
      </c>
      <c r="B10" s="7" t="n"/>
      <c r="C10" s="7" t="n"/>
      <c r="D10" s="7" t="n"/>
      <c r="E10" s="7" t="n"/>
    </row>
    <row r="11">
      <c r="A11" s="7" t="inlineStr">
        <is>
          <t>Common Equity Tier 1 ratio (%)</t>
        </is>
      </c>
      <c r="B11" s="7" t="inlineStr">
        <is>
          <t>36.69%</t>
        </is>
      </c>
      <c r="C11" s="7" t="inlineStr">
        <is>
          <t>26.89%</t>
        </is>
      </c>
      <c r="D11" s="7" t="inlineStr">
        <is>
          <t>32.34%</t>
        </is>
      </c>
      <c r="E11" s="7" t="inlineStr">
        <is>
          <t>20.68%</t>
        </is>
      </c>
    </row>
    <row r="12">
      <c r="A12" s="7" t="inlineStr">
        <is>
          <t>Tier 1 ratio (%)</t>
        </is>
      </c>
      <c r="B12" s="7" t="inlineStr">
        <is>
          <t>36.69%</t>
        </is>
      </c>
      <c r="C12" s="7" t="inlineStr">
        <is>
          <t>26.89%</t>
        </is>
      </c>
      <c r="D12" s="7" t="inlineStr">
        <is>
          <t>32.34%</t>
        </is>
      </c>
      <c r="E12" s="7" t="inlineStr">
        <is>
          <t>20.68%</t>
        </is>
      </c>
    </row>
    <row r="13">
      <c r="A13" s="7" t="inlineStr">
        <is>
          <t>Total Capital Ratio (%)</t>
        </is>
      </c>
      <c r="B13" s="7" t="inlineStr">
        <is>
          <t>36.69%</t>
        </is>
      </c>
      <c r="C13" s="7" t="inlineStr">
        <is>
          <t>26.89%</t>
        </is>
      </c>
      <c r="D13" s="7" t="inlineStr">
        <is>
          <t>32.34%</t>
        </is>
      </c>
      <c r="E13" s="7" t="inlineStr">
        <is>
          <t>20.68%</t>
        </is>
      </c>
    </row>
    <row r="14">
      <c r="A14" s="5" t="inlineStr">
        <is>
          <t>Combined buffer requirement (as a percentage of Risk-Weighted Exposure Amount)</t>
        </is>
      </c>
      <c r="B14" s="7" t="n"/>
      <c r="C14" s="7" t="n"/>
      <c r="D14" s="7" t="n"/>
      <c r="E14" s="7" t="n"/>
    </row>
    <row r="15">
      <c r="A15" s="7" t="inlineStr">
        <is>
          <t>Capital Conversion Buffer (%)</t>
        </is>
      </c>
      <c r="B15" s="7" t="inlineStr">
        <is>
          <t>2.50%</t>
        </is>
      </c>
      <c r="C15" s="7" t="inlineStr">
        <is>
          <t>2.50%</t>
        </is>
      </c>
      <c r="D15" s="7" t="inlineStr">
        <is>
          <t>2.50%</t>
        </is>
      </c>
      <c r="E15" s="7" t="inlineStr">
        <is>
          <t>2.50%</t>
        </is>
      </c>
    </row>
    <row r="16">
      <c r="A16" s="7" t="inlineStr">
        <is>
          <t>Institution specific Countercyclical Capital Buffer (%)</t>
        </is>
      </c>
      <c r="B16" s="7" t="inlineStr">
        <is>
          <t>2.00%</t>
        </is>
      </c>
      <c r="C16" s="7" t="inlineStr">
        <is>
          <t>2.00%</t>
        </is>
      </c>
      <c r="D16" s="7" t="inlineStr">
        <is>
          <t>2.00%</t>
        </is>
      </c>
      <c r="E16" s="7" t="inlineStr">
        <is>
          <t>1.00%</t>
        </is>
      </c>
    </row>
    <row r="17">
      <c r="A17" s="7" t="inlineStr">
        <is>
          <t>Combined buffer requirement (%)</t>
        </is>
      </c>
      <c r="B17" s="7" t="inlineStr">
        <is>
          <t>4.50%</t>
        </is>
      </c>
      <c r="C17" s="7" t="inlineStr">
        <is>
          <t>4.50%</t>
        </is>
      </c>
      <c r="D17" s="7" t="inlineStr">
        <is>
          <t>4.50%</t>
        </is>
      </c>
      <c r="E17" s="7" t="inlineStr">
        <is>
          <t>3.50%</t>
        </is>
      </c>
    </row>
    <row r="18">
      <c r="A18" s="7" t="inlineStr">
        <is>
          <t>Overall capital requirement (%)*</t>
        </is>
      </c>
      <c r="B18" s="7" t="inlineStr">
        <is>
          <t>15.53%</t>
        </is>
      </c>
      <c r="C18" s="7" t="inlineStr">
        <is>
          <t>14.61%</t>
        </is>
      </c>
      <c r="D18" s="7" t="inlineStr">
        <is>
          <t>14.67%</t>
        </is>
      </c>
      <c r="E18" s="7" t="inlineStr">
        <is>
          <t>15.98%</t>
        </is>
      </c>
    </row>
    <row r="19">
      <c r="A19" s="7" t="inlineStr">
        <is>
          <t>CET1 available after the total SREP own funds requirements (%)</t>
        </is>
      </c>
      <c r="B19" s="7" t="inlineStr">
        <is>
          <t>21.16%</t>
        </is>
      </c>
      <c r="C19" s="7" t="inlineStr">
        <is>
          <t>12.28%</t>
        </is>
      </c>
      <c r="D19" s="7" t="inlineStr">
        <is>
          <t>17.67%</t>
        </is>
      </c>
      <c r="E19" s="7" t="inlineStr">
        <is>
          <t>4.70%</t>
        </is>
      </c>
    </row>
    <row r="20">
      <c r="A20" s="5" t="inlineStr">
        <is>
          <t>Leverage Ratio</t>
        </is>
      </c>
      <c r="B20" s="7" t="n"/>
      <c r="C20" s="7" t="n"/>
      <c r="D20" s="7" t="n"/>
      <c r="E20" s="7" t="n"/>
    </row>
    <row r="21">
      <c r="A21" s="7" t="inlineStr">
        <is>
          <t>Leverage ratio excluding claims on central banks (%)</t>
        </is>
      </c>
      <c r="B21" s="7" t="inlineStr">
        <is>
          <t>9.11%</t>
        </is>
      </c>
      <c r="C21" s="7" t="inlineStr">
        <is>
          <t>8.02%</t>
        </is>
      </c>
      <c r="D21" s="7" t="inlineStr">
        <is>
          <t>6.00%</t>
        </is>
      </c>
      <c r="E21" s="7" t="inlineStr">
        <is>
          <t>4.38%</t>
        </is>
      </c>
    </row>
    <row r="22">
      <c r="A22" s="5" t="inlineStr">
        <is>
          <t>Liquidity Coverage Ratio ("LCR") — GBP '000 / %</t>
        </is>
      </c>
      <c r="B22" s="7" t="n"/>
      <c r="C22" s="7" t="n"/>
      <c r="D22" s="7" t="n"/>
      <c r="E22" s="7" t="n"/>
    </row>
    <row r="23">
      <c r="A23" s="7" t="inlineStr">
        <is>
          <t>Total high-quality liquid assets (HQLA) (Weighted value) average of last 12mths</t>
        </is>
      </c>
      <c r="B23" s="7" t="n">
        <v>228692</v>
      </c>
      <c r="C23" s="7" t="n">
        <v>188372</v>
      </c>
      <c r="D23" s="7" t="n">
        <v>230533</v>
      </c>
      <c r="E23" s="7" t="n">
        <v>176600</v>
      </c>
    </row>
    <row r="24">
      <c r="A24" s="7" t="inlineStr">
        <is>
          <t>Cash outflows - Total weighted value</t>
        </is>
      </c>
      <c r="B24" s="7" t="n">
        <v>410004</v>
      </c>
      <c r="C24" s="7" t="n">
        <v>260717</v>
      </c>
      <c r="D24" s="7" t="n">
        <v>199752</v>
      </c>
      <c r="E24" s="7" t="n">
        <v>252991</v>
      </c>
    </row>
    <row r="25">
      <c r="A25" s="7" t="inlineStr">
        <is>
          <t>Cash inflows -  Total weighted value</t>
        </is>
      </c>
      <c r="B25" s="7" t="n">
        <v>175251</v>
      </c>
      <c r="C25" s="7" t="n">
        <v>218234</v>
      </c>
      <c r="D25" s="7" t="n">
        <v>125298</v>
      </c>
      <c r="E25" s="7" t="n">
        <v>189743</v>
      </c>
    </row>
    <row r="26">
      <c r="A26" s="7" t="inlineStr">
        <is>
          <t>Total net cash outflows (adjusted value)</t>
        </is>
      </c>
      <c r="B26" s="7" t="n">
        <v>234753</v>
      </c>
      <c r="C26" s="7" t="n">
        <v>42483</v>
      </c>
      <c r="D26" s="7" t="n">
        <v>74454</v>
      </c>
      <c r="E26" s="7" t="n">
        <v>63248</v>
      </c>
    </row>
    <row r="27">
      <c r="A27" s="7" t="inlineStr">
        <is>
          <t>Liquidity Coverage Ratio (%)</t>
        </is>
      </c>
      <c r="B27" s="7" t="inlineStr">
        <is>
          <t>197%</t>
        </is>
      </c>
      <c r="C27" s="7" t="inlineStr">
        <is>
          <t>309%</t>
        </is>
      </c>
      <c r="D27" s="7" t="inlineStr">
        <is>
          <t>250%</t>
        </is>
      </c>
      <c r="E27" s="7" t="inlineStr">
        <is>
          <t>274%</t>
        </is>
      </c>
    </row>
    <row r="28">
      <c r="A28" s="5" t="inlineStr">
        <is>
          <t>Net Stable Funding Ratio ("NSFR") — GBP '000 / %</t>
        </is>
      </c>
      <c r="B28" s="7" t="n"/>
      <c r="C28" s="7" t="n"/>
      <c r="D28" s="7" t="n"/>
      <c r="E28" s="7" t="n"/>
    </row>
    <row r="29">
      <c r="A29" s="7" t="inlineStr">
        <is>
          <t>Total available stable funding</t>
        </is>
      </c>
      <c r="B29" s="7" t="n">
        <v>198459</v>
      </c>
      <c r="C29" s="7" t="n">
        <v>200729</v>
      </c>
      <c r="D29" s="7" t="n">
        <v>194572</v>
      </c>
      <c r="E29" s="7" t="n">
        <v>214036</v>
      </c>
    </row>
    <row r="30">
      <c r="A30" s="7" t="inlineStr">
        <is>
          <t>Total required stable funding</t>
        </is>
      </c>
      <c r="B30" s="7" t="n">
        <v>94033</v>
      </c>
      <c r="C30" s="7" t="n">
        <v>77347</v>
      </c>
      <c r="D30" s="7" t="n">
        <v>62864</v>
      </c>
      <c r="E30" s="7" t="n">
        <v>84527</v>
      </c>
    </row>
    <row r="31">
      <c r="A31" s="7" t="inlineStr">
        <is>
          <t>Net Stable Funding Ratio (%)</t>
        </is>
      </c>
      <c r="B31" s="7" t="inlineStr">
        <is>
          <t>211%</t>
        </is>
      </c>
      <c r="C31" s="7" t="inlineStr">
        <is>
          <t>260%</t>
        </is>
      </c>
      <c r="D31" s="7" t="inlineStr">
        <is>
          <t>310%</t>
        </is>
      </c>
      <c r="E31" s="7" t="inlineStr">
        <is>
          <t>253%</t>
        </is>
      </c>
    </row>
    <row r="32">
      <c r="A32" s="7" t="inlineStr">
        <is>
          <t>* The asterisk is the Bank's own, on the "Overall capital requirement (%)" row of the FY2024 and FY2025 editions. Neither edition carries a matching footnote anywhere in the document: it is a dangling marker, reproduced rather than removed.</t>
        </is>
      </c>
      <c r="B32" s="7" t="n"/>
      <c r="C32" s="7" t="n"/>
      <c r="D32" s="7" t="n"/>
      <c r="E32" s="7" t="n"/>
    </row>
    <row r="34" ht="409" customHeight="1">
      <c r="A34" s="8" t="inlineStr">
        <is>
          <t>Sources - Guaranty Trust Bank (UK) Limited's own key-metrics table, GBP '000 and percentages exactly as printed:
FY2025: Pillar 3 Disclosure 2025, p.13-14, "Table 2: Key Metrics (GBP '000')", column 31st December 2025 - https://gtbank-uk.files.svdcdn.com/production/download/GTBank-UK-Pillar-3-Disclosure-2025.pdf?dm=1784815695
FY2024: Pillar 3 Disclosure 2024, p.14, "Table 2: Key Metrics (GBP '000')", column 31st December 2024 - https://gtbank-uk.files.svdcdn.com/production/general/GTBank-UK-Pillar-3-Disclosure-2024.pdf?dm=1769088481
FY2023: Pillar 3 2023, p.13-14, "Key Metrics (GBP '000')", column 31st December 2023 - https://gtbank-uk.files.svdcdn.com/production/general/GTBank-UK-Pillar-3-2023.pdf?dm=1731585289
FY2022: the comparative column of that same FY2023 edition, p.13-14 - see the edition note below - https://gtbank-uk.files.svdcdn.com/production/general/GTBank-UK-Pillar-3-2023.pdf?dm=1731585289
TABLE BREAKS ACROSS TWO PAGES in the FY2025 and FY2023 editions (capital, RWA, ratios and the start of the buffer block on the first page; the rest of the buffers, leverage, LCR and NSFR on the next), and sits whole on p.14 in the FY2024 edition. Page ranges above reflect that, so a later session verifying a citation does not stop at the first page and conclude the lower rows are missing.
FY2021: no KM1 in any edition - blank.
GTBANK PRINTS THE TEMPLATE UNNUMBERED AND ABRIDGED. The table carries the template's section headings and row labels in the template's order but no template row numbers at all, so none are shown here - supplying them from the PRA template would put words in the Bank's mouth. It also omits whole blocks the template defines: no "Additional own funds requirements based on SREP" section (no UK 7a-UK 7d), no UK 8a / UK 9a / 10 / UK 10a buffer rows, no UK 14a-14f leverage block, and no "Leverage ratio total exposure measure" amount row - only the ratio. Those absences are the Bank's own row set, not gaps in transcription. GTBank also drifts in capitalisation between editions ("Total Capital Ratio (%)" in FY2024/FY2025 against "Total capital ratio (%)" in FY2023, and likewise the buffer rows); the labels above follow the most recent edition.
EDITION PER COLUMN, AND WHY IT MATTERS MORE HERE THAN USUAL. Every edition prints two columns, the reporting year and the prior year, and GTBank RESTATES its prior-year column materially. Taking each year from the edition in which it is the reporting year is therefore not a formality: the FY2024 edition restates FY2023 RWAs from 105,275 to 108,387 (3.0%), the CET1/Tier 1/Total ratio from 32.34% to 32.30%, the leverage ratio from 6.00% to 8.30%, HQLA from 230,533 to 197,710, the overall capital requirement from 14.67% to 14.07% and CET1-available from 17.67% to 18.23%. This sheet carries the as-first-published figures throughout. The restated FY2023 comparatives are recorded on their own labelled rows of the CET1 Ratio, Tier 1 Ratio, Total Capital Ratio, Total RWAs and Leverage Ratio sheets, so neither version is lost and neither overwrites the other.
FY2022 COMES FROM THE FY2023 EDITION BECAUSE ITS OWN EDITION HAS NO KM1. The FY2022 Pillar 3 report predates the template: it presents bespoke tables instead - "Table 3: Eligible Capital", "Table 4: Capital Adequacy Ratio (CAR) %" and "Table 5: CRR Leverage Ratio %" - with no template row labels or section headings, and the string NSFR does not occur in that document at all. Confirmed by reading the PDF rather than by a text search alone: its three embedded images (pages 1, 6 and 12) were listed and are a cover logo, the leverage-ratio table that extracts fine as text, and a risk-category diagram - there is no key-metrics table hidden as a bitmap. FY2021 appears inside no KM1 in any edition, so it is blank here; the FY2021 figures elsewhere in this workbook come from the FY2022 edition's bespoke tables.</t>
        </is>
      </c>
    </row>
    <row r="36" ht="409" customHeight="1">
      <c r="A36" s="8" t="inlineStr">
        <is>
          <t>(continued)
SOURCE DEFECT, REPRODUCED AND FLAGGED: THE CET1 CAPITAL ROW. GTBank prints "Common Equity Tier 1 ("CET1") capital  37,000" in every year of every edition - its paid-up share capital, unchanged since before this workbook's window - while the CET1 RATIO printed two rows below in the same column is struck on the Tier 1 / Total capital figure (FY2025: 54,604 / 148,821 = 36.69%, the printed ratio; 37,000 / 148,821 would be 24.86%). The Bank's own table is therefore internally inconsistent.
A CONSTANT ACROSS FOUR YEARS IS NORMALLY A TRANSCRIPTION FAULT, SO THIS ONE WAS RE-INVESTIGATED FROM SCRATCH ON 16 SEPTEMBER 2026 BEFORE BEING ACCEPTED. Three candidate explanations were tested and all three were ruled out. (1) ROW MISALIGNMENT - ruled out by rendering each edition's page at 300 dpi and reading the ruled table cells directly rather than trusting `pdftotext`. That mattered: in the FY2025 edition the text layer emits the 2025 column of several rows on its own line ABOVE the row label (an artefact of vertical centring in taller cells), which is exactly what a column shift would look like. The rendered cell borders show it is not one - CET1 capital is a single-height row reading 37,000 | 37,000, while Tier 1 Capital and Total Capital read 54,604 | 48,075. The FY2024 and FY2023 editions have no vertical offset at all and print the same 37,000 in both of their columns. (2) A UNIT CHANGE BETWEEN EDITIONS - ruled out: all three editions head the table "Key Metrics (GBP '000')" and repeat "Amounts in GBP '000'" inside the header cell, so there is no unit break to mistake for a level shift. (3) THE TEMPLATE PRINTED TWICE ON TWO ENTITY BASES - ruled out: the key-metrics rows occur on exactly one page of each edition (FY2025 p.13, FY2024 p.14, FY2023 p.13), and the Bank states it has no subsidiaries in the UK or abroad, so there is no second basis to confuse.
(4) A PARENT-LEVEL BLOCK READ BY MISTAKE - ruled out by the COLUMN HEADERS, which are the only thing that identifies an entity when a group and a subsidiary share a table. A constant that does not move while the entity's own capital moves is exactly what reading a parent column produces, so this was checked rather than assumed. GTBank's table is not of that shape: its two value columns are headed by DATES ("31st December 2025" and "31st December 2024"), not by entity names - there is no Group-beside-Individual split, no second table in an appendix, and the document is titled for Guaranty Trust Bank (UK) Limited throughout. Decisively, 37,000 is identified INSIDE THIS SAME DOCUMENT as the UK entity's own paid-up share capital by its section 7.1 build-up, which adds the UK entity's own P&amp;L reserve to it to reach the UK entity's own total capital. It is the right entity and the wrong LINE of that entity's build-up - a row-population error by the Bank, not a group-vs-subsidiary mix-up. The Nigerian parent (Guaranty Trust Bank Nigeria, under Guaranty Trust Holding Company) is outside the UK disclosure regime and publishes no UK KM1 for this subsidiary; nothing here is sourced from it.
WHAT 37,000 ACTUALLY IS, from the Bank's own build-up. Each edition's section 7.1 "Table 4: Available Capital" derives capital as paid-up share capital 37,000 + Profit and Loss reserve 17,563 + fair value reserve 41 - intangibles nil = 54,604 "Total Capital Available" (FY2025 figures; FY2024 the same shape, 37,000 + 11,019 + 56 = 48,075), with Tier 2 and subordinated debt both nil, and the same section says in words that "Tier 1 Capital comprises paid-up share capital and the Profit &amp; Loss reserve less intangible assets". So the KM1 CET1 row has been populated with the FIRST LINE of that build-up instead of its total. That is the defect, and it is the Bank's, not this transcription's.
BOTH FIGURES AND BOTH SOURCES, since the two sides of this workbook deliberately disagree. KM1 row = 37,000 in all four years, from the "Common Equity Tier 1 ("CET1") capital" row of Table 2 / "Key Metrics" in the FY2025 (p.13 - https://gtbank-uk.files.svdcdn.com/production/download/GTBank-UK-Pillar-3-Disclosure-2025.pdf?dm=1784815695), FY2024 (p.14 - https://gtbank-uk.files.svdcdn.com/production/general/GTBank-UK-Pillar-3-Disclosure-2024.pdf?dm=1769088481) and FY2023 (p.13 - https://gtbank-uk.files.svdcdn.com/production/general/GTBank-UK-Pillar-3-2023.pdf?dm=1731585289) editions. CET1 Capital sheet = 54,604,000 / 48,075,379 / 39,390,993 / 28,344,378, from each year's Annual Report Note 23.8(a) regulatory-capital table (https://find-and-update.company-information.service.gov.uk/company/05969821/filing-history/MzQ2NTE3NTM2NmFkaXF6a2N4/document?format=pdf&amp;download=0) and, for FY2025, from the FY2025 Pillar 3's own Table 4 "Total Capital Available" of 54,604 - the figure the ratios are actually struck on. The 37,000 is reproduced here unchanged because reproducing the template is the point of this sheet; NOTHING WAS EDITED ON EITHER SIDE TO MAKE THE TWO AGREE, and the four cross-check disagreements this raises in verify_workbook.py are expected and correct.</t>
        </is>
      </c>
    </row>
    <row r="38" ht="409" customHeight="1">
      <c r="A38" s="8" t="inlineStr">
        <is>
          <t>(continued)
ZERO GLYPHS. There are none: GTBank leaves no cell dashed or zeroed in this table. Every cell shown is a printed figure and every blank is a row or column the Bank did not print.
LATEST-EDITION CHECK, 16 September 2026, against the Bank's own site rather than this script's citation list. gtbankuk.com publishes documents only from /about-gtbank-uk/our-company (the /investor-relations page renders no document links at all, in the HTML or in the sitemap). That page links exactly two reports: "GTBank-UK-Pillar-3-Disclosure-2025.pdf" and "GTBank-UK-Annual-Report-and-Financial-Statement-2024.pdf". The FY2025 Pillar 3 is the newest edition and is already cited here. Companies House (05969821) confirms the FY2025 Annual Report is not yet filed - the latest accounts are made up to 31 December 2024 - which is why FY2025 is Pillar 3-sourced throughout this workbook. Checked, none newer.</t>
        </is>
      </c>
    </row>
  </sheetData>
  <mergeCells count="3">
    <mergeCell ref="A34:E34"/>
    <mergeCell ref="A36:E36"/>
    <mergeCell ref="A38:E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7" t="inlineStr">
        <is>
          <t>Common Equity Tier 1 (CET1) capital - Annual Report Note 23.8(a), exact to the pound</t>
        </is>
      </c>
      <c r="B4" s="7" t="n">
        <v>54604</v>
      </c>
      <c r="C4" s="7" t="n">
        <v>48075.379</v>
      </c>
      <c r="D4" s="7" t="n">
        <v>39390.993</v>
      </c>
      <c r="E4" s="7" t="n">
        <v>28344.378</v>
      </c>
      <c r="F4" s="7" t="n">
        <v>25089.641</v>
      </c>
    </row>
    <row r="5">
      <c r="A5" s="7" t="inlineStr">
        <is>
          <t>Common Equity Tier 1 (CET1) capital - as printed in the Pillar 3 Key Metrics table</t>
        </is>
      </c>
      <c r="B5" s="7" t="n">
        <v>54604</v>
      </c>
      <c r="C5" s="7" t="n">
        <v>48075</v>
      </c>
      <c r="D5" s="7" t="n">
        <v>39391</v>
      </c>
      <c r="E5" s="7" t="n">
        <v>28345</v>
      </c>
      <c r="F5" s="7" t="n"/>
    </row>
    <row r="6" ht="91" customHeight="1">
      <c r="A6" s="6" t="inlineStr">
        <is>
          <t>Note: UNIT (changed 2026-09-18). This sheet is in GBP'000, matching the Total RWAs, RWA Breakdown and KM1 sheets of this workbook. It was previously published in pounds, which was correctly labelled and correctly transcribed but left this figure 1,000x out of scale against the RWA sheet a reader would divide it by. No figure was rescaled to achieve this: row 1 is the Annual Report amount with its pence retained (FY2024's 48,075,379 exactly, written as 48,075.379), so no precision was lost.
ROW 2 is the Bank's own printed GBP'000 figure from the Pillar 3 Key Metrics table. It is shown separately rather than merged because the two sources DISAGREE at FY2022: the Annual Report gives 28,344.378 and the Pillar 3 prints 28,345, a difference of about GBP 622. FY2024 and FY2023 round exactly to the printed figure; FY2022 does not. FY2022 is also the only year taken from the FY2023 edition's comparative column rather than from its own edition. Neither figure is corrected to the other.</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CET1 ratio (as first published)</t>
        </is>
      </c>
      <c r="B4" s="7" t="inlineStr">
        <is>
          <t>36.69%</t>
        </is>
      </c>
      <c r="C4" s="7" t="inlineStr">
        <is>
          <t>26.89%</t>
        </is>
      </c>
      <c r="D4" s="7" t="inlineStr">
        <is>
          <t>32.34%</t>
        </is>
      </c>
      <c r="E4" s="7" t="inlineStr">
        <is>
          <t>20.68%</t>
        </is>
      </c>
      <c r="F4" s="7" t="inlineStr">
        <is>
          <t>25.02%</t>
        </is>
      </c>
    </row>
    <row r="5">
      <c r="A5" s="7" t="inlineStr">
        <is>
          <t>CET1 ratio - FY2023 as restated in the FY2024 Pillar 3 edition</t>
        </is>
      </c>
      <c r="B5" s="7" t="n"/>
      <c r="C5" s="7" t="n"/>
      <c r="D5" s="7" t="inlineStr">
        <is>
          <t>32.30%</t>
        </is>
      </c>
      <c r="E5" s="7" t="n"/>
      <c r="F5" s="7" t="n"/>
    </row>
    <row r="6" ht="52" customHeight="1">
      <c r="A6" s="6" t="inlineStr">
        <is>
          <t>Note: Row 1 is each year as first published, in that year's own Pillar 3 report's Key Metrics table. Row 2 records that the FY2024 edition restates its FY2023 comparative to 32.30% (alongside restating FY2023 RWAs from 105,275 to 108,387 - see the Total RWAs sheet). Neither figure is overwritten by the other. Note that the Bank's printed ratio does not reconcile to its own capital and RWA on either basis (39,391 / 105,275 = 37.42%; 39,391 / 108,387 = 36.34%); both values are transcribed exactly as printed and no attempt is made to recompute them.</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7" t="inlineStr">
        <is>
          <t>Tier 1 capital - Annual Report Note 23.8(a), exact to the pound</t>
        </is>
      </c>
      <c r="B4" s="7" t="n">
        <v>54604</v>
      </c>
      <c r="C4" s="7" t="n">
        <v>48075.379</v>
      </c>
      <c r="D4" s="7" t="n">
        <v>39390.993</v>
      </c>
      <c r="E4" s="7" t="n">
        <v>28344.378</v>
      </c>
      <c r="F4" s="7" t="n">
        <v>25089.641</v>
      </c>
    </row>
    <row r="5">
      <c r="A5" s="7" t="inlineStr">
        <is>
          <t>Tier 1 capital - as printed in the Pillar 3 Key Metrics table</t>
        </is>
      </c>
      <c r="B5" s="7" t="n">
        <v>54604</v>
      </c>
      <c r="C5" s="7" t="n">
        <v>48075</v>
      </c>
      <c r="D5" s="7" t="n">
        <v>39391</v>
      </c>
      <c r="E5" s="7" t="n">
        <v>28345</v>
      </c>
      <c r="F5" s="7" t="n"/>
    </row>
    <row r="6" ht="117" customHeight="1">
      <c r="A6" s="6" t="inlineStr">
        <is>
          <t>Note: The Bank has no Additional Tier 1 capital, so Tier 1 capital equals CET1 capital.
UNIT (changed 2026-09-18). This sheet is in GBP'000, matching the Total RWAs, RWA Breakdown and KM1 sheets of this workbook. It was previously published in pounds, which was correctly labelled and correctly transcribed but left this figure 1,000x out of scale against the RWA sheet a reader would divide it by. No figure was rescaled to achieve this: row 1 is the Annual Report amount with its pence retained (FY2024's 48,075,379 exactly, written as 48,075.379), so no precision was lost.
ROW 2 is the Bank's own printed GBP'000 figure from the Pillar 3 Key Metrics table. It is shown separately rather than merged because the two sources DISAGREE at FY2022: the Annual Report gives 28,344.378 and the Pillar 3 prints 28,345, a difference of about GBP 622. FY2024 and FY2023 round exactly to the printed figure; FY2022 does not. FY2022 is also the only year taken from the FY2023 edition's comparative column rather than from its own edition. Neither figure is corrected to the other.</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Tier 1 ratio (as first published)</t>
        </is>
      </c>
      <c r="B4" s="7" t="inlineStr">
        <is>
          <t>36.69%</t>
        </is>
      </c>
      <c r="C4" s="7" t="inlineStr">
        <is>
          <t>26.89%</t>
        </is>
      </c>
      <c r="D4" s="7" t="inlineStr">
        <is>
          <t>32.34%</t>
        </is>
      </c>
      <c r="E4" s="7" t="inlineStr">
        <is>
          <t>20.68%</t>
        </is>
      </c>
      <c r="F4" s="7" t="inlineStr">
        <is>
          <t>25.02%</t>
        </is>
      </c>
    </row>
    <row r="5">
      <c r="A5" s="7" t="inlineStr">
        <is>
          <t>Tier 1 ratio - FY2023 as restated in the FY2024 Pillar 3 edition</t>
        </is>
      </c>
      <c r="B5" s="7" t="n"/>
      <c r="C5" s="7" t="n"/>
      <c r="D5" s="7" t="inlineStr">
        <is>
          <t>32.30%</t>
        </is>
      </c>
      <c r="E5" s="7" t="n"/>
      <c r="F5" s="7" t="n"/>
    </row>
    <row r="6" ht="52" customHeight="1">
      <c r="A6" s="6" t="inlineStr">
        <is>
          <t>Note: Row 1 is each year as first published, in that year's own Pillar 3 report's Key Metrics table. Row 2 records that the FY2024 edition restates its FY2023 comparative to 32.30% (alongside restating FY2023 RWAs from 105,275 to 108,387 - see the Total RWAs sheet). Neither figure is overwritten by the other. Note that the Bank's printed ratio does not reconcile to its own capital and RWA on either basis (39,391 / 105,275 = 37.42%; 39,391 / 108,387 = 36.34%); both values are transcribed exactly as printed and no attempt is made to recompute them.</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7" t="inlineStr">
        <is>
          <t>Total regulatory capital (unaudited) - Annual Report Note 23.8(a), exact to the pound</t>
        </is>
      </c>
      <c r="B4" s="7" t="n">
        <v>54604</v>
      </c>
      <c r="C4" s="7" t="n">
        <v>48075.379</v>
      </c>
      <c r="D4" s="7" t="n">
        <v>39390.993</v>
      </c>
      <c r="E4" s="7" t="n">
        <v>28344.378</v>
      </c>
      <c r="F4" s="7" t="n">
        <v>25089.641</v>
      </c>
    </row>
    <row r="5">
      <c r="A5" s="7" t="inlineStr">
        <is>
          <t>Total regulatory capital - as printed in the Pillar 3 Key Metrics table</t>
        </is>
      </c>
      <c r="B5" s="7" t="n">
        <v>54604</v>
      </c>
      <c r="C5" s="7" t="n">
        <v>48075</v>
      </c>
      <c r="D5" s="7" t="n">
        <v>39391</v>
      </c>
      <c r="E5" s="7" t="n">
        <v>28345</v>
      </c>
      <c r="F5" s="7" t="n"/>
    </row>
    <row r="6" ht="117" customHeight="1">
      <c r="A6" s="6" t="inlineStr">
        <is>
          <t>Note: The Bank has no Tier 2 capital, so Total Capital equals Tier 1 capital equals CET1 capital.
UNIT (changed 2026-09-18). This sheet is in GBP'000, matching the Total RWAs, RWA Breakdown and KM1 sheets of this workbook. It was previously published in pounds, which was correctly labelled and correctly transcribed but left this figure 1,000x out of scale against the RWA sheet a reader would divide it by. No figure was rescaled to achieve this: row 1 is the Annual Report amount with its pence retained (FY2024's 48,075,379 exactly, written as 48,075.379), so no precision was lost.
ROW 2 is the Bank's own printed GBP'000 figure from the Pillar 3 Key Metrics table. It is shown separately rather than merged because the two sources DISAGREE at FY2022: the Annual Report gives 28,344.378 and the Pillar 3 prints 28,345, a difference of about GBP 622. FY2024 and FY2023 round exactly to the printed figure; FY2022 does not. FY2022 is also the only year taken from the FY2023 edition's comparative column rather than from its own edition. Neither figure is corrected to the other.</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Total Capital Ratio (as first published)</t>
        </is>
      </c>
      <c r="B4" s="7" t="inlineStr">
        <is>
          <t>36.69%</t>
        </is>
      </c>
      <c r="C4" s="7" t="inlineStr">
        <is>
          <t>26.89%</t>
        </is>
      </c>
      <c r="D4" s="7" t="inlineStr">
        <is>
          <t>32.34%</t>
        </is>
      </c>
      <c r="E4" s="7" t="inlineStr">
        <is>
          <t>20.68%</t>
        </is>
      </c>
      <c r="F4" s="7" t="inlineStr">
        <is>
          <t>25.02%</t>
        </is>
      </c>
    </row>
    <row r="5">
      <c r="A5" s="7" t="inlineStr">
        <is>
          <t>Total Capital Ratio - FY2023 as restated in the FY2024 Pillar 3 edition</t>
        </is>
      </c>
      <c r="B5" s="7" t="n"/>
      <c r="C5" s="7" t="n"/>
      <c r="D5" s="7" t="inlineStr">
        <is>
          <t>32.30%</t>
        </is>
      </c>
      <c r="E5" s="7" t="n"/>
      <c r="F5" s="7" t="n"/>
    </row>
    <row r="6" ht="52" customHeight="1">
      <c r="A6" s="6" t="inlineStr">
        <is>
          <t>Note: Row 1 is each year as first published, in that year's own Pillar 3 report's Key Metrics table. Row 2 records that the FY2024 edition restates its FY2023 comparative to 32.30% (alongside restating FY2023 RWAs from 105,275 to 108,387 - see the Total RWAs sheet). Neither figure is overwritten by the other. Note that the Bank's printed ratio does not reconcile to its own capital and RWA on either basis (39,391 / 105,275 = 37.42%; 39,391 / 108,387 = 36.34%); both values are transcribed exactly as printed and no attempt is made to recompute them.</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7" t="inlineStr">
        <is>
          <t>Total risk-weighted exposure amount (as first published)</t>
        </is>
      </c>
      <c r="B4" s="7" t="n">
        <v>148821</v>
      </c>
      <c r="C4" s="7" t="n">
        <v>157370</v>
      </c>
      <c r="D4" s="7" t="n">
        <v>105275</v>
      </c>
      <c r="E4" s="7" t="n">
        <v>187034</v>
      </c>
      <c r="F4" s="7" t="n">
        <v>100287</v>
      </c>
    </row>
    <row r="5">
      <c r="A5" s="7" t="inlineStr">
        <is>
          <t>Total risk-weighted exposure amount - FY2023 as restated in the FY2024 Pillar 3 edition</t>
        </is>
      </c>
      <c r="B5" s="7" t="n"/>
      <c r="C5" s="7" t="n"/>
      <c r="D5" s="7" t="n">
        <v>108387</v>
      </c>
      <c r="E5" s="7" t="n"/>
      <c r="F5" s="7" t="n"/>
    </row>
    <row r="6" ht="52" customHeight="1">
      <c r="A6" s="6" t="inlineStr">
        <is>
          <t>Note: FY2023 appears twice because the two editions disagree materially and neither is allowed to overwrite the other. 105,275 is the figure in the FY2023 Pillar 3 report's own Key Metrics table (read as a primary source 2026-09-15); 108,387 is the restated FY2023 comparative in the FY2024 edition. The restatement is not a rounding difference - it is 3.0% - and it is the restated figure, not the original, that reconciles exactly to the Bank's own disclosed Pillar 1 capital requirement (8,671 x 12.5 = 108,387.5, against 8,368 x 12.5 = 104,600 on the original basis versus 105,275 printed). See the RWA Breakdown sheet for what this means for the FY2023 risk-type split.</t>
        </is>
      </c>
    </row>
    <row r="8" ht="390" customHeight="1">
      <c r="A8"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0" ht="403" customHeight="1">
      <c r="A10"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2" ht="182" customHeight="1">
      <c r="A12"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8:F8"/>
    <mergeCell ref="A6:F6"/>
    <mergeCell ref="A10:F10"/>
    <mergeCell ref="A12:F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Guaranty Trust Bank (UK) Limited — RWA Breakdown</t>
        </is>
      </c>
    </row>
    <row r="2">
      <c r="A2" s="2" t="inlineStr">
        <is>
          <t>Standalone Pillar 3 disclosures, £'000. FY2022/FY2021 as directly disclosed; FY2025/FY2024 derived from disclosed Pillar 1 capital requirement x 12.5; FY2023 likewise derived but on the FY2024 edition's RESTATED FY2023 basis, in its own separate block - the Bank publishes no FY2023 risk-type split anywhere. Do not mix figures across the three blocks - see the sources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Standalone Pillar 3 — risk-weighted assets, as disclosed</t>
        </is>
      </c>
      <c r="B4" s="7" t="n"/>
      <c r="C4" s="7" t="n"/>
      <c r="D4" s="7" t="n"/>
      <c r="E4" s="7" t="n"/>
      <c r="F4" s="7" t="n"/>
    </row>
    <row r="5">
      <c r="A5" s="7" t="inlineStr">
        <is>
          <t>Credit risk RWA</t>
        </is>
      </c>
      <c r="B5" s="7" t="n"/>
      <c r="C5" s="7" t="n"/>
      <c r="D5" s="7" t="n"/>
      <c r="E5" s="7" t="n">
        <v>166793</v>
      </c>
      <c r="F5" s="7" t="n">
        <v>77962</v>
      </c>
    </row>
    <row r="6">
      <c r="A6" s="7" t="inlineStr">
        <is>
          <t>Operational risk RWA</t>
        </is>
      </c>
      <c r="B6" s="7" t="n"/>
      <c r="C6" s="7" t="n"/>
      <c r="D6" s="7" t="n"/>
      <c r="E6" s="7" t="n">
        <v>20026</v>
      </c>
      <c r="F6" s="7" t="n">
        <v>22148</v>
      </c>
    </row>
    <row r="7">
      <c r="A7" s="7" t="inlineStr">
        <is>
          <t>Market risk RWA</t>
        </is>
      </c>
      <c r="B7" s="7" t="n"/>
      <c r="C7" s="7" t="n"/>
      <c r="D7" s="7" t="n"/>
      <c r="E7" s="7" t="n">
        <v>215</v>
      </c>
      <c r="F7" s="7" t="n">
        <v>177</v>
      </c>
    </row>
    <row r="8">
      <c r="A8" s="5" t="inlineStr">
        <is>
          <t>Total RWA</t>
        </is>
      </c>
      <c r="B8" s="5" t="n"/>
      <c r="C8" s="5" t="n"/>
      <c r="D8" s="5" t="n"/>
      <c r="E8" s="5" t="n">
        <v>187034</v>
      </c>
      <c r="F8" s="5" t="n">
        <v>100287</v>
      </c>
    </row>
    <row r="9">
      <c r="A9" s="5" t="inlineStr">
        <is>
          <t>Pillar 1 capital requirement × 12.5 (derived from disclosed capital requirement)</t>
        </is>
      </c>
      <c r="B9" s="7" t="n"/>
      <c r="C9" s="7" t="n"/>
      <c r="D9" s="7" t="n"/>
      <c r="E9" s="7" t="n"/>
      <c r="F9" s="7" t="n"/>
    </row>
    <row r="10">
      <c r="A10" s="7" t="inlineStr">
        <is>
          <t>Credit risk RWA (derived)</t>
        </is>
      </c>
      <c r="B10" s="7" t="n">
        <v>98212.5</v>
      </c>
      <c r="C10" s="7" t="n">
        <v>113012.5</v>
      </c>
      <c r="D10" s="7" t="n"/>
      <c r="E10" s="7" t="n"/>
      <c r="F10" s="7" t="n"/>
    </row>
    <row r="11">
      <c r="A11" s="7" t="inlineStr">
        <is>
          <t>Market risk RWA (derived)</t>
        </is>
      </c>
      <c r="B11" s="7" t="n">
        <v>275</v>
      </c>
      <c r="C11" s="7" t="n">
        <v>175</v>
      </c>
      <c r="D11" s="7" t="n"/>
      <c r="E11" s="7" t="n"/>
      <c r="F11" s="7" t="n"/>
    </row>
    <row r="12">
      <c r="A12" s="7" t="inlineStr">
        <is>
          <t>Operational risk RWA (derived)</t>
        </is>
      </c>
      <c r="B12" s="7" t="n">
        <v>50337.5</v>
      </c>
      <c r="C12" s="7" t="n">
        <v>44187.5</v>
      </c>
      <c r="D12" s="7" t="n"/>
      <c r="E12" s="7" t="n"/>
      <c r="F12" s="7" t="n"/>
    </row>
    <row r="13">
      <c r="A13" s="5" t="inlineStr">
        <is>
          <t>Total RWA (derived)</t>
        </is>
      </c>
      <c r="B13" s="5" t="n">
        <v>148825</v>
      </c>
      <c r="C13" s="5" t="n">
        <v>157375</v>
      </c>
      <c r="D13" s="5" t="n"/>
      <c r="E13" s="5" t="n"/>
      <c r="F13" s="5" t="n"/>
    </row>
    <row r="14">
      <c r="A14" s="5" t="inlineStr">
        <is>
          <t>FY2023 only — Pillar 1 capital requirement × 12.5 on the FY2024 edition's RESTATED FY2023 basis (108,387), NOT the as-first-published 105,275 — see sources note</t>
        </is>
      </c>
      <c r="B14" s="7" t="n"/>
      <c r="C14" s="7" t="n"/>
      <c r="D14" s="7" t="n"/>
      <c r="E14" s="7" t="n"/>
      <c r="F14" s="7" t="n"/>
    </row>
    <row r="15">
      <c r="A15" s="7" t="inlineStr">
        <is>
          <t>Credit risk RWA (derived, FY2023 restated basis)</t>
        </is>
      </c>
      <c r="B15" s="7" t="n"/>
      <c r="C15" s="7" t="n"/>
      <c r="D15" s="7" t="n">
        <v>75462.5</v>
      </c>
      <c r="E15" s="7" t="n"/>
      <c r="F15" s="7" t="n"/>
    </row>
    <row r="16">
      <c r="A16" s="7" t="inlineStr">
        <is>
          <t>Market risk RWA (derived, FY2023 restated basis)</t>
        </is>
      </c>
      <c r="B16" s="7" t="n"/>
      <c r="C16" s="7" t="n"/>
      <c r="D16" s="7" t="n">
        <v>162.5</v>
      </c>
      <c r="E16" s="7" t="n"/>
      <c r="F16" s="7" t="n"/>
    </row>
    <row r="17">
      <c r="A17" s="7" t="inlineStr">
        <is>
          <t>Operational risk RWA (derived, FY2023 restated basis)</t>
        </is>
      </c>
      <c r="B17" s="7" t="n"/>
      <c r="C17" s="7" t="n"/>
      <c r="D17" s="7" t="n">
        <v>32762.5</v>
      </c>
      <c r="E17" s="7" t="n"/>
      <c r="F17" s="7" t="n"/>
    </row>
    <row r="18">
      <c r="A18" s="5" t="inlineStr">
        <is>
          <t>Total RWA (derived, FY2023 restated basis)</t>
        </is>
      </c>
      <c r="B18" s="5" t="n"/>
      <c r="C18" s="5" t="n"/>
      <c r="D18" s="5" t="n">
        <v>108387.5</v>
      </c>
      <c r="E18" s="5" t="n"/>
      <c r="F18" s="5" t="n"/>
    </row>
    <row r="20" ht="390" customHeight="1">
      <c r="A20" s="8" t="inlineStr">
        <is>
          <t>Sources - Guaranty Trust Bank (UK) Limited's own standalone Pillar 3 disclosures (not GTBank Nigeria or GTCO):
FY2022 &amp; FY2021 (directly disclosed as risk-weighted assets, not derived): GTBank UK Pillar 3 Disclosures 2022, section 2.4 'Risk-Weighted Assets (RWAs)' table (Total/Credit/Operational/Market RWA) - https://gtbank-uk.files.svdcdn.com/production/media/GTBUK-Pillar-3-2022.pdf
FY2025 (derived, not directly disclosed as RWA): GTBank UK Pillar 3 Disclosure 2025, Table 5 'Minimum Capital Requirement ("MCR")', p.16 (Credit Risk 7,857 / Market Risk 22 / Operational Risk 4,027, GBP'000, summing to the same table's own printed Pillar 1 requirement of 11,906) - each figure below is that capital requirement divided by 8% (x12.5), the exact Basel/CRR Article 92 identity, not an estimate. Derived total 148,825 vs the same document's own separately disclosed Total Risk-Weighted Exposure Amount of 148,821 - a gap of 4 (0.003%), comfortably inside the +/-19 maximum attributable to GBP'000 rounding of three components, so the x12.5 identity reconciles cleanly for this year (unlike FY2023, see below) - https://gtbank-uk.files.svdcdn.com/production/download/GTBank-UK-Pillar-3-Disclosure-2025.pdf?dm=1784815695
FY2024 (derived, not directly disclosed as RWA): GTBank UK Pillar 3 Disclosure 2024, Table 5 'Minimum Capital Requirement ("MCR")', p.14, only discloses the Pillar 1 MINIMUM CAPITAL REQUIREMENT by risk type - so each category figure below is that table's own capital-requirement figure divided by 8% (multiplied by 12.5), the standard, exact Basel/CRR Article 92 identity, not an estimate. Reconciles to within £5k of the Total RWAs sheet's own FY2024 figure (157,370) - https://gtbank-uk.files.svdcdn.com/production/general/GTBank-UK-Pillar-3-Disclosure-2024.pdf?dm=1769088481
FY2023: checked against the FY2023 Pillar 3 report itself and still NOT added. THE BANK PUBLISHES NO FY2023 RWA BREAKDOWN BY RISK TYPE ANYWHERE - this is a disclosure gap in the source, not a research gap. The FY2023 report's section 6.4 'Risk-Weighted Assets' (p.15) merely names the three categories in prose and prints no table; its Key Metrics table (pp.13-14) gives a single aggregate Total Risk-Weighted Exposure Amount of 105,275 with no split; and the only category-level figures in the entire document are CAPITAL REQUIREMENTS (section 7.3, p.17: Credit Risk 5,712 / Market Risk 13 / Operational Risk 2,643, GBP'000), never RWAs - https://gtbank-uk.files.svdcdn.com/production/general/GTBank-UK-Pillar-3-2023.pdf?dm=1731585289
    On the original FY2023 basis the x12.5 identity does not reconcile: 8,368 x 12.5 = 104,600 against the same report's own printed 105,275, a gap of 675 (0.6%), far beyond the +/-19 attributable to GBP'000 rounding of three components. On the FY2024 edition's RESTATED FY2023 basis it reconciles exactly (Credit 6,037 / Market 13 / Operational 2,621 = 8,671; 8,671 x 12.5 = 108,387.5 against that edition's own restated FY2023 RWA of 108,387). FY2023 is nonetheless still left blank here, for two reasons: (a) the derived rows would have to sit on the restated 108,387 basis while the Total RWAs sheet's primary FY2023 row is the as-first-published 105,275, silently mixing two bases in one column - exactly the trap this workbook's convention exists to avoid; and (b) no FY2023 figure in either edition is a disclosed RWA. If a future pass decides the derived basis is acceptable for FY2023, it must add the row under the restated total, label it as such, and not reconcile it against 105,275.
    FY2023 ADDED 2026-09-18, ON EXACTLY THOSE TERMS. The paragraph above set the conditions and they are met here, so FY2023 now carries its own SEPARATE section rather than being merged into the FY2025/FY2024 derived block: the figures are the FY2024 edition's RESTATED FY2023 capital requirements x 12.5 (Credit 6,037 -&gt; 75,462.5; Market 13 -&gt; 162.5; Operational 2,621 -&gt; 32,762.5; total 108,387.5), every row label says 'restated basis', and the derived total is checked against that same edition's own restated FY2023 Total Risk-Weighted Exposure Amount of 108,387 - a gap of 0.5, pure GBP'000 rounding. It is deliberately NOT checked against the as-first-published 105,275, which remains the primary FY2023 row on the Total RWAs sheet and belongs to a different basis. The two sit in different sections of this sheet for that reason; a reader must not add a figure from the restated block to one from the as-disclosed block. Nothing about the underlying finding has changed: the Bank still publishes no FY2023 RWA split by risk type in any document, and every figure in this section is derived, never disclosed.</t>
        </is>
      </c>
    </row>
    <row r="22" ht="280" customHeight="1">
      <c r="A22" s="8" t="inlineStr">
        <is>
          <t>(continued)
(2026-09-18 FOURTH check, this time OUTSIDE the Pillar 3 series - the one place the three prior verifications had not looked. The Bank's own FY2023 ANNUAL REPORT AND FINANCIAL STATEMENTS (Companies House company 05969821, accounts made up to 31 December 2023, filed 25 June 2024) contains no risk-weighted asset amount at all, let alone a split: its note 23.8(a) 'Regulatory capital (unaudited)' prints only Tier 1 capital components and Total regulatory capital (39,390,993, against 28,344,378 for 2022), and its KPI table gives the CET1 ratio as a percentage (32.3%, 2022: 24.6%) with no denominator. The report is an IMAGE-ONLY SCAN (go-tiff2pdf, 71 pages, every page an image, zero-character text layer), so it was read by full-document OCR; positive control on the OCR output, 70 occurrences of 'capital' and 112 of 'ratio' against 0 of '105,275', 0 of '108,387' and 0 of any 'risk weighted assets' table. This closes the last plausible primary source: the FY2023 split does not exist in the Annual Report either.)
(2026-09-12 independent re-verification: re-fetched this exact document and re-read section 5.2 'Key Prudential Metrics' [Total Risk-Weighted Exposure Amount 105,275, single aggregate figure, no category split] and section 7.3 'Minimum Capital Requirement - Pillar 1' [Credit Risk 5,712 / Market Risk 13 / Operational Risk 2,643] directly - confirms this analysis exactly, no cleaner reconciling source exists anywhere else in the document. This remains a genuine internal inconsistency in the Bank's own filing, not a research gap.)
(2026-09-15 THIRD verification, re-reading the full FY2023 document rather than the prior notes. Confirms FY2023 stays out, and strengthens the case: section 6.4 'Risk-Weighted Assets' is narrative only [it names the three categories but publishes no table], and the ONLY category-level figures anywhere in the document are capital requirements, never RWAs. The FY2023 credit MCR of 5,712 is itself internally sound - section 8.3 breaks it into exposure classes that sum to it exactly [Financial Institutions 2,830 + Retail 4 + Corporate 0 + Secured against Real Estate 1,612 + Fixed and Other Assets 1,266 = 5,712] - so the 675 gap cannot be pinned on a misprinted credit figure and remains unexplained. Do not add FY2023 on the x12.5 basis.)
(2026-09-15 SEPARATE FINDING, recorded here because it was found in the same document and bears on FY2022's reliability rather than FY2023's: the FY2023 report's own FY2022 COMPARATIVE column misprints the credit risk MCR as 9,343. The FY2022 figures carried in this sheet are NOT affected and are correct - they come from the FY2022 report's own directly-disclosed RWA table, they sum exactly to the FY2022 total of 187,034, and that total is independently confirmed by this FY2023 document's own comparative column. The FY2022 operational and market MCRs also reconcile cleanly on x12.5 [1,602 -&gt; 20,025 vs 20,026 disclosed; 17 -&gt; 212.5 vs 215 disclosed]. Only credit does not: 9,343 x 12.5 = 116,788 against the disclosed 166,793, whereas the disclosed RWA implies an MCR of 13,343.44 - a difference of almost exactly 4,000, the signature of a leading-digit transcription error [13,343 printed as 9,343] in the comparative. Flagged so that a future pass does not 'correct' this sheet's sound FY2022 figures to match a misprinted comparative.)</t>
        </is>
      </c>
    </row>
  </sheetData>
  <mergeCells count="2">
    <mergeCell ref="A20:F20"/>
    <mergeCell ref="A22:F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Leverage Ratio (as first published in each year's own Pillar 3 report) - the Bank's Key Metrics row is LABELLED 'excluding claims on central banks' but prints the same value as its own narrative ratio in every edition, i.e. no exclusion is actually made; see note</t>
        </is>
      </c>
      <c r="B4" s="7" t="inlineStr">
        <is>
          <t>9.11%</t>
        </is>
      </c>
      <c r="C4" s="7" t="inlineStr">
        <is>
          <t>8.02%</t>
        </is>
      </c>
      <c r="D4" s="7" t="inlineStr">
        <is>
          <t>8.29%</t>
        </is>
      </c>
      <c r="E4" s="7" t="inlineStr">
        <is>
          <t>4.38%</t>
        </is>
      </c>
      <c r="F4" s="7" t="inlineStr">
        <is>
          <t>5.04%</t>
        </is>
      </c>
    </row>
    <row r="5">
      <c r="A5" s="7" t="inlineStr">
        <is>
          <t>FY2023 as restated in the FY2024 and FY2025 Pillar 3 editions</t>
        </is>
      </c>
      <c r="B5" s="7" t="n"/>
      <c r="C5" s="7" t="n"/>
      <c r="D5" s="7" t="inlineStr">
        <is>
          <t>8.30%</t>
        </is>
      </c>
      <c r="E5" s="7" t="n"/>
      <c r="F5" s="7" t="n"/>
    </row>
    <row r="6">
      <c r="A6" s="7" t="inlineStr">
        <is>
          <t>FY2023 as printed in the FY2023 report's own Key Metrics table (contradicted - see note)</t>
        </is>
      </c>
      <c r="B6" s="7" t="n"/>
      <c r="C6" s="7" t="n"/>
      <c r="D6" s="7" t="inlineStr">
        <is>
          <t>6.00%</t>
        </is>
      </c>
      <c r="E6" s="7" t="n"/>
      <c r="F6" s="7" t="n"/>
    </row>
    <row r="7" ht="299" customHeight="1">
      <c r="A7" s="6" t="inlineStr">
        <is>
          <t xml:space="preserve">Note: FY2023 carries three rows because the Bank publishes three different numbers for it, and none is allowed to overwrite another.
  Row 1, 8.29%: the FY2023 Pillar 3 report's own section 7.6 (p.17), which shows its working - Tier 1 capital GBP39,390,993 against total on- and off-balance-sheet footings of GBP475,263,939. That division reproduces 8.29% exactly, and the Tier 1 figure ties to this workbook's own FY2023 Tier 1 Capital sheet and Balance Sheet Total equity. This is the as-first-published basis used for every other year in row 1.
  Row 2, 8.30%: the same measure in the FY2024 and FY2025 editions, which restate the footings to GBP474,761,920 (Tier 1 unchanged at GBP39,390,993). A GBP502,019 restatement of the denominator, worth one basis point. This is the value this workbook carried before 2026-09-15, when it was sourced from the FY2024 edition's comparative rather than from the FY2023 report itself.
  Row 3, 6.00%: the figure printed in the FY2023 report's own Key Metrics table, in the row labelled 'Leverage ratio excluding claims on central banks (%)'. It is NOT used as the headline because it is contradicted by that same report's narrative one page later and is not reproducible from any pair of figures the report discloses; and because in the FY2022, FY2024 and FY2025 editions that identically-labelled row always prints exactly the same value as that edition's narrative leverage ratio (4.38%, 8.02%, 9.11% respectively), i.e. the Bank never actually excludes central bank claims in it. It is recorded rather than discarded.
FY2025 (9.11%) is taken from the FY2025 report's Key Metrics table, NOT from its section 7.6 narrative, which was left unrevised from the prior edition and still quotes the 31 December 2024 position (8.02%). See note (3) in the source citation below.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6 source URLs cited on this sheet and its KM1 sheet were re-fetched on 2026-10-09 (6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9" ht="390" customHeight="1">
      <c r="A9"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11" ht="403" customHeight="1">
      <c r="A11"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3" ht="182" customHeight="1">
      <c r="A13"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13:F13"/>
    <mergeCell ref="A11:F11"/>
    <mergeCell ref="A7:F7"/>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Guaranty Trust Bank (UK)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Liquidity Coverage Ratio</t>
        </is>
      </c>
      <c r="B4" s="7" t="inlineStr">
        <is>
          <t>197%</t>
        </is>
      </c>
      <c r="C4" s="7" t="inlineStr">
        <is>
          <t>309%</t>
        </is>
      </c>
      <c r="D4" s="7" t="inlineStr">
        <is>
          <t>250%</t>
        </is>
      </c>
      <c r="E4" s="7" t="inlineStr">
        <is>
          <t>274%</t>
        </is>
      </c>
      <c r="F4" s="7" t="inlineStr">
        <is>
          <t>356%</t>
        </is>
      </c>
    </row>
    <row r="5" ht="130" customHeight="1">
      <c r="A5" s="6" t="inlineStr">
        <is>
          <t>Note: Every year is the Bank's own disclosed headline LCR, taken as printed from the Key Metrics table. Basis is consistent across editions: the FY2024 value printed in the FY2025 report's comparative column (309%) matches the FY2024 report's own figure exactly, and likewise FY2023 (250%) between the FY2024 and FY2023 editions.
DO NOT RE-DERIVE THESE FROM THE PUBLISHED COMPONENTS. The Bank's own LCR component rows do not reconcile to its own printed ratio in ANY year, consistently and by a wide margin: FY2025 HQLA 228,692 / net outflows 234,753 = 97%, not the printed 197%; FY2024 188,372 / 42,483 = 443%, not 309%; FY2023 230,533 / 74,454 = 310%, not 250% (all GBP'000; the FY2023 HQLA figure here is from the FY2023 report itself, read 2026-09-15 - the FY2024 edition restates it to 197,710, which gives 266%, also not 250%, so the mismatch survives the restatement). The component arithmetic is internally sound - gross outflows less inflows does equal the stated net outflows every year - so the mismatch is between the components and the ratio, not within the components. The likely cause is a mixed basis: the HQLA row is explicitly labelled 'average of last 12mths' while the ratio appears to be struck on a different (probably year-end) basis. The disclosed ratio is used here because it is the Bank's own headline figure and the only one comparable across years and across banks in this project; no attempt is made to correct or recompute it.
By contrast the NSFR components DO reconcile exactly every year (see that sheet), which is why this caveat is specific to LCR.</t>
        </is>
      </c>
    </row>
    <row r="7" ht="390" customHeight="1">
      <c r="A7"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9" ht="403" customHeight="1">
      <c r="A9"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1" ht="182" customHeight="1">
      <c r="A11"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11:F11"/>
    <mergeCell ref="A5:F5"/>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Guaranty Trust Bank (UK) Limited — NSFR</t>
        </is>
      </c>
    </row>
    <row r="2">
      <c r="A2" s="2" t="inlineStr">
        <is>
          <t>%</t>
        </is>
      </c>
    </row>
    <row r="3">
      <c r="A3" s="4" t="inlineStr">
        <is>
          <t>Metric</t>
        </is>
      </c>
      <c r="B3" s="4" t="inlineStr">
        <is>
          <t>FY2025</t>
        </is>
      </c>
      <c r="C3" s="4" t="inlineStr">
        <is>
          <t>FY2024</t>
        </is>
      </c>
      <c r="D3" s="4" t="inlineStr">
        <is>
          <t>FY2023</t>
        </is>
      </c>
      <c r="E3" s="4" t="inlineStr">
        <is>
          <t>FY2022</t>
        </is>
      </c>
    </row>
    <row r="4">
      <c r="A4" s="7" t="inlineStr">
        <is>
          <t>Net Stable Funding Ratio</t>
        </is>
      </c>
      <c r="B4" s="7" t="inlineStr">
        <is>
          <t>211%</t>
        </is>
      </c>
      <c r="C4" s="7" t="inlineStr">
        <is>
          <t>260%</t>
        </is>
      </c>
      <c r="D4" s="7" t="inlineStr">
        <is>
          <t>310%</t>
        </is>
      </c>
      <c r="E4" s="7" t="inlineStr">
        <is>
          <t>253%</t>
        </is>
      </c>
    </row>
    <row r="5" ht="91" customHeight="1">
      <c r="A5" s="6" t="inlineStr">
        <is>
          <t>Note: FY2022 (253%) was added 2026-09-15. The FY2022 Pillar 3 report itself never mentions NSFR at all (the string does not occur in the document), but the FY2023 report's Key Metrics table carries a full FY2022 comparative column for it - Total available stable funding 214,036 / Total required stable funding 84,527 (GBP'000), printed ratio 253%. That is the Bank's own figure for its own entity, on the same basis as every other year on this sheet, so it is transcribed here; the same comparative-column convention is already used for FY2021 elsewhere in this workbook.
FY2021 remains blank: no NSFR is disclosed for it in any reviewed edition, and nothing is substituted from another entity.
Unlike the LCR sheet, the NSFR components reconcile to the printed ratio exactly in every disclosed year: FY2025 198,459 / 94,033 = 211%; FY2024 200,729 / 77,347 = 260%; FY2023 194,572 / 62,864 = 310%; FY2022 214,036 / 84,527 = 253% (GBP'000).</t>
        </is>
      </c>
    </row>
    <row r="7" ht="390" customHeight="1">
      <c r="A7"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t>
        </is>
      </c>
    </row>
    <row r="9" ht="403" customHeight="1">
      <c r="A9" s="8" t="inlineStr">
        <is>
          <t>(continued)
17,563 + fair value reserve 41 - intangibles nil = 54,604, labelled 'Sub-Total' and then 'Total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t>
        </is>
      </c>
    </row>
    <row r="11" ht="195" customHeight="1">
      <c r="A11" s="8" t="inlineStr">
        <is>
          <t>(continued)
CONFIRMED UNCHANGED between the two editions, so the following FY2023 figures in this workbook are now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4">
    <mergeCell ref="A11:E11"/>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Guaranty Trust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MREL Ratio</t>
        </is>
      </c>
      <c r="B4" s="7" t="inlineStr">
        <is>
          <t>Not published – no MREL figure in the FY2025 GTBank UK Pillar 3 (text-searched 2026-09-19: 'MREL' 0 hits)</t>
        </is>
      </c>
      <c r="C4" s="7" t="inlineStr">
        <is>
          <t>Not published – no MREL figure in the FY2024 GTBank UK Pillar 3 (text-searched 2026-09-19: 'MREL' 0 hits)</t>
        </is>
      </c>
      <c r="D4" s="7" t="inlineStr">
        <is>
          <t>Not published – no MREL figure in the FY2023 GTBank UK Pillar 3 (text-searched 2026-09-19: 'MREL' 0 hits)</t>
        </is>
      </c>
      <c r="E4" s="7" t="inlineStr">
        <is>
          <t>Not published – no MREL figure in the FY2022 GTBank UK Pillar 3 (text-searched 2026-09-19: 'MREL' 0 hits)</t>
        </is>
      </c>
      <c r="F4" s="7" t="inlineStr">
        <is>
          <t>Not published – no MREL figure in the FY2022 GTBank UK Pillar 3, which carries the FY2021 comparatives (text-searched 2026-09-19: 'MREL' 0 hits)</t>
        </is>
      </c>
    </row>
    <row r="6" ht="390" customHeight="1">
      <c r="A6" s="8" t="inlineStr">
        <is>
          <t>Sources - Guaranty Trust Bank (UK) Limited's own standalone Pillar 3 disclosures (not GTBank Nigeria or GTCO).
FY2025: 'Pillar 3 Disclosure 2025' (as at 31 December 2025), section 5.2 'Key Prudential Metrics'
Table 2 pp.12-13, section 7.1 'Available Capital' Table 4 p.15, section 7.3 'Minimum Capital
Requirement' Table 5 p.16 - https://gtbank-uk.files.svdcdn.com/production/download/GTBank-UK-Pillar-3-Disclosure-2025.pdf?dm=1784815695
FY2024: Key Metrics pp.14-15, Available Capital/MCR pp.16-18 - https://gtbank-uk.files.svdcdn.com/production/general/GTBank-UK-Pillar-3-Disclosure-2024.pdf?dm=1769088481
FY2023: 'GTBank UK Pillar 3 Disclosures 2023', section 5.2 'Key Prudential Metrics' table pp.13-14,
section 7.1 'Available Capital' table p.16, section 7.3 'Minimum Capital Requirement - Pillar 1'
table p.17, section 7.6 'Leverage' narrative p.17 - https://gtbank-uk.files.svdcdn.com/production/general/GTBank-UK-Pillar-3-2023.pdf?dm=1731585289
        (a second, identical copy of the same FY2023 document is also live at https://gtbank-uk.files.svdcdn.com/production/general/GTBUK-Pillar-3-2023.pdf;
        it differs only in pagination - 27 pages instead of 26 - and carries no differing figure.)
FY2022: KPI/Eligible Capital/CAR/Leverage pp.4-6 and MCR/TCR pp.14-16 - https://gtbank-uk.files.svdcdn.com/production/media/GTBUK-Pillar-3-2022.pdf
FY2021 is included as the comparative column in the FY2022 disclosure; FY2022's NSFR (the one metric
the FY2022 edition never reports) is taken from the FY2023 edition's own FY2022 comparative column.
These disclosures provide CET1, Tier 1 and total capital, RWA, capital ratios, leverage ratio, LCR
and (from FY2022, via that comparative) NSFR.
MREL is not numerically disclosed in any of the reviewed standalone reports, the FY2025 one included
(the FY2025 document contains no occurrence of 'MREL' or 'minimum requirement for own funds' at all).
FY2024/FY2023 also cross-check the statutory accounts' regulatory-capital Note 23.8(a) - https://find-and-update.company-information.service.gov.uk/company/05969821/filing-history/MzQ2NTE3NTM2NmFkaXF6a2N4/document?format=pdf&amp;download=0.
The Bank states it has no Additional Tier 1 capital, so Common Equity Tier 1 = Tier 1 = Total
regulatory capital throughout; the same figure is used on all three sheets below.
FY2025 DATA-QUALITY NOTES (read before using the FY2025 column):
(1) CET1 basis. The FY2025 Key Metrics table's own 'Common Equity Tier 1 ("CET1") capital' row prints
    37,000 for BOTH 2025 and 2024 - that is the Bank's paid-up share capital, not its CET1 capital, and
    is an internal error in the Bank's own table (the FY2024 report prints the same 37,000 in that row
    while its own leverage narrative states Tier 1 capital of GBP48,075,379). The same document's
    section 7.1 'Available Capital' table builds capital from paid-up share capital 37,000 + P&amp;L reserve
    17,563 + fair value reserve 41 - intangibles nil = 54,604, labelled 'Sub-Total' and then 'Total</t>
        </is>
      </c>
    </row>
    <row r="8" ht="403" customHeight="1">
      <c r="A8" s="8" t="inlineStr">
        <is>
          <t>(continued)
Capital Available' with Tier 2 and subordinated debt both nil; section 7.3 repeats 54,604 as 'Total
    Capital Resource'. 54,604 is used here for CET1/Tier 1/Total Capital, which also ties the disclosed
    ratio exactly: 54,604 / 148,821 = 36.69%, the ratio printed in the Key Metrics table. This is the
    same treatment already applied to FY2024 (37,000,000 + 11,019,326 + 56,053 = 48,075,379).
(2) FY2025 precision. The FY2025 capital figure is only available at GBP'000 precision (54,604) because
    no FY2025 Annual Report has been filed with Companies House yet (due 30 Sep 2026), so the exact
    pound figure from Note 23.8(a) that every earlier year uses does not exist for FY2025. The CET1/
    Tier 1/Total Capital sheets therefore show FY2025 as 54,604,000 - the disclosed thousands figure
    scaled, not an exact-to-the-pound amount. Earlier years remain exact to the pound.
(3) Stale prose in the FY2025 document. Its section 7.6 'Leverage' narrative and section 7.4 still refer
    to '31st December 2024' and 'during 2024' - unrevised copy carried over from the prior edition. Its
    numeric tables ARE updated (Table 1 financial performance, Table 2 key metrics, Table 4 available
    capital and Table 5 MCR each carry a distinct 2025 column alongside the 2024 comparative, and the
    2024 comparatives match this workbook's existing FY2024 figures exactly). All FY2025 values here are
    taken from those tables, never from the stale narrative paragraphs.
FY2023 RESTATEMENT (recorded 2026-09-15, when the FY2023 Pillar 3 report itself was obtained and read as a
primary source for the first time - until then FY2023 was carried from the FY2024 edition's comparative
column). The FY2024 edition materially RESTATES its FY2023 comparative. Both bases are shown on this
workbook's sheets, on separate labelled rows, rather than one overwriting the other:
                                        FY2023 as first published   FY2023 as restated in FY2024 edition
  Total risk-weighted exposure amount              105,275                       108,387
  CET1 / Tier 1 / Total capital ratio               32.34%                        32.30%
  Leverage ratio (narrative basis)                   8.29%                         8.30%
  Credit risk MCR                                    5,712                         6,037
  Operational risk MCR                               2,643                         2,621
  Pillar 1 requirement                               8,368                         8,671
  HQLA (12m average, weighted)                     230,533                       197,710
  Cash outflows (weighted)                         199,752 -- unchanged --        199,752
CONFIRMED UNCHANGED between the two editions, so the following FY2023 figures in this workbook are now</t>
        </is>
      </c>
    </row>
    <row r="10" ht="182" customHeight="1">
      <c r="A10" s="8" t="inlineStr">
        <is>
          <t>(continued)
verified against the primary source and not merely against a later comparative: Tier 1 capital and Total
capital 39,391 (GBP'000; the FY2023 report's section 7.6 gives the exact figure GBP39,390,993, which ties
to the FY2023 Balance Sheet's own Total equity), CET1 capital row printed as 37,000 in both (the known
share-capital-not-CET1 error), total net cash outflows 74,454, LCR 250%, NSFR 310% with its components
194,572 / 62,864, and the capital-conservation (2.50%) and countercyclical (2.00%) buffers.
NOT CONFIRMED: the leverage ratio of 8.30% previously carried here. The FY2023 report's own section 7.6
says 8.29%, computed there from Tier 1 GBP39,390,993 against total on- and off-balance-sheet footings of
GBP475,263,939; the FY2024 edition restates those footings to GBP474,761,920 and so prints 8.30%. The
FY2023 report's own Key Metrics table is a third value again, 6.00%, which is contradicted by its own
narrative on the very next page and is not reproducible from any pair of figures it discloses - the same
row in the FY2022, FY2024 and FY2025 editions always equals that edition's narrative leverage ratio
(4.38%, 8.02%, 9.11%), so the FY2023 6.00% is an error in the Bank's own table. See the Leverage Ratio
sheet, which carries all three on separate rows.</t>
        </is>
      </c>
    </row>
  </sheetData>
  <mergeCells count="3">
    <mergeCell ref="A8:F8"/>
    <mergeCell ref="A6:F6"/>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2026-10-10T15:08:28Z</dcterms:created>
  <dcterms:modified xmlns:dcterms="http://purl.org/dc/terms/" xmlns:xsi="http://www.w3.org/2001/XMLSchema-instance" xsi:type="dcterms:W3CDTF">2026-10-10T15:08:28Z</dcterms:modified>
</cp:coreProperties>
</file>