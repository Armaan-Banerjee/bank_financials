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G5" s="4" t="inlineStr">
        <is>
          <t>FY2020 (y/e 30 Jun 20)</t>
        </is>
      </c>
      <c r="H5" s="4" t="inlineStr">
        <is>
          <t>FY2019 (y/e 30 Jun 19)</t>
        </is>
      </c>
      <c r="I5" s="4" t="inlineStr">
        <is>
          <t>FY2018 (18-month transition period, 1 Jan 17 - 30 Jun 18)</t>
        </is>
      </c>
      <c r="J5" s="4" t="inlineStr">
        <is>
          <t>FY2017 (no standalone 12-month period - see note)</t>
        </is>
      </c>
      <c r="K5" s="4" t="inlineStr">
        <is>
          <t>FY2016 (y/e 31 Dec 16)</t>
        </is>
      </c>
      <c r="L5" s="4" t="inlineStr">
        <is>
          <t>FY2015 (y/e 31 Dec 15)</t>
        </is>
      </c>
      <c r="M5" s="4" t="inlineStr">
        <is>
          <t>FY2014 (y/e 31 Dec 14)</t>
        </is>
      </c>
      <c r="N5" s="4" t="inlineStr">
        <is>
          <t>FY2013 (y/e 31 Dec 13)</t>
        </is>
      </c>
      <c r="O5" s="4" t="inlineStr">
        <is>
          <t>FY2012 (y/e 31 Dec 12)</t>
        </is>
      </c>
      <c r="P5" s="4" t="inlineStr">
        <is>
          <t>FY2011 (y/e 31 Dec 11)</t>
        </is>
      </c>
      <c r="Q5" s="4" t="inlineStr">
        <is>
          <t>FY2010 (y/e 31 Dec 10)</t>
        </is>
      </c>
      <c r="R5" s="4" t="inlineStr">
        <is>
          <t>FY2009 (9-month stub, 1 Apr 09 - 31 Dec 09)</t>
        </is>
      </c>
      <c r="V5" t="inlineStr">
        <is>
          <t>FY2009 (9-month stub, 1 Apr 09 - 31 Dec 09)</t>
        </is>
      </c>
      <c r="W5" t="inlineStr">
        <is>
          <t>FY2010 (y/e 31 Dec 10)</t>
        </is>
      </c>
      <c r="X5" t="inlineStr">
        <is>
          <t>FY2011 (y/e 31 Dec 11)</t>
        </is>
      </c>
      <c r="Y5" t="inlineStr">
        <is>
          <t>FY2012 (y/e 31 Dec 12)</t>
        </is>
      </c>
      <c r="Z5" t="inlineStr">
        <is>
          <t>FY2013 (y/e 31 Dec 13)</t>
        </is>
      </c>
      <c r="AA5" t="inlineStr">
        <is>
          <t>FY2014 (y/e 31 Dec 14)</t>
        </is>
      </c>
      <c r="AB5" t="inlineStr">
        <is>
          <t>FY2015 (y/e 31 Dec 15)</t>
        </is>
      </c>
      <c r="AC5" t="inlineStr">
        <is>
          <t>FY2016 (y/e 31 Dec 16)</t>
        </is>
      </c>
      <c r="AD5" t="inlineStr">
        <is>
          <t>FY2017 (no standalone 12-month period - see note)</t>
        </is>
      </c>
      <c r="AE5" t="inlineStr">
        <is>
          <t>FY2018 (18-month transition period, 1 Jan 17 - 30 Jun 18)</t>
        </is>
      </c>
      <c r="AF5" t="inlineStr">
        <is>
          <t>FY2019 (y/e 30 Jun 19)</t>
        </is>
      </c>
      <c r="AG5" t="inlineStr">
        <is>
          <t>FY2020 (y/e 30 Jun 20)</t>
        </is>
      </c>
      <c r="AH5" t="inlineStr">
        <is>
          <t>FY2021 (y/e 30 Jun 21)</t>
        </is>
      </c>
      <c r="AI5" t="inlineStr">
        <is>
          <t>FY2022 (y/e 30 Jun 22)</t>
        </is>
      </c>
      <c r="AJ5" t="inlineStr">
        <is>
          <t>FY2023 (y/e 30 Jun 23)</t>
        </is>
      </c>
      <c r="AK5" t="inlineStr">
        <is>
          <t>FY2024 (y/e 30 Jun 24)</t>
        </is>
      </c>
      <c r="AL5" t="inlineStr">
        <is>
          <t>FY2025 (y/e 30 Jun 25)</t>
        </is>
      </c>
      <c r="CX5" t="inlineStr">
        <is>
          <t>FY2009 (9-month stub, 1 Apr 09 - 31 Dec 09)</t>
        </is>
      </c>
      <c r="CY5" t="inlineStr">
        <is>
          <t>FY2010 (y/e 31 Dec 10)</t>
        </is>
      </c>
      <c r="CZ5" t="inlineStr">
        <is>
          <t>FY2011 (y/e 31 Dec 11)</t>
        </is>
      </c>
      <c r="DA5" t="inlineStr">
        <is>
          <t>FY2012 (y/e 31 Dec 12)</t>
        </is>
      </c>
      <c r="DB5" t="inlineStr">
        <is>
          <t>FY2013 (y/e 31 Dec 13)</t>
        </is>
      </c>
      <c r="DC5" t="inlineStr">
        <is>
          <t>FY2014 (y/e 31 Dec 14)</t>
        </is>
      </c>
      <c r="DD5" t="inlineStr">
        <is>
          <t>FY2015 (y/e 31 Dec 15)</t>
        </is>
      </c>
      <c r="DE5" t="inlineStr">
        <is>
          <t>FY2016 (y/e 31 Dec 16)</t>
        </is>
      </c>
      <c r="DF5" t="inlineStr">
        <is>
          <t>FY2017 (no standalone 12-month period - see note)</t>
        </is>
      </c>
      <c r="DG5" t="inlineStr">
        <is>
          <t>FY2018 (18-month transition period, 1 Jan 17 - 30 Jun 18)</t>
        </is>
      </c>
      <c r="DH5" t="inlineStr">
        <is>
          <t>FY2019 (y/e 30 Jun 19)</t>
        </is>
      </c>
      <c r="DI5" t="inlineStr">
        <is>
          <t>FY2020 (y/e 30 Jun 20)</t>
        </is>
      </c>
      <c r="DJ5" t="inlineStr">
        <is>
          <t>FY2021 (y/e 30 Jun 21)</t>
        </is>
      </c>
      <c r="DK5" t="inlineStr">
        <is>
          <t>FY2022 (y/e 30 Jun 22)</t>
        </is>
      </c>
      <c r="DL5" t="inlineStr">
        <is>
          <t>FY2023 (y/e 30 Jun 23)</t>
        </is>
      </c>
      <c r="DM5" t="inlineStr">
        <is>
          <t>FY2024 (y/e 30 Jun 24)</t>
        </is>
      </c>
      <c r="DN5" t="inlineStr">
        <is>
          <t>FY2025 (y/e 30 Jun 25)</t>
        </is>
      </c>
    </row>
    <row r="6">
      <c r="A6" s="5" t="inlineStr">
        <is>
          <t>Total assets</t>
        </is>
      </c>
      <c r="B6" s="5" t="n">
        <v>20618.2</v>
      </c>
      <c r="C6" s="5" t="n">
        <v>20195.5</v>
      </c>
      <c r="D6" s="5" t="n">
        <v>19051.7</v>
      </c>
      <c r="E6" s="5" t="n">
        <v>17290.8</v>
      </c>
      <c r="F6" s="5" t="n">
        <v>15583</v>
      </c>
      <c r="G6" s="5" t="n">
        <v>15000.7</v>
      </c>
      <c r="H6" s="5" t="n">
        <v>12471.9</v>
      </c>
      <c r="I6" s="5" t="n">
        <v>10467.4</v>
      </c>
      <c r="J6" s="5" t="n"/>
      <c r="K6" s="5" t="n">
        <v>8396.5</v>
      </c>
      <c r="L6" s="5" t="n">
        <v>7021.4</v>
      </c>
      <c r="M6" s="5" t="n">
        <v>5583.2</v>
      </c>
      <c r="N6" s="5" t="n"/>
      <c r="O6" s="5" t="n"/>
      <c r="P6" s="5" t="n"/>
      <c r="Q6" s="5" t="n"/>
      <c r="R6" s="5" t="n"/>
      <c r="U6" t="inlineStr">
        <is>
          <t>Total assets</t>
        </is>
      </c>
      <c r="AA6" t="n">
        <v>5583.2</v>
      </c>
      <c r="AB6" t="n">
        <v>7021.4</v>
      </c>
      <c r="AC6" t="n">
        <v>8396.5</v>
      </c>
      <c r="AE6" t="n">
        <v>10467.4</v>
      </c>
      <c r="AF6" t="n">
        <v>12471.9</v>
      </c>
      <c r="AG6" t="n">
        <v>15000.7</v>
      </c>
      <c r="AH6" t="n">
        <v>15583</v>
      </c>
      <c r="AI6" t="n">
        <v>17290.8</v>
      </c>
      <c r="AJ6" t="n">
        <v>19051.7</v>
      </c>
      <c r="AK6" t="n">
        <v>20195.5</v>
      </c>
      <c r="AL6" t="n">
        <v>20618.2</v>
      </c>
      <c r="CW6" t="inlineStr">
        <is>
          <t>CET1 Ratio</t>
        </is>
      </c>
      <c r="DC6" t="n">
        <v>10.3</v>
      </c>
      <c r="DD6" t="n">
        <v>11.7</v>
      </c>
      <c r="DE6" t="n">
        <v>11.4</v>
      </c>
      <c r="DG6" t="n">
        <v>12.5</v>
      </c>
      <c r="DH6" t="n">
        <v>12.6</v>
      </c>
      <c r="DI6" t="n">
        <v>13.4</v>
      </c>
      <c r="DJ6" t="n">
        <v>15.9</v>
      </c>
      <c r="DK6" t="n">
        <v>17</v>
      </c>
      <c r="DL6" t="n">
        <v>18.5</v>
      </c>
      <c r="DM6" t="n">
        <v>19.2</v>
      </c>
      <c r="DN6" t="n">
        <v>18.4</v>
      </c>
    </row>
    <row r="7">
      <c r="A7" s="5" t="inlineStr">
        <is>
          <t>Loans and advances to customers</t>
        </is>
      </c>
      <c r="B7" s="5" t="n">
        <v>12523.4</v>
      </c>
      <c r="C7" s="5" t="n">
        <v>11416.3</v>
      </c>
      <c r="D7" s="5" t="n">
        <v>10998.9</v>
      </c>
      <c r="E7" s="5" t="n">
        <v>10777.3</v>
      </c>
      <c r="F7" s="5" t="n">
        <v>10393.6</v>
      </c>
      <c r="G7" s="5" t="n">
        <v>10602.2</v>
      </c>
      <c r="H7" s="5" t="n">
        <v>10230.3</v>
      </c>
      <c r="I7" s="5" t="n">
        <v>8990.5</v>
      </c>
      <c r="J7" s="5" t="n"/>
      <c r="K7" s="5" t="n">
        <v>7477.3</v>
      </c>
      <c r="L7" s="5" t="n">
        <v>6144.8</v>
      </c>
      <c r="M7" s="5" t="n">
        <v>4801.1</v>
      </c>
      <c r="N7" s="5" t="n"/>
      <c r="O7" s="5" t="n"/>
      <c r="P7" s="5" t="n"/>
      <c r="Q7" s="5" t="n"/>
      <c r="R7" s="5" t="n"/>
      <c r="U7" t="inlineStr">
        <is>
          <t>Loans and advances to customers</t>
        </is>
      </c>
      <c r="AA7" t="n">
        <v>4801.1</v>
      </c>
      <c r="AB7" t="n">
        <v>6144.8</v>
      </c>
      <c r="AC7" t="n">
        <v>7477.3</v>
      </c>
      <c r="AE7" t="n">
        <v>8990.5</v>
      </c>
      <c r="AF7" t="n">
        <v>10230.3</v>
      </c>
      <c r="AG7" t="n">
        <v>10602.2</v>
      </c>
      <c r="AH7" t="n">
        <v>10393.6</v>
      </c>
      <c r="AI7" t="n">
        <v>10777.3</v>
      </c>
      <c r="AJ7" t="n">
        <v>10998.9</v>
      </c>
      <c r="AK7" t="n">
        <v>11416.3</v>
      </c>
      <c r="AL7" t="n">
        <v>12523.4</v>
      </c>
      <c r="CW7" t="inlineStr">
        <is>
          <t>Tier 1 Ratio</t>
        </is>
      </c>
      <c r="DC7" t="n">
        <v>13.1</v>
      </c>
      <c r="DD7" t="n">
        <v>13.8</v>
      </c>
      <c r="DG7" t="n">
        <v>13.9</v>
      </c>
      <c r="DH7" t="n">
        <v>13.9</v>
      </c>
      <c r="DJ7" t="n">
        <v>16.9</v>
      </c>
      <c r="DK7" t="n">
        <v>18</v>
      </c>
      <c r="DL7" t="n">
        <v>19.4</v>
      </c>
      <c r="DM7" t="n">
        <v>20.1</v>
      </c>
      <c r="DN7" t="n">
        <v>19.1</v>
      </c>
    </row>
    <row r="8">
      <c r="A8" s="5" t="inlineStr">
        <is>
          <t>Customers' accounts</t>
        </is>
      </c>
      <c r="B8" s="5" t="n">
        <v>17047.6</v>
      </c>
      <c r="C8" s="5" t="n">
        <v>16306.7</v>
      </c>
      <c r="D8" s="5" t="n">
        <v>15033.3</v>
      </c>
      <c r="E8" s="5" t="n">
        <v>14105.4</v>
      </c>
      <c r="F8" s="5" t="n">
        <v>12427.3</v>
      </c>
      <c r="G8" s="5" t="n">
        <v>10886.4</v>
      </c>
      <c r="H8" s="5" t="n">
        <v>8971.799999999999</v>
      </c>
      <c r="I8" s="5" t="n">
        <v>7776.3</v>
      </c>
      <c r="J8" s="5" t="n"/>
      <c r="K8" s="5" t="n">
        <v>6673.7</v>
      </c>
      <c r="L8" s="5" t="n">
        <v>5742</v>
      </c>
      <c r="M8" s="5" t="n">
        <v>4459</v>
      </c>
      <c r="N8" s="5" t="n"/>
      <c r="O8" s="5" t="n"/>
      <c r="P8" s="5" t="n"/>
      <c r="Q8" s="5" t="n"/>
      <c r="R8" s="5" t="n"/>
      <c r="U8" t="inlineStr">
        <is>
          <t>Customers' accounts</t>
        </is>
      </c>
      <c r="AA8" t="n">
        <v>4459</v>
      </c>
      <c r="AB8" t="n">
        <v>5742</v>
      </c>
      <c r="AC8" t="n">
        <v>6673.7</v>
      </c>
      <c r="AE8" t="n">
        <v>7776.3</v>
      </c>
      <c r="AF8" t="n">
        <v>8971.799999999999</v>
      </c>
      <c r="AG8" t="n">
        <v>10886.4</v>
      </c>
      <c r="AH8" t="n">
        <v>12427.3</v>
      </c>
      <c r="AI8" t="n">
        <v>14105.4</v>
      </c>
      <c r="AJ8" t="n">
        <v>15033.3</v>
      </c>
      <c r="AK8" t="n">
        <v>16306.7</v>
      </c>
      <c r="AL8" t="n">
        <v>17047.6</v>
      </c>
      <c r="CW8" t="inlineStr">
        <is>
          <t>Total Capital Ratio</t>
        </is>
      </c>
      <c r="DC8" t="n">
        <v>14.7</v>
      </c>
      <c r="DD8" t="n">
        <v>15.1</v>
      </c>
      <c r="DG8" t="n">
        <v>15.3</v>
      </c>
      <c r="DH8" t="n">
        <v>16.4</v>
      </c>
      <c r="DJ8" t="n">
        <v>19.6</v>
      </c>
      <c r="DK8" t="n">
        <v>19.6</v>
      </c>
      <c r="DL8" t="n">
        <v>21</v>
      </c>
      <c r="DM8" t="n">
        <v>21.6</v>
      </c>
      <c r="DN8" t="n">
        <v>20.5</v>
      </c>
    </row>
    <row r="9">
      <c r="A9" s="5" t="inlineStr">
        <is>
          <t>Total equity</t>
        </is>
      </c>
      <c r="B9" s="5" t="n">
        <v>1514.6</v>
      </c>
      <c r="C9" s="5" t="n">
        <v>1371.8</v>
      </c>
      <c r="D9" s="5" t="n">
        <v>1219</v>
      </c>
      <c r="E9" s="5" t="n">
        <v>1098.6</v>
      </c>
      <c r="F9" s="5" t="n">
        <v>987.1</v>
      </c>
      <c r="G9" s="5" t="n">
        <v>896.2</v>
      </c>
      <c r="H9" s="5" t="n">
        <v>853.2</v>
      </c>
      <c r="I9" s="5" t="n">
        <v>766.7</v>
      </c>
      <c r="J9" s="5" t="n"/>
      <c r="K9" s="5" t="n">
        <v>619.4</v>
      </c>
      <c r="L9" s="5" t="n">
        <v>527.3</v>
      </c>
      <c r="M9" s="5" t="n">
        <v>374.8</v>
      </c>
      <c r="N9" s="5" t="n"/>
      <c r="O9" s="5" t="n"/>
      <c r="P9" s="5" t="n"/>
      <c r="Q9" s="5" t="n"/>
      <c r="R9" s="5" t="n"/>
      <c r="U9" t="inlineStr">
        <is>
          <t>Total equity</t>
        </is>
      </c>
      <c r="AA9" t="n">
        <v>374.8</v>
      </c>
      <c r="AB9" t="n">
        <v>527.3</v>
      </c>
      <c r="AC9" t="n">
        <v>619.4</v>
      </c>
      <c r="AE9" t="n">
        <v>766.7</v>
      </c>
      <c r="AF9" t="n">
        <v>853.2</v>
      </c>
      <c r="AG9" t="n">
        <v>896.2</v>
      </c>
      <c r="AH9" t="n">
        <v>987.1</v>
      </c>
      <c r="AI9" t="n">
        <v>1098.6</v>
      </c>
      <c r="AJ9" t="n">
        <v>1219</v>
      </c>
      <c r="AK9" t="n">
        <v>1371.8</v>
      </c>
      <c r="AL9" t="n">
        <v>1514.6</v>
      </c>
      <c r="CW9" t="inlineStr">
        <is>
          <t>Leverage Ratio</t>
        </is>
      </c>
      <c r="DC9" t="n">
        <v>6.3</v>
      </c>
      <c r="DD9" t="n">
        <v>7.2</v>
      </c>
      <c r="DG9" t="n">
        <v>7.1</v>
      </c>
      <c r="DH9" t="n">
        <v>6.8</v>
      </c>
      <c r="DK9" t="n">
        <v>8.1</v>
      </c>
      <c r="DL9" t="n">
        <v>9.300000000000001</v>
      </c>
      <c r="DM9" t="n">
        <v>9.6</v>
      </c>
      <c r="DN9" t="n">
        <v>8.9</v>
      </c>
    </row>
    <row r="10">
      <c r="CW10" t="inlineStr">
        <is>
          <t>LCR</t>
        </is>
      </c>
      <c r="DK10" t="n">
        <v>367.4</v>
      </c>
      <c r="DL10" t="n">
        <v>194.5</v>
      </c>
      <c r="DM10" t="n">
        <v>214.8</v>
      </c>
      <c r="DN10" t="n">
        <v>189.2</v>
      </c>
    </row>
    <row r="11">
      <c r="A11" s="3" t="inlineStr">
        <is>
          <t>Profit &amp; Loss Summary (£m)</t>
        </is>
      </c>
      <c r="CW11" t="inlineStr">
        <is>
          <t>NSFR</t>
        </is>
      </c>
      <c r="DK11" t="n">
        <v>128.7</v>
      </c>
      <c r="DL11" t="n">
        <v>127.4</v>
      </c>
      <c r="DM11" t="n">
        <v>137</v>
      </c>
      <c r="DN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G12" s="4" t="inlineStr">
        <is>
          <t>FY2020 (y/e 30 Jun 20)</t>
        </is>
      </c>
      <c r="H12" s="4" t="inlineStr">
        <is>
          <t>FY2019 (y/e 30 Jun 19)</t>
        </is>
      </c>
      <c r="I12" s="4" t="inlineStr">
        <is>
          <t>FY2018 (18-month transition period, 1 Jan 17 - 30 Jun 18)</t>
        </is>
      </c>
      <c r="J12" s="4" t="inlineStr">
        <is>
          <t>FY2017 (no standalone 12-month period - see note)</t>
        </is>
      </c>
      <c r="K12" s="4" t="inlineStr">
        <is>
          <t>FY2016 (y/e 31 Dec 16)</t>
        </is>
      </c>
      <c r="L12" s="4" t="inlineStr">
        <is>
          <t>FY2015 (y/e 31 Dec 15)</t>
        </is>
      </c>
      <c r="M12" s="4" t="inlineStr">
        <is>
          <t>FY2014 (y/e 31 Dec 14)</t>
        </is>
      </c>
      <c r="N12" s="4" t="inlineStr">
        <is>
          <t>FY2013 (y/e 31 Dec 13)</t>
        </is>
      </c>
      <c r="O12" s="4" t="inlineStr">
        <is>
          <t>FY2012 (y/e 31 Dec 12)</t>
        </is>
      </c>
      <c r="P12" s="4" t="inlineStr">
        <is>
          <t>FY2011 (y/e 31 Dec 11)</t>
        </is>
      </c>
      <c r="Q12" s="4" t="inlineStr">
        <is>
          <t>FY2010 (y/e 31 Dec 10)</t>
        </is>
      </c>
      <c r="R12" s="4" t="inlineStr">
        <is>
          <t>FY2009 (9-month stub, 1 Apr 09 - 31 Dec 09)</t>
        </is>
      </c>
      <c r="AP12" t="inlineStr">
        <is>
          <t>FY2009 (9-month stub, 1 Apr 09 - 31 Dec 09)</t>
        </is>
      </c>
      <c r="AQ12" t="inlineStr">
        <is>
          <t>FY2010 (y/e 31 Dec 10)</t>
        </is>
      </c>
      <c r="AR12" t="inlineStr">
        <is>
          <t>FY2011 (y/e 31 Dec 11)</t>
        </is>
      </c>
      <c r="AS12" t="inlineStr">
        <is>
          <t>FY2012 (y/e 31 Dec 12)</t>
        </is>
      </c>
      <c r="AT12" t="inlineStr">
        <is>
          <t>FY2013 (y/e 31 Dec 13)</t>
        </is>
      </c>
      <c r="AU12" t="inlineStr">
        <is>
          <t>FY2014 (y/e 31 Dec 14)</t>
        </is>
      </c>
      <c r="AV12" t="inlineStr">
        <is>
          <t>FY2015 (y/e 31 Dec 15)</t>
        </is>
      </c>
      <c r="AW12" t="inlineStr">
        <is>
          <t>FY2016 (y/e 31 Dec 16)</t>
        </is>
      </c>
      <c r="AX12" t="inlineStr">
        <is>
          <t>FY2017 (no standalone 12-month period - see note)</t>
        </is>
      </c>
      <c r="AY12" t="inlineStr">
        <is>
          <t>FY2018 (18-month transition period, 1 Jan 17 - 30 Jun 18)</t>
        </is>
      </c>
      <c r="AZ12" t="inlineStr">
        <is>
          <t>FY2019 (y/e 30 Jun 19)</t>
        </is>
      </c>
      <c r="BA12" t="inlineStr">
        <is>
          <t>FY2020 (y/e 30 Jun 20)</t>
        </is>
      </c>
      <c r="BB12" t="inlineStr">
        <is>
          <t>FY2021 (y/e 30 Jun 21)</t>
        </is>
      </c>
      <c r="BC12" t="inlineStr">
        <is>
          <t>FY2022 (y/e 30 Jun 22)</t>
        </is>
      </c>
      <c r="BD12" t="inlineStr">
        <is>
          <t>FY2023 (y/e 30 Jun 23)</t>
        </is>
      </c>
      <c r="BE12" t="inlineStr">
        <is>
          <t>FY2024 (y/e 30 Jun 24)</t>
        </is>
      </c>
      <c r="BF12" t="inlineStr">
        <is>
          <t>FY2025 (y/e 30 Jun 25)</t>
        </is>
      </c>
    </row>
    <row r="13">
      <c r="A13" s="5" t="inlineStr">
        <is>
          <t>Total operating income</t>
        </is>
      </c>
      <c r="B13" s="5" t="n">
        <v>473.4</v>
      </c>
      <c r="C13" s="5" t="n">
        <v>462.9</v>
      </c>
      <c r="D13" s="5" t="n">
        <v>476.2</v>
      </c>
      <c r="E13" s="5" t="n">
        <v>389.8</v>
      </c>
      <c r="F13" s="5" t="n">
        <v>323.4</v>
      </c>
      <c r="G13" s="5" t="n">
        <v>313.1</v>
      </c>
      <c r="H13" s="5" t="n">
        <v>331.8</v>
      </c>
      <c r="I13" s="5" t="n">
        <v>468.5</v>
      </c>
      <c r="J13" s="5" t="n"/>
      <c r="K13" s="5" t="n">
        <v>265.9</v>
      </c>
      <c r="L13" s="5" t="n">
        <v>221.6</v>
      </c>
      <c r="M13" s="5" t="n">
        <v>166.1</v>
      </c>
      <c r="N13" s="5" t="n"/>
      <c r="O13" s="5" t="n"/>
      <c r="P13" s="5" t="n"/>
      <c r="Q13" s="5" t="n"/>
      <c r="R13" s="5" t="n"/>
      <c r="AO13" t="inlineStr">
        <is>
          <t>Total operating income</t>
        </is>
      </c>
      <c r="AU13" t="n">
        <v>166.1</v>
      </c>
      <c r="AV13" t="n">
        <v>221.6</v>
      </c>
      <c r="AW13" t="n">
        <v>265.9</v>
      </c>
      <c r="AY13" t="n">
        <v>468.5</v>
      </c>
      <c r="AZ13" t="n">
        <v>331.8</v>
      </c>
      <c r="BA13" t="n">
        <v>313.1</v>
      </c>
      <c r="BB13" t="n">
        <v>323.4</v>
      </c>
      <c r="BC13" t="n">
        <v>389.8</v>
      </c>
      <c r="BD13" t="n">
        <v>476.2</v>
      </c>
      <c r="BE13" t="n">
        <v>462.9</v>
      </c>
      <c r="BF13" t="n">
        <v>473.4</v>
      </c>
    </row>
    <row r="14">
      <c r="A14" s="5" t="inlineStr">
        <is>
          <t>Administrative expenses</t>
        </is>
      </c>
      <c r="B14" s="5" t="n">
        <v>-266.8</v>
      </c>
      <c r="C14" s="5" t="n">
        <v>-263.8</v>
      </c>
      <c r="D14" s="5" t="n">
        <v>-253.5</v>
      </c>
      <c r="E14" s="5" t="n">
        <v>-224</v>
      </c>
      <c r="F14" s="5" t="n">
        <v>-173.7</v>
      </c>
      <c r="G14" s="5" t="n">
        <v>-148.7</v>
      </c>
      <c r="H14" s="5" t="n">
        <v>-169.4</v>
      </c>
      <c r="I14" s="5" t="n">
        <v>-227.8</v>
      </c>
      <c r="J14" s="5" t="n"/>
      <c r="K14" s="5" t="n">
        <v>-117.8</v>
      </c>
      <c r="L14" s="5" t="n">
        <v>-110.1</v>
      </c>
      <c r="M14" s="5" t="n">
        <v>-100.8</v>
      </c>
      <c r="N14" s="5" t="n"/>
      <c r="O14" s="5" t="n"/>
      <c r="P14" s="5" t="n"/>
      <c r="Q14" s="5" t="n"/>
      <c r="R14" s="5" t="n"/>
      <c r="AO14" t="inlineStr">
        <is>
          <t>Administrative expenses</t>
        </is>
      </c>
      <c r="AU14" t="n">
        <v>-100.8</v>
      </c>
      <c r="AV14" t="n">
        <v>-110.1</v>
      </c>
      <c r="AW14" t="n">
        <v>-117.8</v>
      </c>
      <c r="AY14" t="n">
        <v>-227.8</v>
      </c>
      <c r="AZ14" t="n">
        <v>-169.4</v>
      </c>
      <c r="BA14" t="n">
        <v>-148.7</v>
      </c>
      <c r="BB14" t="n">
        <v>-173.7</v>
      </c>
      <c r="BC14" t="n">
        <v>-224</v>
      </c>
      <c r="BD14" t="n">
        <v>-253.5</v>
      </c>
      <c r="BE14" t="n">
        <v>-263.8</v>
      </c>
      <c r="BF14" t="n">
        <v>-266.8</v>
      </c>
    </row>
    <row r="15">
      <c r="A15" s="5" t="inlineStr">
        <is>
          <t>Profit after taxation</t>
        </is>
      </c>
      <c r="B15" s="5" t="n">
        <v>163.2</v>
      </c>
      <c r="C15" s="5" t="n">
        <v>162.1</v>
      </c>
      <c r="D15" s="5" t="n">
        <v>129.2</v>
      </c>
      <c r="E15" s="5" t="n">
        <v>118</v>
      </c>
      <c r="F15" s="5" t="n">
        <v>89.3</v>
      </c>
      <c r="G15" s="5" t="n">
        <v>64.2</v>
      </c>
      <c r="H15" s="5" t="n">
        <v>102.2</v>
      </c>
      <c r="I15" s="5" t="n">
        <v>155.9</v>
      </c>
      <c r="J15" s="5" t="n"/>
      <c r="K15" s="5" t="n">
        <v>92.3</v>
      </c>
      <c r="L15" s="5" t="n">
        <v>80.09999999999999</v>
      </c>
      <c r="M15" s="5" t="n">
        <v>39.7</v>
      </c>
      <c r="N15" s="5" t="n"/>
      <c r="O15" s="5" t="n"/>
      <c r="P15" s="5" t="n"/>
      <c r="Q15" s="5" t="n"/>
      <c r="R15" s="5" t="n"/>
      <c r="AO15" t="inlineStr">
        <is>
          <t>Profit after taxation</t>
        </is>
      </c>
      <c r="AU15" t="n">
        <v>39.7</v>
      </c>
      <c r="AV15" t="n">
        <v>80.09999999999999</v>
      </c>
      <c r="AW15" t="n">
        <v>92.3</v>
      </c>
      <c r="AY15" t="n">
        <v>155.9</v>
      </c>
      <c r="AZ15" t="n">
        <v>102.2</v>
      </c>
      <c r="BA15" t="n">
        <v>64.2</v>
      </c>
      <c r="BB15" t="n">
        <v>89.3</v>
      </c>
      <c r="BC15" t="n">
        <v>118</v>
      </c>
      <c r="BD15" t="n">
        <v>129.2</v>
      </c>
      <c r="BE15" t="n">
        <v>162.1</v>
      </c>
      <c r="BF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G18" s="4" t="inlineStr">
        <is>
          <t>FY2020 (y/e 30 Jun 20)</t>
        </is>
      </c>
      <c r="H18" s="4" t="inlineStr">
        <is>
          <t>FY2019 (y/e 30 Jun 19)</t>
        </is>
      </c>
      <c r="I18" s="4" t="inlineStr">
        <is>
          <t>FY2018 (18-month transition period, 1 Jan 17 - 30 Jun 18)</t>
        </is>
      </c>
      <c r="J18" s="4" t="inlineStr">
        <is>
          <t>FY2017 (no standalone 12-month period - see note)</t>
        </is>
      </c>
      <c r="K18" s="4" t="inlineStr">
        <is>
          <t>FY2016 (y/e 31 Dec 16)</t>
        </is>
      </c>
      <c r="L18" s="4" t="inlineStr">
        <is>
          <t>FY2015 (y/e 31 Dec 15)</t>
        </is>
      </c>
      <c r="M18" s="4" t="inlineStr">
        <is>
          <t>FY2014 (y/e 31 Dec 14)</t>
        </is>
      </c>
      <c r="N18" s="4" t="inlineStr">
        <is>
          <t>FY2013 (y/e 31 Dec 13)</t>
        </is>
      </c>
      <c r="O18" s="4" t="inlineStr">
        <is>
          <t>FY2012 (y/e 31 Dec 12)</t>
        </is>
      </c>
      <c r="P18" s="4" t="inlineStr">
        <is>
          <t>FY2011 (y/e 31 Dec 11)</t>
        </is>
      </c>
      <c r="Q18" s="4" t="inlineStr">
        <is>
          <t>FY2010 (y/e 31 Dec 10)</t>
        </is>
      </c>
      <c r="R18" s="4" t="inlineStr">
        <is>
          <t>FY2009 (9-month stub, 1 Apr 09 - 31 Dec 09)</t>
        </is>
      </c>
      <c r="BJ18" t="inlineStr">
        <is>
          <t>FY2009 (9-month stub, 1 Apr 09 - 31 Dec 09)</t>
        </is>
      </c>
      <c r="BK18" t="inlineStr">
        <is>
          <t>FY2010 (y/e 31 Dec 10)</t>
        </is>
      </c>
      <c r="BL18" t="inlineStr">
        <is>
          <t>FY2011 (y/e 31 Dec 11)</t>
        </is>
      </c>
      <c r="BM18" t="inlineStr">
        <is>
          <t>FY2012 (y/e 31 Dec 12)</t>
        </is>
      </c>
      <c r="BN18" t="inlineStr">
        <is>
          <t>FY2013 (y/e 31 Dec 13)</t>
        </is>
      </c>
      <c r="BO18" t="inlineStr">
        <is>
          <t>FY2014 (y/e 31 Dec 14)</t>
        </is>
      </c>
      <c r="BP18" t="inlineStr">
        <is>
          <t>FY2015 (y/e 31 Dec 15)</t>
        </is>
      </c>
      <c r="BQ18" t="inlineStr">
        <is>
          <t>FY2016 (y/e 31 Dec 16)</t>
        </is>
      </c>
      <c r="BR18" t="inlineStr">
        <is>
          <t>FY2017 (no standalone 12-month period - see note)</t>
        </is>
      </c>
      <c r="BS18" t="inlineStr">
        <is>
          <t>FY2018 (18-month transition period, 1 Jan 17 - 30 Jun 18)</t>
        </is>
      </c>
      <c r="BT18" t="inlineStr">
        <is>
          <t>FY2019 (y/e 30 Jun 19)</t>
        </is>
      </c>
      <c r="BU18" t="inlineStr">
        <is>
          <t>FY2020 (y/e 30 Jun 20)</t>
        </is>
      </c>
      <c r="BV18" t="inlineStr">
        <is>
          <t>FY2021 (y/e 30 Jun 21)</t>
        </is>
      </c>
      <c r="BW18" t="inlineStr">
        <is>
          <t>FY2022 (y/e 30 Jun 22)</t>
        </is>
      </c>
      <c r="BX18" t="inlineStr">
        <is>
          <t>FY2023 (y/e 30 Jun 23)</t>
        </is>
      </c>
      <c r="BY18" t="inlineStr">
        <is>
          <t>FY2024 (y/e 30 Jun 24)</t>
        </is>
      </c>
      <c r="BZ18" t="inlineStr">
        <is>
          <t>FY2025 (y/e 30 Jun 25)</t>
        </is>
      </c>
    </row>
    <row r="19">
      <c r="A19" s="5" t="inlineStr">
        <is>
          <t>Opening equity</t>
        </is>
      </c>
      <c r="B19" s="5" t="n">
        <v>1371.8</v>
      </c>
      <c r="C19" s="5" t="n">
        <v>1219</v>
      </c>
      <c r="D19" s="5" t="n">
        <v>1098.5</v>
      </c>
      <c r="E19" s="5" t="n">
        <v>987.1</v>
      </c>
      <c r="F19" s="5" t="n">
        <v>896.2</v>
      </c>
      <c r="G19" s="5" t="n">
        <v>853.2</v>
      </c>
      <c r="H19" s="5" t="n">
        <v>766.7</v>
      </c>
      <c r="I19" s="5" t="n">
        <v>619.4</v>
      </c>
      <c r="J19" s="5" t="n"/>
      <c r="K19" s="5" t="n">
        <v>527.3</v>
      </c>
      <c r="L19" s="5" t="n">
        <v>374.8</v>
      </c>
      <c r="M19" s="5" t="n">
        <v>259.4</v>
      </c>
      <c r="N19" s="5" t="n"/>
      <c r="O19" s="5" t="n"/>
      <c r="P19" s="5" t="n"/>
      <c r="Q19" s="5" t="n"/>
      <c r="R19" s="5" t="n"/>
      <c r="BI19" t="inlineStr">
        <is>
          <t>Opening equity</t>
        </is>
      </c>
      <c r="BO19" t="n">
        <v>259.4</v>
      </c>
      <c r="BP19" t="n">
        <v>374.8</v>
      </c>
      <c r="BQ19" t="n">
        <v>527.3</v>
      </c>
      <c r="BS19" t="n">
        <v>619.4</v>
      </c>
      <c r="BT19" t="n">
        <v>766.7</v>
      </c>
      <c r="BU19" t="n">
        <v>853.2</v>
      </c>
      <c r="BV19" t="n">
        <v>896.2</v>
      </c>
      <c r="BW19" t="n">
        <v>987.1</v>
      </c>
      <c r="BX19" t="n">
        <v>1098.5</v>
      </c>
      <c r="BY19" t="n">
        <v>1219</v>
      </c>
      <c r="BZ19" t="n">
        <v>1371.8</v>
      </c>
    </row>
    <row r="20">
      <c r="A20" s="5" t="inlineStr">
        <is>
          <t>Total comprehensive income</t>
        </is>
      </c>
      <c r="B20" s="5" t="n">
        <v>158.9</v>
      </c>
      <c r="C20" s="5" t="n">
        <v>158.1</v>
      </c>
      <c r="D20" s="5" t="n">
        <v>125.7</v>
      </c>
      <c r="E20" s="5" t="n">
        <v>116.6</v>
      </c>
      <c r="F20" s="5" t="n">
        <v>96.09999999999999</v>
      </c>
      <c r="G20" s="5" t="n">
        <v>65.2</v>
      </c>
      <c r="H20" s="5" t="n">
        <v>101.5</v>
      </c>
      <c r="I20" s="5" t="n">
        <v>155.2</v>
      </c>
      <c r="J20" s="5" t="n"/>
      <c r="K20" s="5" t="n">
        <v>95.09999999999999</v>
      </c>
      <c r="L20" s="5" t="n">
        <v>77.7</v>
      </c>
      <c r="M20" s="5" t="n">
        <v>40.5</v>
      </c>
      <c r="N20" s="5" t="n"/>
      <c r="O20" s="5" t="n"/>
      <c r="P20" s="5" t="n"/>
      <c r="Q20" s="5" t="n"/>
      <c r="R20" s="5" t="n"/>
      <c r="BI20" t="inlineStr">
        <is>
          <t>Total comprehensive income</t>
        </is>
      </c>
      <c r="BO20" t="n">
        <v>40.5</v>
      </c>
      <c r="BP20" t="n">
        <v>77.7</v>
      </c>
      <c r="BQ20" t="n">
        <v>95.09999999999999</v>
      </c>
      <c r="BS20" t="n">
        <v>155.2</v>
      </c>
      <c r="BT20" t="n">
        <v>101.5</v>
      </c>
      <c r="BU20" t="n">
        <v>65.2</v>
      </c>
      <c r="BV20" t="n">
        <v>96.09999999999999</v>
      </c>
      <c r="BW20" t="n">
        <v>116.6</v>
      </c>
      <c r="BX20" t="n">
        <v>125.7</v>
      </c>
      <c r="BY20" t="n">
        <v>158.1</v>
      </c>
      <c r="BZ20" t="n">
        <v>158.9</v>
      </c>
    </row>
    <row r="21">
      <c r="A21" s="5" t="inlineStr">
        <is>
          <t>Other equity movements, net</t>
        </is>
      </c>
      <c r="B21" s="5" t="n">
        <v>-16.1</v>
      </c>
      <c r="C21" s="5" t="n">
        <v>-5.3</v>
      </c>
      <c r="D21" s="5" t="n">
        <v>-5.2</v>
      </c>
      <c r="E21" s="5" t="n">
        <v>-5.2</v>
      </c>
      <c r="F21" s="5" t="n">
        <v>-5.2</v>
      </c>
      <c r="G21" s="5" t="n">
        <v>-22.2</v>
      </c>
      <c r="H21" s="5" t="n">
        <v>-15</v>
      </c>
      <c r="I21" s="5" t="n">
        <v>-7.9</v>
      </c>
      <c r="J21" s="5" t="n"/>
      <c r="K21" s="5" t="n">
        <v>-3</v>
      </c>
      <c r="L21" s="5" t="n">
        <v>74.8</v>
      </c>
      <c r="M21" s="5" t="n">
        <v>74.90000000000001</v>
      </c>
      <c r="N21" s="5" t="n"/>
      <c r="O21" s="5" t="n"/>
      <c r="P21" s="5" t="n"/>
      <c r="Q21" s="5" t="n"/>
      <c r="R21" s="5" t="n"/>
      <c r="BI21" t="inlineStr">
        <is>
          <t>Other equity movements, net</t>
        </is>
      </c>
      <c r="BO21" t="n">
        <v>74.90000000000001</v>
      </c>
      <c r="BP21" t="n">
        <v>74.8</v>
      </c>
      <c r="BQ21" t="n">
        <v>-3</v>
      </c>
      <c r="BS21" t="n">
        <v>-7.9</v>
      </c>
      <c r="BT21" t="n">
        <v>-15</v>
      </c>
      <c r="BU21" t="n">
        <v>-22.2</v>
      </c>
      <c r="BV21" t="n">
        <v>-5.2</v>
      </c>
      <c r="BW21" t="n">
        <v>-5.2</v>
      </c>
      <c r="BX21" t="n">
        <v>-5.2</v>
      </c>
      <c r="BY21" t="n">
        <v>-5.3</v>
      </c>
      <c r="BZ21" t="n">
        <v>-16.1</v>
      </c>
    </row>
    <row r="22">
      <c r="A22" s="5" t="inlineStr">
        <is>
          <t>Closing equity</t>
        </is>
      </c>
      <c r="B22" s="5" t="n">
        <v>1514.6</v>
      </c>
      <c r="C22" s="5" t="n">
        <v>1371.8</v>
      </c>
      <c r="D22" s="5" t="n">
        <v>1219</v>
      </c>
      <c r="E22" s="5" t="n">
        <v>1098.6</v>
      </c>
      <c r="F22" s="5" t="n">
        <v>987.1</v>
      </c>
      <c r="G22" s="5" t="n">
        <v>896.2</v>
      </c>
      <c r="H22" s="5" t="n">
        <v>853.2</v>
      </c>
      <c r="I22" s="5" t="n">
        <v>766.7</v>
      </c>
      <c r="J22" s="5" t="n"/>
      <c r="K22" s="5" t="n">
        <v>619.4</v>
      </c>
      <c r="L22" s="5" t="n">
        <v>527.3</v>
      </c>
      <c r="M22" s="5" t="n">
        <v>374.8</v>
      </c>
      <c r="N22" s="5" t="n"/>
      <c r="O22" s="5" t="n"/>
      <c r="P22" s="5" t="n"/>
      <c r="Q22" s="5" t="n"/>
      <c r="R22" s="5" t="n"/>
      <c r="BI22" t="inlineStr">
        <is>
          <t>Closing equity</t>
        </is>
      </c>
      <c r="BO22" t="n">
        <v>374.8</v>
      </c>
      <c r="BP22" t="n">
        <v>527.3</v>
      </c>
      <c r="BQ22" t="n">
        <v>619.4</v>
      </c>
      <c r="BS22" t="n">
        <v>766.7</v>
      </c>
      <c r="BT22" t="n">
        <v>853.2</v>
      </c>
      <c r="BU22" t="n">
        <v>896.2</v>
      </c>
      <c r="BV22" t="n">
        <v>987.1</v>
      </c>
      <c r="BW22" t="n">
        <v>1098.6</v>
      </c>
      <c r="BX22" t="n">
        <v>1219</v>
      </c>
      <c r="BY22" t="n">
        <v>1371.8</v>
      </c>
      <c r="BZ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G25" s="4" t="inlineStr">
        <is>
          <t>FY2020 (y/e 30 Jun 20)</t>
        </is>
      </c>
      <c r="H25" s="4" t="inlineStr">
        <is>
          <t>FY2019 (y/e 30 Jun 19)</t>
        </is>
      </c>
      <c r="I25" s="4" t="inlineStr">
        <is>
          <t>FY2018 (18-month transition period, 1 Jan 17 - 30 Jun 18)</t>
        </is>
      </c>
      <c r="J25" s="4" t="inlineStr">
        <is>
          <t>FY2017 (no standalone 12-month period - see note)</t>
        </is>
      </c>
      <c r="K25" s="4" t="inlineStr">
        <is>
          <t>FY2016 (y/e 31 Dec 16)</t>
        </is>
      </c>
      <c r="L25" s="4" t="inlineStr">
        <is>
          <t>FY2015 (y/e 31 Dec 15)</t>
        </is>
      </c>
      <c r="M25" s="4" t="inlineStr">
        <is>
          <t>FY2014 (y/e 31 Dec 14)</t>
        </is>
      </c>
      <c r="N25" s="4" t="inlineStr">
        <is>
          <t>FY2013 (y/e 31 Dec 13)</t>
        </is>
      </c>
      <c r="O25" s="4" t="inlineStr">
        <is>
          <t>FY2012 (y/e 31 Dec 12)</t>
        </is>
      </c>
      <c r="P25" s="4" t="inlineStr">
        <is>
          <t>FY2011 (y/e 31 Dec 11)</t>
        </is>
      </c>
      <c r="Q25" s="4" t="inlineStr">
        <is>
          <t>FY2010 (y/e 31 Dec 10)</t>
        </is>
      </c>
      <c r="R25" s="4" t="inlineStr">
        <is>
          <t>FY2009 (9-month stub, 1 Apr 09 - 31 Dec 09)</t>
        </is>
      </c>
      <c r="CD25" t="inlineStr">
        <is>
          <t>FY2009 (9-month stub, 1 Apr 09 - 31 Dec 09)</t>
        </is>
      </c>
      <c r="CE25" t="inlineStr">
        <is>
          <t>FY2010 (y/e 31 Dec 10)</t>
        </is>
      </c>
      <c r="CF25" t="inlineStr">
        <is>
          <t>FY2011 (y/e 31 Dec 11)</t>
        </is>
      </c>
      <c r="CG25" t="inlineStr">
        <is>
          <t>FY2012 (y/e 31 Dec 12)</t>
        </is>
      </c>
      <c r="CH25" t="inlineStr">
        <is>
          <t>FY2013 (y/e 31 Dec 13)</t>
        </is>
      </c>
      <c r="CI25" t="inlineStr">
        <is>
          <t>FY2014 (y/e 31 Dec 14)</t>
        </is>
      </c>
      <c r="CJ25" t="inlineStr">
        <is>
          <t>FY2015 (y/e 31 Dec 15)</t>
        </is>
      </c>
      <c r="CK25" t="inlineStr">
        <is>
          <t>FY2016 (y/e 31 Dec 16)</t>
        </is>
      </c>
      <c r="CL25" t="inlineStr">
        <is>
          <t>FY2017 (no standalone 12-month period - see note)</t>
        </is>
      </c>
      <c r="CM25" t="inlineStr">
        <is>
          <t>FY2018 (18-month transition period, 1 Jan 17 - 30 Jun 18)</t>
        </is>
      </c>
      <c r="CN25" t="inlineStr">
        <is>
          <t>FY2019 (y/e 30 Jun 19)</t>
        </is>
      </c>
      <c r="CO25" t="inlineStr">
        <is>
          <t>FY2020 (y/e 30 Jun 20)</t>
        </is>
      </c>
      <c r="CP25" t="inlineStr">
        <is>
          <t>FY2021 (y/e 30 Jun 21)</t>
        </is>
      </c>
      <c r="CQ25" t="inlineStr">
        <is>
          <t>FY2022 (y/e 30 Jun 22)</t>
        </is>
      </c>
      <c r="CR25" t="inlineStr">
        <is>
          <t>FY2023 (y/e 30 Jun 23)</t>
        </is>
      </c>
      <c r="CS25" t="inlineStr">
        <is>
          <t>FY2024 (y/e 30 Jun 24)</t>
        </is>
      </c>
      <c r="CT25" t="inlineStr">
        <is>
          <t>FY2025 (y/e 30 Jun 25)</t>
        </is>
      </c>
    </row>
    <row r="26">
      <c r="A26" s="5" t="inlineStr">
        <is>
          <t>Net cash from operating activities</t>
        </is>
      </c>
      <c r="B26" s="5" t="n">
        <v>-725</v>
      </c>
      <c r="C26" s="5" t="n">
        <v>730.1</v>
      </c>
      <c r="D26" s="5" t="n">
        <v>1108.5</v>
      </c>
      <c r="E26" s="5" t="n">
        <v>1215.7</v>
      </c>
      <c r="F26" s="5" t="n">
        <v>884.1</v>
      </c>
      <c r="G26" s="5" t="n">
        <v>2030.7</v>
      </c>
      <c r="H26" s="5" t="n">
        <v>296.7</v>
      </c>
      <c r="I26" s="5" t="n">
        <v>632.6</v>
      </c>
      <c r="J26" s="5" t="n"/>
      <c r="K26" s="5" t="n">
        <v>0</v>
      </c>
      <c r="L26" s="5" t="n">
        <v>49.3</v>
      </c>
      <c r="M26" s="5" t="n">
        <v>-205.7</v>
      </c>
      <c r="N26" s="5" t="n"/>
      <c r="O26" s="5" t="n"/>
      <c r="P26" s="5" t="n"/>
      <c r="Q26" s="5" t="n"/>
      <c r="R26" s="5" t="n"/>
      <c r="CC26" t="inlineStr">
        <is>
          <t>Net cash from operating activities</t>
        </is>
      </c>
      <c r="CI26" t="n">
        <v>-205.7</v>
      </c>
      <c r="CJ26" t="n">
        <v>49.3</v>
      </c>
      <c r="CK26" t="n">
        <v>0</v>
      </c>
      <c r="CM26" t="n">
        <v>632.6</v>
      </c>
      <c r="CN26" t="n">
        <v>296.7</v>
      </c>
      <c r="CO26" t="n">
        <v>2030.7</v>
      </c>
      <c r="CP26" t="n">
        <v>884.1</v>
      </c>
      <c r="CQ26" t="n">
        <v>1215.7</v>
      </c>
      <c r="CR26" t="n">
        <v>1108.5</v>
      </c>
      <c r="CS26" t="n">
        <v>730.1</v>
      </c>
      <c r="CT26" t="n">
        <v>-725</v>
      </c>
    </row>
    <row r="27">
      <c r="A27" s="5" t="inlineStr">
        <is>
          <t>Net cash from investing activities</t>
        </is>
      </c>
      <c r="B27" s="5" t="n">
        <v>-259.5</v>
      </c>
      <c r="C27" s="5" t="n">
        <v>-401.6</v>
      </c>
      <c r="D27" s="5" t="n">
        <v>306.5</v>
      </c>
      <c r="E27" s="5" t="n">
        <v>-334.8</v>
      </c>
      <c r="F27" s="5" t="n">
        <v>-55</v>
      </c>
      <c r="G27" s="5" t="n">
        <v>-711.6</v>
      </c>
      <c r="H27" s="5" t="n">
        <v>-357.7</v>
      </c>
      <c r="I27" s="5" t="n">
        <v>-133</v>
      </c>
      <c r="J27" s="5" t="n"/>
      <c r="K27" s="5" t="n">
        <v>-47.3</v>
      </c>
      <c r="L27" s="5" t="n">
        <v>-98.90000000000001</v>
      </c>
      <c r="M27" s="5" t="n">
        <v>-164.4</v>
      </c>
      <c r="N27" s="5" t="n"/>
      <c r="O27" s="5" t="n"/>
      <c r="P27" s="5" t="n"/>
      <c r="Q27" s="5" t="n"/>
      <c r="R27" s="5" t="n"/>
      <c r="CC27" t="inlineStr">
        <is>
          <t>Net cash from investing activities</t>
        </is>
      </c>
      <c r="CI27" t="n">
        <v>-164.4</v>
      </c>
      <c r="CJ27" t="n">
        <v>-98.90000000000001</v>
      </c>
      <c r="CK27" t="n">
        <v>-47.3</v>
      </c>
      <c r="CM27" t="n">
        <v>-133</v>
      </c>
      <c r="CN27" t="n">
        <v>-357.7</v>
      </c>
      <c r="CO27" t="n">
        <v>-711.6</v>
      </c>
      <c r="CP27" t="n">
        <v>-55</v>
      </c>
      <c r="CQ27" t="n">
        <v>-334.8</v>
      </c>
      <c r="CR27" t="n">
        <v>306.5</v>
      </c>
      <c r="CS27" t="n">
        <v>-401.6</v>
      </c>
      <c r="CT27" t="n">
        <v>-259.5</v>
      </c>
    </row>
    <row r="28">
      <c r="A28" s="5" t="inlineStr">
        <is>
          <t>Net cash from financing activities</t>
        </is>
      </c>
      <c r="B28" s="5" t="n">
        <v>-18.4</v>
      </c>
      <c r="C28" s="5" t="n">
        <v>-8.300000000000001</v>
      </c>
      <c r="D28" s="5" t="n">
        <v>-331.2</v>
      </c>
      <c r="E28" s="5" t="n">
        <v>-739.7</v>
      </c>
      <c r="F28" s="5" t="n">
        <v>-697.7</v>
      </c>
      <c r="G28" s="5" t="n">
        <v>-1280.5</v>
      </c>
      <c r="H28" s="5" t="n">
        <v>25.7</v>
      </c>
      <c r="I28" s="5" t="n">
        <v>-88.40000000000001</v>
      </c>
      <c r="J28" s="5" t="n"/>
      <c r="K28" s="5" t="n">
        <v>45.3</v>
      </c>
      <c r="L28" s="5" t="n">
        <v>65.5</v>
      </c>
      <c r="M28" s="5" t="n">
        <v>69.09999999999999</v>
      </c>
      <c r="N28" s="5" t="n"/>
      <c r="O28" s="5" t="n"/>
      <c r="P28" s="5" t="n"/>
      <c r="Q28" s="5" t="n"/>
      <c r="R28" s="5" t="n"/>
      <c r="CC28" t="inlineStr">
        <is>
          <t>Net cash from financing activities</t>
        </is>
      </c>
      <c r="CI28" t="n">
        <v>69.09999999999999</v>
      </c>
      <c r="CJ28" t="n">
        <v>65.5</v>
      </c>
      <c r="CK28" t="n">
        <v>45.3</v>
      </c>
      <c r="CM28" t="n">
        <v>-88.40000000000001</v>
      </c>
      <c r="CN28" t="n">
        <v>25.7</v>
      </c>
      <c r="CO28" t="n">
        <v>-1280.5</v>
      </c>
      <c r="CP28" t="n">
        <v>-697.7</v>
      </c>
      <c r="CQ28" t="n">
        <v>-739.7</v>
      </c>
      <c r="CR28" t="n">
        <v>-331.2</v>
      </c>
      <c r="CS28" t="n">
        <v>-8.300000000000001</v>
      </c>
      <c r="CT28" t="n">
        <v>-18.4</v>
      </c>
    </row>
    <row r="29">
      <c r="A29" s="5" t="inlineStr">
        <is>
          <t>Cash and cash equivalents at end of year</t>
        </is>
      </c>
      <c r="B29" s="5" t="n">
        <v>1216.7</v>
      </c>
      <c r="C29" s="5" t="n">
        <v>2219.6</v>
      </c>
      <c r="D29" s="5" t="n">
        <v>1899.4</v>
      </c>
      <c r="E29" s="5" t="n">
        <v>815.2</v>
      </c>
      <c r="F29" s="5" t="n">
        <v>674</v>
      </c>
      <c r="G29" s="5" t="n">
        <v>542.6</v>
      </c>
      <c r="H29" s="5" t="n">
        <v>504</v>
      </c>
      <c r="I29" s="5" t="n">
        <v>539.3</v>
      </c>
      <c r="J29" s="5" t="n"/>
      <c r="K29" s="5" t="n">
        <v>128.1</v>
      </c>
      <c r="L29" s="5" t="n">
        <v>130.1</v>
      </c>
      <c r="M29" s="5" t="n">
        <v>114.2</v>
      </c>
      <c r="N29" s="5" t="n"/>
      <c r="O29" s="5" t="n"/>
      <c r="P29" s="5" t="n"/>
      <c r="Q29" s="5" t="n"/>
      <c r="R29" s="5" t="n"/>
      <c r="CC29" t="inlineStr">
        <is>
          <t>Cash and cash equivalents at end of year</t>
        </is>
      </c>
      <c r="CI29" t="n">
        <v>114.2</v>
      </c>
      <c r="CJ29" t="n">
        <v>130.1</v>
      </c>
      <c r="CK29" t="n">
        <v>128.1</v>
      </c>
      <c r="CM29" t="n">
        <v>539.3</v>
      </c>
      <c r="CN29" t="n">
        <v>504</v>
      </c>
      <c r="CO29" t="n">
        <v>542.6</v>
      </c>
      <c r="CP29" t="n">
        <v>674</v>
      </c>
      <c r="CQ29" t="n">
        <v>815.2</v>
      </c>
      <c r="CR29" t="n">
        <v>1899.4</v>
      </c>
      <c r="CS29" t="n">
        <v>2219.6</v>
      </c>
      <c r="CT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c r="G32" s="4" t="inlineStr">
        <is>
          <t>FY2020 (y/e 30 Jun 20)</t>
        </is>
      </c>
      <c r="H32" s="4" t="inlineStr">
        <is>
          <t>FY2019 (y/e 30 Jun 19)</t>
        </is>
      </c>
      <c r="I32" s="4" t="inlineStr">
        <is>
          <t>FY2018 (18-month transition period, 1 Jan 17 - 30 Jun 18)</t>
        </is>
      </c>
      <c r="J32" s="4" t="inlineStr">
        <is>
          <t>FY2017 (no standalone 12-month period - see note)</t>
        </is>
      </c>
      <c r="K32" s="4" t="inlineStr">
        <is>
          <t>FY2016 (y/e 31 Dec 16)</t>
        </is>
      </c>
      <c r="L32" s="4" t="inlineStr">
        <is>
          <t>FY2015 (y/e 31 Dec 15)</t>
        </is>
      </c>
      <c r="M32" s="4" t="inlineStr">
        <is>
          <t>FY2014 (y/e 31 Dec 14)</t>
        </is>
      </c>
      <c r="N32" s="4" t="inlineStr">
        <is>
          <t>FY2013 (y/e 31 Dec 13)</t>
        </is>
      </c>
      <c r="O32" s="4" t="inlineStr">
        <is>
          <t>FY2012 (y/e 31 Dec 12)</t>
        </is>
      </c>
      <c r="P32" s="4" t="inlineStr">
        <is>
          <t>FY2011 (y/e 31 Dec 11)</t>
        </is>
      </c>
      <c r="Q32" s="4" t="inlineStr">
        <is>
          <t>FY2010 (y/e 31 Dec 10)</t>
        </is>
      </c>
      <c r="R32" s="4" t="inlineStr">
        <is>
          <t>FY2009 (9-month stub, 1 Apr 09 - 31 Dec 09)</t>
        </is>
      </c>
    </row>
    <row r="33">
      <c r="A33" s="6" t="inlineStr">
        <is>
          <t>CET1 Ratio</t>
        </is>
      </c>
      <c r="B33" s="6" t="inlineStr">
        <is>
          <t>18.4%</t>
        </is>
      </c>
      <c r="C33" s="6" t="inlineStr">
        <is>
          <t>19.2%</t>
        </is>
      </c>
      <c r="D33" s="6" t="inlineStr">
        <is>
          <t>18.5%</t>
        </is>
      </c>
      <c r="E33" s="6" t="inlineStr">
        <is>
          <t>17.0%</t>
        </is>
      </c>
      <c r="F33" s="6" t="inlineStr">
        <is>
          <t>15.9%</t>
        </is>
      </c>
      <c r="G33" s="6" t="inlineStr">
        <is>
          <t>13.4%</t>
        </is>
      </c>
      <c r="H33" s="6" t="inlineStr">
        <is>
          <t>12.6%</t>
        </is>
      </c>
      <c r="I33" s="6" t="inlineStr">
        <is>
          <t>12.5%</t>
        </is>
      </c>
      <c r="J33" s="6" t="n"/>
      <c r="K33" s="6" t="inlineStr">
        <is>
          <t>11.4%</t>
        </is>
      </c>
      <c r="L33" s="6" t="inlineStr">
        <is>
          <t>11.7%</t>
        </is>
      </c>
      <c r="M33" s="6" t="inlineStr">
        <is>
          <t>10.3%</t>
        </is>
      </c>
      <c r="N33" s="6" t="n"/>
      <c r="O33" s="6" t="n"/>
      <c r="P33" s="6" t="n"/>
      <c r="Q33" s="6" t="n"/>
      <c r="R33" s="6" t="n"/>
    </row>
    <row r="34">
      <c r="A34" s="6" t="inlineStr">
        <is>
          <t>Tier 1 Ratio</t>
        </is>
      </c>
      <c r="B34" s="6" t="inlineStr">
        <is>
          <t>19.1%</t>
        </is>
      </c>
      <c r="C34" s="6" t="inlineStr">
        <is>
          <t>20.1%</t>
        </is>
      </c>
      <c r="D34" s="6" t="inlineStr">
        <is>
          <t>19.4%</t>
        </is>
      </c>
      <c r="E34" s="6" t="inlineStr">
        <is>
          <t>18.0%</t>
        </is>
      </c>
      <c r="F34" s="6" t="inlineStr">
        <is>
          <t>16.9%</t>
        </is>
      </c>
      <c r="G34" s="6" t="n"/>
      <c r="H34" s="6" t="inlineStr">
        <is>
          <t>13.9%</t>
        </is>
      </c>
      <c r="I34" s="6" t="inlineStr">
        <is>
          <t>13.9%</t>
        </is>
      </c>
      <c r="J34" s="6" t="n"/>
      <c r="K34" s="6" t="n"/>
      <c r="L34" s="6" t="inlineStr">
        <is>
          <t>13.8%</t>
        </is>
      </c>
      <c r="M34" s="6" t="inlineStr">
        <is>
          <t>13.1%</t>
        </is>
      </c>
      <c r="N34" s="6" t="n"/>
      <c r="O34" s="6" t="n"/>
      <c r="P34" s="6" t="n"/>
      <c r="Q34" s="6" t="n"/>
      <c r="R34" s="6" t="n"/>
    </row>
    <row r="35">
      <c r="A35" s="6" t="inlineStr">
        <is>
          <t>Total Capital Ratio</t>
        </is>
      </c>
      <c r="B35" s="6" t="inlineStr">
        <is>
          <t>20.5%</t>
        </is>
      </c>
      <c r="C35" s="6" t="inlineStr">
        <is>
          <t>21.6%</t>
        </is>
      </c>
      <c r="D35" s="6" t="inlineStr">
        <is>
          <t>21.0%</t>
        </is>
      </c>
      <c r="E35" s="6" t="inlineStr">
        <is>
          <t>19.6%</t>
        </is>
      </c>
      <c r="F35" s="6" t="inlineStr">
        <is>
          <t>19.6%</t>
        </is>
      </c>
      <c r="G35" s="6" t="n"/>
      <c r="H35" s="6" t="inlineStr">
        <is>
          <t>16.4%</t>
        </is>
      </c>
      <c r="I35" s="6" t="inlineStr">
        <is>
          <t>15.3%</t>
        </is>
      </c>
      <c r="J35" s="6" t="n"/>
      <c r="K35" s="6" t="n"/>
      <c r="L35" s="6" t="inlineStr">
        <is>
          <t>15.1%</t>
        </is>
      </c>
      <c r="M35" s="6" t="inlineStr">
        <is>
          <t>14.7%</t>
        </is>
      </c>
      <c r="N35" s="6" t="n"/>
      <c r="O35" s="6" t="n"/>
      <c r="P35" s="6" t="n"/>
      <c r="Q35" s="6" t="n"/>
      <c r="R35" s="6" t="n"/>
    </row>
    <row r="36">
      <c r="A36" s="6" t="inlineStr">
        <is>
          <t>Leverage Ratio</t>
        </is>
      </c>
      <c r="B36" s="6" t="inlineStr">
        <is>
          <t>8.9%</t>
        </is>
      </c>
      <c r="C36" s="6" t="inlineStr">
        <is>
          <t>9.6%</t>
        </is>
      </c>
      <c r="D36" s="6" t="inlineStr">
        <is>
          <t>9.3%</t>
        </is>
      </c>
      <c r="E36" s="6" t="inlineStr">
        <is>
          <t>8.1%</t>
        </is>
      </c>
      <c r="F36" s="6" t="n"/>
      <c r="G36" s="6" t="n"/>
      <c r="H36" s="6" t="inlineStr">
        <is>
          <t>6.8%</t>
        </is>
      </c>
      <c r="I36" s="6" t="inlineStr">
        <is>
          <t>7.1%</t>
        </is>
      </c>
      <c r="J36" s="6" t="n"/>
      <c r="K36" s="6" t="n"/>
      <c r="L36" s="6" t="inlineStr">
        <is>
          <t>7.2%</t>
        </is>
      </c>
      <c r="M36" s="6" t="inlineStr">
        <is>
          <t>6.3%</t>
        </is>
      </c>
      <c r="N36" s="6" t="n"/>
      <c r="O36" s="6" t="n"/>
      <c r="P36" s="6" t="n"/>
      <c r="Q36" s="6" t="n"/>
      <c r="R36" s="6" t="n"/>
    </row>
    <row r="37">
      <c r="A37" s="6" t="inlineStr">
        <is>
          <t>LCR</t>
        </is>
      </c>
      <c r="B37" s="6" t="inlineStr">
        <is>
          <t>189.2%</t>
        </is>
      </c>
      <c r="C37" s="6" t="inlineStr">
        <is>
          <t>214.8%</t>
        </is>
      </c>
      <c r="D37" s="6" t="inlineStr">
        <is>
          <t>194.5%</t>
        </is>
      </c>
      <c r="E37" s="6" t="inlineStr">
        <is>
          <t>367.4%</t>
        </is>
      </c>
      <c r="F37" s="6" t="n"/>
      <c r="G37" s="6" t="n"/>
      <c r="H37" s="6" t="n"/>
      <c r="I37" s="6" t="n"/>
      <c r="J37" s="6" t="n"/>
      <c r="K37" s="6" t="n"/>
      <c r="L37" s="6" t="n"/>
      <c r="M37" s="6" t="n"/>
      <c r="N37" s="6" t="n"/>
      <c r="O37" s="6" t="n"/>
      <c r="P37" s="6" t="n"/>
      <c r="Q37" s="6" t="n"/>
      <c r="R37" s="6" t="n"/>
    </row>
    <row r="38">
      <c r="A38" s="6" t="inlineStr">
        <is>
          <t>NSFR</t>
        </is>
      </c>
      <c r="B38" s="6" t="inlineStr">
        <is>
          <t>131.3%</t>
        </is>
      </c>
      <c r="C38" s="6" t="inlineStr">
        <is>
          <t>137.0%</t>
        </is>
      </c>
      <c r="D38" s="6" t="inlineStr">
        <is>
          <t>127.4%</t>
        </is>
      </c>
      <c r="E38" s="6" t="inlineStr">
        <is>
          <t>128.7%</t>
        </is>
      </c>
      <c r="F38" s="6" t="n"/>
      <c r="G38" s="6" t="n"/>
      <c r="H38" s="6" t="n"/>
      <c r="I38" s="6" t="n"/>
      <c r="J38" s="6" t="n"/>
      <c r="K38" s="6" t="n"/>
      <c r="L38" s="6" t="n"/>
      <c r="M38" s="6" t="n"/>
      <c r="N38" s="6" t="n"/>
      <c r="O38" s="6" t="n"/>
      <c r="P38" s="6" t="n"/>
      <c r="Q38" s="6" t="n"/>
      <c r="R38" s="6" t="n"/>
    </row>
    <row r="40" ht="45" customHeight="1">
      <c r="A40" s="7" t="inlineStr">
        <is>
          <t>Note: Figures are duplicated from the detail sheets for at-a-glance trend viewing; see each sheet's own source citation for the underlying document/page. Fiscal year ends 30 June (31 December for FY2014-FY2016; the Bank's accounting reference date changed following its 2018 acquisition by FirstRand). Balance Sheet, Profit &amp; Loss, Statement of Changes in Equity and Cash Flow figures are all Bank-solo; Pillar 3 ratios use the Bank-solo columns of Aldermore Group PLC's Pillar 3 disclosures (the only level at which Pillar 3 is published), except CET1 Ratio for FY2016/FY2020 which is sourced from the Bank's own Annual Report highlights (no standalone Pillar 3 document survives for those two years). 'Other equity movements, net' combines Additional Tier 1 capital issuance/redemption, AT1 coupon payments, and (FY2015/FY2014) the Aldermore Group PLC IPO share issue proceeds and warrant exercise. Leverage/LCR/NSFR have no FY2021 figure; LCR/NSFR have no figure at all before FY2022 (disclosure templates introduced from 1 Jan 2022) and Leverage Ratio has none for FY2016/FY2020 — see the Leverage Ratio/LCR/NSFR sheets for the disclosure-template basis note. FY2017 has no standalone 12-month period at all (see the Balance Sheet sheet's source note) and FY2018's column is an 18-month, not 12-month, period — both are omitted or flagged accordingly rather than estimated.</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1182.3</v>
      </c>
      <c r="C5" s="6" t="n">
        <v>2172.2</v>
      </c>
      <c r="D5" s="6" t="n">
        <v>1923.4</v>
      </c>
      <c r="E5" s="6" t="n">
        <v>838.3</v>
      </c>
      <c r="F5" s="6" t="n">
        <v>688.5</v>
      </c>
      <c r="G5" s="6" t="n">
        <v>542.4</v>
      </c>
      <c r="H5" s="6" t="n">
        <v>482.9</v>
      </c>
      <c r="I5" s="6" t="n">
        <v>508.8</v>
      </c>
      <c r="J5" s="6" t="n"/>
      <c r="K5" s="6" t="n">
        <v>116.4</v>
      </c>
      <c r="L5" s="6" t="n">
        <v>105.3</v>
      </c>
      <c r="M5" s="6" t="n">
        <v>79.59999999999999</v>
      </c>
      <c r="N5" s="6" t="n">
        <v>192.8</v>
      </c>
      <c r="O5" s="6" t="n">
        <v>1.7</v>
      </c>
      <c r="P5" s="6" t="n">
        <v>0.1</v>
      </c>
      <c r="Q5" s="6" t="n"/>
      <c r="R5" s="6" t="n"/>
    </row>
    <row r="6">
      <c r="A6" s="6" t="inlineStr">
        <is>
          <t>Loans and advances to banks</t>
        </is>
      </c>
      <c r="B6" s="6" t="n">
        <v>183.6</v>
      </c>
      <c r="C6" s="6" t="n">
        <v>170.1</v>
      </c>
      <c r="D6" s="6" t="n">
        <v>206.5</v>
      </c>
      <c r="E6" s="6" t="n">
        <v>132.8</v>
      </c>
      <c r="F6" s="6" t="n">
        <v>106.4</v>
      </c>
      <c r="G6" s="6" t="n">
        <v>177.5</v>
      </c>
      <c r="H6" s="6" t="n">
        <v>110.6</v>
      </c>
      <c r="I6" s="6" t="n">
        <v>80.40000000000001</v>
      </c>
      <c r="J6" s="6" t="n"/>
      <c r="K6" s="6" t="n">
        <v>43.4</v>
      </c>
      <c r="L6" s="6" t="n">
        <v>64</v>
      </c>
      <c r="M6" s="6" t="n">
        <v>86.8</v>
      </c>
      <c r="N6" s="6" t="n">
        <v>223.9</v>
      </c>
      <c r="O6" s="6" t="n">
        <v>83.09999999999999</v>
      </c>
      <c r="P6" s="6" t="n">
        <v>123.1</v>
      </c>
      <c r="Q6" s="6" t="n">
        <v>219.3</v>
      </c>
      <c r="R6" s="6" t="n">
        <v>83.5</v>
      </c>
    </row>
    <row r="7">
      <c r="A7" s="6" t="inlineStr">
        <is>
          <t>Amounts owed by / receivable from other Group undertakings</t>
        </is>
      </c>
      <c r="B7" s="6" t="n">
        <v>3779.6</v>
      </c>
      <c r="C7" s="6" t="n">
        <v>3720.5</v>
      </c>
      <c r="D7" s="6" t="n">
        <v>3525.1</v>
      </c>
      <c r="E7" s="6" t="n">
        <v>3072.5</v>
      </c>
      <c r="F7" s="6" t="n">
        <v>2303.8</v>
      </c>
      <c r="G7" s="6" t="n">
        <v>1615.2</v>
      </c>
      <c r="H7" s="6" t="n">
        <v>390.7</v>
      </c>
      <c r="I7" s="6" t="n">
        <v>20.7</v>
      </c>
      <c r="J7" s="6" t="n"/>
      <c r="K7" s="6" t="n">
        <v>1.5</v>
      </c>
      <c r="L7" s="6" t="n">
        <v>0.9</v>
      </c>
      <c r="M7" s="6" t="n">
        <v>1.6</v>
      </c>
      <c r="N7" s="6" t="n"/>
      <c r="O7" s="6" t="n"/>
      <c r="P7" s="6" t="n"/>
      <c r="Q7" s="6" t="n"/>
      <c r="R7" s="6" t="n"/>
    </row>
    <row r="8">
      <c r="A8" s="6" t="inlineStr">
        <is>
          <t>Debt securities</t>
        </is>
      </c>
      <c r="B8" s="6" t="n">
        <v>2704.2</v>
      </c>
      <c r="C8" s="6" t="n">
        <v>2436.5</v>
      </c>
      <c r="D8" s="6" t="n">
        <v>2048.9</v>
      </c>
      <c r="E8" s="6" t="n">
        <v>2339.2</v>
      </c>
      <c r="F8" s="6" t="n">
        <v>1999.5</v>
      </c>
      <c r="G8" s="6" t="n">
        <v>1941.1</v>
      </c>
      <c r="H8" s="6" t="n">
        <v>1207.8</v>
      </c>
      <c r="I8" s="6" t="n">
        <v>829.9</v>
      </c>
      <c r="J8" s="6" t="n"/>
      <c r="K8" s="6" t="n">
        <v>699.8</v>
      </c>
      <c r="L8" s="6" t="n">
        <v>640.1</v>
      </c>
      <c r="M8" s="6" t="n">
        <v>542.3</v>
      </c>
      <c r="N8" s="6" t="n">
        <v>339.4</v>
      </c>
      <c r="O8" s="6" t="n">
        <v>312.2</v>
      </c>
      <c r="P8" s="6" t="n">
        <v>228</v>
      </c>
      <c r="Q8" s="6" t="n">
        <v>35.8</v>
      </c>
      <c r="R8" s="6" t="n">
        <v>37.4</v>
      </c>
    </row>
    <row r="9">
      <c r="A9" s="6" t="inlineStr">
        <is>
          <t>Derivatives held for risk management</t>
        </is>
      </c>
      <c r="B9" s="6" t="n">
        <v>170.1</v>
      </c>
      <c r="C9" s="6" t="n">
        <v>344.2</v>
      </c>
      <c r="D9" s="6" t="n">
        <v>666.3</v>
      </c>
      <c r="E9" s="6" t="n">
        <v>259.9</v>
      </c>
      <c r="F9" s="6" t="n">
        <v>18.9</v>
      </c>
      <c r="G9" s="6" t="n">
        <v>9.1</v>
      </c>
      <c r="H9" s="6" t="n">
        <v>9.1</v>
      </c>
      <c r="I9" s="6" t="n">
        <v>24</v>
      </c>
      <c r="J9" s="6" t="n"/>
      <c r="K9" s="6" t="n">
        <v>17.5</v>
      </c>
      <c r="L9" s="6" t="n">
        <v>17.5</v>
      </c>
      <c r="M9" s="6" t="n">
        <v>25.6</v>
      </c>
      <c r="N9" s="6" t="n"/>
      <c r="O9" s="6" t="n"/>
      <c r="P9" s="6" t="n"/>
      <c r="Q9" s="6" t="n"/>
      <c r="R9" s="6" t="n"/>
    </row>
    <row r="10">
      <c r="A10" s="6" t="inlineStr">
        <is>
          <t>Loans and advances to customers</t>
        </is>
      </c>
      <c r="B10" s="6" t="n">
        <v>12523.4</v>
      </c>
      <c r="C10" s="6" t="n">
        <v>11416.3</v>
      </c>
      <c r="D10" s="6" t="n">
        <v>10998.9</v>
      </c>
      <c r="E10" s="6" t="n">
        <v>10777.3</v>
      </c>
      <c r="F10" s="6" t="n">
        <v>10393.6</v>
      </c>
      <c r="G10" s="6" t="n">
        <v>10602.2</v>
      </c>
      <c r="H10" s="6" t="n">
        <v>10230.3</v>
      </c>
      <c r="I10" s="6" t="n">
        <v>8990.5</v>
      </c>
      <c r="J10" s="6" t="n"/>
      <c r="K10" s="6" t="n">
        <v>7477.3</v>
      </c>
      <c r="L10" s="6" t="n">
        <v>6144.8</v>
      </c>
      <c r="M10" s="6" t="n">
        <v>4801.1</v>
      </c>
      <c r="N10" s="6" t="n">
        <v>3370.8</v>
      </c>
      <c r="O10" s="6" t="n">
        <v>2059.6</v>
      </c>
      <c r="P10" s="6" t="n">
        <v>1160.4</v>
      </c>
      <c r="Q10" s="6" t="n">
        <v>475</v>
      </c>
      <c r="R10" s="6" t="n">
        <v>160.6</v>
      </c>
    </row>
    <row r="11">
      <c r="A11" s="6" t="inlineStr">
        <is>
          <t>Fair value adjustment for portfolio hedged risk</t>
        </is>
      </c>
      <c r="B11" s="6" t="n">
        <v>18.8</v>
      </c>
      <c r="C11" s="6" t="n">
        <v>-129</v>
      </c>
      <c r="D11" s="6" t="n">
        <v>-400.1</v>
      </c>
      <c r="E11" s="6" t="n">
        <v>-180.2</v>
      </c>
      <c r="F11" s="6" t="n">
        <v>15.2</v>
      </c>
      <c r="G11" s="6" t="n">
        <v>55.8</v>
      </c>
      <c r="H11" s="6" t="n">
        <v>17.9</v>
      </c>
      <c r="I11" s="6" t="n">
        <v>-15.7</v>
      </c>
      <c r="J11" s="6" t="n"/>
      <c r="K11" s="6" t="n">
        <v>-3.5</v>
      </c>
      <c r="L11" s="6" t="n">
        <v>1.1</v>
      </c>
      <c r="M11" s="6" t="n"/>
      <c r="N11" s="6" t="n"/>
      <c r="O11" s="6" t="n"/>
      <c r="P11" s="6" t="n"/>
      <c r="Q11" s="6" t="n"/>
      <c r="R11" s="6" t="n"/>
    </row>
    <row r="12">
      <c r="A12" s="6" t="inlineStr">
        <is>
          <t>Non-current assets held for sale</t>
        </is>
      </c>
      <c r="B12" s="6" t="n"/>
      <c r="C12" s="6" t="n"/>
      <c r="D12" s="6" t="n">
        <v>32.8</v>
      </c>
      <c r="E12" s="6" t="n"/>
      <c r="F12" s="6" t="n"/>
      <c r="G12" s="6" t="n"/>
      <c r="H12" s="6" t="n"/>
      <c r="I12" s="6" t="n"/>
      <c r="J12" s="6" t="n"/>
      <c r="K12" s="6" t="n"/>
      <c r="L12" s="6" t="n"/>
      <c r="M12" s="6" t="n"/>
      <c r="N12" s="6" t="n"/>
      <c r="O12" s="6" t="n"/>
      <c r="P12" s="6" t="n"/>
      <c r="Q12" s="6" t="n"/>
      <c r="R12" s="6" t="n"/>
    </row>
    <row r="13">
      <c r="A13" s="6" t="inlineStr">
        <is>
          <t>Other assets</t>
        </is>
      </c>
      <c r="B13" s="6" t="n">
        <v>2.8</v>
      </c>
      <c r="C13" s="6" t="n">
        <v>9.199999999999999</v>
      </c>
      <c r="D13" s="6" t="n">
        <v>6</v>
      </c>
      <c r="E13" s="6" t="n">
        <v>1.6</v>
      </c>
      <c r="F13" s="6" t="n">
        <v>2</v>
      </c>
      <c r="G13" s="6" t="n">
        <v>0</v>
      </c>
      <c r="H13" s="6" t="n">
        <v>2.8</v>
      </c>
      <c r="I13" s="6" t="n">
        <v>6.4</v>
      </c>
      <c r="J13" s="6" t="n"/>
      <c r="K13" s="6" t="n">
        <v>3.7</v>
      </c>
      <c r="L13" s="6" t="n">
        <v>2.5</v>
      </c>
      <c r="M13" s="6" t="n">
        <v>4.7</v>
      </c>
      <c r="N13" s="6" t="n">
        <v>11.5</v>
      </c>
      <c r="O13" s="6" t="n">
        <v>22.4</v>
      </c>
      <c r="P13" s="6" t="n">
        <v>14.3</v>
      </c>
      <c r="Q13" s="6" t="n">
        <v>4.3</v>
      </c>
      <c r="R13" s="6" t="n">
        <v>1.2</v>
      </c>
    </row>
    <row r="14">
      <c r="A14" s="6" t="inlineStr">
        <is>
          <t>Prepayments and accrued income</t>
        </is>
      </c>
      <c r="B14" s="6" t="n">
        <v>23.6</v>
      </c>
      <c r="C14" s="6" t="n">
        <v>22.8</v>
      </c>
      <c r="D14" s="6" t="n">
        <v>17.8</v>
      </c>
      <c r="E14" s="6" t="n">
        <v>14.5</v>
      </c>
      <c r="F14" s="6" t="n">
        <v>13.3</v>
      </c>
      <c r="G14" s="6" t="n">
        <v>11.3</v>
      </c>
      <c r="H14" s="6" t="n">
        <v>5.3</v>
      </c>
      <c r="I14" s="6" t="n">
        <v>6.2</v>
      </c>
      <c r="J14" s="6" t="n"/>
      <c r="K14" s="6" t="n">
        <v>3.4</v>
      </c>
      <c r="L14" s="6" t="n">
        <v>5.1</v>
      </c>
      <c r="M14" s="6" t="n">
        <v>6.7</v>
      </c>
      <c r="N14" s="6" t="n">
        <v>32.5</v>
      </c>
      <c r="O14" s="6" t="n">
        <v>21.8</v>
      </c>
      <c r="P14" s="6" t="n">
        <v>12.9</v>
      </c>
      <c r="Q14" s="6" t="n">
        <v>5.8</v>
      </c>
      <c r="R14" s="6" t="n">
        <v>2.5</v>
      </c>
    </row>
    <row r="15">
      <c r="A15" s="6" t="inlineStr">
        <is>
          <t>Taxation asset</t>
        </is>
      </c>
      <c r="B15" s="6" t="n">
        <v>2.9</v>
      </c>
      <c r="C15" s="6" t="n">
        <v>2.2</v>
      </c>
      <c r="D15" s="6" t="n">
        <v>0</v>
      </c>
      <c r="E15" s="6" t="n">
        <v>7</v>
      </c>
      <c r="F15" s="6" t="n">
        <v>0.7</v>
      </c>
      <c r="G15" s="6" t="n">
        <v>11.8</v>
      </c>
      <c r="H15" s="6" t="n"/>
      <c r="I15" s="6" t="n"/>
      <c r="J15" s="6" t="n"/>
      <c r="K15" s="6" t="n"/>
      <c r="L15" s="6" t="n"/>
      <c r="M15" s="6" t="n"/>
      <c r="N15" s="6" t="n"/>
      <c r="O15" s="6" t="n"/>
      <c r="P15" s="6" t="n"/>
      <c r="Q15" s="6" t="n"/>
      <c r="R15" s="6" t="n"/>
    </row>
    <row r="16">
      <c r="A16" s="6" t="inlineStr">
        <is>
          <t>Deferred taxation</t>
        </is>
      </c>
      <c r="B16" s="6" t="n">
        <v>6.3</v>
      </c>
      <c r="C16" s="6" t="n">
        <v>5.7</v>
      </c>
      <c r="D16" s="6" t="n">
        <v>6.1</v>
      </c>
      <c r="E16" s="6" t="n">
        <v>2.6</v>
      </c>
      <c r="F16" s="6" t="n">
        <v>5.7</v>
      </c>
      <c r="G16" s="6" t="n">
        <v>3.4</v>
      </c>
      <c r="H16" s="6" t="n">
        <v>3.7</v>
      </c>
      <c r="I16" s="6" t="n">
        <v>2.3</v>
      </c>
      <c r="J16" s="6" t="n"/>
      <c r="K16" s="6" t="n">
        <v>12</v>
      </c>
      <c r="L16" s="6" t="n">
        <v>16.9</v>
      </c>
      <c r="M16" s="6" t="n">
        <v>6.4</v>
      </c>
      <c r="N16" s="6" t="n">
        <v>3.5</v>
      </c>
      <c r="O16" s="6" t="n"/>
      <c r="P16" s="6" t="n"/>
      <c r="Q16" s="6" t="n"/>
      <c r="R16" s="6" t="n"/>
    </row>
    <row r="17">
      <c r="A17" s="6" t="inlineStr">
        <is>
          <t>Property, plant and equipment</t>
        </is>
      </c>
      <c r="B17" s="6" t="n">
        <v>16.3</v>
      </c>
      <c r="C17" s="6" t="n">
        <v>20.5</v>
      </c>
      <c r="D17" s="6" t="n">
        <v>15.7</v>
      </c>
      <c r="E17" s="6" t="n">
        <v>20.8</v>
      </c>
      <c r="F17" s="6" t="n">
        <v>25.8</v>
      </c>
      <c r="G17" s="6" t="n">
        <v>23.2</v>
      </c>
      <c r="H17" s="6" t="n">
        <v>3.8</v>
      </c>
      <c r="I17" s="6" t="n">
        <v>3.7</v>
      </c>
      <c r="J17" s="6" t="n"/>
      <c r="K17" s="6" t="n">
        <v>3.1</v>
      </c>
      <c r="L17" s="6" t="n">
        <v>3.4</v>
      </c>
      <c r="M17" s="6" t="n">
        <v>2.8</v>
      </c>
      <c r="N17" s="6" t="n">
        <v>12.9</v>
      </c>
      <c r="O17" s="6" t="n">
        <v>11.4</v>
      </c>
      <c r="P17" s="6" t="n">
        <v>7.4</v>
      </c>
      <c r="Q17" s="6" t="n">
        <v>3.8</v>
      </c>
      <c r="R17" s="6" t="n">
        <v>2</v>
      </c>
    </row>
    <row r="18">
      <c r="A18" s="6" t="inlineStr">
        <is>
          <t>Intangible assets</t>
        </is>
      </c>
      <c r="B18" s="6" t="n">
        <v>4.3</v>
      </c>
      <c r="C18" s="6" t="n">
        <v>4.3</v>
      </c>
      <c r="D18" s="6" t="n">
        <v>4.3</v>
      </c>
      <c r="E18" s="6" t="n">
        <v>4.5</v>
      </c>
      <c r="F18" s="6" t="n">
        <v>9.6</v>
      </c>
      <c r="G18" s="6" t="n">
        <v>7.7</v>
      </c>
      <c r="H18" s="6" t="n">
        <v>7</v>
      </c>
      <c r="I18" s="6" t="n">
        <v>10.2</v>
      </c>
      <c r="J18" s="6" t="n"/>
      <c r="K18" s="6" t="n">
        <v>21.9</v>
      </c>
      <c r="L18" s="6" t="n">
        <v>19.8</v>
      </c>
      <c r="M18" s="6" t="n">
        <v>18.4</v>
      </c>
      <c r="N18" s="6" t="n">
        <v>7</v>
      </c>
      <c r="O18" s="6" t="n">
        <v>7.5</v>
      </c>
      <c r="P18" s="6" t="n">
        <v>7.9</v>
      </c>
      <c r="Q18" s="6" t="n">
        <v>8.4</v>
      </c>
      <c r="R18" s="6" t="n">
        <v>7.6</v>
      </c>
    </row>
    <row r="19">
      <c r="A19" s="5" t="inlineStr">
        <is>
          <t>Total assets</t>
        </is>
      </c>
      <c r="B19" s="5" t="n">
        <v>20618.2</v>
      </c>
      <c r="C19" s="5" t="n">
        <v>20195.5</v>
      </c>
      <c r="D19" s="5" t="n">
        <v>19051.7</v>
      </c>
      <c r="E19" s="5" t="n">
        <v>17290.8</v>
      </c>
      <c r="F19" s="5" t="n">
        <v>15583</v>
      </c>
      <c r="G19" s="5" t="n">
        <v>15000.7</v>
      </c>
      <c r="H19" s="5" t="n">
        <v>12471.9</v>
      </c>
      <c r="I19" s="5" t="n">
        <v>10467.4</v>
      </c>
      <c r="J19" s="5" t="n"/>
      <c r="K19" s="5" t="n">
        <v>8396.5</v>
      </c>
      <c r="L19" s="5" t="n">
        <v>7021.4</v>
      </c>
      <c r="M19" s="5" t="n">
        <v>5583.2</v>
      </c>
      <c r="N19" s="5" t="n">
        <v>4194.3</v>
      </c>
      <c r="O19" s="5" t="n">
        <v>2519.6</v>
      </c>
      <c r="P19" s="5" t="n">
        <v>1554.1</v>
      </c>
      <c r="Q19" s="5" t="n">
        <v>752.3</v>
      </c>
      <c r="R19" s="5" t="n">
        <v>294.7</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row>
    <row r="21">
      <c r="A21" s="6" t="inlineStr">
        <is>
          <t>Amounts due to banks</t>
        </is>
      </c>
      <c r="B21" s="6" t="n">
        <v>795.8</v>
      </c>
      <c r="C21" s="6" t="n">
        <v>1365.3</v>
      </c>
      <c r="D21" s="6" t="n">
        <v>1681.9</v>
      </c>
      <c r="E21" s="6" t="n">
        <v>1341.8</v>
      </c>
      <c r="F21" s="6" t="n">
        <v>1326.6</v>
      </c>
      <c r="G21" s="6" t="n">
        <v>2173.5</v>
      </c>
      <c r="H21" s="6" t="n">
        <v>1814.6</v>
      </c>
      <c r="I21" s="6" t="n">
        <v>1678.2</v>
      </c>
      <c r="J21" s="6" t="n"/>
      <c r="K21" s="6" t="n">
        <v>753.8</v>
      </c>
      <c r="L21" s="6" t="n">
        <v>405.1</v>
      </c>
      <c r="M21" s="6" t="n">
        <v>305.9</v>
      </c>
      <c r="N21" s="6" t="n">
        <v>384.3</v>
      </c>
      <c r="O21" s="6" t="n">
        <v>115.1</v>
      </c>
      <c r="P21" s="6" t="n"/>
      <c r="Q21" s="6" t="n"/>
      <c r="R21" s="6" t="n"/>
    </row>
    <row r="22">
      <c r="A22" s="6" t="inlineStr">
        <is>
          <t>Customers' accounts</t>
        </is>
      </c>
      <c r="B22" s="6" t="n">
        <v>17047.6</v>
      </c>
      <c r="C22" s="6" t="n">
        <v>16306.7</v>
      </c>
      <c r="D22" s="6" t="n">
        <v>15033.3</v>
      </c>
      <c r="E22" s="6" t="n">
        <v>14105.4</v>
      </c>
      <c r="F22" s="6" t="n">
        <v>12427.3</v>
      </c>
      <c r="G22" s="6" t="n">
        <v>10886.4</v>
      </c>
      <c r="H22" s="6" t="n">
        <v>8971.799999999999</v>
      </c>
      <c r="I22" s="6" t="n">
        <v>7776.3</v>
      </c>
      <c r="J22" s="6" t="n"/>
      <c r="K22" s="6" t="n">
        <v>6673.7</v>
      </c>
      <c r="L22" s="6" t="n">
        <v>5742</v>
      </c>
      <c r="M22" s="6" t="n">
        <v>4459</v>
      </c>
      <c r="N22" s="6" t="n">
        <v>3444.4</v>
      </c>
      <c r="O22" s="6" t="n">
        <v>2141.2</v>
      </c>
      <c r="P22" s="6" t="n">
        <v>1347.5</v>
      </c>
      <c r="Q22" s="6" t="n">
        <v>634.7</v>
      </c>
      <c r="R22" s="6" t="n">
        <v>229.6</v>
      </c>
    </row>
    <row r="23">
      <c r="A23" s="6" t="inlineStr">
        <is>
          <t>Derivatives held for risk management</t>
        </is>
      </c>
      <c r="B23" s="6" t="n">
        <v>94.09999999999999</v>
      </c>
      <c r="C23" s="6" t="n">
        <v>37.8</v>
      </c>
      <c r="D23" s="6" t="n">
        <v>62.5</v>
      </c>
      <c r="E23" s="6" t="n">
        <v>24.5</v>
      </c>
      <c r="F23" s="6" t="n">
        <v>40</v>
      </c>
      <c r="G23" s="6" t="n">
        <v>93.2</v>
      </c>
      <c r="H23" s="6" t="n">
        <v>36.6</v>
      </c>
      <c r="I23" s="6" t="n">
        <v>16.6</v>
      </c>
      <c r="J23" s="6" t="n"/>
      <c r="K23" s="6" t="n">
        <v>35.3</v>
      </c>
      <c r="L23" s="6" t="n">
        <v>35.2</v>
      </c>
      <c r="M23" s="6" t="n">
        <v>53.5</v>
      </c>
      <c r="N23" s="6" t="n"/>
      <c r="O23" s="6" t="n"/>
      <c r="P23" s="6" t="n"/>
      <c r="Q23" s="6" t="n"/>
      <c r="R23" s="6" t="n"/>
    </row>
    <row r="24">
      <c r="A24" s="6" t="inlineStr">
        <is>
          <t>Fair value adjustment for portfolio hedged risk</t>
        </is>
      </c>
      <c r="B24" s="6" t="n">
        <v>16.4</v>
      </c>
      <c r="C24" s="6" t="n">
        <v>6.5</v>
      </c>
      <c r="D24" s="6" t="n">
        <v>-21</v>
      </c>
      <c r="E24" s="6" t="n">
        <v>-12.7</v>
      </c>
      <c r="F24" s="6" t="n">
        <v>0</v>
      </c>
      <c r="G24" s="6" t="n">
        <v>2.1</v>
      </c>
      <c r="H24" s="6" t="n">
        <v>1</v>
      </c>
      <c r="I24" s="6" t="n">
        <v>0.2</v>
      </c>
      <c r="J24" s="6" t="n"/>
      <c r="K24" s="6" t="n">
        <v>-1.2</v>
      </c>
      <c r="L24" s="6" t="n">
        <v>-0.8</v>
      </c>
      <c r="M24" s="6" t="n">
        <v>1.5</v>
      </c>
      <c r="N24" s="6" t="n"/>
      <c r="O24" s="6" t="n"/>
      <c r="P24" s="6" t="n"/>
      <c r="Q24" s="6" t="n"/>
      <c r="R24" s="6" t="n"/>
    </row>
    <row r="25">
      <c r="A25" s="6" t="inlineStr">
        <is>
          <t>Amounts owed / payable to other Group undertakings</t>
        </is>
      </c>
      <c r="B25" s="6" t="n">
        <v>952.5</v>
      </c>
      <c r="C25" s="6" t="n">
        <v>909.2</v>
      </c>
      <c r="D25" s="6" t="n">
        <v>862</v>
      </c>
      <c r="E25" s="6" t="n">
        <v>531.5</v>
      </c>
      <c r="F25" s="6" t="n">
        <v>537.2</v>
      </c>
      <c r="G25" s="6" t="n">
        <v>714.4</v>
      </c>
      <c r="H25" s="6" t="n">
        <v>550.9</v>
      </c>
      <c r="I25" s="6" t="n">
        <v>104.5</v>
      </c>
      <c r="J25" s="6" t="n"/>
      <c r="K25" s="6" t="n">
        <v>153.1</v>
      </c>
      <c r="L25" s="6" t="n">
        <v>213.4</v>
      </c>
      <c r="M25" s="6" t="n">
        <v>302.7</v>
      </c>
      <c r="N25" s="6" t="n"/>
      <c r="O25" s="6" t="n"/>
      <c r="P25" s="6" t="n"/>
      <c r="Q25" s="6" t="n"/>
      <c r="R25" s="6" t="n"/>
    </row>
    <row r="26">
      <c r="A26" s="6" t="inlineStr">
        <is>
          <t>Other liabilities, accruals and deferred income</t>
        </is>
      </c>
      <c r="B26" s="6" t="n">
        <v>93.3</v>
      </c>
      <c r="C26" s="6" t="n">
        <v>96.7</v>
      </c>
      <c r="D26" s="6" t="n">
        <v>105.2</v>
      </c>
      <c r="E26" s="6" t="n">
        <v>97.90000000000001</v>
      </c>
      <c r="F26" s="6" t="n">
        <v>92.40000000000001</v>
      </c>
      <c r="G26" s="6" t="n">
        <v>71.2</v>
      </c>
      <c r="H26" s="6" t="n">
        <v>62</v>
      </c>
      <c r="I26" s="6" t="n">
        <v>57.6</v>
      </c>
      <c r="J26" s="6" t="n"/>
      <c r="K26" s="6" t="n">
        <v>51.9</v>
      </c>
      <c r="L26" s="6" t="n">
        <v>47.5</v>
      </c>
      <c r="M26" s="6" t="n">
        <v>38.8</v>
      </c>
      <c r="N26" s="6" t="n">
        <v>69.5</v>
      </c>
      <c r="O26" s="6" t="n">
        <v>56.3</v>
      </c>
      <c r="P26" s="6" t="n">
        <v>40.5</v>
      </c>
      <c r="Q26" s="6" t="n">
        <v>26</v>
      </c>
      <c r="R26" s="6" t="n">
        <v>12</v>
      </c>
    </row>
    <row r="27">
      <c r="A27" s="6" t="inlineStr">
        <is>
          <t>Taxation liability</t>
        </is>
      </c>
      <c r="B27" s="6" t="n"/>
      <c r="C27" s="6" t="n"/>
      <c r="D27" s="6" t="n">
        <v>6</v>
      </c>
      <c r="E27" s="6" t="n"/>
      <c r="F27" s="6" t="n"/>
      <c r="G27" s="6" t="n">
        <v>0</v>
      </c>
      <c r="H27" s="6" t="n">
        <v>18.3</v>
      </c>
      <c r="I27" s="6" t="n">
        <v>5.8</v>
      </c>
      <c r="J27" s="6" t="n"/>
      <c r="K27" s="6" t="n">
        <v>9.699999999999999</v>
      </c>
      <c r="L27" s="6" t="n">
        <v>12.5</v>
      </c>
      <c r="M27" s="6" t="n">
        <v>8.199999999999999</v>
      </c>
      <c r="N27" s="6" t="n">
        <v>2.5</v>
      </c>
      <c r="O27" s="6" t="n"/>
      <c r="P27" s="6" t="n"/>
      <c r="Q27" s="6" t="n"/>
      <c r="R27" s="6" t="n"/>
    </row>
    <row r="28">
      <c r="A28" s="6" t="inlineStr">
        <is>
          <t>Provisions</t>
        </is>
      </c>
      <c r="B28" s="6" t="n">
        <v>3</v>
      </c>
      <c r="C28" s="6" t="n">
        <v>0.6</v>
      </c>
      <c r="D28" s="6" t="n">
        <v>2.5</v>
      </c>
      <c r="E28" s="6" t="n">
        <v>3.8</v>
      </c>
      <c r="F28" s="6" t="n">
        <v>2.7</v>
      </c>
      <c r="G28" s="6" t="n">
        <v>2.5</v>
      </c>
      <c r="H28" s="6" t="n">
        <v>2.4</v>
      </c>
      <c r="I28" s="6" t="n">
        <v>1</v>
      </c>
      <c r="J28" s="6" t="n"/>
      <c r="K28" s="6" t="n">
        <v>0.8</v>
      </c>
      <c r="L28" s="6" t="n">
        <v>1.1</v>
      </c>
      <c r="M28" s="6" t="n">
        <v>2</v>
      </c>
      <c r="N28" s="6" t="n">
        <v>1.2</v>
      </c>
      <c r="O28" s="6" t="n">
        <v>0.6</v>
      </c>
      <c r="P28" s="6" t="n"/>
      <c r="Q28" s="6" t="n"/>
      <c r="R28" s="6" t="n"/>
    </row>
    <row r="29">
      <c r="A29" s="6" t="inlineStr">
        <is>
          <t>Debt securities in issue</t>
        </is>
      </c>
      <c r="B29" s="6" t="n"/>
      <c r="C29" s="6" t="n"/>
      <c r="D29" s="6" t="n">
        <v>-0.2</v>
      </c>
      <c r="E29" s="6" t="n">
        <v>-0.5</v>
      </c>
      <c r="F29" s="6" t="n"/>
      <c r="G29" s="6" t="n"/>
      <c r="H29" s="6" t="n"/>
      <c r="I29" s="6" t="n"/>
      <c r="J29" s="6" t="n"/>
      <c r="K29" s="6" t="n"/>
      <c r="L29" s="6" t="n"/>
      <c r="M29" s="6" t="n"/>
      <c r="N29" s="6" t="n"/>
      <c r="O29" s="6" t="n"/>
      <c r="P29" s="6" t="n"/>
      <c r="Q29" s="6" t="n"/>
      <c r="R29" s="6" t="n"/>
    </row>
    <row r="30">
      <c r="A30" s="6" t="inlineStr">
        <is>
          <t>Subordinated notes</t>
        </is>
      </c>
      <c r="B30" s="6" t="n">
        <v>100.9</v>
      </c>
      <c r="C30" s="6" t="n">
        <v>100.9</v>
      </c>
      <c r="D30" s="6" t="n">
        <v>100.5</v>
      </c>
      <c r="E30" s="6" t="n">
        <v>100.5</v>
      </c>
      <c r="F30" s="6" t="n">
        <v>161.4</v>
      </c>
      <c r="G30" s="6" t="n">
        <v>161.2</v>
      </c>
      <c r="H30" s="6" t="n">
        <v>161.1</v>
      </c>
      <c r="I30" s="6" t="n">
        <v>60.5</v>
      </c>
      <c r="J30" s="6" t="n"/>
      <c r="K30" s="6" t="n">
        <v>100</v>
      </c>
      <c r="L30" s="6" t="n">
        <v>38.1</v>
      </c>
      <c r="M30" s="6" t="n">
        <v>36.8</v>
      </c>
      <c r="N30" s="6" t="n">
        <v>35.1</v>
      </c>
      <c r="O30" s="6" t="n">
        <v>34.1</v>
      </c>
      <c r="P30" s="6" t="n"/>
      <c r="Q30" s="6" t="n"/>
      <c r="R30" s="6" t="n"/>
    </row>
    <row r="31">
      <c r="A31" s="5" t="inlineStr">
        <is>
          <t>Total liabilities</t>
        </is>
      </c>
      <c r="B31" s="5" t="n">
        <v>17050.8</v>
      </c>
      <c r="C31" s="5" t="n">
        <v>18823.7</v>
      </c>
      <c r="D31" s="5" t="n">
        <v>17832.7</v>
      </c>
      <c r="E31" s="5" t="n">
        <v>16192.2</v>
      </c>
      <c r="F31" s="5" t="n">
        <v>14595.9</v>
      </c>
      <c r="G31" s="5" t="n">
        <v>14104.5</v>
      </c>
      <c r="H31" s="5" t="n">
        <v>11618.7</v>
      </c>
      <c r="I31" s="5" t="n">
        <v>9700.700000000001</v>
      </c>
      <c r="J31" s="5" t="n"/>
      <c r="K31" s="5" t="n">
        <v>7777.1</v>
      </c>
      <c r="L31" s="5" t="n">
        <v>6494.1</v>
      </c>
      <c r="M31" s="5" t="n">
        <v>5208.4</v>
      </c>
      <c r="N31" s="5" t="n">
        <v>3936.9</v>
      </c>
      <c r="O31" s="5" t="n">
        <v>2347.3</v>
      </c>
      <c r="P31" s="5" t="n">
        <v>1388</v>
      </c>
      <c r="Q31" s="5" t="n">
        <v>660.7</v>
      </c>
      <c r="R31" s="5" t="n">
        <v>241.6</v>
      </c>
    </row>
    <row r="32">
      <c r="A32" s="5" t="inlineStr">
        <is>
          <t>Equity</t>
        </is>
      </c>
      <c r="B32" s="6" t="n"/>
      <c r="C32" s="6" t="n"/>
      <c r="D32" s="6" t="n"/>
      <c r="E32" s="6" t="n"/>
      <c r="F32" s="6" t="n"/>
      <c r="G32" s="6" t="n"/>
      <c r="H32" s="6" t="n"/>
      <c r="I32" s="6" t="n"/>
      <c r="J32" s="6" t="n"/>
      <c r="K32" s="6" t="n"/>
      <c r="L32" s="6" t="n"/>
      <c r="M32" s="6" t="n"/>
      <c r="N32" s="6" t="n"/>
      <c r="O32" s="6" t="n"/>
      <c r="P32" s="6" t="n"/>
      <c r="Q32" s="6" t="n"/>
      <c r="R32" s="6" t="n"/>
    </row>
    <row r="33">
      <c r="A33" s="6" t="inlineStr">
        <is>
          <t>Share capital</t>
        </is>
      </c>
      <c r="B33" s="6" t="n">
        <v>3.3</v>
      </c>
      <c r="C33" s="6" t="n">
        <v>3.3</v>
      </c>
      <c r="D33" s="6" t="n">
        <v>3.3</v>
      </c>
      <c r="E33" s="6" t="n">
        <v>3.3</v>
      </c>
      <c r="F33" s="6" t="n">
        <v>3.3</v>
      </c>
      <c r="G33" s="6" t="n">
        <v>3.3</v>
      </c>
      <c r="H33" s="6" t="n">
        <v>3.3</v>
      </c>
      <c r="I33" s="6" t="n">
        <v>3.3</v>
      </c>
      <c r="J33" s="6" t="n"/>
      <c r="K33" s="6" t="n">
        <v>3.3</v>
      </c>
      <c r="L33" s="6" t="n">
        <v>3.3</v>
      </c>
      <c r="M33" s="6" t="n">
        <v>3.3</v>
      </c>
      <c r="N33" s="6" t="n">
        <v>3.3</v>
      </c>
      <c r="O33" s="6" t="n">
        <v>3.3</v>
      </c>
      <c r="P33" s="6" t="n">
        <v>3.3</v>
      </c>
      <c r="Q33" s="6" t="n">
        <v>3.3</v>
      </c>
      <c r="R33" s="6" t="n">
        <v>3.3</v>
      </c>
    </row>
    <row r="34">
      <c r="A34" s="6" t="inlineStr">
        <is>
          <t>Share premium account</t>
        </is>
      </c>
      <c r="B34" s="6" t="n">
        <v>307.5</v>
      </c>
      <c r="C34" s="6" t="n">
        <v>307.5</v>
      </c>
      <c r="D34" s="6" t="n">
        <v>307.5</v>
      </c>
      <c r="E34" s="6" t="n">
        <v>307.5</v>
      </c>
      <c r="F34" s="6" t="n">
        <v>307.5</v>
      </c>
      <c r="G34" s="6" t="n">
        <v>307.5</v>
      </c>
      <c r="H34" s="6" t="n">
        <v>307.6</v>
      </c>
      <c r="I34" s="6" t="n">
        <v>307.6</v>
      </c>
      <c r="J34" s="6" t="n"/>
      <c r="K34" s="6" t="n">
        <v>307.6</v>
      </c>
      <c r="L34" s="6" t="n">
        <v>307.6</v>
      </c>
      <c r="M34" s="6" t="n">
        <v>233.4</v>
      </c>
      <c r="N34" s="6" t="n">
        <v>233.4</v>
      </c>
      <c r="O34" s="6" t="n">
        <v>171.8</v>
      </c>
      <c r="P34" s="6" t="n">
        <v>170.1</v>
      </c>
      <c r="Q34" s="6" t="n">
        <v>94.7</v>
      </c>
      <c r="R34" s="6" t="n">
        <v>47.4</v>
      </c>
    </row>
    <row r="35">
      <c r="A35" s="6" t="inlineStr">
        <is>
          <t>Additional Tier 1 capital</t>
        </is>
      </c>
      <c r="B35" s="6" t="n">
        <v>50</v>
      </c>
      <c r="C35" s="6" t="n">
        <v>61</v>
      </c>
      <c r="D35" s="6" t="n">
        <v>61</v>
      </c>
      <c r="E35" s="6" t="n">
        <v>61</v>
      </c>
      <c r="F35" s="6" t="n">
        <v>61</v>
      </c>
      <c r="G35" s="6" t="n">
        <v>61</v>
      </c>
      <c r="H35" s="6" t="n">
        <v>74.3</v>
      </c>
      <c r="I35" s="6" t="n">
        <v>74.3</v>
      </c>
      <c r="J35" s="6" t="n"/>
      <c r="K35" s="6" t="n">
        <v>74.3</v>
      </c>
      <c r="L35" s="6" t="n">
        <v>74.3</v>
      </c>
      <c r="M35" s="6" t="n">
        <v>74.3</v>
      </c>
      <c r="N35" s="6" t="n"/>
      <c r="O35" s="6" t="n"/>
      <c r="P35" s="6" t="n"/>
      <c r="Q35" s="6" t="n"/>
      <c r="R35" s="6" t="n"/>
    </row>
    <row r="36">
      <c r="A36" s="6" t="inlineStr">
        <is>
          <t>Capital contribution / redemption reserve</t>
        </is>
      </c>
      <c r="B36" s="6" t="n"/>
      <c r="C36" s="6" t="n"/>
      <c r="D36" s="6" t="n"/>
      <c r="E36" s="6" t="n"/>
      <c r="F36" s="6" t="n"/>
      <c r="G36" s="6" t="n"/>
      <c r="H36" s="6" t="n"/>
      <c r="I36" s="6" t="n">
        <v>0</v>
      </c>
      <c r="J36" s="6" t="n"/>
      <c r="K36" s="6" t="n">
        <v>6.9</v>
      </c>
      <c r="L36" s="6" t="n">
        <v>3.4</v>
      </c>
      <c r="M36" s="6" t="n">
        <v>3.1</v>
      </c>
      <c r="N36" s="6" t="n">
        <v>2.5</v>
      </c>
      <c r="O36" s="6" t="n">
        <v>2.3</v>
      </c>
      <c r="P36" s="6" t="n"/>
      <c r="Q36" s="6" t="n"/>
      <c r="R36" s="6" t="n"/>
    </row>
    <row r="37">
      <c r="A37" s="6" t="inlineStr">
        <is>
          <t>FVOCI / fair value through other comprehensive income reserve</t>
        </is>
      </c>
      <c r="B37" s="6" t="n">
        <v>-5</v>
      </c>
      <c r="C37" s="6" t="n">
        <v>-0.7</v>
      </c>
      <c r="D37" s="6" t="n">
        <v>3.3</v>
      </c>
      <c r="E37" s="6" t="n">
        <v>6.9</v>
      </c>
      <c r="F37" s="6" t="n">
        <v>8.300000000000001</v>
      </c>
      <c r="G37" s="6" t="n">
        <v>1.5</v>
      </c>
      <c r="H37" s="6" t="n">
        <v>0.4</v>
      </c>
      <c r="I37" s="6" t="n">
        <v>1.1</v>
      </c>
      <c r="J37" s="6" t="n"/>
      <c r="K37" s="6" t="n">
        <v>1.8</v>
      </c>
      <c r="L37" s="6" t="n">
        <v>-1</v>
      </c>
      <c r="M37" s="6" t="n">
        <v>1.4</v>
      </c>
      <c r="N37" s="6" t="n"/>
      <c r="O37" s="6" t="n"/>
      <c r="P37" s="6" t="n"/>
      <c r="Q37" s="6" t="n"/>
      <c r="R37" s="6" t="n"/>
    </row>
    <row r="38">
      <c r="A38" s="6" t="inlineStr">
        <is>
          <t>Retained earnings</t>
        </is>
      </c>
      <c r="B38" s="6" t="n">
        <v>1158.8</v>
      </c>
      <c r="C38" s="6" t="n">
        <v>1000.7</v>
      </c>
      <c r="D38" s="6" t="n">
        <v>843.9</v>
      </c>
      <c r="E38" s="6" t="n">
        <v>719.9</v>
      </c>
      <c r="F38" s="6" t="n">
        <v>607</v>
      </c>
      <c r="G38" s="6" t="n">
        <v>522.9</v>
      </c>
      <c r="H38" s="6" t="n">
        <v>467.6</v>
      </c>
      <c r="I38" s="6" t="n">
        <v>380.4</v>
      </c>
      <c r="J38" s="6" t="n"/>
      <c r="K38" s="6" t="n">
        <v>225.5</v>
      </c>
      <c r="L38" s="6" t="n">
        <v>139.7</v>
      </c>
      <c r="M38" s="6" t="n">
        <v>59.3</v>
      </c>
      <c r="N38" s="6" t="n">
        <v>18.2</v>
      </c>
      <c r="O38" s="6" t="n">
        <v>-5.2</v>
      </c>
      <c r="P38" s="6" t="n">
        <v>-7.3</v>
      </c>
      <c r="Q38" s="6" t="n">
        <v>-6.4</v>
      </c>
      <c r="R38" s="6" t="n">
        <v>2.4</v>
      </c>
    </row>
    <row r="39">
      <c r="A39" s="5" t="inlineStr">
        <is>
          <t>Total equity</t>
        </is>
      </c>
      <c r="B39" s="5" t="n">
        <v>1514.6</v>
      </c>
      <c r="C39" s="5" t="n">
        <v>1371.8</v>
      </c>
      <c r="D39" s="5" t="n">
        <v>1219</v>
      </c>
      <c r="E39" s="5" t="n">
        <v>1098.6</v>
      </c>
      <c r="F39" s="5" t="n">
        <v>987.1</v>
      </c>
      <c r="G39" s="5" t="n">
        <v>896.2</v>
      </c>
      <c r="H39" s="5" t="n">
        <v>853.2</v>
      </c>
      <c r="I39" s="5" t="n">
        <v>766.7</v>
      </c>
      <c r="J39" s="5" t="n"/>
      <c r="K39" s="5" t="n">
        <v>619.4</v>
      </c>
      <c r="L39" s="5" t="n">
        <v>527.3</v>
      </c>
      <c r="M39" s="5" t="n">
        <v>374.8</v>
      </c>
      <c r="N39" s="5" t="n">
        <v>257.4</v>
      </c>
      <c r="O39" s="5" t="n">
        <v>172.3</v>
      </c>
      <c r="P39" s="5" t="n">
        <v>166.1</v>
      </c>
      <c r="Q39" s="5" t="n">
        <v>91.59999999999999</v>
      </c>
      <c r="R39" s="5" t="n">
        <v>53.1</v>
      </c>
    </row>
    <row r="40">
      <c r="A40" s="5" t="inlineStr">
        <is>
          <t>Total liabilities and equity</t>
        </is>
      </c>
      <c r="B40" s="5" t="n">
        <v>20618.2</v>
      </c>
      <c r="C40" s="5" t="n">
        <v>20195.5</v>
      </c>
      <c r="D40" s="5" t="n">
        <v>19051.7</v>
      </c>
      <c r="E40" s="5" t="n">
        <v>17290.8</v>
      </c>
      <c r="F40" s="5" t="n">
        <v>15583</v>
      </c>
      <c r="G40" s="5" t="n">
        <v>15000.7</v>
      </c>
      <c r="H40" s="5" t="n">
        <v>12471.9</v>
      </c>
      <c r="I40" s="5" t="n">
        <v>10467.4</v>
      </c>
      <c r="J40" s="5" t="n"/>
      <c r="K40" s="5" t="n">
        <v>8396.5</v>
      </c>
      <c r="L40" s="5" t="n">
        <v>7021.4</v>
      </c>
      <c r="M40" s="5" t="n">
        <v>5583.2</v>
      </c>
      <c r="N40" s="5" t="n">
        <v>4194.3</v>
      </c>
      <c r="O40" s="5" t="n">
        <v>2519.6</v>
      </c>
      <c r="P40" s="5" t="n">
        <v>1554.1</v>
      </c>
      <c r="Q40" s="5" t="n">
        <v>752.3</v>
      </c>
      <c r="R40" s="5" t="n">
        <v>294.7</v>
      </c>
    </row>
    <row r="42" ht="150" customHeight="1">
      <c r="A42"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FY2020: Full accounts for the year ended 30 June 2020, filed 13 Nov 2020, p.61 — https://find-and-update.company-information.service.gov.uk/company/00947662/filing-history/MzI4MzMzMzM4OGFkaXF6a2N4/document?format=pdf&amp;download=0
FY2019 &amp; FY2018: Full accounts for the year ended 30 June 2019, filed 22 Nov 2019, p.49 — https://find-and-update.company-information.service.gov.uk/company/00947662/filing-history/MzI0OTY0MTQwMWFkaXF6a2N4/document?format=pdf&amp;download=0
FY2016 &amp; FY2015: Full accounts for the year ended 31 December 2016, filed 11 May 2017, p.27 — https://find-and-update.company-information.service.gov.uk/company/00947662/filing-history/MzE3NTQ0MTgwOGFkaXF6a2N4/document?format=pdf&amp;download=0
FY2014: Full accounts for the year ended 31 December 2015, filed 23 May 2016, p.77 (FY2014 comparative) — https://find-and-update.company-information.service.gov.uk/company/00947662/filing-history/MzE0OTEzMjU1M2FkaXF6a2N4/document?format=pdf&amp;download=0
FY2017 has no standalone 12-month Statement of financial position: following the Bank's 2018 acquisition by FirstRand, its accounting reference date changed from 31 December to 30 June, producing one 18-month set of accounts (1 Jan 2017 - 30 Jun 2018, shown here as FY2018) instead of a normal FY2017 + FY2018 pair — FY2017 is left blank rather than estimated. FY2018's column is therefore an 18-month, not 12-month, snapshot; as a balance-sheet (point-in-time) statement this affects comparability less than the flow statements, but the period length difference should still be borne in mind when reading growth between FY2016 and FY2018.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
HD-073 extension (FY2009-FY2013): sourced from the Bank's own full statutory accounts filed at Companies House, scanned/OCR'd (no text layer in the filed PDFs), prepared under old UK GAAP (not IFRS) as these pre-date the Bank's IFRS transition:
FY2013 &amp; FY2012: Full accounts made up to 31 December 2013, filed 28 Apr 2014, p.38 — https://find-and-update.company-information.service.gov.uk/company/00947662/filing-history/MzA5ODk0MTEwOGFkaXF6a2N4/document?format=pdf&amp;download=0
FY2011 &amp; FY2010: Full accounts made up to 31 December 2011, filed 13 Apr 2012, p.17 — https://find-and-update.company-information.service.gov.uk/company/00947662/filing-history/MzA1NTc4MjIyNmFkaXF6a2N4/document?format=pdf&amp;download=0
FY2010 &amp; FY2009: Full accounts made up to 31 December 2010, filed 27 Apr 2011, p.17 — https://find-and-update.company-information.service.gov.uk/company/00947662/filing-history/MzAzNjIxMDA5N2FkaXF6a2N4/document?format=pdf&amp;download=0
FY2009 is a 9-month stub period (1 Apr 2009 - 31 Dec 2009), not a full calendar year — see YEARS comment.
Line-item mapping notes for these 5 years: 'Other liabilities, accruals and deferred income' is the sum of the old accounts' two separate 'Other liabilities' and 'Accruals and deferred income' lines (£69.5m/£56.3m/£40.5m/£26.0m/£12.0m for FY2013-FY2009 respectively) rather than a single disclosed figure, to match this row's combined modern-era presentation; 'Property, plant and equipment' maps to the old accounts' 'Tangible fixed assets' line; 'Deferred taxation' and 'Taxation liability' map to the old accounts' 'Deferred tax asset' and 'Taxation' lines respectively. Lines with no entry for FY2009-FY2013 (Amounts owed by/to other Group undertakings, Derivatives held for risk management, Fair value adjustment for portfolio hedged risk, Additional Tier 1 capital, FVOCI reserve, Debt securities in issue) did not exist on the Bank's balance sheet at all in this pre-IFRS/pre-Tier-1-issuance era — genuinely absent, not omitted. 'Amounts due to banks', 'Provisions', and 'Subordinated notes' are similarly blank for FY2011-FY2009 specifically (first appear as separate lines from FY2012); 'Capital contribution / redemption reserve' is blank before FY2012, the year the Bank's ultimate parent first made a non-returnable capital contribution (see the Statement of Changes in Equity sheet's source note).</t>
        </is>
      </c>
    </row>
  </sheetData>
  <mergeCells count="1">
    <mergeCell ref="A42:R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1240.5</v>
      </c>
      <c r="C5" s="6" t="n">
        <v>1234.8</v>
      </c>
      <c r="D5" s="6" t="n">
        <v>878.7</v>
      </c>
      <c r="E5" s="6" t="n">
        <v>533.4</v>
      </c>
      <c r="F5" s="6" t="n">
        <v>473.6</v>
      </c>
      <c r="G5" s="6" t="n">
        <v>513.5</v>
      </c>
      <c r="H5" s="6" t="n">
        <v>470.1</v>
      </c>
      <c r="I5" s="6" t="n">
        <v>599.6</v>
      </c>
      <c r="J5" s="6" t="n"/>
      <c r="K5" s="6" t="n">
        <v>362.3</v>
      </c>
      <c r="L5" s="6" t="n">
        <v>306.2</v>
      </c>
      <c r="M5" s="6" t="n">
        <v>235.2</v>
      </c>
      <c r="N5" s="6" t="n">
        <v>156</v>
      </c>
      <c r="O5" s="6" t="n">
        <v>97.8</v>
      </c>
      <c r="P5" s="6" t="n">
        <v>53.2</v>
      </c>
      <c r="Q5" s="6" t="n">
        <v>24.5</v>
      </c>
      <c r="R5" s="6" t="n">
        <v>6</v>
      </c>
    </row>
    <row r="6">
      <c r="A6" s="6" t="inlineStr">
        <is>
          <t>Interest expense</t>
        </is>
      </c>
      <c r="B6" s="6" t="n">
        <v>-828</v>
      </c>
      <c r="C6" s="6" t="n">
        <v>-808.1</v>
      </c>
      <c r="D6" s="6" t="n">
        <v>-433.6</v>
      </c>
      <c r="E6" s="6" t="n">
        <v>-152.5</v>
      </c>
      <c r="F6" s="6" t="n">
        <v>-157.3</v>
      </c>
      <c r="G6" s="6" t="n">
        <v>-201.9</v>
      </c>
      <c r="H6" s="6" t="n">
        <v>-150.3</v>
      </c>
      <c r="I6" s="6" t="n">
        <v>-168.3</v>
      </c>
      <c r="J6" s="6" t="n"/>
      <c r="K6" s="6" t="n">
        <v>-119.4</v>
      </c>
      <c r="L6" s="6" t="n">
        <v>-103.6</v>
      </c>
      <c r="M6" s="6" t="n">
        <v>-92.7</v>
      </c>
      <c r="N6" s="6" t="n">
        <v>-75.90000000000001</v>
      </c>
      <c r="O6" s="6" t="n">
        <v>-63.3</v>
      </c>
      <c r="P6" s="6" t="n">
        <v>-30.6</v>
      </c>
      <c r="Q6" s="6" t="n">
        <v>-12.5</v>
      </c>
      <c r="R6" s="6" t="n">
        <v>-4.1</v>
      </c>
    </row>
    <row r="7">
      <c r="A7" s="5" t="inlineStr">
        <is>
          <t>Net interest income</t>
        </is>
      </c>
      <c r="B7" s="5" t="n">
        <v>412.5</v>
      </c>
      <c r="C7" s="5" t="n">
        <v>426.7</v>
      </c>
      <c r="D7" s="5" t="n">
        <v>445.1</v>
      </c>
      <c r="E7" s="5" t="n">
        <v>380.9</v>
      </c>
      <c r="F7" s="5" t="n">
        <v>316.3</v>
      </c>
      <c r="G7" s="5" t="n">
        <v>311.6</v>
      </c>
      <c r="H7" s="5" t="n">
        <v>319.8</v>
      </c>
      <c r="I7" s="5" t="n">
        <v>431.3</v>
      </c>
      <c r="J7" s="5" t="n"/>
      <c r="K7" s="5" t="n">
        <v>242.9</v>
      </c>
      <c r="L7" s="5" t="n">
        <v>202.6</v>
      </c>
      <c r="M7" s="5" t="n">
        <v>142.5</v>
      </c>
      <c r="N7" s="5" t="n">
        <v>80.09999999999999</v>
      </c>
      <c r="O7" s="5" t="n">
        <v>34.5</v>
      </c>
      <c r="P7" s="5" t="n">
        <v>22.6</v>
      </c>
      <c r="Q7" s="5" t="n">
        <v>12</v>
      </c>
      <c r="R7" s="5" t="n">
        <v>1.9</v>
      </c>
    </row>
    <row r="8">
      <c r="A8" s="6" t="inlineStr">
        <is>
          <t>Fee and commission income / fee and other income</t>
        </is>
      </c>
      <c r="B8" s="6" t="n">
        <v>7.5</v>
      </c>
      <c r="C8" s="6" t="n">
        <v>7.1</v>
      </c>
      <c r="D8" s="6" t="n">
        <v>11.7</v>
      </c>
      <c r="E8" s="6" t="n">
        <v>6</v>
      </c>
      <c r="F8" s="6" t="n">
        <v>6.5</v>
      </c>
      <c r="G8" s="6" t="n">
        <v>5.8</v>
      </c>
      <c r="H8" s="6" t="n">
        <v>7.4</v>
      </c>
      <c r="I8" s="6" t="n">
        <v>36.6</v>
      </c>
      <c r="J8" s="6" t="n"/>
      <c r="K8" s="6" t="n">
        <v>30</v>
      </c>
      <c r="L8" s="6" t="n">
        <v>25.2</v>
      </c>
      <c r="M8" s="6" t="n">
        <v>26.4</v>
      </c>
      <c r="N8" s="6" t="n">
        <v>31.1</v>
      </c>
      <c r="O8" s="6" t="n">
        <v>24.2</v>
      </c>
      <c r="P8" s="6" t="n">
        <v>18.2</v>
      </c>
      <c r="Q8" s="6" t="n">
        <v>12.3</v>
      </c>
      <c r="R8" s="6" t="n">
        <v>1.4</v>
      </c>
    </row>
    <row r="9">
      <c r="A9" s="6" t="inlineStr">
        <is>
          <t>Fee and commission expense</t>
        </is>
      </c>
      <c r="B9" s="6" t="n">
        <v>-9.5</v>
      </c>
      <c r="C9" s="6" t="n">
        <v>-8.199999999999999</v>
      </c>
      <c r="D9" s="6" t="n">
        <v>-5.4</v>
      </c>
      <c r="E9" s="6" t="n">
        <v>-5.6</v>
      </c>
      <c r="F9" s="6" t="n">
        <v>-5.4</v>
      </c>
      <c r="G9" s="6" t="n">
        <v>-5.8</v>
      </c>
      <c r="H9" s="6" t="n">
        <v>-5.4</v>
      </c>
      <c r="I9" s="6" t="n">
        <v>-11</v>
      </c>
      <c r="J9" s="6" t="n"/>
      <c r="K9" s="6" t="n">
        <v>-7.5</v>
      </c>
      <c r="L9" s="6" t="n">
        <v>-7</v>
      </c>
      <c r="M9" s="6" t="n">
        <v>-7.8</v>
      </c>
      <c r="N9" s="6" t="n">
        <v>-16.2</v>
      </c>
      <c r="O9" s="6" t="n">
        <v>-10.2</v>
      </c>
      <c r="P9" s="6" t="n">
        <v>-6.7</v>
      </c>
      <c r="Q9" s="6" t="n">
        <v>-3.1</v>
      </c>
      <c r="R9" s="6" t="n">
        <v>-0.2</v>
      </c>
    </row>
    <row r="10">
      <c r="A10" s="6" t="inlineStr">
        <is>
          <t>Net gains/(losses) from derivatives and other financial instruments at fair value through profit or loss</t>
        </is>
      </c>
      <c r="B10" s="6" t="n">
        <v>12.6</v>
      </c>
      <c r="C10" s="6" t="n">
        <v>-3</v>
      </c>
      <c r="D10" s="6" t="n">
        <v>12.6</v>
      </c>
      <c r="E10" s="6" t="n">
        <v>-5.3</v>
      </c>
      <c r="F10" s="6" t="n">
        <v>-3.1</v>
      </c>
      <c r="G10" s="6" t="n">
        <v>-5.2</v>
      </c>
      <c r="H10" s="6" t="n">
        <v>3.2</v>
      </c>
      <c r="I10" s="6" t="n">
        <v>1.2</v>
      </c>
      <c r="J10" s="6" t="n"/>
      <c r="K10" s="6" t="n">
        <v>-9.699999999999999</v>
      </c>
      <c r="L10" s="6" t="n">
        <v>-9.1</v>
      </c>
      <c r="M10" s="6" t="n">
        <v>-5.5</v>
      </c>
      <c r="N10" s="6" t="n"/>
      <c r="O10" s="6" t="n"/>
      <c r="P10" s="6" t="n"/>
      <c r="Q10" s="6" t="n"/>
      <c r="R10" s="6" t="n"/>
    </row>
    <row r="11">
      <c r="A11" s="6" t="inlineStr">
        <is>
          <t>Net gains on disposal of financial assets at fair value through other comprehensive income</t>
        </is>
      </c>
      <c r="B11" s="6" t="n">
        <v>1.1</v>
      </c>
      <c r="C11" s="6" t="n">
        <v>2</v>
      </c>
      <c r="D11" s="6" t="n">
        <v>2.1</v>
      </c>
      <c r="E11" s="6" t="n">
        <v>0.2</v>
      </c>
      <c r="F11" s="6" t="n">
        <v>0.7</v>
      </c>
      <c r="G11" s="6" t="n">
        <v>-0.1</v>
      </c>
      <c r="H11" s="6" t="n">
        <v>0.2</v>
      </c>
      <c r="I11" s="6" t="n">
        <v>1.2</v>
      </c>
      <c r="J11" s="6" t="n"/>
      <c r="K11" s="6" t="n">
        <v>3.8</v>
      </c>
      <c r="L11" s="6" t="n">
        <v>2.3</v>
      </c>
      <c r="M11" s="6" t="n">
        <v>2.9</v>
      </c>
      <c r="N11" s="6" t="n"/>
      <c r="O11" s="6" t="n"/>
      <c r="P11" s="6" t="n"/>
      <c r="Q11" s="6" t="n"/>
      <c r="R11" s="6" t="n"/>
    </row>
    <row r="12">
      <c r="A12" s="6" t="inlineStr">
        <is>
          <t>Net gains on financial assets at amortised cost</t>
        </is>
      </c>
      <c r="B12" s="6" t="n"/>
      <c r="C12" s="6" t="n">
        <v>0.2</v>
      </c>
      <c r="D12" s="6" t="n"/>
      <c r="E12" s="6" t="n"/>
      <c r="F12" s="6" t="n"/>
      <c r="G12" s="6" t="n"/>
      <c r="H12" s="6" t="n"/>
      <c r="I12" s="6" t="n"/>
      <c r="J12" s="6" t="n"/>
      <c r="K12" s="6" t="n"/>
      <c r="L12" s="6" t="n"/>
      <c r="M12" s="6" t="n"/>
      <c r="N12" s="6" t="n"/>
      <c r="O12" s="6" t="n"/>
      <c r="P12" s="6" t="n"/>
      <c r="Q12" s="6" t="n"/>
      <c r="R12" s="6" t="n"/>
    </row>
    <row r="13">
      <c r="A13" s="6" t="inlineStr">
        <is>
          <t>Other operating income</t>
        </is>
      </c>
      <c r="B13" s="6" t="n">
        <v>49.2</v>
      </c>
      <c r="C13" s="6" t="n">
        <v>38.1</v>
      </c>
      <c r="D13" s="6" t="n">
        <v>10.1</v>
      </c>
      <c r="E13" s="6" t="n">
        <v>13.6</v>
      </c>
      <c r="F13" s="6" t="n">
        <v>8.4</v>
      </c>
      <c r="G13" s="6" t="n">
        <v>6.8</v>
      </c>
      <c r="H13" s="6" t="n">
        <v>6.6</v>
      </c>
      <c r="I13" s="6" t="n">
        <v>9.199999999999999</v>
      </c>
      <c r="J13" s="6" t="n"/>
      <c r="K13" s="6" t="n">
        <v>6.4</v>
      </c>
      <c r="L13" s="6" t="n">
        <v>7.6</v>
      </c>
      <c r="M13" s="6" t="n">
        <v>7.6</v>
      </c>
      <c r="N13" s="6" t="n">
        <v>8.800000000000001</v>
      </c>
      <c r="O13" s="6" t="n">
        <v>10.4</v>
      </c>
      <c r="P13" s="6" t="n">
        <v>8.5</v>
      </c>
      <c r="Q13" s="6" t="n">
        <v>7.1</v>
      </c>
      <c r="R13" s="6" t="n">
        <v>0.9</v>
      </c>
    </row>
    <row r="14">
      <c r="A14" s="5" t="inlineStr">
        <is>
          <t>Total operating income</t>
        </is>
      </c>
      <c r="B14" s="5" t="n">
        <v>473.4</v>
      </c>
      <c r="C14" s="5" t="n">
        <v>462.9</v>
      </c>
      <c r="D14" s="5" t="n">
        <v>476.2</v>
      </c>
      <c r="E14" s="5" t="n">
        <v>389.8</v>
      </c>
      <c r="F14" s="5" t="n">
        <v>323.4</v>
      </c>
      <c r="G14" s="5" t="n">
        <v>313.1</v>
      </c>
      <c r="H14" s="5" t="n">
        <v>331.8</v>
      </c>
      <c r="I14" s="5" t="n">
        <v>468.5</v>
      </c>
      <c r="J14" s="5" t="n"/>
      <c r="K14" s="5" t="n">
        <v>265.9</v>
      </c>
      <c r="L14" s="5" t="n">
        <v>221.6</v>
      </c>
      <c r="M14" s="5" t="n">
        <v>166.1</v>
      </c>
      <c r="N14" s="5" t="n">
        <v>103.8</v>
      </c>
      <c r="O14" s="5" t="n">
        <v>58.8</v>
      </c>
      <c r="P14" s="5" t="n">
        <v>42.6</v>
      </c>
      <c r="Q14" s="5" t="n">
        <v>28.2</v>
      </c>
      <c r="R14" s="5" t="n">
        <v>4.1</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Provisions</t>
        </is>
      </c>
      <c r="B16" s="6" t="n">
        <v>-3</v>
      </c>
      <c r="C16" s="6" t="n">
        <v>1.2</v>
      </c>
      <c r="D16" s="6" t="n">
        <v>-2</v>
      </c>
      <c r="E16" s="6" t="n">
        <v>-2.1</v>
      </c>
      <c r="F16" s="6" t="n">
        <v>-1.7</v>
      </c>
      <c r="G16" s="6" t="n">
        <v>-0.5</v>
      </c>
      <c r="H16" s="6" t="n">
        <v>-1.2</v>
      </c>
      <c r="I16" s="6" t="n">
        <v>-1.2</v>
      </c>
      <c r="J16" s="6" t="n"/>
      <c r="K16" s="6" t="n">
        <v>-0.8</v>
      </c>
      <c r="L16" s="6" t="n">
        <v>-2.3</v>
      </c>
      <c r="M16" s="6" t="n">
        <v>-3.6</v>
      </c>
      <c r="N16" s="6" t="n">
        <v>-2.1</v>
      </c>
      <c r="O16" s="6" t="n">
        <v>-0.5</v>
      </c>
      <c r="P16" s="6" t="n"/>
      <c r="Q16" s="6" t="n"/>
      <c r="R16" s="6" t="n"/>
    </row>
    <row r="17">
      <c r="A17" s="6" t="inlineStr">
        <is>
          <t>Costs in preparation for Aldermore Group PLC initial public offering</t>
        </is>
      </c>
      <c r="B17" s="6" t="n"/>
      <c r="C17" s="6" t="n"/>
      <c r="D17" s="6" t="n"/>
      <c r="E17" s="6" t="n"/>
      <c r="F17" s="6" t="n"/>
      <c r="G17" s="6" t="n"/>
      <c r="H17" s="6" t="n"/>
      <c r="I17" s="6" t="n"/>
      <c r="J17" s="6" t="n"/>
      <c r="K17" s="6" t="n"/>
      <c r="L17" s="6" t="n">
        <v>-0.4</v>
      </c>
      <c r="M17" s="6" t="n">
        <v>-5.9</v>
      </c>
      <c r="N17" s="6" t="n"/>
      <c r="O17" s="6" t="n"/>
      <c r="P17" s="6" t="n"/>
      <c r="Q17" s="6" t="n"/>
      <c r="R17" s="6" t="n"/>
    </row>
    <row r="18">
      <c r="A18" s="6" t="inlineStr">
        <is>
          <t>Impairment of goodwill</t>
        </is>
      </c>
      <c r="B18" s="6" t="n"/>
      <c r="C18" s="6" t="n"/>
      <c r="D18" s="6" t="n"/>
      <c r="E18" s="6" t="n"/>
      <c r="F18" s="6" t="n"/>
      <c r="G18" s="6" t="n"/>
      <c r="H18" s="6" t="n"/>
      <c r="I18" s="6" t="n"/>
      <c r="J18" s="6" t="n"/>
      <c r="K18" s="6" t="n">
        <v>-4.1</v>
      </c>
      <c r="L18" s="6" t="n"/>
      <c r="M18" s="6" t="n"/>
      <c r="N18" s="6" t="n"/>
      <c r="O18" s="6" t="n"/>
      <c r="P18" s="6" t="n"/>
      <c r="Q18" s="6" t="n"/>
      <c r="R18" s="6" t="n"/>
    </row>
    <row r="19">
      <c r="A19" s="6" t="inlineStr">
        <is>
          <t>Impairment of intangibles and goodwill</t>
        </is>
      </c>
      <c r="B19" s="6" t="n"/>
      <c r="C19" s="6" t="n"/>
      <c r="D19" s="6" t="n"/>
      <c r="E19" s="6" t="n"/>
      <c r="F19" s="6" t="n"/>
      <c r="G19" s="6" t="n"/>
      <c r="H19" s="6" t="n">
        <v>-0.7</v>
      </c>
      <c r="I19" s="6" t="n">
        <v>-14.2</v>
      </c>
      <c r="J19" s="6" t="n"/>
      <c r="K19" s="6" t="n"/>
      <c r="L19" s="6" t="n"/>
      <c r="M19" s="6" t="n"/>
      <c r="N19" s="6" t="n"/>
      <c r="O19" s="6" t="n"/>
      <c r="P19" s="6" t="n"/>
      <c r="Q19" s="6" t="n"/>
      <c r="R19" s="6" t="n"/>
    </row>
    <row r="20">
      <c r="A20" s="6" t="inlineStr">
        <is>
          <t>Transaction costs</t>
        </is>
      </c>
      <c r="B20" s="6" t="n"/>
      <c r="C20" s="6" t="n"/>
      <c r="D20" s="6" t="n"/>
      <c r="E20" s="6" t="n"/>
      <c r="F20" s="6" t="n"/>
      <c r="G20" s="6" t="n"/>
      <c r="H20" s="6" t="n"/>
      <c r="I20" s="6" t="n">
        <v>-3.7</v>
      </c>
      <c r="J20" s="6" t="n"/>
      <c r="K20" s="6" t="n"/>
      <c r="L20" s="6" t="n"/>
      <c r="M20" s="6" t="n"/>
      <c r="N20" s="6" t="n"/>
      <c r="O20" s="6" t="n"/>
      <c r="P20" s="6" t="n"/>
      <c r="Q20" s="6" t="n"/>
      <c r="R20" s="6" t="n"/>
    </row>
    <row r="21">
      <c r="A21" s="6" t="inlineStr">
        <is>
          <t>Integration costs</t>
        </is>
      </c>
      <c r="B21" s="6" t="n"/>
      <c r="C21" s="6" t="n"/>
      <c r="D21" s="6" t="n"/>
      <c r="E21" s="6" t="n"/>
      <c r="F21" s="6" t="n"/>
      <c r="G21" s="6" t="n"/>
      <c r="H21" s="6" t="n">
        <v>-4.6</v>
      </c>
      <c r="I21" s="6" t="n">
        <v>-2.4</v>
      </c>
      <c r="J21" s="6" t="n"/>
      <c r="K21" s="6" t="n"/>
      <c r="L21" s="6" t="n"/>
      <c r="M21" s="6" t="n"/>
      <c r="N21" s="6" t="n"/>
      <c r="O21" s="6" t="n"/>
      <c r="P21" s="6" t="n"/>
      <c r="Q21" s="6" t="n"/>
      <c r="R21" s="6" t="n"/>
    </row>
    <row r="22">
      <c r="A22" s="6" t="inlineStr">
        <is>
          <t>Other expenses and staff costs / other administrative expenses</t>
        </is>
      </c>
      <c r="B22" s="6" t="n">
        <v>-263.8</v>
      </c>
      <c r="C22" s="6" t="n">
        <v>-265</v>
      </c>
      <c r="D22" s="6" t="n">
        <v>-251.5</v>
      </c>
      <c r="E22" s="6" t="n">
        <v>-221.9</v>
      </c>
      <c r="F22" s="6" t="n">
        <v>-172</v>
      </c>
      <c r="G22" s="6" t="n">
        <v>-148.1</v>
      </c>
      <c r="H22" s="6" t="n">
        <v>-162.9</v>
      </c>
      <c r="I22" s="6" t="n">
        <v>-206.3</v>
      </c>
      <c r="J22" s="6" t="n"/>
      <c r="K22" s="6" t="n">
        <v>-112.9</v>
      </c>
      <c r="L22" s="6" t="n">
        <v>-107.4</v>
      </c>
      <c r="M22" s="6" t="n">
        <v>-91.3</v>
      </c>
      <c r="N22" s="6" t="n">
        <v>-65.2</v>
      </c>
      <c r="O22" s="6" t="n">
        <v>-49.4</v>
      </c>
      <c r="P22" s="6" t="n">
        <v>-40.7</v>
      </c>
      <c r="Q22" s="6" t="n">
        <v>-34.3</v>
      </c>
      <c r="R22" s="6" t="n">
        <v>-11.9</v>
      </c>
    </row>
    <row r="23">
      <c r="A23" s="6" t="inlineStr">
        <is>
          <t>Depreciation and amortisation</t>
        </is>
      </c>
      <c r="B23" s="6" t="n"/>
      <c r="C23" s="6" t="n"/>
      <c r="D23" s="6" t="n"/>
      <c r="E23" s="6" t="n"/>
      <c r="F23" s="6" t="n">
        <v>-7.3</v>
      </c>
      <c r="G23" s="6" t="n">
        <v>-6.7</v>
      </c>
      <c r="H23" s="6" t="n">
        <v>-4.6</v>
      </c>
      <c r="I23" s="6" t="n">
        <v>-8.4</v>
      </c>
      <c r="J23" s="6" t="n"/>
      <c r="K23" s="6" t="n">
        <v>-5.3</v>
      </c>
      <c r="L23" s="6" t="n">
        <v>-5.3</v>
      </c>
      <c r="M23" s="6" t="n">
        <v>-3.9</v>
      </c>
      <c r="N23" s="6" t="n">
        <v>-4.3</v>
      </c>
      <c r="O23" s="6" t="n">
        <v>-2.8</v>
      </c>
      <c r="P23" s="6" t="n">
        <v>-1.9</v>
      </c>
      <c r="Q23" s="6" t="n">
        <v>-1.3</v>
      </c>
      <c r="R23" s="6" t="n">
        <v>-0.5</v>
      </c>
    </row>
    <row r="24">
      <c r="A24" s="5" t="inlineStr">
        <is>
          <t>Administrative expenses</t>
        </is>
      </c>
      <c r="B24" s="5" t="n">
        <v>-266.8</v>
      </c>
      <c r="C24" s="5" t="n">
        <v>-263.8</v>
      </c>
      <c r="D24" s="5" t="n">
        <v>-253.5</v>
      </c>
      <c r="E24" s="5" t="n">
        <v>-224</v>
      </c>
      <c r="F24" s="5" t="n">
        <v>-173.7</v>
      </c>
      <c r="G24" s="5" t="n">
        <v>-148.7</v>
      </c>
      <c r="H24" s="5" t="n">
        <v>-169.4</v>
      </c>
      <c r="I24" s="5" t="n">
        <v>-227.8</v>
      </c>
      <c r="J24" s="5" t="n"/>
      <c r="K24" s="5" t="n">
        <v>-117.8</v>
      </c>
      <c r="L24" s="5" t="n">
        <v>-110.1</v>
      </c>
      <c r="M24" s="5" t="n">
        <v>-100.8</v>
      </c>
      <c r="N24" s="5" t="n">
        <v>-69.5</v>
      </c>
      <c r="O24" s="5" t="n">
        <v>-52.2</v>
      </c>
      <c r="P24" s="5" t="n">
        <v>-42.6</v>
      </c>
      <c r="Q24" s="5" t="n">
        <v>-35.6</v>
      </c>
      <c r="R24" s="5" t="n">
        <v>-12.4</v>
      </c>
    </row>
    <row r="25">
      <c r="A25" s="5" t="inlineStr">
        <is>
          <t>Operating profit before impairment losses</t>
        </is>
      </c>
      <c r="B25" s="5" t="n">
        <v>206.6</v>
      </c>
      <c r="C25" s="5" t="n">
        <v>199.1</v>
      </c>
      <c r="D25" s="5" t="n">
        <v>222.6</v>
      </c>
      <c r="E25" s="5" t="n">
        <v>165.8</v>
      </c>
      <c r="F25" s="5" t="n">
        <v>142.4</v>
      </c>
      <c r="G25" s="5" t="n">
        <v>157.7</v>
      </c>
      <c r="H25" s="5" t="n">
        <v>157.8</v>
      </c>
      <c r="I25" s="5" t="n">
        <v>232.3</v>
      </c>
      <c r="J25" s="5" t="n"/>
      <c r="K25" s="5" t="n">
        <v>142.8</v>
      </c>
      <c r="L25" s="5" t="n">
        <v>106.2</v>
      </c>
      <c r="M25" s="5" t="n">
        <v>61.4</v>
      </c>
      <c r="N25" s="5" t="n">
        <v>34.3</v>
      </c>
      <c r="O25" s="5" t="n">
        <v>6.6</v>
      </c>
      <c r="P25" s="5" t="n">
        <v>0.1</v>
      </c>
      <c r="Q25" s="5" t="n">
        <v>-7.3</v>
      </c>
      <c r="R25" s="5" t="n">
        <v>-8.300000000000001</v>
      </c>
    </row>
    <row r="26">
      <c r="A26" s="6" t="inlineStr">
        <is>
          <t>Impairment releases/(losses) on loans and advances to customers</t>
        </is>
      </c>
      <c r="B26" s="6" t="n">
        <v>14.1</v>
      </c>
      <c r="C26" s="6" t="n">
        <v>19.1</v>
      </c>
      <c r="D26" s="6" t="n">
        <v>-51.4</v>
      </c>
      <c r="E26" s="6" t="n">
        <v>-5.1</v>
      </c>
      <c r="F26" s="6" t="n">
        <v>-26.7</v>
      </c>
      <c r="G26" s="6" t="n">
        <v>-65.09999999999999</v>
      </c>
      <c r="H26" s="6" t="n">
        <v>-20.1</v>
      </c>
      <c r="I26" s="6" t="n">
        <v>-19.5</v>
      </c>
      <c r="J26" s="6" t="n"/>
      <c r="K26" s="6" t="n">
        <v>-15.5</v>
      </c>
      <c r="L26" s="6" t="n">
        <v>-10.4</v>
      </c>
      <c r="M26" s="6" t="n">
        <v>-9.6</v>
      </c>
      <c r="N26" s="6" t="n">
        <v>-9.800000000000001</v>
      </c>
      <c r="O26" s="6" t="n">
        <v>-4.6</v>
      </c>
      <c r="P26" s="6" t="n">
        <v>-1</v>
      </c>
      <c r="Q26" s="6" t="n">
        <v>-1.5</v>
      </c>
      <c r="R26" s="6" t="n">
        <v>-4.6</v>
      </c>
    </row>
    <row r="27">
      <c r="A27" s="6" t="inlineStr">
        <is>
          <t>Impairment losses on lease modifications</t>
        </is>
      </c>
      <c r="B27" s="6" t="n"/>
      <c r="C27" s="6" t="n"/>
      <c r="D27" s="6" t="n"/>
      <c r="E27" s="6" t="n"/>
      <c r="F27" s="6" t="n">
        <v>0</v>
      </c>
      <c r="G27" s="6" t="n">
        <v>-11</v>
      </c>
      <c r="H27" s="6" t="n"/>
      <c r="I27" s="6" t="n"/>
      <c r="J27" s="6" t="n"/>
      <c r="K27" s="6" t="n"/>
      <c r="L27" s="6" t="n"/>
      <c r="M27" s="6" t="n"/>
      <c r="N27" s="6" t="n"/>
      <c r="O27" s="6" t="n"/>
      <c r="P27" s="6" t="n"/>
      <c r="Q27" s="6" t="n"/>
      <c r="R27" s="6" t="n"/>
    </row>
    <row r="28">
      <c r="A28" s="5" t="inlineStr">
        <is>
          <t>Profit before taxation</t>
        </is>
      </c>
      <c r="B28" s="5" t="n">
        <v>220.7</v>
      </c>
      <c r="C28" s="5" t="n">
        <v>218.2</v>
      </c>
      <c r="D28" s="5" t="n">
        <v>171.2</v>
      </c>
      <c r="E28" s="5" t="n">
        <v>160.7</v>
      </c>
      <c r="F28" s="5" t="n">
        <v>115.7</v>
      </c>
      <c r="G28" s="5" t="n">
        <v>81.59999999999999</v>
      </c>
      <c r="H28" s="5" t="n">
        <v>137.7</v>
      </c>
      <c r="I28" s="5" t="n">
        <v>212.8</v>
      </c>
      <c r="J28" s="5" t="n"/>
      <c r="K28" s="5" t="n">
        <v>127.3</v>
      </c>
      <c r="L28" s="5" t="n">
        <v>95.8</v>
      </c>
      <c r="M28" s="5" t="n">
        <v>51.8</v>
      </c>
      <c r="N28" s="5" t="n">
        <v>22.4</v>
      </c>
      <c r="O28" s="5" t="n">
        <v>1.5</v>
      </c>
      <c r="P28" s="5" t="n">
        <v>-0.9</v>
      </c>
      <c r="Q28" s="5" t="n">
        <v>-8.800000000000001</v>
      </c>
      <c r="R28" s="5" t="n">
        <v>-12.9</v>
      </c>
    </row>
    <row r="29">
      <c r="A29" s="6" t="inlineStr">
        <is>
          <t>Taxation</t>
        </is>
      </c>
      <c r="B29" s="6" t="n">
        <v>-57.5</v>
      </c>
      <c r="C29" s="6" t="n">
        <v>-56.1</v>
      </c>
      <c r="D29" s="6" t="n">
        <v>-42</v>
      </c>
      <c r="E29" s="6" t="n">
        <v>-42.7</v>
      </c>
      <c r="F29" s="6" t="n">
        <v>-26.4</v>
      </c>
      <c r="G29" s="6" t="n">
        <v>-17.4</v>
      </c>
      <c r="H29" s="6" t="n">
        <v>-35.5</v>
      </c>
      <c r="I29" s="6" t="n">
        <v>-56.9</v>
      </c>
      <c r="J29" s="6" t="n"/>
      <c r="K29" s="6" t="n">
        <v>-35</v>
      </c>
      <c r="L29" s="6" t="n">
        <v>-15.7</v>
      </c>
      <c r="M29" s="6" t="n">
        <v>-12.1</v>
      </c>
      <c r="N29" s="6" t="n">
        <v>1</v>
      </c>
      <c r="O29" s="6" t="n">
        <v>0</v>
      </c>
      <c r="P29" s="6" t="n">
        <v>0</v>
      </c>
      <c r="Q29" s="6" t="n">
        <v>0</v>
      </c>
      <c r="R29" s="6" t="n">
        <v>-0.1</v>
      </c>
    </row>
    <row r="30">
      <c r="A30" s="5" t="inlineStr">
        <is>
          <t>Profit after taxation — attributable to equity holders of the Company/Bank</t>
        </is>
      </c>
      <c r="B30" s="5" t="n">
        <v>163.2</v>
      </c>
      <c r="C30" s="5" t="n">
        <v>162.1</v>
      </c>
      <c r="D30" s="5" t="n">
        <v>129.2</v>
      </c>
      <c r="E30" s="5" t="n">
        <v>118</v>
      </c>
      <c r="F30" s="5" t="n">
        <v>89.3</v>
      </c>
      <c r="G30" s="5" t="n">
        <v>64.2</v>
      </c>
      <c r="H30" s="5" t="n">
        <v>102.2</v>
      </c>
      <c r="I30" s="5" t="n">
        <v>155.9</v>
      </c>
      <c r="J30" s="5" t="n"/>
      <c r="K30" s="5" t="n">
        <v>92.3</v>
      </c>
      <c r="L30" s="5" t="n">
        <v>80.09999999999999</v>
      </c>
      <c r="M30" s="5" t="n">
        <v>39.7</v>
      </c>
      <c r="N30" s="5" t="n">
        <v>23.4</v>
      </c>
      <c r="O30" s="5" t="n">
        <v>1.5</v>
      </c>
      <c r="P30" s="5" t="n">
        <v>-0.9</v>
      </c>
      <c r="Q30" s="5" t="n">
        <v>-8.800000000000001</v>
      </c>
      <c r="R30" s="5" t="n">
        <v>-13</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row>
    <row r="32">
      <c r="A32" s="6" t="inlineStr">
        <is>
          <t>FVOCI debt securities: Fair value movements</t>
        </is>
      </c>
      <c r="B32" s="6" t="n">
        <v>-4.6</v>
      </c>
      <c r="C32" s="6" t="n">
        <v>-3.3</v>
      </c>
      <c r="D32" s="6" t="n">
        <v>-2.7</v>
      </c>
      <c r="E32" s="6" t="n">
        <v>-2.2</v>
      </c>
      <c r="F32" s="6" t="n">
        <v>10.3</v>
      </c>
      <c r="G32" s="6" t="n">
        <v>1.8</v>
      </c>
      <c r="H32" s="6" t="n">
        <v>-0.2</v>
      </c>
      <c r="I32" s="6" t="n">
        <v>0.3</v>
      </c>
      <c r="J32" s="6" t="n"/>
      <c r="K32" s="6" t="n">
        <v>7.6</v>
      </c>
      <c r="L32" s="6" t="n">
        <v>-0.9</v>
      </c>
      <c r="M32" s="6" t="n">
        <v>3.5</v>
      </c>
      <c r="N32" s="6" t="n"/>
      <c r="O32" s="6" t="n"/>
      <c r="P32" s="6" t="n"/>
      <c r="Q32" s="6" t="n"/>
      <c r="R32" s="6" t="n"/>
    </row>
    <row r="33">
      <c r="A33" s="6" t="inlineStr">
        <is>
          <t>FVOCI debt securities: Amounts transferred to the income statement</t>
        </is>
      </c>
      <c r="B33" s="6" t="n">
        <v>-1.1</v>
      </c>
      <c r="C33" s="6" t="n">
        <v>-2</v>
      </c>
      <c r="D33" s="6" t="n">
        <v>-2.1</v>
      </c>
      <c r="E33" s="6" t="n">
        <v>-0.2</v>
      </c>
      <c r="F33" s="6" t="n">
        <v>-0.7</v>
      </c>
      <c r="G33" s="6" t="n">
        <v>-0.5</v>
      </c>
      <c r="H33" s="6" t="n">
        <v>-0.8</v>
      </c>
      <c r="I33" s="6" t="n">
        <v>-1.2</v>
      </c>
      <c r="J33" s="6" t="n"/>
      <c r="K33" s="6" t="n">
        <v>-3.8</v>
      </c>
      <c r="L33" s="6" t="n">
        <v>-2.1</v>
      </c>
      <c r="M33" s="6" t="n">
        <v>-2.5</v>
      </c>
      <c r="N33" s="6" t="n"/>
      <c r="O33" s="6" t="n"/>
      <c r="P33" s="6" t="n"/>
      <c r="Q33" s="6" t="n"/>
      <c r="R33" s="6" t="n"/>
    </row>
    <row r="34">
      <c r="A34" s="6" t="inlineStr">
        <is>
          <t>Taxation on other comprehensive income</t>
        </is>
      </c>
      <c r="B34" s="6" t="n">
        <v>1.4</v>
      </c>
      <c r="C34" s="6" t="n">
        <v>1.3</v>
      </c>
      <c r="D34" s="6" t="n">
        <v>1.3</v>
      </c>
      <c r="E34" s="6" t="n">
        <v>1</v>
      </c>
      <c r="F34" s="6" t="n">
        <v>-2.8</v>
      </c>
      <c r="G34" s="6" t="n">
        <v>-0.3</v>
      </c>
      <c r="H34" s="6" t="n">
        <v>0.3</v>
      </c>
      <c r="I34" s="6" t="n"/>
      <c r="J34" s="6" t="n"/>
      <c r="K34" s="6" t="n">
        <v>-1</v>
      </c>
      <c r="L34" s="6" t="n">
        <v>0.6</v>
      </c>
      <c r="M34" s="6" t="n">
        <v>-0.2</v>
      </c>
      <c r="N34" s="6" t="n"/>
      <c r="O34" s="6" t="n"/>
      <c r="P34" s="6" t="n"/>
      <c r="Q34" s="6" t="n"/>
      <c r="R34" s="6" t="n"/>
    </row>
    <row r="35">
      <c r="A35" s="5" t="inlineStr">
        <is>
          <t>Total other comprehensive (expense)/income</t>
        </is>
      </c>
      <c r="B35" s="5" t="n">
        <v>-4.3</v>
      </c>
      <c r="C35" s="5" t="n">
        <v>-4</v>
      </c>
      <c r="D35" s="5" t="n">
        <v>-3.6</v>
      </c>
      <c r="E35" s="5" t="n">
        <v>-1.4</v>
      </c>
      <c r="F35" s="5" t="n">
        <v>6.8</v>
      </c>
      <c r="G35" s="5" t="n">
        <v>1</v>
      </c>
      <c r="H35" s="5" t="n">
        <v>-0.7</v>
      </c>
      <c r="I35" s="5" t="n">
        <v>-0.7</v>
      </c>
      <c r="J35" s="5" t="n"/>
      <c r="K35" s="5" t="n">
        <v>2.8</v>
      </c>
      <c r="L35" s="5" t="n">
        <v>-2.4</v>
      </c>
      <c r="M35" s="5" t="n">
        <v>0.8</v>
      </c>
      <c r="N35" s="5" t="n">
        <v>0</v>
      </c>
      <c r="O35" s="5" t="n">
        <v>0</v>
      </c>
      <c r="P35" s="5" t="n">
        <v>0</v>
      </c>
      <c r="Q35" s="5" t="n">
        <v>0</v>
      </c>
      <c r="R35" s="5" t="n">
        <v>0</v>
      </c>
    </row>
    <row r="36">
      <c r="A36" s="5" t="inlineStr">
        <is>
          <t>Total comprehensive income attributable to equity holders of the Bank</t>
        </is>
      </c>
      <c r="B36" s="5" t="n">
        <v>158.9</v>
      </c>
      <c r="C36" s="5" t="n">
        <v>158.1</v>
      </c>
      <c r="D36" s="5" t="n">
        <v>125.7</v>
      </c>
      <c r="E36" s="5" t="n">
        <v>116.6</v>
      </c>
      <c r="F36" s="5" t="n">
        <v>96.09999999999999</v>
      </c>
      <c r="G36" s="5" t="n">
        <v>65.2</v>
      </c>
      <c r="H36" s="5" t="n">
        <v>101.5</v>
      </c>
      <c r="I36" s="5" t="n">
        <v>155.2</v>
      </c>
      <c r="J36" s="5" t="n"/>
      <c r="K36" s="5" t="n">
        <v>95.09999999999999</v>
      </c>
      <c r="L36" s="5" t="n">
        <v>77.7</v>
      </c>
      <c r="M36" s="5" t="n">
        <v>40.5</v>
      </c>
      <c r="N36" s="5" t="n">
        <v>23.4</v>
      </c>
      <c r="O36" s="5" t="n">
        <v>1.5</v>
      </c>
      <c r="P36" s="5" t="n">
        <v>-0.9</v>
      </c>
      <c r="Q36" s="5" t="n">
        <v>-8.800000000000001</v>
      </c>
      <c r="R36" s="5" t="n">
        <v>-13</v>
      </c>
    </row>
    <row r="38" ht="150" customHeight="1">
      <c r="A38"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FY2020: Full accounts for the year ended 30 June 2020, filed 13 Nov 2020, p.59-60 — https://find-and-update.company-information.service.gov.uk/company/00947662/filing-history/MzI4MzMzMzM4OGFkaXF6a2N4/document?format=pdf&amp;download=0
FY2019 &amp; FY2018: Full accounts for the year ended 30 June 2019, filed 22 Nov 2019, p.47-48 — https://find-and-update.company-information.service.gov.uk/company/00947662/filing-history/MzI0OTY0MTQwMWFkaXF6a2N4/document?format=pdf&amp;download=0
FY2016 &amp; FY2015: Full accounts for the year ended 31 December 2016, filed 11 May 2017, p.25-26 — https://find-and-update.company-information.service.gov.uk/company/00947662/filing-history/MzE3NTQ0MTgwOGFkaXF6a2N4/document?format=pdf&amp;download=0
FY2014: Full accounts for the year ended 31 December 2015, filed 23 May 2016, p.75-76 (FY2014 comparative) — https://find-and-update.company-information.service.gov.uk/company/00947662/filing-history/MzE0OTEzMjU1M2FkaXF6a2N4/document?format=pdf&amp;download=0
FY2019's interest income/expense and net gains from derivatives comparative for FY2018 (period ended 30 June 2018) were restated to align with FirstRand Group policy (total operating income unaffected) — the FY2018 figures here are the restated ones as re-presented in the FY2019 accounts, not the FY2018 accounts' own as-originally-filed figures (which had interest income £607.4m, interest expense £(172.5)m).
FY2017 has no standalone 12-month period (see YEARS comment above); FY2018's column is an 18-month period (1 Jan 2017 - 30 Jun 2018), not a 12-month year, so flow figures (income, expenses, profit) are not directly comparable to the 12-month years either side of it without adjusting for the extra 6 months.
Note: each year's own presentation of 'below net-interest-income' income/expense line items differs (IPO preparation costs in FY2014-FY2016; goodwill impairment in FY2016; transaction/integration costs and intangible/goodwill impairment in FY2018-FY2019; a combined single 'Administrative expenses' line from FY2022) — all are transcribed as disclosed in their own year, not restated onto a common basis, and each year's own reported subtotals/totals are used directly rather than recomputed from the line items shown.
HD-073 extension (FY2009-FY2013): sourced from the same old-UK-GAAP statutory accounts as the Balance Sheet sheet (see that sheet's source note for document/page references and the GAAP-basis caveat). FY2009 is a 9-month stub period (1 Apr 2009 - 31 Dec 2009), not a full year — its flow figures are not directly comparable to the 12-month years either side without adjusting for the shorter period.
Line-item mapping: 'Other expenses and staff costs / other administrative expenses' maps to the old accounts' standalone 'Administrative expenses' line, shown separately from depreciation in this era (the modern combined 'Administrative expenses' TOTAL row sums the two, as it does for later years); 'Other operating income' for FY2013/FY2012 additionally folds in the old accounts' separate 'Gains on disposal of debt securities' line (£1.9m/£3.2m), which has no standalone row in the modern presentation. Every FY2009-FY2013 year had zero other comprehensive income — each year's own Statement of Total Recognised Gains and Losses confirms total recognised gains/losses equal the profit/(loss) for the year exactly — so the OCI section is shown as 0 rather than blank for these years, and 'Provisions' (liabilities) has no entry for FY2011-FY2009 specifically since the old accounts show no such separate line for those years.</t>
        </is>
      </c>
    </row>
  </sheetData>
  <mergeCells count="1">
    <mergeCell ref="A38:R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5"/>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Aldermore Bank PLC — Statement of Changes in Equity</t>
        </is>
      </c>
    </row>
    <row r="2">
      <c r="A2" s="2" t="inlineStr">
        <is>
          <t>Company (Bank solo) basis, £m, chronological FY2009-FY2025 (FY2017 has no standalone period — see source notes)</t>
        </is>
      </c>
    </row>
    <row r="3">
      <c r="A3" s="4" t="inlineStr">
        <is>
          <t>Movement</t>
        </is>
      </c>
      <c r="B3" s="4" t="inlineStr">
        <is>
          <t>Share capital</t>
        </is>
      </c>
      <c r="C3" s="4" t="inlineStr">
        <is>
          <t>Share premium account</t>
        </is>
      </c>
      <c r="D3" s="4" t="inlineStr">
        <is>
          <t>Additional Tier 1 capital</t>
        </is>
      </c>
      <c r="E3" s="4" t="inlineStr">
        <is>
          <t>Capital contribution / redemption reserve</t>
        </is>
      </c>
      <c r="F3" s="4" t="inlineStr">
        <is>
          <t>FVOCI reserve</t>
        </is>
      </c>
      <c r="G3" s="4" t="inlineStr">
        <is>
          <t>Retained earnings</t>
        </is>
      </c>
      <c r="H3" s="4" t="inlineStr">
        <is>
          <t>Total</t>
        </is>
      </c>
    </row>
    <row r="4">
      <c r="A4" s="5" t="inlineStr">
        <is>
          <t>As at 1 April 2009 (opens the 9-month stub period to 31 Dec 2009)</t>
        </is>
      </c>
      <c r="B4" s="5" t="n">
        <v>2.5</v>
      </c>
      <c r="C4" s="5" t="n">
        <v>0</v>
      </c>
      <c r="D4" s="5" t="n"/>
      <c r="E4" s="5" t="n"/>
      <c r="F4" s="5" t="n"/>
      <c r="G4" s="5" t="n">
        <v>15.4</v>
      </c>
      <c r="H4" s="5" t="n">
        <v>17.9</v>
      </c>
    </row>
    <row r="5">
      <c r="A5" s="6" t="inlineStr">
        <is>
          <t>Loss for the period (9 months to 31 Dec 2009)</t>
        </is>
      </c>
      <c r="B5" s="6" t="n"/>
      <c r="C5" s="6" t="n"/>
      <c r="D5" s="6" t="n"/>
      <c r="E5" s="6" t="n"/>
      <c r="F5" s="6" t="n"/>
      <c r="G5" s="6" t="n">
        <v>-13</v>
      </c>
      <c r="H5" s="6" t="n">
        <v>-13</v>
      </c>
    </row>
    <row r="6">
      <c r="A6" s="6" t="inlineStr">
        <is>
          <t>Shares issued during the period (FY2009 stub)</t>
        </is>
      </c>
      <c r="B6" s="6" t="n">
        <v>0.8</v>
      </c>
      <c r="C6" s="6" t="n"/>
      <c r="D6" s="6" t="n"/>
      <c r="E6" s="6" t="n"/>
      <c r="F6" s="6" t="n"/>
      <c r="G6" s="6" t="n"/>
      <c r="H6" s="6" t="n">
        <v>0.8</v>
      </c>
    </row>
    <row r="7">
      <c r="A7" s="6" t="inlineStr">
        <is>
          <t>Premium on shares issued during the period (FY2009 stub)</t>
        </is>
      </c>
      <c r="B7" s="6" t="n"/>
      <c r="C7" s="6" t="n">
        <v>47.4</v>
      </c>
      <c r="D7" s="6" t="n"/>
      <c r="E7" s="6" t="n"/>
      <c r="F7" s="6" t="n"/>
      <c r="G7" s="6" t="n"/>
      <c r="H7" s="6" t="n">
        <v>47.4</v>
      </c>
    </row>
    <row r="8">
      <c r="A8" s="5" t="inlineStr">
        <is>
          <t>As at 31 December 2009</t>
        </is>
      </c>
      <c r="B8" s="5" t="n">
        <v>3.3</v>
      </c>
      <c r="C8" s="5" t="n">
        <v>47.4</v>
      </c>
      <c r="D8" s="5" t="n"/>
      <c r="E8" s="5" t="n"/>
      <c r="F8" s="5" t="n"/>
      <c r="G8" s="5" t="n">
        <v>2.4</v>
      </c>
      <c r="H8" s="5" t="n">
        <v>53.1</v>
      </c>
    </row>
    <row r="9">
      <c r="A9" s="5" t="inlineStr">
        <is>
          <t>As at 1 January 2010</t>
        </is>
      </c>
      <c r="B9" s="5" t="n">
        <v>3.3</v>
      </c>
      <c r="C9" s="5" t="n">
        <v>47.4</v>
      </c>
      <c r="D9" s="5" t="n"/>
      <c r="E9" s="5" t="n"/>
      <c r="F9" s="5" t="n"/>
      <c r="G9" s="5" t="n">
        <v>2.4</v>
      </c>
      <c r="H9" s="5" t="n">
        <v>53.1</v>
      </c>
    </row>
    <row r="10">
      <c r="A10" s="6" t="inlineStr">
        <is>
          <t>Loss for the year (FY2010)</t>
        </is>
      </c>
      <c r="B10" s="6" t="n"/>
      <c r="C10" s="6" t="n"/>
      <c r="D10" s="6" t="n"/>
      <c r="E10" s="6" t="n"/>
      <c r="F10" s="6" t="n"/>
      <c r="G10" s="6" t="n">
        <v>-8.800000000000001</v>
      </c>
      <c r="H10" s="6" t="n">
        <v>-8.800000000000001</v>
      </c>
    </row>
    <row r="11">
      <c r="A11" s="6" t="inlineStr">
        <is>
          <t>Premium on shares issued during the year (FY2010)</t>
        </is>
      </c>
      <c r="B11" s="6" t="n"/>
      <c r="C11" s="6" t="n">
        <v>48.3</v>
      </c>
      <c r="D11" s="6" t="n"/>
      <c r="E11" s="6" t="n"/>
      <c r="F11" s="6" t="n"/>
      <c r="G11" s="6" t="n"/>
      <c r="H11" s="6" t="n">
        <v>48.3</v>
      </c>
    </row>
    <row r="12">
      <c r="A12" s="6" t="inlineStr">
        <is>
          <t>Capital raising costs (FY2010)</t>
        </is>
      </c>
      <c r="B12" s="6" t="n"/>
      <c r="C12" s="6" t="n">
        <v>-1</v>
      </c>
      <c r="D12" s="6" t="n"/>
      <c r="E12" s="6" t="n"/>
      <c r="F12" s="6" t="n"/>
      <c r="G12" s="6" t="n"/>
      <c r="H12" s="6" t="n">
        <v>-1</v>
      </c>
    </row>
    <row r="13">
      <c r="A13" s="5" t="inlineStr">
        <is>
          <t>As at 31 December 2010</t>
        </is>
      </c>
      <c r="B13" s="5" t="n">
        <v>3.3</v>
      </c>
      <c r="C13" s="5" t="n">
        <v>94.7</v>
      </c>
      <c r="D13" s="5" t="n"/>
      <c r="E13" s="5" t="n"/>
      <c r="F13" s="5" t="n"/>
      <c r="G13" s="5" t="n">
        <v>-6.4</v>
      </c>
      <c r="H13" s="5" t="n">
        <v>91.59999999999999</v>
      </c>
    </row>
    <row r="14">
      <c r="A14" s="5" t="inlineStr">
        <is>
          <t>As at 1 January 2011</t>
        </is>
      </c>
      <c r="B14" s="5" t="n">
        <v>3.3</v>
      </c>
      <c r="C14" s="5" t="n">
        <v>94.7</v>
      </c>
      <c r="D14" s="5" t="n"/>
      <c r="E14" s="5" t="n"/>
      <c r="F14" s="5" t="n"/>
      <c r="G14" s="5" t="n">
        <v>-6.4</v>
      </c>
      <c r="H14" s="5" t="n">
        <v>91.59999999999999</v>
      </c>
    </row>
    <row r="15">
      <c r="A15" s="6" t="inlineStr">
        <is>
          <t>Loss for the year (FY2011)</t>
        </is>
      </c>
      <c r="B15" s="6" t="n"/>
      <c r="C15" s="6" t="n"/>
      <c r="D15" s="6" t="n"/>
      <c r="E15" s="6" t="n"/>
      <c r="F15" s="6" t="n"/>
      <c r="G15" s="6" t="n">
        <v>-0.9</v>
      </c>
      <c r="H15" s="6" t="n">
        <v>-0.9</v>
      </c>
    </row>
    <row r="16">
      <c r="A16" s="6" t="inlineStr">
        <is>
          <t>Premium on shares issued during the year (FY2011)</t>
        </is>
      </c>
      <c r="B16" s="6" t="n"/>
      <c r="C16" s="6" t="n">
        <v>77.90000000000001</v>
      </c>
      <c r="D16" s="6" t="n"/>
      <c r="E16" s="6" t="n"/>
      <c r="F16" s="6" t="n"/>
      <c r="G16" s="6" t="n"/>
      <c r="H16" s="6" t="n">
        <v>77.90000000000001</v>
      </c>
    </row>
    <row r="17">
      <c r="A17" s="6" t="inlineStr">
        <is>
          <t>Capital raising costs (FY2011)</t>
        </is>
      </c>
      <c r="B17" s="6" t="n"/>
      <c r="C17" s="6" t="n">
        <v>-2.5</v>
      </c>
      <c r="D17" s="6" t="n"/>
      <c r="E17" s="6" t="n"/>
      <c r="F17" s="6" t="n"/>
      <c r="G17" s="6" t="n"/>
      <c r="H17" s="6" t="n">
        <v>-2.5</v>
      </c>
    </row>
    <row r="18">
      <c r="A18" s="5" t="inlineStr">
        <is>
          <t>As at 31 December 2011</t>
        </is>
      </c>
      <c r="B18" s="5" t="n">
        <v>3.3</v>
      </c>
      <c r="C18" s="5" t="n">
        <v>170.1</v>
      </c>
      <c r="D18" s="5" t="n"/>
      <c r="E18" s="5" t="n"/>
      <c r="F18" s="5" t="n"/>
      <c r="G18" s="5" t="n">
        <v>-7.3</v>
      </c>
      <c r="H18" s="5" t="n">
        <v>166.1</v>
      </c>
    </row>
    <row r="19">
      <c r="A19" s="5" t="inlineStr">
        <is>
          <t>As at 1 January 2012</t>
        </is>
      </c>
      <c r="B19" s="5" t="n">
        <v>3.3</v>
      </c>
      <c r="C19" s="5" t="n">
        <v>170.1</v>
      </c>
      <c r="D19" s="5" t="n"/>
      <c r="E19" s="5" t="n"/>
      <c r="F19" s="5" t="n"/>
      <c r="G19" s="5" t="n">
        <v>-7.3</v>
      </c>
      <c r="H19" s="5" t="n">
        <v>166.1</v>
      </c>
    </row>
    <row r="20">
      <c r="A20" s="6" t="inlineStr">
        <is>
          <t>Prior year adjustment (IFRIC 21 restatement, FY2012)</t>
        </is>
      </c>
      <c r="B20" s="6" t="n"/>
      <c r="C20" s="6" t="n"/>
      <c r="D20" s="6" t="n"/>
      <c r="E20" s="6" t="n"/>
      <c r="F20" s="6" t="n"/>
      <c r="G20" s="6" t="n">
        <v>0.7</v>
      </c>
      <c r="H20" s="6" t="n">
        <v>0.7</v>
      </c>
    </row>
    <row r="21">
      <c r="A21" s="5" t="inlineStr">
        <is>
          <t>Restated balance as at 1 January 2012</t>
        </is>
      </c>
      <c r="B21" s="5" t="n">
        <v>3.3</v>
      </c>
      <c r="C21" s="5" t="n">
        <v>170.1</v>
      </c>
      <c r="D21" s="5" t="n"/>
      <c r="E21" s="5" t="n"/>
      <c r="F21" s="5" t="n"/>
      <c r="G21" s="5" t="n">
        <v>-6.6</v>
      </c>
      <c r="H21" s="5" t="n">
        <v>166.8</v>
      </c>
    </row>
    <row r="22">
      <c r="A22" s="6" t="inlineStr">
        <is>
          <t>Profit for the year (FY2012)</t>
        </is>
      </c>
      <c r="B22" s="6" t="n"/>
      <c r="C22" s="6" t="n"/>
      <c r="D22" s="6" t="n"/>
      <c r="E22" s="6" t="n"/>
      <c r="F22" s="6" t="n"/>
      <c r="G22" s="6" t="n">
        <v>1.5</v>
      </c>
      <c r="H22" s="6" t="n">
        <v>1.5</v>
      </c>
    </row>
    <row r="23">
      <c r="A23" s="6" t="inlineStr">
        <is>
          <t>Premium on shares issued during the year (FY2012)</t>
        </is>
      </c>
      <c r="B23" s="6" t="n"/>
      <c r="C23" s="6" t="n">
        <v>1.7</v>
      </c>
      <c r="D23" s="6" t="n"/>
      <c r="E23" s="6" t="n"/>
      <c r="F23" s="6" t="n"/>
      <c r="G23" s="6" t="n"/>
      <c r="H23" s="6" t="n">
        <v>1.7</v>
      </c>
    </row>
    <row r="24">
      <c r="A24" s="6" t="inlineStr">
        <is>
          <t>Capital raising costs (FY2012)</t>
        </is>
      </c>
      <c r="B24" s="6" t="n"/>
      <c r="C24" s="6" t="n">
        <v>0</v>
      </c>
      <c r="D24" s="6" t="n"/>
      <c r="E24" s="6" t="n"/>
      <c r="F24" s="6" t="n"/>
      <c r="G24" s="6" t="n"/>
      <c r="H24" s="6" t="n">
        <v>0</v>
      </c>
    </row>
    <row r="25">
      <c r="A25" s="6" t="inlineStr">
        <is>
          <t>Capital contribution (FY2012)</t>
        </is>
      </c>
      <c r="B25" s="6" t="n"/>
      <c r="C25" s="6" t="n"/>
      <c r="D25" s="6" t="n"/>
      <c r="E25" s="6" t="n">
        <v>2.3</v>
      </c>
      <c r="F25" s="6" t="n"/>
      <c r="G25" s="6" t="n"/>
      <c r="H25" s="6" t="n">
        <v>2.3</v>
      </c>
    </row>
    <row r="26">
      <c r="A26" s="5" t="inlineStr">
        <is>
          <t>As at 31 December 2012</t>
        </is>
      </c>
      <c r="B26" s="5" t="n">
        <v>3.3</v>
      </c>
      <c r="C26" s="5" t="n">
        <v>171.8</v>
      </c>
      <c r="D26" s="5" t="n"/>
      <c r="E26" s="5" t="n">
        <v>2.3</v>
      </c>
      <c r="F26" s="5" t="n"/>
      <c r="G26" s="5" t="n">
        <v>-5.2</v>
      </c>
      <c r="H26" s="5" t="n">
        <v>172.3</v>
      </c>
    </row>
    <row r="27">
      <c r="A27" s="5" t="inlineStr">
        <is>
          <t>As at 1 January 2013</t>
        </is>
      </c>
      <c r="B27" s="5" t="n">
        <v>3.3</v>
      </c>
      <c r="C27" s="5" t="n">
        <v>171.8</v>
      </c>
      <c r="D27" s="5" t="n"/>
      <c r="E27" s="5" t="n">
        <v>2.3</v>
      </c>
      <c r="F27" s="5" t="n"/>
      <c r="G27" s="5" t="n">
        <v>-5.2</v>
      </c>
      <c r="H27" s="5" t="n">
        <v>172.3</v>
      </c>
    </row>
    <row r="28">
      <c r="A28" s="6" t="inlineStr">
        <is>
          <t>Profit for the year (FY2013)</t>
        </is>
      </c>
      <c r="B28" s="6" t="n"/>
      <c r="C28" s="6" t="n"/>
      <c r="D28" s="6" t="n"/>
      <c r="E28" s="6" t="n"/>
      <c r="F28" s="6" t="n"/>
      <c r="G28" s="6" t="n">
        <v>23.4</v>
      </c>
      <c r="H28" s="6" t="n">
        <v>23.4</v>
      </c>
    </row>
    <row r="29">
      <c r="A29" s="6" t="inlineStr">
        <is>
          <t>Premium on shares issued during the year (FY2013)</t>
        </is>
      </c>
      <c r="B29" s="6" t="n"/>
      <c r="C29" s="6" t="n">
        <v>61.6</v>
      </c>
      <c r="D29" s="6" t="n"/>
      <c r="E29" s="6" t="n"/>
      <c r="F29" s="6" t="n"/>
      <c r="G29" s="6" t="n"/>
      <c r="H29" s="6" t="n">
        <v>61.6</v>
      </c>
    </row>
    <row r="30">
      <c r="A30" s="6" t="inlineStr">
        <is>
          <t>Capital contribution (FY2013)</t>
        </is>
      </c>
      <c r="B30" s="6" t="n"/>
      <c r="C30" s="6" t="n"/>
      <c r="D30" s="6" t="n"/>
      <c r="E30" s="6" t="n">
        <v>0.2</v>
      </c>
      <c r="F30" s="6" t="n"/>
      <c r="G30" s="6" t="n"/>
      <c r="H30" s="6" t="n">
        <v>0.2</v>
      </c>
    </row>
    <row r="31">
      <c r="A31" s="5" t="inlineStr">
        <is>
          <t>As at 31 December 2013 (old UK GAAP basis - see source note for the transition gap to 1 Jan 2014)</t>
        </is>
      </c>
      <c r="B31" s="5" t="n">
        <v>3.3</v>
      </c>
      <c r="C31" s="5" t="n">
        <v>233.4</v>
      </c>
      <c r="D31" s="5" t="n"/>
      <c r="E31" s="5" t="n">
        <v>2.5</v>
      </c>
      <c r="F31" s="5" t="n"/>
      <c r="G31" s="5" t="n">
        <v>18.2</v>
      </c>
      <c r="H31" s="5" t="n">
        <v>257.4</v>
      </c>
    </row>
    <row r="32">
      <c r="A32" s="5" t="inlineStr">
        <is>
          <t>As at 1 January 2014</t>
        </is>
      </c>
      <c r="B32" s="5" t="n">
        <v>3.3</v>
      </c>
      <c r="C32" s="5" t="n">
        <v>233.4</v>
      </c>
      <c r="D32" s="5" t="n"/>
      <c r="E32" s="5" t="n">
        <v>2.5</v>
      </c>
      <c r="F32" s="5" t="n">
        <v>0.6</v>
      </c>
      <c r="G32" s="5" t="n">
        <v>19.6</v>
      </c>
      <c r="H32" s="5" t="n">
        <v>259.4</v>
      </c>
    </row>
    <row r="33">
      <c r="A33" s="6" t="inlineStr">
        <is>
          <t>Profit after taxation (FY2014)</t>
        </is>
      </c>
      <c r="B33" s="6" t="n"/>
      <c r="C33" s="6" t="n"/>
      <c r="D33" s="6" t="n"/>
      <c r="E33" s="6" t="n"/>
      <c r="F33" s="6" t="n"/>
      <c r="G33" s="6" t="n">
        <v>39.7</v>
      </c>
      <c r="H33" s="6" t="n">
        <v>39.7</v>
      </c>
    </row>
    <row r="34">
      <c r="A34" s="6" t="inlineStr">
        <is>
          <t>Other comprehensive income (FY2014)</t>
        </is>
      </c>
      <c r="B34" s="6" t="n"/>
      <c r="C34" s="6" t="n"/>
      <c r="D34" s="6" t="n"/>
      <c r="E34" s="6" t="n"/>
      <c r="F34" s="6" t="n">
        <v>0.8</v>
      </c>
      <c r="G34" s="6" t="n"/>
      <c r="H34" s="6" t="n">
        <v>0.8</v>
      </c>
    </row>
    <row r="35">
      <c r="A35" s="6" t="inlineStr">
        <is>
          <t>Additional Tier 1 perpetual loan issuance</t>
        </is>
      </c>
      <c r="B35" s="6" t="n"/>
      <c r="C35" s="6" t="n"/>
      <c r="D35" s="6" t="n">
        <v>74.3</v>
      </c>
      <c r="E35" s="6" t="n"/>
      <c r="F35" s="6" t="n"/>
      <c r="G35" s="6" t="n"/>
      <c r="H35" s="6" t="n">
        <v>74.3</v>
      </c>
    </row>
    <row r="36">
      <c r="A36" s="6" t="inlineStr">
        <is>
          <t>Share-based payments (FY2014)</t>
        </is>
      </c>
      <c r="B36" s="6" t="n"/>
      <c r="C36" s="6" t="n"/>
      <c r="D36" s="6" t="n"/>
      <c r="E36" s="6" t="n">
        <v>0.6</v>
      </c>
      <c r="F36" s="6" t="n"/>
      <c r="G36" s="6" t="n"/>
      <c r="H36" s="6" t="n">
        <v>0.6</v>
      </c>
    </row>
    <row r="37">
      <c r="A37" s="5" t="inlineStr">
        <is>
          <t>As at 31 December 2014</t>
        </is>
      </c>
      <c r="B37" s="5" t="n">
        <v>3.3</v>
      </c>
      <c r="C37" s="5" t="n">
        <v>233.4</v>
      </c>
      <c r="D37" s="5" t="n">
        <v>74.3</v>
      </c>
      <c r="E37" s="5" t="n">
        <v>3.1</v>
      </c>
      <c r="F37" s="5" t="n">
        <v>1.4</v>
      </c>
      <c r="G37" s="5" t="n">
        <v>59.3</v>
      </c>
      <c r="H37" s="5" t="n">
        <v>374.8</v>
      </c>
    </row>
    <row r="38">
      <c r="A38" s="6" t="inlineStr">
        <is>
          <t>Profit after taxation (FY2015)</t>
        </is>
      </c>
      <c r="B38" s="6" t="n"/>
      <c r="C38" s="6" t="n"/>
      <c r="D38" s="6" t="n"/>
      <c r="E38" s="6" t="n"/>
      <c r="F38" s="6" t="n"/>
      <c r="G38" s="6" t="n">
        <v>80.09999999999999</v>
      </c>
      <c r="H38" s="6" t="n">
        <v>80.09999999999999</v>
      </c>
    </row>
    <row r="39">
      <c r="A39" s="6" t="inlineStr">
        <is>
          <t>Other comprehensive loss (FY2015)</t>
        </is>
      </c>
      <c r="B39" s="6" t="n"/>
      <c r="C39" s="6" t="n"/>
      <c r="D39" s="6" t="n"/>
      <c r="E39" s="6" t="n"/>
      <c r="F39" s="6" t="n">
        <v>-2.4</v>
      </c>
      <c r="G39" s="6" t="n"/>
      <c r="H39" s="6" t="n">
        <v>-2.4</v>
      </c>
    </row>
    <row r="40">
      <c r="A40" s="6" t="inlineStr">
        <is>
          <t>Share issue proceeds — Aldermore Group PLC IPO</t>
        </is>
      </c>
      <c r="B40" s="6" t="n"/>
      <c r="C40" s="6" t="n">
        <v>68.59999999999999</v>
      </c>
      <c r="D40" s="6" t="n"/>
      <c r="E40" s="6" t="n"/>
      <c r="F40" s="6" t="n"/>
      <c r="G40" s="6" t="n"/>
      <c r="H40" s="6" t="n">
        <v>68.59999999999999</v>
      </c>
    </row>
    <row r="41">
      <c r="A41" s="6" t="inlineStr">
        <is>
          <t>Share issue proceeds — exercise of warrants in Aldermore Group PLC</t>
        </is>
      </c>
      <c r="B41" s="6" t="n"/>
      <c r="C41" s="6" t="n">
        <v>5.6</v>
      </c>
      <c r="D41" s="6" t="n"/>
      <c r="E41" s="6" t="n">
        <v>-2.2</v>
      </c>
      <c r="F41" s="6" t="n"/>
      <c r="G41" s="6" t="n">
        <v>2.2</v>
      </c>
      <c r="H41" s="6" t="n">
        <v>5.6</v>
      </c>
    </row>
    <row r="42">
      <c r="A42" s="6" t="inlineStr">
        <is>
          <t>Coupon paid on Additional Tier 1 perpetual loan, net of tax relief (FY2015)</t>
        </is>
      </c>
      <c r="B42" s="6" t="n"/>
      <c r="C42" s="6" t="n"/>
      <c r="D42" s="6" t="n"/>
      <c r="E42" s="6" t="n"/>
      <c r="F42" s="6" t="n"/>
      <c r="G42" s="6" t="n">
        <v>-2.8</v>
      </c>
      <c r="H42" s="6" t="n">
        <v>-2.8</v>
      </c>
    </row>
    <row r="43">
      <c r="A43" s="6" t="inlineStr">
        <is>
          <t>Share-based payments, including tax reflected directly in retained earnings (FY2015)</t>
        </is>
      </c>
      <c r="B43" s="6" t="n"/>
      <c r="C43" s="6" t="n"/>
      <c r="D43" s="6" t="n"/>
      <c r="E43" s="6" t="n">
        <v>3.4</v>
      </c>
      <c r="F43" s="6" t="n"/>
      <c r="G43" s="6" t="n"/>
      <c r="H43" s="6" t="n">
        <v>3.4</v>
      </c>
    </row>
    <row r="44">
      <c r="A44" s="6" t="inlineStr">
        <is>
          <t>Transfer of capital contribution to retained earnings re vested share-based payments</t>
        </is>
      </c>
      <c r="B44" s="6" t="n"/>
      <c r="C44" s="6" t="n"/>
      <c r="D44" s="6" t="n"/>
      <c r="E44" s="6" t="n">
        <v>-0.9</v>
      </c>
      <c r="F44" s="6" t="n"/>
      <c r="G44" s="6" t="n">
        <v>0.9</v>
      </c>
      <c r="H44" s="6" t="n"/>
    </row>
    <row r="45">
      <c r="A45" s="5" t="inlineStr">
        <is>
          <t>As at 31 December 2015</t>
        </is>
      </c>
      <c r="B45" s="5" t="n">
        <v>3.3</v>
      </c>
      <c r="C45" s="5" t="n">
        <v>307.6</v>
      </c>
      <c r="D45" s="5" t="n">
        <v>74.3</v>
      </c>
      <c r="E45" s="5" t="n">
        <v>3.4</v>
      </c>
      <c r="F45" s="5" t="n">
        <v>-1</v>
      </c>
      <c r="G45" s="5" t="n">
        <v>139.7</v>
      </c>
      <c r="H45" s="5" t="n">
        <v>527.3</v>
      </c>
    </row>
    <row r="46">
      <c r="A46" s="6" t="inlineStr">
        <is>
          <t>Total comprehensive income (FY2016)</t>
        </is>
      </c>
      <c r="B46" s="6" t="n"/>
      <c r="C46" s="6" t="n"/>
      <c r="D46" s="6" t="n"/>
      <c r="E46" s="6" t="n"/>
      <c r="F46" s="6" t="n">
        <v>2.8</v>
      </c>
      <c r="G46" s="6" t="n">
        <v>92.3</v>
      </c>
      <c r="H46" s="6" t="n">
        <v>95.09999999999999</v>
      </c>
    </row>
    <row r="47">
      <c r="A47" s="6" t="inlineStr">
        <is>
          <t>Share-based payments, including tax reflected directly in retained earnings (FY2016)</t>
        </is>
      </c>
      <c r="B47" s="6" t="n"/>
      <c r="C47" s="6" t="n"/>
      <c r="D47" s="6" t="n"/>
      <c r="E47" s="6" t="n">
        <v>3.5</v>
      </c>
      <c r="F47" s="6" t="n"/>
      <c r="G47" s="6" t="n">
        <v>0.1</v>
      </c>
      <c r="H47" s="6" t="n">
        <v>3.6</v>
      </c>
    </row>
    <row r="48">
      <c r="A48" s="6" t="inlineStr">
        <is>
          <t>Coupon paid on contingent convertible securities, net of tax (FY2016)</t>
        </is>
      </c>
      <c r="B48" s="6" t="n"/>
      <c r="C48" s="6" t="n"/>
      <c r="D48" s="6" t="n"/>
      <c r="E48" s="6" t="n"/>
      <c r="F48" s="6" t="n"/>
      <c r="G48" s="6" t="n">
        <v>-6.6</v>
      </c>
      <c r="H48" s="6" t="n">
        <v>-6.6</v>
      </c>
    </row>
    <row r="49">
      <c r="A49" s="5" t="inlineStr">
        <is>
          <t>As at 31 December 2016</t>
        </is>
      </c>
      <c r="B49" s="5" t="n">
        <v>3.3</v>
      </c>
      <c r="C49" s="5" t="n">
        <v>307.6</v>
      </c>
      <c r="D49" s="5" t="n">
        <v>74.3</v>
      </c>
      <c r="E49" s="5" t="n">
        <v>6.9</v>
      </c>
      <c r="F49" s="5" t="n">
        <v>1.8</v>
      </c>
      <c r="G49" s="5" t="n">
        <v>225.5</v>
      </c>
      <c r="H49" s="5" t="n">
        <v>619.4</v>
      </c>
    </row>
    <row r="50">
      <c r="A50" s="5" t="inlineStr">
        <is>
          <t>As at 1 January 2017 (opens the 18-month transition period to 30 Jun 2018)</t>
        </is>
      </c>
      <c r="B50" s="5" t="n">
        <v>3.3</v>
      </c>
      <c r="C50" s="5" t="n">
        <v>307.6</v>
      </c>
      <c r="D50" s="5" t="n">
        <v>74.3</v>
      </c>
      <c r="E50" s="5" t="n">
        <v>6.9</v>
      </c>
      <c r="F50" s="5" t="n">
        <v>1.8</v>
      </c>
      <c r="G50" s="5" t="n">
        <v>225.5</v>
      </c>
      <c r="H50" s="5" t="n">
        <v>619.4</v>
      </c>
    </row>
    <row r="51">
      <c r="A51" s="6" t="inlineStr">
        <is>
          <t>Profit after taxation (18 months to 30 Jun 2018)</t>
        </is>
      </c>
      <c r="B51" s="6" t="n"/>
      <c r="C51" s="6" t="n"/>
      <c r="D51" s="6" t="n"/>
      <c r="E51" s="6" t="n"/>
      <c r="F51" s="6" t="n"/>
      <c r="G51" s="6" t="n">
        <v>155.9</v>
      </c>
      <c r="H51" s="6" t="n">
        <v>155.9</v>
      </c>
    </row>
    <row r="52">
      <c r="A52" s="6" t="inlineStr">
        <is>
          <t>Other comprehensive loss (18 months to 30 Jun 2018)</t>
        </is>
      </c>
      <c r="B52" s="6" t="n"/>
      <c r="C52" s="6" t="n"/>
      <c r="D52" s="6" t="n"/>
      <c r="E52" s="6" t="n"/>
      <c r="F52" s="6" t="n">
        <v>-0.7</v>
      </c>
      <c r="G52" s="6" t="n"/>
      <c r="H52" s="6" t="n">
        <v>-0.7</v>
      </c>
    </row>
    <row r="53">
      <c r="A53" s="6" t="inlineStr">
        <is>
          <t>Share-based payments, including tax reflected directly in retained earnings (18mo)</t>
        </is>
      </c>
      <c r="B53" s="6" t="n"/>
      <c r="C53" s="6" t="n"/>
      <c r="D53" s="6" t="n"/>
      <c r="E53" s="6" t="n">
        <v>4.9</v>
      </c>
      <c r="F53" s="6" t="n"/>
      <c r="G53" s="6" t="n">
        <v>1.4</v>
      </c>
      <c r="H53" s="6" t="n">
        <v>6.3</v>
      </c>
    </row>
    <row r="54">
      <c r="A54" s="6" t="inlineStr">
        <is>
          <t>Coupon paid on contingent convertible securities, net of tax (18mo)</t>
        </is>
      </c>
      <c r="B54" s="6" t="n"/>
      <c r="C54" s="6" t="n"/>
      <c r="D54" s="6" t="n"/>
      <c r="E54" s="6" t="n"/>
      <c r="F54" s="6" t="n"/>
      <c r="G54" s="6" t="n">
        <v>-13.3</v>
      </c>
      <c r="H54" s="6" t="n">
        <v>-13.3</v>
      </c>
    </row>
    <row r="55">
      <c r="A55" s="6" t="inlineStr">
        <is>
          <t>Transfer of share based payment reserve to retained earnings (18mo)</t>
        </is>
      </c>
      <c r="B55" s="6" t="n"/>
      <c r="C55" s="6" t="n"/>
      <c r="D55" s="6" t="n"/>
      <c r="E55" s="6" t="n">
        <v>-11.8</v>
      </c>
      <c r="F55" s="6" t="n"/>
      <c r="G55" s="6" t="n">
        <v>11.8</v>
      </c>
      <c r="H55" s="6" t="n"/>
    </row>
    <row r="56">
      <c r="A56" s="6" t="inlineStr">
        <is>
          <t>Release of Employee Benefit Trust loan (18mo)</t>
        </is>
      </c>
      <c r="B56" s="6" t="n"/>
      <c r="C56" s="6" t="n"/>
      <c r="D56" s="6" t="n"/>
      <c r="E56" s="6" t="n"/>
      <c r="F56" s="6" t="n"/>
      <c r="G56" s="6" t="n">
        <v>-0.9</v>
      </c>
      <c r="H56" s="6" t="n">
        <v>-0.9</v>
      </c>
    </row>
    <row r="57">
      <c r="A57" s="5" t="inlineStr">
        <is>
          <t>As at 30 June 2018</t>
        </is>
      </c>
      <c r="B57" s="5" t="n">
        <v>3.3</v>
      </c>
      <c r="C57" s="5" t="n">
        <v>307.6</v>
      </c>
      <c r="D57" s="5" t="n">
        <v>74.3</v>
      </c>
      <c r="E57" s="5" t="n">
        <v>0</v>
      </c>
      <c r="F57" s="5" t="n">
        <v>1.1</v>
      </c>
      <c r="G57" s="5" t="n">
        <v>380.4</v>
      </c>
      <c r="H57" s="5" t="n">
        <v>766.7</v>
      </c>
    </row>
    <row r="58">
      <c r="A58" s="6" t="inlineStr">
        <is>
          <t>Adjustment for adoption of IFRS 9</t>
        </is>
      </c>
      <c r="B58" s="6" t="n"/>
      <c r="C58" s="6" t="n"/>
      <c r="D58" s="6" t="n"/>
      <c r="E58" s="6" t="n"/>
      <c r="F58" s="6" t="n"/>
      <c r="G58" s="6" t="n">
        <v>-7.8</v>
      </c>
      <c r="H58" s="6" t="n">
        <v>-7.8</v>
      </c>
    </row>
    <row r="59">
      <c r="A59" s="6" t="inlineStr">
        <is>
          <t>Adjustment for adoption of IFRS 15</t>
        </is>
      </c>
      <c r="B59" s="6" t="n"/>
      <c r="C59" s="6" t="n"/>
      <c r="D59" s="6" t="n"/>
      <c r="E59" s="6" t="n"/>
      <c r="F59" s="6" t="n"/>
      <c r="G59" s="6" t="n">
        <v>-0.2</v>
      </c>
      <c r="H59" s="6" t="n">
        <v>-0.2</v>
      </c>
    </row>
    <row r="60">
      <c r="A60" s="5" t="inlineStr">
        <is>
          <t>Restated balance as at 1 July 2018</t>
        </is>
      </c>
      <c r="B60" s="5" t="n">
        <v>3.3</v>
      </c>
      <c r="C60" s="5" t="n">
        <v>307.6</v>
      </c>
      <c r="D60" s="5" t="n">
        <v>74.3</v>
      </c>
      <c r="E60" s="5" t="n">
        <v>0</v>
      </c>
      <c r="F60" s="5" t="n">
        <v>1.1</v>
      </c>
      <c r="G60" s="5" t="n">
        <v>372.4</v>
      </c>
      <c r="H60" s="5" t="n">
        <v>758.7</v>
      </c>
    </row>
    <row r="61">
      <c r="A61" s="6" t="inlineStr">
        <is>
          <t>Profit after taxation (FY2019)</t>
        </is>
      </c>
      <c r="B61" s="6" t="n"/>
      <c r="C61" s="6" t="n"/>
      <c r="D61" s="6" t="n"/>
      <c r="E61" s="6" t="n"/>
      <c r="F61" s="6" t="n"/>
      <c r="G61" s="6" t="n">
        <v>102.2</v>
      </c>
      <c r="H61" s="6" t="n">
        <v>102.2</v>
      </c>
    </row>
    <row r="62">
      <c r="A62" s="6" t="inlineStr">
        <is>
          <t>Other comprehensive loss (FY2019)</t>
        </is>
      </c>
      <c r="B62" s="6" t="n"/>
      <c r="C62" s="6" t="n"/>
      <c r="D62" s="6" t="n"/>
      <c r="E62" s="6" t="n"/>
      <c r="F62" s="6" t="n">
        <v>-0.7</v>
      </c>
      <c r="G62" s="6" t="n"/>
      <c r="H62" s="6" t="n">
        <v>-0.7</v>
      </c>
    </row>
    <row r="63">
      <c r="A63" s="6" t="inlineStr">
        <is>
          <t>Coupon paid on Additional Tier 1 capital securities, net of tax (FY2019)</t>
        </is>
      </c>
      <c r="B63" s="6" t="n"/>
      <c r="C63" s="6" t="n"/>
      <c r="D63" s="6" t="n"/>
      <c r="E63" s="6" t="n"/>
      <c r="F63" s="6" t="n"/>
      <c r="G63" s="6" t="n">
        <v>-7</v>
      </c>
      <c r="H63" s="6" t="n">
        <v>-7</v>
      </c>
    </row>
    <row r="64">
      <c r="A64" s="5" t="inlineStr">
        <is>
          <t>As at 30 June 2019</t>
        </is>
      </c>
      <c r="B64" s="5" t="n">
        <v>3.3</v>
      </c>
      <c r="C64" s="5" t="n">
        <v>307.6</v>
      </c>
      <c r="D64" s="5" t="n">
        <v>74.3</v>
      </c>
      <c r="E64" s="5" t="n">
        <v>0</v>
      </c>
      <c r="F64" s="5" t="n">
        <v>0.4</v>
      </c>
      <c r="G64" s="5" t="n">
        <v>467.6</v>
      </c>
      <c r="H64" s="5" t="n">
        <v>853.2</v>
      </c>
    </row>
    <row r="65">
      <c r="A65" s="6" t="inlineStr">
        <is>
          <t>Profit after taxation (FY2020)</t>
        </is>
      </c>
      <c r="B65" s="6" t="n"/>
      <c r="C65" s="6" t="n"/>
      <c r="D65" s="6" t="n"/>
      <c r="E65" s="6" t="n"/>
      <c r="F65" s="6" t="n"/>
      <c r="G65" s="6" t="n">
        <v>64.2</v>
      </c>
      <c r="H65" s="6" t="n">
        <v>64.2</v>
      </c>
    </row>
    <row r="66">
      <c r="A66" s="6" t="inlineStr">
        <is>
          <t>Other comprehensive income (FY2020)</t>
        </is>
      </c>
      <c r="B66" s="6" t="n"/>
      <c r="C66" s="6" t="n"/>
      <c r="D66" s="6" t="n"/>
      <c r="E66" s="6" t="n"/>
      <c r="F66" s="6" t="n">
        <v>1</v>
      </c>
      <c r="G66" s="6" t="n"/>
      <c r="H66" s="6" t="n">
        <v>1</v>
      </c>
    </row>
    <row r="67">
      <c r="A67" s="6" t="inlineStr">
        <is>
          <t>Issuance of Additional Tier 1 capital (FY2020)</t>
        </is>
      </c>
      <c r="B67" s="6" t="n"/>
      <c r="C67" s="6" t="n"/>
      <c r="D67" s="6" t="n">
        <v>61</v>
      </c>
      <c r="E67" s="6" t="n"/>
      <c r="F67" s="6" t="n"/>
      <c r="G67" s="6" t="n"/>
      <c r="H67" s="6" t="n">
        <v>61</v>
      </c>
    </row>
    <row r="68">
      <c r="A68" s="6" t="inlineStr">
        <is>
          <t>Redemption of Additional Tier 1 capital (FY2020)</t>
        </is>
      </c>
      <c r="B68" s="6" t="n"/>
      <c r="C68" s="6" t="n"/>
      <c r="D68" s="6" t="n">
        <v>-74.3</v>
      </c>
      <c r="E68" s="6" t="n"/>
      <c r="F68" s="6" t="n"/>
      <c r="G68" s="6" t="n"/>
      <c r="H68" s="6" t="n">
        <v>-74.3</v>
      </c>
    </row>
    <row r="69">
      <c r="A69" s="6" t="inlineStr">
        <is>
          <t>Coupon paid on Additional Tier 1 capital securities (FY2020)</t>
        </is>
      </c>
      <c r="B69" s="6" t="n"/>
      <c r="C69" s="6" t="n"/>
      <c r="D69" s="6" t="n"/>
      <c r="E69" s="6" t="n"/>
      <c r="F69" s="6" t="n"/>
      <c r="G69" s="6" t="n">
        <v>-8.9</v>
      </c>
      <c r="H69" s="6" t="n">
        <v>-8.9</v>
      </c>
    </row>
    <row r="70">
      <c r="A70" s="5" t="inlineStr">
        <is>
          <t>As at 30 June 2020</t>
        </is>
      </c>
      <c r="B70" s="5" t="n">
        <v>3.3</v>
      </c>
      <c r="C70" s="5" t="n">
        <v>307.5</v>
      </c>
      <c r="D70" s="5" t="n">
        <v>61</v>
      </c>
      <c r="E70" s="5" t="n">
        <v>0</v>
      </c>
      <c r="F70" s="5" t="n">
        <v>1.4</v>
      </c>
      <c r="G70" s="5" t="n">
        <v>522.9</v>
      </c>
      <c r="H70" s="5" t="n">
        <v>896.2</v>
      </c>
    </row>
    <row r="71">
      <c r="A71" s="5" t="inlineStr">
        <is>
          <t>As at 1 July 2020</t>
        </is>
      </c>
      <c r="B71" s="5" t="n">
        <v>3.3</v>
      </c>
      <c r="C71" s="5" t="n">
        <v>307.6</v>
      </c>
      <c r="D71" s="5" t="n">
        <v>61</v>
      </c>
      <c r="E71" s="5" t="n">
        <v>0</v>
      </c>
      <c r="F71" s="5" t="n">
        <v>1.5</v>
      </c>
      <c r="G71" s="5" t="n">
        <v>522.9</v>
      </c>
      <c r="H71" s="5" t="n">
        <v>896.2</v>
      </c>
    </row>
    <row r="72">
      <c r="A72" s="6" t="inlineStr">
        <is>
          <t>Profit after taxation (FY2021)</t>
        </is>
      </c>
      <c r="B72" s="6" t="n"/>
      <c r="C72" s="6" t="n"/>
      <c r="D72" s="6" t="n"/>
      <c r="E72" s="6" t="n"/>
      <c r="F72" s="6" t="n"/>
      <c r="G72" s="6" t="n">
        <v>89.3</v>
      </c>
      <c r="H72" s="6" t="n">
        <v>89.3</v>
      </c>
    </row>
    <row r="73">
      <c r="A73" s="6" t="inlineStr">
        <is>
          <t>Other comprehensive income (FY2021)</t>
        </is>
      </c>
      <c r="B73" s="6" t="n"/>
      <c r="C73" s="6" t="n"/>
      <c r="D73" s="6" t="n"/>
      <c r="E73" s="6" t="n"/>
      <c r="F73" s="6" t="n">
        <v>6.8</v>
      </c>
      <c r="G73" s="6" t="n"/>
      <c r="H73" s="6" t="n">
        <v>6.9</v>
      </c>
    </row>
    <row r="74">
      <c r="A74" s="6" t="inlineStr">
        <is>
          <t>Coupon paid on Additional Tier 1 capital securities (FY2021)</t>
        </is>
      </c>
      <c r="B74" s="6" t="n"/>
      <c r="C74" s="6" t="n"/>
      <c r="D74" s="6" t="n"/>
      <c r="E74" s="6" t="n"/>
      <c r="F74" s="6" t="n"/>
      <c r="G74" s="6" t="n">
        <v>-5.2</v>
      </c>
      <c r="H74" s="6" t="n">
        <v>-5.2</v>
      </c>
    </row>
    <row r="75">
      <c r="A75" s="5" t="inlineStr">
        <is>
          <t>As at 30 June 2021</t>
        </is>
      </c>
      <c r="B75" s="5" t="n">
        <v>3.3</v>
      </c>
      <c r="C75" s="5" t="n">
        <v>307.6</v>
      </c>
      <c r="D75" s="5" t="n">
        <v>61</v>
      </c>
      <c r="E75" s="5" t="n">
        <v>0</v>
      </c>
      <c r="F75" s="5" t="n">
        <v>8.300000000000001</v>
      </c>
      <c r="G75" s="5" t="n">
        <v>607</v>
      </c>
      <c r="H75" s="5" t="n">
        <v>987.2</v>
      </c>
    </row>
    <row r="76">
      <c r="A76" s="6" t="inlineStr">
        <is>
          <t>Profit after taxation (FY2022)</t>
        </is>
      </c>
      <c r="B76" s="6" t="n"/>
      <c r="C76" s="6" t="n"/>
      <c r="D76" s="6" t="n"/>
      <c r="E76" s="6" t="n"/>
      <c r="F76" s="6" t="n"/>
      <c r="G76" s="6" t="n">
        <v>118</v>
      </c>
      <c r="H76" s="6" t="n">
        <v>118</v>
      </c>
    </row>
    <row r="77">
      <c r="A77" s="6" t="inlineStr">
        <is>
          <t>Other comprehensive loss (FY2022)</t>
        </is>
      </c>
      <c r="B77" s="6" t="n"/>
      <c r="C77" s="6" t="n"/>
      <c r="D77" s="6" t="n"/>
      <c r="E77" s="6" t="n"/>
      <c r="F77" s="6" t="n">
        <v>-1.4</v>
      </c>
      <c r="G77" s="6" t="n"/>
      <c r="H77" s="6" t="n">
        <v>-1.4</v>
      </c>
    </row>
    <row r="78">
      <c r="A78" s="6" t="inlineStr">
        <is>
          <t>Coupon paid on Additional Tier 1 capital securities (FY2022)</t>
        </is>
      </c>
      <c r="B78" s="6" t="n"/>
      <c r="C78" s="6" t="n"/>
      <c r="D78" s="6" t="n"/>
      <c r="E78" s="6" t="n"/>
      <c r="F78" s="6" t="n"/>
      <c r="G78" s="6" t="n">
        <v>-5.2</v>
      </c>
      <c r="H78" s="6" t="n">
        <v>-5.2</v>
      </c>
    </row>
    <row r="79">
      <c r="A79" s="5" t="inlineStr">
        <is>
          <t>As at 30 June 2022</t>
        </is>
      </c>
      <c r="B79" s="5" t="n">
        <v>3.3</v>
      </c>
      <c r="C79" s="5" t="n">
        <v>307.5</v>
      </c>
      <c r="D79" s="5" t="n">
        <v>61</v>
      </c>
      <c r="E79" s="5" t="n">
        <v>0</v>
      </c>
      <c r="F79" s="5" t="n">
        <v>6.9</v>
      </c>
      <c r="G79" s="5" t="n">
        <v>719.8</v>
      </c>
      <c r="H79" s="5" t="n">
        <v>1098.5</v>
      </c>
    </row>
    <row r="80">
      <c r="A80" s="6" t="inlineStr">
        <is>
          <t>Profit after taxation (FY2023)</t>
        </is>
      </c>
      <c r="B80" s="6" t="n"/>
      <c r="C80" s="6" t="n"/>
      <c r="D80" s="6" t="n"/>
      <c r="E80" s="6" t="n"/>
      <c r="F80" s="6" t="n"/>
      <c r="G80" s="6" t="n">
        <v>129.2</v>
      </c>
      <c r="H80" s="6" t="n">
        <v>129.2</v>
      </c>
    </row>
    <row r="81">
      <c r="A81" s="6" t="inlineStr">
        <is>
          <t>Other comprehensive loss (FY2023)</t>
        </is>
      </c>
      <c r="B81" s="6" t="n"/>
      <c r="C81" s="6" t="n"/>
      <c r="D81" s="6" t="n"/>
      <c r="E81" s="6" t="n"/>
      <c r="F81" s="6" t="n">
        <v>-3.6</v>
      </c>
      <c r="G81" s="6" t="n"/>
      <c r="H81" s="6" t="n">
        <v>-3.6</v>
      </c>
    </row>
    <row r="82">
      <c r="A82" s="6" t="inlineStr">
        <is>
          <t>Coupon paid on Additional Tier 1 capital securities (FY2023)</t>
        </is>
      </c>
      <c r="B82" s="6" t="n"/>
      <c r="C82" s="6" t="n"/>
      <c r="D82" s="6" t="n"/>
      <c r="E82" s="6" t="n"/>
      <c r="F82" s="6" t="n"/>
      <c r="G82" s="6" t="n">
        <v>-5.2</v>
      </c>
      <c r="H82" s="6" t="n">
        <v>-5.2</v>
      </c>
    </row>
    <row r="83">
      <c r="A83" s="5" t="inlineStr">
        <is>
          <t>As at 30 June 2023</t>
        </is>
      </c>
      <c r="B83" s="5" t="n">
        <v>3.3</v>
      </c>
      <c r="C83" s="5" t="n">
        <v>307.5</v>
      </c>
      <c r="D83" s="5" t="n">
        <v>61</v>
      </c>
      <c r="E83" s="5" t="n">
        <v>0</v>
      </c>
      <c r="F83" s="5" t="n">
        <v>3.3</v>
      </c>
      <c r="G83" s="5" t="n">
        <v>843.9</v>
      </c>
      <c r="H83" s="5" t="n">
        <v>1219</v>
      </c>
    </row>
    <row r="84">
      <c r="A84" s="6" t="inlineStr">
        <is>
          <t>Profit after taxation (FY2024)</t>
        </is>
      </c>
      <c r="B84" s="6" t="n"/>
      <c r="C84" s="6" t="n"/>
      <c r="D84" s="6" t="n"/>
      <c r="E84" s="6" t="n"/>
      <c r="F84" s="6" t="n"/>
      <c r="G84" s="6" t="n">
        <v>162.1</v>
      </c>
      <c r="H84" s="6" t="n">
        <v>162.1</v>
      </c>
    </row>
    <row r="85">
      <c r="A85" s="6" t="inlineStr">
        <is>
          <t>Other comprehensive loss (FY2024)</t>
        </is>
      </c>
      <c r="B85" s="6" t="n"/>
      <c r="C85" s="6" t="n"/>
      <c r="D85" s="6" t="n"/>
      <c r="E85" s="6" t="n"/>
      <c r="F85" s="6" t="n">
        <v>-4</v>
      </c>
      <c r="G85" s="6" t="n"/>
      <c r="H85" s="6" t="n">
        <v>-4</v>
      </c>
    </row>
    <row r="86">
      <c r="A86" s="6" t="inlineStr">
        <is>
          <t>Coupon paid on Additional Tier 1 capital securities (FY2024)</t>
        </is>
      </c>
      <c r="B86" s="6" t="n"/>
      <c r="C86" s="6" t="n"/>
      <c r="D86" s="6" t="n"/>
      <c r="E86" s="6" t="n"/>
      <c r="F86" s="6" t="n"/>
      <c r="G86" s="6" t="n">
        <v>-5.3</v>
      </c>
      <c r="H86" s="6" t="n">
        <v>-5.3</v>
      </c>
    </row>
    <row r="87">
      <c r="A87" s="5" t="inlineStr">
        <is>
          <t>As at 30 June 2024</t>
        </is>
      </c>
      <c r="B87" s="5" t="n">
        <v>3.3</v>
      </c>
      <c r="C87" s="5" t="n">
        <v>307.5</v>
      </c>
      <c r="D87" s="5" t="n">
        <v>61</v>
      </c>
      <c r="E87" s="5" t="n">
        <v>0</v>
      </c>
      <c r="F87" s="5" t="n">
        <v>-0.7</v>
      </c>
      <c r="G87" s="5" t="n">
        <v>1000.7</v>
      </c>
      <c r="H87" s="5" t="n">
        <v>1371.8</v>
      </c>
    </row>
    <row r="88">
      <c r="A88" s="6" t="inlineStr">
        <is>
          <t>Profit after taxation (FY2025)</t>
        </is>
      </c>
      <c r="B88" s="6" t="n"/>
      <c r="C88" s="6" t="n"/>
      <c r="D88" s="6" t="n"/>
      <c r="E88" s="6" t="n"/>
      <c r="F88" s="6" t="n"/>
      <c r="G88" s="6" t="n">
        <v>163.2</v>
      </c>
      <c r="H88" s="6" t="n">
        <v>163.2</v>
      </c>
    </row>
    <row r="89">
      <c r="A89" s="6" t="inlineStr">
        <is>
          <t>Other comprehensive loss (FY2025)</t>
        </is>
      </c>
      <c r="B89" s="6" t="n"/>
      <c r="C89" s="6" t="n"/>
      <c r="D89" s="6" t="n"/>
      <c r="E89" s="6" t="n"/>
      <c r="F89" s="6" t="n">
        <v>-4.3</v>
      </c>
      <c r="G89" s="6" t="n"/>
      <c r="H89" s="6" t="n">
        <v>-4.3</v>
      </c>
    </row>
    <row r="90">
      <c r="A90" s="6" t="inlineStr">
        <is>
          <t>Redemption of Additional Tier 1 capital</t>
        </is>
      </c>
      <c r="B90" s="6" t="n"/>
      <c r="C90" s="6" t="n"/>
      <c r="D90" s="6" t="n">
        <v>-61</v>
      </c>
      <c r="E90" s="6" t="n"/>
      <c r="F90" s="6" t="n"/>
      <c r="G90" s="6" t="n"/>
      <c r="H90" s="6" t="n">
        <v>-61</v>
      </c>
    </row>
    <row r="91">
      <c r="A91" s="6" t="inlineStr">
        <is>
          <t>Issuance of Additional Tier 1 capital</t>
        </is>
      </c>
      <c r="B91" s="6" t="n"/>
      <c r="C91" s="6" t="n"/>
      <c r="D91" s="6" t="n">
        <v>50</v>
      </c>
      <c r="E91" s="6" t="n"/>
      <c r="F91" s="6" t="n"/>
      <c r="G91" s="6" t="n"/>
      <c r="H91" s="6" t="n">
        <v>50</v>
      </c>
    </row>
    <row r="92">
      <c r="A92" s="6" t="inlineStr">
        <is>
          <t>Coupon paid on Additional Tier 1 capital securities (FY2025)</t>
        </is>
      </c>
      <c r="B92" s="6" t="n"/>
      <c r="C92" s="6" t="n"/>
      <c r="D92" s="6" t="n"/>
      <c r="E92" s="6" t="n"/>
      <c r="F92" s="6" t="n"/>
      <c r="G92" s="6" t="n">
        <v>-5.1</v>
      </c>
      <c r="H92" s="6" t="n">
        <v>-5.1</v>
      </c>
    </row>
    <row r="93">
      <c r="A93" s="5" t="inlineStr">
        <is>
          <t>As at 30 June 2025</t>
        </is>
      </c>
      <c r="B93" s="5" t="n">
        <v>3.3</v>
      </c>
      <c r="C93" s="5" t="n">
        <v>307.5</v>
      </c>
      <c r="D93" s="5" t="n">
        <v>50</v>
      </c>
      <c r="E93" s="5" t="n">
        <v>0</v>
      </c>
      <c r="F93" s="5" t="n">
        <v>-5</v>
      </c>
      <c r="G93" s="5" t="n">
        <v>1158.8</v>
      </c>
      <c r="H93" s="5" t="n">
        <v>1514.6</v>
      </c>
    </row>
    <row r="95" ht="150" customHeight="1">
      <c r="A95"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&amp; FY2020: Full accounts made up to 30 June 2021, filed 04 Nov 2021, p.60 — https://find-and-update.company-information.service.gov.uk/company/00947662/filing-history/MzMxODkyMzc2MWFkaXF6a2N4/document?format=pdf&amp;download=0
FY2019 &amp; FY2018 (18-month period ended 30 Jun 2018): Full accounts for the year ended 30 June 2019, filed 22 Nov 2019, p.52 — https://find-and-update.company-information.service.gov.uk/company/00947662/filing-history/MzI0OTY0MTQwMWFkaXF6a2N4/document?format=pdf&amp;download=0
FY2016 &amp; FY2015: Full accounts for the year ended 31 December 2016, filed 11 May 2017, p.29 — https://find-and-update.company-information.service.gov.uk/company/00947662/filing-history/MzE3NTQ0MTgwOGFkaXF6a2N4/document?format=pdf&amp;download=0
FY2014: Full accounts for the year ended 31 December 2015, filed 23 May 2016, p.79 (FY2014 comparative) — https://find-and-update.company-information.service.gov.uk/company/00947662/filing-history/MzE0OTEzMjU1M2FkaXF6a2N4/document?format=pdf&amp;download=0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 A similar sub-£0.1m rounding gap exists between the 'As at 30 June 2020' close (896.2, tying to the FY2020 accounts) and the 'As at 1 July 2020' opening carried over from the FY2022 accounts' own comparative roll-forward (FVOCI reserve 1.5 vs 1.4) — both reproduced exactly as each source states them, not reconciled.
FY2017 has no standalone 12-month roll-forward: following the Bank's change of accounting reference date (see YEARS comment above), the roll-forward jumps directly from 'As at 31 December 2016' (year-end under the old Dec-FYE) to 'As at 1 January 2017' opening a single 18-month movement to 'As at 30 June 2018' — there is no 31 December 2017 balance in the Bank's own disclosures. The 'Capital contribution / redemption reserve' column is the same underlying reserve renamed across the Bank's own accounts over time ('Capital contribution reserve' in FY2014-FY2015 and again in the FY2018 18-month accounts; 'Capital redemption reserve' in FY2016 and FY2019 onward) — carried as one column for continuity; it is fully run down to nil by FY2019 and stays at nil (explicitly reported as '-') through FY2025, so is omitted from the FY2021-FY2025 rows below (shown as 0) exactly as the Bank's own more recent accounts no longer print it as a separate line.
HD-073 extension (FY2009-FY2013): sourced from the same old-UK-GAAP statutory accounts as the Balance Sheet and Profit &amp; Loss sheets (see the Balance Sheet sheet's source note for full document/page references), each year's own 'Reconciliation of movements in shareholders' funds'/'in reserves' note. FY2009 is a 9-month stub period (1 Apr 2009 - 31 Dec 2009): the Bank's very first roll-forward row, 'As at 1 April 2009', is its true opening position (Share capital £2.5m, Retained earnings £15.4m), not a restated prior-year close. No Additional Tier 1 capital or FVOCI reserve existed yet in this period (both are genuinely absent, shown as blank rather than 0); the Capital contribution reserve did not exist before FY2012 either. The 'As at 31 December 2013' close (£257.4m, old UK GAAP basis) does NOT tie to the immediately following 'As at 1 January 2014' IFRS-basis opening (£259.4m) — a genuine ~£2.0m gap from the Bank's UK-GAAP-to-IFRS transition (which, among other things, created the FVOCI reserve column and restated retained earnings), not a data error. This is a real basis change, left as an unexplained gap here rather than bridged with a fabricated adjustment row, consistent with how a genuine reconciling difference elsewhere on this sheet (e.g. any other bank's real transition gaps) is handled.
The FY2012 column throughout this sheet is presented on a restated basis: the Bank changed its accounting policy for IFRIC 21 Levies, which increased 1 January 2012 opening reserves by £662k and FY2012 retained profit by £707k versus the figures as originally reported in the Bank's own FY2012 accounts — both effects are included via the 'Prior year adjustment (IFRIC 21 restatement, FY2012)' row below, as disclosed in the FY2013 accounts' own comparative note (the FY2013 accounts, not the original FY2012 filing, are the source for the whole FY2012 column, consistent with the rest of this sheet using each year's latest filed figures).</t>
        </is>
      </c>
    </row>
  </sheetData>
  <mergeCells count="1">
    <mergeCell ref="A95:H9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c r="O4" s="6" t="n"/>
      <c r="P4" s="6" t="n"/>
      <c r="Q4" s="6" t="n"/>
      <c r="R4" s="6" t="n"/>
    </row>
    <row r="5">
      <c r="A5" s="6" t="inlineStr">
        <is>
          <t>Profit before taxation</t>
        </is>
      </c>
      <c r="B5" s="6" t="n">
        <v>220.7</v>
      </c>
      <c r="C5" s="6" t="n">
        <v>218.2</v>
      </c>
      <c r="D5" s="6" t="n">
        <v>171.2</v>
      </c>
      <c r="E5" s="6" t="n">
        <v>160.7</v>
      </c>
      <c r="F5" s="6" t="n">
        <v>115.7</v>
      </c>
      <c r="G5" s="6" t="n">
        <v>81.59999999999999</v>
      </c>
      <c r="H5" s="6" t="n">
        <v>137.7</v>
      </c>
      <c r="I5" s="6" t="n">
        <v>212.8</v>
      </c>
      <c r="J5" s="6" t="n"/>
      <c r="K5" s="6" t="n">
        <v>127.3</v>
      </c>
      <c r="L5" s="6" t="n">
        <v>95.8</v>
      </c>
      <c r="M5" s="6" t="n">
        <v>51.8</v>
      </c>
      <c r="N5" s="6" t="n"/>
      <c r="O5" s="6" t="n"/>
      <c r="P5" s="6" t="n"/>
      <c r="Q5" s="6" t="n"/>
      <c r="R5" s="6" t="n"/>
    </row>
    <row r="6">
      <c r="A6" s="6" t="inlineStr">
        <is>
          <t>Adjustments for non-cash items and other adjustments included within the income statement</t>
        </is>
      </c>
      <c r="B6" s="6" t="n">
        <v>-223.6</v>
      </c>
      <c r="C6" s="6" t="n">
        <v>-188.9</v>
      </c>
      <c r="D6" s="6" t="n">
        <v>-49.2</v>
      </c>
      <c r="E6" s="6" t="n">
        <v>-22.3</v>
      </c>
      <c r="F6" s="6" t="n">
        <v>17</v>
      </c>
      <c r="G6" s="6" t="n">
        <v>58.1</v>
      </c>
      <c r="H6" s="6" t="n">
        <v>14.7</v>
      </c>
      <c r="I6" s="6" t="n">
        <v>26.4</v>
      </c>
      <c r="J6" s="6" t="n"/>
      <c r="K6" s="6" t="n">
        <v>7.4</v>
      </c>
      <c r="L6" s="6" t="n">
        <v>4.3</v>
      </c>
      <c r="M6" s="6" t="n">
        <v>-12.7</v>
      </c>
      <c r="N6" s="6" t="n"/>
      <c r="O6" s="6" t="n"/>
      <c r="P6" s="6" t="n"/>
      <c r="Q6" s="6" t="n"/>
      <c r="R6" s="6" t="n"/>
    </row>
    <row r="7">
      <c r="A7" s="6" t="inlineStr">
        <is>
          <t>Change/(increase) in operating assets</t>
        </is>
      </c>
      <c r="B7" s="6" t="n">
        <v>-1145.9</v>
      </c>
      <c r="C7" s="6" t="n">
        <v>-439.9</v>
      </c>
      <c r="D7" s="6" t="n">
        <v>-519.2</v>
      </c>
      <c r="E7" s="6" t="n">
        <v>-389</v>
      </c>
      <c r="F7" s="6" t="n">
        <v>265</v>
      </c>
      <c r="G7" s="6" t="n">
        <v>-584.8</v>
      </c>
      <c r="H7" s="6" t="n">
        <v>-1327.7</v>
      </c>
      <c r="I7" s="6" t="n">
        <v>-1528.8</v>
      </c>
      <c r="J7" s="6" t="n"/>
      <c r="K7" s="6" t="n">
        <v>-1327.1</v>
      </c>
      <c r="L7" s="6" t="n">
        <v>-1310.3</v>
      </c>
      <c r="M7" s="6" t="n">
        <v>-1499.8</v>
      </c>
      <c r="N7" s="6" t="n"/>
      <c r="O7" s="6" t="n"/>
      <c r="P7" s="6" t="n"/>
      <c r="Q7" s="6" t="n"/>
      <c r="R7" s="6" t="n"/>
    </row>
    <row r="8">
      <c r="A8" s="6" t="inlineStr">
        <is>
          <t>Change/increase in operating liabilities</t>
        </is>
      </c>
      <c r="B8" s="6" t="n">
        <v>283.3</v>
      </c>
      <c r="C8" s="6" t="n">
        <v>992.8</v>
      </c>
      <c r="D8" s="6" t="n">
        <v>1539.6</v>
      </c>
      <c r="E8" s="6" t="n">
        <v>1526</v>
      </c>
      <c r="F8" s="6" t="n">
        <v>498.4</v>
      </c>
      <c r="G8" s="6" t="n">
        <v>2515.5</v>
      </c>
      <c r="H8" s="6" t="n">
        <v>1490.7</v>
      </c>
      <c r="I8" s="6" t="n">
        <v>1967</v>
      </c>
      <c r="J8" s="6" t="n"/>
      <c r="K8" s="6" t="n">
        <v>1223.9</v>
      </c>
      <c r="L8" s="6" t="n">
        <v>1279.7</v>
      </c>
      <c r="M8" s="6" t="n">
        <v>1264.7</v>
      </c>
      <c r="N8" s="6" t="n"/>
      <c r="O8" s="6" t="n"/>
      <c r="P8" s="6" t="n"/>
      <c r="Q8" s="6" t="n"/>
      <c r="R8" s="6" t="n"/>
    </row>
    <row r="9">
      <c r="A9" s="6" t="inlineStr">
        <is>
          <t>Interest received on intercompany loan (operating basis, FY2024-FY2025)</t>
        </is>
      </c>
      <c r="B9" s="6" t="n">
        <v>164.5</v>
      </c>
      <c r="C9" s="6" t="n">
        <v>135.8</v>
      </c>
      <c r="D9" s="6" t="n"/>
      <c r="E9" s="6" t="n"/>
      <c r="F9" s="6" t="n"/>
      <c r="G9" s="6" t="n"/>
      <c r="H9" s="6" t="n"/>
      <c r="I9" s="6" t="n"/>
      <c r="J9" s="6" t="n"/>
      <c r="K9" s="6" t="n"/>
      <c r="L9" s="6" t="n"/>
      <c r="M9" s="6" t="n"/>
      <c r="N9" s="6" t="n"/>
      <c r="O9" s="6" t="n"/>
      <c r="P9" s="6" t="n"/>
      <c r="Q9" s="6" t="n"/>
      <c r="R9" s="6" t="n"/>
    </row>
    <row r="10">
      <c r="A10" s="6" t="inlineStr">
        <is>
          <t>Interest paid on intercompany loan (operating basis, FY2024-FY2025)</t>
        </is>
      </c>
      <c r="B10" s="6" t="n">
        <v>-53.9</v>
      </c>
      <c r="C10" s="6" t="n">
        <v>-38</v>
      </c>
      <c r="D10" s="6" t="n"/>
      <c r="E10" s="6" t="n"/>
      <c r="F10" s="6" t="n"/>
      <c r="G10" s="6" t="n"/>
      <c r="H10" s="6" t="n"/>
      <c r="I10" s="6" t="n"/>
      <c r="J10" s="6" t="n"/>
      <c r="K10" s="6" t="n"/>
      <c r="L10" s="6" t="n"/>
      <c r="M10" s="6" t="n"/>
      <c r="N10" s="6" t="n"/>
      <c r="O10" s="6" t="n"/>
      <c r="P10" s="6" t="n"/>
      <c r="Q10" s="6" t="n"/>
      <c r="R10" s="6" t="n"/>
    </row>
    <row r="11">
      <c r="A11" s="6" t="inlineStr">
        <is>
          <t>Interest paid on subordinated notes (operating basis, FY2024-FY2025)</t>
        </is>
      </c>
      <c r="B11" s="6" t="n">
        <v>-7.9</v>
      </c>
      <c r="C11" s="6" t="n">
        <v>-6.4</v>
      </c>
      <c r="D11" s="6" t="n"/>
      <c r="E11" s="6" t="n"/>
      <c r="F11" s="6" t="n"/>
      <c r="G11" s="6" t="n"/>
      <c r="H11" s="6" t="n"/>
      <c r="I11" s="6" t="n"/>
      <c r="J11" s="6" t="n"/>
      <c r="K11" s="6" t="n"/>
      <c r="L11" s="6" t="n"/>
      <c r="M11" s="6" t="n"/>
      <c r="N11" s="6" t="n"/>
      <c r="O11" s="6" t="n"/>
      <c r="P11" s="6" t="n"/>
      <c r="Q11" s="6" t="n"/>
      <c r="R11" s="6" t="n"/>
    </row>
    <row r="12">
      <c r="A12" s="6" t="inlineStr">
        <is>
          <t>Interest received on debt securities (operating basis, FY2024-FY2025)</t>
        </is>
      </c>
      <c r="B12" s="6" t="n">
        <v>95.2</v>
      </c>
      <c r="C12" s="6" t="n">
        <v>86.3</v>
      </c>
      <c r="D12" s="6" t="n"/>
      <c r="E12" s="6" t="n"/>
      <c r="F12" s="6" t="n"/>
      <c r="G12" s="6" t="n"/>
      <c r="H12" s="6" t="n"/>
      <c r="I12" s="6" t="n"/>
      <c r="J12" s="6" t="n"/>
      <c r="K12" s="6" t="n"/>
      <c r="L12" s="6" t="n"/>
      <c r="M12" s="6" t="n"/>
      <c r="N12" s="6" t="n"/>
      <c r="O12" s="6" t="n"/>
      <c r="P12" s="6" t="n"/>
      <c r="Q12" s="6" t="n"/>
      <c r="R12" s="6" t="n"/>
    </row>
    <row r="13">
      <c r="A13" s="6" t="inlineStr">
        <is>
          <t>Proceeds from disposal of non-current assets held for sale (operating basis, FY2024-FY2025)</t>
        </is>
      </c>
      <c r="B13" s="6" t="n">
        <v>0</v>
      </c>
      <c r="C13" s="6" t="n">
        <v>32.8</v>
      </c>
      <c r="D13" s="6" t="n"/>
      <c r="E13" s="6" t="n"/>
      <c r="F13" s="6" t="n"/>
      <c r="G13" s="6" t="n"/>
      <c r="H13" s="6" t="n"/>
      <c r="I13" s="6" t="n"/>
      <c r="J13" s="6" t="n"/>
      <c r="K13" s="6" t="n"/>
      <c r="L13" s="6" t="n"/>
      <c r="M13" s="6" t="n"/>
      <c r="N13" s="6" t="n"/>
      <c r="O13" s="6" t="n"/>
      <c r="P13" s="6" t="n"/>
      <c r="Q13" s="6" t="n"/>
      <c r="R13" s="6" t="n"/>
    </row>
    <row r="14">
      <c r="A14" s="6" t="inlineStr">
        <is>
          <t>Income tax paid</t>
        </is>
      </c>
      <c r="B14" s="6" t="n">
        <v>-57.4</v>
      </c>
      <c r="C14" s="6" t="n">
        <v>-62.6</v>
      </c>
      <c r="D14" s="6" t="n">
        <v>-33.9</v>
      </c>
      <c r="E14" s="6" t="n">
        <v>-59.7</v>
      </c>
      <c r="F14" s="6" t="n">
        <v>-12</v>
      </c>
      <c r="G14" s="6" t="n">
        <v>-39.7</v>
      </c>
      <c r="H14" s="6" t="n">
        <v>-18.7</v>
      </c>
      <c r="I14" s="6" t="n">
        <v>-44.8</v>
      </c>
      <c r="J14" s="6" t="n"/>
      <c r="K14" s="6" t="n">
        <v>-31.5</v>
      </c>
      <c r="L14" s="6" t="n">
        <v>-20.2</v>
      </c>
      <c r="M14" s="6" t="n">
        <v>-9.699999999999999</v>
      </c>
      <c r="N14" s="6" t="n"/>
      <c r="O14" s="6" t="n"/>
      <c r="P14" s="6" t="n"/>
      <c r="Q14" s="6" t="n"/>
      <c r="R14" s="6" t="n"/>
    </row>
    <row r="15">
      <c r="A15" s="5" t="inlineStr">
        <is>
          <t>Net cash flows (used in)/generated from operating activities</t>
        </is>
      </c>
      <c r="B15" s="5" t="n">
        <v>-725</v>
      </c>
      <c r="C15" s="5" t="n">
        <v>730.1</v>
      </c>
      <c r="D15" s="5" t="n">
        <v>1108.5</v>
      </c>
      <c r="E15" s="5" t="n">
        <v>1215.7</v>
      </c>
      <c r="F15" s="5" t="n">
        <v>884.1</v>
      </c>
      <c r="G15" s="5" t="n">
        <v>2030.7</v>
      </c>
      <c r="H15" s="5" t="n">
        <v>296.7</v>
      </c>
      <c r="I15" s="5" t="n">
        <v>632.6</v>
      </c>
      <c r="J15" s="5" t="n"/>
      <c r="K15" s="5" t="n">
        <v>0</v>
      </c>
      <c r="L15" s="5" t="n">
        <v>49.3</v>
      </c>
      <c r="M15" s="5" t="n">
        <v>-205.7</v>
      </c>
      <c r="N15" s="5" t="n"/>
      <c r="O15" s="5" t="n"/>
      <c r="P15" s="5" t="n"/>
      <c r="Q15" s="5" t="n"/>
      <c r="R15" s="5" t="n"/>
    </row>
    <row r="16">
      <c r="A16" s="5" t="inlineStr">
        <is>
          <t>Investing activities</t>
        </is>
      </c>
      <c r="B16" s="6" t="n"/>
      <c r="C16" s="6" t="n"/>
      <c r="D16" s="6" t="n"/>
      <c r="E16" s="6" t="n"/>
      <c r="F16" s="6" t="n"/>
      <c r="G16" s="6" t="n"/>
      <c r="H16" s="6" t="n"/>
      <c r="I16" s="6" t="n"/>
      <c r="J16" s="6" t="n"/>
      <c r="K16" s="6" t="n"/>
      <c r="L16" s="6" t="n"/>
      <c r="M16" s="6" t="n"/>
      <c r="N16" s="6" t="n"/>
      <c r="O16" s="6" t="n"/>
      <c r="P16" s="6" t="n"/>
      <c r="Q16" s="6" t="n"/>
      <c r="R16" s="6" t="n"/>
    </row>
    <row r="17">
      <c r="A17" s="6" t="inlineStr">
        <is>
          <t>Purchase of debt securities</t>
        </is>
      </c>
      <c r="B17" s="6" t="n">
        <v>-1618.2</v>
      </c>
      <c r="C17" s="6" t="n">
        <v>-1184.9</v>
      </c>
      <c r="D17" s="6" t="n">
        <v>-358.2</v>
      </c>
      <c r="E17" s="6" t="n">
        <v>-723.4</v>
      </c>
      <c r="F17" s="6" t="n">
        <v>-444.6</v>
      </c>
      <c r="G17" s="6" t="n">
        <v>-1085.2</v>
      </c>
      <c r="H17" s="6" t="n">
        <v>-810.7</v>
      </c>
      <c r="I17" s="6" t="n">
        <v>-703.7</v>
      </c>
      <c r="J17" s="6" t="n"/>
      <c r="K17" s="6" t="n">
        <v>-298.4</v>
      </c>
      <c r="L17" s="6" t="n">
        <v>-414</v>
      </c>
      <c r="M17" s="6" t="n">
        <v>-564.6</v>
      </c>
      <c r="N17" s="6" t="n"/>
      <c r="O17" s="6" t="n"/>
      <c r="P17" s="6" t="n"/>
      <c r="Q17" s="6" t="n"/>
      <c r="R17" s="6" t="n"/>
    </row>
    <row r="18">
      <c r="A18" s="6" t="inlineStr">
        <is>
          <t>Proceeds from sale and/or maturity of debt securities</t>
        </is>
      </c>
      <c r="B18" s="6" t="n">
        <v>1278.3</v>
      </c>
      <c r="C18" s="6" t="n">
        <v>421.2</v>
      </c>
      <c r="D18" s="6" t="n">
        <v>299.3</v>
      </c>
      <c r="E18" s="6" t="n">
        <v>159.6</v>
      </c>
      <c r="F18" s="6" t="n">
        <v>333.1</v>
      </c>
      <c r="G18" s="6" t="n">
        <v>281.4</v>
      </c>
      <c r="H18" s="6" t="n">
        <v>386.5</v>
      </c>
      <c r="I18" s="6" t="n">
        <v>316</v>
      </c>
      <c r="J18" s="6" t="n"/>
      <c r="K18" s="6" t="n">
        <v>161.7</v>
      </c>
      <c r="L18" s="6" t="n">
        <v>279</v>
      </c>
      <c r="M18" s="6" t="n">
        <v>346.2</v>
      </c>
      <c r="N18" s="6" t="n"/>
      <c r="O18" s="6" t="n"/>
      <c r="P18" s="6" t="n"/>
      <c r="Q18" s="6" t="n"/>
      <c r="R18" s="6" t="n"/>
    </row>
    <row r="19">
      <c r="A19" s="6" t="inlineStr">
        <is>
          <t>Capital repayments of debt securities</t>
        </is>
      </c>
      <c r="B19" s="6" t="n">
        <v>81.40000000000001</v>
      </c>
      <c r="C19" s="6" t="n">
        <v>367.2</v>
      </c>
      <c r="D19" s="6" t="n">
        <v>351.3</v>
      </c>
      <c r="E19" s="6" t="n">
        <v>223.3</v>
      </c>
      <c r="F19" s="6" t="n">
        <v>61.4</v>
      </c>
      <c r="G19" s="6" t="n">
        <v>89.7</v>
      </c>
      <c r="H19" s="6" t="n">
        <v>53.8</v>
      </c>
      <c r="I19" s="6" t="n">
        <v>250.8</v>
      </c>
      <c r="J19" s="6" t="n"/>
      <c r="K19" s="6" t="n">
        <v>87.5</v>
      </c>
      <c r="L19" s="6" t="n">
        <v>32.9</v>
      </c>
      <c r="M19" s="6" t="n">
        <v>48.2</v>
      </c>
      <c r="N19" s="6" t="n"/>
      <c r="O19" s="6" t="n"/>
      <c r="P19" s="6" t="n"/>
      <c r="Q19" s="6" t="n"/>
      <c r="R19" s="6" t="n"/>
    </row>
    <row r="20">
      <c r="A20" s="6" t="inlineStr">
        <is>
          <t>Interest received on debt securities (investing basis, FY2021-FY2023)</t>
        </is>
      </c>
      <c r="B20" s="6" t="n"/>
      <c r="C20" s="6" t="n"/>
      <c r="D20" s="6" t="n">
        <v>15.2</v>
      </c>
      <c r="E20" s="6" t="n">
        <v>7.6</v>
      </c>
      <c r="F20" s="6" t="n">
        <v>6.8</v>
      </c>
      <c r="G20" s="6" t="n"/>
      <c r="H20" s="6" t="n"/>
      <c r="I20" s="6" t="n"/>
      <c r="J20" s="6" t="n"/>
      <c r="K20" s="6" t="n"/>
      <c r="L20" s="6" t="n"/>
      <c r="M20" s="6" t="n"/>
      <c r="N20" s="6" t="n"/>
      <c r="O20" s="6" t="n"/>
      <c r="P20" s="6" t="n"/>
      <c r="Q20" s="6" t="n"/>
      <c r="R20" s="6" t="n"/>
    </row>
    <row r="21">
      <c r="A21" s="6" t="inlineStr">
        <is>
          <t>Interest received on debt securities (investing basis, FY2014-FY2020)</t>
        </is>
      </c>
      <c r="B21" s="6" t="n"/>
      <c r="C21" s="6" t="n"/>
      <c r="D21" s="6" t="n"/>
      <c r="E21" s="6" t="n"/>
      <c r="F21" s="6" t="n"/>
      <c r="G21" s="6" t="n">
        <v>8.5</v>
      </c>
      <c r="H21" s="6" t="n">
        <v>15</v>
      </c>
      <c r="I21" s="6" t="n">
        <v>15.5</v>
      </c>
      <c r="J21" s="6" t="n"/>
      <c r="K21" s="6" t="n">
        <v>13.1</v>
      </c>
      <c r="L21" s="6" t="n">
        <v>10.5</v>
      </c>
      <c r="M21" s="6" t="n">
        <v>11.2</v>
      </c>
      <c r="N21" s="6" t="n"/>
      <c r="O21" s="6" t="n"/>
      <c r="P21" s="6" t="n"/>
      <c r="Q21" s="6" t="n"/>
      <c r="R21" s="6" t="n"/>
    </row>
    <row r="22">
      <c r="A22" s="6" t="inlineStr">
        <is>
          <t>Purchase of property, plant and equipment and intangible assets</t>
        </is>
      </c>
      <c r="B22" s="6" t="n">
        <v>-1</v>
      </c>
      <c r="C22" s="6" t="n">
        <v>-5.1</v>
      </c>
      <c r="D22" s="6" t="n">
        <v>-1</v>
      </c>
      <c r="E22" s="6" t="n">
        <v>-1.9</v>
      </c>
      <c r="F22" s="6" t="n">
        <v>-11.7</v>
      </c>
      <c r="G22" s="6" t="n">
        <v>-6</v>
      </c>
      <c r="H22" s="6" t="n">
        <v>-2.3</v>
      </c>
      <c r="I22" s="6" t="n">
        <v>-11.6</v>
      </c>
      <c r="J22" s="6" t="n"/>
      <c r="K22" s="6" t="n">
        <v>-11.2</v>
      </c>
      <c r="L22" s="6" t="n">
        <v>-7.3</v>
      </c>
      <c r="M22" s="6" t="n">
        <v>-5.4</v>
      </c>
      <c r="N22" s="6" t="n"/>
      <c r="O22" s="6" t="n"/>
      <c r="P22" s="6" t="n"/>
      <c r="Q22" s="6" t="n"/>
      <c r="R22" s="6" t="n"/>
    </row>
    <row r="23">
      <c r="A23" s="5" t="inlineStr">
        <is>
          <t>Net cash flows (used in)/generated from investing activities</t>
        </is>
      </c>
      <c r="B23" s="5" t="n">
        <v>-259.5</v>
      </c>
      <c r="C23" s="5" t="n">
        <v>-401.6</v>
      </c>
      <c r="D23" s="5" t="n">
        <v>306.5</v>
      </c>
      <c r="E23" s="5" t="n">
        <v>-334.8</v>
      </c>
      <c r="F23" s="5" t="n">
        <v>-55</v>
      </c>
      <c r="G23" s="5" t="n">
        <v>-711.6</v>
      </c>
      <c r="H23" s="5" t="n">
        <v>-357.7</v>
      </c>
      <c r="I23" s="5" t="n">
        <v>-133</v>
      </c>
      <c r="J23" s="5" t="n"/>
      <c r="K23" s="5" t="n">
        <v>-47.3</v>
      </c>
      <c r="L23" s="5" t="n">
        <v>-98.90000000000001</v>
      </c>
      <c r="M23" s="5" t="n">
        <v>-164.4</v>
      </c>
      <c r="N23" s="5" t="n"/>
      <c r="O23" s="5" t="n"/>
      <c r="P23" s="5" t="n"/>
      <c r="Q23" s="5" t="n"/>
      <c r="R23" s="5" t="n"/>
    </row>
    <row r="24">
      <c r="A24" s="5" t="inlineStr">
        <is>
          <t>Financing activities</t>
        </is>
      </c>
      <c r="B24" s="6" t="n"/>
      <c r="C24" s="6" t="n"/>
      <c r="D24" s="6" t="n"/>
      <c r="E24" s="6" t="n"/>
      <c r="F24" s="6" t="n"/>
      <c r="G24" s="6" t="n"/>
      <c r="H24" s="6" t="n"/>
      <c r="I24" s="6" t="n"/>
      <c r="J24" s="6" t="n"/>
      <c r="K24" s="6" t="n"/>
      <c r="L24" s="6" t="n"/>
      <c r="M24" s="6" t="n"/>
      <c r="N24" s="6" t="n"/>
      <c r="O24" s="6" t="n"/>
      <c r="P24" s="6" t="n"/>
      <c r="Q24" s="6" t="n"/>
      <c r="R24" s="6" t="n"/>
    </row>
    <row r="25">
      <c r="A25" s="6" t="inlineStr">
        <is>
          <t>Repayment of subordinated debt</t>
        </is>
      </c>
      <c r="B25" s="6" t="n"/>
      <c r="C25" s="6" t="n">
        <v>-100</v>
      </c>
      <c r="D25" s="6" t="n"/>
      <c r="E25" s="6" t="n">
        <v>-60</v>
      </c>
      <c r="F25" s="6" t="n"/>
      <c r="G25" s="6" t="n"/>
      <c r="H25" s="6" t="n"/>
      <c r="I25" s="6" t="n">
        <v>-40</v>
      </c>
      <c r="J25" s="6" t="n"/>
      <c r="K25" s="6" t="n"/>
      <c r="L25" s="6" t="n"/>
      <c r="M25" s="6" t="n"/>
      <c r="N25" s="6" t="n"/>
      <c r="O25" s="6" t="n"/>
      <c r="P25" s="6" t="n"/>
      <c r="Q25" s="6" t="n"/>
      <c r="R25" s="6" t="n"/>
    </row>
    <row r="26">
      <c r="A26" s="6" t="inlineStr">
        <is>
          <t>Proceeds from issue of subordinated debt</t>
        </is>
      </c>
      <c r="B26" s="6" t="n"/>
      <c r="C26" s="6" t="n">
        <v>100</v>
      </c>
      <c r="D26" s="6" t="n"/>
      <c r="E26" s="6" t="n"/>
      <c r="F26" s="6" t="n"/>
      <c r="G26" s="6" t="n"/>
      <c r="H26" s="6" t="n">
        <v>100</v>
      </c>
      <c r="I26" s="6" t="n"/>
      <c r="J26" s="6" t="n"/>
      <c r="K26" s="6" t="n">
        <v>60</v>
      </c>
      <c r="L26" s="6" t="n"/>
      <c r="M26" s="6" t="n"/>
      <c r="N26" s="6" t="n"/>
      <c r="O26" s="6" t="n"/>
      <c r="P26" s="6" t="n"/>
      <c r="Q26" s="6" t="n"/>
      <c r="R26" s="6" t="n"/>
    </row>
    <row r="27">
      <c r="A27" s="6" t="inlineStr">
        <is>
          <t>Issue costs of subordinated debt</t>
        </is>
      </c>
      <c r="B27" s="6" t="n"/>
      <c r="C27" s="6" t="n"/>
      <c r="D27" s="6" t="n"/>
      <c r="E27" s="6" t="n"/>
      <c r="F27" s="6" t="n"/>
      <c r="G27" s="6" t="n"/>
      <c r="H27" s="6" t="n"/>
      <c r="I27" s="6" t="n"/>
      <c r="J27" s="6" t="n"/>
      <c r="K27" s="6" t="n">
        <v>-0.6</v>
      </c>
      <c r="L27" s="6" t="n"/>
      <c r="M27" s="6" t="n"/>
      <c r="N27" s="6" t="n"/>
      <c r="O27" s="6" t="n"/>
      <c r="P27" s="6" t="n"/>
      <c r="Q27" s="6" t="n"/>
      <c r="R27" s="6" t="n"/>
    </row>
    <row r="28">
      <c r="A28" s="6" t="inlineStr">
        <is>
          <t>Redemption of Additional Tier 1 Capital</t>
        </is>
      </c>
      <c r="B28" s="6" t="n">
        <v>-61</v>
      </c>
      <c r="C28" s="6" t="n"/>
      <c r="D28" s="6" t="n"/>
      <c r="E28" s="6" t="n"/>
      <c r="F28" s="6" t="n"/>
      <c r="G28" s="6" t="n">
        <v>-74.3</v>
      </c>
      <c r="H28" s="6" t="n"/>
      <c r="I28" s="6" t="n"/>
      <c r="J28" s="6" t="n"/>
      <c r="K28" s="6" t="n"/>
      <c r="L28" s="6" t="n"/>
      <c r="M28" s="6" t="n"/>
      <c r="N28" s="6" t="n"/>
      <c r="O28" s="6" t="n"/>
      <c r="P28" s="6" t="n"/>
      <c r="Q28" s="6" t="n"/>
      <c r="R28" s="6" t="n"/>
    </row>
    <row r="29">
      <c r="A29" s="6" t="inlineStr">
        <is>
          <t>Issuance of Additional Tier 1 Capital</t>
        </is>
      </c>
      <c r="B29" s="6" t="n">
        <v>50</v>
      </c>
      <c r="C29" s="6" t="n"/>
      <c r="D29" s="6" t="n"/>
      <c r="E29" s="6" t="n"/>
      <c r="F29" s="6" t="n"/>
      <c r="G29" s="6" t="n">
        <v>61</v>
      </c>
      <c r="H29" s="6" t="n"/>
      <c r="I29" s="6" t="n"/>
      <c r="J29" s="6" t="n"/>
      <c r="K29" s="6" t="n"/>
      <c r="L29" s="6" t="n"/>
      <c r="M29" s="6" t="n"/>
      <c r="N29" s="6" t="n"/>
      <c r="O29" s="6" t="n"/>
      <c r="P29" s="6" t="n"/>
      <c r="Q29" s="6" t="n"/>
      <c r="R29" s="6" t="n"/>
    </row>
    <row r="30">
      <c r="A30" s="6" t="inlineStr">
        <is>
          <t>Proceeds from Additional Tier 1 perpetual loan</t>
        </is>
      </c>
      <c r="B30" s="6" t="n"/>
      <c r="C30" s="6" t="n"/>
      <c r="D30" s="6" t="n"/>
      <c r="E30" s="6" t="n"/>
      <c r="F30" s="6" t="n"/>
      <c r="G30" s="6" t="n"/>
      <c r="H30" s="6" t="n"/>
      <c r="I30" s="6" t="n"/>
      <c r="J30" s="6" t="n"/>
      <c r="K30" s="6" t="n"/>
      <c r="L30" s="6" t="n"/>
      <c r="M30" s="6" t="n">
        <v>74.3</v>
      </c>
      <c r="N30" s="6" t="n"/>
      <c r="O30" s="6" t="n"/>
      <c r="P30" s="6" t="n"/>
      <c r="Q30" s="6" t="n"/>
      <c r="R30" s="6" t="n"/>
    </row>
    <row r="31">
      <c r="A31" s="6" t="inlineStr">
        <is>
          <t>Capital repayments on debt securities issued</t>
        </is>
      </c>
      <c r="B31" s="6" t="n"/>
      <c r="C31" s="6" t="n"/>
      <c r="D31" s="6" t="n">
        <v>0.4</v>
      </c>
      <c r="E31" s="6" t="n"/>
      <c r="F31" s="6" t="n"/>
      <c r="G31" s="6" t="n"/>
      <c r="H31" s="6" t="n"/>
      <c r="I31" s="6" t="n"/>
      <c r="J31" s="6" t="n"/>
      <c r="K31" s="6" t="n"/>
      <c r="L31" s="6" t="n"/>
      <c r="M31" s="6" t="n"/>
      <c r="N31" s="6" t="n"/>
      <c r="O31" s="6" t="n"/>
      <c r="P31" s="6" t="n"/>
      <c r="Q31" s="6" t="n"/>
      <c r="R31" s="6" t="n"/>
    </row>
    <row r="32">
      <c r="A32" s="6" t="inlineStr">
        <is>
          <t>Proceeds from issue of shares — Aldermore Group PLC initial public offering</t>
        </is>
      </c>
      <c r="B32" s="6" t="n"/>
      <c r="C32" s="6" t="n"/>
      <c r="D32" s="6" t="n"/>
      <c r="E32" s="6" t="n"/>
      <c r="F32" s="6" t="n"/>
      <c r="G32" s="6" t="n"/>
      <c r="H32" s="6" t="n"/>
      <c r="I32" s="6" t="n"/>
      <c r="J32" s="6" t="n"/>
      <c r="K32" s="6" t="n"/>
      <c r="L32" s="6" t="n">
        <v>68.59999999999999</v>
      </c>
      <c r="M32" s="6" t="n"/>
      <c r="N32" s="6" t="n"/>
      <c r="O32" s="6" t="n"/>
      <c r="P32" s="6" t="n"/>
      <c r="Q32" s="6" t="n"/>
      <c r="R32" s="6" t="n"/>
    </row>
    <row r="33">
      <c r="A33" s="6" t="inlineStr">
        <is>
          <t>Proceeds from shares issued — exercise of warrants in Aldermore Group PLC</t>
        </is>
      </c>
      <c r="B33" s="6" t="n"/>
      <c r="C33" s="6" t="n"/>
      <c r="D33" s="6" t="n"/>
      <c r="E33" s="6" t="n"/>
      <c r="F33" s="6" t="n"/>
      <c r="G33" s="6" t="n"/>
      <c r="H33" s="6" t="n"/>
      <c r="I33" s="6" t="n"/>
      <c r="J33" s="6" t="n"/>
      <c r="K33" s="6" t="n"/>
      <c r="L33" s="6" t="n">
        <v>5.6</v>
      </c>
      <c r="M33" s="6" t="n"/>
      <c r="N33" s="6" t="n"/>
      <c r="O33" s="6" t="n"/>
      <c r="P33" s="6" t="n"/>
      <c r="Q33" s="6" t="n"/>
      <c r="R33" s="6" t="n"/>
    </row>
    <row r="34">
      <c r="A34" s="6" t="inlineStr">
        <is>
          <t>Amounts paid on new intercompany loan</t>
        </is>
      </c>
      <c r="B34" s="6" t="n"/>
      <c r="C34" s="6" t="n"/>
      <c r="D34" s="6" t="n">
        <v>-394.3</v>
      </c>
      <c r="E34" s="6" t="n">
        <v>-694.4</v>
      </c>
      <c r="F34" s="6" t="n">
        <v>-686.2</v>
      </c>
      <c r="G34" s="6" t="n">
        <v>-1222.3</v>
      </c>
      <c r="H34" s="6" t="n">
        <v>-369.2</v>
      </c>
      <c r="I34" s="6" t="n">
        <v>-20.4</v>
      </c>
      <c r="J34" s="6" t="n"/>
      <c r="K34" s="6" t="n"/>
      <c r="L34" s="6" t="n"/>
      <c r="M34" s="6" t="n"/>
      <c r="N34" s="6" t="n"/>
      <c r="O34" s="6" t="n"/>
      <c r="P34" s="6" t="n"/>
      <c r="Q34" s="6" t="n"/>
      <c r="R34" s="6" t="n"/>
    </row>
    <row r="35">
      <c r="A35" s="6" t="inlineStr">
        <is>
          <t>Interest received on intercompany loan (financing basis, FY2021-FY2023)</t>
        </is>
      </c>
      <c r="B35" s="6" t="n"/>
      <c r="C35" s="6" t="n"/>
      <c r="D35" s="6" t="n">
        <v>68</v>
      </c>
      <c r="E35" s="6" t="n">
        <v>30.3</v>
      </c>
      <c r="F35" s="6" t="n">
        <v>20.1</v>
      </c>
      <c r="G35" s="6" t="n"/>
      <c r="H35" s="6" t="n"/>
      <c r="I35" s="6" t="n"/>
      <c r="J35" s="6" t="n"/>
      <c r="K35" s="6" t="n"/>
      <c r="L35" s="6" t="n"/>
      <c r="M35" s="6" t="n"/>
      <c r="N35" s="6" t="n"/>
      <c r="O35" s="6" t="n"/>
      <c r="P35" s="6" t="n"/>
      <c r="Q35" s="6" t="n"/>
      <c r="R35" s="6" t="n"/>
    </row>
    <row r="36">
      <c r="A36" s="6" t="inlineStr">
        <is>
          <t>Interest received on intercompany loan (financing basis, FY2019-FY2020)</t>
        </is>
      </c>
      <c r="B36" s="6" t="n"/>
      <c r="C36" s="6" t="n"/>
      <c r="D36" s="6" t="n"/>
      <c r="E36" s="6" t="n"/>
      <c r="F36" s="6" t="n"/>
      <c r="G36" s="6" t="n">
        <v>13.6</v>
      </c>
      <c r="H36" s="6" t="n">
        <v>0.1</v>
      </c>
      <c r="I36" s="6" t="n"/>
      <c r="J36" s="6" t="n"/>
      <c r="K36" s="6" t="n"/>
      <c r="L36" s="6" t="n"/>
      <c r="M36" s="6" t="n"/>
      <c r="N36" s="6" t="n"/>
      <c r="O36" s="6" t="n"/>
      <c r="P36" s="6" t="n"/>
      <c r="Q36" s="6" t="n"/>
      <c r="R36" s="6" t="n"/>
    </row>
    <row r="37">
      <c r="A37" s="6" t="inlineStr">
        <is>
          <t>Interest paid on intercompany deposit (FY2019-FY2020)</t>
        </is>
      </c>
      <c r="B37" s="6" t="n"/>
      <c r="C37" s="6" t="n"/>
      <c r="D37" s="6" t="n"/>
      <c r="E37" s="6" t="n"/>
      <c r="F37" s="6" t="n"/>
      <c r="G37" s="6" t="n">
        <v>-0.2</v>
      </c>
      <c r="H37" s="6" t="n">
        <v>-0.1</v>
      </c>
      <c r="I37" s="6" t="n"/>
      <c r="J37" s="6" t="n"/>
      <c r="K37" s="6" t="n"/>
      <c r="L37" s="6" t="n"/>
      <c r="M37" s="6" t="n"/>
      <c r="N37" s="6" t="n"/>
      <c r="O37" s="6" t="n"/>
      <c r="P37" s="6" t="n"/>
      <c r="Q37" s="6" t="n"/>
      <c r="R37" s="6" t="n"/>
    </row>
    <row r="38">
      <c r="A38" s="6" t="inlineStr">
        <is>
          <t>Deposit placed by related Group companies</t>
        </is>
      </c>
      <c r="B38" s="6" t="n"/>
      <c r="C38" s="6" t="n"/>
      <c r="D38" s="6" t="n"/>
      <c r="E38" s="6" t="n"/>
      <c r="F38" s="6" t="n">
        <v>-12.3</v>
      </c>
      <c r="G38" s="6" t="n">
        <v>-37.4</v>
      </c>
      <c r="H38" s="6" t="n">
        <v>311.3</v>
      </c>
      <c r="I38" s="6" t="n"/>
      <c r="J38" s="6" t="n"/>
      <c r="K38" s="6" t="n"/>
      <c r="L38" s="6" t="n"/>
      <c r="M38" s="6" t="n"/>
      <c r="N38" s="6" t="n"/>
      <c r="O38" s="6" t="n"/>
      <c r="P38" s="6" t="n"/>
      <c r="Q38" s="6" t="n"/>
      <c r="R38" s="6" t="n"/>
    </row>
    <row r="39">
      <c r="A39" s="6" t="inlineStr">
        <is>
          <t>Coupons paid on Additional Tier 1 capital</t>
        </is>
      </c>
      <c r="B39" s="6" t="n">
        <v>-5.1</v>
      </c>
      <c r="C39" s="6" t="n">
        <v>-5.3</v>
      </c>
      <c r="D39" s="6" t="n">
        <v>-5.2</v>
      </c>
      <c r="E39" s="6" t="n">
        <v>-5.2</v>
      </c>
      <c r="F39" s="6" t="n">
        <v>-5.2</v>
      </c>
      <c r="G39" s="6" t="n">
        <v>-8.9</v>
      </c>
      <c r="H39" s="6" t="n">
        <v>-8.9</v>
      </c>
      <c r="I39" s="6" t="n">
        <v>-17.8</v>
      </c>
      <c r="J39" s="6" t="n"/>
      <c r="K39" s="6" t="n">
        <v>-8.9</v>
      </c>
      <c r="L39" s="6" t="n">
        <v>-3.5</v>
      </c>
      <c r="M39" s="6" t="n"/>
      <c r="N39" s="6" t="n"/>
      <c r="O39" s="6" t="n"/>
      <c r="P39" s="6" t="n"/>
      <c r="Q39" s="6" t="n"/>
      <c r="R39" s="6" t="n"/>
    </row>
    <row r="40">
      <c r="A40" s="6" t="inlineStr">
        <is>
          <t>Interest paid on subordinated notes (financing basis)</t>
        </is>
      </c>
      <c r="B40" s="6" t="n"/>
      <c r="C40" s="6" t="n"/>
      <c r="D40" s="6" t="n"/>
      <c r="E40" s="6" t="n">
        <v>-7.4</v>
      </c>
      <c r="F40" s="6" t="n">
        <v>-9.9</v>
      </c>
      <c r="G40" s="6" t="n">
        <v>-9.9</v>
      </c>
      <c r="H40" s="6" t="n">
        <v>-7.5</v>
      </c>
      <c r="I40" s="6" t="n">
        <v>-10.2</v>
      </c>
      <c r="J40" s="6" t="n"/>
      <c r="K40" s="6" t="n">
        <v>-5.2</v>
      </c>
      <c r="L40" s="6" t="n">
        <v>-5.2</v>
      </c>
      <c r="M40" s="6" t="n">
        <v>-5.2</v>
      </c>
      <c r="N40" s="6" t="n"/>
      <c r="O40" s="6" t="n"/>
      <c r="P40" s="6" t="n"/>
      <c r="Q40" s="6" t="n"/>
      <c r="R40" s="6" t="n"/>
    </row>
    <row r="41">
      <c r="A41" s="6" t="inlineStr">
        <is>
          <t>Repayment of lease liabilities - principal</t>
        </is>
      </c>
      <c r="B41" s="6" t="n">
        <v>-2.3</v>
      </c>
      <c r="C41" s="6" t="n">
        <v>-3</v>
      </c>
      <c r="D41" s="6" t="n"/>
      <c r="E41" s="6" t="n">
        <v>-2.8</v>
      </c>
      <c r="F41" s="6" t="n">
        <v>-4</v>
      </c>
      <c r="G41" s="6" t="n">
        <v>-1.9</v>
      </c>
      <c r="H41" s="6" t="n"/>
      <c r="I41" s="6" t="n"/>
      <c r="J41" s="6" t="n"/>
      <c r="K41" s="6" t="n"/>
      <c r="L41" s="6" t="n"/>
      <c r="M41" s="6" t="n"/>
      <c r="N41" s="6" t="n"/>
      <c r="O41" s="6" t="n"/>
      <c r="P41" s="6" t="n"/>
      <c r="Q41" s="6" t="n"/>
      <c r="R41" s="6" t="n"/>
    </row>
    <row r="42">
      <c r="A42" s="6" t="inlineStr">
        <is>
          <t>Interest paid on lease liabilities</t>
        </is>
      </c>
      <c r="B42" s="6" t="n"/>
      <c r="C42" s="6" t="n"/>
      <c r="D42" s="6" t="n">
        <v>-0.1</v>
      </c>
      <c r="E42" s="6" t="n">
        <v>-0.1</v>
      </c>
      <c r="F42" s="6" t="n">
        <v>-0.2</v>
      </c>
      <c r="G42" s="6" t="n">
        <v>-0.2</v>
      </c>
      <c r="H42" s="6" t="n"/>
      <c r="I42" s="6" t="n"/>
      <c r="J42" s="6" t="n"/>
      <c r="K42" s="6" t="n"/>
      <c r="L42" s="6" t="n"/>
      <c r="M42" s="6" t="n"/>
      <c r="N42" s="6" t="n"/>
      <c r="O42" s="6" t="n"/>
      <c r="P42" s="6" t="n"/>
      <c r="Q42" s="6" t="n"/>
      <c r="R42" s="6" t="n"/>
    </row>
    <row r="43">
      <c r="A43" s="5" t="inlineStr">
        <is>
          <t>Net cash generated/(used in) financing activities</t>
        </is>
      </c>
      <c r="B43" s="5" t="n">
        <v>-18.4</v>
      </c>
      <c r="C43" s="5" t="n">
        <v>-8.300000000000001</v>
      </c>
      <c r="D43" s="5" t="n">
        <v>-331.2</v>
      </c>
      <c r="E43" s="5" t="n">
        <v>-739.7</v>
      </c>
      <c r="F43" s="5" t="n">
        <v>-697.7</v>
      </c>
      <c r="G43" s="5" t="n">
        <v>-1280.5</v>
      </c>
      <c r="H43" s="5" t="n">
        <v>25.7</v>
      </c>
      <c r="I43" s="5" t="n">
        <v>-88.40000000000001</v>
      </c>
      <c r="J43" s="5" t="n"/>
      <c r="K43" s="5" t="n">
        <v>45.3</v>
      </c>
      <c r="L43" s="5" t="n">
        <v>65.5</v>
      </c>
      <c r="M43" s="5" t="n">
        <v>69.09999999999999</v>
      </c>
      <c r="N43" s="5" t="n"/>
      <c r="O43" s="5" t="n"/>
      <c r="P43" s="5" t="n"/>
      <c r="Q43" s="5" t="n"/>
      <c r="R43" s="5" t="n"/>
    </row>
    <row r="44">
      <c r="A44" s="5" t="inlineStr">
        <is>
          <t>Net (decrease)/increase in cash and cash equivalents</t>
        </is>
      </c>
      <c r="B44" s="5" t="n">
        <v>-1002.9</v>
      </c>
      <c r="C44" s="5" t="n">
        <v>320.2</v>
      </c>
      <c r="D44" s="5" t="n">
        <v>1083.8</v>
      </c>
      <c r="E44" s="5" t="n">
        <v>141.2</v>
      </c>
      <c r="F44" s="5" t="n">
        <v>131.4</v>
      </c>
      <c r="G44" s="5" t="n">
        <v>38.6</v>
      </c>
      <c r="H44" s="5" t="n">
        <v>-35.3</v>
      </c>
      <c r="I44" s="5" t="n">
        <v>411.2</v>
      </c>
      <c r="J44" s="5" t="n"/>
      <c r="K44" s="5" t="n">
        <v>-2</v>
      </c>
      <c r="L44" s="5" t="n">
        <v>15.9</v>
      </c>
      <c r="M44" s="5" t="n">
        <v>-301</v>
      </c>
      <c r="N44" s="5" t="n"/>
      <c r="O44" s="5" t="n"/>
      <c r="P44" s="5" t="n"/>
      <c r="Q44" s="5" t="n"/>
      <c r="R44" s="5" t="n"/>
    </row>
    <row r="45">
      <c r="A45" s="6" t="inlineStr">
        <is>
          <t>Cash and cash equivalents at start of the period</t>
        </is>
      </c>
      <c r="B45" s="6" t="n">
        <v>2219.6</v>
      </c>
      <c r="C45" s="6" t="n">
        <v>1899.4</v>
      </c>
      <c r="D45" s="6" t="n">
        <v>815.1</v>
      </c>
      <c r="E45" s="6" t="n">
        <v>674</v>
      </c>
      <c r="F45" s="6" t="n">
        <v>542.6</v>
      </c>
      <c r="G45" s="6" t="n">
        <v>504</v>
      </c>
      <c r="H45" s="6" t="n">
        <v>539.3</v>
      </c>
      <c r="I45" s="6" t="n">
        <v>128.1</v>
      </c>
      <c r="J45" s="6" t="n"/>
      <c r="K45" s="6" t="n">
        <v>130.1</v>
      </c>
      <c r="L45" s="6" t="n">
        <v>114.2</v>
      </c>
      <c r="M45" s="6" t="n">
        <v>415.2</v>
      </c>
      <c r="N45" s="6" t="n"/>
      <c r="O45" s="6" t="n"/>
      <c r="P45" s="6" t="n"/>
      <c r="Q45" s="6" t="n"/>
      <c r="R45" s="6" t="n"/>
    </row>
    <row r="46">
      <c r="A46" s="5" t="inlineStr">
        <is>
          <t>Cash and cash equivalents at end of the period</t>
        </is>
      </c>
      <c r="B46" s="5" t="n">
        <v>1216.7</v>
      </c>
      <c r="C46" s="5" t="n">
        <v>2219.6</v>
      </c>
      <c r="D46" s="5" t="n">
        <v>1899.4</v>
      </c>
      <c r="E46" s="5" t="n">
        <v>815.2</v>
      </c>
      <c r="F46" s="5" t="n">
        <v>674</v>
      </c>
      <c r="G46" s="5" t="n">
        <v>542.6</v>
      </c>
      <c r="H46" s="5" t="n">
        <v>504</v>
      </c>
      <c r="I46" s="5" t="n">
        <v>539.3</v>
      </c>
      <c r="J46" s="5" t="n"/>
      <c r="K46" s="5" t="n">
        <v>128.1</v>
      </c>
      <c r="L46" s="5" t="n">
        <v>130.1</v>
      </c>
      <c r="M46" s="5" t="n">
        <v>114.2</v>
      </c>
      <c r="N46" s="5" t="n"/>
      <c r="O46" s="5" t="n"/>
      <c r="P46" s="5" t="n"/>
      <c r="Q46" s="5" t="n"/>
      <c r="R46" s="5" t="n"/>
    </row>
    <row r="48" ht="140" customHeight="1">
      <c r="A48"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FY2020: Full accounts for the year ended 30 June 2020, filed 13 Nov 2020, p.62 — https://find-and-update.company-information.service.gov.uk/company/00947662/filing-history/MzI4MzMzMzM4OGFkaXF6a2N4/document?format=pdf&amp;download=0
FY2019 &amp; FY2018 (18-month period ended 30 Jun 2018): Full accounts for the year ended 30 June 2019, filed 22 Nov 2019, p.51 — https://find-and-update.company-information.service.gov.uk/company/00947662/filing-history/MzI0OTY0MTQwMWFkaXF6a2N4/document?format=pdf&amp;download=0
FY2016 &amp; FY2015: Full accounts for the year ended 31 December 2016, filed 11 May 2017, p.28 — https://find-and-update.company-information.service.gov.uk/company/00947662/filing-history/MzE3NTQ0MTgwOGFkaXF6a2N4/document?format=pdf&amp;download=0
FY2014: Full accounts for the year ended 31 December 2015, filed 23 May 2016, p.78 (FY2014 comparative) — https://find-and-update.company-information.service.gov.uk/company/00947662/filing-history/MzE0OTEzMjU1M2FkaXF6a2N4/document?format=pdf&amp;download=0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FY2017 has no standalone 12-month cash flow statement (see YEARS comment above); FY2018's column is an 18-month period (1 Jan 2017 - 30 Jun 2018), not a 12-month year, so its flows are roughly 1.5x a normal year's and are not directly comparable to the years either side of it without adjusting for the extra 6 months.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
HD-073 (2026-09-06): checked for FY2009-FY2013 (the Balance Sheet/P&amp;L/Equity sheets' new floor) - no Cash Flow Statement exists in the Bank's FY2009-FY2013 statutory accounts at all. UK banking companies were exempt from FRS 1 (Cash Flow Statements) under the old UK GAAP framework these years were prepared under (confirmed directly against the accounts' own contents pages and full text - no such statement is listed or present in any of the 5 years' filings). This sheet is left with no FY2009-FY2013 columns at all: a genuine whole-sheet, multi-year self-skip, not a missed document.</t>
        </is>
      </c>
    </row>
  </sheetData>
  <mergeCells count="1">
    <mergeCell ref="A48:R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5" t="inlineStr">
        <is>
          <t>Gross loans and advances to customers, by product (excl. Property Development commitments)</t>
        </is>
      </c>
      <c r="B4" s="6" t="n"/>
      <c r="C4" s="6" t="n"/>
      <c r="D4" s="6" t="n"/>
      <c r="E4" s="6" t="n"/>
      <c r="F4" s="6" t="n"/>
      <c r="G4" s="6" t="n"/>
      <c r="H4" s="6" t="n"/>
      <c r="I4" s="6" t="n"/>
      <c r="J4" s="6" t="n"/>
      <c r="K4" s="6" t="n"/>
      <c r="L4" s="6" t="n"/>
      <c r="M4" s="6" t="n"/>
    </row>
    <row r="5">
      <c r="A5" s="6" t="inlineStr">
        <is>
          <t>Business Finance</t>
        </is>
      </c>
      <c r="B5" s="6" t="n">
        <v>3903.8</v>
      </c>
      <c r="C5" s="6" t="n">
        <v>3716.7</v>
      </c>
      <c r="D5" s="6" t="n"/>
      <c r="E5" s="6" t="n"/>
      <c r="F5" s="6" t="n"/>
      <c r="G5" s="6" t="n"/>
      <c r="H5" s="6" t="n"/>
      <c r="I5" s="6" t="n"/>
      <c r="J5" s="6" t="n"/>
      <c r="K5" s="6" t="n"/>
      <c r="L5" s="6" t="n"/>
      <c r="M5" s="6" t="n"/>
    </row>
    <row r="6">
      <c r="A6" s="6" t="inlineStr">
        <is>
          <t>Property Finance</t>
        </is>
      </c>
      <c r="B6" s="6" t="n">
        <v>8728.4</v>
      </c>
      <c r="C6" s="6" t="n">
        <v>7832.5</v>
      </c>
      <c r="D6" s="6" t="n"/>
      <c r="E6" s="6" t="n"/>
      <c r="F6" s="6" t="n"/>
      <c r="G6" s="6" t="n"/>
      <c r="H6" s="6" t="n"/>
      <c r="I6" s="6" t="n"/>
      <c r="J6" s="6" t="n"/>
      <c r="K6" s="6" t="n"/>
      <c r="L6" s="6" t="n"/>
      <c r="M6" s="6" t="n"/>
    </row>
    <row r="7">
      <c r="A7" s="5" t="inlineStr">
        <is>
          <t>Total gross loans and advances (by product)</t>
        </is>
      </c>
      <c r="B7" s="5" t="n">
        <v>12632.2</v>
      </c>
      <c r="C7" s="5" t="n">
        <v>11549.2</v>
      </c>
      <c r="D7" s="5" t="n"/>
      <c r="E7" s="5" t="n"/>
      <c r="F7" s="5" t="n"/>
      <c r="G7" s="5" t="n"/>
      <c r="H7" s="5" t="n"/>
      <c r="I7" s="5" t="n"/>
      <c r="J7" s="5" t="n"/>
      <c r="K7" s="5" t="n"/>
      <c r="L7" s="5" t="n"/>
      <c r="M7" s="5" t="n"/>
    </row>
    <row r="8">
      <c r="A8" s="5" t="inlineStr">
        <is>
          <t>Gross loans and advances to customers, by IFRS 9 stage</t>
        </is>
      </c>
      <c r="B8" s="6" t="n"/>
      <c r="C8" s="6" t="n"/>
      <c r="D8" s="6" t="n"/>
      <c r="E8" s="6" t="n"/>
      <c r="F8" s="6" t="n"/>
      <c r="G8" s="6" t="n"/>
      <c r="H8" s="6" t="n"/>
      <c r="I8" s="6" t="n"/>
      <c r="J8" s="6" t="n"/>
      <c r="K8" s="6" t="n"/>
      <c r="L8" s="6" t="n"/>
      <c r="M8" s="6" t="n"/>
    </row>
    <row r="9">
      <c r="A9" s="6" t="inlineStr">
        <is>
          <t>Stage 1 (performing)</t>
        </is>
      </c>
      <c r="B9" s="6" t="n">
        <v>11395.2</v>
      </c>
      <c r="C9" s="6" t="n">
        <v>10466.4</v>
      </c>
      <c r="D9" s="6" t="n">
        <v>10211.2</v>
      </c>
      <c r="E9" s="6" t="n">
        <v>9591.1</v>
      </c>
      <c r="F9" s="6" t="n">
        <v>9209.1</v>
      </c>
      <c r="G9" s="6" t="n"/>
      <c r="H9" s="6" t="n"/>
      <c r="I9" s="6" t="n"/>
      <c r="J9" s="6" t="n"/>
      <c r="K9" s="6" t="n"/>
      <c r="L9" s="6" t="n"/>
      <c r="M9" s="6" t="n"/>
    </row>
    <row r="10">
      <c r="A10" s="6" t="inlineStr">
        <is>
          <t>Stage 2 (underperforming)</t>
        </is>
      </c>
      <c r="B10" s="6" t="n">
        <v>814.8</v>
      </c>
      <c r="C10" s="6" t="n">
        <v>716.4</v>
      </c>
      <c r="D10" s="6" t="n">
        <v>664.9</v>
      </c>
      <c r="E10" s="6" t="n">
        <v>1026</v>
      </c>
      <c r="F10" s="6" t="n">
        <v>956.6</v>
      </c>
      <c r="G10" s="6" t="n"/>
      <c r="H10" s="6" t="n"/>
      <c r="I10" s="6" t="n"/>
      <c r="J10" s="6" t="n"/>
      <c r="K10" s="6" t="n"/>
      <c r="L10" s="6" t="n"/>
      <c r="M10" s="6" t="n"/>
    </row>
    <row r="11">
      <c r="A11" s="6" t="inlineStr">
        <is>
          <t>Stage 3 (credit-impaired)</t>
        </is>
      </c>
      <c r="B11" s="6" t="n">
        <v>422.2</v>
      </c>
      <c r="C11" s="6" t="n">
        <v>366.4</v>
      </c>
      <c r="D11" s="6" t="n">
        <v>287.3</v>
      </c>
      <c r="E11" s="6" t="n">
        <v>277.1</v>
      </c>
      <c r="F11" s="6" t="n">
        <v>343.9</v>
      </c>
      <c r="G11" s="6" t="n"/>
      <c r="H11" s="6" t="n"/>
      <c r="I11" s="6" t="n"/>
      <c r="J11" s="6" t="n"/>
      <c r="K11" s="6" t="n"/>
      <c r="L11" s="6" t="n"/>
      <c r="M11" s="6" t="n"/>
    </row>
    <row r="12">
      <c r="A12" s="5" t="inlineStr">
        <is>
          <t>Total gross loans and advances (by stage)</t>
        </is>
      </c>
      <c r="B12" s="5" t="n">
        <v>12632.2</v>
      </c>
      <c r="C12" s="5" t="n">
        <v>11549.3</v>
      </c>
      <c r="D12" s="5" t="n">
        <v>11163.4</v>
      </c>
      <c r="E12" s="5" t="n">
        <v>10894.2</v>
      </c>
      <c r="F12" s="5" t="n">
        <v>10509.6</v>
      </c>
      <c r="G12" s="5" t="n"/>
      <c r="H12" s="5" t="n"/>
      <c r="I12" s="5" t="n"/>
      <c r="J12" s="5" t="n"/>
      <c r="K12" s="5" t="n"/>
      <c r="L12" s="5" t="n"/>
      <c r="M12" s="5" t="n"/>
    </row>
    <row r="13">
      <c r="A13" s="5" t="inlineStr">
        <is>
          <t>Allowance for impairment losses, by IFRS 9 stage</t>
        </is>
      </c>
      <c r="B13" s="6" t="n"/>
      <c r="C13" s="6" t="n"/>
      <c r="D13" s="6" t="n"/>
      <c r="E13" s="6" t="n"/>
      <c r="F13" s="6" t="n"/>
      <c r="G13" s="6" t="n"/>
      <c r="H13" s="6" t="n"/>
      <c r="I13" s="6" t="n"/>
      <c r="J13" s="6" t="n"/>
      <c r="K13" s="6" t="n"/>
      <c r="L13" s="6" t="n"/>
      <c r="M13" s="6" t="n"/>
    </row>
    <row r="14">
      <c r="A14" s="6" t="inlineStr">
        <is>
          <t>Stage 1 (performing)</t>
        </is>
      </c>
      <c r="B14" s="6" t="n">
        <v>-34.2</v>
      </c>
      <c r="C14" s="6" t="n">
        <v>-50.2</v>
      </c>
      <c r="D14" s="6" t="n">
        <v>-91.40000000000001</v>
      </c>
      <c r="E14" s="6" t="n">
        <v>-48.3</v>
      </c>
      <c r="F14" s="6" t="n">
        <v>-32.8</v>
      </c>
      <c r="G14" s="6" t="n"/>
      <c r="H14" s="6" t="n"/>
      <c r="I14" s="6" t="n"/>
      <c r="J14" s="6" t="n"/>
      <c r="K14" s="6" t="n"/>
      <c r="L14" s="6" t="n"/>
      <c r="M14" s="6" t="n"/>
    </row>
    <row r="15">
      <c r="A15" s="6" t="inlineStr">
        <is>
          <t>Stage 2 (underperforming)</t>
        </is>
      </c>
      <c r="B15" s="6" t="n">
        <v>-22.6</v>
      </c>
      <c r="C15" s="6" t="n">
        <v>-25.6</v>
      </c>
      <c r="D15" s="6" t="n">
        <v>-25.2</v>
      </c>
      <c r="E15" s="6" t="n">
        <v>-19.8</v>
      </c>
      <c r="F15" s="6" t="n">
        <v>-24.1</v>
      </c>
      <c r="G15" s="6" t="n"/>
      <c r="H15" s="6" t="n"/>
      <c r="I15" s="6" t="n"/>
      <c r="J15" s="6" t="n"/>
      <c r="K15" s="6" t="n"/>
      <c r="L15" s="6" t="n"/>
      <c r="M15" s="6" t="n"/>
    </row>
    <row r="16">
      <c r="A16" s="6" t="inlineStr">
        <is>
          <t>Stage 3 (credit-impaired)</t>
        </is>
      </c>
      <c r="B16" s="6" t="n">
        <v>-52</v>
      </c>
      <c r="C16" s="6" t="n">
        <v>-57.2</v>
      </c>
      <c r="D16" s="6" t="n">
        <v>-48</v>
      </c>
      <c r="E16" s="6" t="n">
        <v>-48.7</v>
      </c>
      <c r="F16" s="6" t="n">
        <v>-59.1</v>
      </c>
      <c r="G16" s="6" t="n"/>
      <c r="H16" s="6" t="n"/>
      <c r="I16" s="6" t="n"/>
      <c r="J16" s="6" t="n"/>
      <c r="K16" s="6" t="n"/>
      <c r="L16" s="6" t="n"/>
      <c r="M16" s="6" t="n"/>
    </row>
    <row r="17">
      <c r="A17" s="5" t="inlineStr">
        <is>
          <t>Total allowance for impairment losses</t>
        </is>
      </c>
      <c r="B17" s="5" t="n">
        <v>-108.8</v>
      </c>
      <c r="C17" s="5" t="n">
        <v>-133</v>
      </c>
      <c r="D17" s="5" t="n">
        <v>-164.6</v>
      </c>
      <c r="E17" s="5" t="n">
        <v>-116.8</v>
      </c>
      <c r="F17" s="5" t="n">
        <v>-116</v>
      </c>
      <c r="G17" s="5" t="n"/>
      <c r="H17" s="5" t="n"/>
      <c r="I17" s="5" t="n"/>
      <c r="J17" s="5" t="n"/>
      <c r="K17" s="5" t="n"/>
      <c r="L17" s="5" t="n"/>
      <c r="M17" s="5" t="n"/>
    </row>
    <row r="18">
      <c r="A18" s="5" t="inlineStr">
        <is>
          <t>Asset quality ratios</t>
        </is>
      </c>
      <c r="B18" s="6" t="n"/>
      <c r="C18" s="6" t="n"/>
      <c r="D18" s="6" t="n"/>
      <c r="E18" s="6" t="n"/>
      <c r="F18" s="6" t="n"/>
      <c r="G18" s="6" t="n"/>
      <c r="H18" s="6" t="n"/>
      <c r="I18" s="6" t="n"/>
      <c r="J18" s="6" t="n"/>
      <c r="K18" s="6" t="n"/>
      <c r="L18" s="6" t="n"/>
      <c r="M18" s="6" t="n"/>
    </row>
    <row r="19">
      <c r="A19" s="6" t="inlineStr">
        <is>
          <t>ECL coverage ratio (Total allowance / Total gross loans)</t>
        </is>
      </c>
      <c r="B19" s="6" t="inlineStr">
        <is>
          <t>0.86%</t>
        </is>
      </c>
      <c r="C19" s="6" t="inlineStr">
        <is>
          <t>1.15%</t>
        </is>
      </c>
      <c r="D19" s="6" t="inlineStr">
        <is>
          <t>1.47%</t>
        </is>
      </c>
      <c r="E19" s="6" t="inlineStr">
        <is>
          <t>1.07%</t>
        </is>
      </c>
      <c r="F19" s="6" t="inlineStr">
        <is>
          <t>1.10%</t>
        </is>
      </c>
      <c r="G19" s="6" t="n"/>
      <c r="H19" s="6" t="n"/>
      <c r="I19" s="6" t="n"/>
      <c r="J19" s="6" t="n"/>
      <c r="K19" s="6" t="n"/>
      <c r="L19" s="6" t="n"/>
      <c r="M19" s="6" t="n"/>
    </row>
    <row r="20">
      <c r="A20" s="6" t="inlineStr">
        <is>
          <t>Stage 3 (NPL) ratio (Stage 3 gross loans / Total gross loans)</t>
        </is>
      </c>
      <c r="B20" s="6" t="inlineStr">
        <is>
          <t>3.34%</t>
        </is>
      </c>
      <c r="C20" s="6" t="inlineStr">
        <is>
          <t>3.17%</t>
        </is>
      </c>
      <c r="D20" s="6" t="inlineStr">
        <is>
          <t>2.57%</t>
        </is>
      </c>
      <c r="E20" s="6" t="inlineStr">
        <is>
          <t>2.54%</t>
        </is>
      </c>
      <c r="F20" s="6" t="inlineStr">
        <is>
          <t>3.27%</t>
        </is>
      </c>
      <c r="G20" s="6" t="n"/>
      <c r="H20" s="6" t="n"/>
      <c r="I20" s="6" t="n"/>
      <c r="J20" s="6" t="n"/>
      <c r="K20" s="6" t="n"/>
      <c r="L20" s="6" t="n"/>
      <c r="M20" s="6" t="n"/>
    </row>
    <row r="21">
      <c r="A21" s="6" t="inlineStr">
        <is>
          <t>Stage 3 coverage ratio (Stage 3 allowance / Stage 3 gross loans)</t>
        </is>
      </c>
      <c r="B21" s="6" t="inlineStr">
        <is>
          <t>12.32%</t>
        </is>
      </c>
      <c r="C21" s="6" t="inlineStr">
        <is>
          <t>15.61%</t>
        </is>
      </c>
      <c r="D21" s="6" t="inlineStr">
        <is>
          <t>16.71%</t>
        </is>
      </c>
      <c r="E21" s="6" t="inlineStr">
        <is>
          <t>17.58%</t>
        </is>
      </c>
      <c r="F21" s="6" t="inlineStr">
        <is>
          <t>17.18%</t>
        </is>
      </c>
      <c r="G21" s="6" t="n"/>
      <c r="H21" s="6" t="n"/>
      <c r="I21" s="6" t="n"/>
      <c r="J21" s="6" t="n"/>
      <c r="K21" s="6" t="n"/>
      <c r="L21" s="6" t="n"/>
      <c r="M21" s="6" t="n"/>
    </row>
    <row r="22">
      <c r="A22" s="5" t="inlineStr">
        <is>
          <t>Gross loans and advances to customers, by product (IAS 39 basis, pre-IFRS 9)</t>
        </is>
      </c>
      <c r="B22" s="6" t="n"/>
      <c r="C22" s="6" t="n"/>
      <c r="D22" s="6" t="n"/>
      <c r="E22" s="6" t="n"/>
      <c r="F22" s="6" t="n"/>
      <c r="G22" s="6" t="n"/>
      <c r="H22" s="6" t="n"/>
      <c r="I22" s="6" t="n"/>
      <c r="J22" s="6" t="n"/>
      <c r="K22" s="6" t="n"/>
      <c r="L22" s="6" t="n"/>
      <c r="M22" s="6" t="n"/>
    </row>
    <row r="23">
      <c r="A23" s="6" t="inlineStr">
        <is>
          <t>Asset Finance</t>
        </is>
      </c>
      <c r="B23" s="6" t="n"/>
      <c r="C23" s="6" t="n"/>
      <c r="D23" s="6" t="n"/>
      <c r="E23" s="6" t="n"/>
      <c r="F23" s="6" t="n"/>
      <c r="G23" s="6" t="n"/>
      <c r="H23" s="6" t="n"/>
      <c r="I23" s="6" t="n"/>
      <c r="J23" s="6" t="n"/>
      <c r="K23" s="6" t="n"/>
      <c r="L23" s="6" t="n">
        <v>1346.7</v>
      </c>
      <c r="M23" s="6" t="n">
        <v>1044.3</v>
      </c>
    </row>
    <row r="24">
      <c r="A24" s="6" t="inlineStr">
        <is>
          <t>Invoice Finance</t>
        </is>
      </c>
      <c r="B24" s="6" t="n"/>
      <c r="C24" s="6" t="n"/>
      <c r="D24" s="6" t="n"/>
      <c r="E24" s="6" t="n"/>
      <c r="F24" s="6" t="n"/>
      <c r="G24" s="6" t="n"/>
      <c r="H24" s="6" t="n"/>
      <c r="I24" s="6" t="n"/>
      <c r="J24" s="6" t="n"/>
      <c r="K24" s="6" t="n"/>
      <c r="L24" s="6" t="n">
        <v>160.8</v>
      </c>
      <c r="M24" s="6" t="n">
        <v>180.6</v>
      </c>
    </row>
    <row r="25">
      <c r="A25" s="6" t="inlineStr">
        <is>
          <t>SME Commercial Mortgages</t>
        </is>
      </c>
      <c r="B25" s="6" t="n"/>
      <c r="C25" s="6" t="n"/>
      <c r="D25" s="6" t="n"/>
      <c r="E25" s="6" t="n"/>
      <c r="F25" s="6" t="n"/>
      <c r="G25" s="6" t="n"/>
      <c r="H25" s="6" t="n"/>
      <c r="I25" s="6" t="n"/>
      <c r="J25" s="6" t="n"/>
      <c r="K25" s="6" t="n"/>
      <c r="L25" s="6" t="n">
        <v>829.2</v>
      </c>
      <c r="M25" s="6" t="n">
        <v>552.4</v>
      </c>
    </row>
    <row r="26">
      <c r="A26" s="6" t="inlineStr">
        <is>
          <t>Buy-to-Let</t>
        </is>
      </c>
      <c r="B26" s="6" t="n"/>
      <c r="C26" s="6" t="n"/>
      <c r="D26" s="6" t="n"/>
      <c r="E26" s="6" t="n"/>
      <c r="F26" s="6" t="n"/>
      <c r="G26" s="6" t="n"/>
      <c r="H26" s="6" t="n"/>
      <c r="I26" s="6" t="n"/>
      <c r="J26" s="6" t="n"/>
      <c r="K26" s="6" t="n"/>
      <c r="L26" s="6" t="n">
        <v>2417.9</v>
      </c>
      <c r="M26" s="6" t="n">
        <v>2044.1</v>
      </c>
    </row>
    <row r="27">
      <c r="A27" s="6" t="inlineStr">
        <is>
          <t>Residential Mortgages</t>
        </is>
      </c>
      <c r="B27" s="6" t="n"/>
      <c r="C27" s="6" t="n"/>
      <c r="D27" s="6" t="n"/>
      <c r="E27" s="6" t="n"/>
      <c r="F27" s="6" t="n"/>
      <c r="G27" s="6" t="n"/>
      <c r="H27" s="6" t="n"/>
      <c r="I27" s="6" t="n"/>
      <c r="J27" s="6" t="n"/>
      <c r="K27" s="6" t="n"/>
      <c r="L27" s="6" t="n">
        <v>1390.2</v>
      </c>
      <c r="M27" s="6" t="n">
        <v>979.7</v>
      </c>
    </row>
    <row r="28">
      <c r="A28" s="5" t="inlineStr">
        <is>
          <t>Total gross loans and advances (by product, IAS 39 basis)</t>
        </is>
      </c>
      <c r="B28" s="5" t="n"/>
      <c r="C28" s="5" t="n"/>
      <c r="D28" s="5" t="n"/>
      <c r="E28" s="5" t="n"/>
      <c r="F28" s="5" t="n"/>
      <c r="G28" s="5" t="n"/>
      <c r="H28" s="5" t="n"/>
      <c r="I28" s="5" t="n"/>
      <c r="J28" s="5" t="n"/>
      <c r="K28" s="5" t="n"/>
      <c r="L28" s="5" t="n">
        <v>6144.8</v>
      </c>
      <c r="M28" s="5" t="n">
        <v>4801.1</v>
      </c>
    </row>
    <row r="29">
      <c r="A29" s="5" t="inlineStr">
        <is>
          <t>Impaired loans and coverage (IAS 39 basis, pre-IFRS 9)</t>
        </is>
      </c>
      <c r="B29" s="6" t="n"/>
      <c r="C29" s="6" t="n"/>
      <c r="D29" s="6" t="n"/>
      <c r="E29" s="6" t="n"/>
      <c r="F29" s="6" t="n"/>
      <c r="G29" s="6" t="n"/>
      <c r="H29" s="6" t="n"/>
      <c r="I29" s="6" t="n"/>
      <c r="J29" s="6" t="n"/>
      <c r="K29" s="6" t="n"/>
      <c r="L29" s="6" t="n"/>
      <c r="M29" s="6" t="n"/>
    </row>
    <row r="30">
      <c r="A30" s="6" t="inlineStr">
        <is>
          <t>Individually impaired loans (all products)</t>
        </is>
      </c>
      <c r="B30" s="6" t="n"/>
      <c r="C30" s="6" t="n"/>
      <c r="D30" s="6" t="n"/>
      <c r="E30" s="6" t="n"/>
      <c r="F30" s="6" t="n"/>
      <c r="G30" s="6" t="n"/>
      <c r="H30" s="6" t="n"/>
      <c r="I30" s="6" t="n"/>
      <c r="J30" s="6" t="n"/>
      <c r="K30" s="6" t="n"/>
      <c r="L30" s="6" t="n">
        <v>22.8</v>
      </c>
      <c r="M30" s="6" t="n">
        <v>20.8</v>
      </c>
    </row>
    <row r="31">
      <c r="A31" s="6" t="inlineStr">
        <is>
          <t>Allowance for losses — individual provisions</t>
        </is>
      </c>
      <c r="B31" s="6" t="n"/>
      <c r="C31" s="6" t="n"/>
      <c r="D31" s="6" t="n"/>
      <c r="E31" s="6" t="n"/>
      <c r="F31" s="6" t="n"/>
      <c r="G31" s="6" t="n"/>
      <c r="H31" s="6" t="n"/>
      <c r="I31" s="6" t="n"/>
      <c r="J31" s="6" t="n"/>
      <c r="K31" s="6" t="n"/>
      <c r="L31" s="6" t="n">
        <v>-10.2</v>
      </c>
      <c r="M31" s="6" t="n">
        <v>-14</v>
      </c>
    </row>
    <row r="32">
      <c r="A32" s="6" t="inlineStr">
        <is>
          <t>Individually impaired loans as a % of gross loans and advances</t>
        </is>
      </c>
      <c r="B32" s="6" t="n"/>
      <c r="C32" s="6" t="n"/>
      <c r="D32" s="6" t="n"/>
      <c r="E32" s="6" t="n"/>
      <c r="F32" s="6" t="n"/>
      <c r="G32" s="6" t="n"/>
      <c r="H32" s="6" t="n"/>
      <c r="I32" s="6" t="n"/>
      <c r="J32" s="6" t="n"/>
      <c r="K32" s="6" t="n"/>
      <c r="L32" s="6" t="inlineStr">
        <is>
          <t>0.37%</t>
        </is>
      </c>
      <c r="M32" s="6" t="inlineStr">
        <is>
          <t>0.43%</t>
        </is>
      </c>
    </row>
    <row r="33">
      <c r="A33" s="6" t="inlineStr">
        <is>
          <t>Coverage ratio (individual provisions / individually impaired loans)</t>
        </is>
      </c>
      <c r="B33" s="6" t="n"/>
      <c r="C33" s="6" t="n"/>
      <c r="D33" s="6" t="n"/>
      <c r="E33" s="6" t="n"/>
      <c r="F33" s="6" t="n"/>
      <c r="G33" s="6" t="n"/>
      <c r="H33" s="6" t="n"/>
      <c r="I33" s="6" t="n"/>
      <c r="J33" s="6" t="n"/>
      <c r="K33" s="6" t="n"/>
      <c r="L33" s="6" t="inlineStr">
        <is>
          <t>44.74%</t>
        </is>
      </c>
      <c r="M33" s="6" t="inlineStr">
        <is>
          <t>67.40%</t>
        </is>
      </c>
    </row>
    <row r="35" ht="170" customHeight="1">
      <c r="A35"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FY2015 &amp; FY2014 (by product; impaired loans and coverage, IAS 39 basis): Full accounts for the year ended 31 December 2015, filed 23 May 2016, p.55-58 (Risk Management — Impaired loan analysis, Impairment coverage ratio, Credit concentration by product) — https://find-and-update.company-information.service.gov.uk/company/00947662/filing-history/MzE0OTEzMjU1M2FkaXF6a2N4/document?format=pdf&amp;download=0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
HD-047 extension (FY2014-FY2020): IFRS 9 (the source of the Stage 1/2/3 framework above) only took effect for the Bank from 1 July 2018, so FY2014-FY2016 report credit quality on the older IAS 39 'individually impaired vs collectively assessed' basis instead — a separate section below carries that basis for the two years (FY2015, FY2014) where the full impairment-coverage note was reviewed; it is not mechanically comparable to the IFRS 9 Stage 1/2/3 rows above (different recognition trigger and no forward-looking ECL overlay). FY2016's own 'by-product' and impairment-coverage note detail, and FY2018/FY2019/FY2020's IFRS 9 stage-level note detail, were not extracted in this session (the Companies House filings for these years are scanned images with no text layer, so locating and transcribing note-level tables requires page-by-page visual review beyond this session's budget) — those three years are therefore left blank on this sheet. Balance Sheet gross exposure (via 'Loans and advances to customers', net of allowance) is unaffected and is populated for FY2016/FY2018/FY2019/FY2020 on the Balance Sheet sheet.</t>
        </is>
      </c>
    </row>
  </sheetData>
  <mergeCells count="1">
    <mergeCell ref="A35:M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CET1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Common Equity Tier 1 (CET1) capital</t>
        </is>
      </c>
      <c r="B4" s="6" t="n">
        <v>1337.8</v>
      </c>
      <c r="C4" s="6" t="n">
        <v>1321.5</v>
      </c>
      <c r="D4" s="6" t="n">
        <v>1203.8</v>
      </c>
      <c r="E4" s="6" t="n">
        <v>1065.9</v>
      </c>
      <c r="F4" s="6" t="n">
        <v>947</v>
      </c>
      <c r="G4" s="6" t="n"/>
      <c r="H4" s="6" t="n">
        <v>781.6</v>
      </c>
      <c r="I4" s="6" t="n">
        <v>682.2</v>
      </c>
      <c r="J4" s="6" t="n"/>
      <c r="K4" s="6" t="n"/>
      <c r="L4" s="6" t="n">
        <v>433.2</v>
      </c>
      <c r="M4" s="6" t="n">
        <v>280.7</v>
      </c>
    </row>
    <row r="5" ht="60" customHeight="1">
      <c r="A5" s="7" t="inlineStr">
        <is>
          <t>Note: FY2016 and FY2020: no CET1 capital £m figure survives outside a full Pillar 3 document (only the CET1 ratio % does, from each year's own Annual Report highlights) — see the CET1 Ratio sheet.</t>
        </is>
      </c>
    </row>
    <row r="7" ht="110" customHeight="1">
      <c r="A7"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CET1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Common Equity Tier 1 ratio</t>
        </is>
      </c>
      <c r="B4" s="6" t="inlineStr">
        <is>
          <t>18.4%</t>
        </is>
      </c>
      <c r="C4" s="6" t="inlineStr">
        <is>
          <t>19.2%</t>
        </is>
      </c>
      <c r="D4" s="6" t="inlineStr">
        <is>
          <t>18.5%</t>
        </is>
      </c>
      <c r="E4" s="6" t="inlineStr">
        <is>
          <t>17.0%</t>
        </is>
      </c>
      <c r="F4" s="6" t="inlineStr">
        <is>
          <t>15.9%</t>
        </is>
      </c>
      <c r="G4" s="6" t="inlineStr">
        <is>
          <t>13.4%</t>
        </is>
      </c>
      <c r="H4" s="6" t="inlineStr">
        <is>
          <t>12.6%</t>
        </is>
      </c>
      <c r="I4" s="6" t="inlineStr">
        <is>
          <t>12.5%</t>
        </is>
      </c>
      <c r="J4" s="6" t="n"/>
      <c r="K4" s="6" t="inlineStr">
        <is>
          <t>11.4%</t>
        </is>
      </c>
      <c r="L4" s="6" t="inlineStr">
        <is>
          <t>11.7%</t>
        </is>
      </c>
      <c r="M4" s="6" t="inlineStr">
        <is>
          <t>10.3%</t>
        </is>
      </c>
    </row>
    <row r="5" ht="60" customHeight="1">
      <c r="A5" s="7" t="inlineStr">
        <is>
          <t>Note: FY2020 and FY2016 CET1 ratios are sourced from the Bank's own Annual Report 'Financial highlights' page (no standalone Pillar 3 document survives for those two years — see p3_sources note above), not from a Pillar 3 Key metrics table as for every other year on this sheet.</t>
        </is>
      </c>
    </row>
    <row r="7" ht="110" customHeight="1">
      <c r="A7"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Tier 1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Tier 1 capital</t>
        </is>
      </c>
      <c r="B4" s="6" t="n">
        <v>1387.8</v>
      </c>
      <c r="C4" s="6" t="n">
        <v>1382.5</v>
      </c>
      <c r="D4" s="6" t="n">
        <v>1264.8</v>
      </c>
      <c r="E4" s="6" t="n">
        <v>1126.6</v>
      </c>
      <c r="F4" s="6" t="n">
        <v>1008</v>
      </c>
      <c r="G4" s="6" t="n"/>
      <c r="H4" s="6" t="n">
        <v>855.9</v>
      </c>
      <c r="I4" s="6" t="n">
        <v>756.5</v>
      </c>
      <c r="J4" s="6" t="n"/>
      <c r="K4" s="6" t="n"/>
      <c r="L4" s="6" t="n">
        <v>507.5</v>
      </c>
      <c r="M4" s="6" t="n">
        <v>355</v>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Tier 1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Tier 1 ratio</t>
        </is>
      </c>
      <c r="B4" s="6" t="inlineStr">
        <is>
          <t>19.1%</t>
        </is>
      </c>
      <c r="C4" s="6" t="inlineStr">
        <is>
          <t>20.1%</t>
        </is>
      </c>
      <c r="D4" s="6" t="inlineStr">
        <is>
          <t>19.4%</t>
        </is>
      </c>
      <c r="E4" s="6" t="inlineStr">
        <is>
          <t>18.0%</t>
        </is>
      </c>
      <c r="F4" s="6" t="inlineStr">
        <is>
          <t>16.9%</t>
        </is>
      </c>
      <c r="G4" s="6" t="n"/>
      <c r="H4" s="6" t="inlineStr">
        <is>
          <t>13.9%</t>
        </is>
      </c>
      <c r="I4" s="6" t="inlineStr">
        <is>
          <t>13.9%</t>
        </is>
      </c>
      <c r="J4" s="6" t="n"/>
      <c r="K4" s="6" t="n"/>
      <c r="L4" s="6" t="inlineStr">
        <is>
          <t>13.8%</t>
        </is>
      </c>
      <c r="M4" s="6" t="inlineStr">
        <is>
          <t>13.1%</t>
        </is>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Total Capital</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capital</t>
        </is>
      </c>
      <c r="B4" s="6" t="n">
        <v>1487.8</v>
      </c>
      <c r="C4" s="6" t="n">
        <v>1482.5</v>
      </c>
      <c r="D4" s="6" t="n">
        <v>1364.8</v>
      </c>
      <c r="E4" s="6" t="n">
        <v>1226.6</v>
      </c>
      <c r="F4" s="6" t="n">
        <v>1168</v>
      </c>
      <c r="G4" s="6" t="n"/>
      <c r="H4" s="6" t="n">
        <v>1015.9</v>
      </c>
      <c r="I4" s="6" t="n">
        <v>833.9</v>
      </c>
      <c r="J4" s="6" t="n"/>
      <c r="K4" s="6" t="n"/>
      <c r="L4" s="6" t="n">
        <v>556.1</v>
      </c>
      <c r="M4" s="6" t="n">
        <v>400.3</v>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Total Capital Ratio</t>
        </is>
      </c>
    </row>
    <row r="2">
      <c r="A2" s="2" t="inlineStr">
        <is>
          <t>Bank solo basis, % of RWA</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capital ratio</t>
        </is>
      </c>
      <c r="B4" s="6" t="inlineStr">
        <is>
          <t>20.5%</t>
        </is>
      </c>
      <c r="C4" s="6" t="inlineStr">
        <is>
          <t>21.6%</t>
        </is>
      </c>
      <c r="D4" s="6" t="inlineStr">
        <is>
          <t>21.0%</t>
        </is>
      </c>
      <c r="E4" s="6" t="inlineStr">
        <is>
          <t>19.6%</t>
        </is>
      </c>
      <c r="F4" s="6" t="inlineStr">
        <is>
          <t>19.6%</t>
        </is>
      </c>
      <c r="G4" s="6" t="n"/>
      <c r="H4" s="6" t="inlineStr">
        <is>
          <t>16.4%</t>
        </is>
      </c>
      <c r="I4" s="6" t="inlineStr">
        <is>
          <t>15.3%</t>
        </is>
      </c>
      <c r="J4" s="6" t="n"/>
      <c r="K4" s="6" t="n"/>
      <c r="L4" s="6" t="inlineStr">
        <is>
          <t>15.1%</t>
        </is>
      </c>
      <c r="M4" s="6" t="inlineStr">
        <is>
          <t>14.7%</t>
        </is>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Total RWAs</t>
        </is>
      </c>
    </row>
    <row r="2">
      <c r="A2" s="2" t="inlineStr">
        <is>
          <t>Bank solo basis, £m</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risk-weighted assets (RWA)</t>
        </is>
      </c>
      <c r="B4" s="6" t="n">
        <v>7271.6</v>
      </c>
      <c r="C4" s="6" t="n">
        <v>6875.6</v>
      </c>
      <c r="D4" s="6" t="n">
        <v>6504.9</v>
      </c>
      <c r="E4" s="6" t="n">
        <v>6260.1</v>
      </c>
      <c r="F4" s="6" t="n">
        <v>5964.1</v>
      </c>
      <c r="G4" s="6" t="n"/>
      <c r="H4" s="6" t="n">
        <v>6179</v>
      </c>
      <c r="I4" s="6" t="n">
        <v>5451</v>
      </c>
      <c r="J4" s="6" t="n"/>
      <c r="K4" s="6" t="n"/>
      <c r="L4" s="6" t="n">
        <v>3687.5</v>
      </c>
      <c r="M4" s="6" t="n">
        <v>2719.5</v>
      </c>
    </row>
    <row r="6" ht="110" customHeight="1">
      <c r="A6"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RWA Breakdown (Overview of Risk Weighted Assets)</t>
        </is>
      </c>
    </row>
    <row r="2">
      <c r="A2" s="2" t="inlineStr">
        <is>
          <t>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6" t="inlineStr">
        <is>
          <t>Credit risk (excluding CCR)</t>
        </is>
      </c>
      <c r="B4" s="6" t="n">
        <v>6410.7</v>
      </c>
      <c r="C4" s="6" t="n">
        <v>6071.2</v>
      </c>
      <c r="D4" s="6" t="n">
        <v>5802.1</v>
      </c>
      <c r="E4" s="6" t="n">
        <v>5624.9</v>
      </c>
      <c r="F4" s="6" t="n">
        <v>5338.2</v>
      </c>
      <c r="G4" s="6" t="n"/>
      <c r="H4" s="6" t="n">
        <v>5643.3</v>
      </c>
      <c r="I4" s="6" t="n">
        <v>4950.6</v>
      </c>
      <c r="J4" s="6" t="n"/>
      <c r="K4" s="6" t="n"/>
      <c r="L4" s="6" t="n">
        <v>3480.6</v>
      </c>
      <c r="M4" s="6" t="n">
        <v>2592.5</v>
      </c>
    </row>
    <row r="5">
      <c r="A5" s="6" t="inlineStr">
        <is>
          <t>Counterparty credit risk (CCR)</t>
        </is>
      </c>
      <c r="B5" s="6" t="n">
        <v>4.8</v>
      </c>
      <c r="C5" s="6" t="n">
        <v>20.9</v>
      </c>
      <c r="D5" s="6" t="n">
        <v>37.1</v>
      </c>
      <c r="E5" s="6" t="n">
        <v>0.9</v>
      </c>
      <c r="F5" s="6" t="n">
        <v>0.9</v>
      </c>
      <c r="G5" s="6" t="n"/>
      <c r="H5" s="6" t="n"/>
      <c r="I5" s="6" t="n"/>
      <c r="J5" s="6" t="n"/>
      <c r="K5" s="6" t="n"/>
      <c r="L5" s="6" t="n"/>
      <c r="M5" s="6" t="n"/>
    </row>
    <row r="6">
      <c r="A6" s="6" t="inlineStr">
        <is>
          <t>Securitisation exposures in the non-trading book</t>
        </is>
      </c>
      <c r="B6" s="6" t="n">
        <v>25.5</v>
      </c>
      <c r="C6" s="6" t="n">
        <v>40</v>
      </c>
      <c r="D6" s="6" t="n">
        <v>22.5</v>
      </c>
      <c r="E6" s="6" t="n">
        <v>29.2</v>
      </c>
      <c r="F6" s="6" t="n">
        <v>23.1</v>
      </c>
      <c r="G6" s="6" t="n"/>
      <c r="H6" s="6" t="n"/>
      <c r="I6" s="6" t="n"/>
      <c r="J6" s="6" t="n"/>
      <c r="K6" s="6" t="n"/>
      <c r="L6" s="6" t="n"/>
      <c r="M6" s="6" t="n"/>
    </row>
    <row r="7">
      <c r="A7" s="6" t="inlineStr">
        <is>
          <t>Position, foreign exchange and commodities risks (market risk)</t>
        </is>
      </c>
      <c r="B7" s="6" t="n">
        <v>0</v>
      </c>
      <c r="C7" s="6" t="n">
        <v>0.1</v>
      </c>
      <c r="D7" s="6" t="n">
        <v>1.8</v>
      </c>
      <c r="E7" s="6" t="n">
        <v>0.4</v>
      </c>
      <c r="F7" s="6" t="n">
        <v>0.1</v>
      </c>
      <c r="G7" s="6" t="n"/>
      <c r="H7" s="6" t="n">
        <v>0.3</v>
      </c>
      <c r="I7" s="6" t="n">
        <v>0.4</v>
      </c>
      <c r="J7" s="6" t="n"/>
      <c r="K7" s="6" t="n"/>
      <c r="L7" s="6" t="n">
        <v>0.1</v>
      </c>
      <c r="M7" s="6" t="n">
        <v>0.3</v>
      </c>
    </row>
    <row r="8">
      <c r="A8" s="6" t="inlineStr">
        <is>
          <t>Credit valuation adjustment (CVA)</t>
        </is>
      </c>
      <c r="B8" s="6" t="n"/>
      <c r="C8" s="6" t="n"/>
      <c r="D8" s="6" t="n"/>
      <c r="E8" s="6" t="n"/>
      <c r="F8" s="6" t="n"/>
      <c r="G8" s="6" t="n"/>
      <c r="H8" s="6" t="n">
        <v>2.1</v>
      </c>
      <c r="I8" s="6" t="n">
        <v>1</v>
      </c>
      <c r="J8" s="6" t="n"/>
      <c r="K8" s="6" t="n"/>
      <c r="L8" s="6" t="n">
        <v>1.3</v>
      </c>
      <c r="M8" s="6" t="n">
        <v>1.6</v>
      </c>
    </row>
    <row r="9">
      <c r="A9" s="6" t="inlineStr">
        <is>
          <t>Operational risk</t>
        </is>
      </c>
      <c r="B9" s="6" t="n">
        <v>830.6</v>
      </c>
      <c r="C9" s="6" t="n">
        <v>743.4</v>
      </c>
      <c r="D9" s="6" t="n">
        <v>641.4</v>
      </c>
      <c r="E9" s="6" t="n">
        <v>604.7</v>
      </c>
      <c r="F9" s="6" t="n">
        <v>601.8</v>
      </c>
      <c r="G9" s="6" t="n"/>
      <c r="H9" s="6" t="n">
        <v>533.3</v>
      </c>
      <c r="I9" s="6" t="n">
        <v>499</v>
      </c>
      <c r="J9" s="6" t="n"/>
      <c r="K9" s="6" t="n"/>
      <c r="L9" s="6" t="n">
        <v>205.5</v>
      </c>
      <c r="M9" s="6" t="n">
        <v>125.1</v>
      </c>
    </row>
    <row r="10">
      <c r="A10" s="5" t="inlineStr">
        <is>
          <t>Total risk-weighted assets (RWA)</t>
        </is>
      </c>
      <c r="B10" s="5" t="n">
        <v>7271.6</v>
      </c>
      <c r="C10" s="5" t="n">
        <v>6875.6</v>
      </c>
      <c r="D10" s="5" t="n">
        <v>6504.9</v>
      </c>
      <c r="E10" s="5" t="n">
        <v>6260.1</v>
      </c>
      <c r="F10" s="5" t="n">
        <v>5964.1</v>
      </c>
      <c r="G10" s="5" t="n"/>
      <c r="H10" s="5" t="n">
        <v>6179</v>
      </c>
      <c r="I10" s="5" t="n">
        <v>5451</v>
      </c>
      <c r="J10" s="5" t="n"/>
      <c r="K10" s="5" t="n"/>
      <c r="L10" s="5" t="n">
        <v>3687.5</v>
      </c>
      <c r="M10" s="5" t="n">
        <v>2719.5</v>
      </c>
    </row>
    <row r="12" ht="140" customHeight="1">
      <c r="A12" s="8" t="inlineStr">
        <is>
          <t>Sources — Aldermore Bank PLC solo figures from the 'Overview of RWA' / 'Total minimum Pillar 1 capital requirement' table, Aldermore Group PLC Pillar 3 Disclosures: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FY2019 &amp; FY2018: Pillar 3 Disclosures for the year ended 30 June 2019, p.57 (Appendix 1, Table 34 — Total minimum Pillar 1 capital requirement, Bank only) — https://www.aldermore.co.uk/media/2prbumkj/aldermore-group-plc-pillar-3-disclosure-document-at-30-june-2019.pdf
FY2015 &amp; FY2014: Pillar 3 Disclosures 31 December 2015, p.58 (Appendix 1, Table 31 — Total minimum Pillar 1 capital requirement, Bank only) — https://www.aldermore.co.uk/media/ot5axgnp/pillar-3-disclosure-dec-2015.pdf
PRESENTATION NOTE: transcribed from each year's own Pillar 3 disclosures' 'Overview of RWA' table, Bank solo (not Group) column, where a full Pillar 3 document is available. FY2019/FY2018 and FY2015/FY2014 use the simpler 'Total minimum Pillar 1 capital requirement' table instead (credit risk / market risk / operational risk / CVA only — no separate counterparty-credit-risk or securitisation RWA line existed in that disclosure format), so those two rows are blank for those years rather than estimated. FY2016 and FY2020 have no RWA breakdown at all (no standalone Pillar 3 document survives — see the Total RWAs sheet's note). This sheet's Total row ties out exactly to the Total RWAs sheet for every year with data.</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Leverage Ratio</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exposure measure excluding claims on central banks (£m)</t>
        </is>
      </c>
      <c r="B4" s="6" t="n">
        <v>15674.3</v>
      </c>
      <c r="C4" s="6" t="n">
        <v>14337.2</v>
      </c>
      <c r="D4" s="6" t="n">
        <v>13609.6</v>
      </c>
      <c r="E4" s="6" t="n">
        <v>13850.3</v>
      </c>
      <c r="F4" s="6" t="inlineStr">
        <is>
          <t>n/a</t>
        </is>
      </c>
      <c r="G4" s="6" t="n"/>
      <c r="H4" s="6" t="n">
        <v>12671.6</v>
      </c>
      <c r="I4" s="6" t="n">
        <v>10585.1</v>
      </c>
      <c r="J4" s="6" t="n"/>
      <c r="K4" s="6" t="n"/>
      <c r="L4" s="6" t="n">
        <v>7095.9</v>
      </c>
      <c r="M4" s="6" t="n">
        <v>5630.4</v>
      </c>
    </row>
    <row r="5">
      <c r="A5" s="6" t="inlineStr">
        <is>
          <t>Leverage ratio excluding claims on central banks (%)</t>
        </is>
      </c>
      <c r="B5" s="6" t="inlineStr">
        <is>
          <t>8.9%</t>
        </is>
      </c>
      <c r="C5" s="6" t="inlineStr">
        <is>
          <t>9.6%</t>
        </is>
      </c>
      <c r="D5" s="6" t="inlineStr">
        <is>
          <t>9.3%</t>
        </is>
      </c>
      <c r="E5" s="6" t="inlineStr">
        <is>
          <t>8.1%</t>
        </is>
      </c>
      <c r="F5" s="6" t="inlineStr">
        <is>
          <t>n/a</t>
        </is>
      </c>
      <c r="G5" s="6" t="n"/>
      <c r="H5" s="6" t="inlineStr">
        <is>
          <t>6.8%</t>
        </is>
      </c>
      <c r="I5" s="6" t="inlineStr">
        <is>
          <t>7.1%</t>
        </is>
      </c>
      <c r="J5" s="6" t="n"/>
      <c r="K5" s="6" t="n"/>
      <c r="L5" s="6" t="inlineStr">
        <is>
          <t>7.2%</t>
        </is>
      </c>
      <c r="M5" s="6" t="inlineStr">
        <is>
          <t>6.3%</t>
        </is>
      </c>
    </row>
    <row r="6" ht="60" customHeight="1">
      <c r="A6" s="7" t="inlineStr">
        <is>
          <t>Note: FY2021 leverage ratio disclosure basis was introduced from 1 January 2022; the FY2022 Pillar 3 report explicitly marks FY2021 as 'n/a' with no comparative provided under the new template. FY2019/FY2018 and FY2015/FY2014 figures are each year's own pre-2022 leverage ratio disclosure basis (both are the CRR Part Eight / EBA Implementing Technical Standard leverage ratio, but the 'excluding claims on central banks' variant used from FY2022 onward did not exist as a separate disclosure before then, so these earlier figures are the Bank's then-current all-exposures leverage ratio, not a like-for-like restatement) — FY2016 and FY2020 have no leverage ratio figure at all (no standalone Pillar 3 document survives for either year).</t>
        </is>
      </c>
    </row>
    <row r="8" ht="110" customHeight="1">
      <c r="A8"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LCR</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high-quality liquid assets (HQLA), weighted value average (£m)</t>
        </is>
      </c>
      <c r="B4" s="6" t="n">
        <v>3723.1</v>
      </c>
      <c r="C4" s="6" t="n">
        <v>4208.6</v>
      </c>
      <c r="D4" s="6" t="n">
        <v>3280.6</v>
      </c>
      <c r="E4" s="6" t="n">
        <v>2838.5</v>
      </c>
      <c r="F4" s="6" t="inlineStr">
        <is>
          <t>n/a</t>
        </is>
      </c>
      <c r="G4" s="6" t="inlineStr">
        <is>
          <t>n/a</t>
        </is>
      </c>
      <c r="H4" s="6" t="inlineStr">
        <is>
          <t>n/a</t>
        </is>
      </c>
      <c r="I4" s="6" t="inlineStr">
        <is>
          <t>n/a</t>
        </is>
      </c>
      <c r="J4" s="6" t="n"/>
      <c r="K4" s="6" t="inlineStr">
        <is>
          <t>n/a</t>
        </is>
      </c>
      <c r="L4" s="6" t="inlineStr">
        <is>
          <t>n/a</t>
        </is>
      </c>
      <c r="M4" s="6" t="inlineStr">
        <is>
          <t>n/a</t>
        </is>
      </c>
    </row>
    <row r="5">
      <c r="A5" s="6" t="inlineStr">
        <is>
          <t>Total net cash outflows, adjusted value (£m)</t>
        </is>
      </c>
      <c r="B5" s="6" t="n">
        <v>1968.3</v>
      </c>
      <c r="C5" s="6" t="n">
        <v>1959.4</v>
      </c>
      <c r="D5" s="6" t="n">
        <v>1686.4</v>
      </c>
      <c r="E5" s="6" t="n">
        <v>772.6</v>
      </c>
      <c r="F5" s="6" t="inlineStr">
        <is>
          <t>n/a</t>
        </is>
      </c>
      <c r="G5" s="6" t="inlineStr">
        <is>
          <t>n/a</t>
        </is>
      </c>
      <c r="H5" s="6" t="inlineStr">
        <is>
          <t>n/a</t>
        </is>
      </c>
      <c r="I5" s="6" t="inlineStr">
        <is>
          <t>n/a</t>
        </is>
      </c>
      <c r="J5" s="6" t="n"/>
      <c r="K5" s="6" t="inlineStr">
        <is>
          <t>n/a</t>
        </is>
      </c>
      <c r="L5" s="6" t="inlineStr">
        <is>
          <t>n/a</t>
        </is>
      </c>
      <c r="M5" s="6" t="inlineStr">
        <is>
          <t>n/a</t>
        </is>
      </c>
    </row>
    <row r="6">
      <c r="A6" s="6" t="inlineStr">
        <is>
          <t>Liquidity Coverage Ratio (%)</t>
        </is>
      </c>
      <c r="B6" s="6" t="inlineStr">
        <is>
          <t>189.2%</t>
        </is>
      </c>
      <c r="C6" s="6" t="inlineStr">
        <is>
          <t>214.8%</t>
        </is>
      </c>
      <c r="D6" s="6" t="inlineStr">
        <is>
          <t>194.5%</t>
        </is>
      </c>
      <c r="E6" s="6" t="inlineStr">
        <is>
          <t>367.4%</t>
        </is>
      </c>
      <c r="F6" s="6" t="inlineStr">
        <is>
          <t>n/a</t>
        </is>
      </c>
      <c r="G6" s="6" t="inlineStr">
        <is>
          <t>n/a</t>
        </is>
      </c>
      <c r="H6" s="6" t="inlineStr">
        <is>
          <t>n/a</t>
        </is>
      </c>
      <c r="I6" s="6" t="inlineStr">
        <is>
          <t>n/a</t>
        </is>
      </c>
      <c r="J6" s="6" t="n"/>
      <c r="K6" s="6" t="inlineStr">
        <is>
          <t>n/a</t>
        </is>
      </c>
      <c r="L6" s="6" t="inlineStr">
        <is>
          <t>n/a</t>
        </is>
      </c>
      <c r="M6" s="6" t="inlineStr">
        <is>
          <t>n/a</t>
        </is>
      </c>
    </row>
    <row r="7" ht="60" customHeight="1">
      <c r="A7" s="7" t="inlineStr">
        <is>
          <t>Note: LCR is computed as a 12-month average to the period end. FY2021 and earlier are all 'n/a' — the Bank-solo LCR disclosure template used on this sheet was introduced from 1 January 2022 (see FY2022 Pillar 3 report); no comparable Bank-solo LCR figure was located for FY2014-FY2020 in the documents reviewed for this extension (the Basel LCR standard itself phased in nationally from 2015, but the Bank's own Pillar 3 reports for those years did not publish a Bank-solo LCR figure in the format used here).</t>
        </is>
      </c>
    </row>
    <row r="9" ht="110" customHeight="1">
      <c r="A9"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NSFR</t>
        </is>
      </c>
    </row>
    <row r="2">
      <c r="A2" s="2" t="inlineStr">
        <is>
          <t>Bank solo basis, £m / %</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Total available stable funding (£m)</t>
        </is>
      </c>
      <c r="B4" s="6" t="n">
        <v>15972.4</v>
      </c>
      <c r="C4" s="6" t="n">
        <v>16133.4</v>
      </c>
      <c r="D4" s="6" t="n">
        <v>15490.2</v>
      </c>
      <c r="E4" s="6" t="n">
        <v>15667.6</v>
      </c>
      <c r="F4" s="6" t="inlineStr">
        <is>
          <t>n/a</t>
        </is>
      </c>
      <c r="G4" s="6" t="inlineStr">
        <is>
          <t>n/a</t>
        </is>
      </c>
      <c r="H4" s="6" t="inlineStr">
        <is>
          <t>n/a</t>
        </is>
      </c>
      <c r="I4" s="6" t="inlineStr">
        <is>
          <t>n/a</t>
        </is>
      </c>
      <c r="J4" s="6" t="n"/>
      <c r="K4" s="6" t="inlineStr">
        <is>
          <t>n/a</t>
        </is>
      </c>
      <c r="L4" s="6" t="inlineStr">
        <is>
          <t>n/a</t>
        </is>
      </c>
      <c r="M4" s="6" t="inlineStr">
        <is>
          <t>n/a</t>
        </is>
      </c>
    </row>
    <row r="5">
      <c r="A5" s="6" t="inlineStr">
        <is>
          <t>Total required stable funding (£m)</t>
        </is>
      </c>
      <c r="B5" s="6" t="n">
        <v>12166.9</v>
      </c>
      <c r="C5" s="6" t="n">
        <v>11778</v>
      </c>
      <c r="D5" s="6" t="n">
        <v>12161.3</v>
      </c>
      <c r="E5" s="6" t="n">
        <v>12169.6</v>
      </c>
      <c r="F5" s="6" t="inlineStr">
        <is>
          <t>n/a</t>
        </is>
      </c>
      <c r="G5" s="6" t="inlineStr">
        <is>
          <t>n/a</t>
        </is>
      </c>
      <c r="H5" s="6" t="inlineStr">
        <is>
          <t>n/a</t>
        </is>
      </c>
      <c r="I5" s="6" t="inlineStr">
        <is>
          <t>n/a</t>
        </is>
      </c>
      <c r="J5" s="6" t="n"/>
      <c r="K5" s="6" t="inlineStr">
        <is>
          <t>n/a</t>
        </is>
      </c>
      <c r="L5" s="6" t="inlineStr">
        <is>
          <t>n/a</t>
        </is>
      </c>
      <c r="M5" s="6" t="inlineStr">
        <is>
          <t>n/a</t>
        </is>
      </c>
    </row>
    <row r="6">
      <c r="A6" s="6" t="inlineStr">
        <is>
          <t>Net Stable Funding Ratio (%)</t>
        </is>
      </c>
      <c r="B6" s="6" t="inlineStr">
        <is>
          <t>131.3%</t>
        </is>
      </c>
      <c r="C6" s="6" t="inlineStr">
        <is>
          <t>137.0%</t>
        </is>
      </c>
      <c r="D6" s="6" t="inlineStr">
        <is>
          <t>127.4%</t>
        </is>
      </c>
      <c r="E6" s="6" t="inlineStr">
        <is>
          <t>128.7%</t>
        </is>
      </c>
      <c r="F6" s="6" t="inlineStr">
        <is>
          <t>n/a</t>
        </is>
      </c>
      <c r="G6" s="6" t="inlineStr">
        <is>
          <t>n/a</t>
        </is>
      </c>
      <c r="H6" s="6" t="inlineStr">
        <is>
          <t>n/a</t>
        </is>
      </c>
      <c r="I6" s="6" t="inlineStr">
        <is>
          <t>n/a</t>
        </is>
      </c>
      <c r="J6" s="6" t="n"/>
      <c r="K6" s="6" t="inlineStr">
        <is>
          <t>n/a</t>
        </is>
      </c>
      <c r="L6" s="6" t="inlineStr">
        <is>
          <t>n/a</t>
        </is>
      </c>
      <c r="M6" s="6" t="inlineStr">
        <is>
          <t>n/a</t>
        </is>
      </c>
    </row>
    <row r="7" ht="60" customHeight="1">
      <c r="A7" s="7" t="inlineStr">
        <is>
          <t>Note: NSFR is computed as a 4-quarter average to the period end. FY2021 and earlier are all 'n/a' — the UK NSFR requirement did not take effect until 1 January 2022 (see FY2022 Pillar 3 report), so no NSFR figure exists for FY2014-FY2020 at all.</t>
        </is>
      </c>
    </row>
    <row r="9" ht="110" customHeight="1">
      <c r="A9"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MREL Ratio</t>
        </is>
      </c>
    </row>
    <row r="2">
      <c r="A2" s="2" t="inlineStr">
        <is>
          <t>Bank solo basis</t>
        </is>
      </c>
    </row>
    <row r="3">
      <c r="A3" s="4" t="inlineStr">
        <is>
          <t>Metric</t>
        </is>
      </c>
      <c r="B3" s="4" t="inlineStr">
        <is>
          <t>FY2025 (y/e 30 Jun 25)</t>
        </is>
      </c>
      <c r="C3" s="4" t="inlineStr">
        <is>
          <t>FY2024 (y/e 30 Jun 24)</t>
        </is>
      </c>
      <c r="D3" s="4" t="inlineStr">
        <is>
          <t>FY2023 (y/e 30 Jun 23)</t>
        </is>
      </c>
      <c r="E3" s="4" t="inlineStr">
        <is>
          <t>FY2022 (y/e 30 Jun 22)</t>
        </is>
      </c>
      <c r="F3" s="4" t="inlineStr">
        <is>
          <t>FY2021 (y/e 30 Jun 21)</t>
        </is>
      </c>
      <c r="G3" s="4" t="inlineStr">
        <is>
          <t>FY2020 (y/e 30 Jun 20)</t>
        </is>
      </c>
      <c r="H3" s="4" t="inlineStr">
        <is>
          <t>FY2019 (y/e 30 Jun 19)</t>
        </is>
      </c>
      <c r="I3" s="4" t="inlineStr">
        <is>
          <t>FY2018 (18-month transition period, 1 Jan 17 - 30 Jun 18)</t>
        </is>
      </c>
      <c r="J3" s="4" t="inlineStr">
        <is>
          <t>FY2017 (no standalone 12-month period - see note)</t>
        </is>
      </c>
      <c r="K3" s="4" t="inlineStr">
        <is>
          <t>FY2016 (y/e 31 Dec 16)</t>
        </is>
      </c>
      <c r="L3" s="4" t="inlineStr">
        <is>
          <t>FY2015 (y/e 31 Dec 15)</t>
        </is>
      </c>
      <c r="M3" s="4" t="inlineStr">
        <is>
          <t>FY2014 (y/e 31 Dec 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MREL is not disclosed for Aldermore Bank PLC/Aldermore Group PLC in any Pillar 3 report reviewed — the Group sits below the balance-sheet threshold at which the Bank of England sets a bail-in MREL requirement above minimum capital requirements, so no separate MREL ratio is published.</t>
        </is>
      </c>
    </row>
    <row r="7" ht="110" customHeight="1">
      <c r="A7" s="8" t="inlineStr">
        <is>
          <t>Sources — Aldermore Bank PLC solo figures from the 'Key metrics'/capital-composition tables (Bank columns), Aldermore Group PLC Pillar 3 Disclosures (and the Bank's own Annual Report highlights where noted):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10"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60"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2026-09-06T20:49:57Z</dcterms:created>
  <dcterms:modified xmlns:dcterms="http://purl.org/dc/terms/" xmlns:xsi="http://www.w3.org/2001/XMLSchema-instance" xsi:type="dcterms:W3CDTF">2026-09-06T20:49:57Z</dcterms:modified>
</cp:coreProperties>
</file>