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G5" s="4" t="inlineStr">
        <is>
          <t>FY2020 (y/e 30 Jun 20)</t>
        </is>
      </c>
      <c r="H5" s="4" t="inlineStr">
        <is>
          <t>FY2019 (y/e 30 Jun 19)</t>
        </is>
      </c>
      <c r="I5" s="4" t="inlineStr">
        <is>
          <t>FY2018 (18-month transition period, 1 Jan 17 - 30 Jun 18)</t>
        </is>
      </c>
      <c r="J5" s="4" t="inlineStr">
        <is>
          <t>FY2017 (no standalone 12-month period - see note)</t>
        </is>
      </c>
      <c r="K5" s="4" t="inlineStr">
        <is>
          <t>FY2016 (y/e 31 Dec 16)</t>
        </is>
      </c>
      <c r="L5" s="4" t="inlineStr">
        <is>
          <t>FY2015 (y/e 31 Dec 15)</t>
        </is>
      </c>
      <c r="M5" s="4" t="inlineStr">
        <is>
          <t>FY2014 (y/e 31 Dec 14)</t>
        </is>
      </c>
      <c r="N5" s="4" t="inlineStr">
        <is>
          <t>FY2013 (y/e 31 Dec 13)</t>
        </is>
      </c>
      <c r="O5" s="4" t="inlineStr">
        <is>
          <t>FY2012 (y/e 31 Dec 12)</t>
        </is>
      </c>
      <c r="P5" s="4" t="inlineStr">
        <is>
          <t>FY2011 (y/e 31 Dec 11)</t>
        </is>
      </c>
      <c r="Q5" s="4" t="inlineStr">
        <is>
          <t>FY2010 (y/e 31 Dec 10)</t>
        </is>
      </c>
      <c r="R5" s="4" t="inlineStr">
        <is>
          <t>FY2009 (9-month stub, 1 Apr 09 - 31 Dec 09)</t>
        </is>
      </c>
      <c r="V5" t="inlineStr">
        <is>
          <t>FY2009 (9-month stub, 1 Apr 09 - 31 Dec 09)</t>
        </is>
      </c>
      <c r="W5" t="inlineStr">
        <is>
          <t>FY2010 (y/e 31 Dec 10)</t>
        </is>
      </c>
      <c r="X5" t="inlineStr">
        <is>
          <t>FY2011 (y/e 31 Dec 11)</t>
        </is>
      </c>
      <c r="Y5" t="inlineStr">
        <is>
          <t>FY2012 (y/e 31 Dec 12)</t>
        </is>
      </c>
      <c r="Z5" t="inlineStr">
        <is>
          <t>FY2013 (y/e 31 Dec 13)</t>
        </is>
      </c>
      <c r="AA5" t="inlineStr">
        <is>
          <t>FY2014 (y/e 31 Dec 14)</t>
        </is>
      </c>
      <c r="AB5" t="inlineStr">
        <is>
          <t>FY2015 (y/e 31 Dec 15)</t>
        </is>
      </c>
      <c r="AC5" t="inlineStr">
        <is>
          <t>FY2016 (y/e 31 Dec 16)</t>
        </is>
      </c>
      <c r="AD5" t="inlineStr">
        <is>
          <t>FY2017 (no standalone 12-month period - see note)</t>
        </is>
      </c>
      <c r="AE5" t="inlineStr">
        <is>
          <t>FY2018 (18-month transition period, 1 Jan 17 - 30 Jun 18)</t>
        </is>
      </c>
      <c r="AF5" t="inlineStr">
        <is>
          <t>FY2019 (y/e 30 Jun 19)</t>
        </is>
      </c>
      <c r="AG5" t="inlineStr">
        <is>
          <t>FY2020 (y/e 30 Jun 20)</t>
        </is>
      </c>
      <c r="AH5" t="inlineStr">
        <is>
          <t>FY2021 (y/e 30 Jun 21)</t>
        </is>
      </c>
      <c r="AI5" t="inlineStr">
        <is>
          <t>FY2022 (y/e 30 Jun 22)</t>
        </is>
      </c>
      <c r="AJ5" t="inlineStr">
        <is>
          <t>FY2023 (y/e 30 Jun 23)</t>
        </is>
      </c>
      <c r="AK5" t="inlineStr">
        <is>
          <t>FY2024 (y/e 30 Jun 24)</t>
        </is>
      </c>
      <c r="AL5" t="inlineStr">
        <is>
          <t>FY2025 (y/e 30 Jun 25)</t>
        </is>
      </c>
      <c r="CX5" t="inlineStr">
        <is>
          <t>FY2009 (9-month stub, 1 Apr 09 - 31 Dec 09)</t>
        </is>
      </c>
      <c r="CY5" t="inlineStr">
        <is>
          <t>FY2010 (y/e 31 Dec 10)</t>
        </is>
      </c>
      <c r="CZ5" t="inlineStr">
        <is>
          <t>FY2011 (y/e 31 Dec 11)</t>
        </is>
      </c>
      <c r="DA5" t="inlineStr">
        <is>
          <t>FY2012 (y/e 31 Dec 12)</t>
        </is>
      </c>
      <c r="DB5" t="inlineStr">
        <is>
          <t>FY2013 (y/e 31 Dec 13)</t>
        </is>
      </c>
      <c r="DC5" t="inlineStr">
        <is>
          <t>FY2014 (y/e 31 Dec 14)</t>
        </is>
      </c>
      <c r="DD5" t="inlineStr">
        <is>
          <t>FY2015 (y/e 31 Dec 15)</t>
        </is>
      </c>
      <c r="DE5" t="inlineStr">
        <is>
          <t>FY2016 (y/e 31 Dec 16)</t>
        </is>
      </c>
      <c r="DF5" t="inlineStr">
        <is>
          <t>FY2017 (no standalone 12-month period - see note)</t>
        </is>
      </c>
      <c r="DG5" t="inlineStr">
        <is>
          <t>FY2018 (18-month transition period, 1 Jan 17 - 30 Jun 18)</t>
        </is>
      </c>
      <c r="DH5" t="inlineStr">
        <is>
          <t>FY2019 (y/e 30 Jun 19)</t>
        </is>
      </c>
      <c r="DI5" t="inlineStr">
        <is>
          <t>FY2020 (y/e 30 Jun 20)</t>
        </is>
      </c>
      <c r="DJ5" t="inlineStr">
        <is>
          <t>FY2021 (y/e 30 Jun 21)</t>
        </is>
      </c>
      <c r="DK5" t="inlineStr">
        <is>
          <t>FY2022 (y/e 30 Jun 22)</t>
        </is>
      </c>
      <c r="DL5" t="inlineStr">
        <is>
          <t>FY2023 (y/e 30 Jun 23)</t>
        </is>
      </c>
      <c r="DM5" t="inlineStr">
        <is>
          <t>FY2024 (y/e 30 Jun 24)</t>
        </is>
      </c>
      <c r="DN5" t="inlineStr">
        <is>
          <t>FY2025 (y/e 30 Jun 25)</t>
        </is>
      </c>
    </row>
    <row r="6">
      <c r="A6" s="5" t="inlineStr">
        <is>
          <t>Total assets</t>
        </is>
      </c>
      <c r="B6" s="5" t="n">
        <v>20618.2</v>
      </c>
      <c r="C6" s="5" t="n">
        <v>20195.5</v>
      </c>
      <c r="D6" s="5" t="n">
        <v>19051.7</v>
      </c>
      <c r="E6" s="5" t="n">
        <v>17290.8</v>
      </c>
      <c r="F6" s="5" t="n">
        <v>15583</v>
      </c>
      <c r="G6" s="5" t="n">
        <v>15000.7</v>
      </c>
      <c r="H6" s="5" t="n">
        <v>12471.9</v>
      </c>
      <c r="I6" s="5" t="n">
        <v>10467.4</v>
      </c>
      <c r="J6" s="5" t="n"/>
      <c r="K6" s="5" t="n">
        <v>8396.5</v>
      </c>
      <c r="L6" s="5" t="n">
        <v>7021.4</v>
      </c>
      <c r="M6" s="5" t="n">
        <v>5583.2</v>
      </c>
      <c r="N6" s="5" t="n"/>
      <c r="O6" s="5" t="n"/>
      <c r="P6" s="5" t="n"/>
      <c r="Q6" s="5" t="n"/>
      <c r="R6" s="5" t="n"/>
      <c r="U6" t="inlineStr">
        <is>
          <t>Total assets</t>
        </is>
      </c>
      <c r="AA6" t="n">
        <v>5583.2</v>
      </c>
      <c r="AB6" t="n">
        <v>7021.4</v>
      </c>
      <c r="AC6" t="n">
        <v>8396.5</v>
      </c>
      <c r="AE6" t="n">
        <v>10467.4</v>
      </c>
      <c r="AF6" t="n">
        <v>12471.9</v>
      </c>
      <c r="AG6" t="n">
        <v>15000.7</v>
      </c>
      <c r="AH6" t="n">
        <v>15583</v>
      </c>
      <c r="AI6" t="n">
        <v>17290.8</v>
      </c>
      <c r="AJ6" t="n">
        <v>19051.7</v>
      </c>
      <c r="AK6" t="n">
        <v>20195.5</v>
      </c>
      <c r="AL6" t="n">
        <v>20618.2</v>
      </c>
      <c r="CW6" t="inlineStr">
        <is>
          <t>CET1 Ratio</t>
        </is>
      </c>
      <c r="DC6" t="n">
        <v>10.3</v>
      </c>
      <c r="DD6" t="n">
        <v>11.7</v>
      </c>
      <c r="DE6" t="n">
        <v>11.4</v>
      </c>
      <c r="DG6" t="n">
        <v>12.5</v>
      </c>
      <c r="DH6" t="n">
        <v>12.6</v>
      </c>
      <c r="DI6" t="n">
        <v>13.4</v>
      </c>
      <c r="DJ6" t="n">
        <v>15.9</v>
      </c>
      <c r="DK6" t="n">
        <v>17</v>
      </c>
      <c r="DL6" t="n">
        <v>18.5</v>
      </c>
      <c r="DM6" t="n">
        <v>19.2</v>
      </c>
      <c r="DN6" t="n">
        <v>18.4</v>
      </c>
    </row>
    <row r="7">
      <c r="A7" s="5" t="inlineStr">
        <is>
          <t>Loans and advances to customers</t>
        </is>
      </c>
      <c r="B7" s="5" t="n">
        <v>12523.4</v>
      </c>
      <c r="C7" s="5" t="n">
        <v>11416.3</v>
      </c>
      <c r="D7" s="5" t="n">
        <v>10998.9</v>
      </c>
      <c r="E7" s="5" t="n">
        <v>10777.3</v>
      </c>
      <c r="F7" s="5" t="n">
        <v>10393.6</v>
      </c>
      <c r="G7" s="5" t="n">
        <v>10602.2</v>
      </c>
      <c r="H7" s="5" t="n">
        <v>10230.3</v>
      </c>
      <c r="I7" s="5" t="n">
        <v>8990.5</v>
      </c>
      <c r="J7" s="5" t="n"/>
      <c r="K7" s="5" t="n">
        <v>7477.3</v>
      </c>
      <c r="L7" s="5" t="n">
        <v>6144.8</v>
      </c>
      <c r="M7" s="5" t="n">
        <v>4801.1</v>
      </c>
      <c r="N7" s="5" t="n"/>
      <c r="O7" s="5" t="n"/>
      <c r="P7" s="5" t="n"/>
      <c r="Q7" s="5" t="n"/>
      <c r="R7" s="5" t="n"/>
      <c r="U7" t="inlineStr">
        <is>
          <t>Loans and advances to customers</t>
        </is>
      </c>
      <c r="AA7" t="n">
        <v>4801.1</v>
      </c>
      <c r="AB7" t="n">
        <v>6144.8</v>
      </c>
      <c r="AC7" t="n">
        <v>7477.3</v>
      </c>
      <c r="AE7" t="n">
        <v>8990.5</v>
      </c>
      <c r="AF7" t="n">
        <v>10230.3</v>
      </c>
      <c r="AG7" t="n">
        <v>10602.2</v>
      </c>
      <c r="AH7" t="n">
        <v>10393.6</v>
      </c>
      <c r="AI7" t="n">
        <v>10777.3</v>
      </c>
      <c r="AJ7" t="n">
        <v>10998.9</v>
      </c>
      <c r="AK7" t="n">
        <v>11416.3</v>
      </c>
      <c r="AL7" t="n">
        <v>12523.4</v>
      </c>
      <c r="CW7" t="inlineStr">
        <is>
          <t>Tier 1 Ratio</t>
        </is>
      </c>
      <c r="DC7" t="n">
        <v>13.1</v>
      </c>
      <c r="DD7" t="n">
        <v>13.8</v>
      </c>
      <c r="DG7" t="n">
        <v>13.9</v>
      </c>
      <c r="DH7" t="n">
        <v>13.9</v>
      </c>
      <c r="DJ7" t="n">
        <v>16.9</v>
      </c>
      <c r="DK7" t="n">
        <v>18</v>
      </c>
      <c r="DL7" t="n">
        <v>19.4</v>
      </c>
      <c r="DM7" t="n">
        <v>20.1</v>
      </c>
      <c r="DN7" t="n">
        <v>19.1</v>
      </c>
    </row>
    <row r="8">
      <c r="A8" s="5" t="inlineStr">
        <is>
          <t>Customers' accounts</t>
        </is>
      </c>
      <c r="B8" s="5" t="n">
        <v>17047.6</v>
      </c>
      <c r="C8" s="5" t="n">
        <v>16306.7</v>
      </c>
      <c r="D8" s="5" t="n">
        <v>15033.3</v>
      </c>
      <c r="E8" s="5" t="n">
        <v>14105.4</v>
      </c>
      <c r="F8" s="5" t="n">
        <v>12427.3</v>
      </c>
      <c r="G8" s="5" t="n">
        <v>10886.4</v>
      </c>
      <c r="H8" s="5" t="n">
        <v>8971.799999999999</v>
      </c>
      <c r="I8" s="5" t="n">
        <v>7776.3</v>
      </c>
      <c r="J8" s="5" t="n"/>
      <c r="K8" s="5" t="n">
        <v>6673.7</v>
      </c>
      <c r="L8" s="5" t="n">
        <v>5742</v>
      </c>
      <c r="M8" s="5" t="n">
        <v>4459</v>
      </c>
      <c r="N8" s="5" t="n"/>
      <c r="O8" s="5" t="n"/>
      <c r="P8" s="5" t="n"/>
      <c r="Q8" s="5" t="n"/>
      <c r="R8" s="5" t="n"/>
      <c r="U8" t="inlineStr">
        <is>
          <t>Customers' accounts</t>
        </is>
      </c>
      <c r="AA8" t="n">
        <v>4459</v>
      </c>
      <c r="AB8" t="n">
        <v>5742</v>
      </c>
      <c r="AC8" t="n">
        <v>6673.7</v>
      </c>
      <c r="AE8" t="n">
        <v>7776.3</v>
      </c>
      <c r="AF8" t="n">
        <v>8971.799999999999</v>
      </c>
      <c r="AG8" t="n">
        <v>10886.4</v>
      </c>
      <c r="AH8" t="n">
        <v>12427.3</v>
      </c>
      <c r="AI8" t="n">
        <v>14105.4</v>
      </c>
      <c r="AJ8" t="n">
        <v>15033.3</v>
      </c>
      <c r="AK8" t="n">
        <v>16306.7</v>
      </c>
      <c r="AL8" t="n">
        <v>17047.6</v>
      </c>
      <c r="CW8" t="inlineStr">
        <is>
          <t>Total Capital Ratio</t>
        </is>
      </c>
      <c r="DC8" t="n">
        <v>14.7</v>
      </c>
      <c r="DD8" t="n">
        <v>15.1</v>
      </c>
      <c r="DG8" t="n">
        <v>15.3</v>
      </c>
      <c r="DH8" t="n">
        <v>16.4</v>
      </c>
      <c r="DJ8" t="n">
        <v>19.6</v>
      </c>
      <c r="DK8" t="n">
        <v>19.6</v>
      </c>
      <c r="DL8" t="n">
        <v>21</v>
      </c>
      <c r="DM8" t="n">
        <v>21.6</v>
      </c>
      <c r="DN8" t="n">
        <v>20.5</v>
      </c>
    </row>
    <row r="9">
      <c r="A9" s="5" t="inlineStr">
        <is>
          <t>Total equity</t>
        </is>
      </c>
      <c r="B9" s="5" t="n">
        <v>1514.6</v>
      </c>
      <c r="C9" s="5" t="n">
        <v>1371.8</v>
      </c>
      <c r="D9" s="5" t="n">
        <v>1219</v>
      </c>
      <c r="E9" s="5" t="n">
        <v>1098.6</v>
      </c>
      <c r="F9" s="5" t="n">
        <v>987.1</v>
      </c>
      <c r="G9" s="5" t="n">
        <v>896.2</v>
      </c>
      <c r="H9" s="5" t="n">
        <v>853.2</v>
      </c>
      <c r="I9" s="5" t="n">
        <v>766.7</v>
      </c>
      <c r="J9" s="5" t="n"/>
      <c r="K9" s="5" t="n">
        <v>619.4</v>
      </c>
      <c r="L9" s="5" t="n">
        <v>527.3</v>
      </c>
      <c r="M9" s="5" t="n">
        <v>374.8</v>
      </c>
      <c r="N9" s="5" t="n"/>
      <c r="O9" s="5" t="n"/>
      <c r="P9" s="5" t="n"/>
      <c r="Q9" s="5" t="n"/>
      <c r="R9" s="5" t="n"/>
      <c r="U9" t="inlineStr">
        <is>
          <t>Total equity</t>
        </is>
      </c>
      <c r="AA9" t="n">
        <v>374.8</v>
      </c>
      <c r="AB9" t="n">
        <v>527.3</v>
      </c>
      <c r="AC9" t="n">
        <v>619.4</v>
      </c>
      <c r="AE9" t="n">
        <v>766.7</v>
      </c>
      <c r="AF9" t="n">
        <v>853.2</v>
      </c>
      <c r="AG9" t="n">
        <v>896.2</v>
      </c>
      <c r="AH9" t="n">
        <v>987.1</v>
      </c>
      <c r="AI9" t="n">
        <v>1098.6</v>
      </c>
      <c r="AJ9" t="n">
        <v>1219</v>
      </c>
      <c r="AK9" t="n">
        <v>1371.8</v>
      </c>
      <c r="AL9" t="n">
        <v>1514.6</v>
      </c>
      <c r="CW9" t="inlineStr">
        <is>
          <t>Leverage Ratio</t>
        </is>
      </c>
      <c r="DC9" t="n">
        <v>6.3</v>
      </c>
      <c r="DD9" t="n">
        <v>7.2</v>
      </c>
      <c r="DG9" t="n">
        <v>7.1</v>
      </c>
      <c r="DH9" t="n">
        <v>6.8</v>
      </c>
      <c r="DK9" t="n">
        <v>8.1</v>
      </c>
      <c r="DL9" t="n">
        <v>9.300000000000001</v>
      </c>
      <c r="DM9" t="n">
        <v>9.6</v>
      </c>
      <c r="DN9" t="n">
        <v>8.9</v>
      </c>
    </row>
    <row r="10">
      <c r="CW10" t="inlineStr">
        <is>
          <t>LCR</t>
        </is>
      </c>
      <c r="DK10" t="n">
        <v>367.4</v>
      </c>
      <c r="DL10" t="n">
        <v>194.5</v>
      </c>
      <c r="DM10" t="n">
        <v>214.8</v>
      </c>
      <c r="DN10" t="n">
        <v>189.2</v>
      </c>
    </row>
    <row r="11">
      <c r="A11" s="3" t="inlineStr">
        <is>
          <t>Profit &amp; Loss Summary (£m)</t>
        </is>
      </c>
      <c r="CW11" t="inlineStr">
        <is>
          <t>NSFR</t>
        </is>
      </c>
      <c r="DK11" t="n">
        <v>128.7</v>
      </c>
      <c r="DL11" t="n">
        <v>127.4</v>
      </c>
      <c r="DM11" t="n">
        <v>137</v>
      </c>
      <c r="DN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G12" s="4" t="inlineStr">
        <is>
          <t>FY2020 (y/e 30 Jun 20)</t>
        </is>
      </c>
      <c r="H12" s="4" t="inlineStr">
        <is>
          <t>FY2019 (y/e 30 Jun 19)</t>
        </is>
      </c>
      <c r="I12" s="4" t="inlineStr">
        <is>
          <t>FY2018 (18-month transition period, 1 Jan 17 - 30 Jun 18)</t>
        </is>
      </c>
      <c r="J12" s="4" t="inlineStr">
        <is>
          <t>FY2017 (no standalone 12-month period - see note)</t>
        </is>
      </c>
      <c r="K12" s="4" t="inlineStr">
        <is>
          <t>FY2016 (y/e 31 Dec 16)</t>
        </is>
      </c>
      <c r="L12" s="4" t="inlineStr">
        <is>
          <t>FY2015 (y/e 31 Dec 15)</t>
        </is>
      </c>
      <c r="M12" s="4" t="inlineStr">
        <is>
          <t>FY2014 (y/e 31 Dec 14)</t>
        </is>
      </c>
      <c r="N12" s="4" t="inlineStr">
        <is>
          <t>FY2013 (y/e 31 Dec 13)</t>
        </is>
      </c>
      <c r="O12" s="4" t="inlineStr">
        <is>
          <t>FY2012 (y/e 31 Dec 12)</t>
        </is>
      </c>
      <c r="P12" s="4" t="inlineStr">
        <is>
          <t>FY2011 (y/e 31 Dec 11)</t>
        </is>
      </c>
      <c r="Q12" s="4" t="inlineStr">
        <is>
          <t>FY2010 (y/e 31 Dec 10)</t>
        </is>
      </c>
      <c r="R12" s="4" t="inlineStr">
        <is>
          <t>FY2009 (9-month stub, 1 Apr 09 - 31 Dec 09)</t>
        </is>
      </c>
      <c r="AP12" t="inlineStr">
        <is>
          <t>FY2009 (9-month stub, 1 Apr 09 - 31 Dec 09)</t>
        </is>
      </c>
      <c r="AQ12" t="inlineStr">
        <is>
          <t>FY2010 (y/e 31 Dec 10)</t>
        </is>
      </c>
      <c r="AR12" t="inlineStr">
        <is>
          <t>FY2011 (y/e 31 Dec 11)</t>
        </is>
      </c>
      <c r="AS12" t="inlineStr">
        <is>
          <t>FY2012 (y/e 31 Dec 12)</t>
        </is>
      </c>
      <c r="AT12" t="inlineStr">
        <is>
          <t>FY2013 (y/e 31 Dec 13)</t>
        </is>
      </c>
      <c r="AU12" t="inlineStr">
        <is>
          <t>FY2014 (y/e 31 Dec 14)</t>
        </is>
      </c>
      <c r="AV12" t="inlineStr">
        <is>
          <t>FY2015 (y/e 31 Dec 15)</t>
        </is>
      </c>
      <c r="AW12" t="inlineStr">
        <is>
          <t>FY2016 (y/e 31 Dec 16)</t>
        </is>
      </c>
      <c r="AX12" t="inlineStr">
        <is>
          <t>FY2017 (no standalone 12-month period - see note)</t>
        </is>
      </c>
      <c r="AY12" t="inlineStr">
        <is>
          <t>FY2018 (18-month transition period, 1 Jan 17 - 30 Jun 18)</t>
        </is>
      </c>
      <c r="AZ12" t="inlineStr">
        <is>
          <t>FY2019 (y/e 30 Jun 19)</t>
        </is>
      </c>
      <c r="BA12" t="inlineStr">
        <is>
          <t>FY2020 (y/e 30 Jun 20)</t>
        </is>
      </c>
      <c r="BB12" t="inlineStr">
        <is>
          <t>FY2021 (y/e 30 Jun 21)</t>
        </is>
      </c>
      <c r="BC12" t="inlineStr">
        <is>
          <t>FY2022 (y/e 30 Jun 22)</t>
        </is>
      </c>
      <c r="BD12" t="inlineStr">
        <is>
          <t>FY2023 (y/e 30 Jun 23)</t>
        </is>
      </c>
      <c r="BE12" t="inlineStr">
        <is>
          <t>FY2024 (y/e 30 Jun 24)</t>
        </is>
      </c>
      <c r="BF12" t="inlineStr">
        <is>
          <t>FY2025 (y/e 30 Jun 25)</t>
        </is>
      </c>
    </row>
    <row r="13">
      <c r="A13" s="5" t="inlineStr">
        <is>
          <t>Total operating income</t>
        </is>
      </c>
      <c r="B13" s="5" t="n">
        <v>473.4</v>
      </c>
      <c r="C13" s="5" t="n">
        <v>462.9</v>
      </c>
      <c r="D13" s="5" t="n">
        <v>476.2</v>
      </c>
      <c r="E13" s="5" t="n">
        <v>389.8</v>
      </c>
      <c r="F13" s="5" t="n">
        <v>323.4</v>
      </c>
      <c r="G13" s="5" t="n">
        <v>313.1</v>
      </c>
      <c r="H13" s="5" t="n">
        <v>331.8</v>
      </c>
      <c r="I13" s="5" t="n">
        <v>468.5</v>
      </c>
      <c r="J13" s="5" t="n"/>
      <c r="K13" s="5" t="n">
        <v>265.9</v>
      </c>
      <c r="L13" s="5" t="n">
        <v>221.6</v>
      </c>
      <c r="M13" s="5" t="n">
        <v>166.1</v>
      </c>
      <c r="N13" s="5" t="n"/>
      <c r="O13" s="5" t="n"/>
      <c r="P13" s="5" t="n"/>
      <c r="Q13" s="5" t="n"/>
      <c r="R13" s="5" t="n"/>
      <c r="AO13" t="inlineStr">
        <is>
          <t>Total operating income</t>
        </is>
      </c>
      <c r="AU13" t="n">
        <v>166.1</v>
      </c>
      <c r="AV13" t="n">
        <v>221.6</v>
      </c>
      <c r="AW13" t="n">
        <v>265.9</v>
      </c>
      <c r="AY13" t="n">
        <v>468.5</v>
      </c>
      <c r="AZ13" t="n">
        <v>331.8</v>
      </c>
      <c r="BA13" t="n">
        <v>313.1</v>
      </c>
      <c r="BB13" t="n">
        <v>323.4</v>
      </c>
      <c r="BC13" t="n">
        <v>389.8</v>
      </c>
      <c r="BD13" t="n">
        <v>476.2</v>
      </c>
      <c r="BE13" t="n">
        <v>462.9</v>
      </c>
      <c r="BF13" t="n">
        <v>473.4</v>
      </c>
    </row>
    <row r="14">
      <c r="A14" s="5" t="inlineStr">
        <is>
          <t>Administrative expenses</t>
        </is>
      </c>
      <c r="B14" s="5" t="n">
        <v>-266.8</v>
      </c>
      <c r="C14" s="5" t="n">
        <v>-263.8</v>
      </c>
      <c r="D14" s="5" t="n">
        <v>-253.5</v>
      </c>
      <c r="E14" s="5" t="n">
        <v>-224</v>
      </c>
      <c r="F14" s="5" t="n">
        <v>-173.7</v>
      </c>
      <c r="G14" s="5" t="n">
        <v>-148.7</v>
      </c>
      <c r="H14" s="5" t="n">
        <v>-169.4</v>
      </c>
      <c r="I14" s="5" t="n">
        <v>-227.8</v>
      </c>
      <c r="J14" s="5" t="n"/>
      <c r="K14" s="5" t="n">
        <v>-117.8</v>
      </c>
      <c r="L14" s="5" t="n">
        <v>-110.1</v>
      </c>
      <c r="M14" s="5" t="n">
        <v>-100.8</v>
      </c>
      <c r="N14" s="5" t="n"/>
      <c r="O14" s="5" t="n"/>
      <c r="P14" s="5" t="n"/>
      <c r="Q14" s="5" t="n"/>
      <c r="R14" s="5" t="n"/>
      <c r="AO14" t="inlineStr">
        <is>
          <t>Administrative expenses</t>
        </is>
      </c>
      <c r="AU14" t="n">
        <v>-100.8</v>
      </c>
      <c r="AV14" t="n">
        <v>-110.1</v>
      </c>
      <c r="AW14" t="n">
        <v>-117.8</v>
      </c>
      <c r="AY14" t="n">
        <v>-227.8</v>
      </c>
      <c r="AZ14" t="n">
        <v>-169.4</v>
      </c>
      <c r="BA14" t="n">
        <v>-148.7</v>
      </c>
      <c r="BB14" t="n">
        <v>-173.7</v>
      </c>
      <c r="BC14" t="n">
        <v>-224</v>
      </c>
      <c r="BD14" t="n">
        <v>-253.5</v>
      </c>
      <c r="BE14" t="n">
        <v>-263.8</v>
      </c>
      <c r="BF14" t="n">
        <v>-266.8</v>
      </c>
    </row>
    <row r="15">
      <c r="A15" s="5" t="inlineStr">
        <is>
          <t>Profit after taxation</t>
        </is>
      </c>
      <c r="B15" s="5" t="n">
        <v>163.2</v>
      </c>
      <c r="C15" s="5" t="n">
        <v>162.1</v>
      </c>
      <c r="D15" s="5" t="n">
        <v>129.2</v>
      </c>
      <c r="E15" s="5" t="n">
        <v>118</v>
      </c>
      <c r="F15" s="5" t="n">
        <v>89.3</v>
      </c>
      <c r="G15" s="5" t="n">
        <v>64.2</v>
      </c>
      <c r="H15" s="5" t="n">
        <v>102.2</v>
      </c>
      <c r="I15" s="5" t="n">
        <v>155.9</v>
      </c>
      <c r="J15" s="5" t="n"/>
      <c r="K15" s="5" t="n">
        <v>92.3</v>
      </c>
      <c r="L15" s="5" t="n">
        <v>80.09999999999999</v>
      </c>
      <c r="M15" s="5" t="n">
        <v>39.7</v>
      </c>
      <c r="N15" s="5" t="n"/>
      <c r="O15" s="5" t="n"/>
      <c r="P15" s="5" t="n"/>
      <c r="Q15" s="5" t="n"/>
      <c r="R15" s="5" t="n"/>
      <c r="AO15" t="inlineStr">
        <is>
          <t>Profit after taxation</t>
        </is>
      </c>
      <c r="AU15" t="n">
        <v>39.7</v>
      </c>
      <c r="AV15" t="n">
        <v>80.09999999999999</v>
      </c>
      <c r="AW15" t="n">
        <v>92.3</v>
      </c>
      <c r="AY15" t="n">
        <v>155.9</v>
      </c>
      <c r="AZ15" t="n">
        <v>102.2</v>
      </c>
      <c r="BA15" t="n">
        <v>64.2</v>
      </c>
      <c r="BB15" t="n">
        <v>89.3</v>
      </c>
      <c r="BC15" t="n">
        <v>118</v>
      </c>
      <c r="BD15" t="n">
        <v>129.2</v>
      </c>
      <c r="BE15" t="n">
        <v>162.1</v>
      </c>
      <c r="BF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G18" s="4" t="inlineStr">
        <is>
          <t>FY2020 (y/e 30 Jun 20)</t>
        </is>
      </c>
      <c r="H18" s="4" t="inlineStr">
        <is>
          <t>FY2019 (y/e 30 Jun 19)</t>
        </is>
      </c>
      <c r="I18" s="4" t="inlineStr">
        <is>
          <t>FY2018 (18-month transition period, 1 Jan 17 - 30 Jun 18)</t>
        </is>
      </c>
      <c r="J18" s="4" t="inlineStr">
        <is>
          <t>FY2017 (no standalone 12-month period - see note)</t>
        </is>
      </c>
      <c r="K18" s="4" t="inlineStr">
        <is>
          <t>FY2016 (y/e 31 Dec 16)</t>
        </is>
      </c>
      <c r="L18" s="4" t="inlineStr">
        <is>
          <t>FY2015 (y/e 31 Dec 15)</t>
        </is>
      </c>
      <c r="M18" s="4" t="inlineStr">
        <is>
          <t>FY2014 (y/e 31 Dec 14)</t>
        </is>
      </c>
      <c r="N18" s="4" t="inlineStr">
        <is>
          <t>FY2013 (y/e 31 Dec 13)</t>
        </is>
      </c>
      <c r="O18" s="4" t="inlineStr">
        <is>
          <t>FY2012 (y/e 31 Dec 12)</t>
        </is>
      </c>
      <c r="P18" s="4" t="inlineStr">
        <is>
          <t>FY2011 (y/e 31 Dec 11)</t>
        </is>
      </c>
      <c r="Q18" s="4" t="inlineStr">
        <is>
          <t>FY2010 (y/e 31 Dec 10)</t>
        </is>
      </c>
      <c r="R18" s="4" t="inlineStr">
        <is>
          <t>FY2009 (9-month stub, 1 Apr 09 - 31 Dec 09)</t>
        </is>
      </c>
      <c r="BJ18" t="inlineStr">
        <is>
          <t>FY2009 (9-month stub, 1 Apr 09 - 31 Dec 09)</t>
        </is>
      </c>
      <c r="BK18" t="inlineStr">
        <is>
          <t>FY2010 (y/e 31 Dec 10)</t>
        </is>
      </c>
      <c r="BL18" t="inlineStr">
        <is>
          <t>FY2011 (y/e 31 Dec 11)</t>
        </is>
      </c>
      <c r="BM18" t="inlineStr">
        <is>
          <t>FY2012 (y/e 31 Dec 12)</t>
        </is>
      </c>
      <c r="BN18" t="inlineStr">
        <is>
          <t>FY2013 (y/e 31 Dec 13)</t>
        </is>
      </c>
      <c r="BO18" t="inlineStr">
        <is>
          <t>FY2014 (y/e 31 Dec 14)</t>
        </is>
      </c>
      <c r="BP18" t="inlineStr">
        <is>
          <t>FY2015 (y/e 31 Dec 15)</t>
        </is>
      </c>
      <c r="BQ18" t="inlineStr">
        <is>
          <t>FY2016 (y/e 31 Dec 16)</t>
        </is>
      </c>
      <c r="BR18" t="inlineStr">
        <is>
          <t>FY2017 (no standalone 12-month period - see note)</t>
        </is>
      </c>
      <c r="BS18" t="inlineStr">
        <is>
          <t>FY2018 (18-month transition period, 1 Jan 17 - 30 Jun 18)</t>
        </is>
      </c>
      <c r="BT18" t="inlineStr">
        <is>
          <t>FY2019 (y/e 30 Jun 19)</t>
        </is>
      </c>
      <c r="BU18" t="inlineStr">
        <is>
          <t>FY2020 (y/e 30 Jun 20)</t>
        </is>
      </c>
      <c r="BV18" t="inlineStr">
        <is>
          <t>FY2021 (y/e 30 Jun 21)</t>
        </is>
      </c>
      <c r="BW18" t="inlineStr">
        <is>
          <t>FY2022 (y/e 30 Jun 22)</t>
        </is>
      </c>
      <c r="BX18" t="inlineStr">
        <is>
          <t>FY2023 (y/e 30 Jun 23)</t>
        </is>
      </c>
      <c r="BY18" t="inlineStr">
        <is>
          <t>FY2024 (y/e 30 Jun 24)</t>
        </is>
      </c>
      <c r="BZ18" t="inlineStr">
        <is>
          <t>FY2025 (y/e 30 Jun 25)</t>
        </is>
      </c>
    </row>
    <row r="19">
      <c r="A19" s="5" t="inlineStr">
        <is>
          <t>Opening equity</t>
        </is>
      </c>
      <c r="B19" s="5" t="n">
        <v>1371.8</v>
      </c>
      <c r="C19" s="5" t="n">
        <v>1219</v>
      </c>
      <c r="D19" s="5" t="n">
        <v>1098.5</v>
      </c>
      <c r="E19" s="5" t="n">
        <v>987.1</v>
      </c>
      <c r="F19" s="5" t="n">
        <v>896.2</v>
      </c>
      <c r="G19" s="5" t="n">
        <v>853.2</v>
      </c>
      <c r="H19" s="5" t="n">
        <v>766.7</v>
      </c>
      <c r="I19" s="5" t="n">
        <v>619.4</v>
      </c>
      <c r="J19" s="5" t="n"/>
      <c r="K19" s="5" t="n">
        <v>527.3</v>
      </c>
      <c r="L19" s="5" t="n">
        <v>374.8</v>
      </c>
      <c r="M19" s="5" t="n">
        <v>259.4</v>
      </c>
      <c r="N19" s="5" t="n"/>
      <c r="O19" s="5" t="n"/>
      <c r="P19" s="5" t="n"/>
      <c r="Q19" s="5" t="n"/>
      <c r="R19" s="5" t="n"/>
      <c r="BI19" t="inlineStr">
        <is>
          <t>Opening equity</t>
        </is>
      </c>
      <c r="BO19" t="n">
        <v>259.4</v>
      </c>
      <c r="BP19" t="n">
        <v>374.8</v>
      </c>
      <c r="BQ19" t="n">
        <v>527.3</v>
      </c>
      <c r="BS19" t="n">
        <v>619.4</v>
      </c>
      <c r="BT19" t="n">
        <v>766.7</v>
      </c>
      <c r="BU19" t="n">
        <v>853.2</v>
      </c>
      <c r="BV19" t="n">
        <v>896.2</v>
      </c>
      <c r="BW19" t="n">
        <v>987.1</v>
      </c>
      <c r="BX19" t="n">
        <v>1098.5</v>
      </c>
      <c r="BY19" t="n">
        <v>1219</v>
      </c>
      <c r="BZ19" t="n">
        <v>1371.8</v>
      </c>
    </row>
    <row r="20">
      <c r="A20" s="5" t="inlineStr">
        <is>
          <t>Total comprehensive income</t>
        </is>
      </c>
      <c r="B20" s="5" t="n">
        <v>158.9</v>
      </c>
      <c r="C20" s="5" t="n">
        <v>158.1</v>
      </c>
      <c r="D20" s="5" t="n">
        <v>125.7</v>
      </c>
      <c r="E20" s="5" t="n">
        <v>116.6</v>
      </c>
      <c r="F20" s="5" t="n">
        <v>96.09999999999999</v>
      </c>
      <c r="G20" s="5" t="n">
        <v>65.2</v>
      </c>
      <c r="H20" s="5" t="n">
        <v>101.5</v>
      </c>
      <c r="I20" s="5" t="n">
        <v>155.2</v>
      </c>
      <c r="J20" s="5" t="n"/>
      <c r="K20" s="5" t="n">
        <v>95.09999999999999</v>
      </c>
      <c r="L20" s="5" t="n">
        <v>77.7</v>
      </c>
      <c r="M20" s="5" t="n">
        <v>40.5</v>
      </c>
      <c r="N20" s="5" t="n"/>
      <c r="O20" s="5" t="n"/>
      <c r="P20" s="5" t="n"/>
      <c r="Q20" s="5" t="n"/>
      <c r="R20" s="5" t="n"/>
      <c r="BI20" t="inlineStr">
        <is>
          <t>Total comprehensive income</t>
        </is>
      </c>
      <c r="BO20" t="n">
        <v>40.5</v>
      </c>
      <c r="BP20" t="n">
        <v>77.7</v>
      </c>
      <c r="BQ20" t="n">
        <v>95.09999999999999</v>
      </c>
      <c r="BS20" t="n">
        <v>155.2</v>
      </c>
      <c r="BT20" t="n">
        <v>101.5</v>
      </c>
      <c r="BU20" t="n">
        <v>65.2</v>
      </c>
      <c r="BV20" t="n">
        <v>96.09999999999999</v>
      </c>
      <c r="BW20" t="n">
        <v>116.6</v>
      </c>
      <c r="BX20" t="n">
        <v>125.7</v>
      </c>
      <c r="BY20" t="n">
        <v>158.1</v>
      </c>
      <c r="BZ20" t="n">
        <v>158.9</v>
      </c>
    </row>
    <row r="21">
      <c r="A21" s="5" t="inlineStr">
        <is>
          <t>Other equity movements, net</t>
        </is>
      </c>
      <c r="B21" s="5" t="n">
        <v>-16.1</v>
      </c>
      <c r="C21" s="5" t="n">
        <v>-5.3</v>
      </c>
      <c r="D21" s="5" t="n">
        <v>-5.2</v>
      </c>
      <c r="E21" s="5" t="n">
        <v>-5.2</v>
      </c>
      <c r="F21" s="5" t="n">
        <v>-5.2</v>
      </c>
      <c r="G21" s="5" t="n">
        <v>-22.2</v>
      </c>
      <c r="H21" s="5" t="n">
        <v>-15</v>
      </c>
      <c r="I21" s="5" t="n">
        <v>-7.9</v>
      </c>
      <c r="J21" s="5" t="n"/>
      <c r="K21" s="5" t="n">
        <v>-3</v>
      </c>
      <c r="L21" s="5" t="n">
        <v>74.8</v>
      </c>
      <c r="M21" s="5" t="n">
        <v>74.90000000000001</v>
      </c>
      <c r="N21" s="5" t="n"/>
      <c r="O21" s="5" t="n"/>
      <c r="P21" s="5" t="n"/>
      <c r="Q21" s="5" t="n"/>
      <c r="R21" s="5" t="n"/>
      <c r="BI21" t="inlineStr">
        <is>
          <t>Other equity movements, net</t>
        </is>
      </c>
      <c r="BO21" t="n">
        <v>74.90000000000001</v>
      </c>
      <c r="BP21" t="n">
        <v>74.8</v>
      </c>
      <c r="BQ21" t="n">
        <v>-3</v>
      </c>
      <c r="BS21" t="n">
        <v>-7.9</v>
      </c>
      <c r="BT21" t="n">
        <v>-15</v>
      </c>
      <c r="BU21" t="n">
        <v>-22.2</v>
      </c>
      <c r="BV21" t="n">
        <v>-5.2</v>
      </c>
      <c r="BW21" t="n">
        <v>-5.2</v>
      </c>
      <c r="BX21" t="n">
        <v>-5.2</v>
      </c>
      <c r="BY21" t="n">
        <v>-5.3</v>
      </c>
      <c r="BZ21" t="n">
        <v>-16.1</v>
      </c>
    </row>
    <row r="22">
      <c r="A22" s="5" t="inlineStr">
        <is>
          <t>Closing equity</t>
        </is>
      </c>
      <c r="B22" s="5" t="n">
        <v>1514.6</v>
      </c>
      <c r="C22" s="5" t="n">
        <v>1371.8</v>
      </c>
      <c r="D22" s="5" t="n">
        <v>1219</v>
      </c>
      <c r="E22" s="5" t="n">
        <v>1098.6</v>
      </c>
      <c r="F22" s="5" t="n">
        <v>987.1</v>
      </c>
      <c r="G22" s="5" t="n">
        <v>896.2</v>
      </c>
      <c r="H22" s="5" t="n">
        <v>853.2</v>
      </c>
      <c r="I22" s="5" t="n">
        <v>766.7</v>
      </c>
      <c r="J22" s="5" t="n"/>
      <c r="K22" s="5" t="n">
        <v>619.4</v>
      </c>
      <c r="L22" s="5" t="n">
        <v>527.3</v>
      </c>
      <c r="M22" s="5" t="n">
        <v>374.8</v>
      </c>
      <c r="N22" s="5" t="n"/>
      <c r="O22" s="5" t="n"/>
      <c r="P22" s="5" t="n"/>
      <c r="Q22" s="5" t="n"/>
      <c r="R22" s="5" t="n"/>
      <c r="BI22" t="inlineStr">
        <is>
          <t>Closing equity</t>
        </is>
      </c>
      <c r="BO22" t="n">
        <v>374.8</v>
      </c>
      <c r="BP22" t="n">
        <v>527.3</v>
      </c>
      <c r="BQ22" t="n">
        <v>619.4</v>
      </c>
      <c r="BS22" t="n">
        <v>766.7</v>
      </c>
      <c r="BT22" t="n">
        <v>853.2</v>
      </c>
      <c r="BU22" t="n">
        <v>896.2</v>
      </c>
      <c r="BV22" t="n">
        <v>987.1</v>
      </c>
      <c r="BW22" t="n">
        <v>1098.6</v>
      </c>
      <c r="BX22" t="n">
        <v>1219</v>
      </c>
      <c r="BY22" t="n">
        <v>1371.8</v>
      </c>
      <c r="BZ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G25" s="4" t="inlineStr">
        <is>
          <t>FY2020 (y/e 30 Jun 20)</t>
        </is>
      </c>
      <c r="H25" s="4" t="inlineStr">
        <is>
          <t>FY2019 (y/e 30 Jun 19)</t>
        </is>
      </c>
      <c r="I25" s="4" t="inlineStr">
        <is>
          <t>FY2018 (18-month transition period, 1 Jan 17 - 30 Jun 18)</t>
        </is>
      </c>
      <c r="J25" s="4" t="inlineStr">
        <is>
          <t>FY2017 (no standalone 12-month period - see note)</t>
        </is>
      </c>
      <c r="K25" s="4" t="inlineStr">
        <is>
          <t>FY2016 (y/e 31 Dec 16)</t>
        </is>
      </c>
      <c r="L25" s="4" t="inlineStr">
        <is>
          <t>FY2015 (y/e 31 Dec 15)</t>
        </is>
      </c>
      <c r="M25" s="4" t="inlineStr">
        <is>
          <t>FY2014 (y/e 31 Dec 14)</t>
        </is>
      </c>
      <c r="N25" s="4" t="inlineStr">
        <is>
          <t>FY2013 (y/e 31 Dec 13)</t>
        </is>
      </c>
      <c r="O25" s="4" t="inlineStr">
        <is>
          <t>FY2012 (y/e 31 Dec 12)</t>
        </is>
      </c>
      <c r="P25" s="4" t="inlineStr">
        <is>
          <t>FY2011 (y/e 31 Dec 11)</t>
        </is>
      </c>
      <c r="Q25" s="4" t="inlineStr">
        <is>
          <t>FY2010 (y/e 31 Dec 10)</t>
        </is>
      </c>
      <c r="R25" s="4" t="inlineStr">
        <is>
          <t>FY2009 (9-month stub, 1 Apr 09 - 31 Dec 09)</t>
        </is>
      </c>
      <c r="CD25" t="inlineStr">
        <is>
          <t>FY2009 (9-month stub, 1 Apr 09 - 31 Dec 09)</t>
        </is>
      </c>
      <c r="CE25" t="inlineStr">
        <is>
          <t>FY2010 (y/e 31 Dec 10)</t>
        </is>
      </c>
      <c r="CF25" t="inlineStr">
        <is>
          <t>FY2011 (y/e 31 Dec 11)</t>
        </is>
      </c>
      <c r="CG25" t="inlineStr">
        <is>
          <t>FY2012 (y/e 31 Dec 12)</t>
        </is>
      </c>
      <c r="CH25" t="inlineStr">
        <is>
          <t>FY2013 (y/e 31 Dec 13)</t>
        </is>
      </c>
      <c r="CI25" t="inlineStr">
        <is>
          <t>FY2014 (y/e 31 Dec 14)</t>
        </is>
      </c>
      <c r="CJ25" t="inlineStr">
        <is>
          <t>FY2015 (y/e 31 Dec 15)</t>
        </is>
      </c>
      <c r="CK25" t="inlineStr">
        <is>
          <t>FY2016 (y/e 31 Dec 16)</t>
        </is>
      </c>
      <c r="CL25" t="inlineStr">
        <is>
          <t>FY2017 (no standalone 12-month period - see note)</t>
        </is>
      </c>
      <c r="CM25" t="inlineStr">
        <is>
          <t>FY2018 (18-month transition period, 1 Jan 17 - 30 Jun 18)</t>
        </is>
      </c>
      <c r="CN25" t="inlineStr">
        <is>
          <t>FY2019 (y/e 30 Jun 19)</t>
        </is>
      </c>
      <c r="CO25" t="inlineStr">
        <is>
          <t>FY2020 (y/e 30 Jun 20)</t>
        </is>
      </c>
      <c r="CP25" t="inlineStr">
        <is>
          <t>FY2021 (y/e 30 Jun 21)</t>
        </is>
      </c>
      <c r="CQ25" t="inlineStr">
        <is>
          <t>FY2022 (y/e 30 Jun 22)</t>
        </is>
      </c>
      <c r="CR25" t="inlineStr">
        <is>
          <t>FY2023 (y/e 30 Jun 23)</t>
        </is>
      </c>
      <c r="CS25" t="inlineStr">
        <is>
          <t>FY2024 (y/e 30 Jun 24)</t>
        </is>
      </c>
      <c r="CT25" t="inlineStr">
        <is>
          <t>FY2025 (y/e 30 Jun 25)</t>
        </is>
      </c>
    </row>
    <row r="26">
      <c r="A26" s="5" t="inlineStr">
        <is>
          <t>Net cash from operating activities</t>
        </is>
      </c>
      <c r="B26" s="5" t="n">
        <v>-725</v>
      </c>
      <c r="C26" s="5" t="n">
        <v>730.1</v>
      </c>
      <c r="D26" s="5" t="n">
        <v>1108.5</v>
      </c>
      <c r="E26" s="5" t="n">
        <v>1215.7</v>
      </c>
      <c r="F26" s="5" t="n">
        <v>884.1</v>
      </c>
      <c r="G26" s="5" t="n">
        <v>2030.7</v>
      </c>
      <c r="H26" s="5" t="n">
        <v>296.7</v>
      </c>
      <c r="I26" s="5" t="n">
        <v>632.6</v>
      </c>
      <c r="J26" s="5" t="n"/>
      <c r="K26" s="5" t="n">
        <v>0</v>
      </c>
      <c r="L26" s="5" t="n">
        <v>49.3</v>
      </c>
      <c r="M26" s="5" t="n">
        <v>-205.7</v>
      </c>
      <c r="N26" s="5" t="n"/>
      <c r="O26" s="5" t="n"/>
      <c r="P26" s="5" t="n"/>
      <c r="Q26" s="5" t="n"/>
      <c r="R26" s="5" t="n"/>
      <c r="CC26" t="inlineStr">
        <is>
          <t>Net cash from operating activities</t>
        </is>
      </c>
      <c r="CI26" t="n">
        <v>-205.7</v>
      </c>
      <c r="CJ26" t="n">
        <v>49.3</v>
      </c>
      <c r="CK26" t="n">
        <v>0</v>
      </c>
      <c r="CM26" t="n">
        <v>632.6</v>
      </c>
      <c r="CN26" t="n">
        <v>296.7</v>
      </c>
      <c r="CO26" t="n">
        <v>2030.7</v>
      </c>
      <c r="CP26" t="n">
        <v>884.1</v>
      </c>
      <c r="CQ26" t="n">
        <v>1215.7</v>
      </c>
      <c r="CR26" t="n">
        <v>1108.5</v>
      </c>
      <c r="CS26" t="n">
        <v>730.1</v>
      </c>
      <c r="CT26" t="n">
        <v>-725</v>
      </c>
    </row>
    <row r="27">
      <c r="A27" s="5" t="inlineStr">
        <is>
          <t>Net cash from investing activities</t>
        </is>
      </c>
      <c r="B27" s="5" t="n">
        <v>-259.5</v>
      </c>
      <c r="C27" s="5" t="n">
        <v>-401.6</v>
      </c>
      <c r="D27" s="5" t="n">
        <v>306.5</v>
      </c>
      <c r="E27" s="5" t="n">
        <v>-334.8</v>
      </c>
      <c r="F27" s="5" t="n">
        <v>-55</v>
      </c>
      <c r="G27" s="5" t="n">
        <v>-711.6</v>
      </c>
      <c r="H27" s="5" t="n">
        <v>-357.7</v>
      </c>
      <c r="I27" s="5" t="n">
        <v>-133</v>
      </c>
      <c r="J27" s="5" t="n"/>
      <c r="K27" s="5" t="n">
        <v>-47.3</v>
      </c>
      <c r="L27" s="5" t="n">
        <v>-98.90000000000001</v>
      </c>
      <c r="M27" s="5" t="n">
        <v>-164.4</v>
      </c>
      <c r="N27" s="5" t="n"/>
      <c r="O27" s="5" t="n"/>
      <c r="P27" s="5" t="n"/>
      <c r="Q27" s="5" t="n"/>
      <c r="R27" s="5" t="n"/>
      <c r="CC27" t="inlineStr">
        <is>
          <t>Net cash from investing activities</t>
        </is>
      </c>
      <c r="CI27" t="n">
        <v>-164.4</v>
      </c>
      <c r="CJ27" t="n">
        <v>-98.90000000000001</v>
      </c>
      <c r="CK27" t="n">
        <v>-47.3</v>
      </c>
      <c r="CM27" t="n">
        <v>-133</v>
      </c>
      <c r="CN27" t="n">
        <v>-357.7</v>
      </c>
      <c r="CO27" t="n">
        <v>-711.6</v>
      </c>
      <c r="CP27" t="n">
        <v>-55</v>
      </c>
      <c r="CQ27" t="n">
        <v>-334.8</v>
      </c>
      <c r="CR27" t="n">
        <v>306.5</v>
      </c>
      <c r="CS27" t="n">
        <v>-401.6</v>
      </c>
      <c r="CT27" t="n">
        <v>-259.5</v>
      </c>
    </row>
    <row r="28">
      <c r="A28" s="5" t="inlineStr">
        <is>
          <t>Net cash from financing activities</t>
        </is>
      </c>
      <c r="B28" s="5" t="n">
        <v>-18.4</v>
      </c>
      <c r="C28" s="5" t="n">
        <v>-8.300000000000001</v>
      </c>
      <c r="D28" s="5" t="n">
        <v>-331.2</v>
      </c>
      <c r="E28" s="5" t="n">
        <v>-739.7</v>
      </c>
      <c r="F28" s="5" t="n">
        <v>-697.7</v>
      </c>
      <c r="G28" s="5" t="n">
        <v>-1280.5</v>
      </c>
      <c r="H28" s="5" t="n">
        <v>25.7</v>
      </c>
      <c r="I28" s="5" t="n">
        <v>-88.40000000000001</v>
      </c>
      <c r="J28" s="5" t="n"/>
      <c r="K28" s="5" t="n">
        <v>45.3</v>
      </c>
      <c r="L28" s="5" t="n">
        <v>65.5</v>
      </c>
      <c r="M28" s="5" t="n">
        <v>69.09999999999999</v>
      </c>
      <c r="N28" s="5" t="n"/>
      <c r="O28" s="5" t="n"/>
      <c r="P28" s="5" t="n"/>
      <c r="Q28" s="5" t="n"/>
      <c r="R28" s="5" t="n"/>
      <c r="CC28" t="inlineStr">
        <is>
          <t>Net cash from financing activities</t>
        </is>
      </c>
      <c r="CI28" t="n">
        <v>69.09999999999999</v>
      </c>
      <c r="CJ28" t="n">
        <v>65.5</v>
      </c>
      <c r="CK28" t="n">
        <v>45.3</v>
      </c>
      <c r="CM28" t="n">
        <v>-88.40000000000001</v>
      </c>
      <c r="CN28" t="n">
        <v>25.7</v>
      </c>
      <c r="CO28" t="n">
        <v>-1280.5</v>
      </c>
      <c r="CP28" t="n">
        <v>-697.7</v>
      </c>
      <c r="CQ28" t="n">
        <v>-739.7</v>
      </c>
      <c r="CR28" t="n">
        <v>-331.2</v>
      </c>
      <c r="CS28" t="n">
        <v>-8.300000000000001</v>
      </c>
      <c r="CT28" t="n">
        <v>-18.4</v>
      </c>
    </row>
    <row r="29">
      <c r="A29" s="5" t="inlineStr">
        <is>
          <t>Cash and cash equivalents at end of year</t>
        </is>
      </c>
      <c r="B29" s="5" t="n">
        <v>1216.7</v>
      </c>
      <c r="C29" s="5" t="n">
        <v>2219.6</v>
      </c>
      <c r="D29" s="5" t="n">
        <v>1899.4</v>
      </c>
      <c r="E29" s="5" t="n">
        <v>815.2</v>
      </c>
      <c r="F29" s="5" t="n">
        <v>674</v>
      </c>
      <c r="G29" s="5" t="n">
        <v>542.6</v>
      </c>
      <c r="H29" s="5" t="n">
        <v>504</v>
      </c>
      <c r="I29" s="5" t="n">
        <v>539.3</v>
      </c>
      <c r="J29" s="5" t="n"/>
      <c r="K29" s="5" t="n">
        <v>128.1</v>
      </c>
      <c r="L29" s="5" t="n">
        <v>130.1</v>
      </c>
      <c r="M29" s="5" t="n">
        <v>114.2</v>
      </c>
      <c r="N29" s="5" t="n"/>
      <c r="O29" s="5" t="n"/>
      <c r="P29" s="5" t="n"/>
      <c r="Q29" s="5" t="n"/>
      <c r="R29" s="5" t="n"/>
      <c r="CC29" t="inlineStr">
        <is>
          <t>Cash and cash equivalents at end of year</t>
        </is>
      </c>
      <c r="CI29" t="n">
        <v>114.2</v>
      </c>
      <c r="CJ29" t="n">
        <v>130.1</v>
      </c>
      <c r="CK29" t="n">
        <v>128.1</v>
      </c>
      <c r="CM29" t="n">
        <v>539.3</v>
      </c>
      <c r="CN29" t="n">
        <v>504</v>
      </c>
      <c r="CO29" t="n">
        <v>542.6</v>
      </c>
      <c r="CP29" t="n">
        <v>674</v>
      </c>
      <c r="CQ29" t="n">
        <v>815.2</v>
      </c>
      <c r="CR29" t="n">
        <v>1899.4</v>
      </c>
      <c r="CS29" t="n">
        <v>2219.6</v>
      </c>
      <c r="CT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c r="G32" s="4" t="inlineStr">
        <is>
          <t>FY2020 (y/e 30 Jun 20)</t>
        </is>
      </c>
      <c r="H32" s="4" t="inlineStr">
        <is>
          <t>FY2019 (y/e 30 Jun 19)</t>
        </is>
      </c>
      <c r="I32" s="4" t="inlineStr">
        <is>
          <t>FY2018 (18-month transition period, 1 Jan 17 - 30 Jun 18)</t>
        </is>
      </c>
      <c r="J32" s="4" t="inlineStr">
        <is>
          <t>FY2017 (no standalone 12-month period - see note)</t>
        </is>
      </c>
      <c r="K32" s="4" t="inlineStr">
        <is>
          <t>FY2016 (y/e 31 Dec 16)</t>
        </is>
      </c>
      <c r="L32" s="4" t="inlineStr">
        <is>
          <t>FY2015 (y/e 31 Dec 15)</t>
        </is>
      </c>
      <c r="M32" s="4" t="inlineStr">
        <is>
          <t>FY2014 (y/e 31 Dec 14)</t>
        </is>
      </c>
      <c r="N32" s="4" t="inlineStr">
        <is>
          <t>FY2013 (y/e 31 Dec 13)</t>
        </is>
      </c>
      <c r="O32" s="4" t="inlineStr">
        <is>
          <t>FY2012 (y/e 31 Dec 12)</t>
        </is>
      </c>
      <c r="P32" s="4" t="inlineStr">
        <is>
          <t>FY2011 (y/e 31 Dec 11)</t>
        </is>
      </c>
      <c r="Q32" s="4" t="inlineStr">
        <is>
          <t>FY2010 (y/e 31 Dec 10)</t>
        </is>
      </c>
      <c r="R32" s="4" t="inlineStr">
        <is>
          <t>FY2009 (9-month stub, 1 Apr 09 - 31 Dec 09)</t>
        </is>
      </c>
    </row>
    <row r="33">
      <c r="A33" s="6" t="inlineStr">
        <is>
          <t>CET1 Ratio</t>
        </is>
      </c>
      <c r="B33" s="6" t="inlineStr">
        <is>
          <t>18.4%</t>
        </is>
      </c>
      <c r="C33" s="6" t="inlineStr">
        <is>
          <t>19.2%</t>
        </is>
      </c>
      <c r="D33" s="6" t="inlineStr">
        <is>
          <t>18.5%</t>
        </is>
      </c>
      <c r="E33" s="6" t="inlineStr">
        <is>
          <t>17.0%</t>
        </is>
      </c>
      <c r="F33" s="6" t="inlineStr">
        <is>
          <t>15.9%</t>
        </is>
      </c>
      <c r="G33" s="6" t="inlineStr">
        <is>
          <t>13.4%</t>
        </is>
      </c>
      <c r="H33" s="6" t="inlineStr">
        <is>
          <t>12.6%</t>
        </is>
      </c>
      <c r="I33" s="6" t="inlineStr">
        <is>
          <t>12.5%</t>
        </is>
      </c>
      <c r="J33" s="6" t="n"/>
      <c r="K33" s="6" t="inlineStr">
        <is>
          <t>11.4%</t>
        </is>
      </c>
      <c r="L33" s="6" t="inlineStr">
        <is>
          <t>11.7%</t>
        </is>
      </c>
      <c r="M33" s="6" t="inlineStr">
        <is>
          <t>10.3%</t>
        </is>
      </c>
      <c r="N33" s="6" t="n"/>
      <c r="O33" s="6" t="n"/>
      <c r="P33" s="6" t="n"/>
      <c r="Q33" s="6" t="n"/>
      <c r="R33" s="6" t="n"/>
    </row>
    <row r="34">
      <c r="A34" s="6" t="inlineStr">
        <is>
          <t>Tier 1 Ratio</t>
        </is>
      </c>
      <c r="B34" s="6" t="inlineStr">
        <is>
          <t>19.1%</t>
        </is>
      </c>
      <c r="C34" s="6" t="inlineStr">
        <is>
          <t>20.1%</t>
        </is>
      </c>
      <c r="D34" s="6" t="inlineStr">
        <is>
          <t>19.4%</t>
        </is>
      </c>
      <c r="E34" s="6" t="inlineStr">
        <is>
          <t>18.0%</t>
        </is>
      </c>
      <c r="F34" s="6" t="inlineStr">
        <is>
          <t>16.9%</t>
        </is>
      </c>
      <c r="G34" s="6" t="n"/>
      <c r="H34" s="6" t="inlineStr">
        <is>
          <t>13.9%</t>
        </is>
      </c>
      <c r="I34" s="6" t="inlineStr">
        <is>
          <t>13.9%</t>
        </is>
      </c>
      <c r="J34" s="6" t="n"/>
      <c r="K34" s="6" t="n"/>
      <c r="L34" s="6" t="inlineStr">
        <is>
          <t>13.8%</t>
        </is>
      </c>
      <c r="M34" s="6" t="inlineStr">
        <is>
          <t>13.1%</t>
        </is>
      </c>
      <c r="N34" s="6" t="n"/>
      <c r="O34" s="6" t="n"/>
      <c r="P34" s="6" t="n"/>
      <c r="Q34" s="6" t="n"/>
      <c r="R34" s="6" t="n"/>
    </row>
    <row r="35">
      <c r="A35" s="6" t="inlineStr">
        <is>
          <t>Total Capital Ratio</t>
        </is>
      </c>
      <c r="B35" s="6" t="inlineStr">
        <is>
          <t>20.5%</t>
        </is>
      </c>
      <c r="C35" s="6" t="inlineStr">
        <is>
          <t>21.6%</t>
        </is>
      </c>
      <c r="D35" s="6" t="inlineStr">
        <is>
          <t>21.0%</t>
        </is>
      </c>
      <c r="E35" s="6" t="inlineStr">
        <is>
          <t>19.6%</t>
        </is>
      </c>
      <c r="F35" s="6" t="inlineStr">
        <is>
          <t>19.6%</t>
        </is>
      </c>
      <c r="G35" s="6" t="n"/>
      <c r="H35" s="6" t="inlineStr">
        <is>
          <t>16.4%</t>
        </is>
      </c>
      <c r="I35" s="6" t="inlineStr">
        <is>
          <t>15.3%</t>
        </is>
      </c>
      <c r="J35" s="6" t="n"/>
      <c r="K35" s="6" t="n"/>
      <c r="L35" s="6" t="inlineStr">
        <is>
          <t>15.1%</t>
        </is>
      </c>
      <c r="M35" s="6" t="inlineStr">
        <is>
          <t>14.7%</t>
        </is>
      </c>
      <c r="N35" s="6" t="n"/>
      <c r="O35" s="6" t="n"/>
      <c r="P35" s="6" t="n"/>
      <c r="Q35" s="6" t="n"/>
      <c r="R35" s="6" t="n"/>
    </row>
    <row r="36">
      <c r="A36" s="6" t="inlineStr">
        <is>
          <t>Leverage Ratio</t>
        </is>
      </c>
      <c r="B36" s="6" t="inlineStr">
        <is>
          <t>8.9%</t>
        </is>
      </c>
      <c r="C36" s="6" t="inlineStr">
        <is>
          <t>9.6%</t>
        </is>
      </c>
      <c r="D36" s="6" t="inlineStr">
        <is>
          <t>9.3%</t>
        </is>
      </c>
      <c r="E36" s="6" t="inlineStr">
        <is>
          <t>8.1%</t>
        </is>
      </c>
      <c r="F36" s="6" t="n"/>
      <c r="G36" s="6" t="n"/>
      <c r="H36" s="6" t="inlineStr">
        <is>
          <t>6.8%</t>
        </is>
      </c>
      <c r="I36" s="6" t="inlineStr">
        <is>
          <t>7.1%</t>
        </is>
      </c>
      <c r="J36" s="6" t="n"/>
      <c r="K36" s="6" t="n"/>
      <c r="L36" s="6" t="inlineStr">
        <is>
          <t>7.2%</t>
        </is>
      </c>
      <c r="M36" s="6" t="inlineStr">
        <is>
          <t>6.3%</t>
        </is>
      </c>
      <c r="N36" s="6" t="n"/>
      <c r="O36" s="6" t="n"/>
      <c r="P36" s="6" t="n"/>
      <c r="Q36" s="6" t="n"/>
      <c r="R36" s="6" t="n"/>
    </row>
    <row r="37">
      <c r="A37" s="6" t="inlineStr">
        <is>
          <t>LCR</t>
        </is>
      </c>
      <c r="B37" s="6" t="inlineStr">
        <is>
          <t>189.2%</t>
        </is>
      </c>
      <c r="C37" s="6" t="inlineStr">
        <is>
          <t>214.8%</t>
        </is>
      </c>
      <c r="D37" s="6" t="inlineStr">
        <is>
          <t>194.5%</t>
        </is>
      </c>
      <c r="E37" s="6" t="inlineStr">
        <is>
          <t>367.4%</t>
        </is>
      </c>
      <c r="F37" s="6" t="n"/>
      <c r="G37" s="6" t="n"/>
      <c r="H37" s="6" t="n"/>
      <c r="I37" s="6" t="n"/>
      <c r="J37" s="6" t="n"/>
      <c r="K37" s="6" t="n"/>
      <c r="L37" s="6" t="n"/>
      <c r="M37" s="6" t="n"/>
      <c r="N37" s="6" t="n"/>
      <c r="O37" s="6" t="n"/>
      <c r="P37" s="6" t="n"/>
      <c r="Q37" s="6" t="n"/>
      <c r="R37" s="6" t="n"/>
    </row>
    <row r="38">
      <c r="A38" s="6" t="inlineStr">
        <is>
          <t>NSFR</t>
        </is>
      </c>
      <c r="B38" s="6" t="inlineStr">
        <is>
          <t>131.3%</t>
        </is>
      </c>
      <c r="C38" s="6" t="inlineStr">
        <is>
          <t>137.0%</t>
        </is>
      </c>
      <c r="D38" s="6" t="inlineStr">
        <is>
          <t>127.4%</t>
        </is>
      </c>
      <c r="E38" s="6" t="inlineStr">
        <is>
          <t>128.7%</t>
        </is>
      </c>
      <c r="F38" s="6" t="n"/>
      <c r="G38" s="6" t="n"/>
      <c r="H38" s="6" t="n"/>
      <c r="I38" s="6" t="n"/>
      <c r="J38" s="6" t="n"/>
      <c r="K38" s="6" t="n"/>
      <c r="L38" s="6" t="n"/>
      <c r="M38" s="6" t="n"/>
      <c r="N38" s="6" t="n"/>
      <c r="O38" s="6" t="n"/>
      <c r="P38" s="6" t="n"/>
      <c r="Q38" s="6" t="n"/>
      <c r="R38" s="6" t="n"/>
    </row>
    <row r="40" ht="45" customHeight="1">
      <c r="A40" s="7" t="inlineStr">
        <is>
          <t>Note: Figures are duplicated from the detail sheets for at-a-glance trend viewing; see each sheet's own source citation for the underlying document/page. Fiscal year ends 30 June (31 December for FY2014-FY2016; the Bank's accounting reference date changed following its 2018 acquisition by FirstRand). Balance Sheet, Profit &amp; Loss, Statement of Changes in Equity and Cash Flow figures are all Bank-solo; Pillar 3 ratios use the Bank-solo columns of Aldermore Group PLC's Pillar 3 disclosures (the only level at which Pillar 3 is published), except CET1 Ratio for FY2016/FY2020 which is sourced from the Bank's own Annual Report highlights (no standalone Pillar 3 document survives for those two years). 'Other equity movements, net' combines Additional Tier 1 capital issuance/redemption, AT1 coupon payments, and (FY2015/FY2014) the Aldermore Group PLC IPO share issue proceeds and warrant exercise. Leverage/LCR/NSFR have no FY2021 figure; LCR/NSFR have no figure at all before FY2022 (disclosure templates introduced from 1 Jan 2022) and Leverage Ratio has none for FY2016/FY2020 — see the Leverage Ratio/LCR/NSFR sheets for the disclosure-template basis note. FY2017 has no standalone 12-month period at all (see the Balance Sheet sheet's source note) and FY2018's column is an 18-month, not 12-month, period — both are omitted or flagged accordingly rather than estimated.</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1182.3</v>
      </c>
      <c r="C5" s="6" t="n">
        <v>2172.2</v>
      </c>
      <c r="D5" s="6" t="n">
        <v>1923.4</v>
      </c>
      <c r="E5" s="6" t="n">
        <v>838.3</v>
      </c>
      <c r="F5" s="6" t="n">
        <v>688.5</v>
      </c>
      <c r="G5" s="6" t="n">
        <v>542.4</v>
      </c>
      <c r="H5" s="6" t="n">
        <v>482.9</v>
      </c>
      <c r="I5" s="6" t="n">
        <v>508.8</v>
      </c>
      <c r="J5" s="6" t="n"/>
      <c r="K5" s="6" t="n">
        <v>116.4</v>
      </c>
      <c r="L5" s="6" t="n">
        <v>105.3</v>
      </c>
      <c r="M5" s="6" t="n">
        <v>79.59999999999999</v>
      </c>
      <c r="N5" s="6" t="n">
        <v>192.8</v>
      </c>
      <c r="O5" s="6" t="n">
        <v>1.7</v>
      </c>
      <c r="P5" s="6" t="n">
        <v>0.1</v>
      </c>
      <c r="Q5" s="6" t="n"/>
      <c r="R5" s="6" t="n"/>
    </row>
    <row r="6">
      <c r="A6" s="6" t="inlineStr">
        <is>
          <t>Loans and advances to banks</t>
        </is>
      </c>
      <c r="B6" s="6" t="n">
        <v>183.6</v>
      </c>
      <c r="C6" s="6" t="n">
        <v>170.1</v>
      </c>
      <c r="D6" s="6" t="n">
        <v>206.5</v>
      </c>
      <c r="E6" s="6" t="n">
        <v>132.8</v>
      </c>
      <c r="F6" s="6" t="n">
        <v>106.4</v>
      </c>
      <c r="G6" s="6" t="n">
        <v>177.5</v>
      </c>
      <c r="H6" s="6" t="n">
        <v>110.6</v>
      </c>
      <c r="I6" s="6" t="n">
        <v>80.40000000000001</v>
      </c>
      <c r="J6" s="6" t="n"/>
      <c r="K6" s="6" t="n">
        <v>43.4</v>
      </c>
      <c r="L6" s="6" t="n">
        <v>64</v>
      </c>
      <c r="M6" s="6" t="n">
        <v>86.8</v>
      </c>
      <c r="N6" s="6" t="n">
        <v>223.9</v>
      </c>
      <c r="O6" s="6" t="n">
        <v>83.09999999999999</v>
      </c>
      <c r="P6" s="6" t="n">
        <v>123.1</v>
      </c>
      <c r="Q6" s="6" t="n">
        <v>219.3</v>
      </c>
      <c r="R6" s="6" t="n">
        <v>83.5</v>
      </c>
    </row>
    <row r="7">
      <c r="A7" s="6" t="inlineStr">
        <is>
          <t>Amounts owed by / receivable from other Group undertakings</t>
        </is>
      </c>
      <c r="B7" s="6" t="n">
        <v>3779.6</v>
      </c>
      <c r="C7" s="6" t="n">
        <v>3720.5</v>
      </c>
      <c r="D7" s="6" t="n">
        <v>3525.1</v>
      </c>
      <c r="E7" s="6" t="n">
        <v>3072.5</v>
      </c>
      <c r="F7" s="6" t="n">
        <v>2303.8</v>
      </c>
      <c r="G7" s="6" t="n">
        <v>1615.2</v>
      </c>
      <c r="H7" s="6" t="n">
        <v>390.7</v>
      </c>
      <c r="I7" s="6" t="n">
        <v>20.7</v>
      </c>
      <c r="J7" s="6" t="n"/>
      <c r="K7" s="6" t="n">
        <v>1.5</v>
      </c>
      <c r="L7" s="6" t="n">
        <v>0.9</v>
      </c>
      <c r="M7" s="6" t="n">
        <v>1.6</v>
      </c>
      <c r="N7" s="6" t="n"/>
      <c r="O7" s="6" t="n"/>
      <c r="P7" s="6" t="n"/>
      <c r="Q7" s="6" t="n"/>
      <c r="R7" s="6" t="n"/>
    </row>
    <row r="8">
      <c r="A8" s="6" t="inlineStr">
        <is>
          <t>Total debt securities</t>
        </is>
      </c>
      <c r="B8" s="6" t="n">
        <v>2704.2</v>
      </c>
      <c r="C8" s="6" t="n">
        <v>2436.5</v>
      </c>
      <c r="D8" s="6" t="n">
        <v>2048.9</v>
      </c>
      <c r="E8" s="6" t="n">
        <v>2339.2</v>
      </c>
      <c r="F8" s="6" t="n">
        <v>1999.5</v>
      </c>
      <c r="G8" s="6" t="n">
        <v>1941.1</v>
      </c>
      <c r="H8" s="6" t="n">
        <v>1207.8</v>
      </c>
      <c r="I8" s="6" t="n">
        <v>829.9</v>
      </c>
      <c r="J8" s="6" t="n"/>
      <c r="K8" s="6" t="n">
        <v>699.8</v>
      </c>
      <c r="L8" s="6" t="n">
        <v>640.1</v>
      </c>
      <c r="M8" s="6" t="n">
        <v>542.3</v>
      </c>
      <c r="N8" s="6" t="n">
        <v>339.4</v>
      </c>
      <c r="O8" s="6" t="n">
        <v>312.2</v>
      </c>
      <c r="P8" s="6" t="n">
        <v>228</v>
      </c>
      <c r="Q8" s="6" t="n">
        <v>35.8</v>
      </c>
      <c r="R8" s="6" t="n">
        <v>37.4</v>
      </c>
    </row>
    <row r="9">
      <c r="A9" s="6" t="inlineStr">
        <is>
          <t>Debt securities: FVOCI (fair value through other comprehensive income) — UK Government gilts / treasury bills</t>
        </is>
      </c>
      <c r="B9" s="6" t="n">
        <v>259.1</v>
      </c>
      <c r="C9" s="6" t="n">
        <v>187.2</v>
      </c>
      <c r="D9" s="6" t="n">
        <v>113.6</v>
      </c>
      <c r="E9" s="6" t="n">
        <v>156.8</v>
      </c>
      <c r="F9" s="6" t="n">
        <v>133.3</v>
      </c>
      <c r="G9" s="6" t="n">
        <v>235</v>
      </c>
      <c r="H9" s="6" t="n"/>
      <c r="I9" s="6" t="n"/>
      <c r="J9" s="6" t="n"/>
      <c r="K9" s="6" t="n"/>
      <c r="L9" s="6" t="n"/>
      <c r="M9" s="6" t="n"/>
      <c r="N9" s="6" t="n"/>
      <c r="O9" s="6" t="n"/>
      <c r="P9" s="6" t="n"/>
      <c r="Q9" s="6" t="n"/>
      <c r="R9" s="6" t="n"/>
    </row>
    <row r="10">
      <c r="A10" s="6" t="inlineStr">
        <is>
          <t>Debt securities: FVOCI (fair value through other comprehensive income) — Supranational bonds</t>
        </is>
      </c>
      <c r="B10" s="6" t="n">
        <v>1188.8</v>
      </c>
      <c r="C10" s="6" t="n">
        <v>871.7</v>
      </c>
      <c r="D10" s="6" t="n">
        <v>742</v>
      </c>
      <c r="E10" s="6" t="n">
        <v>963.9</v>
      </c>
      <c r="F10" s="6" t="n">
        <v>1061.2</v>
      </c>
      <c r="G10" s="6" t="n">
        <v>990.7</v>
      </c>
      <c r="H10" s="6" t="n"/>
      <c r="I10" s="6" t="n"/>
      <c r="J10" s="6" t="n"/>
      <c r="K10" s="6" t="n"/>
      <c r="L10" s="6" t="n"/>
      <c r="M10" s="6" t="n"/>
      <c r="N10" s="6" t="n"/>
      <c r="O10" s="6" t="n"/>
      <c r="P10" s="6" t="n"/>
      <c r="Q10" s="6" t="n"/>
      <c r="R10" s="6" t="n"/>
    </row>
    <row r="11">
      <c r="A11" s="6" t="inlineStr">
        <is>
          <t>Debt securities: FVOCI (fair value through other comprehensive income) — Asset-backed securities (other investment securities)</t>
        </is>
      </c>
      <c r="B11" s="6" t="n">
        <v>255.2</v>
      </c>
      <c r="C11" s="6" t="n">
        <v>200.7</v>
      </c>
      <c r="D11" s="6" t="n">
        <v>112.8</v>
      </c>
      <c r="E11" s="6" t="n">
        <v>146</v>
      </c>
      <c r="F11" s="6" t="n">
        <v>115.4</v>
      </c>
      <c r="G11" s="6" t="n">
        <v>114.4</v>
      </c>
      <c r="H11" s="6" t="n"/>
      <c r="I11" s="6" t="n"/>
      <c r="J11" s="6" t="n"/>
      <c r="K11" s="6" t="n"/>
      <c r="L11" s="6" t="n"/>
      <c r="M11" s="6" t="n"/>
      <c r="N11" s="6" t="n"/>
      <c r="O11" s="6" t="n"/>
      <c r="P11" s="6" t="n"/>
      <c r="Q11" s="6" t="n"/>
      <c r="R11" s="6" t="n"/>
    </row>
    <row r="12">
      <c r="A12" s="6" t="inlineStr">
        <is>
          <t>Debt securities: FVOCI (fair value through other comprehensive income) — Covered bonds (other investment securities)</t>
        </is>
      </c>
      <c r="B12" s="6" t="n">
        <v>672</v>
      </c>
      <c r="C12" s="6" t="n">
        <v>802</v>
      </c>
      <c r="D12" s="6" t="n">
        <v>553.1</v>
      </c>
      <c r="E12" s="6" t="n">
        <v>681.2</v>
      </c>
      <c r="F12" s="6" t="n">
        <v>495.9</v>
      </c>
      <c r="G12" s="6" t="n">
        <v>529.7</v>
      </c>
      <c r="H12" s="6" t="n"/>
      <c r="I12" s="6" t="n"/>
      <c r="J12" s="6" t="n"/>
      <c r="K12" s="6" t="n"/>
      <c r="L12" s="6" t="n"/>
      <c r="M12" s="6" t="n"/>
      <c r="N12" s="6" t="n"/>
      <c r="O12" s="6" t="n"/>
      <c r="P12" s="6" t="n"/>
      <c r="Q12" s="6" t="n"/>
      <c r="R12" s="6" t="n"/>
    </row>
    <row r="13">
      <c r="A13" s="6" t="inlineStr">
        <is>
          <t>Debt securities: amortised cost — UK Government gilts</t>
        </is>
      </c>
      <c r="B13" s="6" t="n">
        <v>256.8</v>
      </c>
      <c r="C13" s="6" t="n">
        <v>176.8</v>
      </c>
      <c r="D13" s="6" t="n">
        <v>270.8</v>
      </c>
      <c r="E13" s="6" t="n">
        <v>150.3</v>
      </c>
      <c r="F13" s="6" t="n">
        <v>107.3</v>
      </c>
      <c r="G13" s="6" t="n">
        <v>48.4</v>
      </c>
      <c r="H13" s="6" t="n"/>
      <c r="I13" s="6" t="n"/>
      <c r="J13" s="6" t="n"/>
      <c r="K13" s="6" t="n"/>
      <c r="L13" s="6" t="n"/>
      <c r="M13" s="6" t="n"/>
      <c r="N13" s="6" t="n"/>
      <c r="O13" s="6" t="n"/>
      <c r="P13" s="6" t="n"/>
      <c r="Q13" s="6" t="n"/>
      <c r="R13" s="6" t="n"/>
    </row>
    <row r="14">
      <c r="A14" s="6" t="inlineStr">
        <is>
          <t>Debt securities: amortised cost — Supranational bonds (other investment securities)</t>
        </is>
      </c>
      <c r="B14" s="6" t="n">
        <v>72.3</v>
      </c>
      <c r="C14" s="6" t="n">
        <v>198.1</v>
      </c>
      <c r="D14" s="6" t="n">
        <v>256.5</v>
      </c>
      <c r="E14" s="6" t="n">
        <v>241.1</v>
      </c>
      <c r="F14" s="6" t="n">
        <v>86.40000000000001</v>
      </c>
      <c r="G14" s="6" t="n">
        <v>22.9</v>
      </c>
      <c r="H14" s="6" t="n"/>
      <c r="I14" s="6" t="n"/>
      <c r="J14" s="6" t="n"/>
      <c r="K14" s="6" t="n"/>
      <c r="L14" s="6" t="n"/>
      <c r="M14" s="6" t="n"/>
      <c r="N14" s="6" t="n"/>
      <c r="O14" s="6" t="n"/>
      <c r="P14" s="6" t="n"/>
      <c r="Q14" s="6" t="n"/>
      <c r="R14" s="6" t="n"/>
    </row>
    <row r="15">
      <c r="A15" s="6" t="inlineStr">
        <is>
          <t>Derivatives held for risk management</t>
        </is>
      </c>
      <c r="B15" s="6" t="n">
        <v>170.1</v>
      </c>
      <c r="C15" s="6" t="n">
        <v>344.2</v>
      </c>
      <c r="D15" s="6" t="n">
        <v>666.3</v>
      </c>
      <c r="E15" s="6" t="n">
        <v>259.9</v>
      </c>
      <c r="F15" s="6" t="n">
        <v>18.9</v>
      </c>
      <c r="G15" s="6" t="n">
        <v>9.1</v>
      </c>
      <c r="H15" s="6" t="n">
        <v>9.1</v>
      </c>
      <c r="I15" s="6" t="n">
        <v>24</v>
      </c>
      <c r="J15" s="6" t="n"/>
      <c r="K15" s="6" t="n">
        <v>17.5</v>
      </c>
      <c r="L15" s="6" t="n">
        <v>17.5</v>
      </c>
      <c r="M15" s="6" t="n">
        <v>25.6</v>
      </c>
      <c r="N15" s="6" t="n"/>
      <c r="O15" s="6" t="n"/>
      <c r="P15" s="6" t="n"/>
      <c r="Q15" s="6" t="n"/>
      <c r="R15" s="6" t="n"/>
    </row>
    <row r="16">
      <c r="A16" s="6" t="inlineStr">
        <is>
          <t>Loans and advances to customers</t>
        </is>
      </c>
      <c r="B16" s="6" t="n">
        <v>12523.4</v>
      </c>
      <c r="C16" s="6" t="n">
        <v>11416.3</v>
      </c>
      <c r="D16" s="6" t="n">
        <v>10998.9</v>
      </c>
      <c r="E16" s="6" t="n">
        <v>10777.3</v>
      </c>
      <c r="F16" s="6" t="n">
        <v>10393.6</v>
      </c>
      <c r="G16" s="6" t="n">
        <v>10602.2</v>
      </c>
      <c r="H16" s="6" t="n">
        <v>10230.3</v>
      </c>
      <c r="I16" s="6" t="n">
        <v>8990.5</v>
      </c>
      <c r="J16" s="6" t="n"/>
      <c r="K16" s="6" t="n">
        <v>7477.3</v>
      </c>
      <c r="L16" s="6" t="n">
        <v>6144.8</v>
      </c>
      <c r="M16" s="6" t="n">
        <v>4801.1</v>
      </c>
      <c r="N16" s="6" t="n">
        <v>3370.8</v>
      </c>
      <c r="O16" s="6" t="n">
        <v>2059.6</v>
      </c>
      <c r="P16" s="6" t="n">
        <v>1160.4</v>
      </c>
      <c r="Q16" s="6" t="n">
        <v>475</v>
      </c>
      <c r="R16" s="6" t="n">
        <v>160.6</v>
      </c>
    </row>
    <row r="17">
      <c r="A17" s="6" t="inlineStr">
        <is>
          <t>Fair value adjustment for portfolio hedged risk</t>
        </is>
      </c>
      <c r="B17" s="6" t="n">
        <v>18.8</v>
      </c>
      <c r="C17" s="6" t="n">
        <v>-129</v>
      </c>
      <c r="D17" s="6" t="n">
        <v>-400.1</v>
      </c>
      <c r="E17" s="6" t="n">
        <v>-180.2</v>
      </c>
      <c r="F17" s="6" t="n">
        <v>15.2</v>
      </c>
      <c r="G17" s="6" t="n">
        <v>55.8</v>
      </c>
      <c r="H17" s="6" t="n">
        <v>17.9</v>
      </c>
      <c r="I17" s="6" t="n">
        <v>-15.7</v>
      </c>
      <c r="J17" s="6" t="n"/>
      <c r="K17" s="6" t="n">
        <v>-3.5</v>
      </c>
      <c r="L17" s="6" t="n">
        <v>1.1</v>
      </c>
      <c r="M17" s="6" t="n"/>
      <c r="N17" s="6" t="n"/>
      <c r="O17" s="6" t="n"/>
      <c r="P17" s="6" t="n"/>
      <c r="Q17" s="6" t="n"/>
      <c r="R17" s="6" t="n"/>
    </row>
    <row r="18">
      <c r="A18" s="6" t="inlineStr">
        <is>
          <t>Non-current assets held for sale</t>
        </is>
      </c>
      <c r="B18" s="6" t="n"/>
      <c r="C18" s="6" t="n"/>
      <c r="D18" s="6" t="n">
        <v>32.8</v>
      </c>
      <c r="E18" s="6" t="n"/>
      <c r="F18" s="6" t="n"/>
      <c r="G18" s="6" t="n"/>
      <c r="H18" s="6" t="n"/>
      <c r="I18" s="6" t="n"/>
      <c r="J18" s="6" t="n"/>
      <c r="K18" s="6" t="n"/>
      <c r="L18" s="6" t="n"/>
      <c r="M18" s="6" t="n"/>
      <c r="N18" s="6" t="n"/>
      <c r="O18" s="6" t="n"/>
      <c r="P18" s="6" t="n"/>
      <c r="Q18" s="6" t="n"/>
      <c r="R18" s="6" t="n"/>
    </row>
    <row r="19">
      <c r="A19" s="6" t="inlineStr">
        <is>
          <t>Other assets</t>
        </is>
      </c>
      <c r="B19" s="6" t="n">
        <v>2.8</v>
      </c>
      <c r="C19" s="6" t="n">
        <v>9.199999999999999</v>
      </c>
      <c r="D19" s="6" t="n">
        <v>6</v>
      </c>
      <c r="E19" s="6" t="n">
        <v>1.6</v>
      </c>
      <c r="F19" s="6" t="n">
        <v>2</v>
      </c>
      <c r="G19" s="6" t="n">
        <v>0</v>
      </c>
      <c r="H19" s="6" t="n">
        <v>2.8</v>
      </c>
      <c r="I19" s="6" t="n">
        <v>6.4</v>
      </c>
      <c r="J19" s="6" t="n"/>
      <c r="K19" s="6" t="n">
        <v>3.7</v>
      </c>
      <c r="L19" s="6" t="n">
        <v>2.5</v>
      </c>
      <c r="M19" s="6" t="n">
        <v>4.7</v>
      </c>
      <c r="N19" s="6" t="n">
        <v>11.5</v>
      </c>
      <c r="O19" s="6" t="n">
        <v>22.4</v>
      </c>
      <c r="P19" s="6" t="n">
        <v>14.3</v>
      </c>
      <c r="Q19" s="6" t="n">
        <v>4.3</v>
      </c>
      <c r="R19" s="6" t="n">
        <v>1.2</v>
      </c>
    </row>
    <row r="20">
      <c r="A20" s="6" t="inlineStr">
        <is>
          <t>Prepayments and accrued income</t>
        </is>
      </c>
      <c r="B20" s="6" t="n">
        <v>23.6</v>
      </c>
      <c r="C20" s="6" t="n">
        <v>22.8</v>
      </c>
      <c r="D20" s="6" t="n">
        <v>17.8</v>
      </c>
      <c r="E20" s="6" t="n">
        <v>14.5</v>
      </c>
      <c r="F20" s="6" t="n">
        <v>13.3</v>
      </c>
      <c r="G20" s="6" t="n">
        <v>11.3</v>
      </c>
      <c r="H20" s="6" t="n">
        <v>5.3</v>
      </c>
      <c r="I20" s="6" t="n">
        <v>6.2</v>
      </c>
      <c r="J20" s="6" t="n"/>
      <c r="K20" s="6" t="n">
        <v>3.4</v>
      </c>
      <c r="L20" s="6" t="n">
        <v>5.1</v>
      </c>
      <c r="M20" s="6" t="n">
        <v>6.7</v>
      </c>
      <c r="N20" s="6" t="n">
        <v>32.5</v>
      </c>
      <c r="O20" s="6" t="n">
        <v>21.8</v>
      </c>
      <c r="P20" s="6" t="n">
        <v>12.9</v>
      </c>
      <c r="Q20" s="6" t="n">
        <v>5.8</v>
      </c>
      <c r="R20" s="6" t="n">
        <v>2.5</v>
      </c>
    </row>
    <row r="21">
      <c r="A21" s="6" t="inlineStr">
        <is>
          <t>Taxation asset</t>
        </is>
      </c>
      <c r="B21" s="6" t="n">
        <v>2.9</v>
      </c>
      <c r="C21" s="6" t="n">
        <v>2.2</v>
      </c>
      <c r="D21" s="6" t="n">
        <v>0</v>
      </c>
      <c r="E21" s="6" t="n">
        <v>7</v>
      </c>
      <c r="F21" s="6" t="n">
        <v>0.7</v>
      </c>
      <c r="G21" s="6" t="n">
        <v>11.8</v>
      </c>
      <c r="H21" s="6" t="n"/>
      <c r="I21" s="6" t="n"/>
      <c r="J21" s="6" t="n"/>
      <c r="K21" s="6" t="n"/>
      <c r="L21" s="6" t="n"/>
      <c r="M21" s="6" t="n"/>
      <c r="N21" s="6" t="n"/>
      <c r="O21" s="6" t="n"/>
      <c r="P21" s="6" t="n"/>
      <c r="Q21" s="6" t="n"/>
      <c r="R21" s="6" t="n"/>
    </row>
    <row r="22">
      <c r="A22" s="6" t="inlineStr">
        <is>
          <t>Deferred taxation</t>
        </is>
      </c>
      <c r="B22" s="6" t="n">
        <v>6.3</v>
      </c>
      <c r="C22" s="6" t="n">
        <v>5.7</v>
      </c>
      <c r="D22" s="6" t="n">
        <v>6.1</v>
      </c>
      <c r="E22" s="6" t="n">
        <v>2.6</v>
      </c>
      <c r="F22" s="6" t="n">
        <v>5.7</v>
      </c>
      <c r="G22" s="6" t="n">
        <v>3.4</v>
      </c>
      <c r="H22" s="6" t="n">
        <v>3.7</v>
      </c>
      <c r="I22" s="6" t="n">
        <v>2.3</v>
      </c>
      <c r="J22" s="6" t="n"/>
      <c r="K22" s="6" t="n">
        <v>12</v>
      </c>
      <c r="L22" s="6" t="n">
        <v>16.9</v>
      </c>
      <c r="M22" s="6" t="n">
        <v>6.4</v>
      </c>
      <c r="N22" s="6" t="n">
        <v>3.5</v>
      </c>
      <c r="O22" s="6" t="n"/>
      <c r="P22" s="6" t="n"/>
      <c r="Q22" s="6" t="n"/>
      <c r="R22" s="6" t="n"/>
    </row>
    <row r="23">
      <c r="A23" s="6" t="inlineStr">
        <is>
          <t>Property, plant and equipment</t>
        </is>
      </c>
      <c r="B23" s="6" t="n">
        <v>16.3</v>
      </c>
      <c r="C23" s="6" t="n">
        <v>20.5</v>
      </c>
      <c r="D23" s="6" t="n">
        <v>15.7</v>
      </c>
      <c r="E23" s="6" t="n">
        <v>20.8</v>
      </c>
      <c r="F23" s="6" t="n">
        <v>25.8</v>
      </c>
      <c r="G23" s="6" t="n">
        <v>23.2</v>
      </c>
      <c r="H23" s="6" t="n">
        <v>3.8</v>
      </c>
      <c r="I23" s="6" t="n">
        <v>3.7</v>
      </c>
      <c r="J23" s="6" t="n"/>
      <c r="K23" s="6" t="n">
        <v>3.1</v>
      </c>
      <c r="L23" s="6" t="n">
        <v>3.4</v>
      </c>
      <c r="M23" s="6" t="n">
        <v>2.8</v>
      </c>
      <c r="N23" s="6" t="n">
        <v>12.9</v>
      </c>
      <c r="O23" s="6" t="n">
        <v>11.4</v>
      </c>
      <c r="P23" s="6" t="n">
        <v>7.4</v>
      </c>
      <c r="Q23" s="6" t="n">
        <v>3.8</v>
      </c>
      <c r="R23" s="6" t="n">
        <v>2</v>
      </c>
    </row>
    <row r="24">
      <c r="A24" s="6" t="inlineStr">
        <is>
          <t>Intangible assets</t>
        </is>
      </c>
      <c r="B24" s="6" t="n">
        <v>4.3</v>
      </c>
      <c r="C24" s="6" t="n">
        <v>4.3</v>
      </c>
      <c r="D24" s="6" t="n">
        <v>4.3</v>
      </c>
      <c r="E24" s="6" t="n">
        <v>4.5</v>
      </c>
      <c r="F24" s="6" t="n">
        <v>9.6</v>
      </c>
      <c r="G24" s="6" t="n">
        <v>7.7</v>
      </c>
      <c r="H24" s="6" t="n">
        <v>7</v>
      </c>
      <c r="I24" s="6" t="n">
        <v>10.2</v>
      </c>
      <c r="J24" s="6" t="n"/>
      <c r="K24" s="6" t="n">
        <v>21.9</v>
      </c>
      <c r="L24" s="6" t="n">
        <v>19.8</v>
      </c>
      <c r="M24" s="6" t="n">
        <v>18.4</v>
      </c>
      <c r="N24" s="6" t="n">
        <v>7</v>
      </c>
      <c r="O24" s="6" t="n">
        <v>7.5</v>
      </c>
      <c r="P24" s="6" t="n">
        <v>7.9</v>
      </c>
      <c r="Q24" s="6" t="n">
        <v>8.4</v>
      </c>
      <c r="R24" s="6" t="n">
        <v>7.6</v>
      </c>
    </row>
    <row r="25">
      <c r="A25" s="5" t="inlineStr">
        <is>
          <t>Total assets</t>
        </is>
      </c>
      <c r="B25" s="5" t="n">
        <v>20618.2</v>
      </c>
      <c r="C25" s="5" t="n">
        <v>20195.5</v>
      </c>
      <c r="D25" s="5" t="n">
        <v>19051.7</v>
      </c>
      <c r="E25" s="5" t="n">
        <v>17290.8</v>
      </c>
      <c r="F25" s="5" t="n">
        <v>15583</v>
      </c>
      <c r="G25" s="5" t="n">
        <v>15000.7</v>
      </c>
      <c r="H25" s="5" t="n">
        <v>12471.9</v>
      </c>
      <c r="I25" s="5" t="n">
        <v>10467.4</v>
      </c>
      <c r="J25" s="5" t="n"/>
      <c r="K25" s="5" t="n">
        <v>8396.5</v>
      </c>
      <c r="L25" s="5" t="n">
        <v>7021.4</v>
      </c>
      <c r="M25" s="5" t="n">
        <v>5583.2</v>
      </c>
      <c r="N25" s="5" t="n">
        <v>4194.3</v>
      </c>
      <c r="O25" s="5" t="n">
        <v>2519.6</v>
      </c>
      <c r="P25" s="5" t="n">
        <v>1554.1</v>
      </c>
      <c r="Q25" s="5" t="n">
        <v>752.3</v>
      </c>
      <c r="R25" s="5" t="n">
        <v>294.7</v>
      </c>
    </row>
    <row r="26">
      <c r="A26" s="5" t="inlineStr">
        <is>
          <t>Liabilities</t>
        </is>
      </c>
      <c r="B26" s="6" t="n"/>
      <c r="C26" s="6" t="n"/>
      <c r="D26" s="6" t="n"/>
      <c r="E26" s="6" t="n"/>
      <c r="F26" s="6" t="n"/>
      <c r="G26" s="6" t="n"/>
      <c r="H26" s="6" t="n"/>
      <c r="I26" s="6" t="n"/>
      <c r="J26" s="6" t="n"/>
      <c r="K26" s="6" t="n"/>
      <c r="L26" s="6" t="n"/>
      <c r="M26" s="6" t="n"/>
      <c r="N26" s="6" t="n"/>
      <c r="O26" s="6" t="n"/>
      <c r="P26" s="6" t="n"/>
      <c r="Q26" s="6" t="n"/>
      <c r="R26" s="6" t="n"/>
    </row>
    <row r="27">
      <c r="A27" s="6" t="inlineStr">
        <is>
          <t>Amounts due to banks</t>
        </is>
      </c>
      <c r="B27" s="6" t="n">
        <v>795.8</v>
      </c>
      <c r="C27" s="6" t="n">
        <v>1365.3</v>
      </c>
      <c r="D27" s="6" t="n">
        <v>1681.9</v>
      </c>
      <c r="E27" s="6" t="n">
        <v>1341.8</v>
      </c>
      <c r="F27" s="6" t="n">
        <v>1326.6</v>
      </c>
      <c r="G27" s="6" t="n">
        <v>2173.5</v>
      </c>
      <c r="H27" s="6" t="n">
        <v>1814.6</v>
      </c>
      <c r="I27" s="6" t="n">
        <v>1678.2</v>
      </c>
      <c r="J27" s="6" t="n"/>
      <c r="K27" s="6" t="n">
        <v>753.8</v>
      </c>
      <c r="L27" s="6" t="n">
        <v>405.1</v>
      </c>
      <c r="M27" s="6" t="n">
        <v>305.9</v>
      </c>
      <c r="N27" s="6" t="n">
        <v>384.3</v>
      </c>
      <c r="O27" s="6" t="n">
        <v>115.1</v>
      </c>
      <c r="P27" s="6" t="n"/>
      <c r="Q27" s="6" t="n"/>
      <c r="R27" s="6" t="n"/>
    </row>
    <row r="28">
      <c r="A28" s="6" t="inlineStr">
        <is>
          <t>Customers' accounts</t>
        </is>
      </c>
      <c r="B28" s="6" t="n">
        <v>17047.6</v>
      </c>
      <c r="C28" s="6" t="n">
        <v>16306.7</v>
      </c>
      <c r="D28" s="6" t="n">
        <v>15033.3</v>
      </c>
      <c r="E28" s="6" t="n">
        <v>14105.4</v>
      </c>
      <c r="F28" s="6" t="n">
        <v>12427.3</v>
      </c>
      <c r="G28" s="6" t="n">
        <v>10886.4</v>
      </c>
      <c r="H28" s="6" t="n">
        <v>8971.799999999999</v>
      </c>
      <c r="I28" s="6" t="n">
        <v>7776.3</v>
      </c>
      <c r="J28" s="6" t="n"/>
      <c r="K28" s="6" t="n">
        <v>6673.7</v>
      </c>
      <c r="L28" s="6" t="n">
        <v>5742</v>
      </c>
      <c r="M28" s="6" t="n">
        <v>4459</v>
      </c>
      <c r="N28" s="6" t="n">
        <v>3444.4</v>
      </c>
      <c r="O28" s="6" t="n">
        <v>2141.2</v>
      </c>
      <c r="P28" s="6" t="n">
        <v>1347.5</v>
      </c>
      <c r="Q28" s="6" t="n">
        <v>634.7</v>
      </c>
      <c r="R28" s="6" t="n">
        <v>229.6</v>
      </c>
    </row>
    <row r="29">
      <c r="A29" s="6" t="inlineStr">
        <is>
          <t>Derivatives held for risk management</t>
        </is>
      </c>
      <c r="B29" s="6" t="n">
        <v>94.09999999999999</v>
      </c>
      <c r="C29" s="6" t="n">
        <v>37.8</v>
      </c>
      <c r="D29" s="6" t="n">
        <v>62.5</v>
      </c>
      <c r="E29" s="6" t="n">
        <v>24.5</v>
      </c>
      <c r="F29" s="6" t="n">
        <v>40</v>
      </c>
      <c r="G29" s="6" t="n">
        <v>93.2</v>
      </c>
      <c r="H29" s="6" t="n">
        <v>36.6</v>
      </c>
      <c r="I29" s="6" t="n">
        <v>16.6</v>
      </c>
      <c r="J29" s="6" t="n"/>
      <c r="K29" s="6" t="n">
        <v>35.3</v>
      </c>
      <c r="L29" s="6" t="n">
        <v>35.2</v>
      </c>
      <c r="M29" s="6" t="n">
        <v>53.5</v>
      </c>
      <c r="N29" s="6" t="n"/>
      <c r="O29" s="6" t="n"/>
      <c r="P29" s="6" t="n"/>
      <c r="Q29" s="6" t="n"/>
      <c r="R29" s="6" t="n"/>
    </row>
    <row r="30">
      <c r="A30" s="6" t="inlineStr">
        <is>
          <t>Fair value adjustment for portfolio hedged risk</t>
        </is>
      </c>
      <c r="B30" s="6" t="n">
        <v>16.4</v>
      </c>
      <c r="C30" s="6" t="n">
        <v>6.5</v>
      </c>
      <c r="D30" s="6" t="n">
        <v>-21</v>
      </c>
      <c r="E30" s="6" t="n">
        <v>-12.7</v>
      </c>
      <c r="F30" s="6" t="n">
        <v>0</v>
      </c>
      <c r="G30" s="6" t="n">
        <v>2.1</v>
      </c>
      <c r="H30" s="6" t="n">
        <v>1</v>
      </c>
      <c r="I30" s="6" t="n">
        <v>0.2</v>
      </c>
      <c r="J30" s="6" t="n"/>
      <c r="K30" s="6" t="n">
        <v>-1.2</v>
      </c>
      <c r="L30" s="6" t="n">
        <v>-0.8</v>
      </c>
      <c r="M30" s="6" t="n">
        <v>1.5</v>
      </c>
      <c r="N30" s="6" t="n"/>
      <c r="O30" s="6" t="n"/>
      <c r="P30" s="6" t="n"/>
      <c r="Q30" s="6" t="n"/>
      <c r="R30" s="6" t="n"/>
    </row>
    <row r="31">
      <c r="A31" s="6" t="inlineStr">
        <is>
          <t>Amounts owed / payable to other Group undertakings</t>
        </is>
      </c>
      <c r="B31" s="6" t="n">
        <v>952.5</v>
      </c>
      <c r="C31" s="6" t="n">
        <v>909.2</v>
      </c>
      <c r="D31" s="6" t="n">
        <v>862</v>
      </c>
      <c r="E31" s="6" t="n">
        <v>531.5</v>
      </c>
      <c r="F31" s="6" t="n">
        <v>537.2</v>
      </c>
      <c r="G31" s="6" t="n">
        <v>714.4</v>
      </c>
      <c r="H31" s="6" t="n">
        <v>550.9</v>
      </c>
      <c r="I31" s="6" t="n">
        <v>104.5</v>
      </c>
      <c r="J31" s="6" t="n"/>
      <c r="K31" s="6" t="n">
        <v>153.1</v>
      </c>
      <c r="L31" s="6" t="n">
        <v>213.4</v>
      </c>
      <c r="M31" s="6" t="n">
        <v>302.7</v>
      </c>
      <c r="N31" s="6" t="n"/>
      <c r="O31" s="6" t="n"/>
      <c r="P31" s="6" t="n"/>
      <c r="Q31" s="6" t="n"/>
      <c r="R31" s="6" t="n"/>
    </row>
    <row r="32">
      <c r="A32" s="6" t="inlineStr">
        <is>
          <t>Other liabilities, accruals and deferred income</t>
        </is>
      </c>
      <c r="B32" s="6" t="n">
        <v>93.3</v>
      </c>
      <c r="C32" s="6" t="n">
        <v>96.7</v>
      </c>
      <c r="D32" s="6" t="n">
        <v>105.2</v>
      </c>
      <c r="E32" s="6" t="n">
        <v>97.90000000000001</v>
      </c>
      <c r="F32" s="6" t="n">
        <v>92.40000000000001</v>
      </c>
      <c r="G32" s="6" t="n">
        <v>71.2</v>
      </c>
      <c r="H32" s="6" t="n">
        <v>62</v>
      </c>
      <c r="I32" s="6" t="n">
        <v>57.6</v>
      </c>
      <c r="J32" s="6" t="n"/>
      <c r="K32" s="6" t="n">
        <v>51.9</v>
      </c>
      <c r="L32" s="6" t="n">
        <v>47.5</v>
      </c>
      <c r="M32" s="6" t="n">
        <v>38.8</v>
      </c>
      <c r="N32" s="6" t="n">
        <v>69.5</v>
      </c>
      <c r="O32" s="6" t="n">
        <v>56.3</v>
      </c>
      <c r="P32" s="6" t="n">
        <v>40.5</v>
      </c>
      <c r="Q32" s="6" t="n">
        <v>26</v>
      </c>
      <c r="R32" s="6" t="n">
        <v>12</v>
      </c>
    </row>
    <row r="33">
      <c r="A33" s="6" t="inlineStr">
        <is>
          <t>Taxation liability</t>
        </is>
      </c>
      <c r="B33" s="6" t="n"/>
      <c r="C33" s="6" t="n"/>
      <c r="D33" s="6" t="n">
        <v>6</v>
      </c>
      <c r="E33" s="6" t="n"/>
      <c r="F33" s="6" t="n"/>
      <c r="G33" s="6" t="n">
        <v>0</v>
      </c>
      <c r="H33" s="6" t="n">
        <v>18.3</v>
      </c>
      <c r="I33" s="6" t="n">
        <v>5.8</v>
      </c>
      <c r="J33" s="6" t="n"/>
      <c r="K33" s="6" t="n">
        <v>9.699999999999999</v>
      </c>
      <c r="L33" s="6" t="n">
        <v>12.5</v>
      </c>
      <c r="M33" s="6" t="n">
        <v>8.199999999999999</v>
      </c>
      <c r="N33" s="6" t="n">
        <v>2.5</v>
      </c>
      <c r="O33" s="6" t="n"/>
      <c r="P33" s="6" t="n"/>
      <c r="Q33" s="6" t="n"/>
      <c r="R33" s="6" t="n"/>
    </row>
    <row r="34">
      <c r="A34" s="6" t="inlineStr">
        <is>
          <t>Provisions</t>
        </is>
      </c>
      <c r="B34" s="6" t="n">
        <v>3</v>
      </c>
      <c r="C34" s="6" t="n">
        <v>0.6</v>
      </c>
      <c r="D34" s="6" t="n">
        <v>2.5</v>
      </c>
      <c r="E34" s="6" t="n">
        <v>3.8</v>
      </c>
      <c r="F34" s="6" t="n">
        <v>2.7</v>
      </c>
      <c r="G34" s="6" t="n">
        <v>2.5</v>
      </c>
      <c r="H34" s="6" t="n">
        <v>2.4</v>
      </c>
      <c r="I34" s="6" t="n">
        <v>1</v>
      </c>
      <c r="J34" s="6" t="n"/>
      <c r="K34" s="6" t="n">
        <v>0.8</v>
      </c>
      <c r="L34" s="6" t="n">
        <v>1.1</v>
      </c>
      <c r="M34" s="6" t="n">
        <v>2</v>
      </c>
      <c r="N34" s="6" t="n">
        <v>1.2</v>
      </c>
      <c r="O34" s="6" t="n">
        <v>0.6</v>
      </c>
      <c r="P34" s="6" t="n"/>
      <c r="Q34" s="6" t="n"/>
      <c r="R34" s="6" t="n"/>
    </row>
    <row r="35">
      <c r="A35" s="6" t="inlineStr">
        <is>
          <t>Debt securities in issue</t>
        </is>
      </c>
      <c r="B35" s="6" t="n"/>
      <c r="C35" s="6" t="n"/>
      <c r="D35" s="6" t="n">
        <v>-0.2</v>
      </c>
      <c r="E35" s="6" t="n">
        <v>-0.5</v>
      </c>
      <c r="F35" s="6" t="n"/>
      <c r="G35" s="6" t="n"/>
      <c r="H35" s="6" t="n"/>
      <c r="I35" s="6" t="n"/>
      <c r="J35" s="6" t="n"/>
      <c r="K35" s="6" t="n"/>
      <c r="L35" s="6" t="n"/>
      <c r="M35" s="6" t="n"/>
      <c r="N35" s="6" t="n"/>
      <c r="O35" s="6" t="n"/>
      <c r="P35" s="6" t="n"/>
      <c r="Q35" s="6" t="n"/>
      <c r="R35" s="6" t="n"/>
    </row>
    <row r="36">
      <c r="A36" s="6" t="inlineStr">
        <is>
          <t>Subordinated notes</t>
        </is>
      </c>
      <c r="B36" s="6" t="n">
        <v>100.9</v>
      </c>
      <c r="C36" s="6" t="n">
        <v>100.9</v>
      </c>
      <c r="D36" s="6" t="n">
        <v>100.5</v>
      </c>
      <c r="E36" s="6" t="n">
        <v>100.5</v>
      </c>
      <c r="F36" s="6" t="n">
        <v>161.4</v>
      </c>
      <c r="G36" s="6" t="n">
        <v>161.2</v>
      </c>
      <c r="H36" s="6" t="n">
        <v>161.1</v>
      </c>
      <c r="I36" s="6" t="n">
        <v>60.5</v>
      </c>
      <c r="J36" s="6" t="n"/>
      <c r="K36" s="6" t="n">
        <v>100</v>
      </c>
      <c r="L36" s="6" t="n">
        <v>38.1</v>
      </c>
      <c r="M36" s="6" t="n">
        <v>36.8</v>
      </c>
      <c r="N36" s="6" t="n">
        <v>35.1</v>
      </c>
      <c r="O36" s="6" t="n">
        <v>34.1</v>
      </c>
      <c r="P36" s="6" t="n"/>
      <c r="Q36" s="6" t="n"/>
      <c r="R36" s="6" t="n"/>
    </row>
    <row r="37">
      <c r="A37" s="5" t="inlineStr">
        <is>
          <t>Total liabilities</t>
        </is>
      </c>
      <c r="B37" s="5" t="n">
        <v>17050.8</v>
      </c>
      <c r="C37" s="5" t="n">
        <v>18823.7</v>
      </c>
      <c r="D37" s="5" t="n">
        <v>17832.7</v>
      </c>
      <c r="E37" s="5" t="n">
        <v>16192.2</v>
      </c>
      <c r="F37" s="5" t="n">
        <v>14595.9</v>
      </c>
      <c r="G37" s="5" t="n">
        <v>14104.5</v>
      </c>
      <c r="H37" s="5" t="n">
        <v>11618.7</v>
      </c>
      <c r="I37" s="5" t="n">
        <v>9700.700000000001</v>
      </c>
      <c r="J37" s="5" t="n"/>
      <c r="K37" s="5" t="n">
        <v>7777.1</v>
      </c>
      <c r="L37" s="5" t="n">
        <v>6494.1</v>
      </c>
      <c r="M37" s="5" t="n">
        <v>5208.4</v>
      </c>
      <c r="N37" s="5" t="n">
        <v>3936.9</v>
      </c>
      <c r="O37" s="5" t="n">
        <v>2347.3</v>
      </c>
      <c r="P37" s="5" t="n">
        <v>1388</v>
      </c>
      <c r="Q37" s="5" t="n">
        <v>660.7</v>
      </c>
      <c r="R37" s="5" t="n">
        <v>241.6</v>
      </c>
    </row>
    <row r="38">
      <c r="A38" s="5" t="inlineStr">
        <is>
          <t>Equity</t>
        </is>
      </c>
      <c r="B38" s="6" t="n"/>
      <c r="C38" s="6" t="n"/>
      <c r="D38" s="6" t="n"/>
      <c r="E38" s="6" t="n"/>
      <c r="F38" s="6" t="n"/>
      <c r="G38" s="6" t="n"/>
      <c r="H38" s="6" t="n"/>
      <c r="I38" s="6" t="n"/>
      <c r="J38" s="6" t="n"/>
      <c r="K38" s="6" t="n"/>
      <c r="L38" s="6" t="n"/>
      <c r="M38" s="6" t="n"/>
      <c r="N38" s="6" t="n"/>
      <c r="O38" s="6" t="n"/>
      <c r="P38" s="6" t="n"/>
      <c r="Q38" s="6" t="n"/>
      <c r="R38" s="6" t="n"/>
    </row>
    <row r="39">
      <c r="A39" s="6" t="inlineStr">
        <is>
          <t>Share capital</t>
        </is>
      </c>
      <c r="B39" s="6" t="n">
        <v>3.3</v>
      </c>
      <c r="C39" s="6" t="n">
        <v>3.3</v>
      </c>
      <c r="D39" s="6" t="n">
        <v>3.3</v>
      </c>
      <c r="E39" s="6" t="n">
        <v>3.3</v>
      </c>
      <c r="F39" s="6" t="n">
        <v>3.3</v>
      </c>
      <c r="G39" s="6" t="n">
        <v>3.3</v>
      </c>
      <c r="H39" s="6" t="n">
        <v>3.3</v>
      </c>
      <c r="I39" s="6" t="n">
        <v>3.3</v>
      </c>
      <c r="J39" s="6" t="n"/>
      <c r="K39" s="6" t="n">
        <v>3.3</v>
      </c>
      <c r="L39" s="6" t="n">
        <v>3.3</v>
      </c>
      <c r="M39" s="6" t="n">
        <v>3.3</v>
      </c>
      <c r="N39" s="6" t="n">
        <v>3.3</v>
      </c>
      <c r="O39" s="6" t="n">
        <v>3.3</v>
      </c>
      <c r="P39" s="6" t="n">
        <v>3.3</v>
      </c>
      <c r="Q39" s="6" t="n">
        <v>3.3</v>
      </c>
      <c r="R39" s="6" t="n">
        <v>3.3</v>
      </c>
    </row>
    <row r="40">
      <c r="A40" s="6" t="inlineStr">
        <is>
          <t>Share premium account</t>
        </is>
      </c>
      <c r="B40" s="6" t="n">
        <v>307.5</v>
      </c>
      <c r="C40" s="6" t="n">
        <v>307.5</v>
      </c>
      <c r="D40" s="6" t="n">
        <v>307.5</v>
      </c>
      <c r="E40" s="6" t="n">
        <v>307.5</v>
      </c>
      <c r="F40" s="6" t="n">
        <v>307.5</v>
      </c>
      <c r="G40" s="6" t="n">
        <v>307.5</v>
      </c>
      <c r="H40" s="6" t="n">
        <v>307.6</v>
      </c>
      <c r="I40" s="6" t="n">
        <v>307.6</v>
      </c>
      <c r="J40" s="6" t="n"/>
      <c r="K40" s="6" t="n">
        <v>307.6</v>
      </c>
      <c r="L40" s="6" t="n">
        <v>307.6</v>
      </c>
      <c r="M40" s="6" t="n">
        <v>233.4</v>
      </c>
      <c r="N40" s="6" t="n">
        <v>233.4</v>
      </c>
      <c r="O40" s="6" t="n">
        <v>171.8</v>
      </c>
      <c r="P40" s="6" t="n">
        <v>170.1</v>
      </c>
      <c r="Q40" s="6" t="n">
        <v>94.7</v>
      </c>
      <c r="R40" s="6" t="n">
        <v>47.4</v>
      </c>
    </row>
    <row r="41">
      <c r="A41" s="6" t="inlineStr">
        <is>
          <t>Additional Tier 1 capital</t>
        </is>
      </c>
      <c r="B41" s="6" t="n">
        <v>50</v>
      </c>
      <c r="C41" s="6" t="n">
        <v>61</v>
      </c>
      <c r="D41" s="6" t="n">
        <v>61</v>
      </c>
      <c r="E41" s="6" t="n">
        <v>61</v>
      </c>
      <c r="F41" s="6" t="n">
        <v>61</v>
      </c>
      <c r="G41" s="6" t="n">
        <v>61</v>
      </c>
      <c r="H41" s="6" t="n">
        <v>74.3</v>
      </c>
      <c r="I41" s="6" t="n">
        <v>74.3</v>
      </c>
      <c r="J41" s="6" t="n"/>
      <c r="K41" s="6" t="n">
        <v>74.3</v>
      </c>
      <c r="L41" s="6" t="n">
        <v>74.3</v>
      </c>
      <c r="M41" s="6" t="n">
        <v>74.3</v>
      </c>
      <c r="N41" s="6" t="n"/>
      <c r="O41" s="6" t="n"/>
      <c r="P41" s="6" t="n"/>
      <c r="Q41" s="6" t="n"/>
      <c r="R41" s="6" t="n"/>
    </row>
    <row r="42">
      <c r="A42" s="6" t="inlineStr">
        <is>
          <t>Capital contribution / redemption reserve</t>
        </is>
      </c>
      <c r="B42" s="6" t="n"/>
      <c r="C42" s="6" t="n"/>
      <c r="D42" s="6" t="n"/>
      <c r="E42" s="6" t="n"/>
      <c r="F42" s="6" t="n"/>
      <c r="G42" s="6" t="n"/>
      <c r="H42" s="6" t="n"/>
      <c r="I42" s="6" t="n">
        <v>0</v>
      </c>
      <c r="J42" s="6" t="n"/>
      <c r="K42" s="6" t="n">
        <v>6.9</v>
      </c>
      <c r="L42" s="6" t="n">
        <v>3.4</v>
      </c>
      <c r="M42" s="6" t="n">
        <v>3.1</v>
      </c>
      <c r="N42" s="6" t="n">
        <v>2.5</v>
      </c>
      <c r="O42" s="6" t="n">
        <v>2.3</v>
      </c>
      <c r="P42" s="6" t="n"/>
      <c r="Q42" s="6" t="n"/>
      <c r="R42" s="6" t="n"/>
    </row>
    <row r="43">
      <c r="A43" s="6" t="inlineStr">
        <is>
          <t>FVOCI / fair value through other comprehensive income reserve</t>
        </is>
      </c>
      <c r="B43" s="6" t="n">
        <v>-5</v>
      </c>
      <c r="C43" s="6" t="n">
        <v>-0.7</v>
      </c>
      <c r="D43" s="6" t="n">
        <v>3.3</v>
      </c>
      <c r="E43" s="6" t="n">
        <v>6.9</v>
      </c>
      <c r="F43" s="6" t="n">
        <v>8.300000000000001</v>
      </c>
      <c r="G43" s="6" t="n">
        <v>1.5</v>
      </c>
      <c r="H43" s="6" t="n">
        <v>0.4</v>
      </c>
      <c r="I43" s="6" t="n">
        <v>1.1</v>
      </c>
      <c r="J43" s="6" t="n"/>
      <c r="K43" s="6" t="n">
        <v>1.8</v>
      </c>
      <c r="L43" s="6" t="n">
        <v>-1</v>
      </c>
      <c r="M43" s="6" t="n">
        <v>1.4</v>
      </c>
      <c r="N43" s="6" t="n"/>
      <c r="O43" s="6" t="n"/>
      <c r="P43" s="6" t="n"/>
      <c r="Q43" s="6" t="n"/>
      <c r="R43" s="6" t="n"/>
    </row>
    <row r="44">
      <c r="A44" s="6" t="inlineStr">
        <is>
          <t>Retained earnings</t>
        </is>
      </c>
      <c r="B44" s="6" t="n">
        <v>1158.8</v>
      </c>
      <c r="C44" s="6" t="n">
        <v>1000.7</v>
      </c>
      <c r="D44" s="6" t="n">
        <v>843.9</v>
      </c>
      <c r="E44" s="6" t="n">
        <v>719.9</v>
      </c>
      <c r="F44" s="6" t="n">
        <v>607</v>
      </c>
      <c r="G44" s="6" t="n">
        <v>522.9</v>
      </c>
      <c r="H44" s="6" t="n">
        <v>467.6</v>
      </c>
      <c r="I44" s="6" t="n">
        <v>380.4</v>
      </c>
      <c r="J44" s="6" t="n"/>
      <c r="K44" s="6" t="n">
        <v>225.5</v>
      </c>
      <c r="L44" s="6" t="n">
        <v>139.7</v>
      </c>
      <c r="M44" s="6" t="n">
        <v>59.3</v>
      </c>
      <c r="N44" s="6" t="n">
        <v>18.2</v>
      </c>
      <c r="O44" s="6" t="n">
        <v>-5.2</v>
      </c>
      <c r="P44" s="6" t="n">
        <v>-7.3</v>
      </c>
      <c r="Q44" s="6" t="n">
        <v>-6.4</v>
      </c>
      <c r="R44" s="6" t="n">
        <v>2.4</v>
      </c>
    </row>
    <row r="45">
      <c r="A45" s="5" t="inlineStr">
        <is>
          <t>Total equity</t>
        </is>
      </c>
      <c r="B45" s="5" t="n">
        <v>1514.6</v>
      </c>
      <c r="C45" s="5" t="n">
        <v>1371.8</v>
      </c>
      <c r="D45" s="5" t="n">
        <v>1219</v>
      </c>
      <c r="E45" s="5" t="n">
        <v>1098.6</v>
      </c>
      <c r="F45" s="5" t="n">
        <v>987.1</v>
      </c>
      <c r="G45" s="5" t="n">
        <v>896.2</v>
      </c>
      <c r="H45" s="5" t="n">
        <v>853.2</v>
      </c>
      <c r="I45" s="5" t="n">
        <v>766.7</v>
      </c>
      <c r="J45" s="5" t="n"/>
      <c r="K45" s="5" t="n">
        <v>619.4</v>
      </c>
      <c r="L45" s="5" t="n">
        <v>527.3</v>
      </c>
      <c r="M45" s="5" t="n">
        <v>374.8</v>
      </c>
      <c r="N45" s="5" t="n">
        <v>257.4</v>
      </c>
      <c r="O45" s="5" t="n">
        <v>172.3</v>
      </c>
      <c r="P45" s="5" t="n">
        <v>166.1</v>
      </c>
      <c r="Q45" s="5" t="n">
        <v>91.59999999999999</v>
      </c>
      <c r="R45" s="5" t="n">
        <v>53.1</v>
      </c>
    </row>
    <row r="46">
      <c r="A46" s="5" t="inlineStr">
        <is>
          <t>Total liabilities and equity</t>
        </is>
      </c>
      <c r="B46" s="5" t="n">
        <v>20618.2</v>
      </c>
      <c r="C46" s="5" t="n">
        <v>20195.5</v>
      </c>
      <c r="D46" s="5" t="n">
        <v>19051.7</v>
      </c>
      <c r="E46" s="5" t="n">
        <v>17290.8</v>
      </c>
      <c r="F46" s="5" t="n">
        <v>15583</v>
      </c>
      <c r="G46" s="5" t="n">
        <v>15000.7</v>
      </c>
      <c r="H46" s="5" t="n">
        <v>12471.9</v>
      </c>
      <c r="I46" s="5" t="n">
        <v>10467.4</v>
      </c>
      <c r="J46" s="5" t="n"/>
      <c r="K46" s="5" t="n">
        <v>8396.5</v>
      </c>
      <c r="L46" s="5" t="n">
        <v>7021.4</v>
      </c>
      <c r="M46" s="5" t="n">
        <v>5583.2</v>
      </c>
      <c r="N46" s="5" t="n">
        <v>4194.3</v>
      </c>
      <c r="O46" s="5" t="n">
        <v>2519.6</v>
      </c>
      <c r="P46" s="5" t="n">
        <v>1554.1</v>
      </c>
      <c r="Q46" s="5" t="n">
        <v>752.3</v>
      </c>
      <c r="R46" s="5" t="n">
        <v>294.7</v>
      </c>
    </row>
    <row r="48" ht="150" customHeight="1">
      <c r="A48"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FY2020: Full accounts for the year ended 30 June 2020, filed 13 Nov 2020, p.61 — https://find-and-update.company-information.service.gov.uk/company/00947662/filing-history/MzI4MzMzMzM4OGFkaXF6a2N4/document?format=pdf&amp;download=0
FY2019 &amp; FY2018: Full accounts for the year ended 30 June 2019, filed 22 Nov 2019, p.49 — https://find-and-update.company-information.service.gov.uk/company/00947662/filing-history/MzI0OTY0MTQwMWFkaXF6a2N4/document?format=pdf&amp;download=0
FY2016 &amp; FY2015: Full accounts for the year ended 31 December 2016, filed 11 May 2017, p.27 — https://find-and-update.company-information.service.gov.uk/company/00947662/filing-history/MzE3NTQ0MTgwOGFkaXF6a2N4/document?format=pdf&amp;download=0
FY2014: Full accounts for the year ended 31 December 2015, filed 23 May 2016, p.77 (FY2014 comparative) — https://find-and-update.company-information.service.gov.uk/company/00947662/filing-history/MzE0OTEzMjU1M2FkaXF6a2N4/document?format=pdf&amp;download=0
FY2017 has no standalone 12-month Statement of financial position: following the Bank's 2018 acquisition by FirstRand, its accounting reference date changed from 31 December to 30 June, producing one 18-month set of accounts (1 Jan 2017 - 30 Jun 2018, shown here as FY2018) instead of a normal FY2017 + FY2018 pair — FY2017 is left blank rather than estimated. FY2018's column is therefore an 18-month, not 12-month, snapshot; as a balance-sheet (point-in-time) statement this affects comparability less than the flow statements, but the period length difference should still be borne in mind when reading growth between FY2016 and FY2018.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
Debt securities breakdown (measurement basis + issuer type), added as sub-rows directly beneath the 'Debt securities' line, sourced from the 'Debt securities' note of each year's own full statutory accounts (same Companies House filings/pages as above): FY2025/FY2024 — Note 12, p.79 of the FY2025 filing (https://find-and-update.company-information.service.gov.uk/company/00947662/filing-history/MzQ4NzM5MDg2MWFkaXF6a2N4/document?format=pdf&amp;download=0); FY2023/FY2022 — Note 11, p.78 of the FY2023 filing (https://find-and-update.company-information.service.gov.uk/company/00947662/filing-history/MzM5ODA0OTgzOWFkaXF6a2N4/document?format=pdf&amp;download=0); FY2021/FY2020 — Note 16, p.86 of the FY2021 filing (https://find-and-update.company-information.service.gov.uk/company/00947662/filing-history/MzMxODkyMzc2MWFkaXF6a2N4/document?format=pdf&amp;download=0). FY2020's 'UK Government gilts / treasury bills' sub-row (£235.0m) combines that year's own 'UK Government gilts and treasury bills' line (£188.9m) with a separate 'Treasury Bills' line (£46.1m) disclosed only as a FY2020 comparative in the FY2021 accounts. Sub-row sums reconcile to the 'Debt securities' total in every sourced year except FY2023 (£2,048.8m per the note vs £2,048.9m on the face of the Statement of financial position) and FY2022 (£2,339.3m vs £2,339.2m) — both are pre-existing £0.1m rounding artefacts in the Bank's own disclosures, not reconciled here. No equivalent note-level breakdown was sourced for FY2019 and earlier within this pass's scope (FY2020-FY2025 prioritised).
HD-073 extension (FY2009-FY2013): sourced from the Bank's own full statutory accounts filed at Companies House, scanned/OCR'd (no text layer in the filed PDFs), prepared under old UK GAAP (not IFRS) as these pre-date the Bank's IFRS transition:
FY2013 &amp; FY2012: Full accounts made up to 31 December 2013, filed 28 Apr 2014, p.38 — https://find-and-update.company-information.service.gov.uk/company/00947662/filing-history/MzA5ODk0MTEwOGFkaXF6a2N4/document?format=pdf&amp;download=0
FY2011 &amp; FY2010: Full accounts made up to 31 December 2011, filed 13 Apr 2012, p.17 — https://find-and-update.company-information.service.gov.uk/company/00947662/filing-history/MzA1NTc4MjIyNmFkaXF6a2N4/document?format=pdf&amp;download=0
FY2010 &amp; FY2009: Full accounts made up to 31 December 2010, filed 27 Apr 2011, p.17 — https://find-and-update.company-information.service.gov.uk/company/00947662/filing-history/MzAzNjIxMDA5N2FkaXF6a2N4/document?format=pdf&amp;download=0
FY2009 is a 9-month stub period (1 Apr 2009 - 31 Dec 2009), not a full calendar year — see YEARS comment.
Line-item mapping notes for these 5 years: 'Other liabilities, accruals and deferred income' is the sum of the old accounts' two separate 'Other liabilities' and 'Accruals and deferred income' lines (£69.5m/£56.3m/£40.5m/£26.0m/£12.0m for FY2013-FY2009 respectively) rather than a single disclosed figure, to match this row's combined modern-era presentation; 'Property, plant and equipment' maps to the old accounts' 'Tangible fixed assets' line; 'Deferred taxation' and 'Taxation liability' map to the old accounts' 'Deferred tax asset' and 'Taxation' lines respectively. Lines with no entry for FY2009-FY2013 (Amounts owed by/to other Group undertakings, Derivatives held for risk management, Fair value adjustment for portfolio hedged risk, Additional Tier 1 capital, FVOCI reserve, Debt securities in issue) did not exist on the Bank's balance sheet at all in this pre-IFRS/pre-Tier-1-issuance era — genuinely absent, not omitted. 'Amounts due to banks', 'Provisions', and 'Subordinated notes' are similarly blank for FY2011-FY2009 specifically (first appear as separate lines from FY2012); 'Capital contribution / redemption reserve' is blank before FY2012, the year the Bank's ultimate parent first made a non-returnable capital contribution (see the Statement of Changes in Equity sheet's source note).</t>
        </is>
      </c>
    </row>
  </sheetData>
  <mergeCells count="1">
    <mergeCell ref="A48:R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1240.5</v>
      </c>
      <c r="C5" s="6" t="n">
        <v>1234.8</v>
      </c>
      <c r="D5" s="6" t="n">
        <v>878.7</v>
      </c>
      <c r="E5" s="6" t="n">
        <v>533.4</v>
      </c>
      <c r="F5" s="6" t="n">
        <v>473.6</v>
      </c>
      <c r="G5" s="6" t="n">
        <v>513.5</v>
      </c>
      <c r="H5" s="6" t="n">
        <v>470.1</v>
      </c>
      <c r="I5" s="6" t="n">
        <v>599.6</v>
      </c>
      <c r="J5" s="6" t="n"/>
      <c r="K5" s="6" t="n">
        <v>362.3</v>
      </c>
      <c r="L5" s="6" t="n">
        <v>306.2</v>
      </c>
      <c r="M5" s="6" t="n">
        <v>235.2</v>
      </c>
      <c r="N5" s="6" t="n">
        <v>156</v>
      </c>
      <c r="O5" s="6" t="n">
        <v>97.8</v>
      </c>
      <c r="P5" s="6" t="n">
        <v>53.2</v>
      </c>
      <c r="Q5" s="6" t="n">
        <v>24.5</v>
      </c>
      <c r="R5" s="6" t="n">
        <v>6</v>
      </c>
    </row>
    <row r="6">
      <c r="A6" s="6" t="inlineStr">
        <is>
          <t>Interest expense</t>
        </is>
      </c>
      <c r="B6" s="6" t="n">
        <v>-828</v>
      </c>
      <c r="C6" s="6" t="n">
        <v>-808.1</v>
      </c>
      <c r="D6" s="6" t="n">
        <v>-433.6</v>
      </c>
      <c r="E6" s="6" t="n">
        <v>-152.5</v>
      </c>
      <c r="F6" s="6" t="n">
        <v>-157.3</v>
      </c>
      <c r="G6" s="6" t="n">
        <v>-201.9</v>
      </c>
      <c r="H6" s="6" t="n">
        <v>-150.3</v>
      </c>
      <c r="I6" s="6" t="n">
        <v>-168.3</v>
      </c>
      <c r="J6" s="6" t="n"/>
      <c r="K6" s="6" t="n">
        <v>-119.4</v>
      </c>
      <c r="L6" s="6" t="n">
        <v>-103.6</v>
      </c>
      <c r="M6" s="6" t="n">
        <v>-92.7</v>
      </c>
      <c r="N6" s="6" t="n">
        <v>-75.90000000000001</v>
      </c>
      <c r="O6" s="6" t="n">
        <v>-63.3</v>
      </c>
      <c r="P6" s="6" t="n">
        <v>-30.6</v>
      </c>
      <c r="Q6" s="6" t="n">
        <v>-12.5</v>
      </c>
      <c r="R6" s="6" t="n">
        <v>-4.1</v>
      </c>
    </row>
    <row r="7">
      <c r="A7" s="5" t="inlineStr">
        <is>
          <t>Net interest income</t>
        </is>
      </c>
      <c r="B7" s="5" t="n">
        <v>412.5</v>
      </c>
      <c r="C7" s="5" t="n">
        <v>426.7</v>
      </c>
      <c r="D7" s="5" t="n">
        <v>445.1</v>
      </c>
      <c r="E7" s="5" t="n">
        <v>380.9</v>
      </c>
      <c r="F7" s="5" t="n">
        <v>316.3</v>
      </c>
      <c r="G7" s="5" t="n">
        <v>311.6</v>
      </c>
      <c r="H7" s="5" t="n">
        <v>319.8</v>
      </c>
      <c r="I7" s="5" t="n">
        <v>431.3</v>
      </c>
      <c r="J7" s="5" t="n"/>
      <c r="K7" s="5" t="n">
        <v>242.9</v>
      </c>
      <c r="L7" s="5" t="n">
        <v>202.6</v>
      </c>
      <c r="M7" s="5" t="n">
        <v>142.5</v>
      </c>
      <c r="N7" s="5" t="n">
        <v>80.09999999999999</v>
      </c>
      <c r="O7" s="5" t="n">
        <v>34.5</v>
      </c>
      <c r="P7" s="5" t="n">
        <v>22.6</v>
      </c>
      <c r="Q7" s="5" t="n">
        <v>12</v>
      </c>
      <c r="R7" s="5" t="n">
        <v>1.9</v>
      </c>
    </row>
    <row r="8">
      <c r="A8" s="6" t="inlineStr">
        <is>
          <t>Fee and commission income / fee and other income</t>
        </is>
      </c>
      <c r="B8" s="6" t="n">
        <v>7.5</v>
      </c>
      <c r="C8" s="6" t="n">
        <v>7.1</v>
      </c>
      <c r="D8" s="6" t="n">
        <v>11.7</v>
      </c>
      <c r="E8" s="6" t="n">
        <v>6</v>
      </c>
      <c r="F8" s="6" t="n">
        <v>6.5</v>
      </c>
      <c r="G8" s="6" t="n">
        <v>5.8</v>
      </c>
      <c r="H8" s="6" t="n">
        <v>7.4</v>
      </c>
      <c r="I8" s="6" t="n">
        <v>36.6</v>
      </c>
      <c r="J8" s="6" t="n"/>
      <c r="K8" s="6" t="n">
        <v>30</v>
      </c>
      <c r="L8" s="6" t="n">
        <v>25.2</v>
      </c>
      <c r="M8" s="6" t="n">
        <v>26.4</v>
      </c>
      <c r="N8" s="6" t="n">
        <v>31.1</v>
      </c>
      <c r="O8" s="6" t="n">
        <v>24.2</v>
      </c>
      <c r="P8" s="6" t="n">
        <v>18.2</v>
      </c>
      <c r="Q8" s="6" t="n">
        <v>12.3</v>
      </c>
      <c r="R8" s="6" t="n">
        <v>1.4</v>
      </c>
    </row>
    <row r="9">
      <c r="A9" s="6" t="inlineStr">
        <is>
          <t>Fee and commission expense</t>
        </is>
      </c>
      <c r="B9" s="6" t="n">
        <v>-9.5</v>
      </c>
      <c r="C9" s="6" t="n">
        <v>-8.199999999999999</v>
      </c>
      <c r="D9" s="6" t="n">
        <v>-5.4</v>
      </c>
      <c r="E9" s="6" t="n">
        <v>-5.6</v>
      </c>
      <c r="F9" s="6" t="n">
        <v>-5.4</v>
      </c>
      <c r="G9" s="6" t="n">
        <v>-5.8</v>
      </c>
      <c r="H9" s="6" t="n">
        <v>-5.4</v>
      </c>
      <c r="I9" s="6" t="n">
        <v>-11</v>
      </c>
      <c r="J9" s="6" t="n"/>
      <c r="K9" s="6" t="n">
        <v>-7.5</v>
      </c>
      <c r="L9" s="6" t="n">
        <v>-7</v>
      </c>
      <c r="M9" s="6" t="n">
        <v>-7.8</v>
      </c>
      <c r="N9" s="6" t="n">
        <v>-16.2</v>
      </c>
      <c r="O9" s="6" t="n">
        <v>-10.2</v>
      </c>
      <c r="P9" s="6" t="n">
        <v>-6.7</v>
      </c>
      <c r="Q9" s="6" t="n">
        <v>-3.1</v>
      </c>
      <c r="R9" s="6" t="n">
        <v>-0.2</v>
      </c>
    </row>
    <row r="10">
      <c r="A10" s="6" t="inlineStr">
        <is>
          <t>Net gains/(losses) from derivatives and other financial instruments at fair value through profit or loss</t>
        </is>
      </c>
      <c r="B10" s="6" t="n">
        <v>12.6</v>
      </c>
      <c r="C10" s="6" t="n">
        <v>-3</v>
      </c>
      <c r="D10" s="6" t="n">
        <v>12.6</v>
      </c>
      <c r="E10" s="6" t="n">
        <v>-5.3</v>
      </c>
      <c r="F10" s="6" t="n">
        <v>-3.1</v>
      </c>
      <c r="G10" s="6" t="n">
        <v>-5.2</v>
      </c>
      <c r="H10" s="6" t="n">
        <v>3.2</v>
      </c>
      <c r="I10" s="6" t="n">
        <v>1.2</v>
      </c>
      <c r="J10" s="6" t="n"/>
      <c r="K10" s="6" t="n">
        <v>-9.699999999999999</v>
      </c>
      <c r="L10" s="6" t="n">
        <v>-9.1</v>
      </c>
      <c r="M10" s="6" t="n">
        <v>-5.5</v>
      </c>
      <c r="N10" s="6" t="n"/>
      <c r="O10" s="6" t="n"/>
      <c r="P10" s="6" t="n"/>
      <c r="Q10" s="6" t="n"/>
      <c r="R10" s="6" t="n"/>
    </row>
    <row r="11">
      <c r="A11" s="6" t="inlineStr">
        <is>
          <t>Net gains on disposal of financial assets at fair value through other comprehensive income</t>
        </is>
      </c>
      <c r="B11" s="6" t="n">
        <v>1.1</v>
      </c>
      <c r="C11" s="6" t="n">
        <v>2</v>
      </c>
      <c r="D11" s="6" t="n">
        <v>2.1</v>
      </c>
      <c r="E11" s="6" t="n">
        <v>0.2</v>
      </c>
      <c r="F11" s="6" t="n">
        <v>0.7</v>
      </c>
      <c r="G11" s="6" t="n">
        <v>-0.1</v>
      </c>
      <c r="H11" s="6" t="n">
        <v>0.2</v>
      </c>
      <c r="I11" s="6" t="n">
        <v>1.2</v>
      </c>
      <c r="J11" s="6" t="n"/>
      <c r="K11" s="6" t="n">
        <v>3.8</v>
      </c>
      <c r="L11" s="6" t="n">
        <v>2.3</v>
      </c>
      <c r="M11" s="6" t="n">
        <v>2.9</v>
      </c>
      <c r="N11" s="6" t="n"/>
      <c r="O11" s="6" t="n"/>
      <c r="P11" s="6" t="n"/>
      <c r="Q11" s="6" t="n"/>
      <c r="R11" s="6" t="n"/>
    </row>
    <row r="12">
      <c r="A12" s="6" t="inlineStr">
        <is>
          <t>Net gains on financial assets at amortised cost</t>
        </is>
      </c>
      <c r="B12" s="6" t="n"/>
      <c r="C12" s="6" t="n">
        <v>0.2</v>
      </c>
      <c r="D12" s="6" t="n"/>
      <c r="E12" s="6" t="n"/>
      <c r="F12" s="6" t="n"/>
      <c r="G12" s="6" t="n"/>
      <c r="H12" s="6" t="n"/>
      <c r="I12" s="6" t="n"/>
      <c r="J12" s="6" t="n"/>
      <c r="K12" s="6" t="n"/>
      <c r="L12" s="6" t="n"/>
      <c r="M12" s="6" t="n"/>
      <c r="N12" s="6" t="n"/>
      <c r="O12" s="6" t="n"/>
      <c r="P12" s="6" t="n"/>
      <c r="Q12" s="6" t="n"/>
      <c r="R12" s="6" t="n"/>
    </row>
    <row r="13">
      <c r="A13" s="6" t="inlineStr">
        <is>
          <t>Other operating income</t>
        </is>
      </c>
      <c r="B13" s="6" t="n">
        <v>49.2</v>
      </c>
      <c r="C13" s="6" t="n">
        <v>38.1</v>
      </c>
      <c r="D13" s="6" t="n">
        <v>10.1</v>
      </c>
      <c r="E13" s="6" t="n">
        <v>13.6</v>
      </c>
      <c r="F13" s="6" t="n">
        <v>8.4</v>
      </c>
      <c r="G13" s="6" t="n">
        <v>6.8</v>
      </c>
      <c r="H13" s="6" t="n">
        <v>6.6</v>
      </c>
      <c r="I13" s="6" t="n">
        <v>9.199999999999999</v>
      </c>
      <c r="J13" s="6" t="n"/>
      <c r="K13" s="6" t="n">
        <v>6.4</v>
      </c>
      <c r="L13" s="6" t="n">
        <v>7.6</v>
      </c>
      <c r="M13" s="6" t="n">
        <v>7.6</v>
      </c>
      <c r="N13" s="6" t="n">
        <v>8.800000000000001</v>
      </c>
      <c r="O13" s="6" t="n">
        <v>10.4</v>
      </c>
      <c r="P13" s="6" t="n">
        <v>8.5</v>
      </c>
      <c r="Q13" s="6" t="n">
        <v>7.1</v>
      </c>
      <c r="R13" s="6" t="n">
        <v>0.9</v>
      </c>
    </row>
    <row r="14">
      <c r="A14" s="5" t="inlineStr">
        <is>
          <t>Total operating income</t>
        </is>
      </c>
      <c r="B14" s="5" t="n">
        <v>473.4</v>
      </c>
      <c r="C14" s="5" t="n">
        <v>462.9</v>
      </c>
      <c r="D14" s="5" t="n">
        <v>476.2</v>
      </c>
      <c r="E14" s="5" t="n">
        <v>389.8</v>
      </c>
      <c r="F14" s="5" t="n">
        <v>323.4</v>
      </c>
      <c r="G14" s="5" t="n">
        <v>313.1</v>
      </c>
      <c r="H14" s="5" t="n">
        <v>331.8</v>
      </c>
      <c r="I14" s="5" t="n">
        <v>468.5</v>
      </c>
      <c r="J14" s="5" t="n"/>
      <c r="K14" s="5" t="n">
        <v>265.9</v>
      </c>
      <c r="L14" s="5" t="n">
        <v>221.6</v>
      </c>
      <c r="M14" s="5" t="n">
        <v>166.1</v>
      </c>
      <c r="N14" s="5" t="n">
        <v>103.8</v>
      </c>
      <c r="O14" s="5" t="n">
        <v>58.8</v>
      </c>
      <c r="P14" s="5" t="n">
        <v>42.6</v>
      </c>
      <c r="Q14" s="5" t="n">
        <v>28.2</v>
      </c>
      <c r="R14" s="5" t="n">
        <v>4.1</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Provisions</t>
        </is>
      </c>
      <c r="B16" s="6" t="n">
        <v>-3</v>
      </c>
      <c r="C16" s="6" t="n">
        <v>1.2</v>
      </c>
      <c r="D16" s="6" t="n">
        <v>-2</v>
      </c>
      <c r="E16" s="6" t="n">
        <v>-2.1</v>
      </c>
      <c r="F16" s="6" t="n">
        <v>-1.7</v>
      </c>
      <c r="G16" s="6" t="n">
        <v>-0.5</v>
      </c>
      <c r="H16" s="6" t="n">
        <v>-1.2</v>
      </c>
      <c r="I16" s="6" t="n">
        <v>-1.2</v>
      </c>
      <c r="J16" s="6" t="n"/>
      <c r="K16" s="6" t="n">
        <v>-0.8</v>
      </c>
      <c r="L16" s="6" t="n">
        <v>-2.3</v>
      </c>
      <c r="M16" s="6" t="n">
        <v>-3.6</v>
      </c>
      <c r="N16" s="6" t="n">
        <v>-2.1</v>
      </c>
      <c r="O16" s="6" t="n">
        <v>-0.5</v>
      </c>
      <c r="P16" s="6" t="n"/>
      <c r="Q16" s="6" t="n"/>
      <c r="R16" s="6" t="n"/>
    </row>
    <row r="17">
      <c r="A17" s="6" t="inlineStr">
        <is>
          <t>Costs in preparation for Aldermore Group PLC initial public offering</t>
        </is>
      </c>
      <c r="B17" s="6" t="n"/>
      <c r="C17" s="6" t="n"/>
      <c r="D17" s="6" t="n"/>
      <c r="E17" s="6" t="n"/>
      <c r="F17" s="6" t="n"/>
      <c r="G17" s="6" t="n"/>
      <c r="H17" s="6" t="n"/>
      <c r="I17" s="6" t="n"/>
      <c r="J17" s="6" t="n"/>
      <c r="K17" s="6" t="n"/>
      <c r="L17" s="6" t="n">
        <v>-0.4</v>
      </c>
      <c r="M17" s="6" t="n">
        <v>-5.9</v>
      </c>
      <c r="N17" s="6" t="n"/>
      <c r="O17" s="6" t="n"/>
      <c r="P17" s="6" t="n"/>
      <c r="Q17" s="6" t="n"/>
      <c r="R17" s="6" t="n"/>
    </row>
    <row r="18">
      <c r="A18" s="6" t="inlineStr">
        <is>
          <t>Impairment of goodwill</t>
        </is>
      </c>
      <c r="B18" s="6" t="n"/>
      <c r="C18" s="6" t="n"/>
      <c r="D18" s="6" t="n"/>
      <c r="E18" s="6" t="n"/>
      <c r="F18" s="6" t="n"/>
      <c r="G18" s="6" t="n"/>
      <c r="H18" s="6" t="n"/>
      <c r="I18" s="6" t="n"/>
      <c r="J18" s="6" t="n"/>
      <c r="K18" s="6" t="n">
        <v>-4.1</v>
      </c>
      <c r="L18" s="6" t="n"/>
      <c r="M18" s="6" t="n"/>
      <c r="N18" s="6" t="n"/>
      <c r="O18" s="6" t="n"/>
      <c r="P18" s="6" t="n"/>
      <c r="Q18" s="6" t="n"/>
      <c r="R18" s="6" t="n"/>
    </row>
    <row r="19">
      <c r="A19" s="6" t="inlineStr">
        <is>
          <t>Impairment of intangibles and goodwill</t>
        </is>
      </c>
      <c r="B19" s="6" t="n"/>
      <c r="C19" s="6" t="n"/>
      <c r="D19" s="6" t="n"/>
      <c r="E19" s="6" t="n"/>
      <c r="F19" s="6" t="n"/>
      <c r="G19" s="6" t="n"/>
      <c r="H19" s="6" t="n">
        <v>-0.7</v>
      </c>
      <c r="I19" s="6" t="n">
        <v>-14.2</v>
      </c>
      <c r="J19" s="6" t="n"/>
      <c r="K19" s="6" t="n"/>
      <c r="L19" s="6" t="n"/>
      <c r="M19" s="6" t="n"/>
      <c r="N19" s="6" t="n"/>
      <c r="O19" s="6" t="n"/>
      <c r="P19" s="6" t="n"/>
      <c r="Q19" s="6" t="n"/>
      <c r="R19" s="6" t="n"/>
    </row>
    <row r="20">
      <c r="A20" s="6" t="inlineStr">
        <is>
          <t>Transaction costs</t>
        </is>
      </c>
      <c r="B20" s="6" t="n"/>
      <c r="C20" s="6" t="n"/>
      <c r="D20" s="6" t="n"/>
      <c r="E20" s="6" t="n"/>
      <c r="F20" s="6" t="n"/>
      <c r="G20" s="6" t="n"/>
      <c r="H20" s="6" t="n"/>
      <c r="I20" s="6" t="n">
        <v>-3.7</v>
      </c>
      <c r="J20" s="6" t="n"/>
      <c r="K20" s="6" t="n"/>
      <c r="L20" s="6" t="n"/>
      <c r="M20" s="6" t="n"/>
      <c r="N20" s="6" t="n"/>
      <c r="O20" s="6" t="n"/>
      <c r="P20" s="6" t="n"/>
      <c r="Q20" s="6" t="n"/>
      <c r="R20" s="6" t="n"/>
    </row>
    <row r="21">
      <c r="A21" s="6" t="inlineStr">
        <is>
          <t>Integration costs</t>
        </is>
      </c>
      <c r="B21" s="6" t="n"/>
      <c r="C21" s="6" t="n"/>
      <c r="D21" s="6" t="n"/>
      <c r="E21" s="6" t="n"/>
      <c r="F21" s="6" t="n"/>
      <c r="G21" s="6" t="n"/>
      <c r="H21" s="6" t="n">
        <v>-4.6</v>
      </c>
      <c r="I21" s="6" t="n">
        <v>-2.4</v>
      </c>
      <c r="J21" s="6" t="n"/>
      <c r="K21" s="6" t="n"/>
      <c r="L21" s="6" t="n"/>
      <c r="M21" s="6" t="n"/>
      <c r="N21" s="6" t="n"/>
      <c r="O21" s="6" t="n"/>
      <c r="P21" s="6" t="n"/>
      <c r="Q21" s="6" t="n"/>
      <c r="R21" s="6" t="n"/>
    </row>
    <row r="22">
      <c r="A22" s="6" t="inlineStr">
        <is>
          <t>Other expenses and staff costs / other administrative expenses</t>
        </is>
      </c>
      <c r="B22" s="6" t="n">
        <v>-263.8</v>
      </c>
      <c r="C22" s="6" t="n">
        <v>-265</v>
      </c>
      <c r="D22" s="6" t="n">
        <v>-251.5</v>
      </c>
      <c r="E22" s="6" t="n">
        <v>-221.9</v>
      </c>
      <c r="F22" s="6" t="n">
        <v>-172</v>
      </c>
      <c r="G22" s="6" t="n">
        <v>-148.1</v>
      </c>
      <c r="H22" s="6" t="n">
        <v>-162.9</v>
      </c>
      <c r="I22" s="6" t="n">
        <v>-206.3</v>
      </c>
      <c r="J22" s="6" t="n"/>
      <c r="K22" s="6" t="n">
        <v>-112.9</v>
      </c>
      <c r="L22" s="6" t="n">
        <v>-107.4</v>
      </c>
      <c r="M22" s="6" t="n">
        <v>-91.3</v>
      </c>
      <c r="N22" s="6" t="n">
        <v>-65.2</v>
      </c>
      <c r="O22" s="6" t="n">
        <v>-49.4</v>
      </c>
      <c r="P22" s="6" t="n">
        <v>-40.7</v>
      </c>
      <c r="Q22" s="6" t="n">
        <v>-34.3</v>
      </c>
      <c r="R22" s="6" t="n">
        <v>-11.9</v>
      </c>
    </row>
    <row r="23">
      <c r="A23" s="6" t="inlineStr">
        <is>
          <t>Depreciation and amortisation</t>
        </is>
      </c>
      <c r="B23" s="6" t="n"/>
      <c r="C23" s="6" t="n"/>
      <c r="D23" s="6" t="n"/>
      <c r="E23" s="6" t="n"/>
      <c r="F23" s="6" t="n">
        <v>-7.3</v>
      </c>
      <c r="G23" s="6" t="n">
        <v>-6.7</v>
      </c>
      <c r="H23" s="6" t="n">
        <v>-4.6</v>
      </c>
      <c r="I23" s="6" t="n">
        <v>-8.4</v>
      </c>
      <c r="J23" s="6" t="n"/>
      <c r="K23" s="6" t="n">
        <v>-5.3</v>
      </c>
      <c r="L23" s="6" t="n">
        <v>-5.3</v>
      </c>
      <c r="M23" s="6" t="n">
        <v>-3.9</v>
      </c>
      <c r="N23" s="6" t="n">
        <v>-4.3</v>
      </c>
      <c r="O23" s="6" t="n">
        <v>-2.8</v>
      </c>
      <c r="P23" s="6" t="n">
        <v>-1.9</v>
      </c>
      <c r="Q23" s="6" t="n">
        <v>-1.3</v>
      </c>
      <c r="R23" s="6" t="n">
        <v>-0.5</v>
      </c>
    </row>
    <row r="24">
      <c r="A24" s="5" t="inlineStr">
        <is>
          <t>Administrative expenses</t>
        </is>
      </c>
      <c r="B24" s="5" t="n">
        <v>-266.8</v>
      </c>
      <c r="C24" s="5" t="n">
        <v>-263.8</v>
      </c>
      <c r="D24" s="5" t="n">
        <v>-253.5</v>
      </c>
      <c r="E24" s="5" t="n">
        <v>-224</v>
      </c>
      <c r="F24" s="5" t="n">
        <v>-173.7</v>
      </c>
      <c r="G24" s="5" t="n">
        <v>-148.7</v>
      </c>
      <c r="H24" s="5" t="n">
        <v>-169.4</v>
      </c>
      <c r="I24" s="5" t="n">
        <v>-227.8</v>
      </c>
      <c r="J24" s="5" t="n"/>
      <c r="K24" s="5" t="n">
        <v>-117.8</v>
      </c>
      <c r="L24" s="5" t="n">
        <v>-110.1</v>
      </c>
      <c r="M24" s="5" t="n">
        <v>-100.8</v>
      </c>
      <c r="N24" s="5" t="n">
        <v>-69.5</v>
      </c>
      <c r="O24" s="5" t="n">
        <v>-52.2</v>
      </c>
      <c r="P24" s="5" t="n">
        <v>-42.6</v>
      </c>
      <c r="Q24" s="5" t="n">
        <v>-35.6</v>
      </c>
      <c r="R24" s="5" t="n">
        <v>-12.4</v>
      </c>
    </row>
    <row r="25">
      <c r="A25" s="5" t="inlineStr">
        <is>
          <t>Operating profit before impairment losses</t>
        </is>
      </c>
      <c r="B25" s="5" t="n">
        <v>206.6</v>
      </c>
      <c r="C25" s="5" t="n">
        <v>199.1</v>
      </c>
      <c r="D25" s="5" t="n">
        <v>222.6</v>
      </c>
      <c r="E25" s="5" t="n">
        <v>165.8</v>
      </c>
      <c r="F25" s="5" t="n">
        <v>142.4</v>
      </c>
      <c r="G25" s="5" t="n">
        <v>157.7</v>
      </c>
      <c r="H25" s="5" t="n">
        <v>157.8</v>
      </c>
      <c r="I25" s="5" t="n">
        <v>232.3</v>
      </c>
      <c r="J25" s="5" t="n"/>
      <c r="K25" s="5" t="n">
        <v>142.8</v>
      </c>
      <c r="L25" s="5" t="n">
        <v>106.2</v>
      </c>
      <c r="M25" s="5" t="n">
        <v>61.4</v>
      </c>
      <c r="N25" s="5" t="n">
        <v>34.3</v>
      </c>
      <c r="O25" s="5" t="n">
        <v>6.6</v>
      </c>
      <c r="P25" s="5" t="n">
        <v>0.1</v>
      </c>
      <c r="Q25" s="5" t="n">
        <v>-7.3</v>
      </c>
      <c r="R25" s="5" t="n">
        <v>-8.300000000000001</v>
      </c>
    </row>
    <row r="26">
      <c r="A26" s="6" t="inlineStr">
        <is>
          <t>Impairment releases/(losses) on loans and advances to customers</t>
        </is>
      </c>
      <c r="B26" s="6" t="n">
        <v>14.1</v>
      </c>
      <c r="C26" s="6" t="n">
        <v>19.1</v>
      </c>
      <c r="D26" s="6" t="n">
        <v>-51.4</v>
      </c>
      <c r="E26" s="6" t="n">
        <v>-5.1</v>
      </c>
      <c r="F26" s="6" t="n">
        <v>-26.7</v>
      </c>
      <c r="G26" s="6" t="n">
        <v>-65.09999999999999</v>
      </c>
      <c r="H26" s="6" t="n">
        <v>-20.1</v>
      </c>
      <c r="I26" s="6" t="n">
        <v>-19.5</v>
      </c>
      <c r="J26" s="6" t="n"/>
      <c r="K26" s="6" t="n">
        <v>-15.5</v>
      </c>
      <c r="L26" s="6" t="n">
        <v>-10.4</v>
      </c>
      <c r="M26" s="6" t="n">
        <v>-9.6</v>
      </c>
      <c r="N26" s="6" t="n">
        <v>-9.800000000000001</v>
      </c>
      <c r="O26" s="6" t="n">
        <v>-4.6</v>
      </c>
      <c r="P26" s="6" t="n">
        <v>-1</v>
      </c>
      <c r="Q26" s="6" t="n">
        <v>-1.5</v>
      </c>
      <c r="R26" s="6" t="n">
        <v>-4.6</v>
      </c>
    </row>
    <row r="27">
      <c r="A27" s="6" t="inlineStr">
        <is>
          <t>Impairment losses on lease modifications</t>
        </is>
      </c>
      <c r="B27" s="6" t="n"/>
      <c r="C27" s="6" t="n"/>
      <c r="D27" s="6" t="n"/>
      <c r="E27" s="6" t="n"/>
      <c r="F27" s="6" t="n">
        <v>0</v>
      </c>
      <c r="G27" s="6" t="n">
        <v>-11</v>
      </c>
      <c r="H27" s="6" t="n"/>
      <c r="I27" s="6" t="n"/>
      <c r="J27" s="6" t="n"/>
      <c r="K27" s="6" t="n"/>
      <c r="L27" s="6" t="n"/>
      <c r="M27" s="6" t="n"/>
      <c r="N27" s="6" t="n"/>
      <c r="O27" s="6" t="n"/>
      <c r="P27" s="6" t="n"/>
      <c r="Q27" s="6" t="n"/>
      <c r="R27" s="6" t="n"/>
    </row>
    <row r="28">
      <c r="A28" s="5" t="inlineStr">
        <is>
          <t>Profit before taxation</t>
        </is>
      </c>
      <c r="B28" s="5" t="n">
        <v>220.7</v>
      </c>
      <c r="C28" s="5" t="n">
        <v>218.2</v>
      </c>
      <c r="D28" s="5" t="n">
        <v>171.2</v>
      </c>
      <c r="E28" s="5" t="n">
        <v>160.7</v>
      </c>
      <c r="F28" s="5" t="n">
        <v>115.7</v>
      </c>
      <c r="G28" s="5" t="n">
        <v>81.59999999999999</v>
      </c>
      <c r="H28" s="5" t="n">
        <v>137.7</v>
      </c>
      <c r="I28" s="5" t="n">
        <v>212.8</v>
      </c>
      <c r="J28" s="5" t="n"/>
      <c r="K28" s="5" t="n">
        <v>127.3</v>
      </c>
      <c r="L28" s="5" t="n">
        <v>95.8</v>
      </c>
      <c r="M28" s="5" t="n">
        <v>51.8</v>
      </c>
      <c r="N28" s="5" t="n">
        <v>22.4</v>
      </c>
      <c r="O28" s="5" t="n">
        <v>1.5</v>
      </c>
      <c r="P28" s="5" t="n">
        <v>-0.9</v>
      </c>
      <c r="Q28" s="5" t="n">
        <v>-8.800000000000001</v>
      </c>
      <c r="R28" s="5" t="n">
        <v>-12.9</v>
      </c>
    </row>
    <row r="29">
      <c r="A29" s="6" t="inlineStr">
        <is>
          <t>Taxation</t>
        </is>
      </c>
      <c r="B29" s="6" t="n">
        <v>-57.5</v>
      </c>
      <c r="C29" s="6" t="n">
        <v>-56.1</v>
      </c>
      <c r="D29" s="6" t="n">
        <v>-42</v>
      </c>
      <c r="E29" s="6" t="n">
        <v>-42.7</v>
      </c>
      <c r="F29" s="6" t="n">
        <v>-26.4</v>
      </c>
      <c r="G29" s="6" t="n">
        <v>-17.4</v>
      </c>
      <c r="H29" s="6" t="n">
        <v>-35.5</v>
      </c>
      <c r="I29" s="6" t="n">
        <v>-56.9</v>
      </c>
      <c r="J29" s="6" t="n"/>
      <c r="K29" s="6" t="n">
        <v>-35</v>
      </c>
      <c r="L29" s="6" t="n">
        <v>-15.7</v>
      </c>
      <c r="M29" s="6" t="n">
        <v>-12.1</v>
      </c>
      <c r="N29" s="6" t="n">
        <v>1</v>
      </c>
      <c r="O29" s="6" t="n">
        <v>0</v>
      </c>
      <c r="P29" s="6" t="n">
        <v>0</v>
      </c>
      <c r="Q29" s="6" t="n">
        <v>0</v>
      </c>
      <c r="R29" s="6" t="n">
        <v>-0.1</v>
      </c>
    </row>
    <row r="30">
      <c r="A30" s="5" t="inlineStr">
        <is>
          <t>Profit after taxation — attributable to equity holders of the Company/Bank</t>
        </is>
      </c>
      <c r="B30" s="5" t="n">
        <v>163.2</v>
      </c>
      <c r="C30" s="5" t="n">
        <v>162.1</v>
      </c>
      <c r="D30" s="5" t="n">
        <v>129.2</v>
      </c>
      <c r="E30" s="5" t="n">
        <v>118</v>
      </c>
      <c r="F30" s="5" t="n">
        <v>89.3</v>
      </c>
      <c r="G30" s="5" t="n">
        <v>64.2</v>
      </c>
      <c r="H30" s="5" t="n">
        <v>102.2</v>
      </c>
      <c r="I30" s="5" t="n">
        <v>155.9</v>
      </c>
      <c r="J30" s="5" t="n"/>
      <c r="K30" s="5" t="n">
        <v>92.3</v>
      </c>
      <c r="L30" s="5" t="n">
        <v>80.09999999999999</v>
      </c>
      <c r="M30" s="5" t="n">
        <v>39.7</v>
      </c>
      <c r="N30" s="5" t="n">
        <v>23.4</v>
      </c>
      <c r="O30" s="5" t="n">
        <v>1.5</v>
      </c>
      <c r="P30" s="5" t="n">
        <v>-0.9</v>
      </c>
      <c r="Q30" s="5" t="n">
        <v>-8.800000000000001</v>
      </c>
      <c r="R30" s="5" t="n">
        <v>-13</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row>
    <row r="32">
      <c r="A32" s="6" t="inlineStr">
        <is>
          <t>FVOCI debt securities: Fair value movements</t>
        </is>
      </c>
      <c r="B32" s="6" t="n">
        <v>-4.6</v>
      </c>
      <c r="C32" s="6" t="n">
        <v>-3.3</v>
      </c>
      <c r="D32" s="6" t="n">
        <v>-2.7</v>
      </c>
      <c r="E32" s="6" t="n">
        <v>-2.2</v>
      </c>
      <c r="F32" s="6" t="n">
        <v>10.3</v>
      </c>
      <c r="G32" s="6" t="n">
        <v>1.8</v>
      </c>
      <c r="H32" s="6" t="n">
        <v>-0.2</v>
      </c>
      <c r="I32" s="6" t="n">
        <v>0.3</v>
      </c>
      <c r="J32" s="6" t="n"/>
      <c r="K32" s="6" t="n">
        <v>7.6</v>
      </c>
      <c r="L32" s="6" t="n">
        <v>-0.9</v>
      </c>
      <c r="M32" s="6" t="n">
        <v>3.5</v>
      </c>
      <c r="N32" s="6" t="n"/>
      <c r="O32" s="6" t="n"/>
      <c r="P32" s="6" t="n"/>
      <c r="Q32" s="6" t="n"/>
      <c r="R32" s="6" t="n"/>
    </row>
    <row r="33">
      <c r="A33" s="6" t="inlineStr">
        <is>
          <t>FVOCI debt securities: Amounts transferred to the income statement</t>
        </is>
      </c>
      <c r="B33" s="6" t="n">
        <v>-1.1</v>
      </c>
      <c r="C33" s="6" t="n">
        <v>-2</v>
      </c>
      <c r="D33" s="6" t="n">
        <v>-2.1</v>
      </c>
      <c r="E33" s="6" t="n">
        <v>-0.2</v>
      </c>
      <c r="F33" s="6" t="n">
        <v>-0.7</v>
      </c>
      <c r="G33" s="6" t="n">
        <v>-0.5</v>
      </c>
      <c r="H33" s="6" t="n">
        <v>-0.8</v>
      </c>
      <c r="I33" s="6" t="n">
        <v>-1.2</v>
      </c>
      <c r="J33" s="6" t="n"/>
      <c r="K33" s="6" t="n">
        <v>-3.8</v>
      </c>
      <c r="L33" s="6" t="n">
        <v>-2.1</v>
      </c>
      <c r="M33" s="6" t="n">
        <v>-2.5</v>
      </c>
      <c r="N33" s="6" t="n"/>
      <c r="O33" s="6" t="n"/>
      <c r="P33" s="6" t="n"/>
      <c r="Q33" s="6" t="n"/>
      <c r="R33" s="6" t="n"/>
    </row>
    <row r="34">
      <c r="A34" s="6" t="inlineStr">
        <is>
          <t>Taxation on other comprehensive income</t>
        </is>
      </c>
      <c r="B34" s="6" t="n">
        <v>1.4</v>
      </c>
      <c r="C34" s="6" t="n">
        <v>1.3</v>
      </c>
      <c r="D34" s="6" t="n">
        <v>1.3</v>
      </c>
      <c r="E34" s="6" t="n">
        <v>1</v>
      </c>
      <c r="F34" s="6" t="n">
        <v>-2.8</v>
      </c>
      <c r="G34" s="6" t="n">
        <v>-0.3</v>
      </c>
      <c r="H34" s="6" t="n">
        <v>0.3</v>
      </c>
      <c r="I34" s="6" t="n"/>
      <c r="J34" s="6" t="n"/>
      <c r="K34" s="6" t="n">
        <v>-1</v>
      </c>
      <c r="L34" s="6" t="n">
        <v>0.6</v>
      </c>
      <c r="M34" s="6" t="n">
        <v>-0.2</v>
      </c>
      <c r="N34" s="6" t="n"/>
      <c r="O34" s="6" t="n"/>
      <c r="P34" s="6" t="n"/>
      <c r="Q34" s="6" t="n"/>
      <c r="R34" s="6" t="n"/>
    </row>
    <row r="35">
      <c r="A35" s="5" t="inlineStr">
        <is>
          <t>Total other comprehensive (expense)/income</t>
        </is>
      </c>
      <c r="B35" s="5" t="n">
        <v>-4.3</v>
      </c>
      <c r="C35" s="5" t="n">
        <v>-4</v>
      </c>
      <c r="D35" s="5" t="n">
        <v>-3.6</v>
      </c>
      <c r="E35" s="5" t="n">
        <v>-1.4</v>
      </c>
      <c r="F35" s="5" t="n">
        <v>6.8</v>
      </c>
      <c r="G35" s="5" t="n">
        <v>1</v>
      </c>
      <c r="H35" s="5" t="n">
        <v>-0.7</v>
      </c>
      <c r="I35" s="5" t="n">
        <v>-0.7</v>
      </c>
      <c r="J35" s="5" t="n"/>
      <c r="K35" s="5" t="n">
        <v>2.8</v>
      </c>
      <c r="L35" s="5" t="n">
        <v>-2.4</v>
      </c>
      <c r="M35" s="5" t="n">
        <v>0.8</v>
      </c>
      <c r="N35" s="5" t="n">
        <v>0</v>
      </c>
      <c r="O35" s="5" t="n">
        <v>0</v>
      </c>
      <c r="P35" s="5" t="n">
        <v>0</v>
      </c>
      <c r="Q35" s="5" t="n">
        <v>0</v>
      </c>
      <c r="R35" s="5" t="n">
        <v>0</v>
      </c>
    </row>
    <row r="36">
      <c r="A36" s="5" t="inlineStr">
        <is>
          <t>Total comprehensive income attributable to equity holders of the Bank</t>
        </is>
      </c>
      <c r="B36" s="5" t="n">
        <v>158.9</v>
      </c>
      <c r="C36" s="5" t="n">
        <v>158.1</v>
      </c>
      <c r="D36" s="5" t="n">
        <v>125.7</v>
      </c>
      <c r="E36" s="5" t="n">
        <v>116.6</v>
      </c>
      <c r="F36" s="5" t="n">
        <v>96.09999999999999</v>
      </c>
      <c r="G36" s="5" t="n">
        <v>65.2</v>
      </c>
      <c r="H36" s="5" t="n">
        <v>101.5</v>
      </c>
      <c r="I36" s="5" t="n">
        <v>155.2</v>
      </c>
      <c r="J36" s="5" t="n"/>
      <c r="K36" s="5" t="n">
        <v>95.09999999999999</v>
      </c>
      <c r="L36" s="5" t="n">
        <v>77.7</v>
      </c>
      <c r="M36" s="5" t="n">
        <v>40.5</v>
      </c>
      <c r="N36" s="5" t="n">
        <v>23.4</v>
      </c>
      <c r="O36" s="5" t="n">
        <v>1.5</v>
      </c>
      <c r="P36" s="5" t="n">
        <v>-0.9</v>
      </c>
      <c r="Q36" s="5" t="n">
        <v>-8.800000000000001</v>
      </c>
      <c r="R36" s="5" t="n">
        <v>-13</v>
      </c>
    </row>
    <row r="38" ht="150" customHeight="1">
      <c r="A38"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FY2020: Full accounts for the year ended 30 June 2020, filed 13 Nov 2020, p.59-60 — https://find-and-update.company-information.service.gov.uk/company/00947662/filing-history/MzI4MzMzMzM4OGFkaXF6a2N4/document?format=pdf&amp;download=0
FY2019 &amp; FY2018: Full accounts for the year ended 30 June 2019, filed 22 Nov 2019, p.47-48 — https://find-and-update.company-information.service.gov.uk/company/00947662/filing-history/MzI0OTY0MTQwMWFkaXF6a2N4/document?format=pdf&amp;download=0
FY2016 &amp; FY2015: Full accounts for the year ended 31 December 2016, filed 11 May 2017, p.25-26 — https://find-and-update.company-information.service.gov.uk/company/00947662/filing-history/MzE3NTQ0MTgwOGFkaXF6a2N4/document?format=pdf&amp;download=0
FY2014: Full accounts for the year ended 31 December 2015, filed 23 May 2016, p.75-76 (FY2014 comparative) — https://find-and-update.company-information.service.gov.uk/company/00947662/filing-history/MzE0OTEzMjU1M2FkaXF6a2N4/document?format=pdf&amp;download=0
FY2019's interest income/expense and net gains from derivatives comparative for FY2018 (period ended 30 June 2018) were restated to align with FirstRand Group policy (total operating income unaffected) — the FY2018 figures here are the restated ones as re-presented in the FY2019 accounts, not the FY2018 accounts' own as-originally-filed figures (which had interest income £607.4m, interest expense £(172.5)m).
FY2017 has no standalone 12-month period (see YEARS comment above); FY2018's column is an 18-month period (1 Jan 2017 - 30 Jun 2018), not a 12-month year, so flow figures (income, expenses, profit) are not directly comparable to the 12-month years either side of it without adjusting for the extra 6 months.
Note: each year's own presentation of 'below net-interest-income' income/expense line items differs (IPO preparation costs in FY2014-FY2016; goodwill impairment in FY2016; transaction/integration costs and intangible/goodwill impairment in FY2018-FY2019; a combined single 'Administrative expenses' line from FY2022) — all are transcribed as disclosed in their own year, not restated onto a common basis, and each year's own reported subtotals/totals are used directly rather than recomputed from the line items shown.
HD-073 extension (FY2009-FY2013): sourced from the same old-UK-GAAP statutory accounts as the Balance Sheet sheet (see that sheet's source note for document/page references and the GAAP-basis caveat). FY2009 is a 9-month stub period (1 Apr 2009 - 31 Dec 2009), not a full year — its flow figures are not directly comparable to the 12-month years either side without adjusting for the shorter period.
Line-item mapping: 'Other expenses and staff costs / other administrative expenses' maps to the old accounts' standalone 'Administrative expenses' line, shown separately from depreciation in this era (the modern combined 'Administrative expenses' TOTAL row sums the two, as it does for later years); 'Other operating income' for FY2013/FY2012 additionally folds in the old accounts' separate 'Gains on disposal of debt securities' line (£1.9m/£3.2m), which has no standalone row in the modern presentation. Every FY2009-FY2013 year had zero other comprehensive income — each year's own Statement of Total Recognised Gains and Losses confirms total recognised gains/losses equal the profit/(loss) for the year exactly — so the OCI section is shown as 0 rather than blank for these years, and 'Provisions' (liabilities) has no entry for FY2011-FY2009 specifically since the old accounts show no such separate line for those years.</t>
        </is>
      </c>
    </row>
  </sheetData>
  <mergeCells count="1">
    <mergeCell ref="A38:R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5"/>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Aldermore Bank PLC — Statement of Changes in Equity</t>
        </is>
      </c>
    </row>
    <row r="2">
      <c r="A2" s="2" t="inlineStr">
        <is>
          <t>Company (Bank solo) basis, £m, chronological FY2009-FY2025 (FY2017 has no standalone period — see source notes)</t>
        </is>
      </c>
    </row>
    <row r="3">
      <c r="A3" s="4" t="inlineStr">
        <is>
          <t>Movement</t>
        </is>
      </c>
      <c r="B3" s="4" t="inlineStr">
        <is>
          <t>Share capital</t>
        </is>
      </c>
      <c r="C3" s="4" t="inlineStr">
        <is>
          <t>Share premium account</t>
        </is>
      </c>
      <c r="D3" s="4" t="inlineStr">
        <is>
          <t>Additional Tier 1 capital</t>
        </is>
      </c>
      <c r="E3" s="4" t="inlineStr">
        <is>
          <t>Capital contribution / redemption reserve</t>
        </is>
      </c>
      <c r="F3" s="4" t="inlineStr">
        <is>
          <t>FVOCI reserve</t>
        </is>
      </c>
      <c r="G3" s="4" t="inlineStr">
        <is>
          <t>Retained earnings</t>
        </is>
      </c>
      <c r="H3" s="4" t="inlineStr">
        <is>
          <t>Total</t>
        </is>
      </c>
    </row>
    <row r="4">
      <c r="A4" s="5" t="inlineStr">
        <is>
          <t>As at 1 April 2009 (opens the 9-month stub period to 31 Dec 2009)</t>
        </is>
      </c>
      <c r="B4" s="5" t="n">
        <v>2.5</v>
      </c>
      <c r="C4" s="5" t="n">
        <v>0</v>
      </c>
      <c r="D4" s="5" t="n"/>
      <c r="E4" s="5" t="n"/>
      <c r="F4" s="5" t="n"/>
      <c r="G4" s="5" t="n">
        <v>15.4</v>
      </c>
      <c r="H4" s="5" t="n">
        <v>17.9</v>
      </c>
    </row>
    <row r="5">
      <c r="A5" s="6" t="inlineStr">
        <is>
          <t>Loss for the period (9 months to 31 Dec 2009)</t>
        </is>
      </c>
      <c r="B5" s="6" t="n"/>
      <c r="C5" s="6" t="n"/>
      <c r="D5" s="6" t="n"/>
      <c r="E5" s="6" t="n"/>
      <c r="F5" s="6" t="n"/>
      <c r="G5" s="6" t="n">
        <v>-13</v>
      </c>
      <c r="H5" s="6" t="n">
        <v>-13</v>
      </c>
    </row>
    <row r="6">
      <c r="A6" s="6" t="inlineStr">
        <is>
          <t>Shares issued during the period (FY2009 stub)</t>
        </is>
      </c>
      <c r="B6" s="6" t="n">
        <v>0.8</v>
      </c>
      <c r="C6" s="6" t="n"/>
      <c r="D6" s="6" t="n"/>
      <c r="E6" s="6" t="n"/>
      <c r="F6" s="6" t="n"/>
      <c r="G6" s="6" t="n"/>
      <c r="H6" s="6" t="n">
        <v>0.8</v>
      </c>
    </row>
    <row r="7">
      <c r="A7" s="6" t="inlineStr">
        <is>
          <t>Premium on shares issued during the period (FY2009 stub)</t>
        </is>
      </c>
      <c r="B7" s="6" t="n"/>
      <c r="C7" s="6" t="n">
        <v>47.4</v>
      </c>
      <c r="D7" s="6" t="n"/>
      <c r="E7" s="6" t="n"/>
      <c r="F7" s="6" t="n"/>
      <c r="G7" s="6" t="n"/>
      <c r="H7" s="6" t="n">
        <v>47.4</v>
      </c>
    </row>
    <row r="8">
      <c r="A8" s="5" t="inlineStr">
        <is>
          <t>As at 31 December 2009</t>
        </is>
      </c>
      <c r="B8" s="5" t="n">
        <v>3.3</v>
      </c>
      <c r="C8" s="5" t="n">
        <v>47.4</v>
      </c>
      <c r="D8" s="5" t="n"/>
      <c r="E8" s="5" t="n"/>
      <c r="F8" s="5" t="n"/>
      <c r="G8" s="5" t="n">
        <v>2.4</v>
      </c>
      <c r="H8" s="5" t="n">
        <v>53.1</v>
      </c>
    </row>
    <row r="9">
      <c r="A9" s="5" t="inlineStr">
        <is>
          <t>As at 1 January 2010</t>
        </is>
      </c>
      <c r="B9" s="5" t="n">
        <v>3.3</v>
      </c>
      <c r="C9" s="5" t="n">
        <v>47.4</v>
      </c>
      <c r="D9" s="5" t="n"/>
      <c r="E9" s="5" t="n"/>
      <c r="F9" s="5" t="n"/>
      <c r="G9" s="5" t="n">
        <v>2.4</v>
      </c>
      <c r="H9" s="5" t="n">
        <v>53.1</v>
      </c>
    </row>
    <row r="10">
      <c r="A10" s="6" t="inlineStr">
        <is>
          <t>Loss for the year (FY2010)</t>
        </is>
      </c>
      <c r="B10" s="6" t="n"/>
      <c r="C10" s="6" t="n"/>
      <c r="D10" s="6" t="n"/>
      <c r="E10" s="6" t="n"/>
      <c r="F10" s="6" t="n"/>
      <c r="G10" s="6" t="n">
        <v>-8.800000000000001</v>
      </c>
      <c r="H10" s="6" t="n">
        <v>-8.800000000000001</v>
      </c>
    </row>
    <row r="11">
      <c r="A11" s="6" t="inlineStr">
        <is>
          <t>Premium on shares issued during the year (FY2010)</t>
        </is>
      </c>
      <c r="B11" s="6" t="n"/>
      <c r="C11" s="6" t="n">
        <v>48.3</v>
      </c>
      <c r="D11" s="6" t="n"/>
      <c r="E11" s="6" t="n"/>
      <c r="F11" s="6" t="n"/>
      <c r="G11" s="6" t="n"/>
      <c r="H11" s="6" t="n">
        <v>48.3</v>
      </c>
    </row>
    <row r="12">
      <c r="A12" s="6" t="inlineStr">
        <is>
          <t>Capital raising costs (FY2010)</t>
        </is>
      </c>
      <c r="B12" s="6" t="n"/>
      <c r="C12" s="6" t="n">
        <v>-1</v>
      </c>
      <c r="D12" s="6" t="n"/>
      <c r="E12" s="6" t="n"/>
      <c r="F12" s="6" t="n"/>
      <c r="G12" s="6" t="n"/>
      <c r="H12" s="6" t="n">
        <v>-1</v>
      </c>
    </row>
    <row r="13">
      <c r="A13" s="5" t="inlineStr">
        <is>
          <t>As at 31 December 2010</t>
        </is>
      </c>
      <c r="B13" s="5" t="n">
        <v>3.3</v>
      </c>
      <c r="C13" s="5" t="n">
        <v>94.7</v>
      </c>
      <c r="D13" s="5" t="n"/>
      <c r="E13" s="5" t="n"/>
      <c r="F13" s="5" t="n"/>
      <c r="G13" s="5" t="n">
        <v>-6.4</v>
      </c>
      <c r="H13" s="5" t="n">
        <v>91.59999999999999</v>
      </c>
    </row>
    <row r="14">
      <c r="A14" s="5" t="inlineStr">
        <is>
          <t>As at 1 January 2011</t>
        </is>
      </c>
      <c r="B14" s="5" t="n">
        <v>3.3</v>
      </c>
      <c r="C14" s="5" t="n">
        <v>94.7</v>
      </c>
      <c r="D14" s="5" t="n"/>
      <c r="E14" s="5" t="n"/>
      <c r="F14" s="5" t="n"/>
      <c r="G14" s="5" t="n">
        <v>-6.4</v>
      </c>
      <c r="H14" s="5" t="n">
        <v>91.59999999999999</v>
      </c>
    </row>
    <row r="15">
      <c r="A15" s="6" t="inlineStr">
        <is>
          <t>Loss for the year (FY2011)</t>
        </is>
      </c>
      <c r="B15" s="6" t="n"/>
      <c r="C15" s="6" t="n"/>
      <c r="D15" s="6" t="n"/>
      <c r="E15" s="6" t="n"/>
      <c r="F15" s="6" t="n"/>
      <c r="G15" s="6" t="n">
        <v>-0.9</v>
      </c>
      <c r="H15" s="6" t="n">
        <v>-0.9</v>
      </c>
    </row>
    <row r="16">
      <c r="A16" s="6" t="inlineStr">
        <is>
          <t>Premium on shares issued during the year (FY2011)</t>
        </is>
      </c>
      <c r="B16" s="6" t="n"/>
      <c r="C16" s="6" t="n">
        <v>77.90000000000001</v>
      </c>
      <c r="D16" s="6" t="n"/>
      <c r="E16" s="6" t="n"/>
      <c r="F16" s="6" t="n"/>
      <c r="G16" s="6" t="n"/>
      <c r="H16" s="6" t="n">
        <v>77.90000000000001</v>
      </c>
    </row>
    <row r="17">
      <c r="A17" s="6" t="inlineStr">
        <is>
          <t>Capital raising costs (FY2011)</t>
        </is>
      </c>
      <c r="B17" s="6" t="n"/>
      <c r="C17" s="6" t="n">
        <v>-2.5</v>
      </c>
      <c r="D17" s="6" t="n"/>
      <c r="E17" s="6" t="n"/>
      <c r="F17" s="6" t="n"/>
      <c r="G17" s="6" t="n"/>
      <c r="H17" s="6" t="n">
        <v>-2.5</v>
      </c>
    </row>
    <row r="18">
      <c r="A18" s="5" t="inlineStr">
        <is>
          <t>As at 31 December 2011</t>
        </is>
      </c>
      <c r="B18" s="5" t="n">
        <v>3.3</v>
      </c>
      <c r="C18" s="5" t="n">
        <v>170.1</v>
      </c>
      <c r="D18" s="5" t="n"/>
      <c r="E18" s="5" t="n"/>
      <c r="F18" s="5" t="n"/>
      <c r="G18" s="5" t="n">
        <v>-7.3</v>
      </c>
      <c r="H18" s="5" t="n">
        <v>166.1</v>
      </c>
    </row>
    <row r="19">
      <c r="A19" s="5" t="inlineStr">
        <is>
          <t>As at 1 January 2012</t>
        </is>
      </c>
      <c r="B19" s="5" t="n">
        <v>3.3</v>
      </c>
      <c r="C19" s="5" t="n">
        <v>170.1</v>
      </c>
      <c r="D19" s="5" t="n"/>
      <c r="E19" s="5" t="n"/>
      <c r="F19" s="5" t="n"/>
      <c r="G19" s="5" t="n">
        <v>-7.3</v>
      </c>
      <c r="H19" s="5" t="n">
        <v>166.1</v>
      </c>
    </row>
    <row r="20">
      <c r="A20" s="6" t="inlineStr">
        <is>
          <t>Prior year adjustment (IFRIC 21 restatement, FY2012)</t>
        </is>
      </c>
      <c r="B20" s="6" t="n"/>
      <c r="C20" s="6" t="n"/>
      <c r="D20" s="6" t="n"/>
      <c r="E20" s="6" t="n"/>
      <c r="F20" s="6" t="n"/>
      <c r="G20" s="6" t="n">
        <v>0.7</v>
      </c>
      <c r="H20" s="6" t="n">
        <v>0.7</v>
      </c>
    </row>
    <row r="21">
      <c r="A21" s="5" t="inlineStr">
        <is>
          <t>Restated balance as at 1 January 2012</t>
        </is>
      </c>
      <c r="B21" s="5" t="n">
        <v>3.3</v>
      </c>
      <c r="C21" s="5" t="n">
        <v>170.1</v>
      </c>
      <c r="D21" s="5" t="n"/>
      <c r="E21" s="5" t="n"/>
      <c r="F21" s="5" t="n"/>
      <c r="G21" s="5" t="n">
        <v>-6.6</v>
      </c>
      <c r="H21" s="5" t="n">
        <v>166.8</v>
      </c>
    </row>
    <row r="22">
      <c r="A22" s="6" t="inlineStr">
        <is>
          <t>Profit for the year (FY2012)</t>
        </is>
      </c>
      <c r="B22" s="6" t="n"/>
      <c r="C22" s="6" t="n"/>
      <c r="D22" s="6" t="n"/>
      <c r="E22" s="6" t="n"/>
      <c r="F22" s="6" t="n"/>
      <c r="G22" s="6" t="n">
        <v>1.5</v>
      </c>
      <c r="H22" s="6" t="n">
        <v>1.5</v>
      </c>
    </row>
    <row r="23">
      <c r="A23" s="6" t="inlineStr">
        <is>
          <t>Premium on shares issued during the year (FY2012)</t>
        </is>
      </c>
      <c r="B23" s="6" t="n"/>
      <c r="C23" s="6" t="n">
        <v>1.7</v>
      </c>
      <c r="D23" s="6" t="n"/>
      <c r="E23" s="6" t="n"/>
      <c r="F23" s="6" t="n"/>
      <c r="G23" s="6" t="n"/>
      <c r="H23" s="6" t="n">
        <v>1.7</v>
      </c>
    </row>
    <row r="24">
      <c r="A24" s="6" t="inlineStr">
        <is>
          <t>Capital raising costs (FY2012)</t>
        </is>
      </c>
      <c r="B24" s="6" t="n"/>
      <c r="C24" s="6" t="n">
        <v>0</v>
      </c>
      <c r="D24" s="6" t="n"/>
      <c r="E24" s="6" t="n"/>
      <c r="F24" s="6" t="n"/>
      <c r="G24" s="6" t="n"/>
      <c r="H24" s="6" t="n">
        <v>0</v>
      </c>
    </row>
    <row r="25">
      <c r="A25" s="6" t="inlineStr">
        <is>
          <t>Capital contribution (FY2012)</t>
        </is>
      </c>
      <c r="B25" s="6" t="n"/>
      <c r="C25" s="6" t="n"/>
      <c r="D25" s="6" t="n"/>
      <c r="E25" s="6" t="n">
        <v>2.3</v>
      </c>
      <c r="F25" s="6" t="n"/>
      <c r="G25" s="6" t="n"/>
      <c r="H25" s="6" t="n">
        <v>2.3</v>
      </c>
    </row>
    <row r="26">
      <c r="A26" s="5" t="inlineStr">
        <is>
          <t>As at 31 December 2012</t>
        </is>
      </c>
      <c r="B26" s="5" t="n">
        <v>3.3</v>
      </c>
      <c r="C26" s="5" t="n">
        <v>171.8</v>
      </c>
      <c r="D26" s="5" t="n"/>
      <c r="E26" s="5" t="n">
        <v>2.3</v>
      </c>
      <c r="F26" s="5" t="n"/>
      <c r="G26" s="5" t="n">
        <v>-5.2</v>
      </c>
      <c r="H26" s="5" t="n">
        <v>172.3</v>
      </c>
    </row>
    <row r="27">
      <c r="A27" s="5" t="inlineStr">
        <is>
          <t>As at 1 January 2013</t>
        </is>
      </c>
      <c r="B27" s="5" t="n">
        <v>3.3</v>
      </c>
      <c r="C27" s="5" t="n">
        <v>171.8</v>
      </c>
      <c r="D27" s="5" t="n"/>
      <c r="E27" s="5" t="n">
        <v>2.3</v>
      </c>
      <c r="F27" s="5" t="n"/>
      <c r="G27" s="5" t="n">
        <v>-5.2</v>
      </c>
      <c r="H27" s="5" t="n">
        <v>172.3</v>
      </c>
    </row>
    <row r="28">
      <c r="A28" s="6" t="inlineStr">
        <is>
          <t>Profit for the year (FY2013)</t>
        </is>
      </c>
      <c r="B28" s="6" t="n"/>
      <c r="C28" s="6" t="n"/>
      <c r="D28" s="6" t="n"/>
      <c r="E28" s="6" t="n"/>
      <c r="F28" s="6" t="n"/>
      <c r="G28" s="6" t="n">
        <v>23.4</v>
      </c>
      <c r="H28" s="6" t="n">
        <v>23.4</v>
      </c>
    </row>
    <row r="29">
      <c r="A29" s="6" t="inlineStr">
        <is>
          <t>Premium on shares issued during the year (FY2013)</t>
        </is>
      </c>
      <c r="B29" s="6" t="n"/>
      <c r="C29" s="6" t="n">
        <v>61.6</v>
      </c>
      <c r="D29" s="6" t="n"/>
      <c r="E29" s="6" t="n"/>
      <c r="F29" s="6" t="n"/>
      <c r="G29" s="6" t="n"/>
      <c r="H29" s="6" t="n">
        <v>61.6</v>
      </c>
    </row>
    <row r="30">
      <c r="A30" s="6" t="inlineStr">
        <is>
          <t>Capital contribution (FY2013)</t>
        </is>
      </c>
      <c r="B30" s="6" t="n"/>
      <c r="C30" s="6" t="n"/>
      <c r="D30" s="6" t="n"/>
      <c r="E30" s="6" t="n">
        <v>0.2</v>
      </c>
      <c r="F30" s="6" t="n"/>
      <c r="G30" s="6" t="n"/>
      <c r="H30" s="6" t="n">
        <v>0.2</v>
      </c>
    </row>
    <row r="31">
      <c r="A31" s="5" t="inlineStr">
        <is>
          <t>As at 31 December 2013 (old UK GAAP basis - see source note for the transition gap to 1 Jan 2014)</t>
        </is>
      </c>
      <c r="B31" s="5" t="n">
        <v>3.3</v>
      </c>
      <c r="C31" s="5" t="n">
        <v>233.4</v>
      </c>
      <c r="D31" s="5" t="n"/>
      <c r="E31" s="5" t="n">
        <v>2.5</v>
      </c>
      <c r="F31" s="5" t="n"/>
      <c r="G31" s="5" t="n">
        <v>18.2</v>
      </c>
      <c r="H31" s="5" t="n">
        <v>257.4</v>
      </c>
    </row>
    <row r="32">
      <c r="A32" s="5" t="inlineStr">
        <is>
          <t>As at 1 January 2014</t>
        </is>
      </c>
      <c r="B32" s="5" t="n">
        <v>3.3</v>
      </c>
      <c r="C32" s="5" t="n">
        <v>233.4</v>
      </c>
      <c r="D32" s="5" t="n"/>
      <c r="E32" s="5" t="n">
        <v>2.5</v>
      </c>
      <c r="F32" s="5" t="n">
        <v>0.6</v>
      </c>
      <c r="G32" s="5" t="n">
        <v>19.6</v>
      </c>
      <c r="H32" s="5" t="n">
        <v>259.4</v>
      </c>
    </row>
    <row r="33">
      <c r="A33" s="6" t="inlineStr">
        <is>
          <t>Profit after taxation (FY2014)</t>
        </is>
      </c>
      <c r="B33" s="6" t="n"/>
      <c r="C33" s="6" t="n"/>
      <c r="D33" s="6" t="n"/>
      <c r="E33" s="6" t="n"/>
      <c r="F33" s="6" t="n"/>
      <c r="G33" s="6" t="n">
        <v>39.7</v>
      </c>
      <c r="H33" s="6" t="n">
        <v>39.7</v>
      </c>
    </row>
    <row r="34">
      <c r="A34" s="6" t="inlineStr">
        <is>
          <t>Other comprehensive income (FY2014)</t>
        </is>
      </c>
      <c r="B34" s="6" t="n"/>
      <c r="C34" s="6" t="n"/>
      <c r="D34" s="6" t="n"/>
      <c r="E34" s="6" t="n"/>
      <c r="F34" s="6" t="n">
        <v>0.8</v>
      </c>
      <c r="G34" s="6" t="n"/>
      <c r="H34" s="6" t="n">
        <v>0.8</v>
      </c>
    </row>
    <row r="35">
      <c r="A35" s="6" t="inlineStr">
        <is>
          <t>Additional Tier 1 perpetual loan issuance</t>
        </is>
      </c>
      <c r="B35" s="6" t="n"/>
      <c r="C35" s="6" t="n"/>
      <c r="D35" s="6" t="n">
        <v>74.3</v>
      </c>
      <c r="E35" s="6" t="n"/>
      <c r="F35" s="6" t="n"/>
      <c r="G35" s="6" t="n"/>
      <c r="H35" s="6" t="n">
        <v>74.3</v>
      </c>
    </row>
    <row r="36">
      <c r="A36" s="6" t="inlineStr">
        <is>
          <t>Share-based payments (FY2014)</t>
        </is>
      </c>
      <c r="B36" s="6" t="n"/>
      <c r="C36" s="6" t="n"/>
      <c r="D36" s="6" t="n"/>
      <c r="E36" s="6" t="n">
        <v>0.6</v>
      </c>
      <c r="F36" s="6" t="n"/>
      <c r="G36" s="6" t="n"/>
      <c r="H36" s="6" t="n">
        <v>0.6</v>
      </c>
    </row>
    <row r="37">
      <c r="A37" s="5" t="inlineStr">
        <is>
          <t>As at 31 December 2014</t>
        </is>
      </c>
      <c r="B37" s="5" t="n">
        <v>3.3</v>
      </c>
      <c r="C37" s="5" t="n">
        <v>233.4</v>
      </c>
      <c r="D37" s="5" t="n">
        <v>74.3</v>
      </c>
      <c r="E37" s="5" t="n">
        <v>3.1</v>
      </c>
      <c r="F37" s="5" t="n">
        <v>1.4</v>
      </c>
      <c r="G37" s="5" t="n">
        <v>59.3</v>
      </c>
      <c r="H37" s="5" t="n">
        <v>374.8</v>
      </c>
    </row>
    <row r="38">
      <c r="A38" s="6" t="inlineStr">
        <is>
          <t>Profit after taxation (FY2015)</t>
        </is>
      </c>
      <c r="B38" s="6" t="n"/>
      <c r="C38" s="6" t="n"/>
      <c r="D38" s="6" t="n"/>
      <c r="E38" s="6" t="n"/>
      <c r="F38" s="6" t="n"/>
      <c r="G38" s="6" t="n">
        <v>80.09999999999999</v>
      </c>
      <c r="H38" s="6" t="n">
        <v>80.09999999999999</v>
      </c>
    </row>
    <row r="39">
      <c r="A39" s="6" t="inlineStr">
        <is>
          <t>Other comprehensive loss (FY2015)</t>
        </is>
      </c>
      <c r="B39" s="6" t="n"/>
      <c r="C39" s="6" t="n"/>
      <c r="D39" s="6" t="n"/>
      <c r="E39" s="6" t="n"/>
      <c r="F39" s="6" t="n">
        <v>-2.4</v>
      </c>
      <c r="G39" s="6" t="n"/>
      <c r="H39" s="6" t="n">
        <v>-2.4</v>
      </c>
    </row>
    <row r="40">
      <c r="A40" s="6" t="inlineStr">
        <is>
          <t>Share issue proceeds — Aldermore Group PLC IPO</t>
        </is>
      </c>
      <c r="B40" s="6" t="n"/>
      <c r="C40" s="6" t="n">
        <v>68.59999999999999</v>
      </c>
      <c r="D40" s="6" t="n"/>
      <c r="E40" s="6" t="n"/>
      <c r="F40" s="6" t="n"/>
      <c r="G40" s="6" t="n"/>
      <c r="H40" s="6" t="n">
        <v>68.59999999999999</v>
      </c>
    </row>
    <row r="41">
      <c r="A41" s="6" t="inlineStr">
        <is>
          <t>Share issue proceeds — exercise of warrants in Aldermore Group PLC</t>
        </is>
      </c>
      <c r="B41" s="6" t="n"/>
      <c r="C41" s="6" t="n">
        <v>5.6</v>
      </c>
      <c r="D41" s="6" t="n"/>
      <c r="E41" s="6" t="n">
        <v>-2.2</v>
      </c>
      <c r="F41" s="6" t="n"/>
      <c r="G41" s="6" t="n">
        <v>2.2</v>
      </c>
      <c r="H41" s="6" t="n">
        <v>5.6</v>
      </c>
    </row>
    <row r="42">
      <c r="A42" s="6" t="inlineStr">
        <is>
          <t>Coupon paid on Additional Tier 1 perpetual loan, net of tax relief (FY2015)</t>
        </is>
      </c>
      <c r="B42" s="6" t="n"/>
      <c r="C42" s="6" t="n"/>
      <c r="D42" s="6" t="n"/>
      <c r="E42" s="6" t="n"/>
      <c r="F42" s="6" t="n"/>
      <c r="G42" s="6" t="n">
        <v>-2.8</v>
      </c>
      <c r="H42" s="6" t="n">
        <v>-2.8</v>
      </c>
    </row>
    <row r="43">
      <c r="A43" s="6" t="inlineStr">
        <is>
          <t>Share-based payments, including tax reflected directly in retained earnings (FY2015)</t>
        </is>
      </c>
      <c r="B43" s="6" t="n"/>
      <c r="C43" s="6" t="n"/>
      <c r="D43" s="6" t="n"/>
      <c r="E43" s="6" t="n">
        <v>3.4</v>
      </c>
      <c r="F43" s="6" t="n"/>
      <c r="G43" s="6" t="n"/>
      <c r="H43" s="6" t="n">
        <v>3.4</v>
      </c>
    </row>
    <row r="44">
      <c r="A44" s="6" t="inlineStr">
        <is>
          <t>Transfer of capital contribution to retained earnings re vested share-based payments</t>
        </is>
      </c>
      <c r="B44" s="6" t="n"/>
      <c r="C44" s="6" t="n"/>
      <c r="D44" s="6" t="n"/>
      <c r="E44" s="6" t="n">
        <v>-0.9</v>
      </c>
      <c r="F44" s="6" t="n"/>
      <c r="G44" s="6" t="n">
        <v>0.9</v>
      </c>
      <c r="H44" s="6" t="n"/>
    </row>
    <row r="45">
      <c r="A45" s="5" t="inlineStr">
        <is>
          <t>As at 31 December 2015</t>
        </is>
      </c>
      <c r="B45" s="5" t="n">
        <v>3.3</v>
      </c>
      <c r="C45" s="5" t="n">
        <v>307.6</v>
      </c>
      <c r="D45" s="5" t="n">
        <v>74.3</v>
      </c>
      <c r="E45" s="5" t="n">
        <v>3.4</v>
      </c>
      <c r="F45" s="5" t="n">
        <v>-1</v>
      </c>
      <c r="G45" s="5" t="n">
        <v>139.7</v>
      </c>
      <c r="H45" s="5" t="n">
        <v>527.3</v>
      </c>
    </row>
    <row r="46">
      <c r="A46" s="6" t="inlineStr">
        <is>
          <t>Total comprehensive income (FY2016)</t>
        </is>
      </c>
      <c r="B46" s="6" t="n"/>
      <c r="C46" s="6" t="n"/>
      <c r="D46" s="6" t="n"/>
      <c r="E46" s="6" t="n"/>
      <c r="F46" s="6" t="n">
        <v>2.8</v>
      </c>
      <c r="G46" s="6" t="n">
        <v>92.3</v>
      </c>
      <c r="H46" s="6" t="n">
        <v>95.09999999999999</v>
      </c>
    </row>
    <row r="47">
      <c r="A47" s="6" t="inlineStr">
        <is>
          <t>Share-based payments, including tax reflected directly in retained earnings (FY2016)</t>
        </is>
      </c>
      <c r="B47" s="6" t="n"/>
      <c r="C47" s="6" t="n"/>
      <c r="D47" s="6" t="n"/>
      <c r="E47" s="6" t="n">
        <v>3.5</v>
      </c>
      <c r="F47" s="6" t="n"/>
      <c r="G47" s="6" t="n">
        <v>0.1</v>
      </c>
      <c r="H47" s="6" t="n">
        <v>3.6</v>
      </c>
    </row>
    <row r="48">
      <c r="A48" s="6" t="inlineStr">
        <is>
          <t>Coupon paid on contingent convertible securities, net of tax (FY2016)</t>
        </is>
      </c>
      <c r="B48" s="6" t="n"/>
      <c r="C48" s="6" t="n"/>
      <c r="D48" s="6" t="n"/>
      <c r="E48" s="6" t="n"/>
      <c r="F48" s="6" t="n"/>
      <c r="G48" s="6" t="n">
        <v>-6.6</v>
      </c>
      <c r="H48" s="6" t="n">
        <v>-6.6</v>
      </c>
    </row>
    <row r="49">
      <c r="A49" s="5" t="inlineStr">
        <is>
          <t>As at 31 December 2016</t>
        </is>
      </c>
      <c r="B49" s="5" t="n">
        <v>3.3</v>
      </c>
      <c r="C49" s="5" t="n">
        <v>307.6</v>
      </c>
      <c r="D49" s="5" t="n">
        <v>74.3</v>
      </c>
      <c r="E49" s="5" t="n">
        <v>6.9</v>
      </c>
      <c r="F49" s="5" t="n">
        <v>1.8</v>
      </c>
      <c r="G49" s="5" t="n">
        <v>225.5</v>
      </c>
      <c r="H49" s="5" t="n">
        <v>619.4</v>
      </c>
    </row>
    <row r="50">
      <c r="A50" s="5" t="inlineStr">
        <is>
          <t>As at 1 January 2017 (opens the 18-month transition period to 30 Jun 2018)</t>
        </is>
      </c>
      <c r="B50" s="5" t="n">
        <v>3.3</v>
      </c>
      <c r="C50" s="5" t="n">
        <v>307.6</v>
      </c>
      <c r="D50" s="5" t="n">
        <v>74.3</v>
      </c>
      <c r="E50" s="5" t="n">
        <v>6.9</v>
      </c>
      <c r="F50" s="5" t="n">
        <v>1.8</v>
      </c>
      <c r="G50" s="5" t="n">
        <v>225.5</v>
      </c>
      <c r="H50" s="5" t="n">
        <v>619.4</v>
      </c>
    </row>
    <row r="51">
      <c r="A51" s="6" t="inlineStr">
        <is>
          <t>Profit after taxation (18 months to 30 Jun 2018)</t>
        </is>
      </c>
      <c r="B51" s="6" t="n"/>
      <c r="C51" s="6" t="n"/>
      <c r="D51" s="6" t="n"/>
      <c r="E51" s="6" t="n"/>
      <c r="F51" s="6" t="n"/>
      <c r="G51" s="6" t="n">
        <v>155.9</v>
      </c>
      <c r="H51" s="6" t="n">
        <v>155.9</v>
      </c>
    </row>
    <row r="52">
      <c r="A52" s="6" t="inlineStr">
        <is>
          <t>Other comprehensive loss (18 months to 30 Jun 2018)</t>
        </is>
      </c>
      <c r="B52" s="6" t="n"/>
      <c r="C52" s="6" t="n"/>
      <c r="D52" s="6" t="n"/>
      <c r="E52" s="6" t="n"/>
      <c r="F52" s="6" t="n">
        <v>-0.7</v>
      </c>
      <c r="G52" s="6" t="n"/>
      <c r="H52" s="6" t="n">
        <v>-0.7</v>
      </c>
    </row>
    <row r="53">
      <c r="A53" s="6" t="inlineStr">
        <is>
          <t>Share-based payments, including tax reflected directly in retained earnings (18mo)</t>
        </is>
      </c>
      <c r="B53" s="6" t="n"/>
      <c r="C53" s="6" t="n"/>
      <c r="D53" s="6" t="n"/>
      <c r="E53" s="6" t="n">
        <v>4.9</v>
      </c>
      <c r="F53" s="6" t="n"/>
      <c r="G53" s="6" t="n">
        <v>1.4</v>
      </c>
      <c r="H53" s="6" t="n">
        <v>6.3</v>
      </c>
    </row>
    <row r="54">
      <c r="A54" s="6" t="inlineStr">
        <is>
          <t>Coupon paid on contingent convertible securities, net of tax (18mo)</t>
        </is>
      </c>
      <c r="B54" s="6" t="n"/>
      <c r="C54" s="6" t="n"/>
      <c r="D54" s="6" t="n"/>
      <c r="E54" s="6" t="n"/>
      <c r="F54" s="6" t="n"/>
      <c r="G54" s="6" t="n">
        <v>-13.3</v>
      </c>
      <c r="H54" s="6" t="n">
        <v>-13.3</v>
      </c>
    </row>
    <row r="55">
      <c r="A55" s="6" t="inlineStr">
        <is>
          <t>Transfer of share based payment reserve to retained earnings (18mo)</t>
        </is>
      </c>
      <c r="B55" s="6" t="n"/>
      <c r="C55" s="6" t="n"/>
      <c r="D55" s="6" t="n"/>
      <c r="E55" s="6" t="n">
        <v>-11.8</v>
      </c>
      <c r="F55" s="6" t="n"/>
      <c r="G55" s="6" t="n">
        <v>11.8</v>
      </c>
      <c r="H55" s="6" t="n"/>
    </row>
    <row r="56">
      <c r="A56" s="6" t="inlineStr">
        <is>
          <t>Release of Employee Benefit Trust loan (18mo)</t>
        </is>
      </c>
      <c r="B56" s="6" t="n"/>
      <c r="C56" s="6" t="n"/>
      <c r="D56" s="6" t="n"/>
      <c r="E56" s="6" t="n"/>
      <c r="F56" s="6" t="n"/>
      <c r="G56" s="6" t="n">
        <v>-0.9</v>
      </c>
      <c r="H56" s="6" t="n">
        <v>-0.9</v>
      </c>
    </row>
    <row r="57">
      <c r="A57" s="5" t="inlineStr">
        <is>
          <t>As at 30 June 2018</t>
        </is>
      </c>
      <c r="B57" s="5" t="n">
        <v>3.3</v>
      </c>
      <c r="C57" s="5" t="n">
        <v>307.6</v>
      </c>
      <c r="D57" s="5" t="n">
        <v>74.3</v>
      </c>
      <c r="E57" s="5" t="n">
        <v>0</v>
      </c>
      <c r="F57" s="5" t="n">
        <v>1.1</v>
      </c>
      <c r="G57" s="5" t="n">
        <v>380.4</v>
      </c>
      <c r="H57" s="5" t="n">
        <v>766.7</v>
      </c>
    </row>
    <row r="58">
      <c r="A58" s="6" t="inlineStr">
        <is>
          <t>Adjustment for adoption of IFRS 9</t>
        </is>
      </c>
      <c r="B58" s="6" t="n"/>
      <c r="C58" s="6" t="n"/>
      <c r="D58" s="6" t="n"/>
      <c r="E58" s="6" t="n"/>
      <c r="F58" s="6" t="n"/>
      <c r="G58" s="6" t="n">
        <v>-7.8</v>
      </c>
      <c r="H58" s="6" t="n">
        <v>-7.8</v>
      </c>
    </row>
    <row r="59">
      <c r="A59" s="6" t="inlineStr">
        <is>
          <t>Adjustment for adoption of IFRS 15</t>
        </is>
      </c>
      <c r="B59" s="6" t="n"/>
      <c r="C59" s="6" t="n"/>
      <c r="D59" s="6" t="n"/>
      <c r="E59" s="6" t="n"/>
      <c r="F59" s="6" t="n"/>
      <c r="G59" s="6" t="n">
        <v>-0.2</v>
      </c>
      <c r="H59" s="6" t="n">
        <v>-0.2</v>
      </c>
    </row>
    <row r="60">
      <c r="A60" s="5" t="inlineStr">
        <is>
          <t>Restated balance as at 1 July 2018</t>
        </is>
      </c>
      <c r="B60" s="5" t="n">
        <v>3.3</v>
      </c>
      <c r="C60" s="5" t="n">
        <v>307.6</v>
      </c>
      <c r="D60" s="5" t="n">
        <v>74.3</v>
      </c>
      <c r="E60" s="5" t="n">
        <v>0</v>
      </c>
      <c r="F60" s="5" t="n">
        <v>1.1</v>
      </c>
      <c r="G60" s="5" t="n">
        <v>372.4</v>
      </c>
      <c r="H60" s="5" t="n">
        <v>758.7</v>
      </c>
    </row>
    <row r="61">
      <c r="A61" s="6" t="inlineStr">
        <is>
          <t>Profit after taxation (FY2019)</t>
        </is>
      </c>
      <c r="B61" s="6" t="n"/>
      <c r="C61" s="6" t="n"/>
      <c r="D61" s="6" t="n"/>
      <c r="E61" s="6" t="n"/>
      <c r="F61" s="6" t="n"/>
      <c r="G61" s="6" t="n">
        <v>102.2</v>
      </c>
      <c r="H61" s="6" t="n">
        <v>102.2</v>
      </c>
    </row>
    <row r="62">
      <c r="A62" s="6" t="inlineStr">
        <is>
          <t>Other comprehensive loss (FY2019)</t>
        </is>
      </c>
      <c r="B62" s="6" t="n"/>
      <c r="C62" s="6" t="n"/>
      <c r="D62" s="6" t="n"/>
      <c r="E62" s="6" t="n"/>
      <c r="F62" s="6" t="n">
        <v>-0.7</v>
      </c>
      <c r="G62" s="6" t="n"/>
      <c r="H62" s="6" t="n">
        <v>-0.7</v>
      </c>
    </row>
    <row r="63">
      <c r="A63" s="6" t="inlineStr">
        <is>
          <t>Coupon paid on Additional Tier 1 capital securities, net of tax (FY2019)</t>
        </is>
      </c>
      <c r="B63" s="6" t="n"/>
      <c r="C63" s="6" t="n"/>
      <c r="D63" s="6" t="n"/>
      <c r="E63" s="6" t="n"/>
      <c r="F63" s="6" t="n"/>
      <c r="G63" s="6" t="n">
        <v>-7</v>
      </c>
      <c r="H63" s="6" t="n">
        <v>-7</v>
      </c>
    </row>
    <row r="64">
      <c r="A64" s="5" t="inlineStr">
        <is>
          <t>As at 30 June 2019</t>
        </is>
      </c>
      <c r="B64" s="5" t="n">
        <v>3.3</v>
      </c>
      <c r="C64" s="5" t="n">
        <v>307.6</v>
      </c>
      <c r="D64" s="5" t="n">
        <v>74.3</v>
      </c>
      <c r="E64" s="5" t="n">
        <v>0</v>
      </c>
      <c r="F64" s="5" t="n">
        <v>0.4</v>
      </c>
      <c r="G64" s="5" t="n">
        <v>467.6</v>
      </c>
      <c r="H64" s="5" t="n">
        <v>853.2</v>
      </c>
    </row>
    <row r="65">
      <c r="A65" s="6" t="inlineStr">
        <is>
          <t>Profit after taxation (FY2020)</t>
        </is>
      </c>
      <c r="B65" s="6" t="n"/>
      <c r="C65" s="6" t="n"/>
      <c r="D65" s="6" t="n"/>
      <c r="E65" s="6" t="n"/>
      <c r="F65" s="6" t="n"/>
      <c r="G65" s="6" t="n">
        <v>64.2</v>
      </c>
      <c r="H65" s="6" t="n">
        <v>64.2</v>
      </c>
    </row>
    <row r="66">
      <c r="A66" s="6" t="inlineStr">
        <is>
          <t>Other comprehensive income (FY2020)</t>
        </is>
      </c>
      <c r="B66" s="6" t="n"/>
      <c r="C66" s="6" t="n"/>
      <c r="D66" s="6" t="n"/>
      <c r="E66" s="6" t="n"/>
      <c r="F66" s="6" t="n">
        <v>1</v>
      </c>
      <c r="G66" s="6" t="n"/>
      <c r="H66" s="6" t="n">
        <v>1</v>
      </c>
    </row>
    <row r="67">
      <c r="A67" s="6" t="inlineStr">
        <is>
          <t>Issuance of Additional Tier 1 capital (FY2020)</t>
        </is>
      </c>
      <c r="B67" s="6" t="n"/>
      <c r="C67" s="6" t="n"/>
      <c r="D67" s="6" t="n">
        <v>61</v>
      </c>
      <c r="E67" s="6" t="n"/>
      <c r="F67" s="6" t="n"/>
      <c r="G67" s="6" t="n"/>
      <c r="H67" s="6" t="n">
        <v>61</v>
      </c>
    </row>
    <row r="68">
      <c r="A68" s="6" t="inlineStr">
        <is>
          <t>Redemption of Additional Tier 1 capital (FY2020)</t>
        </is>
      </c>
      <c r="B68" s="6" t="n"/>
      <c r="C68" s="6" t="n"/>
      <c r="D68" s="6" t="n">
        <v>-74.3</v>
      </c>
      <c r="E68" s="6" t="n"/>
      <c r="F68" s="6" t="n"/>
      <c r="G68" s="6" t="n"/>
      <c r="H68" s="6" t="n">
        <v>-74.3</v>
      </c>
    </row>
    <row r="69">
      <c r="A69" s="6" t="inlineStr">
        <is>
          <t>Coupon paid on Additional Tier 1 capital securities (FY2020)</t>
        </is>
      </c>
      <c r="B69" s="6" t="n"/>
      <c r="C69" s="6" t="n"/>
      <c r="D69" s="6" t="n"/>
      <c r="E69" s="6" t="n"/>
      <c r="F69" s="6" t="n"/>
      <c r="G69" s="6" t="n">
        <v>-8.9</v>
      </c>
      <c r="H69" s="6" t="n">
        <v>-8.9</v>
      </c>
    </row>
    <row r="70">
      <c r="A70" s="5" t="inlineStr">
        <is>
          <t>As at 30 June 2020</t>
        </is>
      </c>
      <c r="B70" s="5" t="n">
        <v>3.3</v>
      </c>
      <c r="C70" s="5" t="n">
        <v>307.5</v>
      </c>
      <c r="D70" s="5" t="n">
        <v>61</v>
      </c>
      <c r="E70" s="5" t="n">
        <v>0</v>
      </c>
      <c r="F70" s="5" t="n">
        <v>1.4</v>
      </c>
      <c r="G70" s="5" t="n">
        <v>522.9</v>
      </c>
      <c r="H70" s="5" t="n">
        <v>896.2</v>
      </c>
    </row>
    <row r="71">
      <c r="A71" s="5" t="inlineStr">
        <is>
          <t>As at 1 July 2020</t>
        </is>
      </c>
      <c r="B71" s="5" t="n">
        <v>3.3</v>
      </c>
      <c r="C71" s="5" t="n">
        <v>307.6</v>
      </c>
      <c r="D71" s="5" t="n">
        <v>61</v>
      </c>
      <c r="E71" s="5" t="n">
        <v>0</v>
      </c>
      <c r="F71" s="5" t="n">
        <v>1.5</v>
      </c>
      <c r="G71" s="5" t="n">
        <v>522.9</v>
      </c>
      <c r="H71" s="5" t="n">
        <v>896.2</v>
      </c>
    </row>
    <row r="72">
      <c r="A72" s="6" t="inlineStr">
        <is>
          <t>Profit after taxation (FY2021)</t>
        </is>
      </c>
      <c r="B72" s="6" t="n"/>
      <c r="C72" s="6" t="n"/>
      <c r="D72" s="6" t="n"/>
      <c r="E72" s="6" t="n"/>
      <c r="F72" s="6" t="n"/>
      <c r="G72" s="6" t="n">
        <v>89.3</v>
      </c>
      <c r="H72" s="6" t="n">
        <v>89.3</v>
      </c>
    </row>
    <row r="73">
      <c r="A73" s="6" t="inlineStr">
        <is>
          <t>Other comprehensive income (FY2021)</t>
        </is>
      </c>
      <c r="B73" s="6" t="n"/>
      <c r="C73" s="6" t="n"/>
      <c r="D73" s="6" t="n"/>
      <c r="E73" s="6" t="n"/>
      <c r="F73" s="6" t="n">
        <v>6.8</v>
      </c>
      <c r="G73" s="6" t="n"/>
      <c r="H73" s="6" t="n">
        <v>6.9</v>
      </c>
    </row>
    <row r="74">
      <c r="A74" s="6" t="inlineStr">
        <is>
          <t>Coupon paid on Additional Tier 1 capital securities (FY2021)</t>
        </is>
      </c>
      <c r="B74" s="6" t="n"/>
      <c r="C74" s="6" t="n"/>
      <c r="D74" s="6" t="n"/>
      <c r="E74" s="6" t="n"/>
      <c r="F74" s="6" t="n"/>
      <c r="G74" s="6" t="n">
        <v>-5.2</v>
      </c>
      <c r="H74" s="6" t="n">
        <v>-5.2</v>
      </c>
    </row>
    <row r="75">
      <c r="A75" s="5" t="inlineStr">
        <is>
          <t>As at 30 June 2021</t>
        </is>
      </c>
      <c r="B75" s="5" t="n">
        <v>3.3</v>
      </c>
      <c r="C75" s="5" t="n">
        <v>307.6</v>
      </c>
      <c r="D75" s="5" t="n">
        <v>61</v>
      </c>
      <c r="E75" s="5" t="n">
        <v>0</v>
      </c>
      <c r="F75" s="5" t="n">
        <v>8.300000000000001</v>
      </c>
      <c r="G75" s="5" t="n">
        <v>607</v>
      </c>
      <c r="H75" s="5" t="n">
        <v>987.2</v>
      </c>
    </row>
    <row r="76">
      <c r="A76" s="6" t="inlineStr">
        <is>
          <t>Profit after taxation (FY2022)</t>
        </is>
      </c>
      <c r="B76" s="6" t="n"/>
      <c r="C76" s="6" t="n"/>
      <c r="D76" s="6" t="n"/>
      <c r="E76" s="6" t="n"/>
      <c r="F76" s="6" t="n"/>
      <c r="G76" s="6" t="n">
        <v>118</v>
      </c>
      <c r="H76" s="6" t="n">
        <v>118</v>
      </c>
    </row>
    <row r="77">
      <c r="A77" s="6" t="inlineStr">
        <is>
          <t>Other comprehensive loss (FY2022)</t>
        </is>
      </c>
      <c r="B77" s="6" t="n"/>
      <c r="C77" s="6" t="n"/>
      <c r="D77" s="6" t="n"/>
      <c r="E77" s="6" t="n"/>
      <c r="F77" s="6" t="n">
        <v>-1.4</v>
      </c>
      <c r="G77" s="6" t="n"/>
      <c r="H77" s="6" t="n">
        <v>-1.4</v>
      </c>
    </row>
    <row r="78">
      <c r="A78" s="6" t="inlineStr">
        <is>
          <t>Coupon paid on Additional Tier 1 capital securities (FY2022)</t>
        </is>
      </c>
      <c r="B78" s="6" t="n"/>
      <c r="C78" s="6" t="n"/>
      <c r="D78" s="6" t="n"/>
      <c r="E78" s="6" t="n"/>
      <c r="F78" s="6" t="n"/>
      <c r="G78" s="6" t="n">
        <v>-5.2</v>
      </c>
      <c r="H78" s="6" t="n">
        <v>-5.2</v>
      </c>
    </row>
    <row r="79">
      <c r="A79" s="5" t="inlineStr">
        <is>
          <t>As at 30 June 2022</t>
        </is>
      </c>
      <c r="B79" s="5" t="n">
        <v>3.3</v>
      </c>
      <c r="C79" s="5" t="n">
        <v>307.5</v>
      </c>
      <c r="D79" s="5" t="n">
        <v>61</v>
      </c>
      <c r="E79" s="5" t="n">
        <v>0</v>
      </c>
      <c r="F79" s="5" t="n">
        <v>6.9</v>
      </c>
      <c r="G79" s="5" t="n">
        <v>719.8</v>
      </c>
      <c r="H79" s="5" t="n">
        <v>1098.5</v>
      </c>
    </row>
    <row r="80">
      <c r="A80" s="6" t="inlineStr">
        <is>
          <t>Profit after taxation (FY2023)</t>
        </is>
      </c>
      <c r="B80" s="6" t="n"/>
      <c r="C80" s="6" t="n"/>
      <c r="D80" s="6" t="n"/>
      <c r="E80" s="6" t="n"/>
      <c r="F80" s="6" t="n"/>
      <c r="G80" s="6" t="n">
        <v>129.2</v>
      </c>
      <c r="H80" s="6" t="n">
        <v>129.2</v>
      </c>
    </row>
    <row r="81">
      <c r="A81" s="6" t="inlineStr">
        <is>
          <t>Other comprehensive loss (FY2023)</t>
        </is>
      </c>
      <c r="B81" s="6" t="n"/>
      <c r="C81" s="6" t="n"/>
      <c r="D81" s="6" t="n"/>
      <c r="E81" s="6" t="n"/>
      <c r="F81" s="6" t="n">
        <v>-3.6</v>
      </c>
      <c r="G81" s="6" t="n"/>
      <c r="H81" s="6" t="n">
        <v>-3.6</v>
      </c>
    </row>
    <row r="82">
      <c r="A82" s="6" t="inlineStr">
        <is>
          <t>Coupon paid on Additional Tier 1 capital securities (FY2023)</t>
        </is>
      </c>
      <c r="B82" s="6" t="n"/>
      <c r="C82" s="6" t="n"/>
      <c r="D82" s="6" t="n"/>
      <c r="E82" s="6" t="n"/>
      <c r="F82" s="6" t="n"/>
      <c r="G82" s="6" t="n">
        <v>-5.2</v>
      </c>
      <c r="H82" s="6" t="n">
        <v>-5.2</v>
      </c>
    </row>
    <row r="83">
      <c r="A83" s="5" t="inlineStr">
        <is>
          <t>As at 30 June 2023</t>
        </is>
      </c>
      <c r="B83" s="5" t="n">
        <v>3.3</v>
      </c>
      <c r="C83" s="5" t="n">
        <v>307.5</v>
      </c>
      <c r="D83" s="5" t="n">
        <v>61</v>
      </c>
      <c r="E83" s="5" t="n">
        <v>0</v>
      </c>
      <c r="F83" s="5" t="n">
        <v>3.3</v>
      </c>
      <c r="G83" s="5" t="n">
        <v>843.9</v>
      </c>
      <c r="H83" s="5" t="n">
        <v>1219</v>
      </c>
    </row>
    <row r="84">
      <c r="A84" s="6" t="inlineStr">
        <is>
          <t>Profit after taxation (FY2024)</t>
        </is>
      </c>
      <c r="B84" s="6" t="n"/>
      <c r="C84" s="6" t="n"/>
      <c r="D84" s="6" t="n"/>
      <c r="E84" s="6" t="n"/>
      <c r="F84" s="6" t="n"/>
      <c r="G84" s="6" t="n">
        <v>162.1</v>
      </c>
      <c r="H84" s="6" t="n">
        <v>162.1</v>
      </c>
    </row>
    <row r="85">
      <c r="A85" s="6" t="inlineStr">
        <is>
          <t>Other comprehensive loss (FY2024)</t>
        </is>
      </c>
      <c r="B85" s="6" t="n"/>
      <c r="C85" s="6" t="n"/>
      <c r="D85" s="6" t="n"/>
      <c r="E85" s="6" t="n"/>
      <c r="F85" s="6" t="n">
        <v>-4</v>
      </c>
      <c r="G85" s="6" t="n"/>
      <c r="H85" s="6" t="n">
        <v>-4</v>
      </c>
    </row>
    <row r="86">
      <c r="A86" s="6" t="inlineStr">
        <is>
          <t>Coupon paid on Additional Tier 1 capital securities (FY2024)</t>
        </is>
      </c>
      <c r="B86" s="6" t="n"/>
      <c r="C86" s="6" t="n"/>
      <c r="D86" s="6" t="n"/>
      <c r="E86" s="6" t="n"/>
      <c r="F86" s="6" t="n"/>
      <c r="G86" s="6" t="n">
        <v>-5.3</v>
      </c>
      <c r="H86" s="6" t="n">
        <v>-5.3</v>
      </c>
    </row>
    <row r="87">
      <c r="A87" s="5" t="inlineStr">
        <is>
          <t>As at 30 June 2024</t>
        </is>
      </c>
      <c r="B87" s="5" t="n">
        <v>3.3</v>
      </c>
      <c r="C87" s="5" t="n">
        <v>307.5</v>
      </c>
      <c r="D87" s="5" t="n">
        <v>61</v>
      </c>
      <c r="E87" s="5" t="n">
        <v>0</v>
      </c>
      <c r="F87" s="5" t="n">
        <v>-0.7</v>
      </c>
      <c r="G87" s="5" t="n">
        <v>1000.7</v>
      </c>
      <c r="H87" s="5" t="n">
        <v>1371.8</v>
      </c>
    </row>
    <row r="88">
      <c r="A88" s="6" t="inlineStr">
        <is>
          <t>Profit after taxation (FY2025)</t>
        </is>
      </c>
      <c r="B88" s="6" t="n"/>
      <c r="C88" s="6" t="n"/>
      <c r="D88" s="6" t="n"/>
      <c r="E88" s="6" t="n"/>
      <c r="F88" s="6" t="n"/>
      <c r="G88" s="6" t="n">
        <v>163.2</v>
      </c>
      <c r="H88" s="6" t="n">
        <v>163.2</v>
      </c>
    </row>
    <row r="89">
      <c r="A89" s="6" t="inlineStr">
        <is>
          <t>Other comprehensive loss (FY2025)</t>
        </is>
      </c>
      <c r="B89" s="6" t="n"/>
      <c r="C89" s="6" t="n"/>
      <c r="D89" s="6" t="n"/>
      <c r="E89" s="6" t="n"/>
      <c r="F89" s="6" t="n">
        <v>-4.3</v>
      </c>
      <c r="G89" s="6" t="n"/>
      <c r="H89" s="6" t="n">
        <v>-4.3</v>
      </c>
    </row>
    <row r="90">
      <c r="A90" s="6" t="inlineStr">
        <is>
          <t>Redemption of Additional Tier 1 capital</t>
        </is>
      </c>
      <c r="B90" s="6" t="n"/>
      <c r="C90" s="6" t="n"/>
      <c r="D90" s="6" t="n">
        <v>-61</v>
      </c>
      <c r="E90" s="6" t="n"/>
      <c r="F90" s="6" t="n"/>
      <c r="G90" s="6" t="n"/>
      <c r="H90" s="6" t="n">
        <v>-61</v>
      </c>
    </row>
    <row r="91">
      <c r="A91" s="6" t="inlineStr">
        <is>
          <t>Issuance of Additional Tier 1 capital</t>
        </is>
      </c>
      <c r="B91" s="6" t="n"/>
      <c r="C91" s="6" t="n"/>
      <c r="D91" s="6" t="n">
        <v>50</v>
      </c>
      <c r="E91" s="6" t="n"/>
      <c r="F91" s="6" t="n"/>
      <c r="G91" s="6" t="n"/>
      <c r="H91" s="6" t="n">
        <v>50</v>
      </c>
    </row>
    <row r="92">
      <c r="A92" s="6" t="inlineStr">
        <is>
          <t>Coupon paid on Additional Tier 1 capital securities (FY2025)</t>
        </is>
      </c>
      <c r="B92" s="6" t="n"/>
      <c r="C92" s="6" t="n"/>
      <c r="D92" s="6" t="n"/>
      <c r="E92" s="6" t="n"/>
      <c r="F92" s="6" t="n"/>
      <c r="G92" s="6" t="n">
        <v>-5.1</v>
      </c>
      <c r="H92" s="6" t="n">
        <v>-5.1</v>
      </c>
    </row>
    <row r="93">
      <c r="A93" s="5" t="inlineStr">
        <is>
          <t>As at 30 June 2025</t>
        </is>
      </c>
      <c r="B93" s="5" t="n">
        <v>3.3</v>
      </c>
      <c r="C93" s="5" t="n">
        <v>307.5</v>
      </c>
      <c r="D93" s="5" t="n">
        <v>50</v>
      </c>
      <c r="E93" s="5" t="n">
        <v>0</v>
      </c>
      <c r="F93" s="5" t="n">
        <v>-5</v>
      </c>
      <c r="G93" s="5" t="n">
        <v>1158.8</v>
      </c>
      <c r="H93" s="5" t="n">
        <v>1514.6</v>
      </c>
    </row>
    <row r="95" ht="150" customHeight="1">
      <c r="A95"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&amp; FY2020: Full accounts made up to 30 June 2021, filed 04 Nov 2021, p.60 — https://find-and-update.company-information.service.gov.uk/company/00947662/filing-history/MzMxODkyMzc2MWFkaXF6a2N4/document?format=pdf&amp;download=0
FY2019 &amp; FY2018 (18-month period ended 30 Jun 2018): Full accounts for the year ended 30 June 2019, filed 22 Nov 2019, p.52 — https://find-and-update.company-information.service.gov.uk/company/00947662/filing-history/MzI0OTY0MTQwMWFkaXF6a2N4/document?format=pdf&amp;download=0
FY2016 &amp; FY2015: Full accounts for the year ended 31 December 2016, filed 11 May 2017, p.29 — https://find-and-update.company-information.service.gov.uk/company/00947662/filing-history/MzE3NTQ0MTgwOGFkaXF6a2N4/document?format=pdf&amp;download=0
FY2014: Full accounts for the year ended 31 December 2015, filed 23 May 2016, p.79 (FY2014 comparative) — https://find-and-update.company-information.service.gov.uk/company/00947662/filing-history/MzE0OTEzMjU1M2FkaXF6a2N4/document?format=pdf&amp;download=0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 A similar sub-£0.1m rounding gap exists between the 'As at 30 June 2020' close (896.2, tying to the FY2020 accounts) and the 'As at 1 July 2020' opening carried over from the FY2022 accounts' own comparative roll-forward (FVOCI reserve 1.5 vs 1.4) — both reproduced exactly as each source states them, not reconciled.
FY2017 has no standalone 12-month roll-forward: following the Bank's change of accounting reference date (see YEARS comment above), the roll-forward jumps directly from 'As at 31 December 2016' (year-end under the old Dec-FYE) to 'As at 1 January 2017' opening a single 18-month movement to 'As at 30 June 2018' — there is no 31 December 2017 balance in the Bank's own disclosures. The 'Capital contribution / redemption reserve' column is the same underlying reserve renamed across the Bank's own accounts over time ('Capital contribution reserve' in FY2014-FY2015 and again in the FY2018 18-month accounts; 'Capital redemption reserve' in FY2016 and FY2019 onward) — carried as one column for continuity; it is fully run down to nil by FY2019 and stays at nil (explicitly reported as '-') through FY2025, so is omitted from the FY2021-FY2025 rows below (shown as 0) exactly as the Bank's own more recent accounts no longer print it as a separate line.
HD-073 extension (FY2009-FY2013): sourced from the same old-UK-GAAP statutory accounts as the Balance Sheet and Profit &amp; Loss sheets (see the Balance Sheet sheet's source note for full document/page references), each year's own 'Reconciliation of movements in shareholders' funds'/'in reserves' note. FY2009 is a 9-month stub period (1 Apr 2009 - 31 Dec 2009): the Bank's very first roll-forward row, 'As at 1 April 2009', is its true opening position (Share capital £2.5m, Retained earnings £15.4m), not a restated prior-year close. No Additional Tier 1 capital or FVOCI reserve existed yet in this period (both are genuinely absent, shown as blank rather than 0); the Capital contribution reserve did not exist before FY2012 either. The 'As at 31 December 2013' close (£257.4m, old UK GAAP basis) does NOT tie to the immediately following 'As at 1 January 2014' IFRS-basis opening (£259.4m) — a genuine ~£2.0m gap from the Bank's UK-GAAP-to-IFRS transition (which, among other things, created the FVOCI reserve column and restated retained earnings), not a data error. This is a real basis change, left as an unexplained gap here rather than bridged with a fabricated adjustment row, consistent with how a genuine reconciling difference elsewhere on this sheet (e.g. any other bank's real transition gaps) is handled.
The FY2012 column throughout this sheet is presented on a restated basis: the Bank changed its accounting policy for IFRIC 21 Levies, which increased 1 January 2012 opening reserves by £662k and FY2012 retained profit by £707k versus the figures as originally reported in the Bank's own FY2012 accounts — both effects are included via the 'Prior year adjustment (IFRIC 21 restatement, FY2012)' row below, as disclosed in the FY2013 accounts' own comparative note (the FY2013 accounts, not the original FY2012 filing, are the source for the whole FY2012 column, consistent with the rest of this sheet using each year's latest filed figures).</t>
        </is>
      </c>
    </row>
  </sheetData>
  <mergeCells count="1">
    <mergeCell ref="A95:H9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c r="O4" s="6" t="n"/>
      <c r="P4" s="6" t="n"/>
      <c r="Q4" s="6" t="n"/>
      <c r="R4" s="6" t="n"/>
    </row>
    <row r="5">
      <c r="A5" s="6" t="inlineStr">
        <is>
          <t>Profit before taxation</t>
        </is>
      </c>
      <c r="B5" s="6" t="n">
        <v>220.7</v>
      </c>
      <c r="C5" s="6" t="n">
        <v>218.2</v>
      </c>
      <c r="D5" s="6" t="n">
        <v>171.2</v>
      </c>
      <c r="E5" s="6" t="n">
        <v>160.7</v>
      </c>
      <c r="F5" s="6" t="n">
        <v>115.7</v>
      </c>
      <c r="G5" s="6" t="n">
        <v>81.59999999999999</v>
      </c>
      <c r="H5" s="6" t="n">
        <v>137.7</v>
      </c>
      <c r="I5" s="6" t="n">
        <v>212.8</v>
      </c>
      <c r="J5" s="6" t="n"/>
      <c r="K5" s="6" t="n">
        <v>127.3</v>
      </c>
      <c r="L5" s="6" t="n">
        <v>95.8</v>
      </c>
      <c r="M5" s="6" t="n">
        <v>51.8</v>
      </c>
      <c r="N5" s="6" t="n"/>
      <c r="O5" s="6" t="n"/>
      <c r="P5" s="6" t="n"/>
      <c r="Q5" s="6" t="n"/>
      <c r="R5" s="6" t="n"/>
    </row>
    <row r="6">
      <c r="A6" s="6" t="inlineStr">
        <is>
          <t>Adjustments for non-cash items and other adjustments included within the income statement</t>
        </is>
      </c>
      <c r="B6" s="6" t="n">
        <v>-223.6</v>
      </c>
      <c r="C6" s="6" t="n">
        <v>-188.9</v>
      </c>
      <c r="D6" s="6" t="n">
        <v>-49.2</v>
      </c>
      <c r="E6" s="6" t="n">
        <v>-22.3</v>
      </c>
      <c r="F6" s="6" t="n">
        <v>17</v>
      </c>
      <c r="G6" s="6" t="n">
        <v>58.1</v>
      </c>
      <c r="H6" s="6" t="n">
        <v>14.7</v>
      </c>
      <c r="I6" s="6" t="n">
        <v>26.4</v>
      </c>
      <c r="J6" s="6" t="n"/>
      <c r="K6" s="6" t="n">
        <v>7.4</v>
      </c>
      <c r="L6" s="6" t="n">
        <v>4.3</v>
      </c>
      <c r="M6" s="6" t="n">
        <v>-12.7</v>
      </c>
      <c r="N6" s="6" t="n"/>
      <c r="O6" s="6" t="n"/>
      <c r="P6" s="6" t="n"/>
      <c r="Q6" s="6" t="n"/>
      <c r="R6" s="6" t="n"/>
    </row>
    <row r="7">
      <c r="A7" s="6" t="inlineStr">
        <is>
          <t>Change/(increase) in operating assets</t>
        </is>
      </c>
      <c r="B7" s="6" t="n">
        <v>-1145.9</v>
      </c>
      <c r="C7" s="6" t="n">
        <v>-439.9</v>
      </c>
      <c r="D7" s="6" t="n">
        <v>-519.2</v>
      </c>
      <c r="E7" s="6" t="n">
        <v>-389</v>
      </c>
      <c r="F7" s="6" t="n">
        <v>265</v>
      </c>
      <c r="G7" s="6" t="n">
        <v>-584.8</v>
      </c>
      <c r="H7" s="6" t="n">
        <v>-1327.7</v>
      </c>
      <c r="I7" s="6" t="n">
        <v>-1528.8</v>
      </c>
      <c r="J7" s="6" t="n"/>
      <c r="K7" s="6" t="n">
        <v>-1327.1</v>
      </c>
      <c r="L7" s="6" t="n">
        <v>-1310.3</v>
      </c>
      <c r="M7" s="6" t="n">
        <v>-1499.8</v>
      </c>
      <c r="N7" s="6" t="n"/>
      <c r="O7" s="6" t="n"/>
      <c r="P7" s="6" t="n"/>
      <c r="Q7" s="6" t="n"/>
      <c r="R7" s="6" t="n"/>
    </row>
    <row r="8">
      <c r="A8" s="6" t="inlineStr">
        <is>
          <t>Change/increase in operating liabilities</t>
        </is>
      </c>
      <c r="B8" s="6" t="n">
        <v>283.3</v>
      </c>
      <c r="C8" s="6" t="n">
        <v>992.8</v>
      </c>
      <c r="D8" s="6" t="n">
        <v>1539.6</v>
      </c>
      <c r="E8" s="6" t="n">
        <v>1526</v>
      </c>
      <c r="F8" s="6" t="n">
        <v>498.4</v>
      </c>
      <c r="G8" s="6" t="n">
        <v>2515.5</v>
      </c>
      <c r="H8" s="6" t="n">
        <v>1490.7</v>
      </c>
      <c r="I8" s="6" t="n">
        <v>1967</v>
      </c>
      <c r="J8" s="6" t="n"/>
      <c r="K8" s="6" t="n">
        <v>1223.9</v>
      </c>
      <c r="L8" s="6" t="n">
        <v>1279.7</v>
      </c>
      <c r="M8" s="6" t="n">
        <v>1264.7</v>
      </c>
      <c r="N8" s="6" t="n"/>
      <c r="O8" s="6" t="n"/>
      <c r="P8" s="6" t="n"/>
      <c r="Q8" s="6" t="n"/>
      <c r="R8" s="6" t="n"/>
    </row>
    <row r="9">
      <c r="A9" s="6" t="inlineStr">
        <is>
          <t>Interest received on intercompany loan (operating basis, FY2024-FY2025)</t>
        </is>
      </c>
      <c r="B9" s="6" t="n">
        <v>164.5</v>
      </c>
      <c r="C9" s="6" t="n">
        <v>135.8</v>
      </c>
      <c r="D9" s="6" t="n"/>
      <c r="E9" s="6" t="n"/>
      <c r="F9" s="6" t="n"/>
      <c r="G9" s="6" t="n"/>
      <c r="H9" s="6" t="n"/>
      <c r="I9" s="6" t="n"/>
      <c r="J9" s="6" t="n"/>
      <c r="K9" s="6" t="n"/>
      <c r="L9" s="6" t="n"/>
      <c r="M9" s="6" t="n"/>
      <c r="N9" s="6" t="n"/>
      <c r="O9" s="6" t="n"/>
      <c r="P9" s="6" t="n"/>
      <c r="Q9" s="6" t="n"/>
      <c r="R9" s="6" t="n"/>
    </row>
    <row r="10">
      <c r="A10" s="6" t="inlineStr">
        <is>
          <t>Interest paid on intercompany loan (operating basis, FY2024-FY2025)</t>
        </is>
      </c>
      <c r="B10" s="6" t="n">
        <v>-53.9</v>
      </c>
      <c r="C10" s="6" t="n">
        <v>-38</v>
      </c>
      <c r="D10" s="6" t="n"/>
      <c r="E10" s="6" t="n"/>
      <c r="F10" s="6" t="n"/>
      <c r="G10" s="6" t="n"/>
      <c r="H10" s="6" t="n"/>
      <c r="I10" s="6" t="n"/>
      <c r="J10" s="6" t="n"/>
      <c r="K10" s="6" t="n"/>
      <c r="L10" s="6" t="n"/>
      <c r="M10" s="6" t="n"/>
      <c r="N10" s="6" t="n"/>
      <c r="O10" s="6" t="n"/>
      <c r="P10" s="6" t="n"/>
      <c r="Q10" s="6" t="n"/>
      <c r="R10" s="6" t="n"/>
    </row>
    <row r="11">
      <c r="A11" s="6" t="inlineStr">
        <is>
          <t>Interest paid on subordinated notes (operating basis, FY2024-FY2025)</t>
        </is>
      </c>
      <c r="B11" s="6" t="n">
        <v>-7.9</v>
      </c>
      <c r="C11" s="6" t="n">
        <v>-6.4</v>
      </c>
      <c r="D11" s="6" t="n"/>
      <c r="E11" s="6" t="n"/>
      <c r="F11" s="6" t="n"/>
      <c r="G11" s="6" t="n"/>
      <c r="H11" s="6" t="n"/>
      <c r="I11" s="6" t="n"/>
      <c r="J11" s="6" t="n"/>
      <c r="K11" s="6" t="n"/>
      <c r="L11" s="6" t="n"/>
      <c r="M11" s="6" t="n"/>
      <c r="N11" s="6" t="n"/>
      <c r="O11" s="6" t="n"/>
      <c r="P11" s="6" t="n"/>
      <c r="Q11" s="6" t="n"/>
      <c r="R11" s="6" t="n"/>
    </row>
    <row r="12">
      <c r="A12" s="6" t="inlineStr">
        <is>
          <t>Interest received on debt securities (operating basis, FY2024-FY2025)</t>
        </is>
      </c>
      <c r="B12" s="6" t="n">
        <v>95.2</v>
      </c>
      <c r="C12" s="6" t="n">
        <v>86.3</v>
      </c>
      <c r="D12" s="6" t="n"/>
      <c r="E12" s="6" t="n"/>
      <c r="F12" s="6" t="n"/>
      <c r="G12" s="6" t="n"/>
      <c r="H12" s="6" t="n"/>
      <c r="I12" s="6" t="n"/>
      <c r="J12" s="6" t="n"/>
      <c r="K12" s="6" t="n"/>
      <c r="L12" s="6" t="n"/>
      <c r="M12" s="6" t="n"/>
      <c r="N12" s="6" t="n"/>
      <c r="O12" s="6" t="n"/>
      <c r="P12" s="6" t="n"/>
      <c r="Q12" s="6" t="n"/>
      <c r="R12" s="6" t="n"/>
    </row>
    <row r="13">
      <c r="A13" s="6" t="inlineStr">
        <is>
          <t>Proceeds from disposal of non-current assets held for sale (operating basis, FY2024-FY2025)</t>
        </is>
      </c>
      <c r="B13" s="6" t="n">
        <v>0</v>
      </c>
      <c r="C13" s="6" t="n">
        <v>32.8</v>
      </c>
      <c r="D13" s="6" t="n"/>
      <c r="E13" s="6" t="n"/>
      <c r="F13" s="6" t="n"/>
      <c r="G13" s="6" t="n"/>
      <c r="H13" s="6" t="n"/>
      <c r="I13" s="6" t="n"/>
      <c r="J13" s="6" t="n"/>
      <c r="K13" s="6" t="n"/>
      <c r="L13" s="6" t="n"/>
      <c r="M13" s="6" t="n"/>
      <c r="N13" s="6" t="n"/>
      <c r="O13" s="6" t="n"/>
      <c r="P13" s="6" t="n"/>
      <c r="Q13" s="6" t="n"/>
      <c r="R13" s="6" t="n"/>
    </row>
    <row r="14">
      <c r="A14" s="6" t="inlineStr">
        <is>
          <t>Income tax paid</t>
        </is>
      </c>
      <c r="B14" s="6" t="n">
        <v>-57.4</v>
      </c>
      <c r="C14" s="6" t="n">
        <v>-62.6</v>
      </c>
      <c r="D14" s="6" t="n">
        <v>-33.9</v>
      </c>
      <c r="E14" s="6" t="n">
        <v>-59.7</v>
      </c>
      <c r="F14" s="6" t="n">
        <v>-12</v>
      </c>
      <c r="G14" s="6" t="n">
        <v>-39.7</v>
      </c>
      <c r="H14" s="6" t="n">
        <v>-18.7</v>
      </c>
      <c r="I14" s="6" t="n">
        <v>-44.8</v>
      </c>
      <c r="J14" s="6" t="n"/>
      <c r="K14" s="6" t="n">
        <v>-31.5</v>
      </c>
      <c r="L14" s="6" t="n">
        <v>-20.2</v>
      </c>
      <c r="M14" s="6" t="n">
        <v>-9.699999999999999</v>
      </c>
      <c r="N14" s="6" t="n"/>
      <c r="O14" s="6" t="n"/>
      <c r="P14" s="6" t="n"/>
      <c r="Q14" s="6" t="n"/>
      <c r="R14" s="6" t="n"/>
    </row>
    <row r="15">
      <c r="A15" s="5" t="inlineStr">
        <is>
          <t>Net cash flows (used in)/generated from operating activities</t>
        </is>
      </c>
      <c r="B15" s="5" t="n">
        <v>-725</v>
      </c>
      <c r="C15" s="5" t="n">
        <v>730.1</v>
      </c>
      <c r="D15" s="5" t="n">
        <v>1108.5</v>
      </c>
      <c r="E15" s="5" t="n">
        <v>1215.7</v>
      </c>
      <c r="F15" s="5" t="n">
        <v>884.1</v>
      </c>
      <c r="G15" s="5" t="n">
        <v>2030.7</v>
      </c>
      <c r="H15" s="5" t="n">
        <v>296.7</v>
      </c>
      <c r="I15" s="5" t="n">
        <v>632.6</v>
      </c>
      <c r="J15" s="5" t="n"/>
      <c r="K15" s="5" t="n">
        <v>0</v>
      </c>
      <c r="L15" s="5" t="n">
        <v>49.3</v>
      </c>
      <c r="M15" s="5" t="n">
        <v>-205.7</v>
      </c>
      <c r="N15" s="5" t="n"/>
      <c r="O15" s="5" t="n"/>
      <c r="P15" s="5" t="n"/>
      <c r="Q15" s="5" t="n"/>
      <c r="R15" s="5" t="n"/>
    </row>
    <row r="16">
      <c r="A16" s="5" t="inlineStr">
        <is>
          <t>Investing activities</t>
        </is>
      </c>
      <c r="B16" s="6" t="n"/>
      <c r="C16" s="6" t="n"/>
      <c r="D16" s="6" t="n"/>
      <c r="E16" s="6" t="n"/>
      <c r="F16" s="6" t="n"/>
      <c r="G16" s="6" t="n"/>
      <c r="H16" s="6" t="n"/>
      <c r="I16" s="6" t="n"/>
      <c r="J16" s="6" t="n"/>
      <c r="K16" s="6" t="n"/>
      <c r="L16" s="6" t="n"/>
      <c r="M16" s="6" t="n"/>
      <c r="N16" s="6" t="n"/>
      <c r="O16" s="6" t="n"/>
      <c r="P16" s="6" t="n"/>
      <c r="Q16" s="6" t="n"/>
      <c r="R16" s="6" t="n"/>
    </row>
    <row r="17">
      <c r="A17" s="6" t="inlineStr">
        <is>
          <t>Purchase of debt securities</t>
        </is>
      </c>
      <c r="B17" s="6" t="n">
        <v>-1618.2</v>
      </c>
      <c r="C17" s="6" t="n">
        <v>-1184.9</v>
      </c>
      <c r="D17" s="6" t="n">
        <v>-358.2</v>
      </c>
      <c r="E17" s="6" t="n">
        <v>-723.4</v>
      </c>
      <c r="F17" s="6" t="n">
        <v>-444.6</v>
      </c>
      <c r="G17" s="6" t="n">
        <v>-1085.2</v>
      </c>
      <c r="H17" s="6" t="n">
        <v>-810.7</v>
      </c>
      <c r="I17" s="6" t="n">
        <v>-703.7</v>
      </c>
      <c r="J17" s="6" t="n"/>
      <c r="K17" s="6" t="n">
        <v>-298.4</v>
      </c>
      <c r="L17" s="6" t="n">
        <v>-414</v>
      </c>
      <c r="M17" s="6" t="n">
        <v>-564.6</v>
      </c>
      <c r="N17" s="6" t="n"/>
      <c r="O17" s="6" t="n"/>
      <c r="P17" s="6" t="n"/>
      <c r="Q17" s="6" t="n"/>
      <c r="R17" s="6" t="n"/>
    </row>
    <row r="18">
      <c r="A18" s="6" t="inlineStr">
        <is>
          <t>Proceeds from sale and/or maturity of debt securities</t>
        </is>
      </c>
      <c r="B18" s="6" t="n">
        <v>1278.3</v>
      </c>
      <c r="C18" s="6" t="n">
        <v>421.2</v>
      </c>
      <c r="D18" s="6" t="n">
        <v>299.3</v>
      </c>
      <c r="E18" s="6" t="n">
        <v>159.6</v>
      </c>
      <c r="F18" s="6" t="n">
        <v>333.1</v>
      </c>
      <c r="G18" s="6" t="n">
        <v>281.4</v>
      </c>
      <c r="H18" s="6" t="n">
        <v>386.5</v>
      </c>
      <c r="I18" s="6" t="n">
        <v>316</v>
      </c>
      <c r="J18" s="6" t="n"/>
      <c r="K18" s="6" t="n">
        <v>161.7</v>
      </c>
      <c r="L18" s="6" t="n">
        <v>279</v>
      </c>
      <c r="M18" s="6" t="n">
        <v>346.2</v>
      </c>
      <c r="N18" s="6" t="n"/>
      <c r="O18" s="6" t="n"/>
      <c r="P18" s="6" t="n"/>
      <c r="Q18" s="6" t="n"/>
      <c r="R18" s="6" t="n"/>
    </row>
    <row r="19">
      <c r="A19" s="6" t="inlineStr">
        <is>
          <t>Capital repayments of debt securities</t>
        </is>
      </c>
      <c r="B19" s="6" t="n">
        <v>81.40000000000001</v>
      </c>
      <c r="C19" s="6" t="n">
        <v>367.2</v>
      </c>
      <c r="D19" s="6" t="n">
        <v>351.3</v>
      </c>
      <c r="E19" s="6" t="n">
        <v>223.3</v>
      </c>
      <c r="F19" s="6" t="n">
        <v>61.4</v>
      </c>
      <c r="G19" s="6" t="n">
        <v>89.7</v>
      </c>
      <c r="H19" s="6" t="n">
        <v>53.8</v>
      </c>
      <c r="I19" s="6" t="n">
        <v>250.8</v>
      </c>
      <c r="J19" s="6" t="n"/>
      <c r="K19" s="6" t="n">
        <v>87.5</v>
      </c>
      <c r="L19" s="6" t="n">
        <v>32.9</v>
      </c>
      <c r="M19" s="6" t="n">
        <v>48.2</v>
      </c>
      <c r="N19" s="6" t="n"/>
      <c r="O19" s="6" t="n"/>
      <c r="P19" s="6" t="n"/>
      <c r="Q19" s="6" t="n"/>
      <c r="R19" s="6" t="n"/>
    </row>
    <row r="20">
      <c r="A20" s="6" t="inlineStr">
        <is>
          <t>Interest received on debt securities (investing basis, FY2021-FY2023)</t>
        </is>
      </c>
      <c r="B20" s="6" t="n"/>
      <c r="C20" s="6" t="n"/>
      <c r="D20" s="6" t="n">
        <v>15.2</v>
      </c>
      <c r="E20" s="6" t="n">
        <v>7.6</v>
      </c>
      <c r="F20" s="6" t="n">
        <v>6.8</v>
      </c>
      <c r="G20" s="6" t="n"/>
      <c r="H20" s="6" t="n"/>
      <c r="I20" s="6" t="n"/>
      <c r="J20" s="6" t="n"/>
      <c r="K20" s="6" t="n"/>
      <c r="L20" s="6" t="n"/>
      <c r="M20" s="6" t="n"/>
      <c r="N20" s="6" t="n"/>
      <c r="O20" s="6" t="n"/>
      <c r="P20" s="6" t="n"/>
      <c r="Q20" s="6" t="n"/>
      <c r="R20" s="6" t="n"/>
    </row>
    <row r="21">
      <c r="A21" s="6" t="inlineStr">
        <is>
          <t>Interest received on debt securities (investing basis, FY2014-FY2020)</t>
        </is>
      </c>
      <c r="B21" s="6" t="n"/>
      <c r="C21" s="6" t="n"/>
      <c r="D21" s="6" t="n"/>
      <c r="E21" s="6" t="n"/>
      <c r="F21" s="6" t="n"/>
      <c r="G21" s="6" t="n">
        <v>8.5</v>
      </c>
      <c r="H21" s="6" t="n">
        <v>15</v>
      </c>
      <c r="I21" s="6" t="n">
        <v>15.5</v>
      </c>
      <c r="J21" s="6" t="n"/>
      <c r="K21" s="6" t="n">
        <v>13.1</v>
      </c>
      <c r="L21" s="6" t="n">
        <v>10.5</v>
      </c>
      <c r="M21" s="6" t="n">
        <v>11.2</v>
      </c>
      <c r="N21" s="6" t="n"/>
      <c r="O21" s="6" t="n"/>
      <c r="P21" s="6" t="n"/>
      <c r="Q21" s="6" t="n"/>
      <c r="R21" s="6" t="n"/>
    </row>
    <row r="22">
      <c r="A22" s="6" t="inlineStr">
        <is>
          <t>Purchase of property, plant and equipment and intangible assets</t>
        </is>
      </c>
      <c r="B22" s="6" t="n">
        <v>-1</v>
      </c>
      <c r="C22" s="6" t="n">
        <v>-5.1</v>
      </c>
      <c r="D22" s="6" t="n">
        <v>-1</v>
      </c>
      <c r="E22" s="6" t="n">
        <v>-1.9</v>
      </c>
      <c r="F22" s="6" t="n">
        <v>-11.7</v>
      </c>
      <c r="G22" s="6" t="n">
        <v>-6</v>
      </c>
      <c r="H22" s="6" t="n">
        <v>-2.3</v>
      </c>
      <c r="I22" s="6" t="n">
        <v>-11.6</v>
      </c>
      <c r="J22" s="6" t="n"/>
      <c r="K22" s="6" t="n">
        <v>-11.2</v>
      </c>
      <c r="L22" s="6" t="n">
        <v>-7.3</v>
      </c>
      <c r="M22" s="6" t="n">
        <v>-5.4</v>
      </c>
      <c r="N22" s="6" t="n"/>
      <c r="O22" s="6" t="n"/>
      <c r="P22" s="6" t="n"/>
      <c r="Q22" s="6" t="n"/>
      <c r="R22" s="6" t="n"/>
    </row>
    <row r="23">
      <c r="A23" s="5" t="inlineStr">
        <is>
          <t>Net cash flows (used in)/generated from investing activities</t>
        </is>
      </c>
      <c r="B23" s="5" t="n">
        <v>-259.5</v>
      </c>
      <c r="C23" s="5" t="n">
        <v>-401.6</v>
      </c>
      <c r="D23" s="5" t="n">
        <v>306.5</v>
      </c>
      <c r="E23" s="5" t="n">
        <v>-334.8</v>
      </c>
      <c r="F23" s="5" t="n">
        <v>-55</v>
      </c>
      <c r="G23" s="5" t="n">
        <v>-711.6</v>
      </c>
      <c r="H23" s="5" t="n">
        <v>-357.7</v>
      </c>
      <c r="I23" s="5" t="n">
        <v>-133</v>
      </c>
      <c r="J23" s="5" t="n"/>
      <c r="K23" s="5" t="n">
        <v>-47.3</v>
      </c>
      <c r="L23" s="5" t="n">
        <v>-98.90000000000001</v>
      </c>
      <c r="M23" s="5" t="n">
        <v>-164.4</v>
      </c>
      <c r="N23" s="5" t="n"/>
      <c r="O23" s="5" t="n"/>
      <c r="P23" s="5" t="n"/>
      <c r="Q23" s="5" t="n"/>
      <c r="R23" s="5" t="n"/>
    </row>
    <row r="24">
      <c r="A24" s="5" t="inlineStr">
        <is>
          <t>Financing activities</t>
        </is>
      </c>
      <c r="B24" s="6" t="n"/>
      <c r="C24" s="6" t="n"/>
      <c r="D24" s="6" t="n"/>
      <c r="E24" s="6" t="n"/>
      <c r="F24" s="6" t="n"/>
      <c r="G24" s="6" t="n"/>
      <c r="H24" s="6" t="n"/>
      <c r="I24" s="6" t="n"/>
      <c r="J24" s="6" t="n"/>
      <c r="K24" s="6" t="n"/>
      <c r="L24" s="6" t="n"/>
      <c r="M24" s="6" t="n"/>
      <c r="N24" s="6" t="n"/>
      <c r="O24" s="6" t="n"/>
      <c r="P24" s="6" t="n"/>
      <c r="Q24" s="6" t="n"/>
      <c r="R24" s="6" t="n"/>
    </row>
    <row r="25">
      <c r="A25" s="6" t="inlineStr">
        <is>
          <t>Repayment of subordinated debt</t>
        </is>
      </c>
      <c r="B25" s="6" t="n"/>
      <c r="C25" s="6" t="n">
        <v>-100</v>
      </c>
      <c r="D25" s="6" t="n"/>
      <c r="E25" s="6" t="n">
        <v>-60</v>
      </c>
      <c r="F25" s="6" t="n"/>
      <c r="G25" s="6" t="n"/>
      <c r="H25" s="6" t="n"/>
      <c r="I25" s="6" t="n">
        <v>-40</v>
      </c>
      <c r="J25" s="6" t="n"/>
      <c r="K25" s="6" t="n"/>
      <c r="L25" s="6" t="n"/>
      <c r="M25" s="6" t="n"/>
      <c r="N25" s="6" t="n"/>
      <c r="O25" s="6" t="n"/>
      <c r="P25" s="6" t="n"/>
      <c r="Q25" s="6" t="n"/>
      <c r="R25" s="6" t="n"/>
    </row>
    <row r="26">
      <c r="A26" s="6" t="inlineStr">
        <is>
          <t>Proceeds from issue of subordinated debt</t>
        </is>
      </c>
      <c r="B26" s="6" t="n"/>
      <c r="C26" s="6" t="n">
        <v>100</v>
      </c>
      <c r="D26" s="6" t="n"/>
      <c r="E26" s="6" t="n"/>
      <c r="F26" s="6" t="n"/>
      <c r="G26" s="6" t="n"/>
      <c r="H26" s="6" t="n">
        <v>100</v>
      </c>
      <c r="I26" s="6" t="n"/>
      <c r="J26" s="6" t="n"/>
      <c r="K26" s="6" t="n">
        <v>60</v>
      </c>
      <c r="L26" s="6" t="n"/>
      <c r="M26" s="6" t="n"/>
      <c r="N26" s="6" t="n"/>
      <c r="O26" s="6" t="n"/>
      <c r="P26" s="6" t="n"/>
      <c r="Q26" s="6" t="n"/>
      <c r="R26" s="6" t="n"/>
    </row>
    <row r="27">
      <c r="A27" s="6" t="inlineStr">
        <is>
          <t>Issue costs of subordinated debt</t>
        </is>
      </c>
      <c r="B27" s="6" t="n"/>
      <c r="C27" s="6" t="n"/>
      <c r="D27" s="6" t="n"/>
      <c r="E27" s="6" t="n"/>
      <c r="F27" s="6" t="n"/>
      <c r="G27" s="6" t="n"/>
      <c r="H27" s="6" t="n"/>
      <c r="I27" s="6" t="n"/>
      <c r="J27" s="6" t="n"/>
      <c r="K27" s="6" t="n">
        <v>-0.6</v>
      </c>
      <c r="L27" s="6" t="n"/>
      <c r="M27" s="6" t="n"/>
      <c r="N27" s="6" t="n"/>
      <c r="O27" s="6" t="n"/>
      <c r="P27" s="6" t="n"/>
      <c r="Q27" s="6" t="n"/>
      <c r="R27" s="6" t="n"/>
    </row>
    <row r="28">
      <c r="A28" s="6" t="inlineStr">
        <is>
          <t>Redemption of Additional Tier 1 Capital</t>
        </is>
      </c>
      <c r="B28" s="6" t="n">
        <v>-61</v>
      </c>
      <c r="C28" s="6" t="n"/>
      <c r="D28" s="6" t="n"/>
      <c r="E28" s="6" t="n"/>
      <c r="F28" s="6" t="n"/>
      <c r="G28" s="6" t="n">
        <v>-74.3</v>
      </c>
      <c r="H28" s="6" t="n"/>
      <c r="I28" s="6" t="n"/>
      <c r="J28" s="6" t="n"/>
      <c r="K28" s="6" t="n"/>
      <c r="L28" s="6" t="n"/>
      <c r="M28" s="6" t="n"/>
      <c r="N28" s="6" t="n"/>
      <c r="O28" s="6" t="n"/>
      <c r="P28" s="6" t="n"/>
      <c r="Q28" s="6" t="n"/>
      <c r="R28" s="6" t="n"/>
    </row>
    <row r="29">
      <c r="A29" s="6" t="inlineStr">
        <is>
          <t>Issuance of Additional Tier 1 Capital</t>
        </is>
      </c>
      <c r="B29" s="6" t="n">
        <v>50</v>
      </c>
      <c r="C29" s="6" t="n"/>
      <c r="D29" s="6" t="n"/>
      <c r="E29" s="6" t="n"/>
      <c r="F29" s="6" t="n"/>
      <c r="G29" s="6" t="n">
        <v>61</v>
      </c>
      <c r="H29" s="6" t="n"/>
      <c r="I29" s="6" t="n"/>
      <c r="J29" s="6" t="n"/>
      <c r="K29" s="6" t="n"/>
      <c r="L29" s="6" t="n"/>
      <c r="M29" s="6" t="n"/>
      <c r="N29" s="6" t="n"/>
      <c r="O29" s="6" t="n"/>
      <c r="P29" s="6" t="n"/>
      <c r="Q29" s="6" t="n"/>
      <c r="R29" s="6" t="n"/>
    </row>
    <row r="30">
      <c r="A30" s="6" t="inlineStr">
        <is>
          <t>Proceeds from Additional Tier 1 perpetual loan</t>
        </is>
      </c>
      <c r="B30" s="6" t="n"/>
      <c r="C30" s="6" t="n"/>
      <c r="D30" s="6" t="n"/>
      <c r="E30" s="6" t="n"/>
      <c r="F30" s="6" t="n"/>
      <c r="G30" s="6" t="n"/>
      <c r="H30" s="6" t="n"/>
      <c r="I30" s="6" t="n"/>
      <c r="J30" s="6" t="n"/>
      <c r="K30" s="6" t="n"/>
      <c r="L30" s="6" t="n"/>
      <c r="M30" s="6" t="n">
        <v>74.3</v>
      </c>
      <c r="N30" s="6" t="n"/>
      <c r="O30" s="6" t="n"/>
      <c r="P30" s="6" t="n"/>
      <c r="Q30" s="6" t="n"/>
      <c r="R30" s="6" t="n"/>
    </row>
    <row r="31">
      <c r="A31" s="6" t="inlineStr">
        <is>
          <t>Capital repayments on debt securities issued</t>
        </is>
      </c>
      <c r="B31" s="6" t="n"/>
      <c r="C31" s="6" t="n"/>
      <c r="D31" s="6" t="n">
        <v>0.4</v>
      </c>
      <c r="E31" s="6" t="n"/>
      <c r="F31" s="6" t="n"/>
      <c r="G31" s="6" t="n"/>
      <c r="H31" s="6" t="n"/>
      <c r="I31" s="6" t="n"/>
      <c r="J31" s="6" t="n"/>
      <c r="K31" s="6" t="n"/>
      <c r="L31" s="6" t="n"/>
      <c r="M31" s="6" t="n"/>
      <c r="N31" s="6" t="n"/>
      <c r="O31" s="6" t="n"/>
      <c r="P31" s="6" t="n"/>
      <c r="Q31" s="6" t="n"/>
      <c r="R31" s="6" t="n"/>
    </row>
    <row r="32">
      <c r="A32" s="6" t="inlineStr">
        <is>
          <t>Proceeds from issue of shares — Aldermore Group PLC initial public offering</t>
        </is>
      </c>
      <c r="B32" s="6" t="n"/>
      <c r="C32" s="6" t="n"/>
      <c r="D32" s="6" t="n"/>
      <c r="E32" s="6" t="n"/>
      <c r="F32" s="6" t="n"/>
      <c r="G32" s="6" t="n"/>
      <c r="H32" s="6" t="n"/>
      <c r="I32" s="6" t="n"/>
      <c r="J32" s="6" t="n"/>
      <c r="K32" s="6" t="n"/>
      <c r="L32" s="6" t="n">
        <v>68.59999999999999</v>
      </c>
      <c r="M32" s="6" t="n"/>
      <c r="N32" s="6" t="n"/>
      <c r="O32" s="6" t="n"/>
      <c r="P32" s="6" t="n"/>
      <c r="Q32" s="6" t="n"/>
      <c r="R32" s="6" t="n"/>
    </row>
    <row r="33">
      <c r="A33" s="6" t="inlineStr">
        <is>
          <t>Proceeds from shares issued — exercise of warrants in Aldermore Group PLC</t>
        </is>
      </c>
      <c r="B33" s="6" t="n"/>
      <c r="C33" s="6" t="n"/>
      <c r="D33" s="6" t="n"/>
      <c r="E33" s="6" t="n"/>
      <c r="F33" s="6" t="n"/>
      <c r="G33" s="6" t="n"/>
      <c r="H33" s="6" t="n"/>
      <c r="I33" s="6" t="n"/>
      <c r="J33" s="6" t="n"/>
      <c r="K33" s="6" t="n"/>
      <c r="L33" s="6" t="n">
        <v>5.6</v>
      </c>
      <c r="M33" s="6" t="n"/>
      <c r="N33" s="6" t="n"/>
      <c r="O33" s="6" t="n"/>
      <c r="P33" s="6" t="n"/>
      <c r="Q33" s="6" t="n"/>
      <c r="R33" s="6" t="n"/>
    </row>
    <row r="34">
      <c r="A34" s="6" t="inlineStr">
        <is>
          <t>Amounts paid on new intercompany loan</t>
        </is>
      </c>
      <c r="B34" s="6" t="n"/>
      <c r="C34" s="6" t="n"/>
      <c r="D34" s="6" t="n">
        <v>-394.3</v>
      </c>
      <c r="E34" s="6" t="n">
        <v>-694.4</v>
      </c>
      <c r="F34" s="6" t="n">
        <v>-686.2</v>
      </c>
      <c r="G34" s="6" t="n">
        <v>-1222.3</v>
      </c>
      <c r="H34" s="6" t="n">
        <v>-369.2</v>
      </c>
      <c r="I34" s="6" t="n">
        <v>-20.4</v>
      </c>
      <c r="J34" s="6" t="n"/>
      <c r="K34" s="6" t="n"/>
      <c r="L34" s="6" t="n"/>
      <c r="M34" s="6" t="n"/>
      <c r="N34" s="6" t="n"/>
      <c r="O34" s="6" t="n"/>
      <c r="P34" s="6" t="n"/>
      <c r="Q34" s="6" t="n"/>
      <c r="R34" s="6" t="n"/>
    </row>
    <row r="35">
      <c r="A35" s="6" t="inlineStr">
        <is>
          <t>Interest received on intercompany loan (financing basis, FY2021-FY2023)</t>
        </is>
      </c>
      <c r="B35" s="6" t="n"/>
      <c r="C35" s="6" t="n"/>
      <c r="D35" s="6" t="n">
        <v>68</v>
      </c>
      <c r="E35" s="6" t="n">
        <v>30.3</v>
      </c>
      <c r="F35" s="6" t="n">
        <v>20.1</v>
      </c>
      <c r="G35" s="6" t="n"/>
      <c r="H35" s="6" t="n"/>
      <c r="I35" s="6" t="n"/>
      <c r="J35" s="6" t="n"/>
      <c r="K35" s="6" t="n"/>
      <c r="L35" s="6" t="n"/>
      <c r="M35" s="6" t="n"/>
      <c r="N35" s="6" t="n"/>
      <c r="O35" s="6" t="n"/>
      <c r="P35" s="6" t="n"/>
      <c r="Q35" s="6" t="n"/>
      <c r="R35" s="6" t="n"/>
    </row>
    <row r="36">
      <c r="A36" s="6" t="inlineStr">
        <is>
          <t>Interest received on intercompany loan (financing basis, FY2019-FY2020)</t>
        </is>
      </c>
      <c r="B36" s="6" t="n"/>
      <c r="C36" s="6" t="n"/>
      <c r="D36" s="6" t="n"/>
      <c r="E36" s="6" t="n"/>
      <c r="F36" s="6" t="n"/>
      <c r="G36" s="6" t="n">
        <v>13.6</v>
      </c>
      <c r="H36" s="6" t="n">
        <v>0.1</v>
      </c>
      <c r="I36" s="6" t="n"/>
      <c r="J36" s="6" t="n"/>
      <c r="K36" s="6" t="n"/>
      <c r="L36" s="6" t="n"/>
      <c r="M36" s="6" t="n"/>
      <c r="N36" s="6" t="n"/>
      <c r="O36" s="6" t="n"/>
      <c r="P36" s="6" t="n"/>
      <c r="Q36" s="6" t="n"/>
      <c r="R36" s="6" t="n"/>
    </row>
    <row r="37">
      <c r="A37" s="6" t="inlineStr">
        <is>
          <t>Interest paid on intercompany deposit (FY2019-FY2020)</t>
        </is>
      </c>
      <c r="B37" s="6" t="n"/>
      <c r="C37" s="6" t="n"/>
      <c r="D37" s="6" t="n"/>
      <c r="E37" s="6" t="n"/>
      <c r="F37" s="6" t="n"/>
      <c r="G37" s="6" t="n">
        <v>-0.2</v>
      </c>
      <c r="H37" s="6" t="n">
        <v>-0.1</v>
      </c>
      <c r="I37" s="6" t="n"/>
      <c r="J37" s="6" t="n"/>
      <c r="K37" s="6" t="n"/>
      <c r="L37" s="6" t="n"/>
      <c r="M37" s="6" t="n"/>
      <c r="N37" s="6" t="n"/>
      <c r="O37" s="6" t="n"/>
      <c r="P37" s="6" t="n"/>
      <c r="Q37" s="6" t="n"/>
      <c r="R37" s="6" t="n"/>
    </row>
    <row r="38">
      <c r="A38" s="6" t="inlineStr">
        <is>
          <t>Deposit placed by related Group companies</t>
        </is>
      </c>
      <c r="B38" s="6" t="n"/>
      <c r="C38" s="6" t="n"/>
      <c r="D38" s="6" t="n"/>
      <c r="E38" s="6" t="n"/>
      <c r="F38" s="6" t="n">
        <v>-12.3</v>
      </c>
      <c r="G38" s="6" t="n">
        <v>-37.4</v>
      </c>
      <c r="H38" s="6" t="n">
        <v>311.3</v>
      </c>
      <c r="I38" s="6" t="n"/>
      <c r="J38" s="6" t="n"/>
      <c r="K38" s="6" t="n"/>
      <c r="L38" s="6" t="n"/>
      <c r="M38" s="6" t="n"/>
      <c r="N38" s="6" t="n"/>
      <c r="O38" s="6" t="n"/>
      <c r="P38" s="6" t="n"/>
      <c r="Q38" s="6" t="n"/>
      <c r="R38" s="6" t="n"/>
    </row>
    <row r="39">
      <c r="A39" s="6" t="inlineStr">
        <is>
          <t>Coupons paid on Additional Tier 1 capital</t>
        </is>
      </c>
      <c r="B39" s="6" t="n">
        <v>-5.1</v>
      </c>
      <c r="C39" s="6" t="n">
        <v>-5.3</v>
      </c>
      <c r="D39" s="6" t="n">
        <v>-5.2</v>
      </c>
      <c r="E39" s="6" t="n">
        <v>-5.2</v>
      </c>
      <c r="F39" s="6" t="n">
        <v>-5.2</v>
      </c>
      <c r="G39" s="6" t="n">
        <v>-8.9</v>
      </c>
      <c r="H39" s="6" t="n">
        <v>-8.9</v>
      </c>
      <c r="I39" s="6" t="n">
        <v>-17.8</v>
      </c>
      <c r="J39" s="6" t="n"/>
      <c r="K39" s="6" t="n">
        <v>-8.9</v>
      </c>
      <c r="L39" s="6" t="n">
        <v>-3.5</v>
      </c>
      <c r="M39" s="6" t="n"/>
      <c r="N39" s="6" t="n"/>
      <c r="O39" s="6" t="n"/>
      <c r="P39" s="6" t="n"/>
      <c r="Q39" s="6" t="n"/>
      <c r="R39" s="6" t="n"/>
    </row>
    <row r="40">
      <c r="A40" s="6" t="inlineStr">
        <is>
          <t>Interest paid on subordinated notes (financing basis)</t>
        </is>
      </c>
      <c r="B40" s="6" t="n"/>
      <c r="C40" s="6" t="n"/>
      <c r="D40" s="6" t="n"/>
      <c r="E40" s="6" t="n">
        <v>-7.4</v>
      </c>
      <c r="F40" s="6" t="n">
        <v>-9.9</v>
      </c>
      <c r="G40" s="6" t="n">
        <v>-9.9</v>
      </c>
      <c r="H40" s="6" t="n">
        <v>-7.5</v>
      </c>
      <c r="I40" s="6" t="n">
        <v>-10.2</v>
      </c>
      <c r="J40" s="6" t="n"/>
      <c r="K40" s="6" t="n">
        <v>-5.2</v>
      </c>
      <c r="L40" s="6" t="n">
        <v>-5.2</v>
      </c>
      <c r="M40" s="6" t="n">
        <v>-5.2</v>
      </c>
      <c r="N40" s="6" t="n"/>
      <c r="O40" s="6" t="n"/>
      <c r="P40" s="6" t="n"/>
      <c r="Q40" s="6" t="n"/>
      <c r="R40" s="6" t="n"/>
    </row>
    <row r="41">
      <c r="A41" s="6" t="inlineStr">
        <is>
          <t>Repayment of lease liabilities - principal</t>
        </is>
      </c>
      <c r="B41" s="6" t="n">
        <v>-2.3</v>
      </c>
      <c r="C41" s="6" t="n">
        <v>-3</v>
      </c>
      <c r="D41" s="6" t="n"/>
      <c r="E41" s="6" t="n">
        <v>-2.8</v>
      </c>
      <c r="F41" s="6" t="n">
        <v>-4</v>
      </c>
      <c r="G41" s="6" t="n">
        <v>-1.9</v>
      </c>
      <c r="H41" s="6" t="n"/>
      <c r="I41" s="6" t="n"/>
      <c r="J41" s="6" t="n"/>
      <c r="K41" s="6" t="n"/>
      <c r="L41" s="6" t="n"/>
      <c r="M41" s="6" t="n"/>
      <c r="N41" s="6" t="n"/>
      <c r="O41" s="6" t="n"/>
      <c r="P41" s="6" t="n"/>
      <c r="Q41" s="6" t="n"/>
      <c r="R41" s="6" t="n"/>
    </row>
    <row r="42">
      <c r="A42" s="6" t="inlineStr">
        <is>
          <t>Interest paid on lease liabilities</t>
        </is>
      </c>
      <c r="B42" s="6" t="n"/>
      <c r="C42" s="6" t="n"/>
      <c r="D42" s="6" t="n">
        <v>-0.1</v>
      </c>
      <c r="E42" s="6" t="n">
        <v>-0.1</v>
      </c>
      <c r="F42" s="6" t="n">
        <v>-0.2</v>
      </c>
      <c r="G42" s="6" t="n">
        <v>-0.2</v>
      </c>
      <c r="H42" s="6" t="n"/>
      <c r="I42" s="6" t="n"/>
      <c r="J42" s="6" t="n"/>
      <c r="K42" s="6" t="n"/>
      <c r="L42" s="6" t="n"/>
      <c r="M42" s="6" t="n"/>
      <c r="N42" s="6" t="n"/>
      <c r="O42" s="6" t="n"/>
      <c r="P42" s="6" t="n"/>
      <c r="Q42" s="6" t="n"/>
      <c r="R42" s="6" t="n"/>
    </row>
    <row r="43">
      <c r="A43" s="5" t="inlineStr">
        <is>
          <t>Net cash generated/(used in) financing activities</t>
        </is>
      </c>
      <c r="B43" s="5" t="n">
        <v>-18.4</v>
      </c>
      <c r="C43" s="5" t="n">
        <v>-8.300000000000001</v>
      </c>
      <c r="D43" s="5" t="n">
        <v>-331.2</v>
      </c>
      <c r="E43" s="5" t="n">
        <v>-739.7</v>
      </c>
      <c r="F43" s="5" t="n">
        <v>-697.7</v>
      </c>
      <c r="G43" s="5" t="n">
        <v>-1280.5</v>
      </c>
      <c r="H43" s="5" t="n">
        <v>25.7</v>
      </c>
      <c r="I43" s="5" t="n">
        <v>-88.40000000000001</v>
      </c>
      <c r="J43" s="5" t="n"/>
      <c r="K43" s="5" t="n">
        <v>45.3</v>
      </c>
      <c r="L43" s="5" t="n">
        <v>65.5</v>
      </c>
      <c r="M43" s="5" t="n">
        <v>69.09999999999999</v>
      </c>
      <c r="N43" s="5" t="n"/>
      <c r="O43" s="5" t="n"/>
      <c r="P43" s="5" t="n"/>
      <c r="Q43" s="5" t="n"/>
      <c r="R43" s="5" t="n"/>
    </row>
    <row r="44">
      <c r="A44" s="5" t="inlineStr">
        <is>
          <t>Net (decrease)/increase in cash and cash equivalents</t>
        </is>
      </c>
      <c r="B44" s="5" t="n">
        <v>-1002.9</v>
      </c>
      <c r="C44" s="5" t="n">
        <v>320.2</v>
      </c>
      <c r="D44" s="5" t="n">
        <v>1083.8</v>
      </c>
      <c r="E44" s="5" t="n">
        <v>141.2</v>
      </c>
      <c r="F44" s="5" t="n">
        <v>131.4</v>
      </c>
      <c r="G44" s="5" t="n">
        <v>38.6</v>
      </c>
      <c r="H44" s="5" t="n">
        <v>-35.3</v>
      </c>
      <c r="I44" s="5" t="n">
        <v>411.2</v>
      </c>
      <c r="J44" s="5" t="n"/>
      <c r="K44" s="5" t="n">
        <v>-2</v>
      </c>
      <c r="L44" s="5" t="n">
        <v>15.9</v>
      </c>
      <c r="M44" s="5" t="n">
        <v>-301</v>
      </c>
      <c r="N44" s="5" t="n"/>
      <c r="O44" s="5" t="n"/>
      <c r="P44" s="5" t="n"/>
      <c r="Q44" s="5" t="n"/>
      <c r="R44" s="5" t="n"/>
    </row>
    <row r="45">
      <c r="A45" s="6" t="inlineStr">
        <is>
          <t>Cash and cash equivalents at start of the period</t>
        </is>
      </c>
      <c r="B45" s="6" t="n">
        <v>2219.6</v>
      </c>
      <c r="C45" s="6" t="n">
        <v>1899.4</v>
      </c>
      <c r="D45" s="6" t="n">
        <v>815.1</v>
      </c>
      <c r="E45" s="6" t="n">
        <v>674</v>
      </c>
      <c r="F45" s="6" t="n">
        <v>542.6</v>
      </c>
      <c r="G45" s="6" t="n">
        <v>504</v>
      </c>
      <c r="H45" s="6" t="n">
        <v>539.3</v>
      </c>
      <c r="I45" s="6" t="n">
        <v>128.1</v>
      </c>
      <c r="J45" s="6" t="n"/>
      <c r="K45" s="6" t="n">
        <v>130.1</v>
      </c>
      <c r="L45" s="6" t="n">
        <v>114.2</v>
      </c>
      <c r="M45" s="6" t="n">
        <v>415.2</v>
      </c>
      <c r="N45" s="6" t="n"/>
      <c r="O45" s="6" t="n"/>
      <c r="P45" s="6" t="n"/>
      <c r="Q45" s="6" t="n"/>
      <c r="R45" s="6" t="n"/>
    </row>
    <row r="46">
      <c r="A46" s="5" t="inlineStr">
        <is>
          <t>Cash and cash equivalents at end of the period</t>
        </is>
      </c>
      <c r="B46" s="5" t="n">
        <v>1216.7</v>
      </c>
      <c r="C46" s="5" t="n">
        <v>2219.6</v>
      </c>
      <c r="D46" s="5" t="n">
        <v>1899.4</v>
      </c>
      <c r="E46" s="5" t="n">
        <v>815.2</v>
      </c>
      <c r="F46" s="5" t="n">
        <v>674</v>
      </c>
      <c r="G46" s="5" t="n">
        <v>542.6</v>
      </c>
      <c r="H46" s="5" t="n">
        <v>504</v>
      </c>
      <c r="I46" s="5" t="n">
        <v>539.3</v>
      </c>
      <c r="J46" s="5" t="n"/>
      <c r="K46" s="5" t="n">
        <v>128.1</v>
      </c>
      <c r="L46" s="5" t="n">
        <v>130.1</v>
      </c>
      <c r="M46" s="5" t="n">
        <v>114.2</v>
      </c>
      <c r="N46" s="5" t="n"/>
      <c r="O46" s="5" t="n"/>
      <c r="P46" s="5" t="n"/>
      <c r="Q46" s="5" t="n"/>
      <c r="R46" s="5" t="n"/>
    </row>
    <row r="48" ht="140" customHeight="1">
      <c r="A48"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FY2020: Full accounts for the year ended 30 June 2020, filed 13 Nov 2020, p.62 — https://find-and-update.company-information.service.gov.uk/company/00947662/filing-history/MzI4MzMzMzM4OGFkaXF6a2N4/document?format=pdf&amp;download=0
FY2019 &amp; FY2018 (18-month period ended 30 Jun 2018): Full accounts for the year ended 30 June 2019, filed 22 Nov 2019, p.51 — https://find-and-update.company-information.service.gov.uk/company/00947662/filing-history/MzI0OTY0MTQwMWFkaXF6a2N4/document?format=pdf&amp;download=0
FY2016 &amp; FY2015: Full accounts for the year ended 31 December 2016, filed 11 May 2017, p.28 — https://find-and-update.company-information.service.gov.uk/company/00947662/filing-history/MzE3NTQ0MTgwOGFkaXF6a2N4/document?format=pdf&amp;download=0
FY2014: Full accounts for the year ended 31 December 2015, filed 23 May 2016, p.78 (FY2014 comparative) — https://find-and-update.company-information.service.gov.uk/company/00947662/filing-history/MzE0OTEzMjU1M2FkaXF6a2N4/document?format=pdf&amp;download=0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FY2017 has no standalone 12-month cash flow statement (see YEARS comment above); FY2018's column is an 18-month period (1 Jan 2017 - 30 Jun 2018), not a 12-month year, so its flows are roughly 1.5x a normal year's and are not directly comparable to the years either side of it without adjusting for the extra 6 months.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
HD-073 (2026-09-06): checked for FY2009-FY2013 (the Balance Sheet/P&amp;L/Equity sheets' new floor) - no Cash Flow Statement exists in the Bank's FY2009-FY2013 statutory accounts at all. UK banking companies were exempt from FRS 1 (Cash Flow Statements) under the old UK GAAP framework these years were prepared under (confirmed directly against the accounts' own contents pages and full text - no such statement is listed or present in any of the 5 years' filings). This sheet is left with no FY2009-FY2013 columns at all: a genuine whole-sheet, multi-year self-skip, not a missed document.</t>
        </is>
      </c>
    </row>
  </sheetData>
  <mergeCells count="1">
    <mergeCell ref="A48:R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5" t="inlineStr">
        <is>
          <t>Gross loans and advances to customers, by product (excl. Property Development commitments)</t>
        </is>
      </c>
      <c r="B4" s="6" t="n"/>
      <c r="C4" s="6" t="n"/>
      <c r="D4" s="6" t="n"/>
      <c r="E4" s="6" t="n"/>
      <c r="F4" s="6" t="n"/>
      <c r="G4" s="6" t="n"/>
      <c r="H4" s="6" t="n"/>
      <c r="I4" s="6" t="n"/>
      <c r="J4" s="6" t="n"/>
      <c r="K4" s="6" t="n"/>
      <c r="L4" s="6" t="n"/>
      <c r="M4" s="6" t="n"/>
    </row>
    <row r="5">
      <c r="A5" s="6" t="inlineStr">
        <is>
          <t>Business Finance</t>
        </is>
      </c>
      <c r="B5" s="6" t="n">
        <v>3903.8</v>
      </c>
      <c r="C5" s="6" t="n">
        <v>3716.7</v>
      </c>
      <c r="D5" s="6" t="n"/>
      <c r="E5" s="6" t="n"/>
      <c r="F5" s="6" t="n"/>
      <c r="G5" s="6" t="n"/>
      <c r="H5" s="6" t="n"/>
      <c r="I5" s="6" t="n"/>
      <c r="J5" s="6" t="n"/>
      <c r="K5" s="6" t="n"/>
      <c r="L5" s="6" t="n"/>
      <c r="M5" s="6" t="n"/>
    </row>
    <row r="6">
      <c r="A6" s="6" t="inlineStr">
        <is>
          <t>Property Finance</t>
        </is>
      </c>
      <c r="B6" s="6" t="n">
        <v>8728.4</v>
      </c>
      <c r="C6" s="6" t="n">
        <v>7832.5</v>
      </c>
      <c r="D6" s="6" t="n"/>
      <c r="E6" s="6" t="n"/>
      <c r="F6" s="6" t="n"/>
      <c r="G6" s="6" t="n"/>
      <c r="H6" s="6" t="n"/>
      <c r="I6" s="6" t="n"/>
      <c r="J6" s="6" t="n"/>
      <c r="K6" s="6" t="n"/>
      <c r="L6" s="6" t="n"/>
      <c r="M6" s="6" t="n"/>
    </row>
    <row r="7">
      <c r="A7" s="5" t="inlineStr">
        <is>
          <t>Total gross loans and advances (by product)</t>
        </is>
      </c>
      <c r="B7" s="5" t="n">
        <v>12632.2</v>
      </c>
      <c r="C7" s="5" t="n">
        <v>11549.2</v>
      </c>
      <c r="D7" s="5" t="n"/>
      <c r="E7" s="5" t="n"/>
      <c r="F7" s="5" t="n"/>
      <c r="G7" s="5" t="n"/>
      <c r="H7" s="5" t="n"/>
      <c r="I7" s="5" t="n"/>
      <c r="J7" s="5" t="n"/>
      <c r="K7" s="5" t="n"/>
      <c r="L7" s="5" t="n"/>
      <c r="M7" s="5" t="n"/>
    </row>
    <row r="8">
      <c r="A8" s="5" t="inlineStr">
        <is>
          <t>Gross loans and advances to customers, by IFRS 9 stage</t>
        </is>
      </c>
      <c r="B8" s="6" t="n"/>
      <c r="C8" s="6" t="n"/>
      <c r="D8" s="6" t="n"/>
      <c r="E8" s="6" t="n"/>
      <c r="F8" s="6" t="n"/>
      <c r="G8" s="6" t="n"/>
      <c r="H8" s="6" t="n"/>
      <c r="I8" s="6" t="n"/>
      <c r="J8" s="6" t="n"/>
      <c r="K8" s="6" t="n"/>
      <c r="L8" s="6" t="n"/>
      <c r="M8" s="6" t="n"/>
    </row>
    <row r="9">
      <c r="A9" s="6" t="inlineStr">
        <is>
          <t>Stage 1 (performing)</t>
        </is>
      </c>
      <c r="B9" s="6" t="n">
        <v>11395.2</v>
      </c>
      <c r="C9" s="6" t="n">
        <v>10466.4</v>
      </c>
      <c r="D9" s="6" t="n">
        <v>10211.2</v>
      </c>
      <c r="E9" s="6" t="n">
        <v>9591.1</v>
      </c>
      <c r="F9" s="6" t="n">
        <v>9209.1</v>
      </c>
      <c r="G9" s="6" t="n"/>
      <c r="H9" s="6" t="n"/>
      <c r="I9" s="6" t="n"/>
      <c r="J9" s="6" t="n"/>
      <c r="K9" s="6" t="n"/>
      <c r="L9" s="6" t="n"/>
      <c r="M9" s="6" t="n"/>
    </row>
    <row r="10">
      <c r="A10" s="6" t="inlineStr">
        <is>
          <t>Stage 2 (underperforming)</t>
        </is>
      </c>
      <c r="B10" s="6" t="n">
        <v>814.8</v>
      </c>
      <c r="C10" s="6" t="n">
        <v>716.4</v>
      </c>
      <c r="D10" s="6" t="n">
        <v>664.9</v>
      </c>
      <c r="E10" s="6" t="n">
        <v>1026</v>
      </c>
      <c r="F10" s="6" t="n">
        <v>956.6</v>
      </c>
      <c r="G10" s="6" t="n"/>
      <c r="H10" s="6" t="n"/>
      <c r="I10" s="6" t="n"/>
      <c r="J10" s="6" t="n"/>
      <c r="K10" s="6" t="n"/>
      <c r="L10" s="6" t="n"/>
      <c r="M10" s="6" t="n"/>
    </row>
    <row r="11">
      <c r="A11" s="6" t="inlineStr">
        <is>
          <t>Stage 3 (credit-impaired)</t>
        </is>
      </c>
      <c r="B11" s="6" t="n">
        <v>422.2</v>
      </c>
      <c r="C11" s="6" t="n">
        <v>366.4</v>
      </c>
      <c r="D11" s="6" t="n">
        <v>287.3</v>
      </c>
      <c r="E11" s="6" t="n">
        <v>277.1</v>
      </c>
      <c r="F11" s="6" t="n">
        <v>343.9</v>
      </c>
      <c r="G11" s="6" t="n"/>
      <c r="H11" s="6" t="n"/>
      <c r="I11" s="6" t="n"/>
      <c r="J11" s="6" t="n"/>
      <c r="K11" s="6" t="n"/>
      <c r="L11" s="6" t="n"/>
      <c r="M11" s="6" t="n"/>
    </row>
    <row r="12">
      <c r="A12" s="5" t="inlineStr">
        <is>
          <t>Total gross loans and advances (by stage)</t>
        </is>
      </c>
      <c r="B12" s="5" t="n">
        <v>12632.2</v>
      </c>
      <c r="C12" s="5" t="n">
        <v>11549.3</v>
      </c>
      <c r="D12" s="5" t="n">
        <v>11163.4</v>
      </c>
      <c r="E12" s="5" t="n">
        <v>10894.2</v>
      </c>
      <c r="F12" s="5" t="n">
        <v>10509.6</v>
      </c>
      <c r="G12" s="5" t="n"/>
      <c r="H12" s="5" t="n"/>
      <c r="I12" s="5" t="n"/>
      <c r="J12" s="5" t="n"/>
      <c r="K12" s="5" t="n"/>
      <c r="L12" s="5" t="n"/>
      <c r="M12" s="5" t="n"/>
    </row>
    <row r="13">
      <c r="A13" s="5" t="inlineStr">
        <is>
          <t>Allowance for impairment losses, by IFRS 9 stage</t>
        </is>
      </c>
      <c r="B13" s="6" t="n"/>
      <c r="C13" s="6" t="n"/>
      <c r="D13" s="6" t="n"/>
      <c r="E13" s="6" t="n"/>
      <c r="F13" s="6" t="n"/>
      <c r="G13" s="6" t="n"/>
      <c r="H13" s="6" t="n"/>
      <c r="I13" s="6" t="n"/>
      <c r="J13" s="6" t="n"/>
      <c r="K13" s="6" t="n"/>
      <c r="L13" s="6" t="n"/>
      <c r="M13" s="6" t="n"/>
    </row>
    <row r="14">
      <c r="A14" s="6" t="inlineStr">
        <is>
          <t>Stage 1 (performing)</t>
        </is>
      </c>
      <c r="B14" s="6" t="n">
        <v>-34.2</v>
      </c>
      <c r="C14" s="6" t="n">
        <v>-50.2</v>
      </c>
      <c r="D14" s="6" t="n">
        <v>-91.40000000000001</v>
      </c>
      <c r="E14" s="6" t="n">
        <v>-48.3</v>
      </c>
      <c r="F14" s="6" t="n">
        <v>-32.8</v>
      </c>
      <c r="G14" s="6" t="n"/>
      <c r="H14" s="6" t="n"/>
      <c r="I14" s="6" t="n"/>
      <c r="J14" s="6" t="n"/>
      <c r="K14" s="6" t="n"/>
      <c r="L14" s="6" t="n"/>
      <c r="M14" s="6" t="n"/>
    </row>
    <row r="15">
      <c r="A15" s="6" t="inlineStr">
        <is>
          <t>Stage 2 (underperforming)</t>
        </is>
      </c>
      <c r="B15" s="6" t="n">
        <v>-22.6</v>
      </c>
      <c r="C15" s="6" t="n">
        <v>-25.6</v>
      </c>
      <c r="D15" s="6" t="n">
        <v>-25.2</v>
      </c>
      <c r="E15" s="6" t="n">
        <v>-19.8</v>
      </c>
      <c r="F15" s="6" t="n">
        <v>-24.1</v>
      </c>
      <c r="G15" s="6" t="n"/>
      <c r="H15" s="6" t="n"/>
      <c r="I15" s="6" t="n"/>
      <c r="J15" s="6" t="n"/>
      <c r="K15" s="6" t="n"/>
      <c r="L15" s="6" t="n"/>
      <c r="M15" s="6" t="n"/>
    </row>
    <row r="16">
      <c r="A16" s="6" t="inlineStr">
        <is>
          <t>Stage 3 (credit-impaired)</t>
        </is>
      </c>
      <c r="B16" s="6" t="n">
        <v>-52</v>
      </c>
      <c r="C16" s="6" t="n">
        <v>-57.2</v>
      </c>
      <c r="D16" s="6" t="n">
        <v>-48</v>
      </c>
      <c r="E16" s="6" t="n">
        <v>-48.7</v>
      </c>
      <c r="F16" s="6" t="n">
        <v>-59.1</v>
      </c>
      <c r="G16" s="6" t="n"/>
      <c r="H16" s="6" t="n"/>
      <c r="I16" s="6" t="n"/>
      <c r="J16" s="6" t="n"/>
      <c r="K16" s="6" t="n"/>
      <c r="L16" s="6" t="n"/>
      <c r="M16" s="6" t="n"/>
    </row>
    <row r="17">
      <c r="A17" s="5" t="inlineStr">
        <is>
          <t>Total allowance for impairment losses</t>
        </is>
      </c>
      <c r="B17" s="5" t="n">
        <v>-108.8</v>
      </c>
      <c r="C17" s="5" t="n">
        <v>-133</v>
      </c>
      <c r="D17" s="5" t="n">
        <v>-164.6</v>
      </c>
      <c r="E17" s="5" t="n">
        <v>-116.8</v>
      </c>
      <c r="F17" s="5" t="n">
        <v>-116</v>
      </c>
      <c r="G17" s="5" t="n"/>
      <c r="H17" s="5" t="n"/>
      <c r="I17" s="5" t="n"/>
      <c r="J17" s="5" t="n"/>
      <c r="K17" s="5" t="n"/>
      <c r="L17" s="5" t="n"/>
      <c r="M17" s="5" t="n"/>
    </row>
    <row r="18">
      <c r="A18" s="5" t="inlineStr">
        <is>
          <t>Asset quality ratios</t>
        </is>
      </c>
      <c r="B18" s="6" t="n"/>
      <c r="C18" s="6" t="n"/>
      <c r="D18" s="6" t="n"/>
      <c r="E18" s="6" t="n"/>
      <c r="F18" s="6" t="n"/>
      <c r="G18" s="6" t="n"/>
      <c r="H18" s="6" t="n"/>
      <c r="I18" s="6" t="n"/>
      <c r="J18" s="6" t="n"/>
      <c r="K18" s="6" t="n"/>
      <c r="L18" s="6" t="n"/>
      <c r="M18" s="6" t="n"/>
    </row>
    <row r="19">
      <c r="A19" s="6" t="inlineStr">
        <is>
          <t>ECL coverage ratio (Total allowance / Total gross loans)</t>
        </is>
      </c>
      <c r="B19" s="6" t="inlineStr">
        <is>
          <t>0.86%</t>
        </is>
      </c>
      <c r="C19" s="6" t="inlineStr">
        <is>
          <t>1.15%</t>
        </is>
      </c>
      <c r="D19" s="6" t="inlineStr">
        <is>
          <t>1.47%</t>
        </is>
      </c>
      <c r="E19" s="6" t="inlineStr">
        <is>
          <t>1.07%</t>
        </is>
      </c>
      <c r="F19" s="6" t="inlineStr">
        <is>
          <t>1.10%</t>
        </is>
      </c>
      <c r="G19" s="6" t="n"/>
      <c r="H19" s="6" t="n"/>
      <c r="I19" s="6" t="n"/>
      <c r="J19" s="6" t="n"/>
      <c r="K19" s="6" t="n"/>
      <c r="L19" s="6" t="n"/>
      <c r="M19" s="6" t="n"/>
    </row>
    <row r="20">
      <c r="A20" s="6" t="inlineStr">
        <is>
          <t>Stage 3 (NPL) ratio (Stage 3 gross loans / Total gross loans)</t>
        </is>
      </c>
      <c r="B20" s="6" t="inlineStr">
        <is>
          <t>3.34%</t>
        </is>
      </c>
      <c r="C20" s="6" t="inlineStr">
        <is>
          <t>3.17%</t>
        </is>
      </c>
      <c r="D20" s="6" t="inlineStr">
        <is>
          <t>2.57%</t>
        </is>
      </c>
      <c r="E20" s="6" t="inlineStr">
        <is>
          <t>2.54%</t>
        </is>
      </c>
      <c r="F20" s="6" t="inlineStr">
        <is>
          <t>3.27%</t>
        </is>
      </c>
      <c r="G20" s="6" t="n"/>
      <c r="H20" s="6" t="n"/>
      <c r="I20" s="6" t="n"/>
      <c r="J20" s="6" t="n"/>
      <c r="K20" s="6" t="n"/>
      <c r="L20" s="6" t="n"/>
      <c r="M20" s="6" t="n"/>
    </row>
    <row r="21">
      <c r="A21" s="6" t="inlineStr">
        <is>
          <t>Stage 3 coverage ratio (Stage 3 allowance / Stage 3 gross loans)</t>
        </is>
      </c>
      <c r="B21" s="6" t="inlineStr">
        <is>
          <t>12.32%</t>
        </is>
      </c>
      <c r="C21" s="6" t="inlineStr">
        <is>
          <t>15.61%</t>
        </is>
      </c>
      <c r="D21" s="6" t="inlineStr">
        <is>
          <t>16.71%</t>
        </is>
      </c>
      <c r="E21" s="6" t="inlineStr">
        <is>
          <t>17.58%</t>
        </is>
      </c>
      <c r="F21" s="6" t="inlineStr">
        <is>
          <t>17.18%</t>
        </is>
      </c>
      <c r="G21" s="6" t="n"/>
      <c r="H21" s="6" t="n"/>
      <c r="I21" s="6" t="n"/>
      <c r="J21" s="6" t="n"/>
      <c r="K21" s="6" t="n"/>
      <c r="L21" s="6" t="n"/>
      <c r="M21" s="6" t="n"/>
    </row>
    <row r="22">
      <c r="A22" s="5" t="inlineStr">
        <is>
          <t>Gross loans and advances to customers, by product (IAS 39 basis, pre-IFRS 9)</t>
        </is>
      </c>
      <c r="B22" s="6" t="n"/>
      <c r="C22" s="6" t="n"/>
      <c r="D22" s="6" t="n"/>
      <c r="E22" s="6" t="n"/>
      <c r="F22" s="6" t="n"/>
      <c r="G22" s="6" t="n"/>
      <c r="H22" s="6" t="n"/>
      <c r="I22" s="6" t="n"/>
      <c r="J22" s="6" t="n"/>
      <c r="K22" s="6" t="n"/>
      <c r="L22" s="6" t="n"/>
      <c r="M22" s="6" t="n"/>
    </row>
    <row r="23">
      <c r="A23" s="6" t="inlineStr">
        <is>
          <t>Asset Finance</t>
        </is>
      </c>
      <c r="B23" s="6" t="n"/>
      <c r="C23" s="6" t="n"/>
      <c r="D23" s="6" t="n"/>
      <c r="E23" s="6" t="n"/>
      <c r="F23" s="6" t="n"/>
      <c r="G23" s="6" t="n"/>
      <c r="H23" s="6" t="n"/>
      <c r="I23" s="6" t="n"/>
      <c r="J23" s="6" t="n"/>
      <c r="K23" s="6" t="n"/>
      <c r="L23" s="6" t="n">
        <v>1346.7</v>
      </c>
      <c r="M23" s="6" t="n">
        <v>1044.3</v>
      </c>
    </row>
    <row r="24">
      <c r="A24" s="6" t="inlineStr">
        <is>
          <t>Invoice Finance</t>
        </is>
      </c>
      <c r="B24" s="6" t="n"/>
      <c r="C24" s="6" t="n"/>
      <c r="D24" s="6" t="n"/>
      <c r="E24" s="6" t="n"/>
      <c r="F24" s="6" t="n"/>
      <c r="G24" s="6" t="n"/>
      <c r="H24" s="6" t="n"/>
      <c r="I24" s="6" t="n"/>
      <c r="J24" s="6" t="n"/>
      <c r="K24" s="6" t="n"/>
      <c r="L24" s="6" t="n">
        <v>160.8</v>
      </c>
      <c r="M24" s="6" t="n">
        <v>180.6</v>
      </c>
    </row>
    <row r="25">
      <c r="A25" s="6" t="inlineStr">
        <is>
          <t>SME Commercial Mortgages</t>
        </is>
      </c>
      <c r="B25" s="6" t="n"/>
      <c r="C25" s="6" t="n"/>
      <c r="D25" s="6" t="n"/>
      <c r="E25" s="6" t="n"/>
      <c r="F25" s="6" t="n"/>
      <c r="G25" s="6" t="n"/>
      <c r="H25" s="6" t="n"/>
      <c r="I25" s="6" t="n"/>
      <c r="J25" s="6" t="n"/>
      <c r="K25" s="6" t="n"/>
      <c r="L25" s="6" t="n">
        <v>829.2</v>
      </c>
      <c r="M25" s="6" t="n">
        <v>552.4</v>
      </c>
    </row>
    <row r="26">
      <c r="A26" s="6" t="inlineStr">
        <is>
          <t>Buy-to-Let</t>
        </is>
      </c>
      <c r="B26" s="6" t="n"/>
      <c r="C26" s="6" t="n"/>
      <c r="D26" s="6" t="n"/>
      <c r="E26" s="6" t="n"/>
      <c r="F26" s="6" t="n"/>
      <c r="G26" s="6" t="n"/>
      <c r="H26" s="6" t="n"/>
      <c r="I26" s="6" t="n"/>
      <c r="J26" s="6" t="n"/>
      <c r="K26" s="6" t="n"/>
      <c r="L26" s="6" t="n">
        <v>2417.9</v>
      </c>
      <c r="M26" s="6" t="n">
        <v>2044.1</v>
      </c>
    </row>
    <row r="27">
      <c r="A27" s="6" t="inlineStr">
        <is>
          <t>Residential Mortgages</t>
        </is>
      </c>
      <c r="B27" s="6" t="n"/>
      <c r="C27" s="6" t="n"/>
      <c r="D27" s="6" t="n"/>
      <c r="E27" s="6" t="n"/>
      <c r="F27" s="6" t="n"/>
      <c r="G27" s="6" t="n"/>
      <c r="H27" s="6" t="n"/>
      <c r="I27" s="6" t="n"/>
      <c r="J27" s="6" t="n"/>
      <c r="K27" s="6" t="n"/>
      <c r="L27" s="6" t="n">
        <v>1390.2</v>
      </c>
      <c r="M27" s="6" t="n">
        <v>979.7</v>
      </c>
    </row>
    <row r="28">
      <c r="A28" s="5" t="inlineStr">
        <is>
          <t>Total gross loans and advances (by product, IAS 39 basis)</t>
        </is>
      </c>
      <c r="B28" s="5" t="n"/>
      <c r="C28" s="5" t="n"/>
      <c r="D28" s="5" t="n"/>
      <c r="E28" s="5" t="n"/>
      <c r="F28" s="5" t="n"/>
      <c r="G28" s="5" t="n"/>
      <c r="H28" s="5" t="n"/>
      <c r="I28" s="5" t="n"/>
      <c r="J28" s="5" t="n"/>
      <c r="K28" s="5" t="n"/>
      <c r="L28" s="5" t="n">
        <v>6144.8</v>
      </c>
      <c r="M28" s="5" t="n">
        <v>4801.1</v>
      </c>
    </row>
    <row r="29">
      <c r="A29" s="5" t="inlineStr">
        <is>
          <t>Impaired loans and coverage (IAS 39 basis, pre-IFRS 9)</t>
        </is>
      </c>
      <c r="B29" s="6" t="n"/>
      <c r="C29" s="6" t="n"/>
      <c r="D29" s="6" t="n"/>
      <c r="E29" s="6" t="n"/>
      <c r="F29" s="6" t="n"/>
      <c r="G29" s="6" t="n"/>
      <c r="H29" s="6" t="n"/>
      <c r="I29" s="6" t="n"/>
      <c r="J29" s="6" t="n"/>
      <c r="K29" s="6" t="n"/>
      <c r="L29" s="6" t="n"/>
      <c r="M29" s="6" t="n"/>
    </row>
    <row r="30">
      <c r="A30" s="6" t="inlineStr">
        <is>
          <t>Individually impaired loans (all products)</t>
        </is>
      </c>
      <c r="B30" s="6" t="n"/>
      <c r="C30" s="6" t="n"/>
      <c r="D30" s="6" t="n"/>
      <c r="E30" s="6" t="n"/>
      <c r="F30" s="6" t="n"/>
      <c r="G30" s="6" t="n"/>
      <c r="H30" s="6" t="n"/>
      <c r="I30" s="6" t="n"/>
      <c r="J30" s="6" t="n"/>
      <c r="K30" s="6" t="n"/>
      <c r="L30" s="6" t="n">
        <v>22.8</v>
      </c>
      <c r="M30" s="6" t="n">
        <v>20.8</v>
      </c>
    </row>
    <row r="31">
      <c r="A31" s="6" t="inlineStr">
        <is>
          <t>Allowance for losses — individual provisions</t>
        </is>
      </c>
      <c r="B31" s="6" t="n"/>
      <c r="C31" s="6" t="n"/>
      <c r="D31" s="6" t="n"/>
      <c r="E31" s="6" t="n"/>
      <c r="F31" s="6" t="n"/>
      <c r="G31" s="6" t="n"/>
      <c r="H31" s="6" t="n"/>
      <c r="I31" s="6" t="n"/>
      <c r="J31" s="6" t="n"/>
      <c r="K31" s="6" t="n"/>
      <c r="L31" s="6" t="n">
        <v>-10.2</v>
      </c>
      <c r="M31" s="6" t="n">
        <v>-14</v>
      </c>
    </row>
    <row r="32">
      <c r="A32" s="6" t="inlineStr">
        <is>
          <t>Individually impaired loans as a % of gross loans and advances</t>
        </is>
      </c>
      <c r="B32" s="6" t="n"/>
      <c r="C32" s="6" t="n"/>
      <c r="D32" s="6" t="n"/>
      <c r="E32" s="6" t="n"/>
      <c r="F32" s="6" t="n"/>
      <c r="G32" s="6" t="n"/>
      <c r="H32" s="6" t="n"/>
      <c r="I32" s="6" t="n"/>
      <c r="J32" s="6" t="n"/>
      <c r="K32" s="6" t="n"/>
      <c r="L32" s="6" t="inlineStr">
        <is>
          <t>0.37%</t>
        </is>
      </c>
      <c r="M32" s="6" t="inlineStr">
        <is>
          <t>0.43%</t>
        </is>
      </c>
    </row>
    <row r="33">
      <c r="A33" s="6" t="inlineStr">
        <is>
          <t>Coverage ratio (individual provisions / individually impaired loans)</t>
        </is>
      </c>
      <c r="B33" s="6" t="n"/>
      <c r="C33" s="6" t="n"/>
      <c r="D33" s="6" t="n"/>
      <c r="E33" s="6" t="n"/>
      <c r="F33" s="6" t="n"/>
      <c r="G33" s="6" t="n"/>
      <c r="H33" s="6" t="n"/>
      <c r="I33" s="6" t="n"/>
      <c r="J33" s="6" t="n"/>
      <c r="K33" s="6" t="n"/>
      <c r="L33" s="6" t="inlineStr">
        <is>
          <t>44.74%</t>
        </is>
      </c>
      <c r="M33" s="6" t="inlineStr">
        <is>
          <t>67.40%</t>
        </is>
      </c>
    </row>
    <row r="35" ht="170" customHeight="1">
      <c r="A35"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FY2015 &amp; FY2014 (by product; impaired loans and coverage, IAS 39 basis): Full accounts for the year ended 31 December 2015, filed 23 May 2016, p.55-58 (Risk Management — Impaired loan analysis, Impairment coverage ratio, Credit concentration by product) — https://find-and-update.company-information.service.gov.uk/company/00947662/filing-history/MzE0OTEzMjU1M2FkaXF6a2N4/document?format=pdf&amp;download=0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
HD-047 extension (FY2014-FY2020): IFRS 9 (the source of the Stage 1/2/3 framework above) only took effect for the Bank from 1 July 2018, so FY2014-FY2016 report credit quality on the older IAS 39 'individually impaired vs collectively assessed' basis instead — a separate section below carries that basis for the two years (FY2015, FY2014) where the full impairment-coverage note was reviewed; it is not mechanically comparable to the IFRS 9 Stage 1/2/3 rows above (different recognition trigger and no forward-looking ECL overlay). FY2016's own 'by-product' and impairment-coverage note detail, and FY2018/FY2019/FY2020's IFRS 9 stage-level note detail, were not extracted in this session (the Companies House filings for these years are scanned images with no text layer, so locating and transcribing note-level tables requires page-by-page visual review beyond this session's budget) — those three years are therefore left blank on this sheet. Balance Sheet gross exposure (via 'Loans and advances to customers', net of allowance) is unaffected and is populated for FY2016/FY2018/FY2019/FY2020 on the Balance Sheet sheet.</t>
        </is>
      </c>
    </row>
  </sheetData>
  <mergeCells count="1">
    <mergeCell ref="A35:M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KM1 Key Metrics</t>
        </is>
      </c>
    </row>
    <row r="2">
      <c r="A2" s="2" t="inlineStr">
        <is>
          <t>Aldermore Bank PLC (Bank solo) columns of the bank's own published key-metrics template, in its own row order, labels and precision. Amounts in £m, ratios as printed. Row numbers are Aldermore's own from the FY2026 edition; the FY2022–FY2025 editions print the identical rows with no numbering. FY2021 and earlier predate the template and are intentionally blank.</t>
        </is>
      </c>
    </row>
    <row r="3">
      <c r="A3" s="4" t="inlineStr">
        <is>
          <t>Line item</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5" t="inlineStr">
        <is>
          <t>Available own funds (amounts)</t>
        </is>
      </c>
      <c r="B4" s="6" t="n"/>
      <c r="C4" s="6" t="n"/>
      <c r="D4" s="6" t="n"/>
      <c r="E4" s="6" t="n"/>
      <c r="F4" s="6" t="n"/>
      <c r="G4" s="6" t="n"/>
      <c r="H4" s="6" t="n"/>
      <c r="I4" s="6" t="n"/>
      <c r="J4" s="6" t="n"/>
      <c r="K4" s="6" t="n"/>
      <c r="L4" s="6" t="n"/>
      <c r="M4" s="6" t="n"/>
      <c r="N4" s="6" t="n"/>
      <c r="O4" s="6" t="n"/>
      <c r="P4" s="6" t="n"/>
      <c r="Q4" s="6" t="n"/>
    </row>
    <row r="5">
      <c r="A5" s="6" t="inlineStr">
        <is>
          <t>1  Common Equity Tier 1 (CET1) capital (£m)</t>
        </is>
      </c>
      <c r="B5" s="6" t="n">
        <v>1450.9</v>
      </c>
      <c r="C5" s="6" t="n">
        <v>1337.8</v>
      </c>
      <c r="D5" s="6" t="n">
        <v>1321.5</v>
      </c>
      <c r="E5" s="6" t="n">
        <v>1203.8</v>
      </c>
      <c r="F5" s="6" t="n">
        <v>1065.9</v>
      </c>
      <c r="G5" s="6" t="n"/>
      <c r="H5" s="6" t="n"/>
      <c r="I5" s="6" t="n"/>
      <c r="J5" s="6" t="n"/>
      <c r="K5" s="6" t="n"/>
      <c r="L5" s="6" t="n"/>
      <c r="M5" s="6" t="n"/>
      <c r="N5" s="6" t="n"/>
      <c r="O5" s="6" t="n"/>
      <c r="P5" s="6" t="n"/>
      <c r="Q5" s="6" t="n"/>
    </row>
    <row r="6">
      <c r="A6" s="6" t="inlineStr">
        <is>
          <t>2  Tier 1 capital (£m)</t>
        </is>
      </c>
      <c r="B6" s="6" t="n">
        <v>1500.9</v>
      </c>
      <c r="C6" s="6" t="n">
        <v>1387.8</v>
      </c>
      <c r="D6" s="6" t="n">
        <v>1382.5</v>
      </c>
      <c r="E6" s="6" t="n">
        <v>1264.8</v>
      </c>
      <c r="F6" s="6" t="n">
        <v>1126.6</v>
      </c>
      <c r="G6" s="6" t="n"/>
      <c r="H6" s="6" t="n"/>
      <c r="I6" s="6" t="n"/>
      <c r="J6" s="6" t="n"/>
      <c r="K6" s="6" t="n"/>
      <c r="L6" s="6" t="n"/>
      <c r="M6" s="6" t="n"/>
      <c r="N6" s="6" t="n"/>
      <c r="O6" s="6" t="n"/>
      <c r="P6" s="6" t="n"/>
      <c r="Q6" s="6" t="n"/>
    </row>
    <row r="7">
      <c r="A7" s="6" t="inlineStr">
        <is>
          <t>3  Total capital (£m)</t>
        </is>
      </c>
      <c r="B7" s="6" t="n">
        <v>1800.9</v>
      </c>
      <c r="C7" s="6" t="n">
        <v>1487.8</v>
      </c>
      <c r="D7" s="6" t="n">
        <v>1482.5</v>
      </c>
      <c r="E7" s="6" t="n">
        <v>1364.8</v>
      </c>
      <c r="F7" s="6" t="n">
        <v>1226.6</v>
      </c>
      <c r="G7" s="6" t="n"/>
      <c r="H7" s="6" t="n"/>
      <c r="I7" s="6" t="n"/>
      <c r="J7" s="6" t="n"/>
      <c r="K7" s="6" t="n"/>
      <c r="L7" s="6" t="n"/>
      <c r="M7" s="6" t="n"/>
      <c r="N7" s="6" t="n"/>
      <c r="O7" s="6" t="n"/>
      <c r="P7" s="6" t="n"/>
      <c r="Q7" s="6" t="n"/>
    </row>
    <row r="8">
      <c r="A8" s="5" t="inlineStr">
        <is>
          <t>Risk-weighted exposure amounts</t>
        </is>
      </c>
      <c r="B8" s="6" t="n"/>
      <c r="C8" s="6" t="n"/>
      <c r="D8" s="6" t="n"/>
      <c r="E8" s="6" t="n"/>
      <c r="F8" s="6" t="n"/>
      <c r="G8" s="6" t="n"/>
      <c r="H8" s="6" t="n"/>
      <c r="I8" s="6" t="n"/>
      <c r="J8" s="6" t="n"/>
      <c r="K8" s="6" t="n"/>
      <c r="L8" s="6" t="n"/>
      <c r="M8" s="6" t="n"/>
      <c r="N8" s="6" t="n"/>
      <c r="O8" s="6" t="n"/>
      <c r="P8" s="6" t="n"/>
      <c r="Q8" s="6" t="n"/>
    </row>
    <row r="9">
      <c r="A9" s="6" t="inlineStr">
        <is>
          <t>4  Total risk-weighted exposure amount (£m)</t>
        </is>
      </c>
      <c r="B9" s="6" t="n">
        <v>8203.700000000001</v>
      </c>
      <c r="C9" s="6" t="n">
        <v>7271.6</v>
      </c>
      <c r="D9" s="6" t="n">
        <v>6875.6</v>
      </c>
      <c r="E9" s="6" t="n">
        <v>6504.9</v>
      </c>
      <c r="F9" s="6" t="n">
        <v>6260.1</v>
      </c>
      <c r="G9" s="6" t="n"/>
      <c r="H9" s="6" t="n"/>
      <c r="I9" s="6" t="n"/>
      <c r="J9" s="6" t="n"/>
      <c r="K9" s="6" t="n"/>
      <c r="L9" s="6" t="n"/>
      <c r="M9" s="6" t="n"/>
      <c r="N9" s="6" t="n"/>
      <c r="O9" s="6" t="n"/>
      <c r="P9" s="6" t="n"/>
      <c r="Q9" s="6" t="n"/>
    </row>
    <row r="10">
      <c r="A10" s="5" t="inlineStr">
        <is>
          <t>Capital ratios (as a percentage of risk-weighted exposure amount)</t>
        </is>
      </c>
      <c r="B10" s="6" t="n"/>
      <c r="C10" s="6" t="n"/>
      <c r="D10" s="6" t="n"/>
      <c r="E10" s="6" t="n"/>
      <c r="F10" s="6" t="n"/>
      <c r="G10" s="6" t="n"/>
      <c r="H10" s="6" t="n"/>
      <c r="I10" s="6" t="n"/>
      <c r="J10" s="6" t="n"/>
      <c r="K10" s="6" t="n"/>
      <c r="L10" s="6" t="n"/>
      <c r="M10" s="6" t="n"/>
      <c r="N10" s="6" t="n"/>
      <c r="O10" s="6" t="n"/>
      <c r="P10" s="6" t="n"/>
      <c r="Q10" s="6" t="n"/>
    </row>
    <row r="11">
      <c r="A11" s="6" t="inlineStr">
        <is>
          <t>5  Common Equity Tier 1 ratio (%)</t>
        </is>
      </c>
      <c r="B11" s="6" t="inlineStr">
        <is>
          <t>17.7%</t>
        </is>
      </c>
      <c r="C11" s="6" t="inlineStr">
        <is>
          <t>18.4%</t>
        </is>
      </c>
      <c r="D11" s="6" t="inlineStr">
        <is>
          <t>19.2%</t>
        </is>
      </c>
      <c r="E11" s="6" t="inlineStr">
        <is>
          <t>18.5%</t>
        </is>
      </c>
      <c r="F11" s="6" t="inlineStr">
        <is>
          <t>17.0%</t>
        </is>
      </c>
      <c r="G11" s="6" t="n"/>
      <c r="H11" s="6" t="n"/>
      <c r="I11" s="6" t="n"/>
      <c r="J11" s="6" t="n"/>
      <c r="K11" s="6" t="n"/>
      <c r="L11" s="6" t="n"/>
      <c r="M11" s="6" t="n"/>
      <c r="N11" s="6" t="n"/>
      <c r="O11" s="6" t="n"/>
      <c r="P11" s="6" t="n"/>
      <c r="Q11" s="6" t="n"/>
    </row>
    <row r="12">
      <c r="A12" s="6" t="inlineStr">
        <is>
          <t>6  Tier 1 ratio (%)</t>
        </is>
      </c>
      <c r="B12" s="6" t="inlineStr">
        <is>
          <t>18.3%</t>
        </is>
      </c>
      <c r="C12" s="6" t="inlineStr">
        <is>
          <t>19.1%</t>
        </is>
      </c>
      <c r="D12" s="6" t="inlineStr">
        <is>
          <t>20.1%</t>
        </is>
      </c>
      <c r="E12" s="6" t="inlineStr">
        <is>
          <t>19.4%</t>
        </is>
      </c>
      <c r="F12" s="6" t="inlineStr">
        <is>
          <t>18.0%</t>
        </is>
      </c>
      <c r="G12" s="6" t="n"/>
      <c r="H12" s="6" t="n"/>
      <c r="I12" s="6" t="n"/>
      <c r="J12" s="6" t="n"/>
      <c r="K12" s="6" t="n"/>
      <c r="L12" s="6" t="n"/>
      <c r="M12" s="6" t="n"/>
      <c r="N12" s="6" t="n"/>
      <c r="O12" s="6" t="n"/>
      <c r="P12" s="6" t="n"/>
      <c r="Q12" s="6" t="n"/>
    </row>
    <row r="13">
      <c r="A13" s="6" t="inlineStr">
        <is>
          <t>7  Total capital ratio (%)</t>
        </is>
      </c>
      <c r="B13" s="6" t="inlineStr">
        <is>
          <t>22.0%</t>
        </is>
      </c>
      <c r="C13" s="6" t="inlineStr">
        <is>
          <t>20.5%</t>
        </is>
      </c>
      <c r="D13" s="6" t="inlineStr">
        <is>
          <t>21.6%</t>
        </is>
      </c>
      <c r="E13" s="6" t="inlineStr">
        <is>
          <t>21.0%</t>
        </is>
      </c>
      <c r="F13" s="6" t="inlineStr">
        <is>
          <t>19.6%</t>
        </is>
      </c>
      <c r="G13" s="6" t="n"/>
      <c r="H13" s="6" t="n"/>
      <c r="I13" s="6" t="n"/>
      <c r="J13" s="6" t="n"/>
      <c r="K13" s="6" t="n"/>
      <c r="L13" s="6" t="n"/>
      <c r="M13" s="6" t="n"/>
      <c r="N13" s="6" t="n"/>
      <c r="O13" s="6" t="n"/>
      <c r="P13" s="6" t="n"/>
      <c r="Q13" s="6" t="n"/>
    </row>
    <row r="14">
      <c r="A14" s="5" t="inlineStr">
        <is>
          <t>Additional own funds requirements based on SREP (as a percentage of risk-weighted exposure amount)</t>
        </is>
      </c>
      <c r="B14" s="6" t="n"/>
      <c r="C14" s="6" t="n"/>
      <c r="D14" s="6" t="n"/>
      <c r="E14" s="6" t="n"/>
      <c r="F14" s="6" t="n"/>
      <c r="G14" s="6" t="n"/>
      <c r="H14" s="6" t="n"/>
      <c r="I14" s="6" t="n"/>
      <c r="J14" s="6" t="n"/>
      <c r="K14" s="6" t="n"/>
      <c r="L14" s="6" t="n"/>
      <c r="M14" s="6" t="n"/>
      <c r="N14" s="6" t="n"/>
      <c r="O14" s="6" t="n"/>
      <c r="P14" s="6" t="n"/>
      <c r="Q14" s="6" t="n"/>
    </row>
    <row r="15">
      <c r="A15" s="6" t="inlineStr">
        <is>
          <t>UK 7a  Additional CET1 SREP requirements (%)</t>
        </is>
      </c>
      <c r="B15" s="6" t="inlineStr">
        <is>
          <t>0.7%</t>
        </is>
      </c>
      <c r="C15" s="6" t="inlineStr">
        <is>
          <t>1.2%</t>
        </is>
      </c>
      <c r="D15" s="6" t="inlineStr">
        <is>
          <t>1.2%</t>
        </is>
      </c>
      <c r="E15" s="6" t="inlineStr">
        <is>
          <t>1.2%</t>
        </is>
      </c>
      <c r="F15" s="6" t="inlineStr">
        <is>
          <t>1.2%</t>
        </is>
      </c>
      <c r="G15" s="6" t="n"/>
      <c r="H15" s="6" t="n"/>
      <c r="I15" s="6" t="n"/>
      <c r="J15" s="6" t="n"/>
      <c r="K15" s="6" t="n"/>
      <c r="L15" s="6" t="n"/>
      <c r="M15" s="6" t="n"/>
      <c r="N15" s="6" t="n"/>
      <c r="O15" s="6" t="n"/>
      <c r="P15" s="6" t="n"/>
      <c r="Q15" s="6" t="n"/>
    </row>
    <row r="16">
      <c r="A16" s="6" t="inlineStr">
        <is>
          <t>UK 7b  Additional AT1 SREP requirements (%)</t>
        </is>
      </c>
      <c r="B16" s="6" t="inlineStr">
        <is>
          <t>0.2%</t>
        </is>
      </c>
      <c r="C16" s="6" t="inlineStr">
        <is>
          <t>0.4%</t>
        </is>
      </c>
      <c r="D16" s="6" t="inlineStr">
        <is>
          <t>0.4%</t>
        </is>
      </c>
      <c r="E16" s="6" t="inlineStr">
        <is>
          <t>0.4%</t>
        </is>
      </c>
      <c r="F16" s="6" t="inlineStr">
        <is>
          <t>0.4%</t>
        </is>
      </c>
      <c r="G16" s="6" t="n"/>
      <c r="H16" s="6" t="n"/>
      <c r="I16" s="6" t="n"/>
      <c r="J16" s="6" t="n"/>
      <c r="K16" s="6" t="n"/>
      <c r="L16" s="6" t="n"/>
      <c r="M16" s="6" t="n"/>
      <c r="N16" s="6" t="n"/>
      <c r="O16" s="6" t="n"/>
      <c r="P16" s="6" t="n"/>
      <c r="Q16" s="6" t="n"/>
    </row>
    <row r="17">
      <c r="A17" s="6" t="inlineStr">
        <is>
          <t>UK 7c  Additional T2 SREP requirements (%)</t>
        </is>
      </c>
      <c r="B17" s="6" t="inlineStr">
        <is>
          <t>0.4%</t>
        </is>
      </c>
      <c r="C17" s="6" t="inlineStr">
        <is>
          <t>0.5%</t>
        </is>
      </c>
      <c r="D17" s="6" t="inlineStr">
        <is>
          <t>0.5%</t>
        </is>
      </c>
      <c r="E17" s="6" t="inlineStr">
        <is>
          <t>0.5%</t>
        </is>
      </c>
      <c r="F17" s="6" t="inlineStr">
        <is>
          <t>0.5%</t>
        </is>
      </c>
      <c r="G17" s="6" t="n"/>
      <c r="H17" s="6" t="n"/>
      <c r="I17" s="6" t="n"/>
      <c r="J17" s="6" t="n"/>
      <c r="K17" s="6" t="n"/>
      <c r="L17" s="6" t="n"/>
      <c r="M17" s="6" t="n"/>
      <c r="N17" s="6" t="n"/>
      <c r="O17" s="6" t="n"/>
      <c r="P17" s="6" t="n"/>
      <c r="Q17" s="6" t="n"/>
    </row>
    <row r="18">
      <c r="A18" s="6" t="inlineStr">
        <is>
          <t>UK 7d  Total SREP own funds requirements (%)</t>
        </is>
      </c>
      <c r="B18" s="6" t="inlineStr">
        <is>
          <t>9.3%</t>
        </is>
      </c>
      <c r="C18" s="6" t="inlineStr">
        <is>
          <t>10.1%</t>
        </is>
      </c>
      <c r="D18" s="6" t="inlineStr">
        <is>
          <t>10.1%</t>
        </is>
      </c>
      <c r="E18" s="6" t="inlineStr">
        <is>
          <t>10.1%</t>
        </is>
      </c>
      <c r="F18" s="6" t="inlineStr">
        <is>
          <t>2.1%</t>
        </is>
      </c>
      <c r="G18" s="6" t="n"/>
      <c r="H18" s="6" t="n"/>
      <c r="I18" s="6" t="n"/>
      <c r="J18" s="6" t="n"/>
      <c r="K18" s="6" t="n"/>
      <c r="L18" s="6" t="n"/>
      <c r="M18" s="6" t="n"/>
      <c r="N18" s="6" t="n"/>
      <c r="O18" s="6" t="n"/>
      <c r="P18" s="6" t="n"/>
      <c r="Q18" s="6" t="n"/>
    </row>
    <row r="19">
      <c r="A19" s="5" t="inlineStr">
        <is>
          <t>Combined buffer requirement (as a percentage of risk-weighted exposure amount)</t>
        </is>
      </c>
      <c r="B19" s="6" t="n"/>
      <c r="C19" s="6" t="n"/>
      <c r="D19" s="6" t="n"/>
      <c r="E19" s="6" t="n"/>
      <c r="F19" s="6" t="n"/>
      <c r="G19" s="6" t="n"/>
      <c r="H19" s="6" t="n"/>
      <c r="I19" s="6" t="n"/>
      <c r="J19" s="6" t="n"/>
      <c r="K19" s="6" t="n"/>
      <c r="L19" s="6" t="n"/>
      <c r="M19" s="6" t="n"/>
      <c r="N19" s="6" t="n"/>
      <c r="O19" s="6" t="n"/>
      <c r="P19" s="6" t="n"/>
      <c r="Q19" s="6" t="n"/>
    </row>
    <row r="20">
      <c r="A20" s="6" t="inlineStr">
        <is>
          <t>8  Capital conservation buffer (%)</t>
        </is>
      </c>
      <c r="B20" s="6" t="inlineStr">
        <is>
          <t>2.5%</t>
        </is>
      </c>
      <c r="C20" s="6" t="inlineStr">
        <is>
          <t>2.5%</t>
        </is>
      </c>
      <c r="D20" s="6" t="inlineStr">
        <is>
          <t>2.5%</t>
        </is>
      </c>
      <c r="E20" s="6" t="inlineStr">
        <is>
          <t>2.5%</t>
        </is>
      </c>
      <c r="F20" s="6" t="inlineStr">
        <is>
          <t>2.5%</t>
        </is>
      </c>
      <c r="G20" s="6" t="n"/>
      <c r="H20" s="6" t="n"/>
      <c r="I20" s="6" t="n"/>
      <c r="J20" s="6" t="n"/>
      <c r="K20" s="6" t="n"/>
      <c r="L20" s="6" t="n"/>
      <c r="M20" s="6" t="n"/>
      <c r="N20" s="6" t="n"/>
      <c r="O20" s="6" t="n"/>
      <c r="P20" s="6" t="n"/>
      <c r="Q20" s="6" t="n"/>
    </row>
    <row r="21">
      <c r="A21" s="6" t="inlineStr">
        <is>
          <t>9  Institution specific countercyclical capital buffer (%)</t>
        </is>
      </c>
      <c r="B21" s="6" t="inlineStr">
        <is>
          <t>2.0%</t>
        </is>
      </c>
      <c r="C21" s="6" t="inlineStr">
        <is>
          <t>2.0%</t>
        </is>
      </c>
      <c r="D21" s="6" t="inlineStr">
        <is>
          <t>2.0%</t>
        </is>
      </c>
      <c r="E21" s="6" t="inlineStr">
        <is>
          <t>1.0%</t>
        </is>
      </c>
      <c r="F21" s="6" t="inlineStr">
        <is>
          <t>0.0%</t>
        </is>
      </c>
      <c r="G21" s="6" t="n"/>
      <c r="H21" s="6" t="n"/>
      <c r="I21" s="6" t="n"/>
      <c r="J21" s="6" t="n"/>
      <c r="K21" s="6" t="n"/>
      <c r="L21" s="6" t="n"/>
      <c r="M21" s="6" t="n"/>
      <c r="N21" s="6" t="n"/>
      <c r="O21" s="6" t="n"/>
      <c r="P21" s="6" t="n"/>
      <c r="Q21" s="6" t="n"/>
    </row>
    <row r="22">
      <c r="A22" s="6" t="inlineStr">
        <is>
          <t>11  Combined buffer requirement (%)</t>
        </is>
      </c>
      <c r="B22" s="6" t="inlineStr">
        <is>
          <t>4.5%</t>
        </is>
      </c>
      <c r="C22" s="6" t="inlineStr">
        <is>
          <t>4.5%</t>
        </is>
      </c>
      <c r="D22" s="6" t="inlineStr">
        <is>
          <t>4.5%</t>
        </is>
      </c>
      <c r="E22" s="6" t="inlineStr">
        <is>
          <t>3.5%</t>
        </is>
      </c>
      <c r="F22" s="6" t="inlineStr">
        <is>
          <t>2.5%</t>
        </is>
      </c>
      <c r="G22" s="6" t="n"/>
      <c r="H22" s="6" t="n"/>
      <c r="I22" s="6" t="n"/>
      <c r="J22" s="6" t="n"/>
      <c r="K22" s="6" t="n"/>
      <c r="L22" s="6" t="n"/>
      <c r="M22" s="6" t="n"/>
      <c r="N22" s="6" t="n"/>
      <c r="O22" s="6" t="n"/>
      <c r="P22" s="6" t="n"/>
      <c r="Q22" s="6" t="n"/>
    </row>
    <row r="23">
      <c r="A23" s="6" t="inlineStr">
        <is>
          <t>UK 11a  Overall capital requirements (%)</t>
        </is>
      </c>
      <c r="B23" s="6" t="inlineStr">
        <is>
          <t>13.8%</t>
        </is>
      </c>
      <c r="C23" s="6" t="inlineStr">
        <is>
          <t>14.6%</t>
        </is>
      </c>
      <c r="D23" s="6" t="inlineStr">
        <is>
          <t>14.6%</t>
        </is>
      </c>
      <c r="E23" s="6" t="inlineStr">
        <is>
          <t>13.6%</t>
        </is>
      </c>
      <c r="F23" s="6" t="inlineStr">
        <is>
          <t>12.6%</t>
        </is>
      </c>
      <c r="G23" s="6" t="n"/>
      <c r="H23" s="6" t="n"/>
      <c r="I23" s="6" t="n"/>
      <c r="J23" s="6" t="n"/>
      <c r="K23" s="6" t="n"/>
      <c r="L23" s="6" t="n"/>
      <c r="M23" s="6" t="n"/>
      <c r="N23" s="6" t="n"/>
      <c r="O23" s="6" t="n"/>
      <c r="P23" s="6" t="n"/>
      <c r="Q23" s="6" t="n"/>
    </row>
    <row r="24">
      <c r="A24" s="6" t="inlineStr">
        <is>
          <t>12  CET1 available after meeting the total SREP own funds requirements (%)</t>
        </is>
      </c>
      <c r="B24" s="6" t="inlineStr">
        <is>
          <t>12.5%</t>
        </is>
      </c>
      <c r="C24" s="6" t="inlineStr">
        <is>
          <t>12.8%</t>
        </is>
      </c>
      <c r="D24" s="6" t="inlineStr">
        <is>
          <t>12.8%</t>
        </is>
      </c>
      <c r="E24" s="6" t="inlineStr">
        <is>
          <t>12.8%</t>
        </is>
      </c>
      <c r="F24" s="6" t="inlineStr">
        <is>
          <t>7.0%</t>
        </is>
      </c>
      <c r="G24" s="6" t="n"/>
      <c r="H24" s="6" t="n"/>
      <c r="I24" s="6" t="n"/>
      <c r="J24" s="6" t="n"/>
      <c r="K24" s="6" t="n"/>
      <c r="L24" s="6" t="n"/>
      <c r="M24" s="6" t="n"/>
      <c r="N24" s="6" t="n"/>
      <c r="O24" s="6" t="n"/>
      <c r="P24" s="6" t="n"/>
      <c r="Q24" s="6" t="n"/>
    </row>
    <row r="25">
      <c r="A25" s="5" t="inlineStr">
        <is>
          <t>Leverage ratio</t>
        </is>
      </c>
      <c r="B25" s="6" t="n"/>
      <c r="C25" s="6" t="n"/>
      <c r="D25" s="6" t="n"/>
      <c r="E25" s="6" t="n"/>
      <c r="F25" s="6" t="n"/>
      <c r="G25" s="6" t="n"/>
      <c r="H25" s="6" t="n"/>
      <c r="I25" s="6" t="n"/>
      <c r="J25" s="6" t="n"/>
      <c r="K25" s="6" t="n"/>
      <c r="L25" s="6" t="n"/>
      <c r="M25" s="6" t="n"/>
      <c r="N25" s="6" t="n"/>
      <c r="O25" s="6" t="n"/>
      <c r="P25" s="6" t="n"/>
      <c r="Q25" s="6" t="n"/>
    </row>
    <row r="26">
      <c r="A26" s="6" t="inlineStr">
        <is>
          <t>13  Total exposure measure excluding claims on central banks (£m)</t>
        </is>
      </c>
      <c r="B26" s="6" t="n">
        <v>16715.1</v>
      </c>
      <c r="C26" s="6" t="n">
        <v>15674.3</v>
      </c>
      <c r="D26" s="6" t="n">
        <v>14337.2</v>
      </c>
      <c r="E26" s="6" t="n">
        <v>13609.6</v>
      </c>
      <c r="F26" s="6" t="n">
        <v>13850.3</v>
      </c>
      <c r="G26" s="6" t="n"/>
      <c r="H26" s="6" t="n"/>
      <c r="I26" s="6" t="n"/>
      <c r="J26" s="6" t="n"/>
      <c r="K26" s="6" t="n"/>
      <c r="L26" s="6" t="n"/>
      <c r="M26" s="6" t="n"/>
      <c r="N26" s="6" t="n"/>
      <c r="O26" s="6" t="n"/>
      <c r="P26" s="6" t="n"/>
      <c r="Q26" s="6" t="n"/>
    </row>
    <row r="27">
      <c r="A27" s="6" t="inlineStr">
        <is>
          <t>14  Leverage ratio excluding claims on central banks (%)</t>
        </is>
      </c>
      <c r="B27" s="6" t="inlineStr">
        <is>
          <t>9.0%</t>
        </is>
      </c>
      <c r="C27" s="6" t="inlineStr">
        <is>
          <t>8.9%</t>
        </is>
      </c>
      <c r="D27" s="6" t="inlineStr">
        <is>
          <t>9.6%</t>
        </is>
      </c>
      <c r="E27" s="6" t="inlineStr">
        <is>
          <t>9.3%</t>
        </is>
      </c>
      <c r="F27" s="6" t="inlineStr">
        <is>
          <t>8.1%</t>
        </is>
      </c>
      <c r="G27" s="6" t="n"/>
      <c r="H27" s="6" t="n"/>
      <c r="I27" s="6" t="n"/>
      <c r="J27" s="6" t="n"/>
      <c r="K27" s="6" t="n"/>
      <c r="L27" s="6" t="n"/>
      <c r="M27" s="6" t="n"/>
      <c r="N27" s="6" t="n"/>
      <c r="O27" s="6" t="n"/>
      <c r="P27" s="6" t="n"/>
      <c r="Q27" s="6" t="n"/>
    </row>
    <row r="28">
      <c r="A28" s="5" t="inlineStr">
        <is>
          <t>Liquidity Coverage Ratio</t>
        </is>
      </c>
      <c r="B28" s="6" t="n"/>
      <c r="C28" s="6" t="n"/>
      <c r="D28" s="6" t="n"/>
      <c r="E28" s="6" t="n"/>
      <c r="F28" s="6" t="n"/>
      <c r="G28" s="6" t="n"/>
      <c r="H28" s="6" t="n"/>
      <c r="I28" s="6" t="n"/>
      <c r="J28" s="6" t="n"/>
      <c r="K28" s="6" t="n"/>
      <c r="L28" s="6" t="n"/>
      <c r="M28" s="6" t="n"/>
      <c r="N28" s="6" t="n"/>
      <c r="O28" s="6" t="n"/>
      <c r="P28" s="6" t="n"/>
      <c r="Q28" s="6" t="n"/>
    </row>
    <row r="29">
      <c r="A29" s="6" t="inlineStr">
        <is>
          <t>15  Total high-quality liquid assets (HQLA) (weighted value - average) (£m)</t>
        </is>
      </c>
      <c r="B29" s="6" t="n">
        <v>3725.9</v>
      </c>
      <c r="C29" s="6" t="n">
        <v>3723.1</v>
      </c>
      <c r="D29" s="6" t="n">
        <v>4208.6</v>
      </c>
      <c r="E29" s="6" t="n">
        <v>3280.6</v>
      </c>
      <c r="F29" s="6" t="n">
        <v>2838.5</v>
      </c>
      <c r="G29" s="6" t="n"/>
      <c r="H29" s="6" t="n"/>
      <c r="I29" s="6" t="n"/>
      <c r="J29" s="6" t="n"/>
      <c r="K29" s="6" t="n"/>
      <c r="L29" s="6" t="n"/>
      <c r="M29" s="6" t="n"/>
      <c r="N29" s="6" t="n"/>
      <c r="O29" s="6" t="n"/>
      <c r="P29" s="6" t="n"/>
      <c r="Q29" s="6" t="n"/>
    </row>
    <row r="30">
      <c r="A30" s="6" t="inlineStr">
        <is>
          <t>UK 16a  Cash outflows - total weighted value (£m)</t>
        </is>
      </c>
      <c r="B30" s="6" t="n">
        <v>2554.3</v>
      </c>
      <c r="C30" s="6" t="n">
        <v>2194.3</v>
      </c>
      <c r="D30" s="6" t="n">
        <v>2206.4</v>
      </c>
      <c r="E30" s="6" t="n">
        <v>1951</v>
      </c>
      <c r="F30" s="6" t="n">
        <v>1012.1</v>
      </c>
      <c r="G30" s="6" t="n"/>
      <c r="H30" s="6" t="n"/>
      <c r="I30" s="6" t="n"/>
      <c r="J30" s="6" t="n"/>
      <c r="K30" s="6" t="n"/>
      <c r="L30" s="6" t="n"/>
      <c r="M30" s="6" t="n"/>
      <c r="N30" s="6" t="n"/>
      <c r="O30" s="6" t="n"/>
      <c r="P30" s="6" t="n"/>
      <c r="Q30" s="6" t="n"/>
    </row>
    <row r="31">
      <c r="A31" s="6" t="inlineStr">
        <is>
          <t>UK 16b  Cash inflows - total weighted value (£m)</t>
        </is>
      </c>
      <c r="B31" s="6" t="n">
        <v>291.2</v>
      </c>
      <c r="C31" s="6" t="n">
        <v>226</v>
      </c>
      <c r="D31" s="6" t="n">
        <v>247</v>
      </c>
      <c r="E31" s="6" t="n">
        <v>264.6</v>
      </c>
      <c r="F31" s="6" t="n">
        <v>239.5</v>
      </c>
      <c r="G31" s="6" t="n"/>
      <c r="H31" s="6" t="n"/>
      <c r="I31" s="6" t="n"/>
      <c r="J31" s="6" t="n"/>
      <c r="K31" s="6" t="n"/>
      <c r="L31" s="6" t="n"/>
      <c r="M31" s="6" t="n"/>
      <c r="N31" s="6" t="n"/>
      <c r="O31" s="6" t="n"/>
      <c r="P31" s="6" t="n"/>
      <c r="Q31" s="6" t="n"/>
    </row>
    <row r="32">
      <c r="A32" s="6" t="inlineStr">
        <is>
          <t>16  Total net cash outflows (adjusted value) (£m)</t>
        </is>
      </c>
      <c r="B32" s="6" t="n">
        <v>2263.1</v>
      </c>
      <c r="C32" s="6" t="n">
        <v>1968.3</v>
      </c>
      <c r="D32" s="6" t="n">
        <v>1959.4</v>
      </c>
      <c r="E32" s="6" t="n">
        <v>1686.4</v>
      </c>
      <c r="F32" s="6" t="n">
        <v>772.6</v>
      </c>
      <c r="G32" s="6" t="n"/>
      <c r="H32" s="6" t="n"/>
      <c r="I32" s="6" t="n"/>
      <c r="J32" s="6" t="n"/>
      <c r="K32" s="6" t="n"/>
      <c r="L32" s="6" t="n"/>
      <c r="M32" s="6" t="n"/>
      <c r="N32" s="6" t="n"/>
      <c r="O32" s="6" t="n"/>
      <c r="P32" s="6" t="n"/>
      <c r="Q32" s="6" t="n"/>
    </row>
    <row r="33">
      <c r="A33" s="6" t="inlineStr">
        <is>
          <t>17  Liquidity coverage ratio (%)</t>
        </is>
      </c>
      <c r="B33" s="6" t="inlineStr">
        <is>
          <t>164.6%</t>
        </is>
      </c>
      <c r="C33" s="6" t="inlineStr">
        <is>
          <t>189.2%</t>
        </is>
      </c>
      <c r="D33" s="6" t="inlineStr">
        <is>
          <t>214.8%</t>
        </is>
      </c>
      <c r="E33" s="6" t="inlineStr">
        <is>
          <t>194.5%</t>
        </is>
      </c>
      <c r="F33" s="6" t="inlineStr">
        <is>
          <t>367.4%</t>
        </is>
      </c>
      <c r="G33" s="6" t="n"/>
      <c r="H33" s="6" t="n"/>
      <c r="I33" s="6" t="n"/>
      <c r="J33" s="6" t="n"/>
      <c r="K33" s="6" t="n"/>
      <c r="L33" s="6" t="n"/>
      <c r="M33" s="6" t="n"/>
      <c r="N33" s="6" t="n"/>
      <c r="O33" s="6" t="n"/>
      <c r="P33" s="6" t="n"/>
      <c r="Q33" s="6" t="n"/>
    </row>
    <row r="34">
      <c r="A34" s="5" t="inlineStr">
        <is>
          <t>Net Stable Funding Ratio</t>
        </is>
      </c>
      <c r="B34" s="6" t="n"/>
      <c r="C34" s="6" t="n"/>
      <c r="D34" s="6" t="n"/>
      <c r="E34" s="6" t="n"/>
      <c r="F34" s="6" t="n"/>
      <c r="G34" s="6" t="n"/>
      <c r="H34" s="6" t="n"/>
      <c r="I34" s="6" t="n"/>
      <c r="J34" s="6" t="n"/>
      <c r="K34" s="6" t="n"/>
      <c r="L34" s="6" t="n"/>
      <c r="M34" s="6" t="n"/>
      <c r="N34" s="6" t="n"/>
      <c r="O34" s="6" t="n"/>
      <c r="P34" s="6" t="n"/>
      <c r="Q34" s="6" t="n"/>
    </row>
    <row r="35">
      <c r="A35" s="6" t="inlineStr">
        <is>
          <t>18  Total available stable funding (£m)</t>
        </is>
      </c>
      <c r="B35" s="6" t="n">
        <v>16701.9</v>
      </c>
      <c r="C35" s="6" t="n">
        <v>15972.4</v>
      </c>
      <c r="D35" s="6" t="n">
        <v>16133.4</v>
      </c>
      <c r="E35" s="6" t="n">
        <v>15490.2</v>
      </c>
      <c r="F35" s="6" t="n">
        <v>15667.6</v>
      </c>
      <c r="G35" s="6" t="n"/>
      <c r="H35" s="6" t="n"/>
      <c r="I35" s="6" t="n"/>
      <c r="J35" s="6" t="n"/>
      <c r="K35" s="6" t="n"/>
      <c r="L35" s="6" t="n"/>
      <c r="M35" s="6" t="n"/>
      <c r="N35" s="6" t="n"/>
      <c r="O35" s="6" t="n"/>
      <c r="P35" s="6" t="n"/>
      <c r="Q35" s="6" t="n"/>
    </row>
    <row r="36">
      <c r="A36" s="6" t="inlineStr">
        <is>
          <t>19  Total required stable funding (£m)</t>
        </is>
      </c>
      <c r="B36" s="6" t="n">
        <v>13318.4</v>
      </c>
      <c r="C36" s="6" t="n">
        <v>12166.9</v>
      </c>
      <c r="D36" s="6" t="n">
        <v>11778</v>
      </c>
      <c r="E36" s="6" t="n">
        <v>12161.3</v>
      </c>
      <c r="F36" s="6" t="n">
        <v>12169.6</v>
      </c>
      <c r="G36" s="6" t="n"/>
      <c r="H36" s="6" t="n"/>
      <c r="I36" s="6" t="n"/>
      <c r="J36" s="6" t="n"/>
      <c r="K36" s="6" t="n"/>
      <c r="L36" s="6" t="n"/>
      <c r="M36" s="6" t="n"/>
      <c r="N36" s="6" t="n"/>
      <c r="O36" s="6" t="n"/>
      <c r="P36" s="6" t="n"/>
      <c r="Q36" s="6" t="n"/>
    </row>
    <row r="37">
      <c r="A37" s="6" t="inlineStr">
        <is>
          <t>20  NSFR ratio (%)</t>
        </is>
      </c>
      <c r="B37" s="6" t="inlineStr">
        <is>
          <t>125.4%</t>
        </is>
      </c>
      <c r="C37" s="6" t="inlineStr">
        <is>
          <t>131.3%</t>
        </is>
      </c>
      <c r="D37" s="6" t="inlineStr">
        <is>
          <t>137.0%</t>
        </is>
      </c>
      <c r="E37" s="6" t="inlineStr">
        <is>
          <t>127.4%</t>
        </is>
      </c>
      <c r="F37" s="6" t="inlineStr">
        <is>
          <t>128.7%</t>
        </is>
      </c>
      <c r="G37" s="6" t="n"/>
      <c r="H37" s="6" t="n"/>
      <c r="I37" s="6" t="n"/>
      <c r="J37" s="6" t="n"/>
      <c r="K37" s="6" t="n"/>
      <c r="L37" s="6" t="n"/>
      <c r="M37" s="6" t="n"/>
      <c r="N37" s="6" t="n"/>
      <c r="O37" s="6" t="n"/>
      <c r="P37" s="6" t="n"/>
      <c r="Q37" s="6" t="n"/>
    </row>
    <row r="39" ht="210" customHeight="1">
      <c r="A39" s="8" t="inlineStr">
        <is>
          <t>Sources — Aldermore Bank PLC ('Bank') columns of the key-metrics table in each year's OWN Pillar 3 edition. Every edition prints the same rows for both Aldermore Group PLC and the Bank; the Bank columns are taken here, matching the entity basis of every other sheet in this workbook.
FY2026: Pillar 3 Report for the year ended 30 June 2026, p.6 (UK KM1 — Key metrics template, Bank column a, 30-Jun-26) — https://www.aldermore.co.uk/media/0wylhhas/pillar-3-fy-2026-aldermore-group.pdf
FY2025: Pillar 3 Disclosures for the year ended 30 June 2025, pp.4-5 (Key metrics, Bank 30 June 2025 column). This edition's table BREAKS ACROSS A PAGE: capital, SREP, buffers, leverage and LCR on p.4, the three NSFR rows on p.5 under their own heading. The other editions print it whole on one page — https://www.aldermore.co.uk/media/sgufisw5/aldermore-group-plc-2025-pillar-3-disclosures.pdf
FY2024: Pillar 3 Disclosures for the year ended 30 June 2024, p.4 (Key metrics, Bank 30 June 2024) — https://www.aldermore.co.uk/media/jkkdbgnu/aldermore-group-plc-2024-pillar-3-disclosures.pdf
FY2023: Pillar 3 Disclosures for the year ended 30 June 2023, p.4 (Key metrics, Bank 30 June 2023) — https://www.aldermore.co.uk/media/ynohqczi/pillar-3-2023.pdf
FY2022: Pillar 3 Disclosures for the year ended 30 June 2022, p.4 (Key metrics, Bank 30 June 2022) — https://www.aldermore.co.uk/media/hnhpw03l/pillar-3-2022_0.pdf
FY2021 and earlier carry no column: the FY2021 and FY2020 editions (83 and 86 pages, both located on Aldermore's own investor index on 2026-09-16) print no key-metrics table of any kind, and the template post-dates them — the Disclosure (CRR) Part of the PRA Rulebook applied from 1 January 2022. Those years are blank because the FY2021 EDITION published no such table, not because it was not found. A FY2021 comparative does exist: the FY2022 edition prints a 30 June 2021 Bank column for the capital, ratio and SREP rows (CET1 £947.0m, CET1 ratio 15.9%, total SREP 1.1%) and 'n/a' for every leverage, LCR and NSFR row. It is deliberately not used — each column here comes from its own year's edition.
LATEST-EDITION CHECK: Aldermore's own investor index (https://www.aldermore.co.uk/investors/results-and-presentations/) checked 2026-09-16 — newest Pillar 3 is FY2026 (year ended 30 June 2026), already carried here. None newer.
FOUR SOURCE INCONSISTENCIES, REPRODUCED AS PUBLISHED AND NOT RECONCILED. All 25 rows of all five columns were read off that year's OWN edition and re-checked against the printed page on 2026-09-16. The items below are differences BETWEEN editions, found by comparing each edition against the next edition's comparative column for the same entity and date (FY2022 vs FY2023, FY2024 vs FY2025, FY2025 vs FY2026). Nothing below was adjusted, spliced or averaged.
1. 'Total SREP own funds requirements' (UK 7d) is a BASIS BREAK, not a fall: the FY2022 edition prints 2.1% for the Bank — the ADDITIONAL requirement only, and the three component rows immediately above it sum to exactly that (1.2 + 0.4 + 0.5) — while the FY2023 edition onward print 10.1% for the same measure, the TOTAL including the 8% Pillar 1 minimum. The Group column breaks identically in the same editions (1.6% to 9.6%), which is what confirms this is the bank's change of basis and not a row misread on our side. The series is deliberately not spliced.
2. That basis change is applied RETROSPECTIVELY to the comparative: the FY2022 edition prints 7.0% for 'CET1 available after meeting the total SREP own funds requirements' at 30 June 2022, while the FY2023 edition's comparative prints 11.3% for that identical row and identical date.
3. The FY2023 edition also RESTATES the FY2022 NSFR rows: available stable funding £15,667.6m becomes £14,273.5m, required stable funding £12,169.6m becomes £10,867.2m, and the ratio 128.7% becomes 131.3%. Every LCR row for that same date agrees exactly between the two editions, so the restatement is confined to NSFR rather than being a general re-basing of the liquidity section.
4. FY2025's leverage exposure measure is RESTATED: the FY2025 edition prints £15,674.3m for the Bank at 30 June 2025, the FY2026 edition's comparative £15,526.0m for that same date. £15,674.3m stands here. 24 of the 25 FY2026 comparative rows agree exactly with the FY2025 edition — that row-by-row check is how this was found. Separately, the FY2025 edition's own 30 June 2024 comparatives print CET1 £1,321.4m, Tier 1 £1,382.4m and total capital £1,482.4m where the FY2024 edition printed £1,321.5m, £1,382.5m and £1,482.5m: 0.1m of precision drift on three capital rows, carrying into no ratio.
The FY2022 edition prints 'n/a' rather than a figure for the FY2021 comparatives of every leverage, LCR and NSFR row, footnoted 'these disclosures have been implemented from 1 January 2022 ... no comparatives are being provided' — the 1 January 2022 basis break in the bank's own words. Those comparatives are not used here in any case, since each column is taken from its own year's edition.</t>
        </is>
      </c>
    </row>
  </sheetData>
  <mergeCells count="1">
    <mergeCell ref="A39:Q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CET1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Common Equity Tier 1 (CET1) capital</t>
        </is>
      </c>
      <c r="B4" s="6" t="n">
        <v>1450.9</v>
      </c>
      <c r="C4" s="6" t="n">
        <v>1337.8</v>
      </c>
      <c r="D4" s="6" t="n">
        <v>1321.5</v>
      </c>
      <c r="E4" s="6" t="n">
        <v>1203.8</v>
      </c>
      <c r="F4" s="6" t="n">
        <v>1065.9</v>
      </c>
      <c r="G4" s="6" t="n">
        <v>947</v>
      </c>
      <c r="H4" s="6" t="n"/>
      <c r="I4" s="6" t="n">
        <v>781.6</v>
      </c>
      <c r="J4" s="6" t="n">
        <v>682.2</v>
      </c>
      <c r="K4" s="6" t="n"/>
      <c r="L4" s="6" t="n"/>
      <c r="M4" s="6" t="n">
        <v>433.2</v>
      </c>
      <c r="N4" s="6" t="n">
        <v>280.7</v>
      </c>
      <c r="O4" s="6" t="n">
        <v>250.4</v>
      </c>
      <c r="P4" s="6" t="n"/>
      <c r="Q4" s="6" t="n">
        <v>158.2</v>
      </c>
    </row>
    <row r="5" ht="60" customHeight="1">
      <c r="A5" s="7" t="inlineStr">
        <is>
          <t>Note: FY2016 and FY2020: no CET1 capital £m figure survives outside a full Pillar 3 document (only the CET1 ratio % does, from each year's own Annual Report highlights) — see the CET1 Ratio sheet.
FY2013 and FY2011 ARE BASEL II CORE TIER 1, NOT A CRD IV CET1 CALCULATION. CET1 as a defined measure did not exist before CRD IV took effect on 1 January 2014, and neither recovered edition uses the term. What each does state is that its Tier 1 capital consisted solely of fully issued ordinary shares and audited reserves, with no AT1, hybrid or Tier 3 instrument at all — so the Core Tier 1 measure is placed here on the same no-AT1 convention used elsewhere in this workbook, with the basis flagged rather than presented as a like-for-like CET1. FY2013 250.4 is the figure stated in that edition's own narrative; FY2011 158.2 is likewise stated in narrative and is the £166,143k Total Core Tier 1 capital of the same page's table less that table's own £7,915k intangible-assets deduction. FY2012 is blank: no 2012 edition exists in the archive and neither adjacent edition carries a comparative column.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CET1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Common Equity Tier 1 ratio</t>
        </is>
      </c>
      <c r="B4" s="6" t="inlineStr">
        <is>
          <t>17.7%</t>
        </is>
      </c>
      <c r="C4" s="6" t="inlineStr">
        <is>
          <t>18.4%</t>
        </is>
      </c>
      <c r="D4" s="6" t="inlineStr">
        <is>
          <t>19.2%</t>
        </is>
      </c>
      <c r="E4" s="6" t="inlineStr">
        <is>
          <t>18.5%</t>
        </is>
      </c>
      <c r="F4" s="6" t="inlineStr">
        <is>
          <t>17.0%</t>
        </is>
      </c>
      <c r="G4" s="6" t="inlineStr">
        <is>
          <t>15.9%</t>
        </is>
      </c>
      <c r="H4" s="6" t="inlineStr">
        <is>
          <t>13.4%</t>
        </is>
      </c>
      <c r="I4" s="6" t="inlineStr">
        <is>
          <t>12.6%</t>
        </is>
      </c>
      <c r="J4" s="6" t="inlineStr">
        <is>
          <t>12.5%</t>
        </is>
      </c>
      <c r="K4" s="6" t="n"/>
      <c r="L4" s="6" t="inlineStr">
        <is>
          <t>11.4%</t>
        </is>
      </c>
      <c r="M4" s="6" t="inlineStr">
        <is>
          <t>11.7%</t>
        </is>
      </c>
      <c r="N4" s="6" t="inlineStr">
        <is>
          <t>10.3%</t>
        </is>
      </c>
      <c r="O4" s="6" t="n"/>
      <c r="P4" s="6" t="n"/>
      <c r="Q4" s="6" t="n"/>
    </row>
    <row r="5" ht="60" customHeight="1">
      <c r="A5" s="7" t="inlineStr">
        <is>
          <t>Note: FY2020 and FY2016 CET1 ratios are sourced from the Bank's own Annual Report 'Financial highlights' page (no standalone Pillar 3 document survives for those two years — see p3_sources note above), not from a Pillar 3 Key metrics table as for every other year on this sheet.
FY2013, FY2012 and FY2011 are blank by design, not unresearched. The two recovered Basel II editions (31 Dec 2013 and 31 Dec 2011) disclose no risk-weighted-asset figure and no capital ratio of any kind — they publish the Pillar 1 CAPITAL requirement (8% x risk weight) instead — so there is no denominator to state and no ratio to transcribe. Deriving one by grossing the capital requirement up by 12.5 would be back-solving a figure neither document states, and is deliberately not done. FY2012 has no edition at all.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Tier 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Tier 1 capital</t>
        </is>
      </c>
      <c r="B4" s="6" t="n">
        <v>1500.9</v>
      </c>
      <c r="C4" s="6" t="n">
        <v>1387.8</v>
      </c>
      <c r="D4" s="6" t="n">
        <v>1382.5</v>
      </c>
      <c r="E4" s="6" t="n">
        <v>1264.8</v>
      </c>
      <c r="F4" s="6" t="n">
        <v>1126.6</v>
      </c>
      <c r="G4" s="6" t="n">
        <v>1008</v>
      </c>
      <c r="H4" s="6" t="n"/>
      <c r="I4" s="6" t="n">
        <v>855.9</v>
      </c>
      <c r="J4" s="6" t="n">
        <v>756.5</v>
      </c>
      <c r="K4" s="6" t="n"/>
      <c r="L4" s="6" t="n"/>
      <c r="M4" s="6" t="n">
        <v>507.5</v>
      </c>
      <c r="N4" s="6" t="n">
        <v>355</v>
      </c>
      <c r="O4" s="6" t="n">
        <v>250.4</v>
      </c>
      <c r="P4" s="6" t="n"/>
      <c r="Q4" s="6" t="n">
        <v>158.2</v>
      </c>
    </row>
    <row r="5" ht="60" customHeight="1">
      <c r="A5" s="7" t="inlineStr">
        <is>
          <t>Note: FY2013 250.4 and FY2011 158.2 are each recovered Basel II edition's own stated Tier 1 capital, after deductions, and are identical to the CET1 Capital sheet's figures for those years because neither year's Tier 1 contained any AT1 or hybrid instrument — each document states expressly that Tier 1 consisted of fully issued ordinary shares and audited reserves and that no Tier 3 capital was held. That is a real change of shape rather than a gap: from FY2014 the Bank's Tier 1 exceeds its CET1 (FY2014 355.0 vs 280.7) because AT1 had been issued by then.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Tier 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Tier 1 ratio</t>
        </is>
      </c>
      <c r="B4" s="6" t="inlineStr">
        <is>
          <t>18.3%</t>
        </is>
      </c>
      <c r="C4" s="6" t="inlineStr">
        <is>
          <t>19.1%</t>
        </is>
      </c>
      <c r="D4" s="6" t="inlineStr">
        <is>
          <t>20.1%</t>
        </is>
      </c>
      <c r="E4" s="6" t="inlineStr">
        <is>
          <t>19.4%</t>
        </is>
      </c>
      <c r="F4" s="6" t="inlineStr">
        <is>
          <t>18.0%</t>
        </is>
      </c>
      <c r="G4" s="6" t="inlineStr">
        <is>
          <t>16.9%</t>
        </is>
      </c>
      <c r="H4" s="6" t="n"/>
      <c r="I4" s="6" t="inlineStr">
        <is>
          <t>13.9%</t>
        </is>
      </c>
      <c r="J4" s="6" t="inlineStr">
        <is>
          <t>13.9%</t>
        </is>
      </c>
      <c r="K4" s="6" t="n"/>
      <c r="L4" s="6" t="n"/>
      <c r="M4" s="6" t="inlineStr">
        <is>
          <t>13.8%</t>
        </is>
      </c>
      <c r="N4" s="6" t="inlineStr">
        <is>
          <t>13.1%</t>
        </is>
      </c>
      <c r="O4" s="6" t="n"/>
      <c r="P4" s="6" t="n"/>
      <c r="Q4" s="6" t="n"/>
    </row>
    <row r="5" ht="60" customHeight="1">
      <c r="A5" s="7" t="inlineStr">
        <is>
          <t>Note: FY2013, FY2012 and FY2011 are blank by design: the two recovered Basel II editions publish no RWA figure and no capital ratio, only the Pillar 1 capital requirement, so no ratio can be transcribed and none is derived; FY2012 has no edition at all. See the CET1 Ratio sheet's note and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capital</t>
        </is>
      </c>
      <c r="B4" s="6" t="n">
        <v>1800.9</v>
      </c>
      <c r="C4" s="6" t="n">
        <v>1487.8</v>
      </c>
      <c r="D4" s="6" t="n">
        <v>1482.5</v>
      </c>
      <c r="E4" s="6" t="n">
        <v>1364.8</v>
      </c>
      <c r="F4" s="6" t="n">
        <v>1226.6</v>
      </c>
      <c r="G4" s="6" t="n">
        <v>1168</v>
      </c>
      <c r="H4" s="6" t="n"/>
      <c r="I4" s="6" t="n">
        <v>1015.9</v>
      </c>
      <c r="J4" s="6" t="n">
        <v>833.9</v>
      </c>
      <c r="K4" s="6" t="n"/>
      <c r="L4" s="6" t="n"/>
      <c r="M4" s="6" t="n">
        <v>556.1</v>
      </c>
      <c r="N4" s="6" t="n">
        <v>400.3</v>
      </c>
      <c r="O4" s="6" t="n"/>
      <c r="P4" s="6" t="n"/>
      <c r="Q4" s="6" t="n">
        <v>159.6</v>
      </c>
    </row>
    <row r="5" ht="60" customHeight="1">
      <c r="A5" s="7" t="inlineStr">
        <is>
          <t>Note: FY2011 159.6 is the recovered 31 December 2011 edition's own printed 'Total capital less deductions' line (£159,602k) — a stated total, not a sum computed here.
FY2013 IS DELIBERATELY BLANK EVEN THOUGH BOTH ITS COMPONENTS ARE KNOWN. That edition states £250.4m of Tier 1 capital and £39.3m of Tier 2 capital but never prints a total capital figure, and it does not say whether either component is stated before or after deductions — which matters, because the 2011 edition shows the same Bank's total moving from £167.5m before deductions to £159.6m after them. Adding 250.4 and 39.3 to publish £289.7m would be presenting a derived number as a disclosed one, so it is not done. The two components are recorded in this sheet's source note instead.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Capital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capital ratio</t>
        </is>
      </c>
      <c r="B4" s="6" t="inlineStr">
        <is>
          <t>22.0%</t>
        </is>
      </c>
      <c r="C4" s="6" t="inlineStr">
        <is>
          <t>20.5%</t>
        </is>
      </c>
      <c r="D4" s="6" t="inlineStr">
        <is>
          <t>21.6%</t>
        </is>
      </c>
      <c r="E4" s="6" t="inlineStr">
        <is>
          <t>21.0%</t>
        </is>
      </c>
      <c r="F4" s="6" t="inlineStr">
        <is>
          <t>19.6%</t>
        </is>
      </c>
      <c r="G4" s="6" t="inlineStr">
        <is>
          <t>19.6%</t>
        </is>
      </c>
      <c r="H4" s="6" t="n"/>
      <c r="I4" s="6" t="inlineStr">
        <is>
          <t>16.4%</t>
        </is>
      </c>
      <c r="J4" s="6" t="inlineStr">
        <is>
          <t>15.3%</t>
        </is>
      </c>
      <c r="K4" s="6" t="n"/>
      <c r="L4" s="6" t="n"/>
      <c r="M4" s="6" t="inlineStr">
        <is>
          <t>15.1%</t>
        </is>
      </c>
      <c r="N4" s="6" t="inlineStr">
        <is>
          <t>14.7%</t>
        </is>
      </c>
      <c r="O4" s="6" t="n"/>
      <c r="P4" s="6" t="n"/>
      <c r="Q4" s="6" t="n"/>
    </row>
    <row r="5" ht="60" customHeight="1">
      <c r="A5" s="7" t="inlineStr">
        <is>
          <t>Note: FY2013, FY2012 and FY2011 are blank by design: no RWA denominator and no capital ratio is published in either recovered Basel II edition, and none is derived. See the CET1 Ratio sheet's note and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RWAs</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risk-weighted assets (RWA)</t>
        </is>
      </c>
      <c r="B4" s="6" t="n">
        <v>8203.700000000001</v>
      </c>
      <c r="C4" s="6" t="n">
        <v>7271.6</v>
      </c>
      <c r="D4" s="6" t="n">
        <v>6875.6</v>
      </c>
      <c r="E4" s="6" t="n">
        <v>6504.9</v>
      </c>
      <c r="F4" s="6" t="n">
        <v>6260.1</v>
      </c>
      <c r="G4" s="6" t="n">
        <v>5964.1</v>
      </c>
      <c r="H4" s="6" t="n"/>
      <c r="I4" s="6" t="n">
        <v>6179</v>
      </c>
      <c r="J4" s="6" t="n">
        <v>5451</v>
      </c>
      <c r="K4" s="6" t="n"/>
      <c r="L4" s="6" t="n"/>
      <c r="M4" s="6" t="n">
        <v>3687.5</v>
      </c>
      <c r="N4" s="6" t="n">
        <v>2719.5</v>
      </c>
      <c r="O4" s="6" t="n"/>
      <c r="P4" s="6" t="n"/>
      <c r="Q4" s="6" t="n"/>
    </row>
    <row r="5" ht="60" customHeight="1">
      <c r="A5" s="7" t="inlineStr">
        <is>
          <t>Note: FY2013, FY2012 and FY2011 are blank by design, and this is the single most important gap to understand in the recovered historical columns. The 31 December 2013 and 31 December 2011 editions disclose the Pillar 1 CAPITAL requirement by exposure class (8% x risk weight) — £165,031k and £68,091k of credit-risk capital respectively, plus operational-risk charges of £6.5m and £1.9m — but no risk-weighted-asset amount anywhere, and no total against which a ratio could be quoted. Multiplying those capital requirements by 12.5 would produce a plausible-looking RWA that no document states, so it is not done; the capital requirements are instead shown as capital, on clearly labelled rows of the RWA Breakdown sheet. FY2012 has no edition at all.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RWA Breakdown (Overview of Risk Weighted Assets)</t>
        </is>
      </c>
    </row>
    <row r="2">
      <c r="A2" s="2" t="inlineStr">
        <is>
          <t>Bank solo basis, £m</t>
        </is>
      </c>
    </row>
    <row r="3">
      <c r="A3" s="4" t="inlineStr">
        <is>
          <t>Line item</t>
        </is>
      </c>
      <c r="B3" s="4" t="inlineStr">
        <is>
          <t>FY2026 (y/e 30 Jun 26) (£'000)</t>
        </is>
      </c>
      <c r="C3" s="4" t="inlineStr">
        <is>
          <t>FY2025 (y/e 30 Jun 25) (£'000)</t>
        </is>
      </c>
      <c r="D3" s="4" t="inlineStr">
        <is>
          <t>FY2024 (y/e 30 Jun 24) (£'000)</t>
        </is>
      </c>
      <c r="E3" s="4" t="inlineStr">
        <is>
          <t>FY2023 (y/e 30 Jun 23) (£'000)</t>
        </is>
      </c>
      <c r="F3" s="4" t="inlineStr">
        <is>
          <t>FY2022 (y/e 30 Jun 22) (£'000)</t>
        </is>
      </c>
      <c r="G3" s="4" t="inlineStr">
        <is>
          <t>FY2021 (y/e 30 Jun 21) (£'000)</t>
        </is>
      </c>
      <c r="H3" s="4" t="inlineStr">
        <is>
          <t>FY2020 (y/e 30 Jun 20) (£'000)</t>
        </is>
      </c>
      <c r="I3" s="4" t="inlineStr">
        <is>
          <t>FY2019 (y/e 30 Jun 19) (£'000)</t>
        </is>
      </c>
      <c r="J3" s="4" t="inlineStr">
        <is>
          <t>FY2018 (18-month transition period, 1 Jan 17 - 30 Jun 18) (£'000)</t>
        </is>
      </c>
      <c r="K3" s="4" t="inlineStr">
        <is>
          <t>FY2017 (no standalone 12-month period - see note) (£'000)</t>
        </is>
      </c>
      <c r="L3" s="4" t="inlineStr">
        <is>
          <t>FY2016 (y/e 31 Dec 16) (£'000)</t>
        </is>
      </c>
      <c r="M3" s="4" t="inlineStr">
        <is>
          <t>FY2015 (y/e 31 Dec 15) (£'000)</t>
        </is>
      </c>
      <c r="N3" s="4" t="inlineStr">
        <is>
          <t>FY2014 (y/e 31 Dec 14) (£'000)</t>
        </is>
      </c>
      <c r="O3" s="4" t="inlineStr">
        <is>
          <t>FY2013 (y/e 31 Dec 13) (£'000)</t>
        </is>
      </c>
      <c r="P3" s="4" t="inlineStr">
        <is>
          <t>FY2012 (y/e 31 Dec 12) (£'000)</t>
        </is>
      </c>
      <c r="Q3" s="4" t="inlineStr">
        <is>
          <t>FY2011 (y/e 31 Dec 11) (£'000)</t>
        </is>
      </c>
    </row>
    <row r="4">
      <c r="A4" s="6" t="inlineStr">
        <is>
          <t>Credit risk (excluding CCR)</t>
        </is>
      </c>
      <c r="B4" s="6" t="n">
        <v>7291.1</v>
      </c>
      <c r="C4" s="6" t="n">
        <v>6410.7</v>
      </c>
      <c r="D4" s="6" t="n">
        <v>6071.2</v>
      </c>
      <c r="E4" s="6" t="n">
        <v>5802.1</v>
      </c>
      <c r="F4" s="6" t="n">
        <v>5624.9</v>
      </c>
      <c r="G4" s="6" t="n">
        <v>5338.2</v>
      </c>
      <c r="H4" s="6" t="n"/>
      <c r="I4" s="6" t="n">
        <v>5643.3</v>
      </c>
      <c r="J4" s="6" t="n">
        <v>4950.6</v>
      </c>
      <c r="K4" s="6" t="n"/>
      <c r="L4" s="6" t="n"/>
      <c r="M4" s="6" t="n">
        <v>3480.6</v>
      </c>
      <c r="N4" s="6" t="n">
        <v>2592.5</v>
      </c>
      <c r="O4" s="6" t="n"/>
      <c r="P4" s="6" t="n"/>
      <c r="Q4" s="6" t="n"/>
    </row>
    <row r="5">
      <c r="A5" s="6" t="inlineStr">
        <is>
          <t>Counterparty credit risk (CCR)</t>
        </is>
      </c>
      <c r="B5" s="6" t="n">
        <v>4.7</v>
      </c>
      <c r="C5" s="6" t="n">
        <v>4.8</v>
      </c>
      <c r="D5" s="6" t="n">
        <v>20.9</v>
      </c>
      <c r="E5" s="6" t="n">
        <v>37.1</v>
      </c>
      <c r="F5" s="6" t="n">
        <v>0.9</v>
      </c>
      <c r="G5" s="6" t="n">
        <v>0.9</v>
      </c>
      <c r="H5" s="6" t="n"/>
      <c r="I5" s="6" t="n"/>
      <c r="J5" s="6" t="n"/>
      <c r="K5" s="6" t="n"/>
      <c r="L5" s="6" t="n"/>
      <c r="M5" s="6" t="n"/>
      <c r="N5" s="6" t="n"/>
      <c r="O5" s="6" t="n"/>
      <c r="P5" s="6" t="n"/>
      <c r="Q5" s="6" t="n"/>
    </row>
    <row r="6">
      <c r="A6" s="6" t="inlineStr">
        <is>
          <t>Securitisation exposures in the non-trading book</t>
        </is>
      </c>
      <c r="B6" s="6" t="n">
        <v>22.5</v>
      </c>
      <c r="C6" s="6" t="n">
        <v>25.5</v>
      </c>
      <c r="D6" s="6" t="n">
        <v>40</v>
      </c>
      <c r="E6" s="6" t="n">
        <v>22.5</v>
      </c>
      <c r="F6" s="6" t="n">
        <v>29.2</v>
      </c>
      <c r="G6" s="6" t="n">
        <v>23.1</v>
      </c>
      <c r="H6" s="6" t="n"/>
      <c r="I6" s="6" t="n"/>
      <c r="J6" s="6" t="n"/>
      <c r="K6" s="6" t="n"/>
      <c r="L6" s="6" t="n"/>
      <c r="M6" s="6" t="n"/>
      <c r="N6" s="6" t="n"/>
      <c r="O6" s="6" t="n"/>
      <c r="P6" s="6" t="n"/>
      <c r="Q6" s="6" t="n"/>
    </row>
    <row r="7">
      <c r="A7" s="6" t="inlineStr">
        <is>
          <t>Position, foreign exchange and commodities risks (market risk)</t>
        </is>
      </c>
      <c r="B7" s="6" t="n"/>
      <c r="C7" s="6" t="n">
        <v>0</v>
      </c>
      <c r="D7" s="6" t="n">
        <v>0.1</v>
      </c>
      <c r="E7" s="6" t="n">
        <v>1.8</v>
      </c>
      <c r="F7" s="6" t="n">
        <v>0.4</v>
      </c>
      <c r="G7" s="6" t="n">
        <v>0.1</v>
      </c>
      <c r="H7" s="6" t="n"/>
      <c r="I7" s="6" t="n">
        <v>0.3</v>
      </c>
      <c r="J7" s="6" t="n">
        <v>0.4</v>
      </c>
      <c r="K7" s="6" t="n"/>
      <c r="L7" s="6" t="n"/>
      <c r="M7" s="6" t="n">
        <v>0.1</v>
      </c>
      <c r="N7" s="6" t="n">
        <v>0.3</v>
      </c>
      <c r="O7" s="6" t="n"/>
      <c r="P7" s="6" t="n"/>
      <c r="Q7" s="6" t="n"/>
    </row>
    <row r="8">
      <c r="A8" s="6" t="inlineStr">
        <is>
          <t>Credit valuation adjustment (CVA)</t>
        </is>
      </c>
      <c r="B8" s="6" t="n">
        <v>2.8</v>
      </c>
      <c r="C8" s="6" t="n"/>
      <c r="D8" s="6" t="n"/>
      <c r="E8" s="6" t="n"/>
      <c r="F8" s="6" t="n"/>
      <c r="G8" s="6" t="n"/>
      <c r="H8" s="6" t="n"/>
      <c r="I8" s="6" t="n">
        <v>2.1</v>
      </c>
      <c r="J8" s="6" t="n">
        <v>1</v>
      </c>
      <c r="K8" s="6" t="n"/>
      <c r="L8" s="6" t="n"/>
      <c r="M8" s="6" t="n">
        <v>1.3</v>
      </c>
      <c r="N8" s="6" t="n">
        <v>1.6</v>
      </c>
      <c r="O8" s="6" t="n"/>
      <c r="P8" s="6" t="n"/>
      <c r="Q8" s="6" t="n"/>
    </row>
    <row r="9">
      <c r="A9" s="6" t="inlineStr">
        <is>
          <t>Operational risk</t>
        </is>
      </c>
      <c r="B9" s="6" t="n">
        <v>882.6</v>
      </c>
      <c r="C9" s="6" t="n">
        <v>830.6</v>
      </c>
      <c r="D9" s="6" t="n">
        <v>743.4</v>
      </c>
      <c r="E9" s="6" t="n">
        <v>641.4</v>
      </c>
      <c r="F9" s="6" t="n">
        <v>604.7</v>
      </c>
      <c r="G9" s="6" t="n">
        <v>601.8</v>
      </c>
      <c r="H9" s="6" t="n"/>
      <c r="I9" s="6" t="n">
        <v>533.3</v>
      </c>
      <c r="J9" s="6" t="n">
        <v>499</v>
      </c>
      <c r="K9" s="6" t="n"/>
      <c r="L9" s="6" t="n"/>
      <c r="M9" s="6" t="n">
        <v>205.5</v>
      </c>
      <c r="N9" s="6" t="n">
        <v>125.1</v>
      </c>
      <c r="O9" s="6" t="n"/>
      <c r="P9" s="6" t="n"/>
      <c r="Q9" s="6" t="n"/>
    </row>
    <row r="10">
      <c r="A10" s="5" t="inlineStr">
        <is>
          <t>Total risk-weighted assets (RWA)</t>
        </is>
      </c>
      <c r="B10" s="5" t="n">
        <v>8203.700000000001</v>
      </c>
      <c r="C10" s="5" t="n">
        <v>7271.6</v>
      </c>
      <c r="D10" s="5" t="n">
        <v>6875.6</v>
      </c>
      <c r="E10" s="5" t="n">
        <v>6504.9</v>
      </c>
      <c r="F10" s="5" t="n">
        <v>6260.1</v>
      </c>
      <c r="G10" s="5" t="n">
        <v>5964.1</v>
      </c>
      <c r="H10" s="5" t="n"/>
      <c r="I10" s="5" t="n">
        <v>6179</v>
      </c>
      <c r="J10" s="5" t="n">
        <v>5451</v>
      </c>
      <c r="K10" s="5" t="n"/>
      <c r="L10" s="5" t="n"/>
      <c r="M10" s="5" t="n">
        <v>3687.5</v>
      </c>
      <c r="N10" s="5" t="n">
        <v>2719.5</v>
      </c>
      <c r="O10" s="5" t="n"/>
      <c r="P10" s="5" t="n"/>
      <c r="Q10" s="5" t="n"/>
    </row>
    <row r="11">
      <c r="A11" s="5" t="inlineStr">
        <is>
          <t>Pillar 1 CAPITAL requirement, Basel II editions FY2013 and FY2011 (£m of CAPITAL, not RWA — deliberately NOT multiplied by 12.5; do not read down the same column as the RWA rows above)</t>
        </is>
      </c>
      <c r="B11" s="6" t="n"/>
      <c r="C11" s="6" t="n"/>
      <c r="D11" s="6" t="n"/>
      <c r="E11" s="6" t="n"/>
      <c r="F11" s="6" t="n"/>
      <c r="G11" s="6" t="n"/>
      <c r="H11" s="6" t="n"/>
      <c r="I11" s="6" t="n"/>
      <c r="J11" s="6" t="n"/>
      <c r="K11" s="6" t="n"/>
      <c r="L11" s="6" t="n"/>
      <c r="M11" s="6" t="n"/>
      <c r="N11" s="6" t="n"/>
      <c r="O11" s="6" t="n"/>
      <c r="P11" s="6" t="n"/>
      <c r="Q11" s="6" t="n"/>
    </row>
    <row r="12">
      <c r="A12" s="6" t="inlineStr">
        <is>
          <t>Capital requirement — credit risk (standardised, 8% x risk weight, all exposure classes)</t>
        </is>
      </c>
      <c r="B12" s="6" t="n"/>
      <c r="C12" s="6" t="n"/>
      <c r="D12" s="6" t="n"/>
      <c r="E12" s="6" t="n"/>
      <c r="F12" s="6" t="n"/>
      <c r="G12" s="6" t="n"/>
      <c r="H12" s="6" t="n"/>
      <c r="I12" s="6" t="n"/>
      <c r="J12" s="6" t="n"/>
      <c r="K12" s="6" t="n"/>
      <c r="L12" s="6" t="n"/>
      <c r="M12" s="6" t="n"/>
      <c r="N12" s="6" t="n"/>
      <c r="O12" s="6" t="n">
        <v>165</v>
      </c>
      <c r="P12" s="6" t="n"/>
      <c r="Q12" s="6" t="n">
        <v>68.09999999999999</v>
      </c>
    </row>
    <row r="13">
      <c r="A13" s="6" t="inlineStr">
        <is>
          <t>Capital requirement — operational risk (basic indicator approach)</t>
        </is>
      </c>
      <c r="B13" s="6" t="n"/>
      <c r="C13" s="6" t="n"/>
      <c r="D13" s="6" t="n"/>
      <c r="E13" s="6" t="n"/>
      <c r="F13" s="6" t="n"/>
      <c r="G13" s="6" t="n"/>
      <c r="H13" s="6" t="n"/>
      <c r="I13" s="6" t="n"/>
      <c r="J13" s="6" t="n"/>
      <c r="K13" s="6" t="n"/>
      <c r="L13" s="6" t="n"/>
      <c r="M13" s="6" t="n"/>
      <c r="N13" s="6" t="n"/>
      <c r="O13" s="6" t="n">
        <v>6.5</v>
      </c>
      <c r="P13" s="6" t="n"/>
      <c r="Q13" s="6" t="n">
        <v>1.9</v>
      </c>
    </row>
    <row r="14">
      <c r="A14" s="6" t="inlineStr">
        <is>
          <t>Memo: total credit risk exposure value after provisions, incl. off-balance-sheet (£m — an exposure measure, not an RWA)</t>
        </is>
      </c>
      <c r="B14" s="6" t="n"/>
      <c r="C14" s="6" t="n"/>
      <c r="D14" s="6" t="n"/>
      <c r="E14" s="6" t="n"/>
      <c r="F14" s="6" t="n"/>
      <c r="G14" s="6" t="n"/>
      <c r="H14" s="6" t="n"/>
      <c r="I14" s="6" t="n"/>
      <c r="J14" s="6" t="n"/>
      <c r="K14" s="6" t="n"/>
      <c r="L14" s="6" t="n"/>
      <c r="M14" s="6" t="n"/>
      <c r="N14" s="6" t="n"/>
      <c r="O14" s="6" t="n">
        <v>4746.6</v>
      </c>
      <c r="P14" s="6" t="n"/>
      <c r="Q14" s="6" t="n">
        <v>1647.4</v>
      </c>
    </row>
    <row r="16" ht="140" customHeight="1">
      <c r="A16" s="8" t="inlineStr">
        <is>
          <t>Sources — Aldermore Bank PLC solo figures from the 'Overview of RWA' / 'Total minimum Pillar 1 capital requirement' table, Aldermore Group PLC Pillar 3 Disclosures:
FY2026: Pillar 3 Report for the year ended 30 June 2026, p.8 (UK OV1 — Overview of risk-weighted exposure amounts, Bank column a, 30-Jun-26) — https://www.aldermore.co.uk/media/0wylhhas/pillar-3-fy-2026-aldermore-group.pdf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FY2019 &amp; FY2018: Pillar 3 Disclosures for the year ended 30 June 2019, p.57 (Appendix 1, Table 34 — Total minimum Pillar 1 capital requirement, Bank only) — https://www.aldermore.co.uk/media/2prbumkj/aldermore-group-plc-pillar-3-disclosure-document-at-30-june-2019.pdf
FY2015 &amp; FY2014: Pillar 3 Disclosures 31 December 2015, p.58 (Appendix 1, Table 31 — Total minimum Pillar 1 capital requirement, Bank only) — https://www.aldermore.co.uk/media/ot5axgnp/pillar-3-disclosure-dec-2015.pdf
FY2013 (CAPITAL requirement rows only, not RWA): Aldermore Bank PLC — Pillar 3 Disclosures 31 December 2013, p.11 (Credit risk exposure by exposure class, 'Pillar 1 Capital (8% x Risk Weight)' column) and Section 9 (operational risk charge) — https://web.archive.org/web/20230811224731id_/https://www.investors.aldermore.co.uk/system/files/uploads/financialdocs/pillar_3_disclosure_2013_0.pdf
FY2011 (CAPITAL requirement rows only, not RWA): Aldermore Bank Plc — Pillar 3 Disclosures December 31 2011, p.12 (Credit risk exposure by exposure class) and Section 9 (operational risk charge) — https://web.archive.org/web/20230810043035id_/https://www.investors.aldermore.co.uk/system/files/uploads/financialdocs/pillar_3_disclosure_2011_0.pdf
PRESENTATION NOTE: transcribed from each year's own Pillar 3 disclosures' 'Overview of RWA' table, Bank solo (not Group) column, where a full Pillar 3 document is available. FY2019/FY2018 and FY2015/FY2014 use the simpler 'Total minimum Pillar 1 capital requirement' table instead (credit risk / market risk / operational risk / CVA only — no separate counterparty-credit-risk or securitisation RWA line existed in that disclosure format), so those two rows are blank for those years rather than estimated. FY2016 and FY2020 have no RWA breakdown at all (no standalone Pillar 3 document survives — see the Total RWAs sheet's note). This sheet's Total row ties out exactly to the Total RWAs sheet for every year with data.
FY2026: the UK OV1 template in the FY2026 report has no market-risk row at all, so that row is left blank for FY2026 rather than written as zero. FY2026 rows sum exactly to the 8,203.7 total (7,291.1 + 4.7 + 2.8 + 22.5 + 882.6), which ties to UK KM1 row 4. Note the FY2026 report re-presents the FY2025 comparative differently from the FY2025 report itself: it splits out CVA of 5.6 and shows credit risk (excluding CCR) of 6,405.2 and operational risk of 830.5, where the FY2025 own-year document reported credit risk of 6,410.7 with no separate Bank-solo CVA line and operational risk of 830.6. Both presentations total 7,271.6. The FY2025 column on this sheet is left as each year's own-year disclosure, consistent with every other year here, rather than restated to the later document's split. The FY2026 report also notes that IFRS 9 transitional arrangements under CRR Article 473a expired in June 2025, so FY2025 credit risk includes £11.3m of IFRS 9 transitional risk exposure that FY2026 does not.
FY2013 AND FY2011 HAVE NO RWA ROWS AT ALL, AND THE BLOCK AT THE FOOT OF THIS SHEET IS NOT RWA. The two recovered Basel II editions (31 December 2013 and 31 December 2011) never disclose a risk-weighted-asset amount — not by category and not in total. What they publish is the Pillar 1 CAPITAL requirement by exposure class, headed 'Pillar 1 Capital (8% x Risk Weight)'. Those figures are transcribed exactly as disclosed, in £m of capital, on their own clearly labelled rows beneath the RWA block, and are NOT converted to RWA by the 12.5 scalar, because the resulting total would be a number neither document states. FY2013's credit-risk total of £165.0m is the sum printed at the foot of that table (£165,031k across government/central banks nil, regional governments 72, MDBs nil, institutions 3,582, corporates 8,907, retail 50,354, secured on residential property 56,083, secured on commercial real estate 38,322, past due items 2,490, securitisation positions 1,224, other items 3,997); FY2011's is likewise the printed £68,091k total. The operational-risk rows are each document's own basic-indicator charge stated in its operational risk section (£6.5m for 2013, £1.9m for 2011). The memo exposure row is the printed total exposure value net of provisions including off-balance-sheet items, which is an exposure measure and emphatically not an RWA — for FY2013 it is £4,746.6m against a £4,194.3m statutory balance sheet, the difference being commitments and guarantees. FY2012 is blank throughout: no 2012 edition exists in the archive and neither adjacent edition carries a comparative column.</t>
        </is>
      </c>
    </row>
  </sheetData>
  <mergeCells count="1">
    <mergeCell ref="A16:Q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Leverage Ratio</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exposure measure excluding claims on central banks (£m)</t>
        </is>
      </c>
      <c r="B4" s="6" t="n">
        <v>16715.1</v>
      </c>
      <c r="C4" s="6" t="n">
        <v>15674.3</v>
      </c>
      <c r="D4" s="6" t="n">
        <v>14337.2</v>
      </c>
      <c r="E4" s="6" t="n">
        <v>13609.6</v>
      </c>
      <c r="F4" s="6" t="n">
        <v>13850.3</v>
      </c>
      <c r="G4" s="6" t="inlineStr">
        <is>
          <t>n/a</t>
        </is>
      </c>
      <c r="H4" s="6" t="n"/>
      <c r="I4" s="6" t="n">
        <v>12671.6</v>
      </c>
      <c r="J4" s="6" t="n">
        <v>10585.1</v>
      </c>
      <c r="K4" s="6" t="n"/>
      <c r="L4" s="6" t="n"/>
      <c r="M4" s="6" t="n">
        <v>7095.9</v>
      </c>
      <c r="N4" s="6" t="n">
        <v>5630.4</v>
      </c>
      <c r="O4" s="6" t="inlineStr">
        <is>
          <t>n/a</t>
        </is>
      </c>
      <c r="P4" s="6" t="inlineStr">
        <is>
          <t>n/a</t>
        </is>
      </c>
      <c r="Q4" s="6" t="inlineStr">
        <is>
          <t>n/a</t>
        </is>
      </c>
    </row>
    <row r="5">
      <c r="A5" s="6" t="inlineStr">
        <is>
          <t>Leverage ratio excluding claims on central banks (%)</t>
        </is>
      </c>
      <c r="B5" s="6" t="inlineStr">
        <is>
          <t>9.0%</t>
        </is>
      </c>
      <c r="C5" s="6" t="inlineStr">
        <is>
          <t>8.9%</t>
        </is>
      </c>
      <c r="D5" s="6" t="inlineStr">
        <is>
          <t>9.6%</t>
        </is>
      </c>
      <c r="E5" s="6" t="inlineStr">
        <is>
          <t>9.3%</t>
        </is>
      </c>
      <c r="F5" s="6" t="inlineStr">
        <is>
          <t>8.1%</t>
        </is>
      </c>
      <c r="G5" s="6" t="inlineStr">
        <is>
          <t>n/a</t>
        </is>
      </c>
      <c r="H5" s="6" t="n"/>
      <c r="I5" s="6" t="inlineStr">
        <is>
          <t>6.8%</t>
        </is>
      </c>
      <c r="J5" s="6" t="inlineStr">
        <is>
          <t>7.1%</t>
        </is>
      </c>
      <c r="K5" s="6" t="n"/>
      <c r="L5" s="6" t="n"/>
      <c r="M5" s="6" t="inlineStr">
        <is>
          <t>7.2%</t>
        </is>
      </c>
      <c r="N5" s="6" t="inlineStr">
        <is>
          <t>6.3%</t>
        </is>
      </c>
      <c r="O5" s="6" t="inlineStr">
        <is>
          <t>n/a</t>
        </is>
      </c>
      <c r="P5" s="6" t="inlineStr">
        <is>
          <t>n/a</t>
        </is>
      </c>
      <c r="Q5" s="6" t="inlineStr">
        <is>
          <t>n/a</t>
        </is>
      </c>
    </row>
    <row r="6" ht="60" customHeight="1">
      <c r="A6" s="7" t="inlineStr">
        <is>
          <t>Note: FY2021 leverage ratio disclosure basis was introduced from 1 January 2022; the FY2022 Pillar 3 report explicitly marks FY2021 as 'n/a' with no comparative provided under the new template. FY2019/FY2018 and FY2015/FY2014 figures are each year's own pre-2022 leverage ratio disclosure basis (both are the CRR Part Eight / EBA Implementing Technical Standard leverage ratio, but the 'excluding claims on central banks' variant used from FY2022 onward did not exist as a separate disclosure before then, so these earlier figures are the Bank's then-current all-exposures leverage ratio, not a like-for-like restatement) — FY2016 and FY2020 have no leverage ratio figure at all (no standalone Pillar 3 document survives for either year). FY2013, FY2012 and FY2011 are 'n/a' for a structural reason rather than a sourcing one: no leverage ratio existed as a UK regulatory measure or disclosure at 31 December 2011 or 31 December 2013 (the CRR leverage ratio arrived with CRD IV from 2014), and neither recovered Basel II edition contains one in any form.
RESTATEMENT: the FY2026 Pillar 3 report restates the Bank's 30-Jun-25 total exposure measure as £15,526.0m, where the FY2025 report itself disclosed £15,674.3m for that same period (a £148.3m reduction). The FY2025 column here is left at the £15,674.3m originally disclosed, consistent with how every other year on this sheet is presented on its own-year basis; the restated figure is recorded here rather than substituted. The leverage ratio rounds to 8.9% on either basis, so only the exposure-measure row is affected.</t>
        </is>
      </c>
    </row>
    <row r="8" ht="110" customHeight="1">
      <c r="A8"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8:Q8"/>
    <mergeCell ref="A6:Q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LCR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high-quality liquid assets (HQLA), weighted value average (£m)</t>
        </is>
      </c>
      <c r="B4" s="6" t="n">
        <v>3725.9</v>
      </c>
      <c r="C4" s="6" t="n">
        <v>3723.1</v>
      </c>
      <c r="D4" s="6" t="n">
        <v>4208.6</v>
      </c>
      <c r="E4" s="6" t="n">
        <v>3280.6</v>
      </c>
      <c r="F4" s="6" t="n">
        <v>2838.5</v>
      </c>
      <c r="G4" s="6" t="inlineStr">
        <is>
          <t>n/a</t>
        </is>
      </c>
      <c r="H4" s="6" t="inlineStr">
        <is>
          <t>n/a</t>
        </is>
      </c>
      <c r="I4" s="6" t="inlineStr">
        <is>
          <t>n/a</t>
        </is>
      </c>
      <c r="J4" s="6" t="inlineStr">
        <is>
          <t>n/a</t>
        </is>
      </c>
      <c r="K4" s="6" t="n"/>
      <c r="L4" s="6" t="inlineStr">
        <is>
          <t>n/a</t>
        </is>
      </c>
      <c r="M4" s="6" t="inlineStr">
        <is>
          <t>n/a</t>
        </is>
      </c>
      <c r="N4" s="6" t="inlineStr">
        <is>
          <t>n/a</t>
        </is>
      </c>
      <c r="O4" s="6" t="inlineStr">
        <is>
          <t>n/a</t>
        </is>
      </c>
      <c r="P4" s="6" t="inlineStr">
        <is>
          <t>n/a</t>
        </is>
      </c>
      <c r="Q4" s="6" t="inlineStr">
        <is>
          <t>n/a</t>
        </is>
      </c>
    </row>
    <row r="5">
      <c r="A5" s="6" t="inlineStr">
        <is>
          <t>Total net cash outflows, adjusted value (£m)</t>
        </is>
      </c>
      <c r="B5" s="6" t="n">
        <v>2263.1</v>
      </c>
      <c r="C5" s="6" t="n">
        <v>1968.3</v>
      </c>
      <c r="D5" s="6" t="n">
        <v>1959.4</v>
      </c>
      <c r="E5" s="6" t="n">
        <v>1686.4</v>
      </c>
      <c r="F5" s="6" t="n">
        <v>772.6</v>
      </c>
      <c r="G5" s="6" t="inlineStr">
        <is>
          <t>n/a</t>
        </is>
      </c>
      <c r="H5" s="6" t="inlineStr">
        <is>
          <t>n/a</t>
        </is>
      </c>
      <c r="I5" s="6" t="inlineStr">
        <is>
          <t>n/a</t>
        </is>
      </c>
      <c r="J5" s="6" t="inlineStr">
        <is>
          <t>n/a</t>
        </is>
      </c>
      <c r="K5" s="6" t="n"/>
      <c r="L5" s="6" t="inlineStr">
        <is>
          <t>n/a</t>
        </is>
      </c>
      <c r="M5" s="6" t="inlineStr">
        <is>
          <t>n/a</t>
        </is>
      </c>
      <c r="N5" s="6" t="inlineStr">
        <is>
          <t>n/a</t>
        </is>
      </c>
      <c r="O5" s="6" t="inlineStr">
        <is>
          <t>n/a</t>
        </is>
      </c>
      <c r="P5" s="6" t="inlineStr">
        <is>
          <t>n/a</t>
        </is>
      </c>
      <c r="Q5" s="6" t="inlineStr">
        <is>
          <t>n/a</t>
        </is>
      </c>
    </row>
    <row r="6">
      <c r="A6" s="6" t="inlineStr">
        <is>
          <t>Liquidity Coverage Ratio (%)</t>
        </is>
      </c>
      <c r="B6" s="6" t="inlineStr">
        <is>
          <t>164.6%</t>
        </is>
      </c>
      <c r="C6" s="6" t="inlineStr">
        <is>
          <t>189.2%</t>
        </is>
      </c>
      <c r="D6" s="6" t="inlineStr">
        <is>
          <t>214.8%</t>
        </is>
      </c>
      <c r="E6" s="6" t="inlineStr">
        <is>
          <t>194.5%</t>
        </is>
      </c>
      <c r="F6" s="6" t="inlineStr">
        <is>
          <t>367.4%</t>
        </is>
      </c>
      <c r="G6" s="6" t="inlineStr">
        <is>
          <t>n/a</t>
        </is>
      </c>
      <c r="H6" s="6" t="inlineStr">
        <is>
          <t>n/a</t>
        </is>
      </c>
      <c r="I6" s="6" t="inlineStr">
        <is>
          <t>n/a</t>
        </is>
      </c>
      <c r="J6" s="6" t="inlineStr">
        <is>
          <t>n/a</t>
        </is>
      </c>
      <c r="K6" s="6" t="n"/>
      <c r="L6" s="6" t="inlineStr">
        <is>
          <t>n/a</t>
        </is>
      </c>
      <c r="M6" s="6" t="inlineStr">
        <is>
          <t>n/a</t>
        </is>
      </c>
      <c r="N6" s="6" t="inlineStr">
        <is>
          <t>n/a</t>
        </is>
      </c>
      <c r="O6" s="6" t="inlineStr">
        <is>
          <t>n/a</t>
        </is>
      </c>
      <c r="P6" s="6" t="inlineStr">
        <is>
          <t>n/a</t>
        </is>
      </c>
      <c r="Q6" s="6" t="inlineStr">
        <is>
          <t>n/a</t>
        </is>
      </c>
    </row>
    <row r="7" ht="60" customHeight="1">
      <c r="A7" s="7" t="inlineStr">
        <is>
          <t>Note: LCR is computed as a 12-month average to the period end. FY2021 and earlier are all 'n/a' — the Bank-solo LCR disclosure template used on this sheet was introduced from 1 January 2022 (see FY2022 Pillar 3 report); no comparable Bank-solo LCR figure was located for FY2014-FY2020 in the documents reviewed for this extension (the Basel LCR standard itself phased in nationally from 2015, but the Bank's own Pillar 3 reports for those years did not publish a Bank-solo LCR figure in the format used here). FY2013 and FY2011 are 'n/a' on firmer ground still: the LCR did not exist as a UK requirement or disclosure at either date (it was introduced by CRD IV/CRR and phased in from October 2015), and neither recovered Basel II edition contains any liquidity ratio - each describes liquidity risk narratively and by the then-applicable ILAA/liquid asset buffer framework instead. FY2012 has no edition at all.</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NSFR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available stable funding (£m)</t>
        </is>
      </c>
      <c r="B4" s="6" t="n">
        <v>16701.9</v>
      </c>
      <c r="C4" s="6" t="n">
        <v>15972.4</v>
      </c>
      <c r="D4" s="6" t="n">
        <v>16133.4</v>
      </c>
      <c r="E4" s="6" t="n">
        <v>15490.2</v>
      </c>
      <c r="F4" s="6" t="n">
        <v>15667.6</v>
      </c>
      <c r="G4" s="6" t="inlineStr">
        <is>
          <t>n/a</t>
        </is>
      </c>
      <c r="H4" s="6" t="inlineStr">
        <is>
          <t>n/a</t>
        </is>
      </c>
      <c r="I4" s="6" t="inlineStr">
        <is>
          <t>n/a</t>
        </is>
      </c>
      <c r="J4" s="6" t="inlineStr">
        <is>
          <t>n/a</t>
        </is>
      </c>
      <c r="K4" s="6" t="n"/>
      <c r="L4" s="6" t="inlineStr">
        <is>
          <t>n/a</t>
        </is>
      </c>
      <c r="M4" s="6" t="inlineStr">
        <is>
          <t>n/a</t>
        </is>
      </c>
      <c r="N4" s="6" t="inlineStr">
        <is>
          <t>n/a</t>
        </is>
      </c>
      <c r="O4" s="6" t="inlineStr">
        <is>
          <t>n/a</t>
        </is>
      </c>
      <c r="P4" s="6" t="inlineStr">
        <is>
          <t>n/a</t>
        </is>
      </c>
      <c r="Q4" s="6" t="inlineStr">
        <is>
          <t>n/a</t>
        </is>
      </c>
    </row>
    <row r="5">
      <c r="A5" s="6" t="inlineStr">
        <is>
          <t>Total required stable funding (£m)</t>
        </is>
      </c>
      <c r="B5" s="6" t="n">
        <v>13318.4</v>
      </c>
      <c r="C5" s="6" t="n">
        <v>12166.9</v>
      </c>
      <c r="D5" s="6" t="n">
        <v>11778</v>
      </c>
      <c r="E5" s="6" t="n">
        <v>12161.3</v>
      </c>
      <c r="F5" s="6" t="n">
        <v>12169.6</v>
      </c>
      <c r="G5" s="6" t="inlineStr">
        <is>
          <t>n/a</t>
        </is>
      </c>
      <c r="H5" s="6" t="inlineStr">
        <is>
          <t>n/a</t>
        </is>
      </c>
      <c r="I5" s="6" t="inlineStr">
        <is>
          <t>n/a</t>
        </is>
      </c>
      <c r="J5" s="6" t="inlineStr">
        <is>
          <t>n/a</t>
        </is>
      </c>
      <c r="K5" s="6" t="n"/>
      <c r="L5" s="6" t="inlineStr">
        <is>
          <t>n/a</t>
        </is>
      </c>
      <c r="M5" s="6" t="inlineStr">
        <is>
          <t>n/a</t>
        </is>
      </c>
      <c r="N5" s="6" t="inlineStr">
        <is>
          <t>n/a</t>
        </is>
      </c>
      <c r="O5" s="6" t="inlineStr">
        <is>
          <t>n/a</t>
        </is>
      </c>
      <c r="P5" s="6" t="inlineStr">
        <is>
          <t>n/a</t>
        </is>
      </c>
      <c r="Q5" s="6" t="inlineStr">
        <is>
          <t>n/a</t>
        </is>
      </c>
    </row>
    <row r="6">
      <c r="A6" s="6" t="inlineStr">
        <is>
          <t>Net Stable Funding Ratio (%)</t>
        </is>
      </c>
      <c r="B6" s="6" t="inlineStr">
        <is>
          <t>125.4%</t>
        </is>
      </c>
      <c r="C6" s="6" t="inlineStr">
        <is>
          <t>131.3%</t>
        </is>
      </c>
      <c r="D6" s="6" t="inlineStr">
        <is>
          <t>137.0%</t>
        </is>
      </c>
      <c r="E6" s="6" t="inlineStr">
        <is>
          <t>127.4%</t>
        </is>
      </c>
      <c r="F6" s="6" t="inlineStr">
        <is>
          <t>128.7%</t>
        </is>
      </c>
      <c r="G6" s="6" t="inlineStr">
        <is>
          <t>n/a</t>
        </is>
      </c>
      <c r="H6" s="6" t="inlineStr">
        <is>
          <t>n/a</t>
        </is>
      </c>
      <c r="I6" s="6" t="inlineStr">
        <is>
          <t>n/a</t>
        </is>
      </c>
      <c r="J6" s="6" t="inlineStr">
        <is>
          <t>n/a</t>
        </is>
      </c>
      <c r="K6" s="6" t="n"/>
      <c r="L6" s="6" t="inlineStr">
        <is>
          <t>n/a</t>
        </is>
      </c>
      <c r="M6" s="6" t="inlineStr">
        <is>
          <t>n/a</t>
        </is>
      </c>
      <c r="N6" s="6" t="inlineStr">
        <is>
          <t>n/a</t>
        </is>
      </c>
      <c r="O6" s="6" t="inlineStr">
        <is>
          <t>n/a</t>
        </is>
      </c>
      <c r="P6" s="6" t="inlineStr">
        <is>
          <t>n/a</t>
        </is>
      </c>
      <c r="Q6" s="6" t="inlineStr">
        <is>
          <t>n/a</t>
        </is>
      </c>
    </row>
    <row r="7" ht="60" customHeight="1">
      <c r="A7" s="7" t="inlineStr">
        <is>
          <t>Note: NSFR is computed as a 4-quarter average to the period end. FY2021 and earlier are all 'n/a' — the UK NSFR requirement did not take effect until 1 January 2022 (see FY2022 Pillar 3 report), so no NSFR figure exists for FY2014-FY2020 at all. The same applies with more force to FY2013 and FY2011, which predate even the Basel III NSFR observation period; neither recovered Basel II edition contains an NSFR. FY2012 has no edition at all.</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MREL Ratio</t>
        </is>
      </c>
    </row>
    <row r="2">
      <c r="A2" s="2" t="inlineStr">
        <is>
          <t>Bank solo basis</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c r="O4" s="6" t="inlineStr">
        <is>
          <t>Not publicly disclosed</t>
        </is>
      </c>
      <c r="P4" s="6" t="inlineStr">
        <is>
          <t>Not publicly disclosed</t>
        </is>
      </c>
      <c r="Q4" s="6" t="inlineStr">
        <is>
          <t>Not publicly disclosed</t>
        </is>
      </c>
    </row>
    <row r="5" ht="60" customHeight="1">
      <c r="A5" s="7" t="inlineStr">
        <is>
          <t>Note: MREL is not disclosed for Aldermore Bank PLC/Aldermore Group PLC in any Pillar 3 report reviewed — the Group sits below the balance-sheet threshold at which the Bank of England sets a bail-in MREL requirement above minimum capital requirements, so no separate MREL ratio is published.</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10"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60"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2026-09-16T10:58:24Z</dcterms:created>
  <dcterms:modified xmlns:dcterms="http://purl.org/dc/terms/" xmlns:xsi="http://www.w3.org/2001/XMLSchema-instance" xsi:type="dcterms:W3CDTF">2026-09-16T10:58:25Z</dcterms:modified>
</cp:coreProperties>
</file>