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ser>
          <idx val="1"/>
          <order val="1"/>
          <tx>
            <strRef>
              <f>'Overview'!BI20</f>
            </strRef>
          </tx>
          <spPr>
            <a:ln xmlns:a="http://schemas.openxmlformats.org/drawingml/2006/main">
              <a:prstDash val="solid"/>
            </a:ln>
          </spPr>
          <cat>
            <numRef>
              <f>'Overview'!$BJ$18:$BU$18</f>
            </numRef>
          </cat>
          <val>
            <numRef>
              <f>'Overview'!$BJ$20:$BU$20</f>
            </numRef>
          </val>
        </ser>
        <ser>
          <idx val="2"/>
          <order val="2"/>
          <tx>
            <strRef>
              <f>'Overview'!BI21</f>
            </strRef>
          </tx>
          <spPr>
            <a:ln xmlns:a="http://schemas.openxmlformats.org/drawingml/2006/main">
              <a:prstDash val="solid"/>
            </a:ln>
          </spPr>
          <cat>
            <numRef>
              <f>'Overview'!$BJ$18:$BU$18</f>
            </numRef>
          </cat>
          <val>
            <numRef>
              <f>'Overview'!$BJ$21:$BU$21</f>
            </numRef>
          </val>
        </ser>
        <ser>
          <idx val="3"/>
          <order val="3"/>
          <tx>
            <strRef>
              <f>'Overview'!BI22</f>
            </strRef>
          </tx>
          <spPr>
            <a:ln xmlns:a="http://schemas.openxmlformats.org/drawingml/2006/main">
              <a:prstDash val="solid"/>
            </a:ln>
          </spPr>
          <cat>
            <numRef>
              <f>'Overview'!$BJ$18:$BU$18</f>
            </numRef>
          </cat>
          <val>
            <numRef>
              <f>'Overview'!$BJ$22:$BU$22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'Overview'!BX26</f>
            </strRef>
          </tx>
          <spPr>
            <a:ln xmlns:a="http://schemas.openxmlformats.org/drawingml/2006/main">
              <a:prstDash val="solid"/>
            </a:ln>
          </spPr>
          <cat>
            <numRef>
              <f>'Overview'!$BY$25:$CJ$25</f>
            </numRef>
          </cat>
          <val>
            <numRef>
              <f>'Overview'!$BY$26:$CJ$26</f>
            </numRef>
          </val>
        </ser>
        <ser>
          <idx val="1"/>
          <order val="1"/>
          <tx>
            <strRef>
              <f>'Overview'!BX27</f>
            </strRef>
          </tx>
          <spPr>
            <a:ln xmlns:a="http://schemas.openxmlformats.org/drawingml/2006/main">
              <a:prstDash val="solid"/>
            </a:ln>
          </spPr>
          <cat>
            <numRef>
              <f>'Overview'!$BY$25:$CJ$25</f>
            </numRef>
          </cat>
          <val>
            <numRef>
              <f>'Overview'!$BY$27:$CJ$27</f>
            </numRef>
          </val>
        </ser>
        <ser>
          <idx val="2"/>
          <order val="2"/>
          <tx>
            <strRef>
              <f>'Overview'!BX28</f>
            </strRef>
          </tx>
          <spPr>
            <a:ln xmlns:a="http://schemas.openxmlformats.org/drawingml/2006/main">
              <a:prstDash val="solid"/>
            </a:ln>
          </spPr>
          <cat>
            <numRef>
              <f>'Overview'!$BY$25:$CJ$25</f>
            </numRef>
          </cat>
          <val>
            <numRef>
              <f>'Overview'!$BY$28:$CJ$28</f>
            </numRef>
          </val>
        </ser>
        <ser>
          <idx val="3"/>
          <order val="3"/>
          <tx>
            <strRef>
              <f>'Overview'!BX29</f>
            </strRef>
          </tx>
          <spPr>
            <a:ln xmlns:a="http://schemas.openxmlformats.org/drawingml/2006/main">
              <a:prstDash val="solid"/>
            </a:ln>
          </spPr>
          <cat>
            <numRef>
              <f>'Overview'!$BY$25:$CJ$25</f>
            </numRef>
          </cat>
          <val>
            <numRef>
              <f>'Overview'!$BY$29:$CJ$29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'Overview'!CM6</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'Overview'!$CN$6:$CY$6</f>
            </numRef>
          </val>
          <smooth val="0"/>
        </ser>
        <ser>
          <idx val="1"/>
          <order val="1"/>
          <tx>
            <strRef>
              <f>'Overview'!CM7</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'Overview'!$CN$7:$CY$7</f>
            </numRef>
          </val>
          <smooth val="0"/>
        </ser>
        <ser>
          <idx val="2"/>
          <order val="2"/>
          <tx>
            <strRef>
              <f>'Overview'!CM8</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'Overview'!$CN$8:$CY$8</f>
            </numRef>
          </val>
          <smooth val="0"/>
        </ser>
        <ser>
          <idx val="3"/>
          <order val="3"/>
          <tx>
            <strRef>
              <f>'Overview'!CM9</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'Overview'!$CN$9:$CY$9</f>
            </numRef>
          </val>
          <smooth val="0"/>
        </ser>
        <ser>
          <idx val="4"/>
          <order val="4"/>
          <tx>
            <strRef>
              <f>'Overview'!CM10</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'Overview'!$CN$10:$CY$10</f>
            </numRef>
          </val>
          <smooth val="0"/>
        </ser>
        <ser>
          <idx val="5"/>
          <order val="5"/>
          <tx>
            <strRef>
              <f>'Overview'!CM11</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'Overview'!$CN$11:$CY$11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CY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N5" t="inlineStr">
        <is>
          <t>FY2014 (y/e 31 Dec 14)</t>
        </is>
      </c>
      <c r="CO5" t="inlineStr">
        <is>
          <t>FY2015 (y/e 31 Dec 15)</t>
        </is>
      </c>
      <c r="CP5" t="inlineStr">
        <is>
          <t>FY2016 (y/e 31 Dec 16)</t>
        </is>
      </c>
      <c r="CQ5" t="inlineStr">
        <is>
          <t>FY2017 (no standalone 12-month period - see note)</t>
        </is>
      </c>
      <c r="CR5" t="inlineStr">
        <is>
          <t>FY2018 (18-month transition period, 1 Jan 17 - 30 Jun 18)</t>
        </is>
      </c>
      <c r="CS5" t="inlineStr">
        <is>
          <t>FY2019 (y/e 30 Jun 19)</t>
        </is>
      </c>
      <c r="CT5" t="inlineStr">
        <is>
          <t>FY2020 (y/e 30 Jun 20)</t>
        </is>
      </c>
      <c r="CU5" t="inlineStr">
        <is>
          <t>FY2021 (y/e 30 Jun 21)</t>
        </is>
      </c>
      <c r="CV5" t="inlineStr">
        <is>
          <t>FY2022 (y/e 30 Jun 22)</t>
        </is>
      </c>
      <c r="CW5" t="inlineStr">
        <is>
          <t>FY2023 (y/e 30 Jun 23)</t>
        </is>
      </c>
      <c r="CX5" t="inlineStr">
        <is>
          <t>FY2024 (y/e 30 Jun 24)</t>
        </is>
      </c>
      <c r="CY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v>4194.3</v>
      </c>
      <c r="O6" s="5" t="n">
        <v>2519.6</v>
      </c>
      <c r="P6" s="5" t="n">
        <v>1554.1</v>
      </c>
      <c r="Q6" s="5" t="n">
        <v>752.3</v>
      </c>
      <c r="R6" s="5" t="n">
        <v>294.7</v>
      </c>
      <c r="U6" t="inlineStr">
        <is>
          <t>Total assets</t>
        </is>
      </c>
      <c r="V6" t="n">
        <v>294.7</v>
      </c>
      <c r="W6" t="n">
        <v>752.3</v>
      </c>
      <c r="X6" t="n">
        <v>1554.1</v>
      </c>
      <c r="Y6" t="n">
        <v>2519.6</v>
      </c>
      <c r="Z6" t="n">
        <v>4194.3</v>
      </c>
      <c r="AA6" t="n">
        <v>5583.2</v>
      </c>
      <c r="AB6" t="n">
        <v>7021.4</v>
      </c>
      <c r="AC6" t="n">
        <v>8396.5</v>
      </c>
      <c r="AE6" t="n">
        <v>10467.4</v>
      </c>
      <c r="AF6" t="n">
        <v>12471.9</v>
      </c>
      <c r="AG6" t="n">
        <v>15000.7</v>
      </c>
      <c r="AH6" t="n">
        <v>15583</v>
      </c>
      <c r="AI6" t="n">
        <v>17290.8</v>
      </c>
      <c r="AJ6" t="n">
        <v>19051.7</v>
      </c>
      <c r="AK6" t="n">
        <v>20195.5</v>
      </c>
      <c r="AL6" t="n">
        <v>20618.2</v>
      </c>
      <c r="CM6" t="inlineStr">
        <is>
          <t>CET1 Ratio</t>
        </is>
      </c>
      <c r="CN6" t="n">
        <v>10.3</v>
      </c>
      <c r="CO6" t="n">
        <v>11.7</v>
      </c>
      <c r="CP6" t="n">
        <v>11.4</v>
      </c>
      <c r="CR6" t="n">
        <v>12.5</v>
      </c>
      <c r="CS6" t="n">
        <v>12.6</v>
      </c>
      <c r="CT6" t="n">
        <v>13.4</v>
      </c>
      <c r="CU6" t="n">
        <v>15.9</v>
      </c>
      <c r="CV6" t="n">
        <v>17</v>
      </c>
      <c r="CW6" t="n">
        <v>18.5</v>
      </c>
      <c r="CX6" t="n">
        <v>19.2</v>
      </c>
      <c r="CY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v>3370.8</v>
      </c>
      <c r="O7" s="5" t="n">
        <v>2059.6</v>
      </c>
      <c r="P7" s="5" t="n">
        <v>1160.4</v>
      </c>
      <c r="Q7" s="5" t="n">
        <v>475</v>
      </c>
      <c r="R7" s="5" t="n">
        <v>160.6</v>
      </c>
      <c r="U7" t="inlineStr">
        <is>
          <t>Loans and advances to customers</t>
        </is>
      </c>
      <c r="V7" t="n">
        <v>160.6</v>
      </c>
      <c r="W7" t="n">
        <v>475</v>
      </c>
      <c r="X7" t="n">
        <v>1160.4</v>
      </c>
      <c r="Y7" t="n">
        <v>2059.6</v>
      </c>
      <c r="Z7" t="n">
        <v>3370.8</v>
      </c>
      <c r="AA7" t="n">
        <v>4801.1</v>
      </c>
      <c r="AB7" t="n">
        <v>6144.8</v>
      </c>
      <c r="AC7" t="n">
        <v>7477.3</v>
      </c>
      <c r="AE7" t="n">
        <v>8990.5</v>
      </c>
      <c r="AF7" t="n">
        <v>10230.3</v>
      </c>
      <c r="AG7" t="n">
        <v>10602.2</v>
      </c>
      <c r="AH7" t="n">
        <v>10393.6</v>
      </c>
      <c r="AI7" t="n">
        <v>10777.3</v>
      </c>
      <c r="AJ7" t="n">
        <v>10998.9</v>
      </c>
      <c r="AK7" t="n">
        <v>11416.3</v>
      </c>
      <c r="AL7" t="n">
        <v>12523.4</v>
      </c>
      <c r="CM7" t="inlineStr">
        <is>
          <t>Tier 1 Ratio</t>
        </is>
      </c>
      <c r="CN7" t="n">
        <v>13.1</v>
      </c>
      <c r="CO7" t="n">
        <v>13.8</v>
      </c>
      <c r="CP7" t="n">
        <v>13</v>
      </c>
      <c r="CR7" t="n">
        <v>13.9</v>
      </c>
      <c r="CS7" t="n">
        <v>13.9</v>
      </c>
      <c r="CT7" t="n">
        <v>14.4</v>
      </c>
      <c r="CU7" t="n">
        <v>16.9</v>
      </c>
      <c r="CV7" t="n">
        <v>18</v>
      </c>
      <c r="CW7" t="n">
        <v>19.4</v>
      </c>
      <c r="CX7" t="n">
        <v>20.1</v>
      </c>
      <c r="CY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v>3444.4</v>
      </c>
      <c r="O8" s="5" t="n">
        <v>2141.2</v>
      </c>
      <c r="P8" s="5" t="n">
        <v>1347.5</v>
      </c>
      <c r="Q8" s="5" t="n">
        <v>634.7</v>
      </c>
      <c r="R8" s="5" t="n">
        <v>229.6</v>
      </c>
      <c r="U8" t="inlineStr">
        <is>
          <t>Customers' accounts</t>
        </is>
      </c>
      <c r="V8" t="n">
        <v>229.6</v>
      </c>
      <c r="W8" t="n">
        <v>634.7</v>
      </c>
      <c r="X8" t="n">
        <v>1347.5</v>
      </c>
      <c r="Y8" t="n">
        <v>2141.2</v>
      </c>
      <c r="Z8" t="n">
        <v>3444.4</v>
      </c>
      <c r="AA8" t="n">
        <v>4459</v>
      </c>
      <c r="AB8" t="n">
        <v>5742</v>
      </c>
      <c r="AC8" t="n">
        <v>6673.7</v>
      </c>
      <c r="AE8" t="n">
        <v>7776.3</v>
      </c>
      <c r="AF8" t="n">
        <v>8971.799999999999</v>
      </c>
      <c r="AG8" t="n">
        <v>10886.4</v>
      </c>
      <c r="AH8" t="n">
        <v>12427.3</v>
      </c>
      <c r="AI8" t="n">
        <v>14105.4</v>
      </c>
      <c r="AJ8" t="n">
        <v>15033.3</v>
      </c>
      <c r="AK8" t="n">
        <v>16306.7</v>
      </c>
      <c r="AL8" t="n">
        <v>17047.6</v>
      </c>
      <c r="CM8" t="inlineStr">
        <is>
          <t>Total Capital Ratio</t>
        </is>
      </c>
      <c r="CN8" t="n">
        <v>14.7</v>
      </c>
      <c r="CO8" t="n">
        <v>15.1</v>
      </c>
      <c r="CP8" t="n">
        <v>15.5</v>
      </c>
      <c r="CR8" t="n">
        <v>15.3</v>
      </c>
      <c r="CS8" t="n">
        <v>16.4</v>
      </c>
      <c r="CT8" t="n">
        <v>16.9</v>
      </c>
      <c r="CU8" t="n">
        <v>19.6</v>
      </c>
      <c r="CV8" t="n">
        <v>19.6</v>
      </c>
      <c r="CW8" t="n">
        <v>21</v>
      </c>
      <c r="CX8" t="n">
        <v>21.6</v>
      </c>
      <c r="CY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v>257.4</v>
      </c>
      <c r="O9" s="5" t="n">
        <v>172.3</v>
      </c>
      <c r="P9" s="5" t="n">
        <v>166.1</v>
      </c>
      <c r="Q9" s="5" t="n">
        <v>91.59999999999999</v>
      </c>
      <c r="R9" s="5" t="n">
        <v>53.1</v>
      </c>
      <c r="U9" t="inlineStr">
        <is>
          <t>Total equity</t>
        </is>
      </c>
      <c r="V9" t="n">
        <v>53.1</v>
      </c>
      <c r="W9" t="n">
        <v>91.59999999999999</v>
      </c>
      <c r="X9" t="n">
        <v>166.1</v>
      </c>
      <c r="Y9" t="n">
        <v>172.3</v>
      </c>
      <c r="Z9" t="n">
        <v>257.4</v>
      </c>
      <c r="AA9" t="n">
        <v>374.8</v>
      </c>
      <c r="AB9" t="n">
        <v>527.3</v>
      </c>
      <c r="AC9" t="n">
        <v>619.4</v>
      </c>
      <c r="AE9" t="n">
        <v>766.7</v>
      </c>
      <c r="AF9" t="n">
        <v>853.2</v>
      </c>
      <c r="AG9" t="n">
        <v>896.2</v>
      </c>
      <c r="AH9" t="n">
        <v>987.1</v>
      </c>
      <c r="AI9" t="n">
        <v>1098.6</v>
      </c>
      <c r="AJ9" t="n">
        <v>1219</v>
      </c>
      <c r="AK9" t="n">
        <v>1371.8</v>
      </c>
      <c r="AL9" t="n">
        <v>1514.6</v>
      </c>
      <c r="CM9" t="inlineStr">
        <is>
          <t>Leverage Ratio</t>
        </is>
      </c>
      <c r="CN9" t="n">
        <v>6.3</v>
      </c>
      <c r="CO9" t="n">
        <v>7.2</v>
      </c>
      <c r="CP9" t="n">
        <v>7</v>
      </c>
      <c r="CR9" t="n">
        <v>7.1</v>
      </c>
      <c r="CS9" t="n">
        <v>6.8</v>
      </c>
      <c r="CT9" t="n">
        <v>6.1</v>
      </c>
      <c r="CV9" t="n">
        <v>8.1</v>
      </c>
      <c r="CW9" t="n">
        <v>9.300000000000001</v>
      </c>
      <c r="CX9" t="n">
        <v>9.6</v>
      </c>
      <c r="CY9" t="n">
        <v>8.9</v>
      </c>
    </row>
    <row r="10">
      <c r="CM10" t="inlineStr">
        <is>
          <t>LCR</t>
        </is>
      </c>
      <c r="CV10" t="n">
        <v>367.4</v>
      </c>
      <c r="CW10" t="n">
        <v>194.5</v>
      </c>
      <c r="CX10" t="n">
        <v>214.8</v>
      </c>
      <c r="CY10" t="n">
        <v>189.2</v>
      </c>
    </row>
    <row r="11">
      <c r="A11" s="3" t="inlineStr">
        <is>
          <t>Profit &amp; Loss Summary (£m)</t>
        </is>
      </c>
      <c r="CM11" t="inlineStr">
        <is>
          <t>NSFR</t>
        </is>
      </c>
      <c r="CV11" t="n">
        <v>128.7</v>
      </c>
      <c r="CW11" t="n">
        <v>127.4</v>
      </c>
      <c r="CX11" t="n">
        <v>137</v>
      </c>
      <c r="CY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v>103.8</v>
      </c>
      <c r="O13" s="5" t="n">
        <v>58.8</v>
      </c>
      <c r="P13" s="5" t="n">
        <v>42.6</v>
      </c>
      <c r="Q13" s="5" t="n">
        <v>28.2</v>
      </c>
      <c r="R13" s="5" t="n">
        <v>4.1</v>
      </c>
      <c r="AO13" t="inlineStr">
        <is>
          <t>Total operating income</t>
        </is>
      </c>
      <c r="AP13" t="n">
        <v>4.1</v>
      </c>
      <c r="AQ13" t="n">
        <v>28.2</v>
      </c>
      <c r="AR13" t="n">
        <v>42.6</v>
      </c>
      <c r="AS13" t="n">
        <v>58.8</v>
      </c>
      <c r="AT13" t="n">
        <v>103.8</v>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v>-69.5</v>
      </c>
      <c r="O14" s="5" t="n">
        <v>-52.2</v>
      </c>
      <c r="P14" s="5" t="n">
        <v>-42.6</v>
      </c>
      <c r="Q14" s="5" t="n">
        <v>-35.6</v>
      </c>
      <c r="R14" s="5" t="n">
        <v>-12.4</v>
      </c>
      <c r="AO14" t="inlineStr">
        <is>
          <t>Administrative expenses</t>
        </is>
      </c>
      <c r="AP14" t="n">
        <v>-12.4</v>
      </c>
      <c r="AQ14" t="n">
        <v>-35.6</v>
      </c>
      <c r="AR14" t="n">
        <v>-42.6</v>
      </c>
      <c r="AS14" t="n">
        <v>-52.2</v>
      </c>
      <c r="AT14" t="n">
        <v>-69.5</v>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v>23.4</v>
      </c>
      <c r="O15" s="5" t="n">
        <v>1.5</v>
      </c>
      <c r="P15" s="5" t="n">
        <v>-0.9</v>
      </c>
      <c r="Q15" s="5" t="n">
        <v>-8.800000000000001</v>
      </c>
      <c r="R15" s="5" t="n">
        <v>-13</v>
      </c>
      <c r="AO15" t="inlineStr">
        <is>
          <t>Profit after taxation</t>
        </is>
      </c>
      <c r="AP15" t="n">
        <v>-13</v>
      </c>
      <c r="AQ15" t="n">
        <v>-8.800000000000001</v>
      </c>
      <c r="AR15" t="n">
        <v>-0.9</v>
      </c>
      <c r="AS15" t="n">
        <v>1.5</v>
      </c>
      <c r="AT15" t="n">
        <v>23.4</v>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BJ18" t="inlineStr">
        <is>
          <t>FY2014 (y/e 31 Dec 14)</t>
        </is>
      </c>
      <c r="BK18" t="inlineStr">
        <is>
          <t>FY2015 (y/e 31 Dec 15)</t>
        </is>
      </c>
      <c r="BL18" t="inlineStr">
        <is>
          <t>FY2016 (y/e 31 Dec 16)</t>
        </is>
      </c>
      <c r="BM18" t="inlineStr">
        <is>
          <t>FY2017 (no standalone 12-month period - see note)</t>
        </is>
      </c>
      <c r="BN18" t="inlineStr">
        <is>
          <t>FY2018 (18-month transition period, 1 Jan 17 - 30 Jun 18)</t>
        </is>
      </c>
      <c r="BO18" t="inlineStr">
        <is>
          <t>FY2019 (y/e 30 Jun 19)</t>
        </is>
      </c>
      <c r="BP18" t="inlineStr">
        <is>
          <t>FY2020 (y/e 30 Jun 20)</t>
        </is>
      </c>
      <c r="BQ18" t="inlineStr">
        <is>
          <t>FY2021 (y/e 30 Jun 21)</t>
        </is>
      </c>
      <c r="BR18" t="inlineStr">
        <is>
          <t>FY2022 (y/e 30 Jun 22)</t>
        </is>
      </c>
      <c r="BS18" t="inlineStr">
        <is>
          <t>FY2023 (y/e 30 Jun 23)</t>
        </is>
      </c>
      <c r="BT18" t="inlineStr">
        <is>
          <t>FY2024 (y/e 30 Jun 24)</t>
        </is>
      </c>
      <c r="BU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BI19" t="inlineStr">
        <is>
          <t>Opening equity</t>
        </is>
      </c>
      <c r="BJ19" t="n">
        <v>259.4</v>
      </c>
      <c r="BK19" t="n">
        <v>374.8</v>
      </c>
      <c r="BL19" t="n">
        <v>527.3</v>
      </c>
      <c r="BN19" t="n">
        <v>619.4</v>
      </c>
      <c r="BO19" t="n">
        <v>766.7</v>
      </c>
      <c r="BP19" t="n">
        <v>853.2</v>
      </c>
      <c r="BQ19" t="n">
        <v>896.2</v>
      </c>
      <c r="BR19" t="n">
        <v>987.1</v>
      </c>
      <c r="BS19" t="n">
        <v>1098.5</v>
      </c>
      <c r="BT19" t="n">
        <v>1219</v>
      </c>
      <c r="BU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BI20" t="inlineStr">
        <is>
          <t>Total comprehensive income</t>
        </is>
      </c>
      <c r="BJ20" t="n">
        <v>40.5</v>
      </c>
      <c r="BK20" t="n">
        <v>77.7</v>
      </c>
      <c r="BL20" t="n">
        <v>95.09999999999999</v>
      </c>
      <c r="BN20" t="n">
        <v>155.2</v>
      </c>
      <c r="BO20" t="n">
        <v>101.5</v>
      </c>
      <c r="BP20" t="n">
        <v>65.2</v>
      </c>
      <c r="BQ20" t="n">
        <v>96.09999999999999</v>
      </c>
      <c r="BR20" t="n">
        <v>116.6</v>
      </c>
      <c r="BS20" t="n">
        <v>125.7</v>
      </c>
      <c r="BT20" t="n">
        <v>158.1</v>
      </c>
      <c r="BU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BI21" t="inlineStr">
        <is>
          <t>Other equity movements, net</t>
        </is>
      </c>
      <c r="BJ21" t="n">
        <v>74.90000000000001</v>
      </c>
      <c r="BK21" t="n">
        <v>74.8</v>
      </c>
      <c r="BL21" t="n">
        <v>-3</v>
      </c>
      <c r="BN21" t="n">
        <v>-7.9</v>
      </c>
      <c r="BO21" t="n">
        <v>-15</v>
      </c>
      <c r="BP21" t="n">
        <v>-22.2</v>
      </c>
      <c r="BQ21" t="n">
        <v>-5.2</v>
      </c>
      <c r="BR21" t="n">
        <v>-5.2</v>
      </c>
      <c r="BS21" t="n">
        <v>-5.2</v>
      </c>
      <c r="BT21" t="n">
        <v>-5.3</v>
      </c>
      <c r="BU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BI22" t="inlineStr">
        <is>
          <t>Closing equity</t>
        </is>
      </c>
      <c r="BJ22" t="n">
        <v>374.8</v>
      </c>
      <c r="BK22" t="n">
        <v>527.3</v>
      </c>
      <c r="BL22" t="n">
        <v>619.4</v>
      </c>
      <c r="BN22" t="n">
        <v>766.7</v>
      </c>
      <c r="BO22" t="n">
        <v>853.2</v>
      </c>
      <c r="BP22" t="n">
        <v>896.2</v>
      </c>
      <c r="BQ22" t="n">
        <v>987.1</v>
      </c>
      <c r="BR22" t="n">
        <v>1098.6</v>
      </c>
      <c r="BS22" t="n">
        <v>1219</v>
      </c>
      <c r="BT22" t="n">
        <v>1371.8</v>
      </c>
      <c r="BU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BY25" t="inlineStr">
        <is>
          <t>FY2014 (y/e 31 Dec 14)</t>
        </is>
      </c>
      <c r="BZ25" t="inlineStr">
        <is>
          <t>FY2015 (y/e 31 Dec 15)</t>
        </is>
      </c>
      <c r="CA25" t="inlineStr">
        <is>
          <t>FY2016 (y/e 31 Dec 16)</t>
        </is>
      </c>
      <c r="CB25" t="inlineStr">
        <is>
          <t>FY2017 (no standalone 12-month period - see note)</t>
        </is>
      </c>
      <c r="CC25" t="inlineStr">
        <is>
          <t>FY2018 (18-month transition period, 1 Jan 17 - 30 Jun 18)</t>
        </is>
      </c>
      <c r="CD25" t="inlineStr">
        <is>
          <t>FY2019 (y/e 30 Jun 19)</t>
        </is>
      </c>
      <c r="CE25" t="inlineStr">
        <is>
          <t>FY2020 (y/e 30 Jun 20)</t>
        </is>
      </c>
      <c r="CF25" t="inlineStr">
        <is>
          <t>FY2021 (y/e 30 Jun 21)</t>
        </is>
      </c>
      <c r="CG25" t="inlineStr">
        <is>
          <t>FY2022 (y/e 30 Jun 22)</t>
        </is>
      </c>
      <c r="CH25" t="inlineStr">
        <is>
          <t>FY2023 (y/e 30 Jun 23)</t>
        </is>
      </c>
      <c r="CI25" t="inlineStr">
        <is>
          <t>FY2024 (y/e 30 Jun 24)</t>
        </is>
      </c>
      <c r="CJ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BX26" t="inlineStr">
        <is>
          <t>Net cash from operating activities</t>
        </is>
      </c>
      <c r="BY26" t="n">
        <v>-205.7</v>
      </c>
      <c r="BZ26" t="n">
        <v>49.3</v>
      </c>
      <c r="CA26" t="n">
        <v>0</v>
      </c>
      <c r="CC26" t="n">
        <v>632.6</v>
      </c>
      <c r="CD26" t="n">
        <v>296.7</v>
      </c>
      <c r="CE26" t="n">
        <v>2030.7</v>
      </c>
      <c r="CF26" t="n">
        <v>884.1</v>
      </c>
      <c r="CG26" t="n">
        <v>1215.7</v>
      </c>
      <c r="CH26" t="n">
        <v>1108.5</v>
      </c>
      <c r="CI26" t="n">
        <v>730.1</v>
      </c>
      <c r="CJ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BX27" t="inlineStr">
        <is>
          <t>Net cash from investing activities</t>
        </is>
      </c>
      <c r="BY27" t="n">
        <v>-164.4</v>
      </c>
      <c r="BZ27" t="n">
        <v>-98.90000000000001</v>
      </c>
      <c r="CA27" t="n">
        <v>-47.3</v>
      </c>
      <c r="CC27" t="n">
        <v>-133</v>
      </c>
      <c r="CD27" t="n">
        <v>-357.7</v>
      </c>
      <c r="CE27" t="n">
        <v>-711.6</v>
      </c>
      <c r="CF27" t="n">
        <v>-55</v>
      </c>
      <c r="CG27" t="n">
        <v>-334.8</v>
      </c>
      <c r="CH27" t="n">
        <v>306.5</v>
      </c>
      <c r="CI27" t="n">
        <v>-401.6</v>
      </c>
      <c r="CJ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BX28" t="inlineStr">
        <is>
          <t>Net cash from financing activities</t>
        </is>
      </c>
      <c r="BY28" t="n">
        <v>69.09999999999999</v>
      </c>
      <c r="BZ28" t="n">
        <v>65.5</v>
      </c>
      <c r="CA28" t="n">
        <v>45.3</v>
      </c>
      <c r="CC28" t="n">
        <v>-88.40000000000001</v>
      </c>
      <c r="CD28" t="n">
        <v>25.7</v>
      </c>
      <c r="CE28" t="n">
        <v>-1280.5</v>
      </c>
      <c r="CF28" t="n">
        <v>-697.7</v>
      </c>
      <c r="CG28" t="n">
        <v>-739.7</v>
      </c>
      <c r="CH28" t="n">
        <v>-331.2</v>
      </c>
      <c r="CI28" t="n">
        <v>-8.300000000000001</v>
      </c>
      <c r="CJ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BX29" t="inlineStr">
        <is>
          <t>Cash and cash equivalents at end of year</t>
        </is>
      </c>
      <c r="BY29" t="n">
        <v>114.2</v>
      </c>
      <c r="BZ29" t="n">
        <v>130.1</v>
      </c>
      <c r="CA29" t="n">
        <v>128.1</v>
      </c>
      <c r="CC29" t="n">
        <v>539.3</v>
      </c>
      <c r="CD29" t="n">
        <v>504</v>
      </c>
      <c r="CE29" t="n">
        <v>542.6</v>
      </c>
      <c r="CF29" t="n">
        <v>674</v>
      </c>
      <c r="CG29" t="n">
        <v>815.2</v>
      </c>
      <c r="CH29" t="n">
        <v>1899.4</v>
      </c>
      <c r="CI29" t="n">
        <v>2219.6</v>
      </c>
      <c r="CJ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row>
    <row r="34">
      <c r="A34" s="6" t="inlineStr">
        <is>
          <t>Tier 1 Ratio</t>
        </is>
      </c>
      <c r="B34" s="6" t="inlineStr">
        <is>
          <t>19.1%</t>
        </is>
      </c>
      <c r="C34" s="6" t="inlineStr">
        <is>
          <t>20.1%</t>
        </is>
      </c>
      <c r="D34" s="6" t="inlineStr">
        <is>
          <t>19.4%</t>
        </is>
      </c>
      <c r="E34" s="6" t="inlineStr">
        <is>
          <t>18.0%</t>
        </is>
      </c>
      <c r="F34" s="6" t="inlineStr">
        <is>
          <t>16.9%</t>
        </is>
      </c>
      <c r="G34" s="6" t="inlineStr">
        <is>
          <t>14.4%</t>
        </is>
      </c>
      <c r="H34" s="6" t="inlineStr">
        <is>
          <t>13.9%</t>
        </is>
      </c>
      <c r="I34" s="6" t="inlineStr">
        <is>
          <t>13.9%</t>
        </is>
      </c>
      <c r="J34" s="6" t="n"/>
      <c r="K34" s="6" t="inlineStr">
        <is>
          <t>13.0%</t>
        </is>
      </c>
      <c r="L34" s="6" t="inlineStr">
        <is>
          <t>13.8%</t>
        </is>
      </c>
      <c r="M34" s="6" t="inlineStr">
        <is>
          <t>13.1%</t>
        </is>
      </c>
    </row>
    <row r="35">
      <c r="A35" s="6" t="inlineStr">
        <is>
          <t>Total Capital Ratio</t>
        </is>
      </c>
      <c r="B35" s="6" t="inlineStr">
        <is>
          <t>20.5%</t>
        </is>
      </c>
      <c r="C35" s="6" t="inlineStr">
        <is>
          <t>21.6%</t>
        </is>
      </c>
      <c r="D35" s="6" t="inlineStr">
        <is>
          <t>21.0%</t>
        </is>
      </c>
      <c r="E35" s="6" t="inlineStr">
        <is>
          <t>19.6%</t>
        </is>
      </c>
      <c r="F35" s="6" t="inlineStr">
        <is>
          <t>19.6%</t>
        </is>
      </c>
      <c r="G35" s="6" t="inlineStr">
        <is>
          <t>16.9%</t>
        </is>
      </c>
      <c r="H35" s="6" t="inlineStr">
        <is>
          <t>16.4%</t>
        </is>
      </c>
      <c r="I35" s="6" t="inlineStr">
        <is>
          <t>15.3%</t>
        </is>
      </c>
      <c r="J35" s="6" t="n"/>
      <c r="K35" s="6" t="inlineStr">
        <is>
          <t>15.5%</t>
        </is>
      </c>
      <c r="L35" s="6" t="inlineStr">
        <is>
          <t>15.1%</t>
        </is>
      </c>
      <c r="M35" s="6" t="inlineStr">
        <is>
          <t>14.7%</t>
        </is>
      </c>
    </row>
    <row r="36">
      <c r="A36" s="6" t="inlineStr">
        <is>
          <t>Leverage Ratio</t>
        </is>
      </c>
      <c r="B36" s="6" t="inlineStr">
        <is>
          <t>8.9%</t>
        </is>
      </c>
      <c r="C36" s="6" t="inlineStr">
        <is>
          <t>9.6%</t>
        </is>
      </c>
      <c r="D36" s="6" t="inlineStr">
        <is>
          <t>9.3%</t>
        </is>
      </c>
      <c r="E36" s="6" t="inlineStr">
        <is>
          <t>8.1%</t>
        </is>
      </c>
      <c r="F36" s="6" t="n"/>
      <c r="G36" s="6" t="inlineStr">
        <is>
          <t>6.1%</t>
        </is>
      </c>
      <c r="H36" s="6" t="inlineStr">
        <is>
          <t>6.8%</t>
        </is>
      </c>
      <c r="I36" s="6" t="inlineStr">
        <is>
          <t>7.1%</t>
        </is>
      </c>
      <c r="J36" s="6" t="n"/>
      <c r="K36" s="6" t="inlineStr">
        <is>
          <t>7.0%</t>
        </is>
      </c>
      <c r="L36" s="6" t="inlineStr">
        <is>
          <t>7.2%</t>
        </is>
      </c>
      <c r="M36" s="6" t="inlineStr">
        <is>
          <t>6.3%</t>
        </is>
      </c>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FY2016 and FY2020 UPDATED 2026-09-18: this note previously said the FY2016/FY2020 CET1 Ratio came from the Bank's Annual Report highlights because 'no standalone Pillar 3 document survives for those two years', and Tier 1 Ratio, Total Capital Ratio and Leverage Ratio were blank in both years for the same stated reason. Both Pillar 3 editions were recovered on 2026-09-18 (FY2020 from Aldermore's own live investor index; FY2016 from the Wayback Machine, findable only by enumerating the whole host because its filename carries no year). Every ratio here for those two years is now the Bank-solo column of the recovered edition, and the two CET1 figures are unchanged from the Annual Report highlights — the documents corroborate each other.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Total 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Debt securities: FVOCI (fair value through other comprehensive income) — UK Government gilts / treasury bills</t>
        </is>
      </c>
      <c r="B9" s="6" t="n">
        <v>259.1</v>
      </c>
      <c r="C9" s="6" t="n">
        <v>187.2</v>
      </c>
      <c r="D9" s="6" t="n">
        <v>113.6</v>
      </c>
      <c r="E9" s="6" t="n">
        <v>156.8</v>
      </c>
      <c r="F9" s="6" t="n">
        <v>133.3</v>
      </c>
      <c r="G9" s="6" t="n">
        <v>235</v>
      </c>
      <c r="H9" s="6" t="n"/>
      <c r="I9" s="6" t="n"/>
      <c r="J9" s="6" t="n"/>
      <c r="K9" s="6" t="n"/>
      <c r="L9" s="6" t="n"/>
      <c r="M9" s="6" t="n"/>
      <c r="N9" s="6" t="n"/>
      <c r="O9" s="6" t="n"/>
      <c r="P9" s="6" t="n"/>
      <c r="Q9" s="6" t="n"/>
      <c r="R9" s="6" t="n"/>
    </row>
    <row r="10">
      <c r="A10" s="6" t="inlineStr">
        <is>
          <t>Debt securities: FVOCI (fair value through other comprehensive income) — Supranational bonds</t>
        </is>
      </c>
      <c r="B10" s="6" t="n">
        <v>1188.8</v>
      </c>
      <c r="C10" s="6" t="n">
        <v>871.7</v>
      </c>
      <c r="D10" s="6" t="n">
        <v>742</v>
      </c>
      <c r="E10" s="6" t="n">
        <v>963.9</v>
      </c>
      <c r="F10" s="6" t="n">
        <v>1061.2</v>
      </c>
      <c r="G10" s="6" t="n">
        <v>990.7</v>
      </c>
      <c r="H10" s="6" t="n"/>
      <c r="I10" s="6" t="n"/>
      <c r="J10" s="6" t="n"/>
      <c r="K10" s="6" t="n"/>
      <c r="L10" s="6" t="n"/>
      <c r="M10" s="6" t="n"/>
      <c r="N10" s="6" t="n"/>
      <c r="O10" s="6" t="n"/>
      <c r="P10" s="6" t="n"/>
      <c r="Q10" s="6" t="n"/>
      <c r="R10" s="6" t="n"/>
    </row>
    <row r="11">
      <c r="A11" s="6" t="inlineStr">
        <is>
          <t>Debt securities: FVOCI (fair value through other comprehensive income) — Asset-backed securities (other investment securities)</t>
        </is>
      </c>
      <c r="B11" s="6" t="n">
        <v>255.2</v>
      </c>
      <c r="C11" s="6" t="n">
        <v>200.7</v>
      </c>
      <c r="D11" s="6" t="n">
        <v>112.8</v>
      </c>
      <c r="E11" s="6" t="n">
        <v>146</v>
      </c>
      <c r="F11" s="6" t="n">
        <v>115.4</v>
      </c>
      <c r="G11" s="6" t="n">
        <v>114.4</v>
      </c>
      <c r="H11" s="6" t="n"/>
      <c r="I11" s="6" t="n"/>
      <c r="J11" s="6" t="n"/>
      <c r="K11" s="6" t="n"/>
      <c r="L11" s="6" t="n"/>
      <c r="M11" s="6" t="n"/>
      <c r="N11" s="6" t="n"/>
      <c r="O11" s="6" t="n"/>
      <c r="P11" s="6" t="n"/>
      <c r="Q11" s="6" t="n"/>
      <c r="R11" s="6" t="n"/>
    </row>
    <row r="12">
      <c r="A12" s="6" t="inlineStr">
        <is>
          <t>Debt securities: FVOCI (fair value through other comprehensive income) — Covered bonds (other investment securities)</t>
        </is>
      </c>
      <c r="B12" s="6" t="n">
        <v>672</v>
      </c>
      <c r="C12" s="6" t="n">
        <v>802</v>
      </c>
      <c r="D12" s="6" t="n">
        <v>553.1</v>
      </c>
      <c r="E12" s="6" t="n">
        <v>681.2</v>
      </c>
      <c r="F12" s="6" t="n">
        <v>495.9</v>
      </c>
      <c r="G12" s="6" t="n">
        <v>529.7</v>
      </c>
      <c r="H12" s="6" t="n"/>
      <c r="I12" s="6" t="n"/>
      <c r="J12" s="6" t="n"/>
      <c r="K12" s="6" t="n"/>
      <c r="L12" s="6" t="n"/>
      <c r="M12" s="6" t="n"/>
      <c r="N12" s="6" t="n"/>
      <c r="O12" s="6" t="n"/>
      <c r="P12" s="6" t="n"/>
      <c r="Q12" s="6" t="n"/>
      <c r="R12" s="6" t="n"/>
    </row>
    <row r="13">
      <c r="A13" s="6" t="inlineStr">
        <is>
          <t>Debt securities: amortised cost — UK Government gilts</t>
        </is>
      </c>
      <c r="B13" s="6" t="n">
        <v>256.8</v>
      </c>
      <c r="C13" s="6" t="n">
        <v>176.8</v>
      </c>
      <c r="D13" s="6" t="n">
        <v>270.8</v>
      </c>
      <c r="E13" s="6" t="n">
        <v>150.3</v>
      </c>
      <c r="F13" s="6" t="n">
        <v>107.3</v>
      </c>
      <c r="G13" s="6" t="n">
        <v>48.4</v>
      </c>
      <c r="H13" s="6" t="n"/>
      <c r="I13" s="6" t="n"/>
      <c r="J13" s="6" t="n"/>
      <c r="K13" s="6" t="n"/>
      <c r="L13" s="6" t="n"/>
      <c r="M13" s="6" t="n"/>
      <c r="N13" s="6" t="n"/>
      <c r="O13" s="6" t="n"/>
      <c r="P13" s="6" t="n"/>
      <c r="Q13" s="6" t="n"/>
      <c r="R13" s="6" t="n"/>
    </row>
    <row r="14">
      <c r="A14" s="6" t="inlineStr">
        <is>
          <t>Debt securities: amortised cost — Supranational bonds (other investment securities)</t>
        </is>
      </c>
      <c r="B14" s="6" t="n">
        <v>72.3</v>
      </c>
      <c r="C14" s="6" t="n">
        <v>198.1</v>
      </c>
      <c r="D14" s="6" t="n">
        <v>256.5</v>
      </c>
      <c r="E14" s="6" t="n">
        <v>241.1</v>
      </c>
      <c r="F14" s="6" t="n">
        <v>86.40000000000001</v>
      </c>
      <c r="G14" s="6" t="n">
        <v>22.9</v>
      </c>
      <c r="H14" s="6" t="n"/>
      <c r="I14" s="6" t="n"/>
      <c r="J14" s="6" t="n"/>
      <c r="K14" s="6" t="n"/>
      <c r="L14" s="6" t="n"/>
      <c r="M14" s="6" t="n"/>
      <c r="N14" s="6" t="n"/>
      <c r="O14" s="6" t="n"/>
      <c r="P14" s="6" t="n"/>
      <c r="Q14" s="6" t="n"/>
      <c r="R14" s="6" t="n"/>
    </row>
    <row r="15">
      <c r="A15" s="6" t="inlineStr">
        <is>
          <t>Derivatives held for risk management</t>
        </is>
      </c>
      <c r="B15" s="6" t="n">
        <v>170.1</v>
      </c>
      <c r="C15" s="6" t="n">
        <v>344.2</v>
      </c>
      <c r="D15" s="6" t="n">
        <v>666.3</v>
      </c>
      <c r="E15" s="6" t="n">
        <v>259.9</v>
      </c>
      <c r="F15" s="6" t="n">
        <v>18.9</v>
      </c>
      <c r="G15" s="6" t="n">
        <v>9.1</v>
      </c>
      <c r="H15" s="6" t="n">
        <v>9.1</v>
      </c>
      <c r="I15" s="6" t="n">
        <v>24</v>
      </c>
      <c r="J15" s="6" t="n"/>
      <c r="K15" s="6" t="n">
        <v>17.5</v>
      </c>
      <c r="L15" s="6" t="n">
        <v>17.5</v>
      </c>
      <c r="M15" s="6" t="n">
        <v>25.6</v>
      </c>
      <c r="N15" s="6" t="n"/>
      <c r="O15" s="6" t="n"/>
      <c r="P15" s="6" t="n"/>
      <c r="Q15" s="6" t="n"/>
      <c r="R15" s="6" t="n"/>
    </row>
    <row r="16">
      <c r="A16" s="6" t="inlineStr">
        <is>
          <t>Loans and advances to customers</t>
        </is>
      </c>
      <c r="B16" s="6" t="n">
        <v>12523.4</v>
      </c>
      <c r="C16" s="6" t="n">
        <v>11416.3</v>
      </c>
      <c r="D16" s="6" t="n">
        <v>10998.9</v>
      </c>
      <c r="E16" s="6" t="n">
        <v>10777.3</v>
      </c>
      <c r="F16" s="6" t="n">
        <v>10393.6</v>
      </c>
      <c r="G16" s="6" t="n">
        <v>10602.2</v>
      </c>
      <c r="H16" s="6" t="n">
        <v>10230.3</v>
      </c>
      <c r="I16" s="6" t="n">
        <v>8990.5</v>
      </c>
      <c r="J16" s="6" t="n"/>
      <c r="K16" s="6" t="n">
        <v>7477.3</v>
      </c>
      <c r="L16" s="6" t="n">
        <v>6144.8</v>
      </c>
      <c r="M16" s="6" t="n">
        <v>4801.1</v>
      </c>
      <c r="N16" s="6" t="n">
        <v>3370.8</v>
      </c>
      <c r="O16" s="6" t="n">
        <v>2059.6</v>
      </c>
      <c r="P16" s="6" t="n">
        <v>1160.4</v>
      </c>
      <c r="Q16" s="6" t="n">
        <v>475</v>
      </c>
      <c r="R16" s="6" t="n">
        <v>160.6</v>
      </c>
    </row>
    <row r="17">
      <c r="A17" s="6" t="inlineStr">
        <is>
          <t>Fair value adjustment for portfolio hedged risk</t>
        </is>
      </c>
      <c r="B17" s="6" t="n">
        <v>18.8</v>
      </c>
      <c r="C17" s="6" t="n">
        <v>-129</v>
      </c>
      <c r="D17" s="6" t="n">
        <v>-400.1</v>
      </c>
      <c r="E17" s="6" t="n">
        <v>-180.2</v>
      </c>
      <c r="F17" s="6" t="n">
        <v>15.2</v>
      </c>
      <c r="G17" s="6" t="n">
        <v>55.8</v>
      </c>
      <c r="H17" s="6" t="n">
        <v>17.9</v>
      </c>
      <c r="I17" s="6" t="n">
        <v>-15.7</v>
      </c>
      <c r="J17" s="6" t="n"/>
      <c r="K17" s="6" t="n">
        <v>-3.5</v>
      </c>
      <c r="L17" s="6" t="n">
        <v>1.1</v>
      </c>
      <c r="M17" s="6" t="n"/>
      <c r="N17" s="6" t="n"/>
      <c r="O17" s="6" t="n"/>
      <c r="P17" s="6" t="n"/>
      <c r="Q17" s="6" t="n"/>
      <c r="R17" s="6" t="n"/>
    </row>
    <row r="18">
      <c r="A18" s="6" t="inlineStr">
        <is>
          <t>Non-current assets held for sale</t>
        </is>
      </c>
      <c r="B18" s="6" t="n"/>
      <c r="C18" s="6" t="n"/>
      <c r="D18" s="6" t="n">
        <v>32.8</v>
      </c>
      <c r="E18" s="6" t="n"/>
      <c r="F18" s="6" t="n"/>
      <c r="G18" s="6" t="n"/>
      <c r="H18" s="6" t="n"/>
      <c r="I18" s="6" t="n"/>
      <c r="J18" s="6" t="n"/>
      <c r="K18" s="6" t="n"/>
      <c r="L18" s="6" t="n"/>
      <c r="M18" s="6" t="n"/>
      <c r="N18" s="6" t="n"/>
      <c r="O18" s="6" t="n"/>
      <c r="P18" s="6" t="n"/>
      <c r="Q18" s="6" t="n"/>
      <c r="R18" s="6" t="n"/>
    </row>
    <row r="19">
      <c r="A19" s="6" t="inlineStr">
        <is>
          <t>Other assets</t>
        </is>
      </c>
      <c r="B19" s="6" t="n">
        <v>2.8</v>
      </c>
      <c r="C19" s="6" t="n">
        <v>9.199999999999999</v>
      </c>
      <c r="D19" s="6" t="n">
        <v>6</v>
      </c>
      <c r="E19" s="6" t="n">
        <v>1.6</v>
      </c>
      <c r="F19" s="6" t="n">
        <v>2</v>
      </c>
      <c r="G19" s="6" t="n">
        <v>0</v>
      </c>
      <c r="H19" s="6" t="n">
        <v>2.8</v>
      </c>
      <c r="I19" s="6" t="n">
        <v>6.4</v>
      </c>
      <c r="J19" s="6" t="n"/>
      <c r="K19" s="6" t="n">
        <v>3.7</v>
      </c>
      <c r="L19" s="6" t="n">
        <v>2.5</v>
      </c>
      <c r="M19" s="6" t="n">
        <v>4.7</v>
      </c>
      <c r="N19" s="6" t="n">
        <v>11.5</v>
      </c>
      <c r="O19" s="6" t="n">
        <v>22.4</v>
      </c>
      <c r="P19" s="6" t="n">
        <v>14.3</v>
      </c>
      <c r="Q19" s="6" t="n">
        <v>4.3</v>
      </c>
      <c r="R19" s="6" t="n">
        <v>1.2</v>
      </c>
    </row>
    <row r="20">
      <c r="A20" s="6" t="inlineStr">
        <is>
          <t>Prepayments and accrued income</t>
        </is>
      </c>
      <c r="B20" s="6" t="n">
        <v>23.6</v>
      </c>
      <c r="C20" s="6" t="n">
        <v>22.8</v>
      </c>
      <c r="D20" s="6" t="n">
        <v>17.8</v>
      </c>
      <c r="E20" s="6" t="n">
        <v>14.5</v>
      </c>
      <c r="F20" s="6" t="n">
        <v>13.3</v>
      </c>
      <c r="G20" s="6" t="n">
        <v>11.3</v>
      </c>
      <c r="H20" s="6" t="n">
        <v>5.3</v>
      </c>
      <c r="I20" s="6" t="n">
        <v>6.2</v>
      </c>
      <c r="J20" s="6" t="n"/>
      <c r="K20" s="6" t="n">
        <v>3.4</v>
      </c>
      <c r="L20" s="6" t="n">
        <v>5.1</v>
      </c>
      <c r="M20" s="6" t="n">
        <v>6.7</v>
      </c>
      <c r="N20" s="6" t="n">
        <v>32.5</v>
      </c>
      <c r="O20" s="6" t="n">
        <v>21.8</v>
      </c>
      <c r="P20" s="6" t="n">
        <v>12.9</v>
      </c>
      <c r="Q20" s="6" t="n">
        <v>5.8</v>
      </c>
      <c r="R20" s="6" t="n">
        <v>2.5</v>
      </c>
    </row>
    <row r="21">
      <c r="A21" s="6" t="inlineStr">
        <is>
          <t>Taxation asset</t>
        </is>
      </c>
      <c r="B21" s="6" t="n">
        <v>2.9</v>
      </c>
      <c r="C21" s="6" t="n">
        <v>2.2</v>
      </c>
      <c r="D21" s="6" t="n">
        <v>0</v>
      </c>
      <c r="E21" s="6" t="n">
        <v>7</v>
      </c>
      <c r="F21" s="6" t="n">
        <v>0.7</v>
      </c>
      <c r="G21" s="6" t="n">
        <v>11.8</v>
      </c>
      <c r="H21" s="6" t="n"/>
      <c r="I21" s="6" t="n"/>
      <c r="J21" s="6" t="n"/>
      <c r="K21" s="6" t="n"/>
      <c r="L21" s="6" t="n"/>
      <c r="M21" s="6" t="n"/>
      <c r="N21" s="6" t="n"/>
      <c r="O21" s="6" t="n"/>
      <c r="P21" s="6" t="n"/>
      <c r="Q21" s="6" t="n"/>
      <c r="R21" s="6" t="n"/>
    </row>
    <row r="22">
      <c r="A22" s="6" t="inlineStr">
        <is>
          <t>Deferred taxation</t>
        </is>
      </c>
      <c r="B22" s="6" t="n">
        <v>6.3</v>
      </c>
      <c r="C22" s="6" t="n">
        <v>5.7</v>
      </c>
      <c r="D22" s="6" t="n">
        <v>6.1</v>
      </c>
      <c r="E22" s="6" t="n">
        <v>2.6</v>
      </c>
      <c r="F22" s="6" t="n">
        <v>5.7</v>
      </c>
      <c r="G22" s="6" t="n">
        <v>3.4</v>
      </c>
      <c r="H22" s="6" t="n">
        <v>3.7</v>
      </c>
      <c r="I22" s="6" t="n">
        <v>2.3</v>
      </c>
      <c r="J22" s="6" t="n"/>
      <c r="K22" s="6" t="n">
        <v>12</v>
      </c>
      <c r="L22" s="6" t="n">
        <v>16.9</v>
      </c>
      <c r="M22" s="6" t="n">
        <v>6.4</v>
      </c>
      <c r="N22" s="6" t="n">
        <v>3.5</v>
      </c>
      <c r="O22" s="6" t="n"/>
      <c r="P22" s="6" t="n"/>
      <c r="Q22" s="6" t="n"/>
      <c r="R22" s="6" t="n"/>
    </row>
    <row r="23">
      <c r="A23" s="6" t="inlineStr">
        <is>
          <t>Property, plant and equipment</t>
        </is>
      </c>
      <c r="B23" s="6" t="n">
        <v>16.3</v>
      </c>
      <c r="C23" s="6" t="n">
        <v>20.5</v>
      </c>
      <c r="D23" s="6" t="n">
        <v>15.7</v>
      </c>
      <c r="E23" s="6" t="n">
        <v>20.8</v>
      </c>
      <c r="F23" s="6" t="n">
        <v>25.8</v>
      </c>
      <c r="G23" s="6" t="n">
        <v>23.2</v>
      </c>
      <c r="H23" s="6" t="n">
        <v>3.8</v>
      </c>
      <c r="I23" s="6" t="n">
        <v>3.7</v>
      </c>
      <c r="J23" s="6" t="n"/>
      <c r="K23" s="6" t="n">
        <v>3.1</v>
      </c>
      <c r="L23" s="6" t="n">
        <v>3.4</v>
      </c>
      <c r="M23" s="6" t="n">
        <v>2.8</v>
      </c>
      <c r="N23" s="6" t="n">
        <v>12.9</v>
      </c>
      <c r="O23" s="6" t="n">
        <v>11.4</v>
      </c>
      <c r="P23" s="6" t="n">
        <v>7.4</v>
      </c>
      <c r="Q23" s="6" t="n">
        <v>3.8</v>
      </c>
      <c r="R23" s="6" t="n">
        <v>2</v>
      </c>
    </row>
    <row r="24">
      <c r="A24" s="6" t="inlineStr">
        <is>
          <t>Intangible assets</t>
        </is>
      </c>
      <c r="B24" s="6" t="n">
        <v>4.3</v>
      </c>
      <c r="C24" s="6" t="n">
        <v>4.3</v>
      </c>
      <c r="D24" s="6" t="n">
        <v>4.3</v>
      </c>
      <c r="E24" s="6" t="n">
        <v>4.5</v>
      </c>
      <c r="F24" s="6" t="n">
        <v>9.6</v>
      </c>
      <c r="G24" s="6" t="n">
        <v>7.7</v>
      </c>
      <c r="H24" s="6" t="n">
        <v>7</v>
      </c>
      <c r="I24" s="6" t="n">
        <v>10.2</v>
      </c>
      <c r="J24" s="6" t="n"/>
      <c r="K24" s="6" t="n">
        <v>21.9</v>
      </c>
      <c r="L24" s="6" t="n">
        <v>19.8</v>
      </c>
      <c r="M24" s="6" t="n">
        <v>18.4</v>
      </c>
      <c r="N24" s="6" t="n">
        <v>7</v>
      </c>
      <c r="O24" s="6" t="n">
        <v>7.5</v>
      </c>
      <c r="P24" s="6" t="n">
        <v>7.9</v>
      </c>
      <c r="Q24" s="6" t="n">
        <v>8.4</v>
      </c>
      <c r="R24" s="6" t="n">
        <v>7.6</v>
      </c>
    </row>
    <row r="25">
      <c r="A25" s="5" t="inlineStr">
        <is>
          <t>Total assets</t>
        </is>
      </c>
      <c r="B25" s="5" t="n">
        <v>20618.2</v>
      </c>
      <c r="C25" s="5" t="n">
        <v>20195.5</v>
      </c>
      <c r="D25" s="5" t="n">
        <v>19051.7</v>
      </c>
      <c r="E25" s="5" t="n">
        <v>17290.8</v>
      </c>
      <c r="F25" s="5" t="n">
        <v>15583</v>
      </c>
      <c r="G25" s="5" t="n">
        <v>15000.7</v>
      </c>
      <c r="H25" s="5" t="n">
        <v>12471.9</v>
      </c>
      <c r="I25" s="5" t="n">
        <v>10467.4</v>
      </c>
      <c r="J25" s="5" t="n"/>
      <c r="K25" s="5" t="n">
        <v>8396.5</v>
      </c>
      <c r="L25" s="5" t="n">
        <v>7021.4</v>
      </c>
      <c r="M25" s="5" t="n">
        <v>5583.2</v>
      </c>
      <c r="N25" s="5" t="n">
        <v>4194.3</v>
      </c>
      <c r="O25" s="5" t="n">
        <v>2519.6</v>
      </c>
      <c r="P25" s="5" t="n">
        <v>1554.1</v>
      </c>
      <c r="Q25" s="5" t="n">
        <v>752.3</v>
      </c>
      <c r="R25" s="5" t="n">
        <v>294.7</v>
      </c>
    </row>
    <row r="26">
      <c r="A26" s="5" t="inlineStr">
        <is>
          <t>Liabilities</t>
        </is>
      </c>
      <c r="B26" s="6" t="n"/>
      <c r="C26" s="6" t="n"/>
      <c r="D26" s="6" t="n"/>
      <c r="E26" s="6" t="n"/>
      <c r="F26" s="6" t="n"/>
      <c r="G26" s="6" t="n"/>
      <c r="H26" s="6" t="n"/>
      <c r="I26" s="6" t="n"/>
      <c r="J26" s="6" t="n"/>
      <c r="K26" s="6" t="n"/>
      <c r="L26" s="6" t="n"/>
      <c r="M26" s="6" t="n"/>
      <c r="N26" s="6" t="n"/>
      <c r="O26" s="6" t="n"/>
      <c r="P26" s="6" t="n"/>
      <c r="Q26" s="6" t="n"/>
      <c r="R26" s="6" t="n"/>
    </row>
    <row r="27">
      <c r="A27" s="6" t="inlineStr">
        <is>
          <t>Amounts due to banks</t>
        </is>
      </c>
      <c r="B27" s="6" t="n">
        <v>795.8</v>
      </c>
      <c r="C27" s="6" t="n">
        <v>1365.3</v>
      </c>
      <c r="D27" s="6" t="n">
        <v>1681.9</v>
      </c>
      <c r="E27" s="6" t="n">
        <v>1341.8</v>
      </c>
      <c r="F27" s="6" t="n">
        <v>1326.6</v>
      </c>
      <c r="G27" s="6" t="n">
        <v>2173.5</v>
      </c>
      <c r="H27" s="6" t="n">
        <v>1814.6</v>
      </c>
      <c r="I27" s="6" t="n">
        <v>1678.2</v>
      </c>
      <c r="J27" s="6" t="n"/>
      <c r="K27" s="6" t="n">
        <v>753.8</v>
      </c>
      <c r="L27" s="6" t="n">
        <v>405.1</v>
      </c>
      <c r="M27" s="6" t="n">
        <v>305.9</v>
      </c>
      <c r="N27" s="6" t="n">
        <v>384.3</v>
      </c>
      <c r="O27" s="6" t="n">
        <v>115.1</v>
      </c>
      <c r="P27" s="6" t="n"/>
      <c r="Q27" s="6" t="n"/>
      <c r="R27" s="6" t="n"/>
    </row>
    <row r="28">
      <c r="A28" s="6" t="inlineStr">
        <is>
          <t>Customers' accounts</t>
        </is>
      </c>
      <c r="B28" s="6" t="n">
        <v>17047.6</v>
      </c>
      <c r="C28" s="6" t="n">
        <v>16306.7</v>
      </c>
      <c r="D28" s="6" t="n">
        <v>15033.3</v>
      </c>
      <c r="E28" s="6" t="n">
        <v>14105.4</v>
      </c>
      <c r="F28" s="6" t="n">
        <v>12427.3</v>
      </c>
      <c r="G28" s="6" t="n">
        <v>10886.4</v>
      </c>
      <c r="H28" s="6" t="n">
        <v>8971.799999999999</v>
      </c>
      <c r="I28" s="6" t="n">
        <v>7776.3</v>
      </c>
      <c r="J28" s="6" t="n"/>
      <c r="K28" s="6" t="n">
        <v>6673.7</v>
      </c>
      <c r="L28" s="6" t="n">
        <v>5742</v>
      </c>
      <c r="M28" s="6" t="n">
        <v>4459</v>
      </c>
      <c r="N28" s="6" t="n">
        <v>3444.4</v>
      </c>
      <c r="O28" s="6" t="n">
        <v>2141.2</v>
      </c>
      <c r="P28" s="6" t="n">
        <v>1347.5</v>
      </c>
      <c r="Q28" s="6" t="n">
        <v>634.7</v>
      </c>
      <c r="R28" s="6" t="n">
        <v>229.6</v>
      </c>
    </row>
    <row r="29">
      <c r="A29" s="6" t="inlineStr">
        <is>
          <t>Derivatives held for risk management</t>
        </is>
      </c>
      <c r="B29" s="6" t="n">
        <v>94.09999999999999</v>
      </c>
      <c r="C29" s="6" t="n">
        <v>37.8</v>
      </c>
      <c r="D29" s="6" t="n">
        <v>62.5</v>
      </c>
      <c r="E29" s="6" t="n">
        <v>24.5</v>
      </c>
      <c r="F29" s="6" t="n">
        <v>40</v>
      </c>
      <c r="G29" s="6" t="n">
        <v>93.2</v>
      </c>
      <c r="H29" s="6" t="n">
        <v>36.6</v>
      </c>
      <c r="I29" s="6" t="n">
        <v>16.6</v>
      </c>
      <c r="J29" s="6" t="n"/>
      <c r="K29" s="6" t="n">
        <v>35.3</v>
      </c>
      <c r="L29" s="6" t="n">
        <v>35.2</v>
      </c>
      <c r="M29" s="6" t="n">
        <v>53.5</v>
      </c>
      <c r="N29" s="6" t="n"/>
      <c r="O29" s="6" t="n"/>
      <c r="P29" s="6" t="n"/>
      <c r="Q29" s="6" t="n"/>
      <c r="R29" s="6" t="n"/>
    </row>
    <row r="30">
      <c r="A30" s="6" t="inlineStr">
        <is>
          <t>Fair value adjustment for portfolio hedged risk</t>
        </is>
      </c>
      <c r="B30" s="6" t="n">
        <v>16.4</v>
      </c>
      <c r="C30" s="6" t="n">
        <v>6.5</v>
      </c>
      <c r="D30" s="6" t="n">
        <v>-21</v>
      </c>
      <c r="E30" s="6" t="n">
        <v>-12.7</v>
      </c>
      <c r="F30" s="6" t="n">
        <v>0</v>
      </c>
      <c r="G30" s="6" t="n">
        <v>2.1</v>
      </c>
      <c r="H30" s="6" t="n">
        <v>1</v>
      </c>
      <c r="I30" s="6" t="n">
        <v>0.2</v>
      </c>
      <c r="J30" s="6" t="n"/>
      <c r="K30" s="6" t="n">
        <v>-1.2</v>
      </c>
      <c r="L30" s="6" t="n">
        <v>-0.8</v>
      </c>
      <c r="M30" s="6" t="n">
        <v>1.5</v>
      </c>
      <c r="N30" s="6" t="n"/>
      <c r="O30" s="6" t="n"/>
      <c r="P30" s="6" t="n"/>
      <c r="Q30" s="6" t="n"/>
      <c r="R30" s="6" t="n"/>
    </row>
    <row r="31">
      <c r="A31" s="6" t="inlineStr">
        <is>
          <t>Amounts owed / payable to other Group undertakings</t>
        </is>
      </c>
      <c r="B31" s="6" t="n">
        <v>952.5</v>
      </c>
      <c r="C31" s="6" t="n">
        <v>909.2</v>
      </c>
      <c r="D31" s="6" t="n">
        <v>862</v>
      </c>
      <c r="E31" s="6" t="n">
        <v>531.5</v>
      </c>
      <c r="F31" s="6" t="n">
        <v>537.2</v>
      </c>
      <c r="G31" s="6" t="n">
        <v>714.4</v>
      </c>
      <c r="H31" s="6" t="n">
        <v>550.9</v>
      </c>
      <c r="I31" s="6" t="n">
        <v>104.5</v>
      </c>
      <c r="J31" s="6" t="n"/>
      <c r="K31" s="6" t="n">
        <v>153.1</v>
      </c>
      <c r="L31" s="6" t="n">
        <v>213.4</v>
      </c>
      <c r="M31" s="6" t="n">
        <v>302.7</v>
      </c>
      <c r="N31" s="6" t="n"/>
      <c r="O31" s="6" t="n"/>
      <c r="P31" s="6" t="n"/>
      <c r="Q31" s="6" t="n"/>
      <c r="R31" s="6" t="n"/>
    </row>
    <row r="32">
      <c r="A32" s="6" t="inlineStr">
        <is>
          <t>Other liabilities, accruals and deferred income</t>
        </is>
      </c>
      <c r="B32" s="6" t="n">
        <v>93.3</v>
      </c>
      <c r="C32" s="6" t="n">
        <v>96.7</v>
      </c>
      <c r="D32" s="6" t="n">
        <v>105.2</v>
      </c>
      <c r="E32" s="6" t="n">
        <v>97.90000000000001</v>
      </c>
      <c r="F32" s="6" t="n">
        <v>92.40000000000001</v>
      </c>
      <c r="G32" s="6" t="n">
        <v>71.2</v>
      </c>
      <c r="H32" s="6" t="n">
        <v>62</v>
      </c>
      <c r="I32" s="6" t="n">
        <v>57.6</v>
      </c>
      <c r="J32" s="6" t="n"/>
      <c r="K32" s="6" t="n">
        <v>51.9</v>
      </c>
      <c r="L32" s="6" t="n">
        <v>47.5</v>
      </c>
      <c r="M32" s="6" t="n">
        <v>38.8</v>
      </c>
      <c r="N32" s="6" t="n">
        <v>69.5</v>
      </c>
      <c r="O32" s="6" t="n">
        <v>56.3</v>
      </c>
      <c r="P32" s="6" t="n">
        <v>40.5</v>
      </c>
      <c r="Q32" s="6" t="n">
        <v>26</v>
      </c>
      <c r="R32" s="6" t="n">
        <v>12</v>
      </c>
    </row>
    <row r="33">
      <c r="A33" s="6" t="inlineStr">
        <is>
          <t>Taxation liability</t>
        </is>
      </c>
      <c r="B33" s="6" t="n"/>
      <c r="C33" s="6" t="n"/>
      <c r="D33" s="6" t="n">
        <v>6</v>
      </c>
      <c r="E33" s="6" t="n"/>
      <c r="F33" s="6" t="n"/>
      <c r="G33" s="6" t="n">
        <v>0</v>
      </c>
      <c r="H33" s="6" t="n">
        <v>18.3</v>
      </c>
      <c r="I33" s="6" t="n">
        <v>5.8</v>
      </c>
      <c r="J33" s="6" t="n"/>
      <c r="K33" s="6" t="n">
        <v>9.699999999999999</v>
      </c>
      <c r="L33" s="6" t="n">
        <v>12.5</v>
      </c>
      <c r="M33" s="6" t="n">
        <v>8.199999999999999</v>
      </c>
      <c r="N33" s="6" t="n">
        <v>2.5</v>
      </c>
      <c r="O33" s="6" t="n"/>
      <c r="P33" s="6" t="n"/>
      <c r="Q33" s="6" t="n"/>
      <c r="R33" s="6" t="n"/>
    </row>
    <row r="34">
      <c r="A34" s="6" t="inlineStr">
        <is>
          <t>Provisions</t>
        </is>
      </c>
      <c r="B34" s="6" t="n">
        <v>3</v>
      </c>
      <c r="C34" s="6" t="n">
        <v>0.6</v>
      </c>
      <c r="D34" s="6" t="n">
        <v>2.5</v>
      </c>
      <c r="E34" s="6" t="n">
        <v>3.8</v>
      </c>
      <c r="F34" s="6" t="n">
        <v>2.7</v>
      </c>
      <c r="G34" s="6" t="n">
        <v>2.5</v>
      </c>
      <c r="H34" s="6" t="n">
        <v>2.4</v>
      </c>
      <c r="I34" s="6" t="n">
        <v>1</v>
      </c>
      <c r="J34" s="6" t="n"/>
      <c r="K34" s="6" t="n">
        <v>0.8</v>
      </c>
      <c r="L34" s="6" t="n">
        <v>1.1</v>
      </c>
      <c r="M34" s="6" t="n">
        <v>2</v>
      </c>
      <c r="N34" s="6" t="n">
        <v>1.2</v>
      </c>
      <c r="O34" s="6" t="n">
        <v>0.6</v>
      </c>
      <c r="P34" s="6" t="n"/>
      <c r="Q34" s="6" t="n"/>
      <c r="R34" s="6" t="n"/>
    </row>
    <row r="35">
      <c r="A35" s="6" t="inlineStr">
        <is>
          <t>Debt securities in issue</t>
        </is>
      </c>
      <c r="B35" s="6" t="n"/>
      <c r="C35" s="6" t="n"/>
      <c r="D35" s="6" t="n">
        <v>-0.2</v>
      </c>
      <c r="E35" s="6" t="n">
        <v>-0.5</v>
      </c>
      <c r="F35" s="6" t="n"/>
      <c r="G35" s="6" t="n"/>
      <c r="H35" s="6" t="n"/>
      <c r="I35" s="6" t="n"/>
      <c r="J35" s="6" t="n"/>
      <c r="K35" s="6" t="n"/>
      <c r="L35" s="6" t="n"/>
      <c r="M35" s="6" t="n"/>
      <c r="N35" s="6" t="n"/>
      <c r="O35" s="6" t="n"/>
      <c r="P35" s="6" t="n"/>
      <c r="Q35" s="6" t="n"/>
      <c r="R35" s="6" t="n"/>
    </row>
    <row r="36">
      <c r="A36" s="6" t="inlineStr">
        <is>
          <t>Subordinated notes</t>
        </is>
      </c>
      <c r="B36" s="6" t="n">
        <v>100.9</v>
      </c>
      <c r="C36" s="6" t="n">
        <v>100.9</v>
      </c>
      <c r="D36" s="6" t="n">
        <v>100.5</v>
      </c>
      <c r="E36" s="6" t="n">
        <v>100.5</v>
      </c>
      <c r="F36" s="6" t="n">
        <v>161.4</v>
      </c>
      <c r="G36" s="6" t="n">
        <v>161.2</v>
      </c>
      <c r="H36" s="6" t="n">
        <v>161.1</v>
      </c>
      <c r="I36" s="6" t="n">
        <v>60.5</v>
      </c>
      <c r="J36" s="6" t="n"/>
      <c r="K36" s="6" t="n">
        <v>100</v>
      </c>
      <c r="L36" s="6" t="n">
        <v>38.1</v>
      </c>
      <c r="M36" s="6" t="n">
        <v>36.8</v>
      </c>
      <c r="N36" s="6" t="n">
        <v>35.1</v>
      </c>
      <c r="O36" s="6" t="n">
        <v>34.1</v>
      </c>
      <c r="P36" s="6" t="n"/>
      <c r="Q36" s="6" t="n"/>
      <c r="R36" s="6" t="n"/>
    </row>
    <row r="37">
      <c r="A37" s="5" t="inlineStr">
        <is>
          <t>Total liabilities</t>
        </is>
      </c>
      <c r="B37" s="5" t="n">
        <v>19103.6</v>
      </c>
      <c r="C37" s="5" t="n">
        <v>18823.7</v>
      </c>
      <c r="D37" s="5" t="n">
        <v>17832.7</v>
      </c>
      <c r="E37" s="5" t="n">
        <v>16192.2</v>
      </c>
      <c r="F37" s="5" t="n">
        <v>14595.9</v>
      </c>
      <c r="G37" s="5" t="n">
        <v>14104.5</v>
      </c>
      <c r="H37" s="5" t="n">
        <v>11618.7</v>
      </c>
      <c r="I37" s="5" t="n">
        <v>9700.700000000001</v>
      </c>
      <c r="J37" s="5" t="n"/>
      <c r="K37" s="5" t="n">
        <v>7777.1</v>
      </c>
      <c r="L37" s="5" t="n">
        <v>6494.1</v>
      </c>
      <c r="M37" s="5" t="n">
        <v>5208.4</v>
      </c>
      <c r="N37" s="5" t="n">
        <v>3936.9</v>
      </c>
      <c r="O37" s="5" t="n">
        <v>2347.3</v>
      </c>
      <c r="P37" s="5" t="n">
        <v>1388</v>
      </c>
      <c r="Q37" s="5" t="n">
        <v>660.7</v>
      </c>
      <c r="R37" s="5" t="n">
        <v>241.6</v>
      </c>
    </row>
    <row r="38">
      <c r="A38" s="5" t="inlineStr">
        <is>
          <t>Equity</t>
        </is>
      </c>
      <c r="B38" s="6" t="n"/>
      <c r="C38" s="6" t="n"/>
      <c r="D38" s="6" t="n"/>
      <c r="E38" s="6" t="n"/>
      <c r="F38" s="6" t="n"/>
      <c r="G38" s="6" t="n"/>
      <c r="H38" s="6" t="n"/>
      <c r="I38" s="6" t="n"/>
      <c r="J38" s="6" t="n"/>
      <c r="K38" s="6" t="n"/>
      <c r="L38" s="6" t="n"/>
      <c r="M38" s="6" t="n"/>
      <c r="N38" s="6" t="n"/>
      <c r="O38" s="6" t="n"/>
      <c r="P38" s="6" t="n"/>
      <c r="Q38" s="6" t="n"/>
      <c r="R38" s="6" t="n"/>
    </row>
    <row r="39">
      <c r="A39" s="6" t="inlineStr">
        <is>
          <t>Share capital</t>
        </is>
      </c>
      <c r="B39" s="6" t="n">
        <v>3.3</v>
      </c>
      <c r="C39" s="6" t="n">
        <v>3.3</v>
      </c>
      <c r="D39" s="6" t="n">
        <v>3.3</v>
      </c>
      <c r="E39" s="6" t="n">
        <v>3.3</v>
      </c>
      <c r="F39" s="6" t="n">
        <v>3.3</v>
      </c>
      <c r="G39" s="6" t="n">
        <v>3.3</v>
      </c>
      <c r="H39" s="6" t="n">
        <v>3.3</v>
      </c>
      <c r="I39" s="6" t="n">
        <v>3.3</v>
      </c>
      <c r="J39" s="6" t="n"/>
      <c r="K39" s="6" t="n">
        <v>3.3</v>
      </c>
      <c r="L39" s="6" t="n">
        <v>3.3</v>
      </c>
      <c r="M39" s="6" t="n">
        <v>3.3</v>
      </c>
      <c r="N39" s="6" t="n">
        <v>3.3</v>
      </c>
      <c r="O39" s="6" t="n">
        <v>3.3</v>
      </c>
      <c r="P39" s="6" t="n">
        <v>3.3</v>
      </c>
      <c r="Q39" s="6" t="n">
        <v>3.3</v>
      </c>
      <c r="R39" s="6" t="n">
        <v>3.3</v>
      </c>
    </row>
    <row r="40">
      <c r="A40" s="6" t="inlineStr">
        <is>
          <t>Share premium account</t>
        </is>
      </c>
      <c r="B40" s="6" t="n">
        <v>307.5</v>
      </c>
      <c r="C40" s="6" t="n">
        <v>307.5</v>
      </c>
      <c r="D40" s="6" t="n">
        <v>307.5</v>
      </c>
      <c r="E40" s="6" t="n">
        <v>307.5</v>
      </c>
      <c r="F40" s="6" t="n">
        <v>307.5</v>
      </c>
      <c r="G40" s="6" t="n">
        <v>307.5</v>
      </c>
      <c r="H40" s="6" t="n">
        <v>307.6</v>
      </c>
      <c r="I40" s="6" t="n">
        <v>307.6</v>
      </c>
      <c r="J40" s="6" t="n"/>
      <c r="K40" s="6" t="n">
        <v>307.6</v>
      </c>
      <c r="L40" s="6" t="n">
        <v>307.6</v>
      </c>
      <c r="M40" s="6" t="n">
        <v>233.4</v>
      </c>
      <c r="N40" s="6" t="n">
        <v>233.4</v>
      </c>
      <c r="O40" s="6" t="n">
        <v>171.8</v>
      </c>
      <c r="P40" s="6" t="n">
        <v>170.1</v>
      </c>
      <c r="Q40" s="6" t="n">
        <v>94.7</v>
      </c>
      <c r="R40" s="6" t="n">
        <v>47.4</v>
      </c>
    </row>
    <row r="41">
      <c r="A41" s="6" t="inlineStr">
        <is>
          <t>Additional Tier 1 capital</t>
        </is>
      </c>
      <c r="B41" s="6" t="n">
        <v>50</v>
      </c>
      <c r="C41" s="6" t="n">
        <v>61</v>
      </c>
      <c r="D41" s="6" t="n">
        <v>61</v>
      </c>
      <c r="E41" s="6" t="n">
        <v>61</v>
      </c>
      <c r="F41" s="6" t="n">
        <v>61</v>
      </c>
      <c r="G41" s="6" t="n">
        <v>61</v>
      </c>
      <c r="H41" s="6" t="n">
        <v>74.3</v>
      </c>
      <c r="I41" s="6" t="n">
        <v>74.3</v>
      </c>
      <c r="J41" s="6" t="n"/>
      <c r="K41" s="6" t="n">
        <v>74.3</v>
      </c>
      <c r="L41" s="6" t="n">
        <v>74.3</v>
      </c>
      <c r="M41" s="6" t="n">
        <v>74.3</v>
      </c>
      <c r="N41" s="6" t="n"/>
      <c r="O41" s="6" t="n"/>
      <c r="P41" s="6" t="n"/>
      <c r="Q41" s="6" t="n"/>
      <c r="R41" s="6" t="n"/>
    </row>
    <row r="42">
      <c r="A42" s="6" t="inlineStr">
        <is>
          <t>Capital contribution / redemption reserve</t>
        </is>
      </c>
      <c r="B42" s="6" t="n"/>
      <c r="C42" s="6" t="n"/>
      <c r="D42" s="6" t="n"/>
      <c r="E42" s="6" t="n"/>
      <c r="F42" s="6" t="n"/>
      <c r="G42" s="6" t="n"/>
      <c r="H42" s="6" t="n"/>
      <c r="I42" s="6" t="n">
        <v>0</v>
      </c>
      <c r="J42" s="6" t="n"/>
      <c r="K42" s="6" t="n">
        <v>6.9</v>
      </c>
      <c r="L42" s="6" t="n">
        <v>3.4</v>
      </c>
      <c r="M42" s="6" t="n">
        <v>3.1</v>
      </c>
      <c r="N42" s="6" t="n">
        <v>2.5</v>
      </c>
      <c r="O42" s="6" t="n">
        <v>2.3</v>
      </c>
      <c r="P42" s="6" t="n"/>
      <c r="Q42" s="6" t="n"/>
      <c r="R42" s="6" t="n"/>
    </row>
    <row r="43">
      <c r="A43" s="6" t="inlineStr">
        <is>
          <t>FVOCI / fair value through other comprehensive income reserve</t>
        </is>
      </c>
      <c r="B43" s="6" t="n">
        <v>-5</v>
      </c>
      <c r="C43" s="6" t="n">
        <v>-0.7</v>
      </c>
      <c r="D43" s="6" t="n">
        <v>3.3</v>
      </c>
      <c r="E43" s="6" t="n">
        <v>6.9</v>
      </c>
      <c r="F43" s="6" t="n">
        <v>8.300000000000001</v>
      </c>
      <c r="G43" s="6" t="n">
        <v>1.5</v>
      </c>
      <c r="H43" s="6" t="n">
        <v>0.4</v>
      </c>
      <c r="I43" s="6" t="n">
        <v>1.1</v>
      </c>
      <c r="J43" s="6" t="n"/>
      <c r="K43" s="6" t="n">
        <v>1.8</v>
      </c>
      <c r="L43" s="6" t="n">
        <v>-1</v>
      </c>
      <c r="M43" s="6" t="n">
        <v>1.4</v>
      </c>
      <c r="N43" s="6" t="n"/>
      <c r="O43" s="6" t="n"/>
      <c r="P43" s="6" t="n"/>
      <c r="Q43" s="6" t="n"/>
      <c r="R43" s="6" t="n"/>
    </row>
    <row r="44">
      <c r="A44" s="6" t="inlineStr">
        <is>
          <t>Retained earnings</t>
        </is>
      </c>
      <c r="B44" s="6" t="n">
        <v>1158.8</v>
      </c>
      <c r="C44" s="6" t="n">
        <v>1000.7</v>
      </c>
      <c r="D44" s="6" t="n">
        <v>843.9</v>
      </c>
      <c r="E44" s="6" t="n">
        <v>719.9</v>
      </c>
      <c r="F44" s="6" t="n">
        <v>607</v>
      </c>
      <c r="G44" s="6" t="n">
        <v>522.9</v>
      </c>
      <c r="H44" s="6" t="n">
        <v>467.6</v>
      </c>
      <c r="I44" s="6" t="n">
        <v>380.4</v>
      </c>
      <c r="J44" s="6" t="n"/>
      <c r="K44" s="6" t="n">
        <v>225.5</v>
      </c>
      <c r="L44" s="6" t="n">
        <v>139.7</v>
      </c>
      <c r="M44" s="6" t="n">
        <v>59.3</v>
      </c>
      <c r="N44" s="6" t="n">
        <v>18.2</v>
      </c>
      <c r="O44" s="6" t="n">
        <v>-5.2</v>
      </c>
      <c r="P44" s="6" t="n">
        <v>-7.3</v>
      </c>
      <c r="Q44" s="6" t="n">
        <v>-6.4</v>
      </c>
      <c r="R44" s="6" t="n">
        <v>2.4</v>
      </c>
    </row>
    <row r="45">
      <c r="A45" s="5" t="inlineStr">
        <is>
          <t>Total equity</t>
        </is>
      </c>
      <c r="B45" s="5" t="n">
        <v>1514.6</v>
      </c>
      <c r="C45" s="5" t="n">
        <v>1371.8</v>
      </c>
      <c r="D45" s="5" t="n">
        <v>1219</v>
      </c>
      <c r="E45" s="5" t="n">
        <v>1098.6</v>
      </c>
      <c r="F45" s="5" t="n">
        <v>987.1</v>
      </c>
      <c r="G45" s="5" t="n">
        <v>896.2</v>
      </c>
      <c r="H45" s="5" t="n">
        <v>853.2</v>
      </c>
      <c r="I45" s="5" t="n">
        <v>766.7</v>
      </c>
      <c r="J45" s="5" t="n"/>
      <c r="K45" s="5" t="n">
        <v>619.4</v>
      </c>
      <c r="L45" s="5" t="n">
        <v>527.3</v>
      </c>
      <c r="M45" s="5" t="n">
        <v>374.8</v>
      </c>
      <c r="N45" s="5" t="n">
        <v>257.4</v>
      </c>
      <c r="O45" s="5" t="n">
        <v>172.3</v>
      </c>
      <c r="P45" s="5" t="n">
        <v>166.1</v>
      </c>
      <c r="Q45" s="5" t="n">
        <v>91.59999999999999</v>
      </c>
      <c r="R45" s="5" t="n">
        <v>53.1</v>
      </c>
    </row>
    <row r="46">
      <c r="A46" s="5" t="inlineStr">
        <is>
          <t>Total liabilities and equity</t>
        </is>
      </c>
      <c r="B46" s="5" t="n">
        <v>20618.2</v>
      </c>
      <c r="C46" s="5" t="n">
        <v>20195.5</v>
      </c>
      <c r="D46" s="5" t="n">
        <v>19051.7</v>
      </c>
      <c r="E46" s="5" t="n">
        <v>17290.8</v>
      </c>
      <c r="F46" s="5" t="n">
        <v>15583</v>
      </c>
      <c r="G46" s="5" t="n">
        <v>15000.7</v>
      </c>
      <c r="H46" s="5" t="n">
        <v>12471.9</v>
      </c>
      <c r="I46" s="5" t="n">
        <v>10467.4</v>
      </c>
      <c r="J46" s="5" t="n"/>
      <c r="K46" s="5" t="n">
        <v>8396.5</v>
      </c>
      <c r="L46" s="5" t="n">
        <v>7021.4</v>
      </c>
      <c r="M46" s="5" t="n">
        <v>5583.2</v>
      </c>
      <c r="N46" s="5" t="n">
        <v>4194.3</v>
      </c>
      <c r="O46" s="5" t="n">
        <v>2519.6</v>
      </c>
      <c r="P46" s="5" t="n">
        <v>1554.1</v>
      </c>
      <c r="Q46" s="5" t="n">
        <v>752.3</v>
      </c>
      <c r="R46" s="5" t="n">
        <v>294.7</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c r="N47" s="6" t="n"/>
      <c r="O47" s="6" t="n"/>
      <c r="P47" s="6" t="n"/>
      <c r="Q47" s="6" t="n"/>
      <c r="R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c r="N48" s="6" t="n"/>
      <c r="O48" s="6" t="n"/>
      <c r="P48" s="6" t="n"/>
      <c r="Q48" s="6" t="n"/>
      <c r="R48" s="6" t="n"/>
    </row>
    <row r="50" ht="150" customHeight="1">
      <c r="A50"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FY2025 TOTAL LIABILITIES CORRECTED 2026-10-08. This cell previously read 17,050.8, which was a transcription error, not a disclosed figure: the Bank's own Statement of financial position (FY2025 full accounts, p.54 of the filed PDF) prints Total liabilities of 19,103.6 (2024: 18,823.7). The error was surfaced by the column failing to balance three ways at once - the eight liability component rows above sum to 19,103.6, Total assets 20,618.2 less Total equity 1,514.6 is 19,103.6, and 17,050.8 + 1,514.6 came to 18,565.4 against a printed Total liabilities and equity of 20,618.2, an out-of-balance of 2,052.8. The source page was re-rendered at 300 dpi and read directly (the filed PDF is a scan with no text layer, so OCR was used for navigation only); every other figure in the FY2025 column was confirmed against that render and is unchanged. The likely mechanism is an eye-skip to the adjacent Customers' accounts line, which prints 17,047.6. The printed figure is reproduced; nothing is derived.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Debt securities breakdown (measurement basis + issuer type), added as sub-rows directly beneath the 'Debt securities' line, sourced from the 'Debt securities' note of each year's own full statutory accounts (same Companies House filings/pages as above): FY2025/FY2024 — Note 12, p.79 of the FY2025 filing (https://find-and-update.company-information.service.gov.uk/company/00947662/filing-history/MzQ4NzM5MDg2MWFkaXF6a2N4/document?format=pdf&amp;download=0); FY2023/FY2022 — Note 11, p.78 of the FY2023 filing (https://find-and-update.company-information.service.gov.uk/company/00947662/filing-history/MzM5ODA0OTgzOWFkaXF6a2N4/document?format=pdf&amp;download=0); FY2021/FY2020 — Note 16, p.86 of the FY2021 filing (https://find-and-update.company-information.service.gov.uk/company/00947662/filing-history/MzMxODkyMzc2MWFkaXF6a2N4/document?format=pdf&amp;download=0). FY2020's 'UK Government gilts / treasury bills' sub-row (£235.0m) combines that year's own 'UK Government gilts and treasury bills' line (£188.9m) with a separate 'Treasury Bills' line (£46.1m) disclosed only as a FY2020 comparative in the FY2021 accounts. Sub-row sums reconcile to the 'Debt securities' total in every sourced year except FY2023 (£2,048.8m per the note vs £2,048.9m on the face of the Statement of financial position) and FY2022 (£2,339.3m vs £2,339.2m) — both are pre-existing £0.1m rounding artefacts in the Bank's own disclosures, not reconciled here. No equivalent note-level breakdown was sourced for FY2019 and earlier within this pass's scope (FY2020-FY2025 prioritised).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50:R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7">
      <c r="A3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37" s="6" t="n"/>
      <c r="C37" s="6" t="n"/>
      <c r="D37" s="6" t="n"/>
      <c r="E37" s="6" t="n"/>
      <c r="F37" s="6" t="n"/>
      <c r="G37" s="6" t="n"/>
      <c r="H37" s="6" t="n"/>
      <c r="I37" s="6" t="n"/>
      <c r="J37" s="6" t="n"/>
      <c r="K37" s="6" t="n"/>
      <c r="L37" s="6" t="n"/>
      <c r="M37" s="6" t="n"/>
      <c r="N37" s="6" t="n"/>
      <c r="O37" s="6" t="n"/>
      <c r="P37" s="6" t="n"/>
      <c r="Q37" s="6" t="n"/>
      <c r="R37" s="6" t="n"/>
    </row>
    <row r="38">
      <c r="A38" s="6" t="inlineStr">
        <is>
          <t>Period covered by this column</t>
        </is>
      </c>
      <c r="B38" s="6" t="n"/>
      <c r="C38" s="6" t="n"/>
      <c r="D38" s="6" t="n"/>
      <c r="E38" s="6" t="n"/>
      <c r="F38" s="6" t="n"/>
      <c r="G38" s="6" t="n"/>
      <c r="H38" s="6" t="n"/>
      <c r="I38" s="6" t="n"/>
      <c r="J38" s="6" t="inlineStr">
        <is>
          <t>No 31 Dec 2017 period exists (18-month transition)</t>
        </is>
      </c>
      <c r="K38" s="6" t="n"/>
      <c r="L38" s="6" t="n"/>
      <c r="M38" s="6" t="n"/>
      <c r="N38" s="6" t="n"/>
      <c r="O38" s="6" t="n"/>
      <c r="P38" s="6" t="n"/>
      <c r="Q38" s="6" t="n"/>
      <c r="R38" s="6" t="n"/>
    </row>
    <row r="40" ht="150" customHeight="1">
      <c r="A40"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150"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row>
    <row r="4">
      <c r="A4" s="5" t="inlineStr">
        <is>
          <t>Reconciliation of profit before tax to net cash flows from operating activities</t>
        </is>
      </c>
      <c r="B4" s="6" t="n"/>
      <c r="C4" s="6" t="n"/>
      <c r="D4" s="6" t="n"/>
      <c r="E4" s="6" t="n"/>
      <c r="F4" s="6" t="n"/>
      <c r="G4" s="6" t="n"/>
      <c r="H4" s="6" t="n"/>
      <c r="I4" s="6" t="n"/>
      <c r="J4" s="6" t="n"/>
      <c r="K4" s="6" t="n"/>
      <c r="L4" s="6" t="n"/>
      <c r="M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row>
    <row r="9">
      <c r="A9" s="6" t="inlineStr">
        <is>
          <t>Interest received on intercompany loan (operating basis, FY2024-FY2025)</t>
        </is>
      </c>
      <c r="B9" s="6" t="n">
        <v>164.5</v>
      </c>
      <c r="C9" s="6" t="n">
        <v>135.8</v>
      </c>
      <c r="D9" s="6" t="n"/>
      <c r="E9" s="6" t="n"/>
      <c r="F9" s="6" t="n"/>
      <c r="G9" s="6" t="n"/>
      <c r="H9" s="6" t="n"/>
      <c r="I9" s="6" t="n"/>
      <c r="J9" s="6" t="n"/>
      <c r="K9" s="6" t="n"/>
      <c r="L9" s="6" t="n"/>
      <c r="M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row>
    <row r="16">
      <c r="A16" s="5" t="inlineStr">
        <is>
          <t>Investing activities</t>
        </is>
      </c>
      <c r="B16" s="6" t="n"/>
      <c r="C16" s="6" t="n"/>
      <c r="D16" s="6" t="n"/>
      <c r="E16" s="6" t="n"/>
      <c r="F16" s="6" t="n"/>
      <c r="G16" s="6" t="n"/>
      <c r="H16" s="6" t="n"/>
      <c r="I16" s="6" t="n"/>
      <c r="J16" s="6" t="n"/>
      <c r="K16" s="6" t="n"/>
      <c r="L16" s="6" t="n"/>
      <c r="M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row>
    <row r="24">
      <c r="A24" s="5" t="inlineStr">
        <is>
          <t>Financing activities</t>
        </is>
      </c>
      <c r="B24" s="6" t="n"/>
      <c r="C24" s="6" t="n"/>
      <c r="D24" s="6" t="n"/>
      <c r="E24" s="6" t="n"/>
      <c r="F24" s="6" t="n"/>
      <c r="G24" s="6" t="n"/>
      <c r="H24" s="6" t="n"/>
      <c r="I24" s="6" t="n"/>
      <c r="J24" s="6" t="n"/>
      <c r="K24" s="6" t="n"/>
      <c r="L24" s="6" t="n"/>
      <c r="M24" s="6" t="n"/>
    </row>
    <row r="25">
      <c r="A25" s="6" t="inlineStr">
        <is>
          <t>Repayment of subordinated debt</t>
        </is>
      </c>
      <c r="B25" s="6" t="n"/>
      <c r="C25" s="6" t="n">
        <v>-100</v>
      </c>
      <c r="D25" s="6" t="n"/>
      <c r="E25" s="6" t="n">
        <v>-60</v>
      </c>
      <c r="F25" s="6" t="n"/>
      <c r="G25" s="6" t="n"/>
      <c r="H25" s="6" t="n"/>
      <c r="I25" s="6" t="n">
        <v>-40</v>
      </c>
      <c r="J25" s="6" t="n"/>
      <c r="K25" s="6" t="n"/>
      <c r="L25" s="6" t="n"/>
      <c r="M25" s="6" t="n"/>
    </row>
    <row r="26">
      <c r="A26" s="6" t="inlineStr">
        <is>
          <t>Proceeds from issue of subordinated debt</t>
        </is>
      </c>
      <c r="B26" s="6" t="n"/>
      <c r="C26" s="6" t="n">
        <v>100</v>
      </c>
      <c r="D26" s="6" t="n"/>
      <c r="E26" s="6" t="n"/>
      <c r="F26" s="6" t="n"/>
      <c r="G26" s="6" t="n"/>
      <c r="H26" s="6" t="n">
        <v>100</v>
      </c>
      <c r="I26" s="6" t="n"/>
      <c r="J26" s="6" t="n"/>
      <c r="K26" s="6" t="n">
        <v>60</v>
      </c>
      <c r="L26" s="6" t="n"/>
      <c r="M26" s="6" t="n"/>
    </row>
    <row r="27">
      <c r="A27" s="6" t="inlineStr">
        <is>
          <t>Issue costs of subordinated debt</t>
        </is>
      </c>
      <c r="B27" s="6" t="n"/>
      <c r="C27" s="6" t="n"/>
      <c r="D27" s="6" t="n"/>
      <c r="E27" s="6" t="n"/>
      <c r="F27" s="6" t="n"/>
      <c r="G27" s="6" t="n"/>
      <c r="H27" s="6" t="n"/>
      <c r="I27" s="6" t="n"/>
      <c r="J27" s="6" t="n"/>
      <c r="K27" s="6" t="n">
        <v>-0.6</v>
      </c>
      <c r="L27" s="6" t="n"/>
      <c r="M27" s="6" t="n"/>
    </row>
    <row r="28">
      <c r="A28" s="6" t="inlineStr">
        <is>
          <t>Redemption of Additional Tier 1 Capital</t>
        </is>
      </c>
      <c r="B28" s="6" t="n">
        <v>-61</v>
      </c>
      <c r="C28" s="6" t="n"/>
      <c r="D28" s="6" t="n"/>
      <c r="E28" s="6" t="n"/>
      <c r="F28" s="6" t="n"/>
      <c r="G28" s="6" t="n">
        <v>-74.3</v>
      </c>
      <c r="H28" s="6" t="n"/>
      <c r="I28" s="6" t="n"/>
      <c r="J28" s="6" t="n"/>
      <c r="K28" s="6" t="n"/>
      <c r="L28" s="6" t="n"/>
      <c r="M28" s="6" t="n"/>
    </row>
    <row r="29">
      <c r="A29" s="6" t="inlineStr">
        <is>
          <t>Issuance of Additional Tier 1 Capital</t>
        </is>
      </c>
      <c r="B29" s="6" t="n">
        <v>50</v>
      </c>
      <c r="C29" s="6" t="n"/>
      <c r="D29" s="6" t="n"/>
      <c r="E29" s="6" t="n"/>
      <c r="F29" s="6" t="n"/>
      <c r="G29" s="6" t="n">
        <v>61</v>
      </c>
      <c r="H29" s="6" t="n"/>
      <c r="I29" s="6" t="n"/>
      <c r="J29" s="6" t="n"/>
      <c r="K29" s="6" t="n"/>
      <c r="L29" s="6" t="n"/>
      <c r="M29" s="6" t="n"/>
    </row>
    <row r="30">
      <c r="A30" s="6" t="inlineStr">
        <is>
          <t>Proceeds from Additional Tier 1 perpetual loan</t>
        </is>
      </c>
      <c r="B30" s="6" t="n"/>
      <c r="C30" s="6" t="n"/>
      <c r="D30" s="6" t="n"/>
      <c r="E30" s="6" t="n"/>
      <c r="F30" s="6" t="n"/>
      <c r="G30" s="6" t="n"/>
      <c r="H30" s="6" t="n"/>
      <c r="I30" s="6" t="n"/>
      <c r="J30" s="6" t="n"/>
      <c r="K30" s="6" t="n"/>
      <c r="L30" s="6" t="n"/>
      <c r="M30" s="6" t="n">
        <v>74.3</v>
      </c>
    </row>
    <row r="31">
      <c r="A31" s="6" t="inlineStr">
        <is>
          <t>Capital repayments on debt securities issued</t>
        </is>
      </c>
      <c r="B31" s="6" t="n"/>
      <c r="C31" s="6" t="n"/>
      <c r="D31" s="6" t="n">
        <v>0.4</v>
      </c>
      <c r="E31" s="6" t="n"/>
      <c r="F31" s="6" t="n"/>
      <c r="G31" s="6" t="n"/>
      <c r="H31" s="6" t="n"/>
      <c r="I31" s="6" t="n"/>
      <c r="J31" s="6" t="n"/>
      <c r="K31" s="6" t="n"/>
      <c r="L31" s="6" t="n"/>
      <c r="M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row>
    <row r="37">
      <c r="A37" s="6" t="inlineStr">
        <is>
          <t>Interest paid on intercompany deposit (FY2019-FY2020)</t>
        </is>
      </c>
      <c r="B37" s="6" t="n"/>
      <c r="C37" s="6" t="n"/>
      <c r="D37" s="6" t="n"/>
      <c r="E37" s="6" t="n"/>
      <c r="F37" s="6" t="n"/>
      <c r="G37" s="6" t="n">
        <v>-0.2</v>
      </c>
      <c r="H37" s="6" t="n">
        <v>-0.1</v>
      </c>
      <c r="I37" s="6" t="n"/>
      <c r="J37" s="6" t="n"/>
      <c r="K37" s="6" t="n"/>
      <c r="L37" s="6" t="n"/>
      <c r="M37" s="6" t="n"/>
    </row>
    <row r="38">
      <c r="A38" s="6" t="inlineStr">
        <is>
          <t>Deposit placed by related Group companies</t>
        </is>
      </c>
      <c r="B38" s="6" t="n"/>
      <c r="C38" s="6" t="n"/>
      <c r="D38" s="6" t="n"/>
      <c r="E38" s="6" t="n"/>
      <c r="F38" s="6" t="n">
        <v>-12.3</v>
      </c>
      <c r="G38" s="6" t="n">
        <v>-37.4</v>
      </c>
      <c r="H38" s="6" t="n">
        <v>311.3</v>
      </c>
      <c r="I38" s="6" t="n"/>
      <c r="J38" s="6" t="n"/>
      <c r="K38" s="6" t="n"/>
      <c r="L38" s="6" t="n"/>
      <c r="M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row>
    <row r="41">
      <c r="A41" s="6" t="inlineStr">
        <is>
          <t>Repayment of lease liabilities - principal</t>
        </is>
      </c>
      <c r="B41" s="6" t="n">
        <v>-2.3</v>
      </c>
      <c r="C41" s="6" t="n">
        <v>-3</v>
      </c>
      <c r="D41" s="6" t="n"/>
      <c r="E41" s="6" t="n">
        <v>-2.8</v>
      </c>
      <c r="F41" s="6" t="n">
        <v>-4</v>
      </c>
      <c r="G41" s="6" t="n">
        <v>-1.9</v>
      </c>
      <c r="H41" s="6" t="n"/>
      <c r="I41" s="6" t="n"/>
      <c r="J41" s="6" t="n"/>
      <c r="K41" s="6" t="n"/>
      <c r="L41" s="6" t="n"/>
      <c r="M41" s="6" t="n"/>
    </row>
    <row r="42">
      <c r="A42" s="6" t="inlineStr">
        <is>
          <t>Interest paid on lease liabilities</t>
        </is>
      </c>
      <c r="B42" s="6" t="n"/>
      <c r="C42" s="6" t="n"/>
      <c r="D42" s="6" t="n">
        <v>-0.1</v>
      </c>
      <c r="E42" s="6" t="n">
        <v>-0.1</v>
      </c>
      <c r="F42" s="6" t="n">
        <v>-0.2</v>
      </c>
      <c r="G42" s="6" t="n">
        <v>-0.2</v>
      </c>
      <c r="H42" s="6" t="n"/>
      <c r="I42" s="6" t="n"/>
      <c r="J42" s="6" t="n"/>
      <c r="K42" s="6" t="n"/>
      <c r="L42" s="6" t="n"/>
      <c r="M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row>
    <row r="50" ht="140" customHeight="1">
      <c r="A50"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50:M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v>9249</v>
      </c>
      <c r="H9" s="6" t="n">
        <v>9068.5</v>
      </c>
      <c r="I9" s="6" t="n"/>
      <c r="J9" s="6" t="n"/>
      <c r="K9" s="6" t="n"/>
      <c r="L9" s="6" t="n"/>
      <c r="M9" s="6" t="n"/>
    </row>
    <row r="10">
      <c r="A10" s="6" t="inlineStr">
        <is>
          <t>Stage 2 (underperforming)</t>
        </is>
      </c>
      <c r="B10" s="6" t="n">
        <v>814.8</v>
      </c>
      <c r="C10" s="6" t="n">
        <v>716.4</v>
      </c>
      <c r="D10" s="6" t="n">
        <v>664.9</v>
      </c>
      <c r="E10" s="6" t="n">
        <v>1026</v>
      </c>
      <c r="F10" s="6" t="n">
        <v>956.6</v>
      </c>
      <c r="G10" s="6" t="n">
        <v>1234.1</v>
      </c>
      <c r="H10" s="6" t="n">
        <v>1082.6</v>
      </c>
      <c r="I10" s="6" t="n"/>
      <c r="J10" s="6" t="n"/>
      <c r="K10" s="6" t="n"/>
      <c r="L10" s="6" t="n"/>
      <c r="M10" s="6" t="n"/>
    </row>
    <row r="11">
      <c r="A11" s="6" t="inlineStr">
        <is>
          <t>Stage 3 (credit-impaired)</t>
        </is>
      </c>
      <c r="B11" s="6" t="n">
        <v>422.2</v>
      </c>
      <c r="C11" s="6" t="n">
        <v>366.4</v>
      </c>
      <c r="D11" s="6" t="n">
        <v>287.3</v>
      </c>
      <c r="E11" s="6" t="n">
        <v>277.1</v>
      </c>
      <c r="F11" s="6" t="n">
        <v>343.9</v>
      </c>
      <c r="G11" s="6" t="n">
        <v>224</v>
      </c>
      <c r="H11" s="6" t="n">
        <v>128.6</v>
      </c>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v>10707.1</v>
      </c>
      <c r="H12" s="5" t="n">
        <v>10279.7</v>
      </c>
      <c r="I12" s="5" t="n"/>
      <c r="J12" s="5" t="n"/>
      <c r="K12" s="5" t="n"/>
      <c r="L12" s="5" t="n"/>
      <c r="M12" s="5" t="n"/>
    </row>
    <row r="13">
      <c r="A13" s="6" t="inlineStr">
        <is>
          <t>Memo: undrawn loan facilities, gross carrying amount (FY2020/FY2019 source table only — NOT included in the total above)</t>
        </is>
      </c>
      <c r="B13" s="6" t="n"/>
      <c r="C13" s="6" t="n"/>
      <c r="D13" s="6" t="n"/>
      <c r="E13" s="6" t="n"/>
      <c r="F13" s="6" t="n"/>
      <c r="G13" s="6" t="n">
        <v>301.7</v>
      </c>
      <c r="H13" s="6" t="n">
        <v>687.5</v>
      </c>
      <c r="I13" s="6" t="n"/>
      <c r="J13" s="6" t="n"/>
      <c r="K13" s="6" t="n"/>
      <c r="L13" s="6" t="n"/>
      <c r="M13" s="6" t="n"/>
    </row>
    <row r="14">
      <c r="A14" s="5" t="inlineStr">
        <is>
          <t>Allowance for impairment losses, by IFRS 9 stage</t>
        </is>
      </c>
      <c r="B14" s="6" t="n"/>
      <c r="C14" s="6" t="n"/>
      <c r="D14" s="6" t="n"/>
      <c r="E14" s="6" t="n"/>
      <c r="F14" s="6" t="n"/>
      <c r="G14" s="6" t="n"/>
      <c r="H14" s="6" t="n"/>
      <c r="I14" s="6" t="n"/>
      <c r="J14" s="6" t="n"/>
      <c r="K14" s="6" t="n"/>
      <c r="L14" s="6" t="n"/>
      <c r="M14" s="6" t="n"/>
    </row>
    <row r="15">
      <c r="A15" s="6" t="inlineStr">
        <is>
          <t>Stage 1 (performing)</t>
        </is>
      </c>
      <c r="B15" s="6" t="n">
        <v>-34.2</v>
      </c>
      <c r="C15" s="6" t="n">
        <v>-50.2</v>
      </c>
      <c r="D15" s="6" t="n">
        <v>-91.40000000000001</v>
      </c>
      <c r="E15" s="6" t="n">
        <v>-48.3</v>
      </c>
      <c r="F15" s="6" t="n">
        <v>-32.8</v>
      </c>
      <c r="G15" s="6" t="n">
        <v>-33.7</v>
      </c>
      <c r="H15" s="6" t="n">
        <v>-16.8</v>
      </c>
      <c r="I15" s="6" t="n"/>
      <c r="J15" s="6" t="n"/>
      <c r="K15" s="6" t="n"/>
      <c r="L15" s="6" t="n"/>
      <c r="M15" s="6" t="n"/>
    </row>
    <row r="16">
      <c r="A16" s="6" t="inlineStr">
        <is>
          <t>Stage 2 (underperforming)</t>
        </is>
      </c>
      <c r="B16" s="6" t="n">
        <v>-22.6</v>
      </c>
      <c r="C16" s="6" t="n">
        <v>-25.6</v>
      </c>
      <c r="D16" s="6" t="n">
        <v>-25.2</v>
      </c>
      <c r="E16" s="6" t="n">
        <v>-19.8</v>
      </c>
      <c r="F16" s="6" t="n">
        <v>-24.1</v>
      </c>
      <c r="G16" s="6" t="n">
        <v>-29.6</v>
      </c>
      <c r="H16" s="6" t="n">
        <v>-8.800000000000001</v>
      </c>
      <c r="I16" s="6" t="n"/>
      <c r="J16" s="6" t="n"/>
      <c r="K16" s="6" t="n"/>
      <c r="L16" s="6" t="n"/>
      <c r="M16" s="6" t="n"/>
    </row>
    <row r="17">
      <c r="A17" s="6" t="inlineStr">
        <is>
          <t>Stage 3 (credit-impaired)</t>
        </is>
      </c>
      <c r="B17" s="6" t="n">
        <v>-52</v>
      </c>
      <c r="C17" s="6" t="n">
        <v>-57.2</v>
      </c>
      <c r="D17" s="6" t="n">
        <v>-48</v>
      </c>
      <c r="E17" s="6" t="n">
        <v>-48.7</v>
      </c>
      <c r="F17" s="6" t="n">
        <v>-59.1</v>
      </c>
      <c r="G17" s="6" t="n">
        <v>-41.6</v>
      </c>
      <c r="H17" s="6" t="n">
        <v>-23.8</v>
      </c>
      <c r="I17" s="6" t="n"/>
      <c r="J17" s="6" t="n"/>
      <c r="K17" s="6" t="n"/>
      <c r="L17" s="6" t="n"/>
      <c r="M17" s="6" t="n"/>
    </row>
    <row r="18">
      <c r="A18" s="5" t="inlineStr">
        <is>
          <t>Total allowance for impairment losses</t>
        </is>
      </c>
      <c r="B18" s="5" t="n">
        <v>-108.8</v>
      </c>
      <c r="C18" s="5" t="n">
        <v>-133</v>
      </c>
      <c r="D18" s="5" t="n">
        <v>-164.6</v>
      </c>
      <c r="E18" s="5" t="n">
        <v>-116.8</v>
      </c>
      <c r="F18" s="5" t="n">
        <v>-116</v>
      </c>
      <c r="G18" s="5" t="n">
        <v>-104.9</v>
      </c>
      <c r="H18" s="5" t="n">
        <v>-49.4</v>
      </c>
      <c r="I18" s="5" t="n"/>
      <c r="J18" s="5" t="n"/>
      <c r="K18" s="5" t="n"/>
      <c r="L18" s="5" t="n"/>
      <c r="M18" s="5" t="n"/>
    </row>
    <row r="19">
      <c r="A19" s="6" t="inlineStr">
        <is>
          <t>Memo: provision against undrawn loan facilities (FY2020/FY2019 source table only — NOT included in the total above)</t>
        </is>
      </c>
      <c r="B19" s="6" t="n"/>
      <c r="C19" s="6" t="n"/>
      <c r="D19" s="6" t="n"/>
      <c r="E19" s="6" t="n"/>
      <c r="F19" s="6" t="n"/>
      <c r="G19" s="6" t="n">
        <v>-0.6</v>
      </c>
      <c r="H19" s="6" t="n">
        <v>-0.8</v>
      </c>
      <c r="I19" s="6" t="n"/>
      <c r="J19" s="6" t="n"/>
      <c r="K19" s="6" t="n"/>
      <c r="L19" s="6" t="n"/>
      <c r="M19" s="6" t="n"/>
    </row>
    <row r="20">
      <c r="A20" s="5" t="inlineStr">
        <is>
          <t>Asset quality ratios</t>
        </is>
      </c>
      <c r="B20" s="6" t="n"/>
      <c r="C20" s="6" t="n"/>
      <c r="D20" s="6" t="n"/>
      <c r="E20" s="6" t="n"/>
      <c r="F20" s="6" t="n"/>
      <c r="G20" s="6" t="n"/>
      <c r="H20" s="6" t="n"/>
      <c r="I20" s="6" t="n"/>
      <c r="J20" s="6" t="n"/>
      <c r="K20" s="6" t="n"/>
      <c r="L20" s="6" t="n"/>
      <c r="M20" s="6" t="n"/>
    </row>
    <row r="21">
      <c r="A21" s="6" t="inlineStr">
        <is>
          <t>ECL coverage ratio (Total allowance / Total gross loans)</t>
        </is>
      </c>
      <c r="B21" s="6" t="inlineStr">
        <is>
          <t>0.86%</t>
        </is>
      </c>
      <c r="C21" s="6" t="inlineStr">
        <is>
          <t>1.15%</t>
        </is>
      </c>
      <c r="D21" s="6" t="inlineStr">
        <is>
          <t>1.47%</t>
        </is>
      </c>
      <c r="E21" s="6" t="inlineStr">
        <is>
          <t>1.07%</t>
        </is>
      </c>
      <c r="F21" s="6" t="inlineStr">
        <is>
          <t>1.10%</t>
        </is>
      </c>
      <c r="G21" s="6" t="inlineStr">
        <is>
          <t>0.98%</t>
        </is>
      </c>
      <c r="H21" s="6" t="inlineStr">
        <is>
          <t>0.48%</t>
        </is>
      </c>
      <c r="I21" s="6" t="n"/>
      <c r="J21" s="6" t="n"/>
      <c r="K21" s="6" t="n"/>
      <c r="L21" s="6" t="n"/>
      <c r="M21" s="6" t="n"/>
    </row>
    <row r="22">
      <c r="A22" s="6" t="inlineStr">
        <is>
          <t>Stage 3 (NPL) ratio (Stage 3 gross loans / Total gross loans)</t>
        </is>
      </c>
      <c r="B22" s="6" t="inlineStr">
        <is>
          <t>3.34%</t>
        </is>
      </c>
      <c r="C22" s="6" t="inlineStr">
        <is>
          <t>3.17%</t>
        </is>
      </c>
      <c r="D22" s="6" t="inlineStr">
        <is>
          <t>2.57%</t>
        </is>
      </c>
      <c r="E22" s="6" t="inlineStr">
        <is>
          <t>2.54%</t>
        </is>
      </c>
      <c r="F22" s="6" t="inlineStr">
        <is>
          <t>3.27%</t>
        </is>
      </c>
      <c r="G22" s="6" t="inlineStr">
        <is>
          <t>2.09%</t>
        </is>
      </c>
      <c r="H22" s="6" t="inlineStr">
        <is>
          <t>1.25%</t>
        </is>
      </c>
      <c r="I22" s="6" t="n"/>
      <c r="J22" s="6" t="n"/>
      <c r="K22" s="6" t="n"/>
      <c r="L22" s="6" t="n"/>
      <c r="M22" s="6" t="n"/>
    </row>
    <row r="23">
      <c r="A23" s="6" t="inlineStr">
        <is>
          <t>Stage 3 coverage ratio (Stage 3 allowance / Stage 3 gross loans)</t>
        </is>
      </c>
      <c r="B23" s="6" t="inlineStr">
        <is>
          <t>12.32%</t>
        </is>
      </c>
      <c r="C23" s="6" t="inlineStr">
        <is>
          <t>15.61%</t>
        </is>
      </c>
      <c r="D23" s="6" t="inlineStr">
        <is>
          <t>16.71%</t>
        </is>
      </c>
      <c r="E23" s="6" t="inlineStr">
        <is>
          <t>17.58%</t>
        </is>
      </c>
      <c r="F23" s="6" t="inlineStr">
        <is>
          <t>17.18%</t>
        </is>
      </c>
      <c r="G23" s="6" t="inlineStr">
        <is>
          <t>18.57%</t>
        </is>
      </c>
      <c r="H23" s="6" t="inlineStr">
        <is>
          <t>18.51%</t>
        </is>
      </c>
      <c r="I23" s="6" t="n"/>
      <c r="J23" s="6" t="n"/>
      <c r="K23" s="6" t="n"/>
      <c r="L23" s="6" t="n"/>
      <c r="M23" s="6" t="n"/>
    </row>
    <row r="24">
      <c r="A24" s="5" t="inlineStr">
        <is>
          <t>Net lending to customers, by product — the Bank's own 'Credit concentration by segment' table (IAS 39 basis to FY2018, IFRS 9 thereafter). NET of impairment allowances, NOT gross: FY2016 7,477.3 = gross 7,504.7 less the 27.4 allowance, and every other year ties the same way</t>
        </is>
      </c>
      <c r="B24" s="6" t="n"/>
      <c r="C24" s="6" t="n"/>
      <c r="D24" s="6" t="n"/>
      <c r="E24" s="6" t="n"/>
      <c r="F24" s="6" t="n"/>
      <c r="G24" s="6" t="n"/>
      <c r="H24" s="6" t="n"/>
      <c r="I24" s="6" t="n"/>
      <c r="J24" s="6" t="n"/>
      <c r="K24" s="6" t="n"/>
      <c r="L24" s="6" t="n"/>
      <c r="M24" s="6" t="n"/>
    </row>
    <row r="25">
      <c r="A25" s="6" t="inlineStr">
        <is>
          <t>Asset Finance</t>
        </is>
      </c>
      <c r="B25" s="6" t="n"/>
      <c r="C25" s="6" t="n"/>
      <c r="D25" s="6" t="n"/>
      <c r="E25" s="6" t="n"/>
      <c r="F25" s="6" t="n"/>
      <c r="G25" s="6" t="n">
        <v>1857.9</v>
      </c>
      <c r="H25" s="6" t="n">
        <v>2017.7</v>
      </c>
      <c r="I25" s="6" t="n">
        <v>1841.7</v>
      </c>
      <c r="J25" s="6" t="n"/>
      <c r="K25" s="6" t="n">
        <v>1573.4</v>
      </c>
      <c r="L25" s="6" t="n">
        <v>1346.7</v>
      </c>
      <c r="M25" s="6" t="n">
        <v>1044.3</v>
      </c>
    </row>
    <row r="26">
      <c r="A26" s="6" t="inlineStr">
        <is>
          <t>Invoice Finance</t>
        </is>
      </c>
      <c r="B26" s="6" t="n"/>
      <c r="C26" s="6" t="n"/>
      <c r="D26" s="6" t="n"/>
      <c r="E26" s="6" t="n"/>
      <c r="F26" s="6" t="n"/>
      <c r="G26" s="6" t="n">
        <v>278.7</v>
      </c>
      <c r="H26" s="6" t="n">
        <v>400.4</v>
      </c>
      <c r="I26" s="6" t="n">
        <v>265.2</v>
      </c>
      <c r="J26" s="6" t="n"/>
      <c r="K26" s="6" t="n">
        <v>154.1</v>
      </c>
      <c r="L26" s="6" t="n">
        <v>160.8</v>
      </c>
      <c r="M26" s="6" t="n">
        <v>180.6</v>
      </c>
    </row>
    <row r="27">
      <c r="A27" s="6" t="inlineStr">
        <is>
          <t>SME Commercial Mortgages</t>
        </is>
      </c>
      <c r="B27" s="6" t="n"/>
      <c r="C27" s="6" t="n"/>
      <c r="D27" s="6" t="n"/>
      <c r="E27" s="6" t="n"/>
      <c r="F27" s="6" t="n"/>
      <c r="G27" s="6" t="n">
        <v>1139.1</v>
      </c>
      <c r="H27" s="6" t="n">
        <v>1020.6</v>
      </c>
      <c r="I27" s="6" t="n">
        <v>965.9</v>
      </c>
      <c r="J27" s="6" t="n"/>
      <c r="K27" s="6" t="n">
        <v>929.9</v>
      </c>
      <c r="L27" s="6" t="n">
        <v>829.2</v>
      </c>
      <c r="M27" s="6" t="n">
        <v>552.4</v>
      </c>
    </row>
    <row r="28">
      <c r="A28" s="6" t="inlineStr">
        <is>
          <t>Buy-to-Let</t>
        </is>
      </c>
      <c r="B28" s="6" t="n"/>
      <c r="C28" s="6" t="n"/>
      <c r="D28" s="6" t="n"/>
      <c r="E28" s="6" t="n"/>
      <c r="F28" s="6" t="n"/>
      <c r="G28" s="6" t="n">
        <v>5246.9</v>
      </c>
      <c r="H28" s="6" t="n">
        <v>5043.7</v>
      </c>
      <c r="I28" s="6" t="n">
        <v>4436.8</v>
      </c>
      <c r="J28" s="6" t="n"/>
      <c r="K28" s="6" t="n">
        <v>3326</v>
      </c>
      <c r="L28" s="6" t="n">
        <v>2417.9</v>
      </c>
      <c r="M28" s="6" t="n">
        <v>2044.1</v>
      </c>
    </row>
    <row r="29">
      <c r="A29" s="6" t="inlineStr">
        <is>
          <t>Residential Mortgages</t>
        </is>
      </c>
      <c r="B29" s="6" t="n"/>
      <c r="C29" s="6" t="n"/>
      <c r="D29" s="6" t="n"/>
      <c r="E29" s="6" t="n"/>
      <c r="F29" s="6" t="n"/>
      <c r="G29" s="6" t="n">
        <v>2079.6</v>
      </c>
      <c r="H29" s="6" t="n">
        <v>1747.9</v>
      </c>
      <c r="I29" s="6" t="n">
        <v>1480.9</v>
      </c>
      <c r="J29" s="6" t="n"/>
      <c r="K29" s="6" t="n">
        <v>1493.9</v>
      </c>
      <c r="L29" s="6" t="n">
        <v>1390.2</v>
      </c>
      <c r="M29" s="6" t="n">
        <v>979.7</v>
      </c>
    </row>
    <row r="30">
      <c r="A30" s="5" t="inlineStr">
        <is>
          <t>Total net lending to customers (by product)</t>
        </is>
      </c>
      <c r="B30" s="5" t="n"/>
      <c r="C30" s="5" t="n"/>
      <c r="D30" s="5" t="n"/>
      <c r="E30" s="5" t="n"/>
      <c r="F30" s="5" t="n"/>
      <c r="G30" s="5" t="n">
        <v>10602.2</v>
      </c>
      <c r="H30" s="5" t="n">
        <v>10230.3</v>
      </c>
      <c r="I30" s="5" t="n">
        <v>8990.5</v>
      </c>
      <c r="J30" s="5" t="n"/>
      <c r="K30" s="5" t="n">
        <v>7477.3</v>
      </c>
      <c r="L30" s="5" t="n">
        <v>6144.8</v>
      </c>
      <c r="M30" s="5" t="n">
        <v>4801.1</v>
      </c>
    </row>
    <row r="31">
      <c r="A31" s="5" t="inlineStr">
        <is>
          <t>Impaired loans and coverage (IAS 39 basis, pre-IFRS 9 — the Bank adopted IFRS 9 on 1 July 2018, so this basis runs to the 30 June 2018 period end and stops)</t>
        </is>
      </c>
      <c r="B31" s="6" t="n"/>
      <c r="C31" s="6" t="n"/>
      <c r="D31" s="6" t="n"/>
      <c r="E31" s="6" t="n"/>
      <c r="F31" s="6" t="n"/>
      <c r="G31" s="6" t="n"/>
      <c r="H31" s="6" t="n"/>
      <c r="I31" s="6" t="n"/>
      <c r="J31" s="6" t="n"/>
      <c r="K31" s="6" t="n"/>
      <c r="L31" s="6" t="n"/>
      <c r="M31" s="6" t="n"/>
    </row>
    <row r="32">
      <c r="A32" s="6" t="inlineStr">
        <is>
          <t>Gross loans and advances to customers</t>
        </is>
      </c>
      <c r="B32" s="6" t="n"/>
      <c r="C32" s="6" t="n"/>
      <c r="D32" s="6" t="n"/>
      <c r="E32" s="6" t="n"/>
      <c r="F32" s="6" t="n"/>
      <c r="G32" s="6" t="n"/>
      <c r="H32" s="6" t="n"/>
      <c r="I32" s="6" t="n">
        <v>9015.700000000001</v>
      </c>
      <c r="J32" s="6" t="n"/>
      <c r="K32" s="6" t="n">
        <v>7504.7</v>
      </c>
      <c r="L32" s="6" t="n"/>
      <c r="M32" s="6" t="n"/>
    </row>
    <row r="33">
      <c r="A33" s="6" t="inlineStr">
        <is>
          <t>Individually impaired loans (all products)</t>
        </is>
      </c>
      <c r="B33" s="6" t="n"/>
      <c r="C33" s="6" t="n"/>
      <c r="D33" s="6" t="n"/>
      <c r="E33" s="6" t="n"/>
      <c r="F33" s="6" t="n"/>
      <c r="G33" s="6" t="n"/>
      <c r="H33" s="6" t="n"/>
      <c r="I33" s="6" t="n">
        <v>33.9</v>
      </c>
      <c r="J33" s="6" t="n"/>
      <c r="K33" s="6" t="n">
        <v>35.6</v>
      </c>
      <c r="L33" s="6" t="n">
        <v>22.8</v>
      </c>
      <c r="M33" s="6" t="n">
        <v>20.8</v>
      </c>
    </row>
    <row r="34">
      <c r="A34" s="5" t="inlineStr">
        <is>
          <t>Impairment allowance components (IAS 39 basis)</t>
        </is>
      </c>
      <c r="B34" s="6" t="n"/>
      <c r="C34" s="6" t="n"/>
      <c r="D34" s="6" t="n"/>
      <c r="E34" s="6" t="n"/>
      <c r="F34" s="6" t="n"/>
      <c r="G34" s="6" t="n"/>
      <c r="H34" s="6" t="n"/>
      <c r="I34" s="6" t="n"/>
      <c r="J34" s="6" t="n"/>
      <c r="K34" s="6" t="n"/>
      <c r="L34" s="6" t="n"/>
      <c r="M34" s="6" t="n"/>
    </row>
    <row r="35">
      <c r="A35" s="6" t="inlineStr">
        <is>
          <t>Allowance for losses — individual provisions</t>
        </is>
      </c>
      <c r="B35" s="6" t="n"/>
      <c r="C35" s="6" t="n"/>
      <c r="D35" s="6" t="n"/>
      <c r="E35" s="6" t="n"/>
      <c r="F35" s="6" t="n"/>
      <c r="G35" s="6" t="n"/>
      <c r="H35" s="6" t="n"/>
      <c r="I35" s="6" t="n">
        <v>-7.8</v>
      </c>
      <c r="J35" s="6" t="n"/>
      <c r="K35" s="6" t="n">
        <v>-14.3</v>
      </c>
      <c r="L35" s="6" t="n">
        <v>-10.2</v>
      </c>
      <c r="M35" s="6" t="n">
        <v>-14</v>
      </c>
    </row>
    <row r="36">
      <c r="A36" s="6" t="inlineStr">
        <is>
          <t>Allowance for losses — collective provisions</t>
        </is>
      </c>
      <c r="B36" s="6" t="n"/>
      <c r="C36" s="6" t="n"/>
      <c r="D36" s="6" t="n"/>
      <c r="E36" s="6" t="n"/>
      <c r="F36" s="6" t="n"/>
      <c r="G36" s="6" t="n"/>
      <c r="H36" s="6" t="n"/>
      <c r="I36" s="6" t="n">
        <v>-17.4</v>
      </c>
      <c r="J36" s="6" t="n"/>
      <c r="K36" s="6" t="n">
        <v>-13.1</v>
      </c>
      <c r="L36" s="6" t="n"/>
      <c r="M36" s="6" t="n"/>
    </row>
    <row r="37">
      <c r="A37" s="5" t="inlineStr">
        <is>
          <t>Total impairment allowance (individual + collective)</t>
        </is>
      </c>
      <c r="B37" s="5" t="n"/>
      <c r="C37" s="5" t="n"/>
      <c r="D37" s="5" t="n"/>
      <c r="E37" s="5" t="n"/>
      <c r="F37" s="5" t="n"/>
      <c r="G37" s="5" t="n"/>
      <c r="H37" s="5" t="n"/>
      <c r="I37" s="5" t="n">
        <v>-25.2</v>
      </c>
      <c r="J37" s="5" t="n"/>
      <c r="K37" s="5" t="n">
        <v>-27.4</v>
      </c>
      <c r="L37" s="5" t="n"/>
      <c r="M37" s="5" t="n"/>
    </row>
    <row r="38">
      <c r="A38" s="6" t="inlineStr">
        <is>
          <t>Individually impaired loans as a % of gross loans and advances</t>
        </is>
      </c>
      <c r="B38" s="6" t="n"/>
      <c r="C38" s="6" t="n"/>
      <c r="D38" s="6" t="n"/>
      <c r="E38" s="6" t="n"/>
      <c r="F38" s="6" t="n"/>
      <c r="G38" s="6" t="n"/>
      <c r="H38" s="6" t="n"/>
      <c r="I38" s="6" t="inlineStr">
        <is>
          <t>0.38%</t>
        </is>
      </c>
      <c r="J38" s="6" t="n"/>
      <c r="K38" s="6" t="inlineStr">
        <is>
          <t>0.47%</t>
        </is>
      </c>
      <c r="L38" s="6" t="inlineStr">
        <is>
          <t>0.37%</t>
        </is>
      </c>
      <c r="M38" s="6" t="inlineStr">
        <is>
          <t>0.43%</t>
        </is>
      </c>
    </row>
    <row r="39">
      <c r="A39" s="6" t="inlineStr">
        <is>
          <t>Coverage ratio (individual provisions / individually impaired loans)</t>
        </is>
      </c>
      <c r="B39" s="6" t="n"/>
      <c r="C39" s="6" t="n"/>
      <c r="D39" s="6" t="n"/>
      <c r="E39" s="6" t="n"/>
      <c r="F39" s="6" t="n"/>
      <c r="G39" s="6" t="n"/>
      <c r="H39" s="6" t="n"/>
      <c r="I39" s="6" t="inlineStr">
        <is>
          <t>23.09%</t>
        </is>
      </c>
      <c r="J39" s="6" t="n"/>
      <c r="K39" s="6" t="inlineStr">
        <is>
          <t>40.17%</t>
        </is>
      </c>
      <c r="L39" s="6" t="inlineStr">
        <is>
          <t>44.74%</t>
        </is>
      </c>
      <c r="M39" s="6" t="inlineStr">
        <is>
          <t>67.40%</t>
        </is>
      </c>
    </row>
    <row r="40">
      <c r="A40" s="5" t="inlineStr">
        <is>
          <t>FY2017 — no 31 December 2017 reporting date exists (18-month transition period 1 Jan 2017 to 30 Jun 2018, reported in the FY2018 column)</t>
        </is>
      </c>
      <c r="B40" s="6" t="n"/>
      <c r="C40" s="6" t="n"/>
      <c r="D40" s="6" t="n"/>
      <c r="E40" s="6" t="n"/>
      <c r="F40" s="6" t="n"/>
      <c r="G40" s="6" t="n"/>
      <c r="H40" s="6" t="n"/>
      <c r="I40" s="6" t="n"/>
      <c r="J40" s="6" t="n"/>
      <c r="K40" s="6" t="n"/>
      <c r="L40" s="6" t="n"/>
      <c r="M40" s="6" t="n"/>
    </row>
    <row r="41">
      <c r="A41" s="6" t="inlineStr">
        <is>
          <t>Credit quality disclosures</t>
        </is>
      </c>
      <c r="B41" s="6" t="n"/>
      <c r="C41" s="6" t="n"/>
      <c r="D41" s="6" t="n"/>
      <c r="E41" s="6" t="n"/>
      <c r="F41" s="6" t="n"/>
      <c r="G41" s="6" t="n"/>
      <c r="H41" s="6" t="n"/>
      <c r="I41" s="6" t="n"/>
      <c r="J41" s="6" t="inlineStr">
        <is>
          <t>No 31 Dec 2017 period exists (18-month transition)</t>
        </is>
      </c>
      <c r="K41" s="6" t="n"/>
      <c r="L41" s="6" t="n"/>
      <c r="M41" s="6" t="n"/>
    </row>
    <row r="43" ht="170" customHeight="1">
      <c r="A43"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FY2020 (by IFRS 9 stage, gross and allowance): Full accounts made up to 30 June 2020, printed p.39 (Analysis of gross loans and advances / loss allowances by stage) — https://find-and-update.company-information.service.gov.uk/company/00947662/filing-history/MzI4MzMzMzM4OGFkaXF6a2N4/document?format=pdf&amp;download=0
FY2020 (net lending by segment): same filing, printed p.35 (Credit concentration by segment) — https://find-and-update.company-information.service.gov.uk/company/00947662/filing-history/MzI4MzMzMzM4OGFkaXF6a2N4/document?format=pdf&amp;download=0
FY2019 (by IFRS 9 stage, gross and allowance): Full accounts made up to 30 June 2019, printed p.30 (Analysis of gross loans and advances / loss allowances by stage) — https://find-and-update.company-information.service.gov.uk/company/00947662/filing-history/MzI0OTY0MTQwMWFkaXF6a2N4/document?format=pdf&amp;download=0
FY2019 (net lending by segment): same filing, printed p.26 (Credit concentration by segment) — https://find-and-update.company-information.service.gov.uk/company/00947662/filing-history/MzI0OTY0MTQwMWFkaXF6a2N4/document?format=pdf&amp;download=0
FY2018 (impaired loans and coverage, IAS 39 basis): Full accounts for the 18-month period ended 30 June 2018, printed p.92 (Impaired loan analysis / Impairment coverage ratio) — https://find-and-update.company-information.service.gov.uk/company/00947662/filing-history/MzIxNzQ4NDUzNmFkaXF6a2N4/document?format=pdf&amp;download=0
FY2018 (net lending by segment): same filing, printed p.87 (Credit concentration by segment) — https://find-and-update.company-information.service.gov.uk/company/00947662/filing-history/MzIxNzQ4NDUzNmFkaXF6a2N4/document?format=pdf&amp;download=0
FY2016 (impaired loans and coverage, IAS 39 basis): Full accounts for the year ended 31 December 2016, printed p.79 (Impaired loan analysis / Impairment coverage ratio) — https://find-and-update.company-information.service.gov.uk/company/00947662/filing-history/MzE3NTQ0MTgwOGFkaXF6a2N4/document?format=pdf&amp;download=0
FY2016 (net lending by segment): same filing, printed p.82 (Credit concentration by segment) — https://find-and-update.company-information.service.gov.uk/company/00947662/filing-history/MzE3NTQ0MTgwOGFkaXF6a2N4/document?format=pdf&amp;download=0
FY2015 &amp; FY2014 (by segment;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FY2017: no such reporting date exists — see the presentation note below.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FY2014-FY2018 report credit quality on the older IAS 39 'individually impaired vs collectively assessed' basis instead, in the separate section below. The two bases are NOT mechanically comparable (different recognition trigger, and no forward-looking ECL overlay under IAS 39), so they are kept in separate sections and never merged into one series.
GAP CLOSURE 2026-09-18 — the four interior blanks FY2016, FY2018, FY2019 and FY2020 are now FILLED. A previous session left them blank and recorded the reason as 'the Companies House filings for these years are scanned images with no text layer, so locating and transcribing note-level tables requires page-by-page visual review beyond this session's budget'. That was a statement about the effort available, not about the documents: all four filings were retrieved from Companies House, OCR'd at 200-300 dpi with ocrmypdf --force-ocr, and every figure below was then confirmed against the rendered page image before being transcribed. The OCR step is not optional and the visual check is not ceremony — FY2016's Asset Finance balance OCR'd as 1,873.4 and the page image reads 1,573.4; only 1,573.4 foots to the printed segment total of 7,477.3.
SEGMENT TABLE IS NET, NOT GROSS. The 'by product' section was previously headed 'Gross loans and advances to customers, by product'. It is not gross: the Bank's own 'Credit concentration by segment' table is struck after impairment allowances. FY2016 proves it arithmetically — gross loans 7,504.7 less the 27.4 total allowance is 7,477.3, exactly the printed segment total — and FY2018 ties the same way (9,015.7 - 25.2 = 8,990.5). The section label has been corrected accordingly. The FY2015/FY2014 rows were already on this net basis and are unchanged in value; only the label they sit under is now accurate.
FY2017 IS NOT A GAP. Aldermore changed its accounting reference date, running an 18-month transition period from 1 January 2017 to 30 June 2018. No 31 December 2017 reporting date exists, so there is no FY2017 edition to open and no FY2017 figure that could ever be found; the Companies House filing history runs 31 Dec 2016 straight to 30 Jun 2018. That year is marked with an explicit statement rather than left blank, because a blank would read as an unclosed gap.
FY2020/FY2019 UNDRAWN-FACILITY MEMO ROWS. Those two editions' stage tables carry an 'undrawn loan facilities' column alongside drawn balances. It is reproduced as a memo row and deliberately excluded from the totals and from every ratio, so the stage series stays on one definition across all seven years. Two printed oddities in those tables are transcribed as printed and flagged, not corrected: the FY2019 edition prints a 10.0% coverage ratio against undrawn facilities where 0.8/687.5 is 0.1%, and the FY2020 Bank-only accounts head their coverage table 'Group impairment coverage ratio' although its 30 June 2019 comparative column reproduces the FY2019 Bank accounts' 'Bank impairment coverage ratio' figures exactly — an apparent heading error in the Bank's own document.</t>
        </is>
      </c>
    </row>
  </sheetData>
  <mergeCells count="1">
    <mergeCell ref="A43:M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Aldermore Bank PLC — KM1 Key Metrics</t>
        </is>
      </c>
    </row>
    <row r="2">
      <c r="A2" s="2" t="inlineStr">
        <is>
          <t>Aldermore Bank PLC (Bank solo) columns of the bank's own published key-metrics template, in its own row order, labels and precision. Amounts in £m, ratios as printed. Row numbers are Aldermore's own from the FY2026 edition; the FY2022–FY2025 editions print the identical rows with no numbering. FY2021 and earlier predate the template and are intentionally blank.</t>
        </is>
      </c>
    </row>
    <row r="3">
      <c r="A3" s="4" t="inlineStr">
        <is>
          <t>Line item</t>
        </is>
      </c>
      <c r="B3" s="4" t="inlineStr">
        <is>
          <t>FY2026 (y/e 30 Jun 26)</t>
        </is>
      </c>
      <c r="C3" s="4" t="inlineStr">
        <is>
          <t>FY2025 (y/e 30 Jun 25)</t>
        </is>
      </c>
      <c r="D3" s="4" t="inlineStr">
        <is>
          <t>FY2024 (y/e 30 Jun 24)</t>
        </is>
      </c>
      <c r="E3" s="4" t="inlineStr">
        <is>
          <t>FY2023 (y/e 30 Jun 23)</t>
        </is>
      </c>
      <c r="F3" s="4" t="inlineStr">
        <is>
          <t>FY2022 (y/e 30 Jun 22)</t>
        </is>
      </c>
    </row>
    <row r="4">
      <c r="A4" s="5" t="inlineStr">
        <is>
          <t>Available own funds (amounts)</t>
        </is>
      </c>
      <c r="B4" s="6" t="n"/>
      <c r="C4" s="6" t="n"/>
      <c r="D4" s="6" t="n"/>
      <c r="E4" s="6" t="n"/>
      <c r="F4" s="6" t="n"/>
    </row>
    <row r="5">
      <c r="A5" s="6" t="inlineStr">
        <is>
          <t>1  Common Equity Tier 1 (CET1) capital (£m)</t>
        </is>
      </c>
      <c r="B5" s="6" t="n">
        <v>1450.9</v>
      </c>
      <c r="C5" s="6" t="n">
        <v>1337.8</v>
      </c>
      <c r="D5" s="6" t="n">
        <v>1321.5</v>
      </c>
      <c r="E5" s="6" t="n">
        <v>1203.8</v>
      </c>
      <c r="F5" s="6" t="n">
        <v>1065.9</v>
      </c>
    </row>
    <row r="6">
      <c r="A6" s="6" t="inlineStr">
        <is>
          <t>2  Tier 1 capital (£m)</t>
        </is>
      </c>
      <c r="B6" s="6" t="n">
        <v>1500.9</v>
      </c>
      <c r="C6" s="6" t="n">
        <v>1387.8</v>
      </c>
      <c r="D6" s="6" t="n">
        <v>1382.5</v>
      </c>
      <c r="E6" s="6" t="n">
        <v>1264.8</v>
      </c>
      <c r="F6" s="6" t="n">
        <v>1126.6</v>
      </c>
    </row>
    <row r="7">
      <c r="A7" s="6" t="inlineStr">
        <is>
          <t>3  Total capital (£m)</t>
        </is>
      </c>
      <c r="B7" s="6" t="n">
        <v>1800.9</v>
      </c>
      <c r="C7" s="6" t="n">
        <v>1487.8</v>
      </c>
      <c r="D7" s="6" t="n">
        <v>1482.5</v>
      </c>
      <c r="E7" s="6" t="n">
        <v>1364.8</v>
      </c>
      <c r="F7" s="6" t="n">
        <v>1226.6</v>
      </c>
    </row>
    <row r="8">
      <c r="A8" s="5" t="inlineStr">
        <is>
          <t>Risk-weighted exposure amounts</t>
        </is>
      </c>
      <c r="B8" s="6" t="n"/>
      <c r="C8" s="6" t="n"/>
      <c r="D8" s="6" t="n"/>
      <c r="E8" s="6" t="n"/>
      <c r="F8" s="6" t="n"/>
    </row>
    <row r="9">
      <c r="A9" s="6" t="inlineStr">
        <is>
          <t>4  Total risk-weighted exposure amount (£m)</t>
        </is>
      </c>
      <c r="B9" s="6" t="n">
        <v>8203.700000000001</v>
      </c>
      <c r="C9" s="6" t="n">
        <v>7271.6</v>
      </c>
      <c r="D9" s="6" t="n">
        <v>6875.6</v>
      </c>
      <c r="E9" s="6" t="n">
        <v>6504.9</v>
      </c>
      <c r="F9" s="6" t="n">
        <v>6260.1</v>
      </c>
    </row>
    <row r="10">
      <c r="A10" s="5" t="inlineStr">
        <is>
          <t>Capital ratios (as a percentage of risk-weighted exposure amount)</t>
        </is>
      </c>
      <c r="B10" s="6" t="n"/>
      <c r="C10" s="6" t="n"/>
      <c r="D10" s="6" t="n"/>
      <c r="E10" s="6" t="n"/>
      <c r="F10" s="6" t="n"/>
    </row>
    <row r="11">
      <c r="A11" s="6" t="inlineStr">
        <is>
          <t>5  Common Equity Tier 1 ratio (%)</t>
        </is>
      </c>
      <c r="B11" s="6" t="inlineStr">
        <is>
          <t>17.7%</t>
        </is>
      </c>
      <c r="C11" s="6" t="inlineStr">
        <is>
          <t>18.4%</t>
        </is>
      </c>
      <c r="D11" s="6" t="inlineStr">
        <is>
          <t>19.2%</t>
        </is>
      </c>
      <c r="E11" s="6" t="inlineStr">
        <is>
          <t>18.5%</t>
        </is>
      </c>
      <c r="F11" s="6" t="inlineStr">
        <is>
          <t>17.0%</t>
        </is>
      </c>
    </row>
    <row r="12">
      <c r="A12" s="6" t="inlineStr">
        <is>
          <t>6  Tier 1 ratio (%)</t>
        </is>
      </c>
      <c r="B12" s="6" t="inlineStr">
        <is>
          <t>18.3%</t>
        </is>
      </c>
      <c r="C12" s="6" t="inlineStr">
        <is>
          <t>19.1%</t>
        </is>
      </c>
      <c r="D12" s="6" t="inlineStr">
        <is>
          <t>20.1%</t>
        </is>
      </c>
      <c r="E12" s="6" t="inlineStr">
        <is>
          <t>19.4%</t>
        </is>
      </c>
      <c r="F12" s="6" t="inlineStr">
        <is>
          <t>18.0%</t>
        </is>
      </c>
    </row>
    <row r="13">
      <c r="A13" s="6" t="inlineStr">
        <is>
          <t>7  Total capital ratio (%)</t>
        </is>
      </c>
      <c r="B13" s="6" t="inlineStr">
        <is>
          <t>22.0%</t>
        </is>
      </c>
      <c r="C13" s="6" t="inlineStr">
        <is>
          <t>20.5%</t>
        </is>
      </c>
      <c r="D13" s="6" t="inlineStr">
        <is>
          <t>21.6%</t>
        </is>
      </c>
      <c r="E13" s="6" t="inlineStr">
        <is>
          <t>21.0%</t>
        </is>
      </c>
      <c r="F13" s="6" t="inlineStr">
        <is>
          <t>19.6%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1.2%</t>
        </is>
      </c>
      <c r="D15" s="6" t="inlineStr">
        <is>
          <t>1.2%</t>
        </is>
      </c>
      <c r="E15" s="6" t="inlineStr">
        <is>
          <t>1.2%</t>
        </is>
      </c>
      <c r="F15" s="6" t="inlineStr">
        <is>
          <t>1.2%</t>
        </is>
      </c>
    </row>
    <row r="16">
      <c r="A16" s="6" t="inlineStr">
        <is>
          <t>UK 7b  Additional AT1 SREP requirements (%)</t>
        </is>
      </c>
      <c r="B16" s="6" t="inlineStr">
        <is>
          <t>0.2%</t>
        </is>
      </c>
      <c r="C16" s="6" t="inlineStr">
        <is>
          <t>0.4%</t>
        </is>
      </c>
      <c r="D16" s="6" t="inlineStr">
        <is>
          <t>0.4%</t>
        </is>
      </c>
      <c r="E16" s="6" t="inlineStr">
        <is>
          <t>0.4%</t>
        </is>
      </c>
      <c r="F16" s="6" t="inlineStr">
        <is>
          <t>0.4%</t>
        </is>
      </c>
    </row>
    <row r="17">
      <c r="A17" s="6" t="inlineStr">
        <is>
          <t>UK 7c  Additional T2 SREP requirements (%)</t>
        </is>
      </c>
      <c r="B17" s="6" t="inlineStr">
        <is>
          <t>0.4%</t>
        </is>
      </c>
      <c r="C17" s="6" t="inlineStr">
        <is>
          <t>0.5%</t>
        </is>
      </c>
      <c r="D17" s="6" t="inlineStr">
        <is>
          <t>0.5%</t>
        </is>
      </c>
      <c r="E17" s="6" t="inlineStr">
        <is>
          <t>0.5%</t>
        </is>
      </c>
      <c r="F17" s="6" t="inlineStr">
        <is>
          <t>0.5%</t>
        </is>
      </c>
    </row>
    <row r="18">
      <c r="A18" s="6" t="inlineStr">
        <is>
          <t>UK 7d  Total SREP own funds requirements (%)</t>
        </is>
      </c>
      <c r="B18" s="6" t="inlineStr">
        <is>
          <t>9.3%</t>
        </is>
      </c>
      <c r="C18" s="6" t="inlineStr">
        <is>
          <t>10.1%</t>
        </is>
      </c>
      <c r="D18" s="6" t="inlineStr">
        <is>
          <t>10.1%</t>
        </is>
      </c>
      <c r="E18" s="6" t="inlineStr">
        <is>
          <t>10.1%</t>
        </is>
      </c>
      <c r="F18" s="6" t="inlineStr">
        <is>
          <t>2.1%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13.8%</t>
        </is>
      </c>
      <c r="C23" s="6" t="inlineStr">
        <is>
          <t>14.6%</t>
        </is>
      </c>
      <c r="D23" s="6" t="inlineStr">
        <is>
          <t>14.6%</t>
        </is>
      </c>
      <c r="E23" s="6" t="inlineStr">
        <is>
          <t>13.6%</t>
        </is>
      </c>
      <c r="F23" s="6" t="inlineStr">
        <is>
          <t>12.6%</t>
        </is>
      </c>
    </row>
    <row r="24">
      <c r="A24" s="6" t="inlineStr">
        <is>
          <t>12  CET1 available after meeting the total SREP own funds requirements (%)</t>
        </is>
      </c>
      <c r="B24" s="6" t="inlineStr">
        <is>
          <t>12.5%</t>
        </is>
      </c>
      <c r="C24" s="6" t="inlineStr">
        <is>
          <t>12.8%</t>
        </is>
      </c>
      <c r="D24" s="6" t="inlineStr">
        <is>
          <t>12.8%</t>
        </is>
      </c>
      <c r="E24" s="6" t="inlineStr">
        <is>
          <t>12.8%</t>
        </is>
      </c>
      <c r="F24" s="6" t="inlineStr">
        <is>
          <t>7.0%</t>
        </is>
      </c>
    </row>
    <row r="25">
      <c r="A25" s="5" t="inlineStr">
        <is>
          <t>Leverage ratio</t>
        </is>
      </c>
      <c r="B25" s="6" t="n"/>
      <c r="C25" s="6" t="n"/>
      <c r="D25" s="6" t="n"/>
      <c r="E25" s="6" t="n"/>
      <c r="F25" s="6" t="n"/>
    </row>
    <row r="26">
      <c r="A26" s="6" t="inlineStr">
        <is>
          <t>13  Total exposure measure excluding claims on central banks (£m)</t>
        </is>
      </c>
      <c r="B26" s="6" t="n">
        <v>16715.1</v>
      </c>
      <c r="C26" s="6" t="n">
        <v>15674.3</v>
      </c>
      <c r="D26" s="6" t="n">
        <v>14337.2</v>
      </c>
      <c r="E26" s="6" t="n">
        <v>13609.6</v>
      </c>
      <c r="F26" s="6" t="n">
        <v>13850.3</v>
      </c>
    </row>
    <row r="27">
      <c r="A27" s="6" t="inlineStr">
        <is>
          <t>14  Leverage ratio excluding claims on central banks (%)</t>
        </is>
      </c>
      <c r="B27" s="6" t="inlineStr">
        <is>
          <t>9.0%</t>
        </is>
      </c>
      <c r="C27" s="6" t="inlineStr">
        <is>
          <t>8.9%</t>
        </is>
      </c>
      <c r="D27" s="6" t="inlineStr">
        <is>
          <t>9.6%</t>
        </is>
      </c>
      <c r="E27" s="6" t="inlineStr">
        <is>
          <t>9.3%</t>
        </is>
      </c>
      <c r="F27" s="6" t="inlineStr">
        <is>
          <t>8.1%</t>
        </is>
      </c>
    </row>
    <row r="28">
      <c r="A28" s="5" t="inlineStr">
        <is>
          <t>Liquidity Coverage Ratio</t>
        </is>
      </c>
      <c r="B28" s="6" t="n"/>
      <c r="C28" s="6" t="n"/>
      <c r="D28" s="6" t="n"/>
      <c r="E28" s="6" t="n"/>
      <c r="F28" s="6" t="n"/>
    </row>
    <row r="29">
      <c r="A29" s="6" t="inlineStr">
        <is>
          <t>15  Total high-quality liquid assets (HQLA) (weighted value - average) (£m)</t>
        </is>
      </c>
      <c r="B29" s="6" t="n">
        <v>3725.9</v>
      </c>
      <c r="C29" s="6" t="n">
        <v>3723.1</v>
      </c>
      <c r="D29" s="6" t="n">
        <v>4208.6</v>
      </c>
      <c r="E29" s="6" t="n">
        <v>3280.6</v>
      </c>
      <c r="F29" s="6" t="n">
        <v>2838.5</v>
      </c>
    </row>
    <row r="30">
      <c r="A30" s="6" t="inlineStr">
        <is>
          <t>UK 16a  Cash outflows - total weighted value (£m)</t>
        </is>
      </c>
      <c r="B30" s="6" t="n">
        <v>2554.3</v>
      </c>
      <c r="C30" s="6" t="n">
        <v>2194.3</v>
      </c>
      <c r="D30" s="6" t="n">
        <v>2206.4</v>
      </c>
      <c r="E30" s="6" t="n">
        <v>1951</v>
      </c>
      <c r="F30" s="6" t="n">
        <v>1012.1</v>
      </c>
    </row>
    <row r="31">
      <c r="A31" s="6" t="inlineStr">
        <is>
          <t>UK 16b  Cash inflows - total weighted value (£m)</t>
        </is>
      </c>
      <c r="B31" s="6" t="n">
        <v>291.2</v>
      </c>
      <c r="C31" s="6" t="n">
        <v>226</v>
      </c>
      <c r="D31" s="6" t="n">
        <v>247</v>
      </c>
      <c r="E31" s="6" t="n">
        <v>264.6</v>
      </c>
      <c r="F31" s="6" t="n">
        <v>239.5</v>
      </c>
    </row>
    <row r="32">
      <c r="A32" s="6" t="inlineStr">
        <is>
          <t>16  Total net cash outflows (adjusted value) (£m)</t>
        </is>
      </c>
      <c r="B32" s="6" t="n">
        <v>2263.1</v>
      </c>
      <c r="C32" s="6" t="n">
        <v>1968.3</v>
      </c>
      <c r="D32" s="6" t="n">
        <v>1959.4</v>
      </c>
      <c r="E32" s="6" t="n">
        <v>1686.4</v>
      </c>
      <c r="F32" s="6" t="n">
        <v>772.6</v>
      </c>
    </row>
    <row r="33">
      <c r="A33" s="6" t="inlineStr">
        <is>
          <t>17  Liquidity coverage ratio (%)</t>
        </is>
      </c>
      <c r="B33" s="6" t="inlineStr">
        <is>
          <t>164.6%</t>
        </is>
      </c>
      <c r="C33" s="6" t="inlineStr">
        <is>
          <t>189.2%</t>
        </is>
      </c>
      <c r="D33" s="6" t="inlineStr">
        <is>
          <t>214.8%</t>
        </is>
      </c>
      <c r="E33" s="6" t="inlineStr">
        <is>
          <t>194.5%</t>
        </is>
      </c>
      <c r="F33" s="6" t="inlineStr">
        <is>
          <t>367.4%</t>
        </is>
      </c>
    </row>
    <row r="34">
      <c r="A34" s="5" t="inlineStr">
        <is>
          <t>Net Stable Funding Ratio</t>
        </is>
      </c>
      <c r="B34" s="6" t="n"/>
      <c r="C34" s="6" t="n"/>
      <c r="D34" s="6" t="n"/>
      <c r="E34" s="6" t="n"/>
      <c r="F34" s="6" t="n"/>
    </row>
    <row r="35">
      <c r="A35" s="6" t="inlineStr">
        <is>
          <t>18  Total available stable funding (£m)</t>
        </is>
      </c>
      <c r="B35" s="6" t="n">
        <v>16701.9</v>
      </c>
      <c r="C35" s="6" t="n">
        <v>15972.4</v>
      </c>
      <c r="D35" s="6" t="n">
        <v>16133.4</v>
      </c>
      <c r="E35" s="6" t="n">
        <v>15490.2</v>
      </c>
      <c r="F35" s="6" t="n">
        <v>15667.6</v>
      </c>
    </row>
    <row r="36">
      <c r="A36" s="6" t="inlineStr">
        <is>
          <t>19  Total required stable funding (£m)</t>
        </is>
      </c>
      <c r="B36" s="6" t="n">
        <v>13318.4</v>
      </c>
      <c r="C36" s="6" t="n">
        <v>12166.9</v>
      </c>
      <c r="D36" s="6" t="n">
        <v>11778</v>
      </c>
      <c r="E36" s="6" t="n">
        <v>12161.3</v>
      </c>
      <c r="F36" s="6" t="n">
        <v>12169.6</v>
      </c>
    </row>
    <row r="37">
      <c r="A37" s="6" t="inlineStr">
        <is>
          <t>20  NSFR ratio (%)</t>
        </is>
      </c>
      <c r="B37" s="6" t="inlineStr">
        <is>
          <t>125.4%</t>
        </is>
      </c>
      <c r="C37" s="6" t="inlineStr">
        <is>
          <t>131.3%</t>
        </is>
      </c>
      <c r="D37" s="6" t="inlineStr">
        <is>
          <t>137.0%</t>
        </is>
      </c>
      <c r="E37" s="6" t="inlineStr">
        <is>
          <t>127.4%</t>
        </is>
      </c>
      <c r="F37" s="6" t="inlineStr">
        <is>
          <t>128.7%</t>
        </is>
      </c>
    </row>
    <row r="39" ht="210" customHeight="1">
      <c r="A39" s="8" t="inlineStr">
        <is>
          <t>Sources — Aldermore Bank PLC ('Bank') columns of the key-metrics table in each year's OWN Pillar 3 edition. Every edition prints the same rows for both Aldermore Group PLC and the Bank; the Bank columns are taken here, matching the entity basis of every other sheet in this workbook.
FY2026: Pillar 3 Report for the year ended 30 June 2026, p.6 (UK KM1 — Key metrics template, Bank column a, 30-Jun-26) — https://www.aldermore.co.uk/media/0wylhhas/pillar-3-fy-2026-aldermore-group.pdf
FY2025: Pillar 3 Disclosures for the year ended 30 June 2025, pp.4-5 (Key metrics, Bank 30 June 2025 column). This edition's table BREAKS ACROSS A PAGE: capital, SREP, buffers, leverage and LCR on p.4, the three NSFR rows on p.5 under their own heading. The other editions print it whole on one page — https://www.aldermore.co.uk/media/sgufisw5/aldermore-group-plc-2025-pillar-3-disclosures.pdf
FY2024: Pillar 3 Disclosures for the year ended 30 June 2024, p.4 (Key metrics, Bank 30 June 2024) — https://www.aldermore.co.uk/media/jkkdbgnu/aldermore-group-plc-2024-pillar-3-disclosures.pdf
FY2023: Pillar 3 Disclosures for the year ended 30 June 2023, p.4 (Key metrics, Bank 30 June 2023) — https://www.aldermore.co.uk/media/ynohqczi/pillar-3-2023.pdf
FY2022: Pillar 3 Disclosures for the year ended 30 June 2022, p.4 (Key metrics, Bank 30 June 2022) — https://www.aldermore.co.uk/media/hnhpw03l/pillar-3-2022_0.pdf
FY2021 and earlier carry no column: the FY2021 and FY2020 editions (83 and 86 pages, both located on Aldermore's own investor index on 2026-09-16) print no key-metrics table of any kind, and the template post-dates them — the Disclosure (CRR) Part of the PRA Rulebook applied from 1 January 2022. Those years are blank because the FY2021 EDITION published no such table, not because it was not found. A FY2021 comparative does exist: the FY2022 edition prints a 30 June 2021 Bank column for the capital, ratio and SREP rows (CET1 £947.0m, CET1 ratio 15.9%, total SREP 1.1%) and 'n/a' for every leverage, LCR and NSFR row. It is deliberately not used — each column here comes from its own year's edition.
LATEST-EDITION CHECK: Aldermore's own investor index (https://www.aldermore.co.uk/investors/results-and-presentations/) checked 2026-09-16 — newest Pillar 3 is FY2026 (year ended 30 June 2026), already carried here. None newer.
FOUR SOURCE INCONSISTENCIES, REPRODUCED AS PUBLISHED AND NOT RECONCILED. All 25 rows of all five columns were read off that year's OWN edition and re-checked against the printed page on 2026-09-16. The items below are differences BETWEEN editions, found by comparing each edition against the next edition's comparative column for the same entity and date (FY2022 vs FY2023, FY2024 vs FY2025, FY2025 vs FY2026). Nothing below was adjusted, spliced or averaged.
1. 'Total SREP own funds requirements' (UK 7d) is a BASIS BREAK, not a fall: the FY2022 edition prints 2.1% for the Bank — the ADDITIONAL requirement only, and the three component rows immediately above it sum to exactly that (1.2 + 0.4 + 0.5) — while the FY2023 edition onward print 10.1% for the same measure, the TOTAL including the 8% Pillar 1 minimum. The Group column breaks identically in the same editions (1.6% to 9.6%), which is what confirms this is the bank's change of basis and not a row misread on our side. The series is deliberately not spliced.
2. That basis change is applied RETROSPECTIVELY to the comparative: the FY2022 edition prints 7.0% for 'CET1 available after meeting the total SREP own funds requirements' at 30 June 2022, while the FY2023 edition's comparative prints 11.3% for that identical row and identical date.
3. The FY2023 edition also RESTATES the FY2022 NSFR rows: available stable funding £15,667.6m becomes £14,273.5m, required stable funding £12,169.6m becomes £10,867.2m, and the ratio 128.7% becomes 131.3%. Every LCR row for that same date agrees exactly between the two editions, so the restatement is confined to NSFR rather than being a general re-basing of the liquidity section.
4. FY2025's leverage exposure measure is RESTATED: the FY2025 edition prints £15,674.3m for the Bank at 30 June 2025, the FY2026 edition's comparative £15,526.0m for that same date. £15,674.3m stands here. 24 of the 25 FY2026 comparative rows agree exactly with the FY2025 edition — that row-by-row check is how this was found. Separately, the FY2025 edition's own 30 June 2024 comparatives print CET1 £1,321.4m, Tier 1 £1,382.4m and total capital £1,482.4m where the FY2024 edition printed £1,321.5m, £1,382.5m and £1,482.5m: 0.1m of precision drift on three capital rows, carrying into no ratio.
The FY2022 edition prints 'n/a' rather than a figure for the FY2021 comparatives of every leverage, LCR and NSFR row, footnoted 'these disclosures have been implemented from 1 January 2022 ... no comparatives are being provided' — the 1 January 2022 basis break in the bank's own words. Those comparatives are not used here in any case, since each column is taken from its own year's edition.</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(CET1) capital</t>
        </is>
      </c>
      <c r="B4" s="6" t="n">
        <v>1450.9</v>
      </c>
      <c r="C4" s="6" t="n">
        <v>1337.8</v>
      </c>
      <c r="D4" s="6" t="n">
        <v>1321.5</v>
      </c>
      <c r="E4" s="6" t="n">
        <v>1203.8</v>
      </c>
      <c r="F4" s="6" t="n">
        <v>1065.9</v>
      </c>
      <c r="G4" s="6" t="n">
        <v>947</v>
      </c>
      <c r="H4" s="6" t="n">
        <v>860.9</v>
      </c>
      <c r="I4" s="6" t="n">
        <v>781.6</v>
      </c>
      <c r="J4" s="6" t="n">
        <v>682.2</v>
      </c>
      <c r="K4" s="6" t="inlineStr">
        <is>
          <t>No 31 Dec 2017 period exists (18-month transition)</t>
        </is>
      </c>
      <c r="L4" s="6" t="n">
        <v>522.2</v>
      </c>
      <c r="M4" s="6" t="n">
        <v>433.2</v>
      </c>
      <c r="N4" s="6" t="n">
        <v>280.7</v>
      </c>
      <c r="O4" s="6" t="n">
        <v>250.4</v>
      </c>
      <c r="P4" s="6" t="n">
        <v>163.5</v>
      </c>
      <c r="Q4" s="6" t="n">
        <v>158.2</v>
      </c>
    </row>
    <row r="5" ht="60" customHeight="1">
      <c r="A5" s="7" t="inlineStr">
        <is>
          <t>Note: FY2020 (860.9) and FY2016 (522.2) ADDED 2026-09-18 from the Bank-only Appendix 1 capital-composition table of each year's own Pillar 3 edition — editions this workbook previously asserted did not exist. Both reconcile: 860.9 is the FY2020 edition's own build-up (share capital 3.3 + share premium 307.5 + FVOCI 1.5 + retained earnings 522.9 + IFRS 9 transitional add back 33.4 − intangibles 7.7) and 522.2 the FY2016 edition's (3.3 + 307.6 + capital contribution reserve 6.9 + AFS reserve 1.8 + retained earnings 225.5 − intangibles 21.9 − indirect CET1 holding 0.9 − prudent valuation 0.1). See the Pillar 3 recovery note in the sources below.
FY2012 163.5 ADDED 2026-09-18 and is Basel II Core Tier 1 after deductions, on the same basis and from the same kind of narrative statement as FY2013's 250.4 and FY2011's 158.2 — see the paragraph below and the historical-editions note in the sources.
FY2013, FY2012 and FY2011 ARE BASEL II CORE TIER 1, NOT A CRD IV CET1 CALCULATION. CET1 as a defined measure did not exist before CRD IV took effect on 1 January 2014, and neither recovered edition uses the term. What each does state is that its Tier 1 capital consisted solely of fully issued ordinary shares and audited reserves, with no AT1, hybrid or Tier 3 instrument at all — so the Core Tier 1 measure is placed here on the same no-AT1 convention used elsewhere in this workbook, with the basis flagged rather than presented as a like-for-like CET1. FY2013 250.4 is the figure stated in that edition's own narrative; FY2011 158.2 is likewise stated in narrative and is the £166,143k Total Core Tier 1 capital of the same page's table less that table's own £7,915k intangible-assets deduction; FY2012 163.5 is stated in the recovered 2012 edition's narrative and is likewise that edition's table's £170,931k Total Core Tier 1 less its own £7,467k intangible-assets deduction. The prior version of this note said FY2012 was blank because no 2012 edition exists in the archive — it does;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CET1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Common Equity Tier 1 ratio</t>
        </is>
      </c>
      <c r="B4" s="6" t="inlineStr">
        <is>
          <t>17.7%</t>
        </is>
      </c>
      <c r="C4" s="6" t="inlineStr">
        <is>
          <t>18.4%</t>
        </is>
      </c>
      <c r="D4" s="6" t="inlineStr">
        <is>
          <t>19.2%</t>
        </is>
      </c>
      <c r="E4" s="6" t="inlineStr">
        <is>
          <t>18.5%</t>
        </is>
      </c>
      <c r="F4" s="6" t="inlineStr">
        <is>
          <t>17.0%</t>
        </is>
      </c>
      <c r="G4" s="6" t="inlineStr">
        <is>
          <t>15.9%</t>
        </is>
      </c>
      <c r="H4" s="6" t="inlineStr">
        <is>
          <t>13.4%</t>
        </is>
      </c>
      <c r="I4" s="6" t="inlineStr">
        <is>
          <t>12.6%</t>
        </is>
      </c>
      <c r="J4" s="6" t="inlineStr">
        <is>
          <t>12.5%</t>
        </is>
      </c>
      <c r="K4" s="6" t="inlineStr">
        <is>
          <t>No 31 Dec 2017 period exists (18-month transition)</t>
        </is>
      </c>
      <c r="L4" s="6" t="inlineStr">
        <is>
          <t>11.4%</t>
        </is>
      </c>
      <c r="M4" s="6" t="inlineStr">
        <is>
          <t>11.7%</t>
        </is>
      </c>
      <c r="N4" s="6" t="inlineStr">
        <is>
          <t>10.3%</t>
        </is>
      </c>
    </row>
    <row r="5" ht="60" customHeight="1">
      <c r="A5" s="7" t="inlineStr">
        <is>
          <t>Note: FY2020 (13.4%) and FY2016 (11.4%) WERE sourced from the Bank's own Annual Report 'Financial highlights' page on the stated grounds that no Pillar 3 document survived for those years. Both editions were recovered on 2026-09-18 and each prints exactly the same ratio in its Bank-only Appendix 1 capital-composition table, so the figures are unchanged and are now independently corroborated. That corroboration also settles a question the earlier sourcing left open: the same tables give the GROUP ratios as 11.5% (FY2016) and 13.3% (FY2020), so the Annual Report highlight figures were indeed Bank-basis and did not quietly mix an entity into this series. See the Pillar 3 recovery note in the sources below.
FY2013, FY2012 and FY2011 are blank by design, not unresearched. The two recovered Basel II editions (31 Dec 2013 and 31 Dec 2011) disclose no risk-weighted-asset figure and no capital ratio of any kind — they publish the Pillar 1 CAPITAL requirement (8% x risk weight) instead — so there is no denominator to state and no ratio to transcribe. Deriving one by grossing the capital requirement up by 12.5 would be back-solving a figure neither document states, and is deliberately not done. The recovered FY2012 edition (see the Pillar 3 recovery note in the sources) behaves identically: capital requirement, no RWA, no ratio. The prior version of this note said FY2012 had no edition at all — it has one; what it does not have is a ratio.</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capital</t>
        </is>
      </c>
      <c r="B4" s="6" t="n">
        <v>1500.9</v>
      </c>
      <c r="C4" s="6" t="n">
        <v>1387.8</v>
      </c>
      <c r="D4" s="6" t="n">
        <v>1382.5</v>
      </c>
      <c r="E4" s="6" t="n">
        <v>1264.8</v>
      </c>
      <c r="F4" s="6" t="n">
        <v>1126.6</v>
      </c>
      <c r="G4" s="6" t="n">
        <v>1008</v>
      </c>
      <c r="H4" s="6" t="n">
        <v>921.9</v>
      </c>
      <c r="I4" s="6" t="n">
        <v>855.9</v>
      </c>
      <c r="J4" s="6" t="n">
        <v>756.5</v>
      </c>
      <c r="K4" s="6" t="inlineStr">
        <is>
          <t>No 31 Dec 2017 period exists (18-month transition)</t>
        </is>
      </c>
      <c r="L4" s="6" t="n">
        <v>596.5</v>
      </c>
      <c r="M4" s="6" t="n">
        <v>507.5</v>
      </c>
      <c r="N4" s="6" t="n">
        <v>355</v>
      </c>
      <c r="O4" s="6" t="n">
        <v>250.4</v>
      </c>
      <c r="P4" s="6" t="n">
        <v>163.5</v>
      </c>
      <c r="Q4" s="6" t="n">
        <v>158.2</v>
      </c>
    </row>
    <row r="5" ht="60" customHeight="1">
      <c r="A5" s="7" t="inlineStr">
        <is>
          <t>Note: FY2020 921.9 (CET1 860.9 + AT1 perpetual loan 61.0) and FY2016 596.5 (CET1 522.2 + AT1 perpetual loan 74.3) ADDED 2026-09-18 from the recovered Bank-only Appendix 1 tables; both are printed totals, not sums computed here — the components are quoted only to show the shape. FY2012 163.5 is Basel II Core Tier 1 after deductions and equals this sheet's CET1 figure for the same reason FY2013 and FY2011 do. See the Pillar 3 recovery note in the sources.
FY2013 250.4 and FY2011 158.2 are each recovered Basel II edition's own stated Tier 1 capital, after deductions, and are identical to the CET1 Capital sheet's figures for those years because neither year's Tier 1 contained any AT1 or hybrid instrument — each document states expressly that Tier 1 consisted of fully issued ordinary shares and audited reserves and that no Tier 3 capital was held. That is a real change of shape rather than a gap: from FY2014 the Bank's Tier 1 exceeds its CET1 (FY2014 355.0 vs 280.7) because AT1 had been issued by then.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Tier 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Tier 1 ratio</t>
        </is>
      </c>
      <c r="B4" s="6" t="inlineStr">
        <is>
          <t>18.3%</t>
        </is>
      </c>
      <c r="C4" s="6" t="inlineStr">
        <is>
          <t>19.1%</t>
        </is>
      </c>
      <c r="D4" s="6" t="inlineStr">
        <is>
          <t>20.1%</t>
        </is>
      </c>
      <c r="E4" s="6" t="inlineStr">
        <is>
          <t>19.4%</t>
        </is>
      </c>
      <c r="F4" s="6" t="inlineStr">
        <is>
          <t>18.0%</t>
        </is>
      </c>
      <c r="G4" s="6" t="inlineStr">
        <is>
          <t>16.9%</t>
        </is>
      </c>
      <c r="H4" s="6" t="inlineStr">
        <is>
          <t>14.4%</t>
        </is>
      </c>
      <c r="I4" s="6" t="inlineStr">
        <is>
          <t>13.9%</t>
        </is>
      </c>
      <c r="J4" s="6" t="inlineStr">
        <is>
          <t>13.9%</t>
        </is>
      </c>
      <c r="K4" s="6" t="inlineStr">
        <is>
          <t>No 31 Dec 2017 period exists (18-month transition)</t>
        </is>
      </c>
      <c r="L4" s="6" t="inlineStr">
        <is>
          <t>13.0%</t>
        </is>
      </c>
      <c r="M4" s="6" t="inlineStr">
        <is>
          <t>13.8%</t>
        </is>
      </c>
      <c r="N4" s="6" t="inlineStr">
        <is>
          <t>13.1%</t>
        </is>
      </c>
    </row>
    <row r="5" ht="60" customHeight="1">
      <c r="A5" s="7" t="inlineStr">
        <is>
          <t>Note: FY2020 14.4% and FY2016 13.0% ADDED 2026-09-18, both printed in the 'Capital ratios' block of the recovered Bank-only Appendix 1 table for that year — not derived from the capital and RWA rows above them. (The FY2020 edition's own summary Table 1 prints 14.4% for the Bank too; note that its 30 June 2019 comparative there reads 13.8% against the 13.9% printed in Appendix 1 and held on this sheet from the FY2019 edition — a 0.1pp rounding difference inside one document, recorded, not reconciled.)
FY2013, FY2012 and FY2011 are blank by design: all three recovered Basel II editions publish a Pillar 1 capital requirement and no RWA figure and no capital ratio, so no ratio can be transcribed and none is derived. The prior version of this note said FY2012 had no edition at all; it does —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t>
        </is>
      </c>
      <c r="B4" s="6" t="n">
        <v>1800.9</v>
      </c>
      <c r="C4" s="6" t="n">
        <v>1487.8</v>
      </c>
      <c r="D4" s="6" t="n">
        <v>1482.5</v>
      </c>
      <c r="E4" s="6" t="n">
        <v>1364.8</v>
      </c>
      <c r="F4" s="6" t="n">
        <v>1226.6</v>
      </c>
      <c r="G4" s="6" t="n">
        <v>1168</v>
      </c>
      <c r="H4" s="6" t="n">
        <v>1081.9</v>
      </c>
      <c r="I4" s="6" t="n">
        <v>1015.9</v>
      </c>
      <c r="J4" s="6" t="n">
        <v>833.9</v>
      </c>
      <c r="K4" s="6" t="inlineStr">
        <is>
          <t>No 31 Dec 2017 period exists (18-month transition)</t>
        </is>
      </c>
      <c r="L4" s="6" t="n">
        <v>709.6</v>
      </c>
      <c r="M4" s="6" t="n">
        <v>556.1</v>
      </c>
      <c r="N4" s="6" t="n">
        <v>400.3</v>
      </c>
      <c r="O4" s="6" t="n"/>
      <c r="P4" s="6" t="n">
        <v>199.7</v>
      </c>
      <c r="Q4" s="6" t="n">
        <v>159.6</v>
      </c>
    </row>
    <row r="5">
      <c r="A5" s="6" t="inlineStr">
        <is>
          <t>Basel II editions' own narrative components, where the edition prints no total (FY2013 only): Tier 1 capital after deductions</t>
        </is>
      </c>
      <c r="B5" s="6" t="n"/>
      <c r="C5" s="6" t="n"/>
      <c r="D5" s="6" t="n"/>
      <c r="E5" s="6" t="n"/>
      <c r="F5" s="6" t="n"/>
      <c r="G5" s="6" t="n"/>
      <c r="H5" s="6" t="n"/>
      <c r="I5" s="6" t="n"/>
      <c r="J5" s="6" t="n"/>
      <c r="K5" s="6" t="n"/>
      <c r="L5" s="6" t="n"/>
      <c r="M5" s="6" t="n"/>
      <c r="N5" s="6" t="n"/>
      <c r="O5" s="6" t="n">
        <v>250.4</v>
      </c>
      <c r="P5" s="6" t="n"/>
      <c r="Q5" s="6" t="n"/>
    </row>
    <row r="6">
      <c r="A6" s="6" t="inlineStr">
        <is>
          <t>Basel II editions' own narrative components, where the edition prints no total (FY2013 only): Tier 2 capital</t>
        </is>
      </c>
      <c r="B6" s="6" t="n"/>
      <c r="C6" s="6" t="n"/>
      <c r="D6" s="6" t="n"/>
      <c r="E6" s="6" t="n"/>
      <c r="F6" s="6" t="n"/>
      <c r="G6" s="6" t="n"/>
      <c r="H6" s="6" t="n"/>
      <c r="I6" s="6" t="n"/>
      <c r="J6" s="6" t="n"/>
      <c r="K6" s="6" t="n"/>
      <c r="L6" s="6" t="n"/>
      <c r="M6" s="6" t="n"/>
      <c r="N6" s="6" t="n"/>
      <c r="O6" s="6" t="n">
        <v>39.3</v>
      </c>
      <c r="P6" s="6" t="n"/>
      <c r="Q6" s="6" t="n"/>
    </row>
    <row r="7" ht="60" customHeight="1">
      <c r="A7" s="7" t="inlineStr">
        <is>
          <t>Note: FY2020 1,081.9 and FY2016 709.6 ADDED 2026-09-18 — each is the printed 'Total regulatory capital resources' line of that year's recovered Bank-only Appendix 1 capital-composition table (FY2020: CET1 860.9 + AT1 61.0 + Tier 2 160.0; FY2016: CET1 522.2 + AT1 74.3 + Tier 2 113.1). FY2012 199.7 is the recovered 2012 edition's own printed 'Total capital less deductions' line (£199,671k). All three are stated totals, not sums computed here. See the Pillar 3 recovery note in the sources.
FY2011 159.6 is the recovered 31 December 2011 edition's own printed 'Total capital less deductions' line (£159,602k) — likewise a stated total.
FY2013 STILL HAS NO FIGURE ON THE TOTAL CAPITAL ROW, AND THE TWO ROWS BENEATH IT ARE WHY. That edition states £250.4m of Tier 1 capital and £39.3m of Tier 2 capital and never prints a total. The earlier reason for leaving it blank was that the edition does not say whether those components are before or after deductions. The recovered 2012 edition now answers that: its identical narrative sentence gives £163.5m + £36.2m = £199.7m, which is exactly its own printed post-deduction total — so the narrative pair is an after-deductions pair, and FY2013's total capital after deductions is almost certainly £289.7m. ALMOST CERTAINLY IS NOT DISCLOSED. The addition is still ours, not the document's, so the total row stays empty and the two components the 2013 edition does print sit on their own rows above, verbatim. A reader who wants the total can add them and will know exactly what they did.</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Capital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capital ratio</t>
        </is>
      </c>
      <c r="B4" s="6" t="inlineStr">
        <is>
          <t>22.0%</t>
        </is>
      </c>
      <c r="C4" s="6" t="inlineStr">
        <is>
          <t>20.5%</t>
        </is>
      </c>
      <c r="D4" s="6" t="inlineStr">
        <is>
          <t>21.6%</t>
        </is>
      </c>
      <c r="E4" s="6" t="inlineStr">
        <is>
          <t>21.0%</t>
        </is>
      </c>
      <c r="F4" s="6" t="inlineStr">
        <is>
          <t>19.6%</t>
        </is>
      </c>
      <c r="G4" s="6" t="inlineStr">
        <is>
          <t>19.6%</t>
        </is>
      </c>
      <c r="H4" s="6" t="inlineStr">
        <is>
          <t>16.9%</t>
        </is>
      </c>
      <c r="I4" s="6" t="inlineStr">
        <is>
          <t>16.4%</t>
        </is>
      </c>
      <c r="J4" s="6" t="inlineStr">
        <is>
          <t>15.3%</t>
        </is>
      </c>
      <c r="K4" s="6" t="inlineStr">
        <is>
          <t>No 31 Dec 2017 period exists (18-month transition)</t>
        </is>
      </c>
      <c r="L4" s="6" t="inlineStr">
        <is>
          <t>15.5%</t>
        </is>
      </c>
      <c r="M4" s="6" t="inlineStr">
        <is>
          <t>15.1%</t>
        </is>
      </c>
      <c r="N4" s="6" t="inlineStr">
        <is>
          <t>14.7%</t>
        </is>
      </c>
    </row>
    <row r="5" ht="60" customHeight="1">
      <c r="A5" s="7" t="inlineStr">
        <is>
          <t>Note: FY2020 16.9% and FY2016 15.5% ADDED 2026-09-18, both printed in the 'Capital ratios' block of the recovered Bank-only Appendix 1 table for that year; nothing is derived. Note that FY2016's 15.5% is ABOVE FY2015's 15.1% while the CET1 ratio fell over the same year (11.7% to 11.4%) — that is the Bank's own disclosure, driven by a £60m subordinated loan from Aldermore Group PLC taking Tier 2 from £48.6m to £113.1m, and is not a transcription slip. See the Pillar 3 recovery note in the sources.
FY2013, FY2012 and FY2011 are blank by design: no RWA denominator and no capital ratio is published in any of the three recovered Basel II editions, and none is derived.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RWAs</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risk-weighted assets (RWA)</t>
        </is>
      </c>
      <c r="B4" s="6" t="n">
        <v>8203.700000000001</v>
      </c>
      <c r="C4" s="6" t="n">
        <v>7271.6</v>
      </c>
      <c r="D4" s="6" t="n">
        <v>6875.6</v>
      </c>
      <c r="E4" s="6" t="n">
        <v>6504.9</v>
      </c>
      <c r="F4" s="6" t="n">
        <v>6260.1</v>
      </c>
      <c r="G4" s="6" t="n">
        <v>5964.1</v>
      </c>
      <c r="H4" s="6" t="n">
        <v>6406.3</v>
      </c>
      <c r="I4" s="6" t="n">
        <v>6179</v>
      </c>
      <c r="J4" s="6" t="n">
        <v>5451</v>
      </c>
      <c r="K4" s="6" t="inlineStr">
        <is>
          <t>No 31 Dec 2017 period exists (18-month transition)</t>
        </is>
      </c>
      <c r="L4" s="6" t="n">
        <v>4572.7</v>
      </c>
      <c r="M4" s="6" t="n">
        <v>3687.5</v>
      </c>
      <c r="N4" s="6" t="n">
        <v>2719.5</v>
      </c>
    </row>
    <row r="5" ht="60" customHeight="1">
      <c r="A5" s="7" t="inlineStr">
        <is>
          <t>Note: FY2020 6,406.3 and FY2016 4,572.7 ADDED 2026-09-18 from the recovered Bank-only 'Total minimum Pillar 1 capital requirement' table of each year's own Pillar 3 edition. Both foot exactly to their own components (FY2020: 5,818.3 + 0.2 + 586.7 + 1.1; FY2016: 4,264.1 + 0.2 + 307.2 + 1.2) and both reproduce the printed ratios against the capital figures on the neighbouring sheets. See the Pillar 3 recovery note in the sources.
FY2013, FY2012 and FY2011 are blank by design, and this is the single most important gap to understand in the recovered historical columns. The 31 December 2013, 2012 and 2011 editions disclose the Pillar 1 CAPITAL requirement by exposure class (8% x risk weight) — £165,031k, £110,063k and £68,091k of credit-risk capital respectively, plus operational-risk charges of £6.5m, £3.8m and £1.9m — but no risk-weighted-asset amount anywhere, and no total against which a ratio could be quoted. Multiplying those capital requirements by 12.5 would produce a plausible-looking RWA that no document states, so it is not done; the capital requirements are instead shown as capital, on clearly labelled rows of the RWA Breakdown sheet. The prior version of this note said FY2012 had no edition at all — it does;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RWA Breakdown (Overview of Risk Weighted Assets)</t>
        </is>
      </c>
    </row>
    <row r="2">
      <c r="A2" s="2" t="inlineStr">
        <is>
          <t>Bank solo basis, £m</t>
        </is>
      </c>
    </row>
    <row r="3">
      <c r="A3" s="4" t="inlineStr">
        <is>
          <t>Line item</t>
        </is>
      </c>
      <c r="B3" s="4" t="inlineStr">
        <is>
          <t>FY2026 (y/e 30 Jun 26) (£'000)</t>
        </is>
      </c>
      <c r="C3" s="4" t="inlineStr">
        <is>
          <t>FY2025 (y/e 30 Jun 25) (£'000)</t>
        </is>
      </c>
      <c r="D3" s="4" t="inlineStr">
        <is>
          <t>FY2024 (y/e 30 Jun 24) (£'000)</t>
        </is>
      </c>
      <c r="E3" s="4" t="inlineStr">
        <is>
          <t>FY2023 (y/e 30 Jun 23) (£'000)</t>
        </is>
      </c>
      <c r="F3" s="4" t="inlineStr">
        <is>
          <t>FY2022 (y/e 30 Jun 22) (£'000)</t>
        </is>
      </c>
      <c r="G3" s="4" t="inlineStr">
        <is>
          <t>FY2021 (y/e 30 Jun 21) (£'000)</t>
        </is>
      </c>
      <c r="H3" s="4" t="inlineStr">
        <is>
          <t>FY2020 (y/e 30 Jun 20) (£'000)</t>
        </is>
      </c>
      <c r="I3" s="4" t="inlineStr">
        <is>
          <t>FY2019 (y/e 30 Jun 19) (£'000)</t>
        </is>
      </c>
      <c r="J3" s="4" t="inlineStr">
        <is>
          <t>FY2018 (18-month transition period, 1 Jan 17 - 30 Jun 18) (£'000)</t>
        </is>
      </c>
      <c r="K3" s="4" t="inlineStr">
        <is>
          <t>FY2017 (no standalone 12-month period - see note) (£'000)</t>
        </is>
      </c>
      <c r="L3" s="4" t="inlineStr">
        <is>
          <t>FY2016 (y/e 31 Dec 16) (£'000)</t>
        </is>
      </c>
      <c r="M3" s="4" t="inlineStr">
        <is>
          <t>FY2015 (y/e 31 Dec 15) (£'000)</t>
        </is>
      </c>
      <c r="N3" s="4" t="inlineStr">
        <is>
          <t>FY2014 (y/e 31 Dec 14) (£'000)</t>
        </is>
      </c>
      <c r="O3" s="4" t="inlineStr">
        <is>
          <t>FY2013 (y/e 31 Dec 13) (£'000)</t>
        </is>
      </c>
      <c r="P3" s="4" t="inlineStr">
        <is>
          <t>FY2012 (y/e 31 Dec 12) (£'000)</t>
        </is>
      </c>
      <c r="Q3" s="4" t="inlineStr">
        <is>
          <t>FY2011 (y/e 31 Dec 11) (£'000)</t>
        </is>
      </c>
    </row>
    <row r="4">
      <c r="A4" s="5" t="inlineStr">
        <is>
          <t>UK OV1 / 'Overview of RWA' template — Aldermore Group PLC Pillar 3 Disclosures, Bank solo column (FY2026-FY2021)</t>
        </is>
      </c>
      <c r="B4" s="6" t="n"/>
      <c r="C4" s="6" t="n"/>
      <c r="D4" s="6" t="n"/>
      <c r="E4" s="6" t="n"/>
      <c r="F4" s="6" t="n"/>
      <c r="G4" s="6" t="n"/>
      <c r="H4" s="6" t="n"/>
      <c r="I4" s="6" t="n"/>
      <c r="J4" s="6" t="n"/>
      <c r="K4" s="6" t="n"/>
      <c r="L4" s="6" t="n"/>
      <c r="M4" s="6" t="n"/>
      <c r="N4" s="6" t="n"/>
      <c r="O4" s="6" t="n"/>
      <c r="P4" s="6" t="n"/>
      <c r="Q4" s="6" t="n"/>
    </row>
    <row r="5">
      <c r="A5" s="6" t="inlineStr">
        <is>
          <t>Credit risk (excluding CCR)</t>
        </is>
      </c>
      <c r="B5" s="6" t="n">
        <v>7291.1</v>
      </c>
      <c r="C5" s="6" t="n">
        <v>6410.7</v>
      </c>
      <c r="D5" s="6" t="n">
        <v>6071.2</v>
      </c>
      <c r="E5" s="6" t="n">
        <v>5802.1</v>
      </c>
      <c r="F5" s="6" t="n">
        <v>5624.9</v>
      </c>
      <c r="G5" s="6" t="n">
        <v>5338.2</v>
      </c>
      <c r="H5" s="6" t="n"/>
      <c r="I5" s="6" t="n"/>
      <c r="J5" s="6" t="n"/>
      <c r="K5" s="6" t="n"/>
      <c r="L5" s="6" t="n"/>
      <c r="M5" s="6" t="n"/>
      <c r="N5" s="6" t="n"/>
      <c r="O5" s="6" t="n"/>
      <c r="P5" s="6" t="n"/>
      <c r="Q5" s="6" t="n"/>
    </row>
    <row r="6">
      <c r="A6" s="6" t="inlineStr">
        <is>
          <t>Counterparty credit risk (CCR)</t>
        </is>
      </c>
      <c r="B6" s="6" t="n">
        <v>4.7</v>
      </c>
      <c r="C6" s="6" t="n">
        <v>4.8</v>
      </c>
      <c r="D6" s="6" t="n">
        <v>20.9</v>
      </c>
      <c r="E6" s="6" t="n">
        <v>37.1</v>
      </c>
      <c r="F6" s="6" t="n">
        <v>0.9</v>
      </c>
      <c r="G6" s="6" t="n">
        <v>0.9</v>
      </c>
      <c r="H6" s="6" t="n"/>
      <c r="I6" s="6" t="n"/>
      <c r="J6" s="6" t="n"/>
      <c r="K6" s="6" t="n"/>
      <c r="L6" s="6" t="n"/>
      <c r="M6" s="6" t="n"/>
      <c r="N6" s="6" t="n"/>
      <c r="O6" s="6" t="n"/>
      <c r="P6" s="6" t="n"/>
      <c r="Q6" s="6" t="n"/>
    </row>
    <row r="7">
      <c r="A7" s="6" t="inlineStr">
        <is>
          <t>Securitisation exposures in the non-trading book</t>
        </is>
      </c>
      <c r="B7" s="6" t="n">
        <v>22.5</v>
      </c>
      <c r="C7" s="6" t="n">
        <v>25.5</v>
      </c>
      <c r="D7" s="6" t="n">
        <v>40</v>
      </c>
      <c r="E7" s="6" t="n">
        <v>22.5</v>
      </c>
      <c r="F7" s="6" t="n">
        <v>29.2</v>
      </c>
      <c r="G7" s="6" t="n">
        <v>23.1</v>
      </c>
      <c r="H7" s="6" t="n"/>
      <c r="I7" s="6" t="n"/>
      <c r="J7" s="6" t="n"/>
      <c r="K7" s="6" t="n"/>
      <c r="L7" s="6" t="n"/>
      <c r="M7" s="6" t="n"/>
      <c r="N7" s="6" t="n"/>
      <c r="O7" s="6" t="n"/>
      <c r="P7" s="6" t="n"/>
      <c r="Q7" s="6" t="n"/>
    </row>
    <row r="8">
      <c r="A8" s="6" t="inlineStr">
        <is>
          <t>Position, foreign exchange and commodities risks (market risk)</t>
        </is>
      </c>
      <c r="B8" s="6" t="n"/>
      <c r="C8" s="6" t="n">
        <v>0</v>
      </c>
      <c r="D8" s="6" t="n">
        <v>0.1</v>
      </c>
      <c r="E8" s="6" t="n">
        <v>1.8</v>
      </c>
      <c r="F8" s="6" t="n">
        <v>0.4</v>
      </c>
      <c r="G8" s="6" t="n">
        <v>0.1</v>
      </c>
      <c r="H8" s="6" t="n"/>
      <c r="I8" s="6" t="n"/>
      <c r="J8" s="6" t="n"/>
      <c r="K8" s="6" t="n"/>
      <c r="L8" s="6" t="n"/>
      <c r="M8" s="6" t="n"/>
      <c r="N8" s="6" t="n"/>
      <c r="O8" s="6" t="n"/>
      <c r="P8" s="6" t="n"/>
      <c r="Q8" s="6" t="n"/>
    </row>
    <row r="9">
      <c r="A9" s="6" t="inlineStr">
        <is>
          <t>Credit valuation adjustment (CVA)</t>
        </is>
      </c>
      <c r="B9" s="6" t="n">
        <v>2.8</v>
      </c>
      <c r="C9" s="6" t="n"/>
      <c r="D9" s="6" t="n"/>
      <c r="E9" s="6" t="n"/>
      <c r="F9" s="6" t="n"/>
      <c r="G9" s="6" t="n"/>
      <c r="H9" s="6" t="n"/>
      <c r="I9" s="6" t="n"/>
      <c r="J9" s="6" t="n"/>
      <c r="K9" s="6" t="n"/>
      <c r="L9" s="6" t="n"/>
      <c r="M9" s="6" t="n"/>
      <c r="N9" s="6" t="n"/>
      <c r="O9" s="6" t="n"/>
      <c r="P9" s="6" t="n"/>
      <c r="Q9" s="6" t="n"/>
    </row>
    <row r="10">
      <c r="A10" s="6" t="inlineStr">
        <is>
          <t>Operational risk</t>
        </is>
      </c>
      <c r="B10" s="6" t="n">
        <v>882.6</v>
      </c>
      <c r="C10" s="6" t="n">
        <v>830.6</v>
      </c>
      <c r="D10" s="6" t="n">
        <v>743.4</v>
      </c>
      <c r="E10" s="6" t="n">
        <v>641.4</v>
      </c>
      <c r="F10" s="6" t="n">
        <v>604.7</v>
      </c>
      <c r="G10" s="6" t="n">
        <v>601.8</v>
      </c>
      <c r="H10" s="6" t="n"/>
      <c r="I10" s="6" t="n"/>
      <c r="J10" s="6" t="n"/>
      <c r="K10" s="6" t="n"/>
      <c r="L10" s="6" t="n"/>
      <c r="M10" s="6" t="n"/>
      <c r="N10" s="6" t="n"/>
      <c r="O10" s="6" t="n"/>
      <c r="P10" s="6" t="n"/>
      <c r="Q10" s="6" t="n"/>
    </row>
    <row r="11">
      <c r="A11" s="5" t="inlineStr">
        <is>
          <t>Total risk-weighted assets (RWA)</t>
        </is>
      </c>
      <c r="B11" s="5" t="n">
        <v>8203.700000000001</v>
      </c>
      <c r="C11" s="5" t="n">
        <v>7271.6</v>
      </c>
      <c r="D11" s="5" t="n">
        <v>6875.6</v>
      </c>
      <c r="E11" s="5" t="n">
        <v>6504.9</v>
      </c>
      <c r="F11" s="5" t="n">
        <v>6260.1</v>
      </c>
      <c r="G11" s="5" t="n">
        <v>5964.1</v>
      </c>
      <c r="H11" s="5" t="n"/>
      <c r="I11" s="5" t="n"/>
      <c r="J11" s="5" t="n"/>
      <c r="K11" s="5" t="n"/>
      <c r="L11" s="5" t="n"/>
      <c r="M11" s="5" t="n"/>
      <c r="N11" s="5" t="n"/>
      <c r="O11" s="5" t="n"/>
      <c r="P11" s="5" t="n"/>
      <c r="Q11" s="5" t="n"/>
    </row>
    <row r="12">
      <c r="A12" s="5" t="inlineStr">
        <is>
          <t>'Total minimum Pillar 1 capital requirement' table — Pillar 3 Disclosures y/e 30 Jun 2020 (Appendix 1, Table 34), y/e 30 Jun 2019 (Appendix 1, Table 34), 31 Dec 2016 (Appendix 1, Table 34) and 31 Dec 2015 (Appendix 1, Table 31), Bank only (FY2020, FY2019, FY2018, FY2016, FY2015, FY2014)</t>
        </is>
      </c>
      <c r="B12" s="6" t="n"/>
      <c r="C12" s="6" t="n"/>
      <c r="D12" s="6" t="n"/>
      <c r="E12" s="6" t="n"/>
      <c r="F12" s="6" t="n"/>
      <c r="G12" s="6" t="n"/>
      <c r="H12" s="6" t="n"/>
      <c r="I12" s="6" t="n"/>
      <c r="J12" s="6" t="n"/>
      <c r="K12" s="6" t="n"/>
      <c r="L12" s="6" t="n"/>
      <c r="M12" s="6" t="n"/>
      <c r="N12" s="6" t="n"/>
      <c r="O12" s="6" t="n"/>
      <c r="P12" s="6" t="n"/>
      <c r="Q12" s="6" t="n"/>
    </row>
    <row r="13">
      <c r="A13" s="6" t="inlineStr">
        <is>
          <t>Credit risk</t>
        </is>
      </c>
      <c r="B13" s="6" t="n"/>
      <c r="C13" s="6" t="n"/>
      <c r="D13" s="6" t="n"/>
      <c r="E13" s="6" t="n"/>
      <c r="F13" s="6" t="n"/>
      <c r="G13" s="6" t="n"/>
      <c r="H13" s="6" t="n">
        <v>5818.3</v>
      </c>
      <c r="I13" s="6" t="n">
        <v>5643.3</v>
      </c>
      <c r="J13" s="6" t="n">
        <v>4950.6</v>
      </c>
      <c r="K13" s="6" t="n"/>
      <c r="L13" s="6" t="n">
        <v>4264.1</v>
      </c>
      <c r="M13" s="6" t="n">
        <v>3480.6</v>
      </c>
      <c r="N13" s="6" t="n">
        <v>2592.5</v>
      </c>
      <c r="O13" s="6" t="n"/>
      <c r="P13" s="6" t="n"/>
      <c r="Q13" s="6" t="n"/>
    </row>
    <row r="14">
      <c r="A14" s="6" t="inlineStr">
        <is>
          <t>Market risk</t>
        </is>
      </c>
      <c r="B14" s="6" t="n"/>
      <c r="C14" s="6" t="n"/>
      <c r="D14" s="6" t="n"/>
      <c r="E14" s="6" t="n"/>
      <c r="F14" s="6" t="n"/>
      <c r="G14" s="6" t="n"/>
      <c r="H14" s="6" t="n">
        <v>0.2</v>
      </c>
      <c r="I14" s="6" t="n">
        <v>0.3</v>
      </c>
      <c r="J14" s="6" t="n">
        <v>0.4</v>
      </c>
      <c r="K14" s="6" t="n"/>
      <c r="L14" s="6" t="n">
        <v>0.2</v>
      </c>
      <c r="M14" s="6" t="n">
        <v>0.1</v>
      </c>
      <c r="N14" s="6" t="n">
        <v>0.3</v>
      </c>
      <c r="O14" s="6" t="n"/>
      <c r="P14" s="6" t="n"/>
      <c r="Q14" s="6" t="n"/>
    </row>
    <row r="15">
      <c r="A15" s="6" t="inlineStr">
        <is>
          <t>Credit valuation adjustment (CVA)</t>
        </is>
      </c>
      <c r="B15" s="6" t="n"/>
      <c r="C15" s="6" t="n"/>
      <c r="D15" s="6" t="n"/>
      <c r="E15" s="6" t="n"/>
      <c r="F15" s="6" t="n"/>
      <c r="G15" s="6" t="n"/>
      <c r="H15" s="6" t="n">
        <v>1.1</v>
      </c>
      <c r="I15" s="6" t="n">
        <v>2.1</v>
      </c>
      <c r="J15" s="6" t="n">
        <v>1</v>
      </c>
      <c r="K15" s="6" t="n"/>
      <c r="L15" s="6" t="n">
        <v>1.2</v>
      </c>
      <c r="M15" s="6" t="n">
        <v>1.3</v>
      </c>
      <c r="N15" s="6" t="n">
        <v>1.6</v>
      </c>
      <c r="O15" s="6" t="n"/>
      <c r="P15" s="6" t="n"/>
      <c r="Q15" s="6" t="n"/>
    </row>
    <row r="16">
      <c r="A16" s="6" t="inlineStr">
        <is>
          <t>Operational risk</t>
        </is>
      </c>
      <c r="B16" s="6" t="n"/>
      <c r="C16" s="6" t="n"/>
      <c r="D16" s="6" t="n"/>
      <c r="E16" s="6" t="n"/>
      <c r="F16" s="6" t="n"/>
      <c r="G16" s="6" t="n"/>
      <c r="H16" s="6" t="n">
        <v>586.7</v>
      </c>
      <c r="I16" s="6" t="n">
        <v>533.3</v>
      </c>
      <c r="J16" s="6" t="n">
        <v>499</v>
      </c>
      <c r="K16" s="6" t="n"/>
      <c r="L16" s="6" t="n">
        <v>307.2</v>
      </c>
      <c r="M16" s="6" t="n">
        <v>205.5</v>
      </c>
      <c r="N16" s="6" t="n">
        <v>125.1</v>
      </c>
      <c r="O16" s="6" t="n"/>
      <c r="P16" s="6" t="n"/>
      <c r="Q16" s="6" t="n"/>
    </row>
    <row r="17">
      <c r="A17" s="5" t="inlineStr">
        <is>
          <t>Total risk-weighted assets (RWA)</t>
        </is>
      </c>
      <c r="B17" s="5" t="n"/>
      <c r="C17" s="5" t="n"/>
      <c r="D17" s="5" t="n"/>
      <c r="E17" s="5" t="n"/>
      <c r="F17" s="5" t="n"/>
      <c r="G17" s="5" t="n"/>
      <c r="H17" s="5" t="n">
        <v>6406.3</v>
      </c>
      <c r="I17" s="5" t="n">
        <v>6179</v>
      </c>
      <c r="J17" s="5" t="n">
        <v>5451</v>
      </c>
      <c r="K17" s="5" t="n"/>
      <c r="L17" s="5" t="n">
        <v>4572.7</v>
      </c>
      <c r="M17" s="5" t="n">
        <v>3687.5</v>
      </c>
      <c r="N17" s="5" t="n">
        <v>2719.5</v>
      </c>
      <c r="O17" s="5" t="n"/>
      <c r="P17" s="5" t="n"/>
      <c r="Q17" s="5" t="n"/>
    </row>
    <row r="18">
      <c r="A18" s="5" t="inlineStr">
        <is>
          <t>Pillar 1 CAPITAL requirement, Basel II editions FY2013, FY2012 and FY2011 (£m of CAPITAL, not RWA — deliberately NOT multiplied by 12.5; do not read down the same column as the RWA rows above)</t>
        </is>
      </c>
      <c r="B18" s="6" t="n"/>
      <c r="C18" s="6" t="n"/>
      <c r="D18" s="6" t="n"/>
      <c r="E18" s="6" t="n"/>
      <c r="F18" s="6" t="n"/>
      <c r="G18" s="6" t="n"/>
      <c r="H18" s="6" t="n"/>
      <c r="I18" s="6" t="n"/>
      <c r="J18" s="6" t="n"/>
      <c r="K18" s="6" t="n"/>
      <c r="L18" s="6" t="n"/>
      <c r="M18" s="6" t="n"/>
      <c r="N18" s="6" t="n"/>
      <c r="O18" s="6" t="n"/>
      <c r="P18" s="6" t="n"/>
      <c r="Q18" s="6" t="n"/>
    </row>
    <row r="19">
      <c r="A19" s="6" t="inlineStr">
        <is>
          <t>Capital requirement — credit risk (standardised, 8% x risk weight, all exposure classes)</t>
        </is>
      </c>
      <c r="B19" s="6" t="n"/>
      <c r="C19" s="6" t="n"/>
      <c r="D19" s="6" t="n"/>
      <c r="E19" s="6" t="n"/>
      <c r="F19" s="6" t="n"/>
      <c r="G19" s="6" t="n"/>
      <c r="H19" s="6" t="n"/>
      <c r="I19" s="6" t="n"/>
      <c r="J19" s="6" t="n"/>
      <c r="K19" s="6" t="n"/>
      <c r="L19" s="6" t="n"/>
      <c r="M19" s="6" t="n"/>
      <c r="N19" s="6" t="n"/>
      <c r="O19" s="6" t="n">
        <v>165</v>
      </c>
      <c r="P19" s="6" t="n">
        <v>110.1</v>
      </c>
      <c r="Q19" s="6" t="n">
        <v>68.09999999999999</v>
      </c>
    </row>
    <row r="20">
      <c r="A20" s="6" t="inlineStr">
        <is>
          <t>Capital requirement — operational risk (basic indicator approach)</t>
        </is>
      </c>
      <c r="B20" s="6" t="n"/>
      <c r="C20" s="6" t="n"/>
      <c r="D20" s="6" t="n"/>
      <c r="E20" s="6" t="n"/>
      <c r="F20" s="6" t="n"/>
      <c r="G20" s="6" t="n"/>
      <c r="H20" s="6" t="n"/>
      <c r="I20" s="6" t="n"/>
      <c r="J20" s="6" t="n"/>
      <c r="K20" s="6" t="n"/>
      <c r="L20" s="6" t="n"/>
      <c r="M20" s="6" t="n"/>
      <c r="N20" s="6" t="n"/>
      <c r="O20" s="6" t="n">
        <v>6.5</v>
      </c>
      <c r="P20" s="6" t="n">
        <v>3.8</v>
      </c>
      <c r="Q20" s="6" t="n">
        <v>1.9</v>
      </c>
    </row>
    <row r="21">
      <c r="A21" s="6" t="inlineStr">
        <is>
          <t>Memo: total credit risk exposure value after provisions, incl. off-balance-sheet (£m — an exposure measure, not an RWA)</t>
        </is>
      </c>
      <c r="B21" s="6" t="n"/>
      <c r="C21" s="6" t="n"/>
      <c r="D21" s="6" t="n"/>
      <c r="E21" s="6" t="n"/>
      <c r="F21" s="6" t="n"/>
      <c r="G21" s="6" t="n"/>
      <c r="H21" s="6" t="n"/>
      <c r="I21" s="6" t="n"/>
      <c r="J21" s="6" t="n"/>
      <c r="K21" s="6" t="n"/>
      <c r="L21" s="6" t="n"/>
      <c r="M21" s="6" t="n"/>
      <c r="N21" s="6" t="n"/>
      <c r="O21" s="6" t="n">
        <v>4746.6</v>
      </c>
      <c r="P21" s="6" t="n">
        <v>2844.6</v>
      </c>
      <c r="Q21" s="6" t="n">
        <v>1647.4</v>
      </c>
    </row>
    <row r="22">
      <c r="A22" s="5" t="inlineStr">
        <is>
          <t>FY2017 — no 31 December 2017 reporting date exists (18-month transition period to 30 June 2018); the FY2018 column covers 1 Jan 2017 to 30 Jun 2018</t>
        </is>
      </c>
      <c r="B22" s="6" t="n"/>
      <c r="C22" s="6" t="n"/>
      <c r="D22" s="6" t="n"/>
      <c r="E22" s="6" t="n"/>
      <c r="F22" s="6" t="n"/>
      <c r="G22" s="6" t="n"/>
      <c r="H22" s="6" t="n"/>
      <c r="I22" s="6" t="n"/>
      <c r="J22" s="6" t="n"/>
      <c r="K22" s="6" t="n"/>
      <c r="L22" s="6" t="n"/>
      <c r="M22" s="6" t="n"/>
      <c r="N22" s="6" t="n"/>
      <c r="O22" s="6" t="n"/>
      <c r="P22" s="6" t="n"/>
      <c r="Q22" s="6" t="n"/>
    </row>
    <row r="23">
      <c r="A23" s="6" t="inlineStr">
        <is>
          <t>Total risk-weighted assets (RWA)</t>
        </is>
      </c>
      <c r="B23" s="6" t="n"/>
      <c r="C23" s="6" t="n"/>
      <c r="D23" s="6" t="n"/>
      <c r="E23" s="6" t="n"/>
      <c r="F23" s="6" t="n"/>
      <c r="G23" s="6" t="n"/>
      <c r="H23" s="6" t="n"/>
      <c r="I23" s="6" t="n"/>
      <c r="J23" s="6" t="n"/>
      <c r="K23" s="6" t="inlineStr">
        <is>
          <t>No 31 Dec 2017 period exists (18-month transition)</t>
        </is>
      </c>
      <c r="L23" s="6" t="n"/>
      <c r="M23" s="6" t="n"/>
      <c r="N23" s="6" t="n"/>
      <c r="O23" s="6" t="n"/>
      <c r="P23" s="6" t="n"/>
      <c r="Q23" s="6" t="n"/>
    </row>
    <row r="25" ht="140" customHeight="1">
      <c r="A25" s="8" t="inlineStr">
        <is>
          <t>Sources — Aldermore Bank PLC solo figures from the 'Overview of RWA' / 'Total minimum Pillar 1 capital requirement' table, Aldermore Group PLC Pillar 3 Disclosures:
FY2026: Pillar 3 Report for the year ended 30 June 2026, p.8 (UK OV1 — Overview of risk-weighted exposure amounts, Bank column a, 30-Jun-26) — https://www.aldermore.co.uk/media/0wylhhas/pillar-3-fy-2026-aldermore-group.pdf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FY2020: Pillar 3 Disclosures for the year ended 30 June 2020, p.61 (Appendix 1, Table 34 — Total minimum Pillar 1 capital requirement, Bank only) — https://www.aldermore.co.uk/media/axcpvnoo/aldermore-group-plc-pillar-3-disclosures-year-ended-30-june-2020_1.pdf
FY2019 &amp; FY2018: Pillar 3 Disclosures for the year ended 30 June 2019, p.57 (Appendix 1, Table 34 — Total minimum Pillar 1 capital requirement, Bank only) — https://www.aldermore.co.uk/media/2prbumkj/aldermore-group-plc-pillar-3-disclosure-document-at-30-june-2019.pdf
FY2016: Pillar 3 Disclosures 31 December 2016, p.58 (Appendix 1, Table 34 — Total minimum Pillar 1 capital requirement, Bank only) — https://web.archive.org/web/2023id_/https://www.investors.aldermore.co.uk/system/files/uploads/financialdocs/pillar_3_disclosures.pdf
FY2015 &amp; FY2014: Pillar 3 Disclosures 31 December 2015, p.58 (Appendix 1, Table 31 — Total minimum Pillar 1 capital requirement, Bank only) — https://www.aldermore.co.uk/media/ot5axgnp/pillar-3-disclosure-dec-2015.pdf
FY2012 (CAPITAL requirement rows only, not RWA): Aldermore Bank PLC — Pillar 3 Disclosures 31 December 2012, p.11 (Credit Risk Exposures, 'Pillar 1 Capital (8% x Risk Weight)' column) and p.18 (operational risk charge) — https://web.archive.org/web/2023id_/https://www.investors.aldermore.co.uk/system/files/uploads/financialdocs/pillar_3_disclosure_2012_0.pdf
FY2013 (CAPITAL requirement rows only, not RWA): Aldermore Bank PLC — Pillar 3 Disclosures 31 December 2013, p.11 (Credit risk exposure by exposure class, 'Pillar 1 Capital (8% x Risk Weight)' column) and Section 9 (operational risk charge) — https://web.archive.org/web/20230811224731id_/https://www.investors.aldermore.co.uk/system/files/uploads/financialdocs/pillar_3_disclosure_2013_0.pdf
FY2011 (CAPITAL requirement rows only, not RWA): Aldermore Bank Plc — Pillar 3 Disclosures December 31 2011, p.12 (Credit risk exposure by exposure class) and Section 9 (operational risk charge) — https://web.archive.org/web/20230810043035id_/https://www.investors.aldermore.co.uk/system/files/uploads/financialdocs/pillar_3_disclosure_2011_0.pdf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THE TWO TEMPLATES ARE SHOWN AS SEPARATE SECTIONS, each with its own rows and its own total, so no row carries figures from both: the category sets differ, and a row read straight across would change meaning partway along. Nothing is merged, re-labelled or estimated across the break — the '(excluding CCR)' qualifier in particular belongs only to the UK OV1 block, because the older table draws no such distinction. FY2016 AND FY2020 WERE ADDED TO THE OLDER TABLE'S SECTION ON 2026-09-18, replacing the previous claim that they 'have no RWA breakdown at all (no standalone Pillar 3 document survives)'. Both editions exist and both print the Bank-only version of exactly that table — see the Pillar 3 recovery note in the sources. FY2012 was added to the Basel II capital-requirement section for the same reason. This sheet's Total row ties out exactly to the Total RWAs sheet for every year with data.
FY2026: the UK OV1 template in the FY2026 report has no market-risk row at all, so that row is left blank for FY2026 rather than written as zero. FY2026 rows sum exactly to the 8,203.7 total (7,291.1 + 4.7 + 2.8 + 22.5 + 882.6), which ties to UK KM1 row 4. Note the FY2026 report re-presents the FY2025 comparative differently from the FY2025 report itself: it splits out CVA of 5.6 and shows credit risk (excluding CCR) of 6,405.2 and operational risk of 830.5, where the FY2025 own-year document reported credit risk of 6,410.7 with no separate Bank-solo CVA line and operational risk of 830.6. Both presentations total 7,271.6. The FY2025 column on this sheet is left as each year's own-year disclosure, consistent with every other year here, rather than restated to the later document's split. The FY2026 report also notes that IFRS 9 transitional arrangements under CRR Article 473a expired in June 2025, so FY2025 credit risk includes £11.3m of IFRS 9 transitional risk exposure that FY2026 does not.
FY2013 AND FY2011 HAVE NO RWA ROWS AT ALL, AND THE BLOCK AT THE FOOT OF THIS SHEET IS NOT RWA. The two recovered Basel II editions (31 December 2013 and 31 December 2011) never disclose a risk-weighted-asset amount — not by category and not in total. What they publish is the Pillar 1 CAPITAL requirement by exposure class, headed 'Pillar 1 Capital (8% x Risk Weight)'. Those figures are transcribed exactly as disclosed, in £m of capital, on their own clearly labelled rows beneath the RWA block, and are NOT converted to RWA by the 12.5 scalar, because the resulting total would be a number neither document states. FY2013's credit-risk total of £165.0m is the sum printed at the foot of that table (£165,031k across government/central banks nil, regional governments 72, MDBs nil, institutions 3,582, corporates 8,907, retail 50,354, secured on residential property 56,083, secured on commercial real estate 38,322, past due items 2,490, securitisation positions 1,224, other items 3,997); FY2011's is likewise the printed £68,091k total. The operational-risk rows are each document's own basic-indicator charge stated in its operational risk section (£6.5m for 2013, £1.9m for 2011). The memo exposure row is the printed total exposure value net of provisions including off-balance-sheet items, which is an exposure measure and emphatically not an RWA — for FY2013 it is £4,746.6m against a £4,194.3m statutory balance sheet, the difference being commitments and guarantees. FY2012 is blank throughout: no 2012 edition exists in the archive and neither adjacent edition carries a comparative column.</t>
        </is>
      </c>
    </row>
  </sheetData>
  <mergeCells count="1">
    <mergeCell ref="A25:Q2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Leverage Ratio</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exposure measure excluding claims on central banks (£m)</t>
        </is>
      </c>
      <c r="B4" s="6" t="n">
        <v>16715.1</v>
      </c>
      <c r="C4" s="6" t="n">
        <v>15674.3</v>
      </c>
      <c r="D4" s="6" t="n">
        <v>14337.2</v>
      </c>
      <c r="E4" s="6" t="n">
        <v>13609.6</v>
      </c>
      <c r="F4" s="6" t="n">
        <v>13850.3</v>
      </c>
      <c r="G4" s="6" t="n">
        <v>13424.8</v>
      </c>
      <c r="H4" s="6" t="n">
        <v>15132.5</v>
      </c>
      <c r="I4" s="6" t="n">
        <v>12671.6</v>
      </c>
      <c r="J4" s="6" t="n">
        <v>10585.1</v>
      </c>
      <c r="K4" s="6" t="inlineStr">
        <is>
          <t>No 31 Dec 2017 period exists (18-month transition)</t>
        </is>
      </c>
      <c r="L4" s="6" t="n">
        <v>8562.9</v>
      </c>
      <c r="M4" s="6" t="n">
        <v>7095.9</v>
      </c>
      <c r="N4" s="6" t="n">
        <v>5630.4</v>
      </c>
      <c r="O4" s="6" t="inlineStr">
        <is>
          <t>Not published – FY2013 Pillar 3 (Basel II, 22pp) contains no leverage ratio or exposure measure (text searched 2026-09-19)</t>
        </is>
      </c>
      <c r="P4" s="6" t="inlineStr">
        <is>
          <t>Not published – FY2012 Pillar 3 (Basel II, 20pp) contains no leverage ratio or exposure measure (text searched 2026-09-19)</t>
        </is>
      </c>
      <c r="Q4" s="6" t="inlineStr">
        <is>
          <t>Not published – FY2011 Pillar 3 (Basel II, 23pp) contains no leverage ratio or exposure measure (text searched 2026-09-19)</t>
        </is>
      </c>
    </row>
    <row r="5">
      <c r="A5" s="6" t="inlineStr">
        <is>
          <t>Leverage ratio excluding claims on central banks (%)</t>
        </is>
      </c>
      <c r="B5" s="6" t="inlineStr">
        <is>
          <t>9.0%</t>
        </is>
      </c>
      <c r="C5" s="6" t="inlineStr">
        <is>
          <t>8.9%</t>
        </is>
      </c>
      <c r="D5" s="6" t="inlineStr">
        <is>
          <t>9.6%</t>
        </is>
      </c>
      <c r="E5" s="6" t="inlineStr">
        <is>
          <t>9.3%</t>
        </is>
      </c>
      <c r="F5" s="6" t="inlineStr">
        <is>
          <t>8.1%</t>
        </is>
      </c>
      <c r="G5" s="6" t="inlineStr">
        <is>
          <t>7.5%</t>
        </is>
      </c>
      <c r="H5" s="6" t="inlineStr">
        <is>
          <t>6.1%</t>
        </is>
      </c>
      <c r="I5" s="6" t="inlineStr">
        <is>
          <t>6.8%</t>
        </is>
      </c>
      <c r="J5" s="6" t="inlineStr">
        <is>
          <t>7.1%</t>
        </is>
      </c>
      <c r="K5" s="6" t="inlineStr">
        <is>
          <t>No 31 Dec 2017 period exists (18-month transition)</t>
        </is>
      </c>
      <c r="L5" s="6" t="inlineStr">
        <is>
          <t>7.0%</t>
        </is>
      </c>
      <c r="M5" s="6" t="inlineStr">
        <is>
          <t>7.2%</t>
        </is>
      </c>
      <c r="N5" s="6" t="inlineStr">
        <is>
          <t>6.3%</t>
        </is>
      </c>
      <c r="O5" s="6" t="inlineStr">
        <is>
          <t>Not published – FY2013 Pillar 3 (Basel II, 22pp) contains no leverage ratio or exposure measure (text searched 2026-09-19)</t>
        </is>
      </c>
      <c r="P5" s="6" t="inlineStr">
        <is>
          <t>Not published – FY2012 Pillar 3 (Basel II, 20pp) contains no leverage ratio or exposure measure (text searched 2026-09-19)</t>
        </is>
      </c>
      <c r="Q5" s="6" t="inlineStr">
        <is>
          <t>Not published – FY2011 Pillar 3 (Basel II, 23pp) contains no leverage ratio or exposure measure (text searched 2026-09-19)</t>
        </is>
      </c>
    </row>
    <row r="6" ht="60" customHeight="1">
      <c r="A6" s="7" t="inlineStr">
        <is>
          <t>Note: FY2020 (exposure 15,132.5, ratio 6.1%) and FY2016 (exposure 8,562.9, ratio 7.0%) ADDED 2026-09-18 from row 21/row 22 of the 'Leverage ratio common disclosure (Bank only)' table of each year's own recovered Pillar 3 edition (FY2020 p.65, FY2016 p.62). Both are on the same pre-2022 all-exposures basis as the FY2019/FY2018/FY2015/FY2014 figures beside them, not the 'excluding claims on central banks' variant the row label carries for FY2022 onward — see the basis paragraph below. Note that the summary reconciliation table on the facing page of each edition gives a slightly different exposure (FY2020 15,132.5 both ways; FY2016 8,591.4 on the reconciliation against 8,562.9 on the common-disclosure template, a £28.5m difference inside one document); the common-disclosure row 21 figure is used, being the one the printed ratio is struck on. See the Pillar 3 recovery note in the sources.
FY2021 (exposure 13,424.8, ratio 7.5%) ADDED 2026-09-19 (GA-020) from rows 21/22 of Table 39 'Leverage ratio common disclosure (Bank only)', p.67-68 of Aldermore Group PLC's Pillar 3 Disclosures for the year ended 30 June 2021 (https://www.aldermore.co.uk/media/ahbpvlih/aldermore_group_plc_pillar_3_2021.pdf), read off the page image. Validation: that table's 30 June 2020 comparative (15,132.5 / 6.1%) reproduces this sheet's FY2020 column and its Tier 1 of 1,008.0 reproduces the Tier 1 sheet's FY2021 figure. This column had previously read 'n/a' because the FY2022 edition prints n/a for its FY2021 comparatives under the new 1 January 2022 template — but FY2021's own edition, which this workbook had not used, carries the Bank figure on the same pre-2022 all-exposures basis as FY2020.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and the same applies to the newly added FY2016 and FY2020 — the previous version of this note said those two years 'have no leverage ratio figure at all (no standalone Pillar 3 document survives for either year)', which was wrong on both counts. FY2013, FY2012 and FY2011 are 'n/a' for a structural reason rather than a sourcing one: no leverage ratio existed as a UK regulatory measure or disclosure at 31 December 2011 or 31 December 2013 (the CRR leverage ratio arrived with CRD IV from 2014), and none of the three recovered Basel II editions (FY2011, FY2012, FY2013) contains one in any form (each text-searched again 2026-09-19).
RESTATEMENT: the FY2026 Pillar 3 report restates the Bank's 30-Jun-25 total exposure measure as £15,526.0m, where the FY2025 report itself disclosed £15,674.3m for that same period (a £148.3m reduction). The FY2025 column here is left at the £15,674.3m originally disclosed, consistent with how every other year on this sheet is presented on its own-year basis; the restated figure is recorded here rather than substituted. The leverage ratio rounds to 8.9% on either basis, so only the exposure-measure row is affected.</t>
        </is>
      </c>
    </row>
    <row r="8" ht="110" customHeight="1">
      <c r="A8"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8:Q8"/>
    <mergeCell ref="A6:Q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LCR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high-quality liquid assets (HQLA), weighted value average (£m)</t>
        </is>
      </c>
      <c r="B4" s="6" t="n">
        <v>3725.9</v>
      </c>
      <c r="C4" s="6" t="n">
        <v>3723.1</v>
      </c>
      <c r="D4" s="6" t="n">
        <v>4208.6</v>
      </c>
      <c r="E4" s="6" t="n">
        <v>3280.6</v>
      </c>
      <c r="F4" s="6" t="n">
        <v>2838.5</v>
      </c>
      <c r="G4" s="6" t="inlineStr">
        <is>
          <t>Not published – no Bank-solo HQLA in FY2021 Pillar 3 (30 Jun 21); Bank-only appendix has none. Group-level figure only (Table 24 p.49)</t>
        </is>
      </c>
      <c r="H4" s="6" t="inlineStr">
        <is>
          <t>Not published – no Bank-solo HQLA in FY2020 Pillar 3; Bank-only appendix has none. Group-level figure only (Table 24 p.47)</t>
        </is>
      </c>
      <c r="I4" s="6" t="inlineStr">
        <is>
          <t>Not published – no Bank-solo HQLA in FY2019 Pillar 3; Bank-only appendix has none. Group-level figure only (Table 24 p.45)</t>
        </is>
      </c>
      <c r="J4" s="6" t="inlineStr">
        <is>
          <t>Not published – no Bank-solo HQLA in FY2019 Pillar 3 (30 Jun 18 comparative); Bank-only appendix has none. Group-level figure only (p.45)</t>
        </is>
      </c>
      <c r="K4" s="6" t="inlineStr">
        <is>
          <t>No 31 Dec 2017 period exists (18-month transition)</t>
        </is>
      </c>
      <c r="L4" s="6" t="inlineStr">
        <is>
          <t>Not published – no Bank-solo HQLA in FY2016 Pillar 3; Bank-only appendix has none. Group-level figure only (p.40)</t>
        </is>
      </c>
      <c r="M4" s="6" t="inlineStr">
        <is>
          <t>Not published – no Bank-solo HQLA in FY2015 Pillar 3; Bank-only appendix has none. Group-level figure only (p.39)</t>
        </is>
      </c>
      <c r="N4" s="6" t="inlineStr">
        <is>
          <t>Not published – no Bank-solo HQLA in FY2015 Pillar 3 (31 Dec 14 comparative); Bank-only appendix has none. Group-level figure only (p.39)</t>
        </is>
      </c>
      <c r="O4" s="6" t="inlineStr">
        <is>
          <t>Not published – FY2013 Pillar 3 (Basel II, 22pp) contains no HQLA; the LCR did not yet exist (text searched 2026-09-19)</t>
        </is>
      </c>
      <c r="P4" s="6" t="inlineStr">
        <is>
          <t>Not published – FY2012 Pillar 3 (Basel II, 20pp) contains no HQLA; the LCR did not yet exist (text searched 2026-09-19)</t>
        </is>
      </c>
      <c r="Q4" s="6" t="inlineStr">
        <is>
          <t>Not published – FY2011 Pillar 3 (Basel II, 23pp) contains no HQLA; the LCR did not yet exist (text searched 2026-09-19)</t>
        </is>
      </c>
    </row>
    <row r="5">
      <c r="A5" s="6" t="inlineStr">
        <is>
          <t>Total net cash outflows, adjusted value (£m)</t>
        </is>
      </c>
      <c r="B5" s="6" t="n">
        <v>2263.1</v>
      </c>
      <c r="C5" s="6" t="n">
        <v>1968.3</v>
      </c>
      <c r="D5" s="6" t="n">
        <v>1959.4</v>
      </c>
      <c r="E5" s="6" t="n">
        <v>1686.4</v>
      </c>
      <c r="F5" s="6" t="n">
        <v>772.6</v>
      </c>
      <c r="G5" s="6" t="inlineStr">
        <is>
          <t>Not published – no Bank-solo net cash outflows in FY2021 Pillar 3 (30 Jun 21); Bank-only appendix has none. Group-level figure only (Table 24 p.49)</t>
        </is>
      </c>
      <c r="H5" s="6" t="inlineStr">
        <is>
          <t>Not published – no Bank-solo net cash outflows in FY2020 Pillar 3; Bank-only appendix has none. Group-level figure only (Table 24 p.47)</t>
        </is>
      </c>
      <c r="I5" s="6" t="inlineStr">
        <is>
          <t>Not published – no Bank-solo net cash outflows in FY2019 Pillar 3; Bank-only appendix has none. Group-level figure only (Table 24 p.45)</t>
        </is>
      </c>
      <c r="J5" s="6" t="inlineStr">
        <is>
          <t>Not published – no Bank-solo net cash outflows in FY2019 Pillar 3 (30 Jun 18 comparative); Bank-only appendix has none. Group-level figure only (p.45)</t>
        </is>
      </c>
      <c r="K5" s="6" t="inlineStr">
        <is>
          <t>No 31 Dec 2017 period exists (18-month transition)</t>
        </is>
      </c>
      <c r="L5" s="6" t="inlineStr">
        <is>
          <t>Not published – no Bank-solo net cash outflows in FY2016 Pillar 3; Bank-only appendix has none. Group-level figure only (p.40)</t>
        </is>
      </c>
      <c r="M5" s="6" t="inlineStr">
        <is>
          <t>Not published – no Bank-solo net cash outflows in FY2015 Pillar 3; Bank-only appendix has none. Group-level figure only (p.39)</t>
        </is>
      </c>
      <c r="N5" s="6" t="inlineStr">
        <is>
          <t>Not published – no Bank-solo net cash outflows in FY2015 Pillar 3 (31 Dec 14 comparative); Bank-only appendix has none. Group-level figure only (p.39)</t>
        </is>
      </c>
      <c r="O5" s="6" t="inlineStr">
        <is>
          <t>Not published – FY2013 Pillar 3 (Basel II, 22pp) contains no net cash outflows; the LCR did not yet exist (text searched 2026-09-19)</t>
        </is>
      </c>
      <c r="P5" s="6" t="inlineStr">
        <is>
          <t>Not published – FY2012 Pillar 3 (Basel II, 20pp) contains no net cash outflows; the LCR did not yet exist (text searched 2026-09-19)</t>
        </is>
      </c>
      <c r="Q5" s="6" t="inlineStr">
        <is>
          <t>Not published – FY2011 Pillar 3 (Basel II, 23pp) contains no net cash outflows; the LCR did not yet exist (text searched 2026-09-19)</t>
        </is>
      </c>
    </row>
    <row r="6">
      <c r="A6" s="6" t="inlineStr">
        <is>
          <t>Liquidity Coverage Ratio (%)</t>
        </is>
      </c>
      <c r="B6" s="6" t="inlineStr">
        <is>
          <t>164.6%</t>
        </is>
      </c>
      <c r="C6" s="6" t="inlineStr">
        <is>
          <t>189.2%</t>
        </is>
      </c>
      <c r="D6" s="6" t="inlineStr">
        <is>
          <t>214.8%</t>
        </is>
      </c>
      <c r="E6" s="6" t="inlineStr">
        <is>
          <t>194.5%</t>
        </is>
      </c>
      <c r="F6" s="6" t="inlineStr">
        <is>
          <t>367.4%</t>
        </is>
      </c>
      <c r="G6" s="6" t="inlineStr">
        <is>
          <t>Not published – no Bank-solo LCR in FY2021 Pillar 3 (30 Jun 21); Bank-only appendix has none. Group-level figure only (Table 24 p.49)</t>
        </is>
      </c>
      <c r="H6" s="6" t="inlineStr">
        <is>
          <t>Not published – no Bank-solo LCR in FY2020 Pillar 3; Bank-only appendix has none. Group-level figure only (Table 24 p.47)</t>
        </is>
      </c>
      <c r="I6" s="6" t="inlineStr">
        <is>
          <t>Not published – no Bank-solo LCR in FY2019 Pillar 3; Bank-only appendix has none. Group-level figure only (Table 24 p.45)</t>
        </is>
      </c>
      <c r="J6" s="6" t="inlineStr">
        <is>
          <t>Not published – no Bank-solo LCR in FY2019 Pillar 3 (30 Jun 18 comparative); Bank-only appendix has none. Group-level figure only (p.45)</t>
        </is>
      </c>
      <c r="K6" s="6" t="inlineStr">
        <is>
          <t>No 31 Dec 2017 period exists (18-month transition)</t>
        </is>
      </c>
      <c r="L6" s="6" t="inlineStr">
        <is>
          <t>Not published – no Bank-solo LCR in FY2016 Pillar 3; Bank-only appendix has none. Group-level figure only (p.40)</t>
        </is>
      </c>
      <c r="M6" s="6" t="inlineStr">
        <is>
          <t>Not published – no Bank-solo LCR in FY2015 Pillar 3; Bank-only appendix has none. Group-level figure only (p.39)</t>
        </is>
      </c>
      <c r="N6" s="6" t="inlineStr">
        <is>
          <t>Not published – no Bank-solo LCR in FY2015 Pillar 3 (31 Dec 14 comparative); Bank-only appendix has none. Group-level figure only (p.39)</t>
        </is>
      </c>
      <c r="O6" s="6" t="inlineStr">
        <is>
          <t>Not published – FY2013 Pillar 3 (Basel II, 22pp) contains no LCR; the LCR did not yet exist (text searched 2026-09-19)</t>
        </is>
      </c>
      <c r="P6" s="6" t="inlineStr">
        <is>
          <t>Not published – FY2012 Pillar 3 (Basel II, 20pp) contains no LCR; the LCR did not yet exist (text searched 2026-09-19)</t>
        </is>
      </c>
      <c r="Q6" s="6" t="inlineStr">
        <is>
          <t>Not published – FY2011 Pillar 3 (Basel II, 23pp) contains no LCR; the LCR did not yet exist (text searched 2026-09-19)</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 — re-checked 2026-09-18 against the FY2016 and FY2020 editions recovered that day, which is worth stating explicitly: those two documents DO exist and DO carry a full Bank-only appendix, and they still print no LCR, so 'n/a' for FY2016 and FY2020 is now a statement about the disclosure rather than about our reach). FY2017 reads 'No 31 Dec 2017 period exists' rather than 'n/a' because nothing could have been disclosed at that date at all. FY2013 and FY2011 are 'n/a' on firmer ground still: the LCR did not exist as a UK requirement or disclosure at either date (it was introduced by CRD IV/CRR and phased in from October 2015), and neither recovered Basel II edition contains any liquidity ratio - each describes liquidity risk narratively and by the then-applicable ILAA/liquid asset buffer framework instead; the FY2012 edition (cited on the capital sheets) likewise has none.
GA-020 (2026-09-19): the FY2014-FY2021 cells now say WHY they are empty. Every one of those editions DOES print an LCR — but for the GROUP only: narrative LCR in the FY2015 (p.39, with the 31 Dec 2014 comparative) and FY2016 (p.40) editions, and the Group 'Quantitative LCR information' template (Table 24, with Group HQLA and net outflows) in the FY2019 (p.45, with the 30 Jun 2018 comparative), FY2020 (p.47) and FY2021 (p.49) editions. The FY2021 edition, not previously used by this workbook, was fetched from https://www.aldermore.co.uk/media/ahbpvlih/aldermore_group_plc_pillar_3_2021.pdf. None of the Bank-only appendices prints a liquidity metric, and the FY2022 edition's KM1 shows the Group and Bank LCRs differ (399.7% vs 367.4%), so a Group figure is NOT substituted into this Bank-solo sheet.</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NSFR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available stable funding (£m)</t>
        </is>
      </c>
      <c r="B4" s="6" t="n">
        <v>16701.9</v>
      </c>
      <c r="C4" s="6" t="n">
        <v>15972.4</v>
      </c>
      <c r="D4" s="6" t="n">
        <v>16133.4</v>
      </c>
      <c r="E4" s="6" t="n">
        <v>15490.2</v>
      </c>
      <c r="F4" s="6" t="n">
        <v>15667.6</v>
      </c>
      <c r="G4" s="6" t="inlineStr">
        <is>
          <t>Not published – no Bank-solo available stable funding in FY2021 Pillar 3 (30 Jun 21); Bank-only appendix has none. Group NSFR ratio only, narrative (p.49)</t>
        </is>
      </c>
      <c r="H4" s="6" t="inlineStr">
        <is>
          <t>Not published – no Bank-solo available stable funding in FY2020 Pillar 3; Bank-only appendix has none. Group NSFR ratio only, narrative (p.47)</t>
        </is>
      </c>
      <c r="I4" s="6" t="inlineStr">
        <is>
          <t>Not published – no Bank-solo available stable funding in FY2019 Pillar 3; Bank-only appendix has none. Group NSFR ratio only, narrative (p.46)</t>
        </is>
      </c>
      <c r="J4" s="6" t="inlineStr">
        <is>
          <t>Not published – no Bank-solo available stable funding in FY2019 Pillar 3 (30 Jun 18 comparative); Bank-only appendix has none. Group NSFR ratio only, narrative (p.46)</t>
        </is>
      </c>
      <c r="K4" s="6" t="inlineStr">
        <is>
          <t>No 31 Dec 2017 period exists (18-month transition)</t>
        </is>
      </c>
      <c r="L4" s="6" t="inlineStr">
        <is>
          <t>Not published – no Bank-solo available stable funding in FY2016 Pillar 3; Bank-only appendix has none. Group NSFR ratio only, narrative (p.40)</t>
        </is>
      </c>
      <c r="M4" s="6" t="inlineStr">
        <is>
          <t>Not published – no Bank-solo available stable funding in FY2015 Pillar 3; Bank-only appendix has none. Group NSFR ratio only, narrative (p.39)</t>
        </is>
      </c>
      <c r="N4" s="6" t="inlineStr">
        <is>
          <t>Not published – no Bank-solo available stable funding in FY2015 Pillar 3 (31 Dec 14 comparative); Bank-only appendix has none. Group NSFR ratio only, narrative (p.39)</t>
        </is>
      </c>
      <c r="O4" s="6" t="inlineStr">
        <is>
          <t>Not published – FY2013 Pillar 3 (Basel II, 22pp) contains no available stable funding (text searched 2026-09-19)</t>
        </is>
      </c>
      <c r="P4" s="6" t="inlineStr">
        <is>
          <t>Not published – FY2012 Pillar 3 (Basel II, 20pp) contains no available stable funding (text searched 2026-09-19)</t>
        </is>
      </c>
      <c r="Q4" s="6" t="inlineStr">
        <is>
          <t>Not published – FY2011 Pillar 3 (Basel II, 23pp) contains no available stable funding (text searched 2026-09-19)</t>
        </is>
      </c>
    </row>
    <row r="5">
      <c r="A5" s="6" t="inlineStr">
        <is>
          <t>Total required stable funding (£m)</t>
        </is>
      </c>
      <c r="B5" s="6" t="n">
        <v>13318.4</v>
      </c>
      <c r="C5" s="6" t="n">
        <v>12166.9</v>
      </c>
      <c r="D5" s="6" t="n">
        <v>11778</v>
      </c>
      <c r="E5" s="6" t="n">
        <v>12161.3</v>
      </c>
      <c r="F5" s="6" t="n">
        <v>12169.6</v>
      </c>
      <c r="G5" s="6" t="inlineStr">
        <is>
          <t>Not published – no Bank-solo required stable funding in FY2021 Pillar 3 (30 Jun 21); Bank-only appendix has none. Group NSFR ratio only, narrative (p.49)</t>
        </is>
      </c>
      <c r="H5" s="6" t="inlineStr">
        <is>
          <t>Not published – no Bank-solo required stable funding in FY2020 Pillar 3; Bank-only appendix has none. Group NSFR ratio only, narrative (p.47)</t>
        </is>
      </c>
      <c r="I5" s="6" t="inlineStr">
        <is>
          <t>Not published – no Bank-solo required stable funding in FY2019 Pillar 3; Bank-only appendix has none. Group NSFR ratio only, narrative (p.46)</t>
        </is>
      </c>
      <c r="J5" s="6" t="inlineStr">
        <is>
          <t>Not published – no Bank-solo required stable funding in FY2019 Pillar 3 (30 Jun 18 comparative); Bank-only appendix has none. Group NSFR ratio only, narrative (p.46)</t>
        </is>
      </c>
      <c r="K5" s="6" t="inlineStr">
        <is>
          <t>No 31 Dec 2017 period exists (18-month transition)</t>
        </is>
      </c>
      <c r="L5" s="6" t="inlineStr">
        <is>
          <t>Not published – no Bank-solo required stable funding in FY2016 Pillar 3; Bank-only appendix has none. Group NSFR ratio only, narrative (p.40)</t>
        </is>
      </c>
      <c r="M5" s="6" t="inlineStr">
        <is>
          <t>Not published – no Bank-solo required stable funding in FY2015 Pillar 3; Bank-only appendix has none. Group NSFR ratio only, narrative (p.39)</t>
        </is>
      </c>
      <c r="N5" s="6" t="inlineStr">
        <is>
          <t>Not published – no Bank-solo required stable funding in FY2015 Pillar 3 (31 Dec 14 comparative); Bank-only appendix has none. Group NSFR ratio only, narrative (p.39)</t>
        </is>
      </c>
      <c r="O5" s="6" t="inlineStr">
        <is>
          <t>Not published – FY2013 Pillar 3 (Basel II, 22pp) contains no required stable funding (text searched 2026-09-19)</t>
        </is>
      </c>
      <c r="P5" s="6" t="inlineStr">
        <is>
          <t>Not published – FY2012 Pillar 3 (Basel II, 20pp) contains no required stable funding (text searched 2026-09-19)</t>
        </is>
      </c>
      <c r="Q5" s="6" t="inlineStr">
        <is>
          <t>Not published – FY2011 Pillar 3 (Basel II, 23pp) contains no required stable funding (text searched 2026-09-19)</t>
        </is>
      </c>
    </row>
    <row r="6">
      <c r="A6" s="6" t="inlineStr">
        <is>
          <t>Net Stable Funding Ratio (%)</t>
        </is>
      </c>
      <c r="B6" s="6" t="inlineStr">
        <is>
          <t>125.4%</t>
        </is>
      </c>
      <c r="C6" s="6" t="inlineStr">
        <is>
          <t>131.3%</t>
        </is>
      </c>
      <c r="D6" s="6" t="inlineStr">
        <is>
          <t>137.0%</t>
        </is>
      </c>
      <c r="E6" s="6" t="inlineStr">
        <is>
          <t>127.4%</t>
        </is>
      </c>
      <c r="F6" s="6" t="inlineStr">
        <is>
          <t>128.7%</t>
        </is>
      </c>
      <c r="G6" s="6" t="inlineStr">
        <is>
          <t>Not published – no Bank-solo NSFR in FY2021 Pillar 3 (30 Jun 21); Bank-only appendix has none. Group NSFR ratio only, narrative (p.49)</t>
        </is>
      </c>
      <c r="H6" s="6" t="inlineStr">
        <is>
          <t>Not published – no Bank-solo NSFR in FY2020 Pillar 3; Bank-only appendix has none. Group NSFR ratio only, narrative (p.47)</t>
        </is>
      </c>
      <c r="I6" s="6" t="inlineStr">
        <is>
          <t>Not published – no Bank-solo NSFR in FY2019 Pillar 3; Bank-only appendix has none. Group NSFR ratio only, narrative (p.46)</t>
        </is>
      </c>
      <c r="J6" s="6" t="inlineStr">
        <is>
          <t>Not published – no Bank-solo NSFR in FY2019 Pillar 3 (30 Jun 18 comparative); Bank-only appendix has none. Group NSFR ratio only, narrative (p.46)</t>
        </is>
      </c>
      <c r="K6" s="6" t="inlineStr">
        <is>
          <t>No 31 Dec 2017 period exists (18-month transition)</t>
        </is>
      </c>
      <c r="L6" s="6" t="inlineStr">
        <is>
          <t>Not published – no Bank-solo NSFR in FY2016 Pillar 3; Bank-only appendix has none. Group NSFR ratio only, narrative (p.40)</t>
        </is>
      </c>
      <c r="M6" s="6" t="inlineStr">
        <is>
          <t>Not published – no Bank-solo NSFR in FY2015 Pillar 3; Bank-only appendix has none. Group NSFR ratio only, narrative (p.39)</t>
        </is>
      </c>
      <c r="N6" s="6" t="inlineStr">
        <is>
          <t>Not published – no Bank-solo NSFR in FY2015 Pillar 3 (31 Dec 14 comparative); Bank-only appendix has none. Group NSFR ratio only, narrative (p.39)</t>
        </is>
      </c>
      <c r="O6" s="6" t="inlineStr">
        <is>
          <t>Not published – FY2013 Pillar 3 (Basel II, 22pp) contains no NSFR (text searched 2026-09-19)</t>
        </is>
      </c>
      <c r="P6" s="6" t="inlineStr">
        <is>
          <t>Not published – FY2012 Pillar 3 (Basel II, 20pp) contains no NSFR (text searched 2026-09-19)</t>
        </is>
      </c>
      <c r="Q6" s="6" t="inlineStr">
        <is>
          <t>Not published – FY2011 Pillar 3 (Basel II, 23pp) contains no NSFR (text searched 2026-09-19)</t>
        </is>
      </c>
    </row>
    <row r="7" ht="60" customHeight="1">
      <c r="A7" s="7" t="inlineStr">
        <is>
          <t>Note: NSFR is computed as a 4-quarter average to the period end. FY2021 and earlier carry no figure — the UK NSFR requirement did not take effect until 1 January 2022 (see FY2022 Pillar 3 report). CORRECTED 2026-09-19 (GA-020): a previous version of this note said no NSFR figure exists for FY2014-FY2020 at all. That was wrong at GROUP level: each edition states a Group NSFR in its liquidity narrative — FY2015 p.39 (with the 31 Dec 2014 comparative), FY2016 p.40, FY2019 p.46 (with the 30 Jun 2018 comparative), FY2020 p.47, FY2021 p.49 — on the then-proposed Basel basis, without the ASF/RSF components. No Bank-only appendix prints one, so the Bank-solo cells here read 'Not published' with that evidence, and no Group figure is substituted. The same applies with more force to FY2013, FY2012 and FY2011, which predate even the Basel III NSFR observation period; none of the three recovered Basel II editions contains an NSFR. FY2017 reads 'No 31 Dec 2017 period exists' rather than 'n/a' because no reporting date existed there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MREL Ratio</t>
        </is>
      </c>
    </row>
    <row r="2">
      <c r="A2" s="2" t="inlineStr">
        <is>
          <t>Bank solo basis</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MREL ratio</t>
        </is>
      </c>
      <c r="B4" s="6" t="inlineStr">
        <is>
          <t>Not published – no MREL ratio, KM2 or MREL resources figure in that year's Aldermore Pillar 3 (every edition FY2011-FY2026 text-searched 2026-09-19; FY2026 mentions MREL only in its glossary)</t>
        </is>
      </c>
      <c r="C4" s="6" t="inlineStr">
        <is>
          <t>Not published – no MREL ratio, KM2 or MREL resources figure in that year's Aldermore Pillar 3 (every edition FY2011-FY2026 text-searched 2026-09-19; FY2026 mentions MREL only in its glossary)</t>
        </is>
      </c>
      <c r="D4" s="6" t="inlineStr">
        <is>
          <t>Not published – no MREL ratio, KM2 or MREL resources figure in that year's Aldermore Pillar 3 (every edition FY2011-FY2026 text-searched 2026-09-19; FY2026 mentions MREL only in its glossary)</t>
        </is>
      </c>
      <c r="E4" s="6" t="inlineStr">
        <is>
          <t>Not published – no MREL ratio, KM2 or MREL resources figure in that year's Aldermore Pillar 3 (every edition FY2011-FY2026 text-searched 2026-09-19; FY2026 mentions MREL only in its glossary)</t>
        </is>
      </c>
      <c r="F4" s="6" t="inlineStr">
        <is>
          <t>Not published – no MREL ratio, KM2 or MREL resources figure in that year's Aldermore Pillar 3 (every edition FY2011-FY2026 text-searched 2026-09-19; FY2026 mentions MREL only in its glossary)</t>
        </is>
      </c>
      <c r="G4" s="6" t="inlineStr">
        <is>
          <t>Not published – no MREL ratio, KM2 or MREL resources figure in that year's Aldermore Pillar 3 (every edition FY2011-FY2026 text-searched 2026-09-19; FY2026 mentions MREL only in its glossary)</t>
        </is>
      </c>
      <c r="H4" s="6" t="inlineStr">
        <is>
          <t>Not published – no MREL ratio, KM2 or MREL resources figure in that year's Aldermore Pillar 3 (every edition FY2011-FY2026 text-searched 2026-09-19; FY2026 mentions MREL only in its glossary)</t>
        </is>
      </c>
      <c r="I4" s="6" t="inlineStr">
        <is>
          <t>Not published – no MREL ratio, KM2 or MREL resources figure in that year's Aldermore Pillar 3 (every edition FY2011-FY2026 text-searched 2026-09-19; FY2026 mentions MREL only in its glossary)</t>
        </is>
      </c>
      <c r="J4" s="6" t="inlineStr">
        <is>
          <t>Not published – no MREL ratio, KM2 or MREL resources figure in that year's Aldermore Pillar 3 (every edition FY2011-FY2026 text-searched 2026-09-19; FY2026 mentions MREL only in its glossary)</t>
        </is>
      </c>
      <c r="K4" s="6" t="inlineStr">
        <is>
          <t>No 31 Dec 2017 period exists (18-month transition)</t>
        </is>
      </c>
      <c r="L4" s="6" t="inlineStr">
        <is>
          <t>Not published – no MREL ratio, KM2 or MREL resources figure in that year's Aldermore Pillar 3 (every edition FY2011-FY2026 text-searched 2026-09-19; FY2026 mentions MREL only in its glossary)</t>
        </is>
      </c>
      <c r="M4" s="6" t="inlineStr">
        <is>
          <t>Not published – no MREL ratio, KM2 or MREL resources figure in that year's Aldermore Pillar 3 (every edition FY2011-FY2026 text-searched 2026-09-19; FY2026 mentions MREL only in its glossary)</t>
        </is>
      </c>
      <c r="N4" s="6" t="inlineStr">
        <is>
          <t>Not published – no MREL ratio, KM2 or MREL resources figure in that year's Aldermore Pillar 3 (every edition FY2011-FY2026 text-searched 2026-09-19; FY2026 mentions MREL only in its glossary)</t>
        </is>
      </c>
      <c r="O4" s="6" t="inlineStr">
        <is>
          <t>Not published – no MREL ratio, KM2 or MREL resources figure in that year's Aldermore Pillar 3 (every edition FY2011-FY2026 text-searched 2026-09-19; FY2026 mentions MREL only in its glossary)</t>
        </is>
      </c>
      <c r="P4" s="6" t="inlineStr">
        <is>
          <t>Not published – no MREL ratio, KM2 or MREL resources figure in that year's Aldermore Pillar 3 (every edition FY2011-FY2026 text-searched 2026-09-19; FY2026 mentions MREL only in its glossary)</t>
        </is>
      </c>
      <c r="Q4" s="6" t="inlineStr">
        <is>
          <t>Not published – no MREL ratio, KM2 or MREL resources figure in that year's Aldermore Pillar 3 (every edition FY2011-FY2026 text-searched 2026-09-19; FY2026 mentions MREL only in its glossary)</t>
        </is>
      </c>
    </row>
    <row r="5" ht="60" customHeight="1">
      <c r="A5" s="7" t="inlineStr">
        <is>
          <t>Note: MREL is not disclosed for Aldermore Bank PLC/Aldermore Group PLC in any Pillar 3 report. GA-020 (2026-09-19) re-checked this document by document: the FY2011, FY2012, FY2013, FY2015, FY2016, FY2019, FY2020, FY2021, FY2022, FY2023, FY2024, FY2025 and FY2026 editions were each text-searched for 'MREL', 'eligible liabilities' and 'loss-absorbing'. None prints an MREL ratio, MREL resources or a KM2/TLAC template; the only hits are the FY2026 glossary definition of MREL and the FY2026 UK CCA template heading ('own funds instruments and eligible liabilities instruments'), whose five instruments are all CET1, AT1 or Tier 2. The cells therefore say 'Not published' on that evidence. An earlier version of this note gave a reason (that the Group sits below the threshold for an MREL requirement above minimum capital requirements); no Aldermore or Bank of England document stating that was cited, so it is not relied on here.</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3"/>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2026-10-08T23:27:13Z</dcterms:created>
  <dcterms:modified xmlns:dcterms="http://purl.org/dc/terms/" xmlns:xsi="http://www.w3.org/2001/XMLSchema-instance" xsi:type="dcterms:W3CDTF">2026-10-08T23:27:13Z</dcterms:modified>
</cp:coreProperties>
</file>