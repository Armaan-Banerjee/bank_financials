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5C2751"/>
        <bgColor rgb="005C2751"/>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LHV Bank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'Overview'!G6</f>
            </strRef>
          </tx>
          <spPr>
            <a:ln xmlns:a="http://schemas.openxmlformats.org/drawingml/2006/main">
              <a:prstDash val="solid"/>
            </a:ln>
          </spPr>
          <cat>
            <numRef>
              <f>'Overview'!$H$5:$J$5</f>
            </numRef>
          </cat>
          <val>
            <numRef>
              <f>'Overview'!$H$6:$J$6</f>
            </numRef>
          </val>
        </ser>
        <ser>
          <idx val="1"/>
          <order val="1"/>
          <tx>
            <strRef>
              <f>'Overview'!G7</f>
            </strRef>
          </tx>
          <spPr>
            <a:ln xmlns:a="http://schemas.openxmlformats.org/drawingml/2006/main">
              <a:prstDash val="solid"/>
            </a:ln>
          </spPr>
          <cat>
            <numRef>
              <f>'Overview'!$H$5:$J$5</f>
            </numRef>
          </cat>
          <val>
            <numRef>
              <f>'Overview'!$H$7:$J$7</f>
            </numRef>
          </val>
        </ser>
        <ser>
          <idx val="2"/>
          <order val="2"/>
          <tx>
            <strRef>
              <f>'Overview'!G8</f>
            </strRef>
          </tx>
          <spPr>
            <a:ln xmlns:a="http://schemas.openxmlformats.org/drawingml/2006/main">
              <a:prstDash val="solid"/>
            </a:ln>
          </spPr>
          <cat>
            <numRef>
              <f>'Overview'!$H$5:$J$5</f>
            </numRef>
          </cat>
          <val>
            <numRef>
              <f>'Overview'!$H$8:$J$8</f>
            </numRef>
          </val>
        </ser>
        <ser>
          <idx val="3"/>
          <order val="3"/>
          <tx>
            <strRef>
              <f>'Overview'!G9</f>
            </strRef>
          </tx>
          <spPr>
            <a:ln xmlns:a="http://schemas.openxmlformats.org/drawingml/2006/main">
              <a:prstDash val="solid"/>
            </a:ln>
          </spPr>
          <cat>
            <numRef>
              <f>'Overview'!$H$5:$J$5</f>
            </numRef>
          </cat>
          <val>
            <numRef>
              <f>'Overview'!$H$9:$J$9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LHV Bank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'Overview'!M13</f>
            </strRef>
          </tx>
          <spPr>
            <a:ln xmlns:a="http://schemas.openxmlformats.org/drawingml/2006/main">
              <a:prstDash val="solid"/>
            </a:ln>
          </spPr>
          <cat>
            <numRef>
              <f>'Overview'!$N$12:$P$12</f>
            </numRef>
          </cat>
          <val>
            <numRef>
              <f>'Overview'!$N$13:$P$13</f>
            </numRef>
          </val>
        </ser>
        <ser>
          <idx val="1"/>
          <order val="1"/>
          <tx>
            <strRef>
              <f>'Overview'!M14</f>
            </strRef>
          </tx>
          <spPr>
            <a:ln xmlns:a="http://schemas.openxmlformats.org/drawingml/2006/main">
              <a:prstDash val="solid"/>
            </a:ln>
          </spPr>
          <cat>
            <numRef>
              <f>'Overview'!$N$12:$P$12</f>
            </numRef>
          </cat>
          <val>
            <numRef>
              <f>'Overview'!$N$14:$P$14</f>
            </numRef>
          </val>
        </ser>
        <ser>
          <idx val="2"/>
          <order val="2"/>
          <tx>
            <strRef>
              <f>'Overview'!M15</f>
            </strRef>
          </tx>
          <spPr>
            <a:ln xmlns:a="http://schemas.openxmlformats.org/drawingml/2006/main">
              <a:prstDash val="solid"/>
            </a:ln>
          </spPr>
          <cat>
            <numRef>
              <f>'Overview'!$N$12:$P$12</f>
            </numRef>
          </cat>
          <val>
            <numRef>
              <f>'Overview'!$N$15:$P$15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LHV Bank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'Overview'!S19</f>
            </strRef>
          </tx>
          <spPr>
            <a:ln xmlns:a="http://schemas.openxmlformats.org/drawingml/2006/main">
              <a:prstDash val="solid"/>
            </a:ln>
          </spPr>
          <cat>
            <numRef>
              <f>'Overview'!$T$18:$V$18</f>
            </numRef>
          </cat>
          <val>
            <numRef>
              <f>'Overview'!$T$19:$V$19</f>
            </numRef>
          </val>
        </ser>
        <ser>
          <idx val="1"/>
          <order val="1"/>
          <tx>
            <strRef>
              <f>'Overview'!S20</f>
            </strRef>
          </tx>
          <spPr>
            <a:ln xmlns:a="http://schemas.openxmlformats.org/drawingml/2006/main">
              <a:prstDash val="solid"/>
            </a:ln>
          </spPr>
          <cat>
            <numRef>
              <f>'Overview'!$T$18:$V$18</f>
            </numRef>
          </cat>
          <val>
            <numRef>
              <f>'Overview'!$T$20:$V$20</f>
            </numRef>
          </val>
        </ser>
        <ser>
          <idx val="2"/>
          <order val="2"/>
          <tx>
            <strRef>
              <f>'Overview'!S21</f>
            </strRef>
          </tx>
          <spPr>
            <a:ln xmlns:a="http://schemas.openxmlformats.org/drawingml/2006/main">
              <a:prstDash val="solid"/>
            </a:ln>
          </spPr>
          <cat>
            <numRef>
              <f>'Overview'!$T$18:$V$18</f>
            </numRef>
          </cat>
          <val>
            <numRef>
              <f>'Overview'!$T$21:$V$21</f>
            </numRef>
          </val>
        </ser>
        <ser>
          <idx val="3"/>
          <order val="3"/>
          <tx>
            <strRef>
              <f>'Overview'!S22</f>
            </strRef>
          </tx>
          <spPr>
            <a:ln xmlns:a="http://schemas.openxmlformats.org/drawingml/2006/main">
              <a:prstDash val="solid"/>
            </a:ln>
          </spPr>
          <cat>
            <numRef>
              <f>'Overview'!$T$18:$V$18</f>
            </numRef>
          </cat>
          <val>
            <numRef>
              <f>'Overview'!$T$22:$V$22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LHV Bank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'Overview'!Y26</f>
            </strRef>
          </tx>
          <spPr>
            <a:ln xmlns:a="http://schemas.openxmlformats.org/drawingml/2006/main">
              <a:prstDash val="solid"/>
            </a:ln>
          </spPr>
          <cat>
            <numRef>
              <f>'Overview'!$Z$25:$AB$25</f>
            </numRef>
          </cat>
          <val>
            <numRef>
              <f>'Overview'!$Z$26:$AB$26</f>
            </numRef>
          </val>
        </ser>
        <ser>
          <idx val="1"/>
          <order val="1"/>
          <tx>
            <strRef>
              <f>'Overview'!Y27</f>
            </strRef>
          </tx>
          <spPr>
            <a:ln xmlns:a="http://schemas.openxmlformats.org/drawingml/2006/main">
              <a:prstDash val="solid"/>
            </a:ln>
          </spPr>
          <cat>
            <numRef>
              <f>'Overview'!$Z$25:$AB$25</f>
            </numRef>
          </cat>
          <val>
            <numRef>
              <f>'Overview'!$Z$27:$AB$27</f>
            </numRef>
          </val>
        </ser>
        <ser>
          <idx val="2"/>
          <order val="2"/>
          <tx>
            <strRef>
              <f>'Overview'!Y28</f>
            </strRef>
          </tx>
          <spPr>
            <a:ln xmlns:a="http://schemas.openxmlformats.org/drawingml/2006/main">
              <a:prstDash val="solid"/>
            </a:ln>
          </spPr>
          <cat>
            <numRef>
              <f>'Overview'!$Z$25:$AB$25</f>
            </numRef>
          </cat>
          <val>
            <numRef>
              <f>'Overview'!$Z$28:$AB$28</f>
            </numRef>
          </val>
        </ser>
        <ser>
          <idx val="3"/>
          <order val="3"/>
          <tx>
            <strRef>
              <f>'Overview'!Y29</f>
            </strRef>
          </tx>
          <spPr>
            <a:ln xmlns:a="http://schemas.openxmlformats.org/drawingml/2006/main">
              <a:prstDash val="solid"/>
            </a:ln>
          </spPr>
          <cat>
            <numRef>
              <f>'Overview'!$Z$25:$AB$25</f>
            </numRef>
          </cat>
          <val>
            <numRef>
              <f>'Overview'!$Z$29:$AB$29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LHV Bank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'Overview'!AE6</f>
            </strRef>
          </tx>
          <spPr>
            <a:ln xmlns:a="http://schemas.openxmlformats.org/drawingml/2006/main">
              <a:prstDash val="solid"/>
            </a:ln>
          </spPr>
          <marker>
            <symbol val="none"/>
            <spPr>
              <a:ln xmlns:a="http://schemas.openxmlformats.org/drawingml/2006/main">
                <a:prstDash val="solid"/>
              </a:ln>
            </spPr>
          </marker>
          <cat>
            <numRef>
              <f>'Overview'!$AF$5:$AH$5</f>
            </numRef>
          </cat>
          <val>
            <numRef>
              <f>'Overview'!$AF$6:$AH$6</f>
            </numRef>
          </val>
          <smooth val="0"/>
        </ser>
        <ser>
          <idx val="1"/>
          <order val="1"/>
          <tx>
            <strRef>
              <f>'Overview'!AE7</f>
            </strRef>
          </tx>
          <spPr>
            <a:ln xmlns:a="http://schemas.openxmlformats.org/drawingml/2006/main">
              <a:prstDash val="solid"/>
            </a:ln>
          </spPr>
          <marker>
            <symbol val="none"/>
            <spPr>
              <a:ln xmlns:a="http://schemas.openxmlformats.org/drawingml/2006/main">
                <a:prstDash val="solid"/>
              </a:ln>
            </spPr>
          </marker>
          <cat>
            <numRef>
              <f>'Overview'!$AF$5:$AH$5</f>
            </numRef>
          </cat>
          <val>
            <numRef>
              <f>'Overview'!$AF$7:$AH$7</f>
            </numRef>
          </val>
          <smooth val="0"/>
        </ser>
        <ser>
          <idx val="2"/>
          <order val="2"/>
          <tx>
            <strRef>
              <f>'Overview'!AE8</f>
            </strRef>
          </tx>
          <spPr>
            <a:ln xmlns:a="http://schemas.openxmlformats.org/drawingml/2006/main">
              <a:prstDash val="solid"/>
            </a:ln>
          </spPr>
          <marker>
            <symbol val="none"/>
            <spPr>
              <a:ln xmlns:a="http://schemas.openxmlformats.org/drawingml/2006/main">
                <a:prstDash val="solid"/>
              </a:ln>
            </spPr>
          </marker>
          <cat>
            <numRef>
              <f>'Overview'!$AF$5:$AH$5</f>
            </numRef>
          </cat>
          <val>
            <numRef>
              <f>'Overview'!$AF$8:$AH$8</f>
            </numRef>
          </val>
          <smooth val="0"/>
        </ser>
        <ser>
          <idx val="3"/>
          <order val="3"/>
          <tx>
            <strRef>
              <f>'Overview'!AE9</f>
            </strRef>
          </tx>
          <spPr>
            <a:ln xmlns:a="http://schemas.openxmlformats.org/drawingml/2006/main">
              <a:prstDash val="solid"/>
            </a:ln>
          </spPr>
          <marker>
            <symbol val="none"/>
            <spPr>
              <a:ln xmlns:a="http://schemas.openxmlformats.org/drawingml/2006/main">
                <a:prstDash val="solid"/>
              </a:ln>
            </spPr>
          </marker>
          <cat>
            <numRef>
              <f>'Overview'!$AF$5:$AH$5</f>
            </numRef>
          </cat>
          <val>
            <numRef>
              <f>'Overview'!$AF$9:$AH$9</f>
            </numRef>
          </val>
          <smooth val="0"/>
        </ser>
        <ser>
          <idx val="4"/>
          <order val="4"/>
          <tx>
            <strRef>
              <f>'Overview'!AE10</f>
            </strRef>
          </tx>
          <spPr>
            <a:ln xmlns:a="http://schemas.openxmlformats.org/drawingml/2006/main">
              <a:prstDash val="solid"/>
            </a:ln>
          </spPr>
          <marker>
            <symbol val="none"/>
            <spPr>
              <a:ln xmlns:a="http://schemas.openxmlformats.org/drawingml/2006/main">
                <a:prstDash val="solid"/>
              </a:ln>
            </spPr>
          </marker>
          <cat>
            <numRef>
              <f>'Overview'!$AF$5:$AH$5</f>
            </numRef>
          </cat>
          <val>
            <numRef>
              <f>'Overview'!$AF$10:$AH$10</f>
            </numRef>
          </val>
          <smooth val="0"/>
        </ser>
        <ser>
          <idx val="5"/>
          <order val="5"/>
          <tx>
            <strRef>
              <f>'Overview'!AE11</f>
            </strRef>
          </tx>
          <spPr>
            <a:ln xmlns:a="http://schemas.openxmlformats.org/drawingml/2006/main">
              <a:prstDash val="solid"/>
            </a:ln>
          </spPr>
          <marker>
            <symbol val="none"/>
            <spPr>
              <a:ln xmlns:a="http://schemas.openxmlformats.org/drawingml/2006/main">
                <a:prstDash val="solid"/>
              </a:ln>
            </spPr>
          </marker>
          <cat>
            <numRef>
              <f>'Overview'!$AF$5:$AH$5</f>
            </numRef>
          </cat>
          <val>
            <numRef>
              <f>'Overview'!$AF$11:$AH$11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42</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64</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86</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108</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130</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H40"/>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s>
  <sheetData>
    <row r="1">
      <c r="A1" s="1" t="inlineStr">
        <is>
          <t>LHV Bank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H5" t="inlineStr">
        <is>
          <t>FY2023</t>
        </is>
      </c>
      <c r="I5" t="inlineStr">
        <is>
          <t>FY2024</t>
        </is>
      </c>
      <c r="J5" t="inlineStr">
        <is>
          <t>FY2025</t>
        </is>
      </c>
      <c r="AF5" t="inlineStr">
        <is>
          <t>FY2023</t>
        </is>
      </c>
      <c r="AG5" t="inlineStr">
        <is>
          <t>FY2024</t>
        </is>
      </c>
      <c r="AH5" t="inlineStr">
        <is>
          <t>FY2025</t>
        </is>
      </c>
    </row>
    <row r="6">
      <c r="A6" s="5" t="inlineStr">
        <is>
          <t>Total assets</t>
        </is>
      </c>
      <c r="B6" s="5" t="n">
        <v>1251669</v>
      </c>
      <c r="C6" s="5" t="n">
        <v>662432</v>
      </c>
      <c r="D6" s="5" t="n">
        <v>321011</v>
      </c>
      <c r="G6" t="inlineStr">
        <is>
          <t>Total assets</t>
        </is>
      </c>
      <c r="H6" t="n">
        <v>321011</v>
      </c>
      <c r="I6" t="n">
        <v>662432</v>
      </c>
      <c r="J6" t="n">
        <v>1251669</v>
      </c>
      <c r="AE6" t="inlineStr">
        <is>
          <t>CET1 Ratio</t>
        </is>
      </c>
      <c r="AF6" t="n">
        <v>31.7</v>
      </c>
      <c r="AG6" t="n">
        <v>24.1</v>
      </c>
      <c r="AH6" t="n">
        <v>18.5</v>
      </c>
    </row>
    <row r="7">
      <c r="A7" s="5" t="inlineStr">
        <is>
          <t>Loans and advances to customers</t>
        </is>
      </c>
      <c r="B7" s="5" t="n">
        <v>682579</v>
      </c>
      <c r="C7" s="5" t="n">
        <v>288799</v>
      </c>
      <c r="D7" s="5" t="n">
        <v>69009</v>
      </c>
      <c r="G7" t="inlineStr">
        <is>
          <t>Loans and advances to customers</t>
        </is>
      </c>
      <c r="H7" t="n">
        <v>69009</v>
      </c>
      <c r="I7" t="n">
        <v>288799</v>
      </c>
      <c r="J7" t="n">
        <v>682579</v>
      </c>
      <c r="AE7" t="inlineStr">
        <is>
          <t>Tier 1 Ratio</t>
        </is>
      </c>
      <c r="AF7" t="n">
        <v>31.7</v>
      </c>
      <c r="AG7" t="n">
        <v>24.1</v>
      </c>
      <c r="AH7" t="n">
        <v>18.5</v>
      </c>
    </row>
    <row r="8">
      <c r="A8" s="5" t="inlineStr">
        <is>
          <t>Deposits by/from customers</t>
        </is>
      </c>
      <c r="B8" s="5" t="n">
        <v>1114522</v>
      </c>
      <c r="C8" s="5" t="n">
        <v>584520</v>
      </c>
      <c r="D8" s="5" t="n">
        <v>206998</v>
      </c>
      <c r="G8" t="inlineStr">
        <is>
          <t>Deposits by/from customers</t>
        </is>
      </c>
      <c r="H8" t="n">
        <v>206998</v>
      </c>
      <c r="I8" t="n">
        <v>584520</v>
      </c>
      <c r="J8" t="n">
        <v>1114522</v>
      </c>
      <c r="AE8" t="inlineStr">
        <is>
          <t>Total Capital Ratio</t>
        </is>
      </c>
      <c r="AF8" t="n">
        <v>31.7</v>
      </c>
      <c r="AG8" t="n">
        <v>24.1</v>
      </c>
      <c r="AH8" t="n">
        <v>20.3</v>
      </c>
    </row>
    <row r="9">
      <c r="A9" s="5" t="inlineStr">
        <is>
          <t>Total equity</t>
        </is>
      </c>
      <c r="B9" s="5" t="n">
        <v>106878</v>
      </c>
      <c r="C9" s="5" t="n">
        <v>71339</v>
      </c>
      <c r="D9" s="5" t="n">
        <v>46697</v>
      </c>
      <c r="G9" t="inlineStr">
        <is>
          <t>Total equity</t>
        </is>
      </c>
      <c r="H9" t="n">
        <v>46697</v>
      </c>
      <c r="I9" t="n">
        <v>71339</v>
      </c>
      <c r="J9" t="n">
        <v>106878</v>
      </c>
      <c r="AE9" t="inlineStr">
        <is>
          <t>Leverage Ratio</t>
        </is>
      </c>
      <c r="AF9" t="n">
        <v>56.3</v>
      </c>
      <c r="AG9" t="n">
        <v>21.5</v>
      </c>
      <c r="AH9" t="n">
        <v>14.4</v>
      </c>
    </row>
    <row r="10">
      <c r="AE10" t="inlineStr">
        <is>
          <t>LCR</t>
        </is>
      </c>
      <c r="AF10" t="n">
        <v>133</v>
      </c>
      <c r="AG10" t="n">
        <v>175</v>
      </c>
      <c r="AH10" t="n">
        <v>196</v>
      </c>
    </row>
    <row r="11">
      <c r="A11" s="3" t="inlineStr">
        <is>
          <t>Profit &amp; Loss Summary (£'000)</t>
        </is>
      </c>
      <c r="AE11" t="inlineStr">
        <is>
          <t>NSFR</t>
        </is>
      </c>
      <c r="AF11" t="n">
        <v>278</v>
      </c>
      <c r="AG11" t="n">
        <v>260</v>
      </c>
      <c r="AH11" t="n">
        <v>182</v>
      </c>
    </row>
    <row r="12">
      <c r="A12" s="4" t="inlineStr">
        <is>
          <t>Line item</t>
        </is>
      </c>
      <c r="B12" s="4" t="inlineStr">
        <is>
          <t>FY2025</t>
        </is>
      </c>
      <c r="C12" s="4" t="inlineStr">
        <is>
          <t>FY2024</t>
        </is>
      </c>
      <c r="D12" s="4" t="inlineStr">
        <is>
          <t>FY2023</t>
        </is>
      </c>
      <c r="N12" t="inlineStr">
        <is>
          <t>FY2023</t>
        </is>
      </c>
      <c r="O12" t="inlineStr">
        <is>
          <t>FY2024</t>
        </is>
      </c>
      <c r="P12" t="inlineStr">
        <is>
          <t>FY2025</t>
        </is>
      </c>
    </row>
    <row r="13">
      <c r="A13" s="5" t="inlineStr">
        <is>
          <t>Net interest income</t>
        </is>
      </c>
      <c r="B13" s="5" t="n">
        <v>23515</v>
      </c>
      <c r="C13" s="5" t="n">
        <v>12397</v>
      </c>
      <c r="D13" s="5" t="n">
        <v>25052</v>
      </c>
      <c r="M13" t="inlineStr">
        <is>
          <t>Net interest income</t>
        </is>
      </c>
      <c r="N13" t="n">
        <v>25052</v>
      </c>
      <c r="O13" t="n">
        <v>12397</v>
      </c>
      <c r="P13" t="n">
        <v>23515</v>
      </c>
    </row>
    <row r="14">
      <c r="A14" s="5" t="inlineStr">
        <is>
          <t>Profit before tax</t>
        </is>
      </c>
      <c r="B14" s="5" t="n">
        <v>6766</v>
      </c>
      <c r="C14" s="5" t="n">
        <v>4044</v>
      </c>
      <c r="D14" s="5" t="n">
        <v>4780</v>
      </c>
      <c r="M14" t="inlineStr">
        <is>
          <t>Profit before tax</t>
        </is>
      </c>
      <c r="N14" t="n">
        <v>4780</v>
      </c>
      <c r="O14" t="n">
        <v>4044</v>
      </c>
      <c r="P14" t="n">
        <v>6766</v>
      </c>
    </row>
    <row r="15">
      <c r="A15" s="5" t="inlineStr">
        <is>
          <t>Profit after tax</t>
        </is>
      </c>
      <c r="B15" s="5" t="n">
        <v>4761</v>
      </c>
      <c r="C15" s="5" t="n">
        <v>3084</v>
      </c>
      <c r="D15" s="5" t="n">
        <v>6437</v>
      </c>
      <c r="M15" t="inlineStr">
        <is>
          <t>Profit after tax</t>
        </is>
      </c>
      <c r="N15" t="n">
        <v>6437</v>
      </c>
      <c r="O15" t="n">
        <v>3084</v>
      </c>
      <c r="P15" t="n">
        <v>4761</v>
      </c>
    </row>
    <row r="17">
      <c r="A17" s="3" t="inlineStr">
        <is>
          <t>Statement of Changes in Equity Summary (£'000)</t>
        </is>
      </c>
    </row>
    <row r="18">
      <c r="A18" s="4" t="inlineStr">
        <is>
          <t>Line item</t>
        </is>
      </c>
      <c r="B18" s="4" t="inlineStr">
        <is>
          <t>FY2025</t>
        </is>
      </c>
      <c r="C18" s="4" t="inlineStr">
        <is>
          <t>FY2024</t>
        </is>
      </c>
      <c r="D18" s="4" t="inlineStr">
        <is>
          <t>FY2023</t>
        </is>
      </c>
      <c r="T18" t="inlineStr">
        <is>
          <t>FY2023</t>
        </is>
      </c>
      <c r="U18" t="inlineStr">
        <is>
          <t>FY2024</t>
        </is>
      </c>
      <c r="V18" t="inlineStr">
        <is>
          <t>FY2025</t>
        </is>
      </c>
    </row>
    <row r="19">
      <c r="A19" s="5" t="inlineStr">
        <is>
          <t>Opening equity</t>
        </is>
      </c>
      <c r="B19" s="5" t="n">
        <v>71339</v>
      </c>
      <c r="C19" s="5" t="n">
        <v>46697</v>
      </c>
      <c r="D19" s="5" t="n">
        <v>31651</v>
      </c>
      <c r="S19" t="inlineStr">
        <is>
          <t>Opening equity</t>
        </is>
      </c>
      <c r="T19" t="n">
        <v>31651</v>
      </c>
      <c r="U19" t="n">
        <v>46697</v>
      </c>
      <c r="V19" t="n">
        <v>71339</v>
      </c>
    </row>
    <row r="20">
      <c r="A20" s="5" t="inlineStr">
        <is>
          <t>Total comprehensive income for the year</t>
        </is>
      </c>
      <c r="B20" s="5" t="n">
        <v>4761</v>
      </c>
      <c r="C20" s="5" t="n">
        <v>3084</v>
      </c>
      <c r="D20" s="5" t="n">
        <v>6437</v>
      </c>
      <c r="S20" t="inlineStr">
        <is>
          <t>Total comprehensive income for the year</t>
        </is>
      </c>
      <c r="T20" t="n">
        <v>6437</v>
      </c>
      <c r="U20" t="n">
        <v>3084</v>
      </c>
      <c r="V20" t="n">
        <v>4761</v>
      </c>
    </row>
    <row r="21">
      <c r="A21" s="5" t="inlineStr">
        <is>
          <t>Other equity movements, net</t>
        </is>
      </c>
      <c r="B21" s="5" t="n">
        <v>30777</v>
      </c>
      <c r="C21" s="5" t="n">
        <v>21558</v>
      </c>
      <c r="D21" s="5" t="n">
        <v>8609</v>
      </c>
      <c r="S21" t="inlineStr">
        <is>
          <t>Other equity movements, net</t>
        </is>
      </c>
      <c r="T21" t="n">
        <v>8609</v>
      </c>
      <c r="U21" t="n">
        <v>21558</v>
      </c>
      <c r="V21" t="n">
        <v>30777</v>
      </c>
    </row>
    <row r="22">
      <c r="A22" s="5" t="inlineStr">
        <is>
          <t>Closing equity</t>
        </is>
      </c>
      <c r="B22" s="5" t="n">
        <v>106878</v>
      </c>
      <c r="C22" s="5" t="n">
        <v>71339</v>
      </c>
      <c r="D22" s="5" t="n">
        <v>46697</v>
      </c>
      <c r="S22" t="inlineStr">
        <is>
          <t>Closing equity</t>
        </is>
      </c>
      <c r="T22" t="n">
        <v>46697</v>
      </c>
      <c r="U22" t="n">
        <v>71339</v>
      </c>
      <c r="V22" t="n">
        <v>106878</v>
      </c>
    </row>
    <row r="24">
      <c r="A24" s="3" t="inlineStr">
        <is>
          <t>Cash Flow Summary (£'000)</t>
        </is>
      </c>
    </row>
    <row r="25">
      <c r="A25" s="4" t="inlineStr">
        <is>
          <t>Line item</t>
        </is>
      </c>
      <c r="B25" s="4" t="inlineStr">
        <is>
          <t>FY2025</t>
        </is>
      </c>
      <c r="C25" s="4" t="inlineStr">
        <is>
          <t>FY2024</t>
        </is>
      </c>
      <c r="D25" s="4" t="inlineStr">
        <is>
          <t>FY2023</t>
        </is>
      </c>
      <c r="Z25" t="inlineStr">
        <is>
          <t>FY2023</t>
        </is>
      </c>
      <c r="AA25" t="inlineStr">
        <is>
          <t>FY2024</t>
        </is>
      </c>
      <c r="AB25" t="inlineStr">
        <is>
          <t>FY2025</t>
        </is>
      </c>
    </row>
    <row r="26">
      <c r="A26" s="5" t="inlineStr">
        <is>
          <t>Net cash from/(used in) operating activities</t>
        </is>
      </c>
      <c r="B26" s="5" t="n">
        <v>157520</v>
      </c>
      <c r="C26" s="5" t="n">
        <v>101379.183</v>
      </c>
      <c r="D26" s="5" t="n">
        <v>224565.739</v>
      </c>
      <c r="Y26" t="inlineStr">
        <is>
          <t>Net cash from/(used in) operating activities</t>
        </is>
      </c>
      <c r="Z26" t="n">
        <v>224565.739</v>
      </c>
      <c r="AA26" t="n">
        <v>101379.183</v>
      </c>
      <c r="AB26" t="n">
        <v>157520</v>
      </c>
    </row>
    <row r="27">
      <c r="A27" s="5" t="inlineStr">
        <is>
          <t>Net cash from/(used in) investing activities</t>
        </is>
      </c>
      <c r="B27" s="5" t="n">
        <v>-325</v>
      </c>
      <c r="C27" s="5" t="n">
        <v>-1059.316</v>
      </c>
      <c r="D27" s="5" t="n">
        <v>-2804.607</v>
      </c>
      <c r="Y27" t="inlineStr">
        <is>
          <t>Net cash from/(used in) investing activities</t>
        </is>
      </c>
      <c r="Z27" t="n">
        <v>-2804.607</v>
      </c>
      <c r="AA27" t="n">
        <v>-1059.316</v>
      </c>
      <c r="AB27" t="n">
        <v>-325</v>
      </c>
    </row>
    <row r="28">
      <c r="A28" s="5" t="inlineStr">
        <is>
          <t>Net cash from/(used in) financing activities</t>
        </is>
      </c>
      <c r="B28" s="5" t="n">
        <v>38990</v>
      </c>
      <c r="C28" s="5" t="n">
        <v>19854.736</v>
      </c>
      <c r="D28" s="5" t="n">
        <v>8712.325000000001</v>
      </c>
      <c r="Y28" t="inlineStr">
        <is>
          <t>Net cash from/(used in) financing activities</t>
        </is>
      </c>
      <c r="Z28" t="n">
        <v>8712.325000000001</v>
      </c>
      <c r="AA28" t="n">
        <v>19854.736</v>
      </c>
      <c r="AB28" t="n">
        <v>38990</v>
      </c>
    </row>
    <row r="29">
      <c r="A29" s="5" t="inlineStr">
        <is>
          <t>Cash and cash equivalents at end of year</t>
        </is>
      </c>
      <c r="B29" s="5" t="n">
        <v>558485</v>
      </c>
      <c r="C29" s="5" t="n">
        <v>362299.484</v>
      </c>
      <c r="D29" s="5" t="n">
        <v>242124.881</v>
      </c>
      <c r="Y29" t="inlineStr">
        <is>
          <t>Cash and cash equivalents at end of year</t>
        </is>
      </c>
      <c r="Z29" t="n">
        <v>242124.881</v>
      </c>
      <c r="AA29" t="n">
        <v>362299.484</v>
      </c>
      <c r="AB29" t="n">
        <v>558485</v>
      </c>
    </row>
    <row r="31">
      <c r="A31" s="3" t="inlineStr">
        <is>
          <t>Pillar 3 Key Metrics</t>
        </is>
      </c>
    </row>
    <row r="32">
      <c r="A32" s="4" t="inlineStr">
        <is>
          <t>Line item</t>
        </is>
      </c>
      <c r="B32" s="4" t="inlineStr">
        <is>
          <t>FY2025</t>
        </is>
      </c>
      <c r="C32" s="4" t="inlineStr">
        <is>
          <t>FY2024</t>
        </is>
      </c>
      <c r="D32" s="4" t="inlineStr">
        <is>
          <t>FY2023</t>
        </is>
      </c>
    </row>
    <row r="33">
      <c r="A33" s="6" t="inlineStr">
        <is>
          <t>CET1 Ratio</t>
        </is>
      </c>
      <c r="B33" s="6" t="inlineStr">
        <is>
          <t>18.5%</t>
        </is>
      </c>
      <c r="C33" s="6" t="inlineStr">
        <is>
          <t>24.1%</t>
        </is>
      </c>
      <c r="D33" s="6" t="inlineStr">
        <is>
          <t>31.7%</t>
        </is>
      </c>
    </row>
    <row r="34">
      <c r="A34" s="6" t="inlineStr">
        <is>
          <t>Tier 1 Ratio</t>
        </is>
      </c>
      <c r="B34" s="6" t="inlineStr">
        <is>
          <t>18.5%</t>
        </is>
      </c>
      <c r="C34" s="6" t="inlineStr">
        <is>
          <t>24.1%</t>
        </is>
      </c>
      <c r="D34" s="6" t="inlineStr">
        <is>
          <t>31.7%</t>
        </is>
      </c>
    </row>
    <row r="35">
      <c r="A35" s="6" t="inlineStr">
        <is>
          <t>Total Capital Ratio</t>
        </is>
      </c>
      <c r="B35" s="6" t="inlineStr">
        <is>
          <t>20.3%</t>
        </is>
      </c>
      <c r="C35" s="6" t="inlineStr">
        <is>
          <t>24.1%</t>
        </is>
      </c>
      <c r="D35" s="6" t="inlineStr">
        <is>
          <t>31.7%</t>
        </is>
      </c>
    </row>
    <row r="36">
      <c r="A36" s="6" t="inlineStr">
        <is>
          <t>Leverage Ratio</t>
        </is>
      </c>
      <c r="B36" s="6" t="inlineStr">
        <is>
          <t>14.4%</t>
        </is>
      </c>
      <c r="C36" s="6" t="inlineStr">
        <is>
          <t>21.5%</t>
        </is>
      </c>
      <c r="D36" s="6" t="inlineStr">
        <is>
          <t>56.3%</t>
        </is>
      </c>
    </row>
    <row r="37">
      <c r="A37" s="6" t="inlineStr">
        <is>
          <t>LCR</t>
        </is>
      </c>
      <c r="B37" s="6" t="inlineStr">
        <is>
          <t>196%</t>
        </is>
      </c>
      <c r="C37" s="6" t="inlineStr">
        <is>
          <t>175%</t>
        </is>
      </c>
      <c r="D37" s="6" t="inlineStr">
        <is>
          <t>133%</t>
        </is>
      </c>
    </row>
    <row r="38">
      <c r="A38" s="6" t="inlineStr">
        <is>
          <t>NSFR</t>
        </is>
      </c>
      <c r="B38" s="6" t="inlineStr">
        <is>
          <t>182%</t>
        </is>
      </c>
      <c r="C38" s="6" t="inlineStr">
        <is>
          <t>260%</t>
        </is>
      </c>
      <c r="D38" s="6" t="inlineStr">
        <is>
          <t>278%</t>
        </is>
      </c>
    </row>
    <row r="40" ht="52" customHeight="1">
      <c r="A40" s="7" t="inlineStr">
        <is>
          <t>Note: Figures are duplicated from the detail sheets for at-a-glance trend viewing; see each sheet's own source citation for the underlying document/page. Only 3 years shown - LHV Bank Limited was granted its PRA banking licence on 3 May 2023, so no earlier trading history exists. FY2024 cash flow uses a corrected 'Net increase in cash' figure - see the Cash Flow Statement sheet's DATA ERROR NOTE.</t>
        </is>
      </c>
    </row>
  </sheetData>
  <mergeCells count="1">
    <mergeCell ref="A40:D40"/>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D3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s>
  <sheetData>
    <row r="1">
      <c r="A1" s="1" t="inlineStr">
        <is>
          <t>LHV Bank Limited — Balance Sheet</t>
        </is>
      </c>
    </row>
    <row r="2">
      <c r="A2" s="2" t="inlineStr">
        <is>
          <t>Solo basis, £'000 unless stated. Only 3 years shown - see Cash Flow Statement sheet's ENTITY NOTE.</t>
        </is>
      </c>
    </row>
    <row r="3">
      <c r="A3" s="4" t="inlineStr">
        <is>
          <t>Line item</t>
        </is>
      </c>
      <c r="B3" s="4" t="inlineStr">
        <is>
          <t>FY2025 (£'000)</t>
        </is>
      </c>
      <c r="C3" s="4" t="inlineStr">
        <is>
          <t>FY2024 (£'000)</t>
        </is>
      </c>
      <c r="D3" s="4" t="inlineStr">
        <is>
          <t>FY2023 (£'000)</t>
        </is>
      </c>
    </row>
    <row r="4">
      <c r="A4" s="5" t="inlineStr">
        <is>
          <t>Assets</t>
        </is>
      </c>
      <c r="B4" s="6" t="n"/>
      <c r="C4" s="6" t="n"/>
      <c r="D4" s="6" t="n"/>
    </row>
    <row r="5">
      <c r="A5" s="6" t="inlineStr">
        <is>
          <t>Cash and cash equivalents</t>
        </is>
      </c>
      <c r="B5" s="6" t="n">
        <v>558485</v>
      </c>
      <c r="C5" s="6" t="n">
        <v>362299</v>
      </c>
      <c r="D5" s="6" t="n">
        <v>242125</v>
      </c>
    </row>
    <row r="6">
      <c r="A6" s="6" t="inlineStr">
        <is>
          <t>Derivative financial instruments (asset)</t>
        </is>
      </c>
      <c r="B6" s="6" t="n">
        <v>481</v>
      </c>
      <c r="C6" s="6" t="n"/>
      <c r="D6" s="6" t="n"/>
    </row>
    <row r="7">
      <c r="A7" s="6" t="inlineStr">
        <is>
          <t>Loans and advances to customers</t>
        </is>
      </c>
      <c r="B7" s="6" t="n">
        <v>682579</v>
      </c>
      <c r="C7" s="6" t="n">
        <v>288799</v>
      </c>
      <c r="D7" s="6" t="n">
        <v>69009</v>
      </c>
    </row>
    <row r="8">
      <c r="A8" s="6" t="inlineStr">
        <is>
          <t>Prepayments and accrued income</t>
        </is>
      </c>
      <c r="B8" s="6" t="n">
        <v>2022</v>
      </c>
      <c r="C8" s="6" t="n"/>
      <c r="D8" s="6" t="n"/>
    </row>
    <row r="9">
      <c r="A9" s="6" t="inlineStr">
        <is>
          <t>Other assets</t>
        </is>
      </c>
      <c r="B9" s="6" t="n">
        <v>2558</v>
      </c>
      <c r="C9" s="6" t="n">
        <v>6052</v>
      </c>
      <c r="D9" s="6" t="n">
        <v>2731</v>
      </c>
    </row>
    <row r="10">
      <c r="A10" s="6" t="inlineStr">
        <is>
          <t>Amounts due from other group undertakings</t>
        </is>
      </c>
      <c r="B10" s="6" t="n">
        <v>1778</v>
      </c>
      <c r="C10" s="6" t="n"/>
      <c r="D10" s="6" t="n"/>
    </row>
    <row r="11">
      <c r="A11" s="6" t="inlineStr">
        <is>
          <t>Right-of-use assets</t>
        </is>
      </c>
      <c r="B11" s="6" t="n">
        <v>1285</v>
      </c>
      <c r="C11" s="6" t="n"/>
      <c r="D11" s="6" t="n"/>
    </row>
    <row r="12">
      <c r="A12" s="6" t="inlineStr">
        <is>
          <t>Property, plant and equipment</t>
        </is>
      </c>
      <c r="B12" s="6" t="n">
        <v>870</v>
      </c>
      <c r="C12" s="6" t="n">
        <v>3435</v>
      </c>
      <c r="D12" s="6" t="n">
        <v>5437</v>
      </c>
    </row>
    <row r="13">
      <c r="A13" s="6" t="inlineStr">
        <is>
          <t>Intangible assets</t>
        </is>
      </c>
      <c r="B13" s="6" t="n">
        <v>1193</v>
      </c>
      <c r="C13" s="6" t="n">
        <v>1041</v>
      </c>
      <c r="D13" s="6" t="n"/>
    </row>
    <row r="14">
      <c r="A14" s="6" t="inlineStr">
        <is>
          <t>Deferred tax assets</t>
        </is>
      </c>
      <c r="B14" s="6" t="n">
        <v>418</v>
      </c>
      <c r="C14" s="6" t="n">
        <v>806</v>
      </c>
      <c r="D14" s="6" t="n">
        <v>1710</v>
      </c>
    </row>
    <row r="15">
      <c r="A15" s="5" t="inlineStr">
        <is>
          <t>Total assets</t>
        </is>
      </c>
      <c r="B15" s="5" t="n">
        <v>1251669</v>
      </c>
      <c r="C15" s="5" t="n">
        <v>662432</v>
      </c>
      <c r="D15" s="5" t="n">
        <v>321011</v>
      </c>
    </row>
    <row r="16">
      <c r="A16" s="5" t="inlineStr">
        <is>
          <t>Liabilities</t>
        </is>
      </c>
      <c r="B16" s="6" t="n"/>
      <c r="C16" s="6" t="n"/>
      <c r="D16" s="6" t="n"/>
    </row>
    <row r="17">
      <c r="A17" s="6" t="inlineStr">
        <is>
          <t>Derivative financial instruments (liability)</t>
        </is>
      </c>
      <c r="B17" s="6" t="n">
        <v>446</v>
      </c>
      <c r="C17" s="6" t="n"/>
      <c r="D17" s="6" t="n"/>
    </row>
    <row r="18">
      <c r="A18" s="6" t="inlineStr">
        <is>
          <t>Amounts due to banks</t>
        </is>
      </c>
      <c r="B18" s="6" t="n">
        <v>9090</v>
      </c>
      <c r="C18" s="6" t="n"/>
      <c r="D18" s="6" t="n"/>
    </row>
    <row r="19">
      <c r="A19" s="6" t="inlineStr">
        <is>
          <t>Deposits by/from customers</t>
        </is>
      </c>
      <c r="B19" s="6" t="n">
        <v>1114522</v>
      </c>
      <c r="C19" s="6" t="n">
        <v>584520</v>
      </c>
      <c r="D19" s="6" t="n">
        <v>206998</v>
      </c>
    </row>
    <row r="20">
      <c r="A20" s="6" t="inlineStr">
        <is>
          <t>Overdraft from fellow subsidiary</t>
        </is>
      </c>
      <c r="B20" s="6" t="n"/>
      <c r="C20" s="6" t="n"/>
      <c r="D20" s="6" t="n">
        <v>57473</v>
      </c>
    </row>
    <row r="21">
      <c r="A21" s="6" t="inlineStr">
        <is>
          <t>Amounts due to other group undertakings</t>
        </is>
      </c>
      <c r="B21" s="6" t="n">
        <v>12</v>
      </c>
      <c r="C21" s="6" t="n"/>
      <c r="D21" s="6" t="n"/>
    </row>
    <row r="22">
      <c r="A22" s="6" t="inlineStr">
        <is>
          <t>Subordinated liabilities</t>
        </is>
      </c>
      <c r="B22" s="6" t="n">
        <v>10033</v>
      </c>
      <c r="C22" s="6" t="n"/>
      <c r="D22" s="6" t="n"/>
    </row>
    <row r="23">
      <c r="A23" s="6" t="inlineStr">
        <is>
          <t>Provisions</t>
        </is>
      </c>
      <c r="B23" s="6" t="n">
        <v>358</v>
      </c>
      <c r="C23" s="6" t="n">
        <v>267</v>
      </c>
      <c r="D23" s="6" t="n">
        <v>188</v>
      </c>
    </row>
    <row r="24">
      <c r="A24" s="6" t="inlineStr">
        <is>
          <t>Other liabilities</t>
        </is>
      </c>
      <c r="B24" s="6" t="n">
        <v>8876</v>
      </c>
      <c r="C24" s="6" t="n">
        <v>3939</v>
      </c>
      <c r="D24" s="6" t="n">
        <v>5651</v>
      </c>
    </row>
    <row r="25">
      <c r="A25" s="6" t="inlineStr">
        <is>
          <t>Lease liabilities</t>
        </is>
      </c>
      <c r="B25" s="6" t="n">
        <v>1454</v>
      </c>
      <c r="C25" s="6" t="n">
        <v>2367</v>
      </c>
      <c r="D25" s="6" t="n">
        <v>4004</v>
      </c>
    </row>
    <row r="26">
      <c r="A26" s="5" t="inlineStr">
        <is>
          <t>Total liabilities</t>
        </is>
      </c>
      <c r="B26" s="5" t="n">
        <v>1144791</v>
      </c>
      <c r="C26" s="5" t="n">
        <v>591093</v>
      </c>
      <c r="D26" s="5" t="n">
        <v>274314</v>
      </c>
    </row>
    <row r="27">
      <c r="A27" s="5" t="inlineStr">
        <is>
          <t>Equity</t>
        </is>
      </c>
      <c r="B27" s="6" t="n"/>
      <c r="C27" s="6" t="n"/>
      <c r="D27" s="6" t="n"/>
    </row>
    <row r="28">
      <c r="A28" s="6" t="inlineStr">
        <is>
          <t>Called-up share capital</t>
        </is>
      </c>
      <c r="B28" s="6" t="n">
        <v>105000</v>
      </c>
      <c r="C28" s="6" t="n">
        <v>75000</v>
      </c>
      <c r="D28" s="6" t="n">
        <v>54100</v>
      </c>
    </row>
    <row r="29">
      <c r="A29" s="6" t="inlineStr">
        <is>
          <t>Other reserves</t>
        </is>
      </c>
      <c r="B29" s="6" t="n">
        <v>-346</v>
      </c>
      <c r="C29" s="6" t="n">
        <v>-612</v>
      </c>
      <c r="D29" s="6" t="n">
        <v>-1270</v>
      </c>
    </row>
    <row r="30">
      <c r="A30" s="6" t="inlineStr">
        <is>
          <t>Accumulated profits/(losses)</t>
        </is>
      </c>
      <c r="B30" s="6" t="n">
        <v>2224</v>
      </c>
      <c r="C30" s="6" t="n">
        <v>-3049</v>
      </c>
      <c r="D30" s="6" t="n">
        <v>-6133</v>
      </c>
    </row>
    <row r="31">
      <c r="A31" s="5" t="inlineStr">
        <is>
          <t>Total equity</t>
        </is>
      </c>
      <c r="B31" s="5" t="n">
        <v>106878</v>
      </c>
      <c r="C31" s="5" t="n">
        <v>71339</v>
      </c>
      <c r="D31" s="5" t="n">
        <v>46697</v>
      </c>
    </row>
    <row r="32">
      <c r="A32" s="5" t="inlineStr">
        <is>
          <t>Total equity and liabilities</t>
        </is>
      </c>
      <c r="B32" s="5" t="n">
        <v>1251669</v>
      </c>
      <c r="C32" s="5" t="n">
        <v>662432</v>
      </c>
      <c r="D32" s="5" t="n">
        <v>321011</v>
      </c>
    </row>
    <row r="34" ht="340" customHeight="1">
      <c r="A34" s="8" t="inlineStr">
        <is>
          <t>Sources - LHV Bank Limited Annual Reports, solo basis, £'000 (FY2023/FY2024 as originally reported in whole £, divided by 1,000 here for unit consistency with FY2025's own £'000 presentation):
FY2025: Annual Report 2025, Statement of financial position/Statement of comprehensive income/Statement of change in equity, p.65-66, Note 14 'Loans and advances to customers' p.86, Note 34.1.12-34.1.14 'Credit performance'/'Movement in total exposures' p.107-108 - https://framerusercontent.com/assets/ZBWKLmRUPe8T4hKrOicG3V2KYeE.pdf
FY2024: Annual Report and Financial Statements 2024, Statement of Financial Position/Statement of Comprehensive Income/Statement of Change in Equity, p.52-54, Note 12 'Loans and advances to customers' p.78-79 - https://framerusercontent.com/assets/srilZFyKHEx1zeu697l5ZFVMXoU.pdf
FY2023: Annual Report and Financial Statements 2023, Statement of Comprehensive Income/Statement of Financial Position/Statement of Changes in Equity, p.28-30 - https://framerusercontent.com/assets/6Jp4ZWQKQVS1wXUDoBneovYKzIo.pdf
ENTITY NOTE: LHV Bank Limited (Companies House 13180211, FRN 993767) is a UK bank owned by AS LHV Group (Estonia), incorporated 4 February 2021 and granted an unrestricted PRA banking licence on 3 May 2023 - its first Annual Report and Pillar 3 disclosure cover FY2023, so only 3 years of history exist (too young for 5). As at 31 December 2025 it is classified as an 'other institution' (not Small and Non-Complex, not Large) under Article 433 of the PRA Rulebook's Disclosure Part, requiring a reduced annual-only Pillar 3 disclosure with no KM2/MREL template - consistent with no MREL figures appearing in any year's Pillar 3 report.
PRESENTATION NOTE: FY2025's Statement of comprehensive income "has been re-represented using a new format" (the Bank's own words) - its structure (Total operating income before Operating expenses, then Net operating income, then Change in ECL allowance as its own line) genuinely differs from FY2023/FY2024's structure (Net operating income shown AFTER Credit impairment charge, BEFORE Operating expenses). Each year's own contemporaneous report's structure is preserved as published rather than forced into one template; FY2024's own report (not AR2025's later re-represented comparative) is used for FY2024's own figures, per project convention - the two are numerically identical (AR2025's FY2024 comparative column ties to AR2024's own figures to the last £'000) so this is a presentation-only choice, not a data conflict.
Balance Sheet line items also differ across years: FY2025 splits out Derivative financial instruments, Prepayments and accrued income, Amounts due from/to other group undertakings, and Right-of-use assets separately; FY2023/FY2024 combine most of these into 'Other assets'/'Other liabilities' or fold right-of-use assets into Property, plant and equipment - blank cells indicate that year's report did not disclose that specific split, not that the balance was zero. FY2023/FY2024 disclose 'Overdraft from fellow subsidiary' as its own line (repaid during FY2024); no equivalent exists in FY2025. FY2023/FY2024 disclose a separate 'Merger reserve' component of equity (arising on the LHV Pank branch business transfer, Aug 2023); FY2025's own equity statement combines this into a single 'Other reserves' line instead - see the Statement of Changes in Equity sheet's own note for how this is reconciled.</t>
        </is>
      </c>
    </row>
    <row r="36" ht="340" customHeight="1">
      <c r="A36" s="8" t="inlineStr">
        <is>
          <t>(continued)
DATA ERROR NOTE 2 (2026-09-07): LHV Bank Limited's own FY2025 Annual Report (p.66, Statement of comprehensive income) prints 'Total operating income' for FY2025 as £2k - this is the sum of only the last three income lines (Other operating income 248, Changes in fair value of financial instruments at FVTPL (183), Foreign exchange translation differences (63) = 2), omitting Net interest income (23,515) and Net fee and commission income (24,058) entirely, even though both sit directly above it in the same statement with no other subtotal in between. This does not reconcile with the same statement's own next line down: 'Net operating income' (Total operating income less Operating expenses) is printed as 8,133, which only reconciles against a Total operating income of approximately 47,575 (23,515 + 24,058 + 248 - 183 - 63 = 47,575; less Operating expenses of 39,443 = 8,132, matching the printed 8,133 to rounding) - not the printed 2. This workbook uses the reconciling figure (47,575) for 'Total operating income', not the source's own apparent misprint.</t>
        </is>
      </c>
    </row>
  </sheetData>
  <mergeCells count="2">
    <mergeCell ref="A34:D34"/>
    <mergeCell ref="A36:D3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00" customWidth="1" min="1" max="1"/>
    <col width="15" customWidth="1" min="2" max="2"/>
    <col width="15" customWidth="1" min="3" max="3"/>
    <col width="15" customWidth="1" min="4" max="4"/>
  </cols>
  <sheetData>
    <row r="1">
      <c r="A1" s="1" t="inlineStr">
        <is>
          <t>LHV Bank Limited — Profit &amp; Loss</t>
        </is>
      </c>
    </row>
    <row r="2">
      <c r="A2" s="2" t="inlineStr">
        <is>
          <t>Solo basis, £'000 unless stated. FY2023/FY2024's own reports show Credit impairment charge and Net operating income BEFORE operating expenses; FY2025's re-represented format moves operating expenses before Net operating income and adds a separate 'Change in ECL allowance' line - each year's own structure preserved, not forced into one template (see STATEMENTS_SOURCES note).</t>
        </is>
      </c>
    </row>
    <row r="3">
      <c r="A3" s="4" t="inlineStr">
        <is>
          <t>Line item</t>
        </is>
      </c>
      <c r="B3" s="4" t="inlineStr">
        <is>
          <t>FY2025 (£'000)</t>
        </is>
      </c>
      <c r="C3" s="4" t="inlineStr">
        <is>
          <t>FY2024 (£'000)</t>
        </is>
      </c>
      <c r="D3" s="4" t="inlineStr">
        <is>
          <t>FY2023 (£'000)</t>
        </is>
      </c>
    </row>
    <row r="4">
      <c r="A4" s="5" t="inlineStr">
        <is>
          <t>Income</t>
        </is>
      </c>
      <c r="B4" s="6" t="n"/>
      <c r="C4" s="6" t="n"/>
      <c r="D4" s="6" t="n"/>
    </row>
    <row r="5">
      <c r="A5" s="6" t="inlineStr">
        <is>
          <t>Interest income</t>
        </is>
      </c>
      <c r="B5" s="6" t="n">
        <v>58374</v>
      </c>
      <c r="C5" s="6" t="n">
        <v>29616</v>
      </c>
      <c r="D5" s="6" t="n">
        <v>29628</v>
      </c>
    </row>
    <row r="6">
      <c r="A6" s="6" t="inlineStr">
        <is>
          <t>Interest expense</t>
        </is>
      </c>
      <c r="B6" s="6" t="n">
        <v>-34859</v>
      </c>
      <c r="C6" s="6" t="n">
        <v>-17219</v>
      </c>
      <c r="D6" s="6" t="n">
        <v>-4576</v>
      </c>
    </row>
    <row r="7">
      <c r="A7" s="5" t="inlineStr">
        <is>
          <t>Net interest income</t>
        </is>
      </c>
      <c r="B7" s="5" t="n">
        <v>23515</v>
      </c>
      <c r="C7" s="5" t="n">
        <v>12397</v>
      </c>
      <c r="D7" s="5" t="n">
        <v>25052</v>
      </c>
    </row>
    <row r="8">
      <c r="A8" s="6" t="inlineStr">
        <is>
          <t>Fee and commission income</t>
        </is>
      </c>
      <c r="B8" s="6" t="n">
        <v>26285</v>
      </c>
      <c r="C8" s="6" t="n">
        <v>26840</v>
      </c>
      <c r="D8" s="6" t="n">
        <v>6962</v>
      </c>
    </row>
    <row r="9">
      <c r="A9" s="6" t="inlineStr">
        <is>
          <t>Fee and commission expense</t>
        </is>
      </c>
      <c r="B9" s="6" t="n">
        <v>-2227</v>
      </c>
      <c r="C9" s="6" t="n">
        <v>-1902</v>
      </c>
      <c r="D9" s="6" t="n">
        <v>-202</v>
      </c>
    </row>
    <row r="10">
      <c r="A10" s="5" t="inlineStr">
        <is>
          <t>Net fee and commission income</t>
        </is>
      </c>
      <c r="B10" s="5" t="n">
        <v>24058</v>
      </c>
      <c r="C10" s="5" t="n"/>
      <c r="D10" s="5" t="n"/>
    </row>
    <row r="11">
      <c r="A11" s="6" t="inlineStr">
        <is>
          <t>Other operating income</t>
        </is>
      </c>
      <c r="B11" s="6" t="n">
        <v>248</v>
      </c>
      <c r="C11" s="6" t="n">
        <v>420</v>
      </c>
      <c r="D11" s="6" t="n">
        <v>227</v>
      </c>
    </row>
    <row r="12">
      <c r="A12" s="6" t="inlineStr">
        <is>
          <t>Changes in fair value of financial instruments measured at FVTPL</t>
        </is>
      </c>
      <c r="B12" s="6" t="n">
        <v>-183</v>
      </c>
      <c r="C12" s="6" t="n"/>
      <c r="D12" s="6" t="n"/>
    </row>
    <row r="13">
      <c r="A13" s="6" t="inlineStr">
        <is>
          <t>Foreign exchange translation differences</t>
        </is>
      </c>
      <c r="B13" s="6" t="n">
        <v>-63</v>
      </c>
      <c r="C13" s="6" t="n">
        <v>-102</v>
      </c>
      <c r="D13" s="6" t="n">
        <v>-62</v>
      </c>
    </row>
    <row r="14">
      <c r="A14" s="5" t="inlineStr">
        <is>
          <t>Total operating income</t>
        </is>
      </c>
      <c r="B14" s="5" t="n">
        <v>47575</v>
      </c>
      <c r="C14" s="5" t="n"/>
      <c r="D14" s="5" t="n"/>
    </row>
    <row r="15">
      <c r="A15" s="5" t="inlineStr">
        <is>
          <t>Net operating income (FY2023/FY2024's own subtotal, BEFORE operating expenses - structured differently from FY2025's own subtotals above/below)</t>
        </is>
      </c>
      <c r="B15" s="5" t="n"/>
      <c r="C15" s="5" t="n">
        <v>37241</v>
      </c>
      <c r="D15" s="5" t="n">
        <v>31978</v>
      </c>
    </row>
    <row r="16">
      <c r="A16" s="6" t="inlineStr">
        <is>
          <t>Personnel expenses</t>
        </is>
      </c>
      <c r="B16" s="6" t="n"/>
      <c r="C16" s="6" t="n">
        <v>-18715</v>
      </c>
      <c r="D16" s="6" t="n">
        <v>-12886</v>
      </c>
    </row>
    <row r="17">
      <c r="A17" s="6" t="inlineStr">
        <is>
          <t>Depreciation and amortisation</t>
        </is>
      </c>
      <c r="B17" s="6" t="n"/>
      <c r="C17" s="6" t="n">
        <v>-1091</v>
      </c>
      <c r="D17" s="6" t="n">
        <v>-1596</v>
      </c>
    </row>
    <row r="18">
      <c r="A18" s="6" t="inlineStr">
        <is>
          <t>Other operating expenses</t>
        </is>
      </c>
      <c r="B18" s="6" t="n"/>
      <c r="C18" s="6" t="n">
        <v>-13391</v>
      </c>
      <c r="D18" s="6" t="n">
        <v>-12566</v>
      </c>
    </row>
    <row r="19">
      <c r="A19" s="5" t="inlineStr">
        <is>
          <t>Operating expenses</t>
        </is>
      </c>
      <c r="B19" s="5" t="n">
        <v>-39443</v>
      </c>
      <c r="C19" s="5" t="n">
        <v>-33197</v>
      </c>
      <c r="D19" s="5" t="n">
        <v>-27198</v>
      </c>
    </row>
    <row r="20">
      <c r="A20" s="5" t="inlineStr">
        <is>
          <t>Net operating income (FY2025's own subtotal, AFTER operating expenses)</t>
        </is>
      </c>
      <c r="B20" s="5" t="n">
        <v>8133</v>
      </c>
      <c r="C20" s="5" t="n"/>
      <c r="D20" s="5" t="n"/>
    </row>
    <row r="21">
      <c r="A21" s="6" t="inlineStr">
        <is>
          <t>Change in expected credit loss allowance</t>
        </is>
      </c>
      <c r="B21" s="6" t="n">
        <v>-1367</v>
      </c>
      <c r="C21" s="6" t="n">
        <v>-412</v>
      </c>
      <c r="D21" s="6" t="n">
        <v>-150</v>
      </c>
    </row>
    <row r="22">
      <c r="A22" s="5" t="inlineStr">
        <is>
          <t>Profit before tax</t>
        </is>
      </c>
      <c r="B22" s="5" t="n">
        <v>6766</v>
      </c>
      <c r="C22" s="5" t="n">
        <v>4044</v>
      </c>
      <c r="D22" s="5" t="n">
        <v>4780</v>
      </c>
    </row>
    <row r="23">
      <c r="A23" s="6" t="inlineStr">
        <is>
          <t>Taxation (charge)/credit</t>
        </is>
      </c>
      <c r="B23" s="6" t="n">
        <v>-2004</v>
      </c>
      <c r="C23" s="6" t="n">
        <v>-961</v>
      </c>
      <c r="D23" s="6" t="n">
        <v>1657</v>
      </c>
    </row>
    <row r="24">
      <c r="A24" s="5" t="inlineStr">
        <is>
          <t>Profit after tax</t>
        </is>
      </c>
      <c r="B24" s="5" t="n">
        <v>4761</v>
      </c>
      <c r="C24" s="5" t="n">
        <v>3084</v>
      </c>
      <c r="D24" s="5" t="n">
        <v>6437</v>
      </c>
    </row>
    <row r="25">
      <c r="A25" s="5" t="inlineStr">
        <is>
          <t>Total comprehensive income for the year</t>
        </is>
      </c>
      <c r="B25" s="5" t="n">
        <v>4761</v>
      </c>
      <c r="C25" s="5" t="n">
        <v>3084</v>
      </c>
      <c r="D25" s="5" t="n">
        <v>6437</v>
      </c>
    </row>
    <row r="27" ht="403" customHeight="1">
      <c r="A27" s="8" t="inlineStr">
        <is>
          <t>Sources - LHV Bank Limited Annual Reports, solo basis, £'000 (FY2023/FY2024 as originally reported in whole £, divided by 1,000 here for unit consistency with FY2025's own £'000 presentation):
FY2025: Annual Report 2025, Statement of financial position/Statement of comprehensive income/Statement of change in equity, p.65-66, Note 14 'Loans and advances to customers' p.86, Note 34.1.12-34.1.14 'Credit performance'/'Movement in total exposures' p.107-108 - https://framerusercontent.com/assets/ZBWKLmRUPe8T4hKrOicG3V2KYeE.pdf
FY2024: Annual Report and Financial Statements 2024, Statement of Financial Position/Statement of Comprehensive Income/Statement of Change in Equity, p.52-54, Note 12 'Loans and advances to customers' p.78-79 - https://framerusercontent.com/assets/srilZFyKHEx1zeu697l5ZFVMXoU.pdf
FY2023: Annual Report and Financial Statements 2023, Statement of Comprehensive Income/Statement of Financial Position/Statement of Changes in Equity, p.28-30 - https://framerusercontent.com/assets/6Jp4ZWQKQVS1wXUDoBneovYKzIo.pdf
ENTITY NOTE: LHV Bank Limited (Companies House 13180211, FRN 993767) is a UK bank owned by AS LHV Group (Estonia), incorporated 4 February 2021 and granted an unrestricted PRA banking licence on 3 May 2023 - its first Annual Report and Pillar 3 disclosure cover FY2023, so only 3 years of history exist (too young for 5). As at 31 December 2025 it is classified as an 'other institution' (not Small and Non-Complex, not Large) under Article 433 of the PRA Rulebook's Disclosure Part, requiring a reduced annual-only Pillar 3 disclosure with no KM2/MREL template - consistent with no MREL figures appearing in any year's Pillar 3 report.
PRESENTATION NOTE: FY2025's Statement of comprehensive income "has been re-represented using a new format" (the Bank's own words) - its structure (Total operating income before Operating expenses, then Net operating income, then Change in ECL allowance as its own line) genuinely differs from FY2023/FY2024's structure (Net operating income shown AFTER Credit impairment charge, BEFORE Operating expenses). Each year's own contemporaneous report's structure is preserved as published rather than forced into one template; FY2024's own report (not AR2025's later re-represented comparative) is used for FY2024's own figures, per project convention - the two are numerically identical (AR2025's FY2024 comparative column ties to AR2024's own figures to the last £'000) so this is a presentation-only choice, not a data conflict.
Balance Sheet line items also differ across years: FY2025 splits out Derivative financial instruments, Prepayments and accrued income, Amounts due from/to other group undertakings, and Right-of-use assets separately; FY2023/FY2024 combine most of these into 'Other assets'/'Other liabilities' or fold right-of-use assets into Property, plant and equipment - blank cells indicate that year's report did not disclose that specific split, not that the balance was zero. FY2023/FY2024 disclose 'Overdraft from fellow subsidiary' as its own line (repaid during FY2024); no equivalent exists in FY2025. FY2023/FY2024 disclose a separate 'Merger reserve' component of equity (arising on the LHV Pank branch business transfer, Aug 2023); FY2025's own equity statement combines this into a single 'Other reserves' line instead - see the Statement of Changes in Equity sheet's own note for how this is reconciled.
DATA ERROR NOTE 2 (2026-09-07): LHV Bank Limited's own FY2025 Annual Report (p.66, Statement of comprehensive income) prints 'Total operating income' for FY2025 as £2k - this is the sum of only the last three income lines (Other operating income 248, Changes in fair value of financial instruments at FVTPL (183), Foreign exchange translation differences (63) = 2), omitting Net interest income (23,515) and Net fee and commission income (24,058) entirely, even though both sit directly above it in the same statement with no other subtotal in between. This does not reconcile with the same statement's own next line down: 'Net operating income' (Total operating income less Operating expenses) is printed as 8,133, which only reconciles against a Total operating income of approximately 47,575 (23,515 + 24,058 + 248 - 183 - 63 = 47,575; less Operating expenses of 39,443 = 8,132, matching the printed 8,133 to rounding) - not the printed 2. This workbook uses the reconciling figure (47,575) for 'Total operating income', not the source's own apparent misprint.</t>
        </is>
      </c>
    </row>
  </sheetData>
  <mergeCells count="1">
    <mergeCell ref="A27:D2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3"/>
  <sheetViews>
    <sheetView workbookViewId="0">
      <pane ySplit="4" topLeftCell="A5" activePane="bottomLeft" state="frozen"/>
      <selection pane="bottomLeft" activeCell="A1" sqref="A1"/>
    </sheetView>
  </sheetViews>
  <sheetFormatPr baseColWidth="8" defaultRowHeight="15"/>
  <cols>
    <col width="46" customWidth="1" min="1" max="1"/>
    <col width="15" customWidth="1" min="2" max="2"/>
    <col width="15" customWidth="1" min="3" max="3"/>
    <col width="15" customWidth="1" min="4" max="4"/>
    <col width="15" customWidth="1" min="5" max="5"/>
  </cols>
  <sheetData>
    <row r="1">
      <c r="A1" s="1" t="inlineStr">
        <is>
          <t>LHV Bank Limited — Statement of Changes in Equity</t>
        </is>
      </c>
    </row>
    <row r="2">
      <c r="A2" s="2" t="inlineStr">
        <is>
          <t>Chronological roll-forward, oldest to newest. £'000. Equity reconciliation ladder confirmed: every year's own closing balance ties exactly to the next year's own opening balance and that year's own Balance Sheet Total equity - Total equity itself is never in doubt at any point (46,697 / 71,339 / 106,878), only the split between the 'Other reserves' and 'Accumulated profits' columns for the 31 Dec 2024 balance differs by £19k between AR2024's own closing figures and AR2025's own restated comparative (a genuine, disclosed reclassification between reserve categories, not a plug for an error) - flagged explicitly as its own row rather than silently absorbed into either adjacent row.</t>
        </is>
      </c>
    </row>
    <row r="3">
      <c r="A3" s="4" t="inlineStr">
        <is>
          <t>Movement</t>
        </is>
      </c>
      <c r="B3" s="4" t="inlineStr">
        <is>
          <t>Called-up share capital</t>
        </is>
      </c>
      <c r="C3" s="4" t="inlineStr">
        <is>
          <t>Other reserves</t>
        </is>
      </c>
      <c r="D3" s="4" t="inlineStr">
        <is>
          <t>Accumulated profits/(losses)</t>
        </is>
      </c>
      <c r="E3" s="4" t="inlineStr">
        <is>
          <t>Total</t>
        </is>
      </c>
    </row>
    <row r="4">
      <c r="A4" s="5" t="inlineStr">
        <is>
          <t>Opening balance at 1 January 2023 (FY2023 opening, = FY2022 closing)</t>
        </is>
      </c>
      <c r="B4" s="5" t="n">
        <v>44100</v>
      </c>
      <c r="C4" s="5" t="n">
        <v>121</v>
      </c>
      <c r="D4" s="5" t="n">
        <v>-12570</v>
      </c>
      <c r="E4" s="5" t="n">
        <v>31651</v>
      </c>
    </row>
    <row r="5">
      <c r="A5" s="6" t="inlineStr">
        <is>
          <t>Profit for the year</t>
        </is>
      </c>
      <c r="B5" s="6" t="n"/>
      <c r="C5" s="6" t="n"/>
      <c r="D5" s="6" t="n">
        <v>6437</v>
      </c>
      <c r="E5" s="6" t="n">
        <v>6437</v>
      </c>
    </row>
    <row r="6">
      <c r="A6" s="6" t="inlineStr">
        <is>
          <t>Issue and allotment of share capital</t>
        </is>
      </c>
      <c r="B6" s="6" t="n">
        <v>10000</v>
      </c>
      <c r="C6" s="6" t="n"/>
      <c r="D6" s="6" t="n"/>
      <c r="E6" s="6" t="n">
        <v>10000</v>
      </c>
    </row>
    <row r="7">
      <c r="A7" s="6" t="inlineStr">
        <is>
          <t>Share based payments</t>
        </is>
      </c>
      <c r="B7" s="6" t="n"/>
      <c r="C7" s="6" t="n">
        <v>334</v>
      </c>
      <c r="D7" s="6" t="n"/>
      <c r="E7" s="6" t="n">
        <v>334</v>
      </c>
    </row>
    <row r="8">
      <c r="A8" s="6" t="inlineStr">
        <is>
          <t>Merger reserve arising on LHV Pank branch business transfer (18 Aug 2023)</t>
        </is>
      </c>
      <c r="B8" s="6" t="n"/>
      <c r="C8" s="6" t="n">
        <v>-1725</v>
      </c>
      <c r="D8" s="6" t="n"/>
      <c r="E8" s="6" t="n">
        <v>-1725</v>
      </c>
    </row>
    <row r="9">
      <c r="A9" s="5" t="inlineStr">
        <is>
          <t>At 31 December 2023 (FY2023 closing)</t>
        </is>
      </c>
      <c r="B9" s="5" t="n">
        <v>54100</v>
      </c>
      <c r="C9" s="5" t="n">
        <v>-1270</v>
      </c>
      <c r="D9" s="5" t="n">
        <v>-6133</v>
      </c>
      <c r="E9" s="5" t="n">
        <v>46697</v>
      </c>
    </row>
    <row r="10">
      <c r="A10" s="6" t="inlineStr">
        <is>
          <t>Profit for the year</t>
        </is>
      </c>
      <c r="B10" s="6" t="n"/>
      <c r="C10" s="6" t="n"/>
      <c r="D10" s="6" t="n">
        <v>3084</v>
      </c>
      <c r="E10" s="6" t="n">
        <v>3084</v>
      </c>
    </row>
    <row r="11">
      <c r="A11" s="6" t="inlineStr">
        <is>
          <t>Issue and allotment of share capital</t>
        </is>
      </c>
      <c r="B11" s="6" t="n">
        <v>20900</v>
      </c>
      <c r="C11" s="6" t="n"/>
      <c r="D11" s="6" t="n"/>
      <c r="E11" s="6" t="n">
        <v>20900</v>
      </c>
    </row>
    <row r="12">
      <c r="A12" s="6" t="inlineStr">
        <is>
          <t>Share based payments</t>
        </is>
      </c>
      <c r="B12" s="6" t="n"/>
      <c r="C12" s="6" t="n">
        <v>658</v>
      </c>
      <c r="D12" s="6" t="n"/>
      <c r="E12" s="6" t="n">
        <v>658</v>
      </c>
    </row>
    <row r="13">
      <c r="A13" s="5" t="inlineStr">
        <is>
          <t>At 31 December 2024 per AR2024's own report (FY2024 closing, AR2024's own basis)</t>
        </is>
      </c>
      <c r="B13" s="5" t="n">
        <v>75000</v>
      </c>
      <c r="C13" s="5" t="n">
        <v>-612</v>
      </c>
      <c r="D13" s="5" t="n">
        <v>-3049</v>
      </c>
      <c r="E13" s="5" t="n">
        <v>71339</v>
      </c>
    </row>
    <row r="14">
      <c r="A14" s="6" t="inlineStr">
        <is>
          <t>Reclassification between reserve categories per AR2025's own restated FY2024 comparative (net £nil - see note below, NOT a plug for a genuine error)</t>
        </is>
      </c>
      <c r="B14" s="6" t="n"/>
      <c r="C14" s="6" t="n">
        <v>-19</v>
      </c>
      <c r="D14" s="6" t="n">
        <v>19</v>
      </c>
      <c r="E14" s="6" t="n"/>
    </row>
    <row r="15">
      <c r="A15" s="5" t="inlineStr">
        <is>
          <t>At 1 January 2025 per AR2025's own comparative (FY2025 opening, AR2025's own basis)</t>
        </is>
      </c>
      <c r="B15" s="5" t="n">
        <v>75000</v>
      </c>
      <c r="C15" s="5" t="n">
        <v>-631</v>
      </c>
      <c r="D15" s="5" t="n">
        <v>-3030</v>
      </c>
      <c r="E15" s="5" t="n">
        <v>71339</v>
      </c>
    </row>
    <row r="16">
      <c r="A16" s="6" t="inlineStr">
        <is>
          <t>Total comprehensive income</t>
        </is>
      </c>
      <c r="B16" s="6" t="n"/>
      <c r="C16" s="6" t="n"/>
      <c r="D16" s="6" t="n">
        <v>4761</v>
      </c>
      <c r="E16" s="6" t="n">
        <v>4761</v>
      </c>
    </row>
    <row r="17">
      <c r="A17" s="6" t="inlineStr">
        <is>
          <t>Issue and allotment of share capital</t>
        </is>
      </c>
      <c r="B17" s="6" t="n">
        <v>30000</v>
      </c>
      <c r="C17" s="6" t="n"/>
      <c r="D17" s="6" t="n"/>
      <c r="E17" s="6" t="n">
        <v>30000</v>
      </c>
    </row>
    <row r="18">
      <c r="A18" s="6" t="inlineStr">
        <is>
          <t>Net share option movements</t>
        </is>
      </c>
      <c r="B18" s="6" t="n"/>
      <c r="C18" s="6" t="n">
        <v>285</v>
      </c>
      <c r="D18" s="6" t="n">
        <v>492</v>
      </c>
      <c r="E18" s="6" t="n">
        <v>777</v>
      </c>
    </row>
    <row r="19">
      <c r="A19" s="5" t="inlineStr">
        <is>
          <t>At 31 December 2025 (FY2025 closing)</t>
        </is>
      </c>
      <c r="B19" s="5" t="n">
        <v>105000</v>
      </c>
      <c r="C19" s="5" t="n">
        <v>-346</v>
      </c>
      <c r="D19" s="5" t="n">
        <v>2224</v>
      </c>
      <c r="E19" s="5" t="n">
        <v>106878</v>
      </c>
    </row>
    <row r="21" ht="390" customHeight="1">
      <c r="A21" s="8" t="inlineStr">
        <is>
          <t>Sources - LHV Bank Limited Annual Reports, solo basis, £'000 (FY2023/FY2024 as originally reported in whole £, divided by 1,000 here for unit consistency with FY2025's own £'000 presentation):
FY2025: Annual Report 2025, Statement of financial position/Statement of comprehensive income/Statement of change in equity, p.65-66, Note 14 'Loans and advances to customers' p.86, Note 34.1.12-34.1.14 'Credit performance'/'Movement in total exposures' p.107-108 - https://framerusercontent.com/assets/ZBWKLmRUPe8T4hKrOicG3V2KYeE.pdf
FY2024: Annual Report and Financial Statements 2024, Statement of Financial Position/Statement of Comprehensive Income/Statement of Change in Equity, p.52-54, Note 12 'Loans and advances to customers' p.78-79 - https://framerusercontent.com/assets/srilZFyKHEx1zeu697l5ZFVMXoU.pdf
FY2023: Annual Report and Financial Statements 2023, Statement of Comprehensive Income/Statement of Financial Position/Statement of Changes in Equity, p.28-30 - https://framerusercontent.com/assets/6Jp4ZWQKQVS1wXUDoBneovYKzIo.pdf
ENTITY NOTE: LHV Bank Limited (Companies House 13180211, FRN 993767) is a UK bank owned by AS LHV Group (Estonia), incorporated 4 February 2021 and granted an unrestricted PRA banking licence on 3 May 2023 - its first Annual Report and Pillar 3 disclosure cover FY2023, so only 3 years of history exist (too young for 5). As at 31 December 2025 it is classified as an 'other institution' (not Small and Non-Complex, not Large) under Article 433 of the PRA Rulebook's Disclosure Part, requiring a reduced annual-only Pillar 3 disclosure with no KM2/MREL template - consistent with no MREL figures appearing in any year's Pillar 3 report.
PRESENTATION NOTE: FY2025's Statement of comprehensive income "has been re-represented using a new format" (the Bank's own words) - its structure (Total operating income before Operating expenses, then Net operating income, then Change in ECL allowance as its own line) genuinely differs from FY2023/FY2024's structure (Net operating income shown AFTER Credit impairment charge, BEFORE Operating expenses). Each year's own contemporaneous report's structure is preserved as published rather than forced into one template; FY2024's own report (not AR2025's later re-represented comparative) is used for FY2024's own figures, per project convention - the two are numerically identical (AR2025's FY2024 comparative column ties to AR2024's own figures to the last £'000) so this is a presentation-only choice, not a data conflict.
Balance Sheet line items also differ across years: FY2025 splits out Derivative financial instruments, Prepayments and accrued income, Amounts due from/to other group undertakings, and Right-of-use assets separately; FY2023/FY2024 combine most of these into 'Other assets'/'Other liabilities' or fold right-of-use assets into Property, plant and equipment - blank cells indicate that year's report did not disclose that specific split, not that the balance was zero. FY2023/FY2024 disclose 'Overdraft from fellow subsidiary' as its own line (repaid during FY2024); no equivalent exists in FY2025. FY2023/FY2024 disclose a separate 'Merger reserve' component of equity (arising on the LHV Pank branch business transfer, Aug 2023); FY2025's own equity statement combines this into a single 'Other reserves' line instead - see the Statement of Changes in Equity sheet's own note for how this is reconciled.</t>
        </is>
      </c>
    </row>
    <row r="23" ht="150" customHeight="1">
      <c r="A23" s="8" t="inlineStr">
        <is>
          <t>(continued)
DATA ERROR NOTE 2 (2026-09-07): LHV Bank Limited's own FY2025 Annual Report (p.66, Statement of comprehensive income) prints 'Total operating income' for FY2025 as £2k - this is the sum of only the last three income lines (Other operating income 248, Changes in fair value of financial instruments at FVTPL (183), Foreign exchange translation differences (63) = 2), omitting Net interest income (23,515) and Net fee and commission income (24,058) entirely, even though both sit directly above it in the same statement with no other subtotal in between. This does not reconcile with the same statement's own next line down: 'Net operating income' (Total operating income less Operating expenses) is printed as 8,133, which only reconciles against a Total operating income of approximately 47,575 (23,515 + 24,058 + 248 - 183 - 63 = 47,575; less Operating expenses of 39,443 = 8,132, matching the printed 8,133 to rounding) - not the printed 2. This workbook uses the reconciling figure (47,575) for 'Total operating income', not the source's own apparent misprint.</t>
        </is>
      </c>
    </row>
  </sheetData>
  <mergeCells count="2">
    <mergeCell ref="A21:E21"/>
    <mergeCell ref="A23:E2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s>
  <sheetData>
    <row r="1">
      <c r="A1" s="1" t="inlineStr">
        <is>
          <t>LHV Bank Limited — Statement of Cash Flows</t>
        </is>
      </c>
    </row>
    <row r="2">
      <c r="A2" s="2" t="inlineStr">
        <is>
          <t>Solo basis, £'000 unless stated. See source note at bottom (incl. a known FY2024 report error).</t>
        </is>
      </c>
    </row>
    <row r="3">
      <c r="A3" s="4" t="inlineStr">
        <is>
          <t>Line item</t>
        </is>
      </c>
      <c r="B3" s="4" t="inlineStr">
        <is>
          <t>FY2025 (£'000)</t>
        </is>
      </c>
      <c r="C3" s="4" t="inlineStr">
        <is>
          <t>FY2024 (£'000)</t>
        </is>
      </c>
      <c r="D3" s="4" t="inlineStr">
        <is>
          <t>FY2023 (£'000)</t>
        </is>
      </c>
    </row>
    <row r="4">
      <c r="A4" s="5" t="inlineStr">
        <is>
          <t>Operating activities</t>
        </is>
      </c>
      <c r="B4" s="6" t="n"/>
      <c r="C4" s="6" t="n"/>
      <c r="D4" s="6" t="n"/>
    </row>
    <row r="5">
      <c r="A5" s="6" t="inlineStr">
        <is>
          <t>Profit for the year before taxation</t>
        </is>
      </c>
      <c r="B5" s="6" t="n">
        <v>6766</v>
      </c>
      <c r="C5" s="6" t="n">
        <v>4044.276</v>
      </c>
      <c r="D5" s="6" t="n">
        <v>4779.563</v>
      </c>
    </row>
    <row r="6">
      <c r="A6" s="6" t="inlineStr">
        <is>
          <t>Non-cash items (combined, as reported)</t>
        </is>
      </c>
      <c r="B6" s="6" t="n">
        <v>4064</v>
      </c>
      <c r="C6" s="6" t="n"/>
      <c r="D6" s="6" t="n"/>
    </row>
    <row r="7">
      <c r="A7" s="6" t="inlineStr">
        <is>
          <t>Depreciation of property, plant and equipment</t>
        </is>
      </c>
      <c r="B7" s="6" t="n"/>
      <c r="C7" s="6" t="n">
        <v>1091.16</v>
      </c>
      <c r="D7" s="6" t="n">
        <v>1596.396</v>
      </c>
    </row>
    <row r="8">
      <c r="A8" s="6" t="inlineStr">
        <is>
          <t>Share based payments</t>
        </is>
      </c>
      <c r="B8" s="6" t="n"/>
      <c r="C8" s="6" t="n">
        <v>638.961</v>
      </c>
      <c r="D8" s="6" t="n">
        <v>334.11</v>
      </c>
    </row>
    <row r="9">
      <c r="A9" s="6" t="inlineStr">
        <is>
          <t>Foreign exchange translation differences</t>
        </is>
      </c>
      <c r="B9" s="6" t="n"/>
      <c r="C9" s="6" t="n">
        <v>101.96</v>
      </c>
      <c r="D9" s="6" t="n"/>
    </row>
    <row r="10">
      <c r="A10" s="6" t="inlineStr">
        <is>
          <t>Credit impairment losses/(gains)</t>
        </is>
      </c>
      <c r="B10" s="6" t="n"/>
      <c r="C10" s="6" t="n">
        <v>411.671</v>
      </c>
      <c r="D10" s="6" t="n">
        <v>149.876</v>
      </c>
    </row>
    <row r="11">
      <c r="A11" s="6" t="inlineStr">
        <is>
          <t>Increase/(decrease) in other assets/other liabilities (combined, as reported)</t>
        </is>
      </c>
      <c r="B11" s="6" t="n"/>
      <c r="C11" s="6" t="n"/>
      <c r="D11" s="6" t="n">
        <v>2716.589</v>
      </c>
    </row>
    <row r="12">
      <c r="A12" s="6" t="inlineStr">
        <is>
          <t>Changes in operating assets and liabilities (combined, as reported)</t>
        </is>
      </c>
      <c r="B12" s="6" t="n">
        <v>147815</v>
      </c>
      <c r="C12" s="6" t="n"/>
      <c r="D12" s="6" t="n"/>
    </row>
    <row r="13">
      <c r="A13" s="6" t="inlineStr">
        <is>
          <t>(Increase)/decrease in operating assets</t>
        </is>
      </c>
      <c r="B13" s="6" t="n"/>
      <c r="C13" s="6" t="n">
        <v>-3353.822</v>
      </c>
      <c r="D13" s="6" t="n"/>
    </row>
    <row r="14">
      <c r="A14" s="6" t="inlineStr">
        <is>
          <t>(Increase)/decrease in operating liabilities</t>
        </is>
      </c>
      <c r="B14" s="6" t="n"/>
      <c r="C14" s="6" t="n">
        <v>-1200.156</v>
      </c>
      <c r="D14" s="6" t="n"/>
    </row>
    <row r="15">
      <c r="A15" s="6" t="inlineStr">
        <is>
          <t>Tax paid</t>
        </is>
      </c>
      <c r="B15" s="6" t="n">
        <v>-1125</v>
      </c>
      <c r="C15" s="6" t="n">
        <v>-278.181</v>
      </c>
      <c r="D15" s="6" t="n"/>
    </row>
    <row r="16">
      <c r="A16" s="6" t="inlineStr">
        <is>
          <t>Net loans and advances to customers</t>
        </is>
      </c>
      <c r="B16" s="6" t="n"/>
      <c r="C16" s="6" t="n">
        <v>-219442.236</v>
      </c>
      <c r="D16" s="6" t="n">
        <v>-49482.095</v>
      </c>
    </row>
    <row r="17">
      <c r="A17" s="6" t="inlineStr">
        <is>
          <t>Net deposits from customers</t>
        </is>
      </c>
      <c r="B17" s="6" t="n"/>
      <c r="C17" s="6" t="n">
        <v>376838.55</v>
      </c>
      <c r="D17" s="6" t="n">
        <v>206998.301</v>
      </c>
    </row>
    <row r="18">
      <c r="A18" s="6" t="inlineStr">
        <is>
          <t>Facilities/amounts received from/(to) group companies</t>
        </is>
      </c>
      <c r="B18" s="6" t="n"/>
      <c r="C18" s="6" t="n">
        <v>-57472.999</v>
      </c>
      <c r="D18" s="6" t="n">
        <v>57472.999</v>
      </c>
    </row>
    <row r="19">
      <c r="A19" s="5" t="inlineStr">
        <is>
          <t>Net cash generated from operating activities</t>
        </is>
      </c>
      <c r="B19" s="5" t="n">
        <v>157520</v>
      </c>
      <c r="C19" s="5" t="n">
        <v>101379.183</v>
      </c>
      <c r="D19" s="5" t="n">
        <v>224565.739</v>
      </c>
    </row>
    <row r="20">
      <c r="A20" s="5" t="inlineStr">
        <is>
          <t>Investing activities</t>
        </is>
      </c>
      <c r="B20" s="6" t="n"/>
      <c r="C20" s="6" t="n"/>
      <c r="D20" s="6" t="n"/>
    </row>
    <row r="21">
      <c r="A21" s="6" t="inlineStr">
        <is>
          <t>Purchase of property, plant and equipment</t>
        </is>
      </c>
      <c r="B21" s="6" t="n"/>
      <c r="C21" s="6" t="n"/>
      <c r="D21" s="6" t="n">
        <v>-1079.751</v>
      </c>
    </row>
    <row r="22">
      <c r="A22" s="6" t="inlineStr">
        <is>
          <t>Acquisition of property, plant &amp; equipment and intangibles (combined, as reported)</t>
        </is>
      </c>
      <c r="B22" s="6" t="n"/>
      <c r="C22" s="6" t="n">
        <v>-1059.316</v>
      </c>
      <c r="D22" s="6" t="n"/>
    </row>
    <row r="23">
      <c r="A23" s="6" t="inlineStr">
        <is>
          <t>Purchase and development of intangible assets</t>
        </is>
      </c>
      <c r="B23" s="6" t="n">
        <v>-325</v>
      </c>
      <c r="C23" s="6" t="n"/>
      <c r="D23" s="6" t="n"/>
    </row>
    <row r="24">
      <c r="A24" s="6" t="inlineStr">
        <is>
          <t>Banking Services business transfer</t>
        </is>
      </c>
      <c r="B24" s="6" t="n"/>
      <c r="C24" s="6" t="n"/>
      <c r="D24" s="6" t="n">
        <v>-1724.857</v>
      </c>
    </row>
    <row r="25">
      <c r="A25" s="5" t="inlineStr">
        <is>
          <t>Net cash (used in)/generated from investing activities</t>
        </is>
      </c>
      <c r="B25" s="5" t="n">
        <v>-325</v>
      </c>
      <c r="C25" s="5" t="n">
        <v>-1059.316</v>
      </c>
      <c r="D25" s="5" t="n">
        <v>-2804.607</v>
      </c>
    </row>
    <row r="26">
      <c r="A26" s="5" t="inlineStr">
        <is>
          <t>Financing activities</t>
        </is>
      </c>
      <c r="B26" s="6" t="n"/>
      <c r="C26" s="6" t="n"/>
      <c r="D26" s="6" t="n"/>
    </row>
    <row r="27">
      <c r="A27" s="6" t="inlineStr">
        <is>
          <t>Issue and allotment of share capital / shares issued</t>
        </is>
      </c>
      <c r="B27" s="6" t="n">
        <v>30000</v>
      </c>
      <c r="C27" s="6" t="n">
        <v>20900</v>
      </c>
      <c r="D27" s="6" t="n">
        <v>10000</v>
      </c>
    </row>
    <row r="28">
      <c r="A28" s="6" t="inlineStr">
        <is>
          <t>Proceeds from issuance of subordinated liabilities</t>
        </is>
      </c>
      <c r="B28" s="6" t="n">
        <v>10000</v>
      </c>
      <c r="C28" s="6" t="n"/>
      <c r="D28" s="6" t="n"/>
    </row>
    <row r="29">
      <c r="A29" s="6" t="inlineStr">
        <is>
          <t>Payment of lease liabilities</t>
        </is>
      </c>
      <c r="B29" s="6" t="n">
        <v>-1010</v>
      </c>
      <c r="C29" s="6" t="n">
        <v>-1045.264</v>
      </c>
      <c r="D29" s="6" t="n">
        <v>-1287.675</v>
      </c>
    </row>
    <row r="30">
      <c r="A30" s="5" t="inlineStr">
        <is>
          <t>Net cash generated from financing activities</t>
        </is>
      </c>
      <c r="B30" s="5" t="n">
        <v>38990</v>
      </c>
      <c r="C30" s="5" t="n">
        <v>19854.736</v>
      </c>
      <c r="D30" s="5" t="n">
        <v>8712.325000000001</v>
      </c>
    </row>
    <row r="31">
      <c r="A31" s="5" t="inlineStr">
        <is>
          <t>Net increase/(decrease) in cash and cash equivalents</t>
        </is>
      </c>
      <c r="B31" s="5" t="n">
        <v>196185</v>
      </c>
      <c r="C31" s="5" t="n">
        <v>120174.603</v>
      </c>
      <c r="D31" s="5" t="n">
        <v>230473.456</v>
      </c>
    </row>
    <row r="32">
      <c r="A32" s="6" t="inlineStr">
        <is>
          <t>Cash and cash equivalents at start of year</t>
        </is>
      </c>
      <c r="B32" s="6" t="n">
        <v>362299</v>
      </c>
      <c r="C32" s="6" t="n">
        <v>242124.881</v>
      </c>
      <c r="D32" s="6" t="n">
        <v>11651.425</v>
      </c>
    </row>
    <row r="33">
      <c r="A33" s="5" t="inlineStr">
        <is>
          <t>Cash and cash equivalents at end of year</t>
        </is>
      </c>
      <c r="B33" s="5" t="n">
        <v>558485</v>
      </c>
      <c r="C33" s="5" t="n">
        <v>362299.484</v>
      </c>
      <c r="D33" s="5" t="n">
        <v>242124.881</v>
      </c>
    </row>
    <row r="35" ht="286" customHeight="1">
      <c r="A35" s="8" t="inlineStr">
        <is>
          <t>Sources - all figures are LHV Bank Limited's own Statement of Cash Flows, £'000 (FY2023/FY2024 as originally reported in whole £, divided by 1,000 here for unit consistency with FY2025's own £'000 presentation):
FY2025: LHV Bank Limited Annual Report 2025, p.67 (Statement of cash flows) - https://framerusercontent.com/assets/ZBWKLmRUPe8T4hKrOicG3V2KYeE.pdf
FY2024: LHV Bank Limited Annual Report and Financial Statements 2024, p.55 (Statement of Cash Flows) - https://framerusercontent.com/assets/srilZFyKHEx1zeu697l5ZFVMXoU.pdf
FY2023: LHV Bank Limited Annual Report and Financial Statements 2023, p.31 (Statement of Cash Flows) - https://framerusercontent.com/assets/6Jp4ZWQKQVS1wXUDoBneovYKzIo.pdf
Note: FY2025's report uses a simplified presentation ('Non-cash items' and 'Changes in operating assets and liabilities' as single combined lines); FY2023/FY2024 break these out into more granular line items instead - each year's own line items/labels are preserved as reported, blank where a year didn't disclose that split. FY2023's own report did not print a combined 'Net cash from operating activities' total (only three un-combined subsection subtotals) - the total shown here for FY2023 is computed as the sum of its own operating-activity line items, and is confirmed exactly by its appearance as FY2024's report's own FY2023 comparative (224,565,739).
ENTITY NOTE: LHV Bank Limited (Companies House 13180211, FRN 993767) is a UK bank owned by AS LHV Group (Estonia), incorporated 4 February 2021 and granted an unrestricted PRA banking licence on 3 May 2023 - its first Annual Report and Pillar 3 disclosure cover FY2023, so only 3 years of history exist (too young for 5). As at 31 December 2025 it is classified as an 'other institution' (not Small and Non-Complex, not Large) under Article 433 of the PRA Rulebook's Disclosure Part, requiring a reduced annual-only Pillar 3 disclosure with no KM2/MREL template - consistent with no MREL figures appearing in any year's Pillar 3 report.
DATA ERROR NOTE: LHV Bank Limited's own FY2024 Annual Report (p.55) prints 'Net Increase in cash and cash equivalents' for FY2024 as (199,190,949) - this does not reconcile with that same report's own opening (242,124,881) and closing (362,299,484) balances, nor with the sum of its own three activity subtotals (101,379,183 - 1,059,316 + 19,854,736 = 120,174,603). This workbook uses the correct, reconciling figure (120,174,603, i.e. £120,175k), which independently matches both the opening/closing balance difference and the FY2025 Annual Report's own restated FY2024 comparative (£120,175k, p.67) - not the erroneous figure as printed in the FY2024 report itself.</t>
        </is>
      </c>
    </row>
  </sheetData>
  <mergeCells count="1">
    <mergeCell ref="A35:D3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0" customWidth="1" min="1" max="1"/>
    <col width="15" customWidth="1" min="2" max="2"/>
    <col width="15" customWidth="1" min="3" max="3"/>
    <col width="15" customWidth="1" min="4" max="4"/>
  </cols>
  <sheetData>
    <row r="1">
      <c r="A1" s="1" t="inlineStr">
        <is>
          <t>LHV Bank Limited — Asset Quality</t>
        </is>
      </c>
    </row>
    <row r="2">
      <c r="A2" s="2" t="inlineStr">
        <is>
          <t>IFRS 9 stage exposure/ECL for secured commercial lending (on-balance sheet). £'000.</t>
        </is>
      </c>
    </row>
    <row r="3">
      <c r="A3" s="4" t="inlineStr">
        <is>
          <t>Line item</t>
        </is>
      </c>
      <c r="B3" s="4" t="inlineStr">
        <is>
          <t>FY2025 (£'000)</t>
        </is>
      </c>
      <c r="C3" s="4" t="inlineStr">
        <is>
          <t>FY2024 (£'000)</t>
        </is>
      </c>
      <c r="D3" s="4" t="inlineStr">
        <is>
          <t>FY2023 (£'000)</t>
        </is>
      </c>
    </row>
    <row r="4">
      <c r="A4" s="5" t="inlineStr">
        <is>
          <t>Loans and advances to customers, on-balance sheet gross exposure by IFRS 9 stage</t>
        </is>
      </c>
      <c r="B4" s="6" t="n"/>
      <c r="C4" s="6" t="n"/>
      <c r="D4" s="6" t="n"/>
    </row>
    <row r="5">
      <c r="A5" s="6" t="inlineStr">
        <is>
          <t>Stage 1 (12-month ECL)</t>
        </is>
      </c>
      <c r="B5" s="6" t="n">
        <v>634582</v>
      </c>
      <c r="C5" s="6" t="n">
        <v>286049</v>
      </c>
      <c r="D5" s="6" t="n">
        <v>69214</v>
      </c>
    </row>
    <row r="6">
      <c r="A6" s="6" t="inlineStr">
        <is>
          <t>Stage 2 (lifetime ECL, not credit-impaired)</t>
        </is>
      </c>
      <c r="B6" s="6" t="n">
        <v>42925</v>
      </c>
      <c r="C6" s="6" t="n">
        <v>1246</v>
      </c>
      <c r="D6" s="6" t="n"/>
    </row>
    <row r="7">
      <c r="A7" s="6" t="inlineStr">
        <is>
          <t>Stage 3 (lifetime ECL, credit-impaired)</t>
        </is>
      </c>
      <c r="B7" s="6" t="n">
        <v>6965</v>
      </c>
      <c r="C7" s="6" t="n">
        <v>2121</v>
      </c>
      <c r="D7" s="6" t="n"/>
    </row>
    <row r="8">
      <c r="A8" s="5" t="inlineStr">
        <is>
          <t>Total gross exposure (on-balance sheet, IFRS 9 stage table basis)</t>
        </is>
      </c>
      <c r="B8" s="5" t="n">
        <v>684472</v>
      </c>
      <c r="C8" s="5" t="n">
        <v>289416</v>
      </c>
      <c r="D8" s="5" t="n">
        <v>69214</v>
      </c>
    </row>
    <row r="9">
      <c r="A9" s="5" t="inlineStr">
        <is>
          <t>ECL allowance by IFRS 9 stage (on-balance sheet)</t>
        </is>
      </c>
      <c r="B9" s="6" t="n"/>
      <c r="C9" s="6" t="n"/>
      <c r="D9" s="6" t="n"/>
    </row>
    <row r="10">
      <c r="A10" s="6" t="inlineStr">
        <is>
          <t>Stage 1</t>
        </is>
      </c>
      <c r="B10" s="6" t="n">
        <v>-685</v>
      </c>
      <c r="C10" s="6" t="n">
        <v>-456</v>
      </c>
      <c r="D10" s="6" t="n">
        <v>-205</v>
      </c>
    </row>
    <row r="11">
      <c r="A11" s="6" t="inlineStr">
        <is>
          <t>Stage 2</t>
        </is>
      </c>
      <c r="B11" s="6" t="n">
        <v>-306</v>
      </c>
      <c r="C11" s="6" t="n">
        <v>-52</v>
      </c>
      <c r="D11" s="6" t="n"/>
    </row>
    <row r="12">
      <c r="A12" s="6" t="inlineStr">
        <is>
          <t>Stage 3</t>
        </is>
      </c>
      <c r="B12" s="6" t="n">
        <v>-902</v>
      </c>
      <c r="C12" s="6" t="n">
        <v>-109</v>
      </c>
      <c r="D12" s="6" t="n"/>
    </row>
    <row r="13">
      <c r="A13" s="5" t="inlineStr">
        <is>
          <t>Total ECL allowance (on-balance sheet)</t>
        </is>
      </c>
      <c r="B13" s="5" t="n">
        <v>-1893</v>
      </c>
      <c r="C13" s="5" t="n">
        <v>-617</v>
      </c>
      <c r="D13" s="5" t="n">
        <v>-205</v>
      </c>
    </row>
    <row r="14">
      <c r="A14" s="5" t="inlineStr">
        <is>
          <t>Loans and advances to customers, per Note 14/12/loans note (gross secured lending basis)</t>
        </is>
      </c>
      <c r="B14" s="6" t="n"/>
      <c r="C14" s="6" t="n"/>
      <c r="D14" s="6" t="n"/>
    </row>
    <row r="15">
      <c r="A15" s="6" t="inlineStr">
        <is>
          <t>Gross secured lending</t>
        </is>
      </c>
      <c r="B15" s="6" t="n">
        <v>684566</v>
      </c>
      <c r="C15" s="6" t="n">
        <v>289416</v>
      </c>
      <c r="D15" s="6" t="n">
        <v>69214</v>
      </c>
    </row>
    <row r="16">
      <c r="A16" s="6" t="inlineStr">
        <is>
          <t>Less: allowance for expected credit losses</t>
        </is>
      </c>
      <c r="B16" s="6" t="n">
        <v>-1893</v>
      </c>
      <c r="C16" s="6" t="n">
        <v>-617</v>
      </c>
      <c r="D16" s="6" t="n">
        <v>-205</v>
      </c>
    </row>
    <row r="17">
      <c r="A17" s="6" t="inlineStr">
        <is>
          <t>Fair value adjustment for hedged risk</t>
        </is>
      </c>
      <c r="B17" s="6" t="n">
        <v>-94</v>
      </c>
      <c r="C17" s="6" t="n"/>
      <c r="D17" s="6" t="n"/>
    </row>
    <row r="18">
      <c r="A18" s="5" t="inlineStr">
        <is>
          <t>Total loans and advances to customers (ties to Balance Sheet)</t>
        </is>
      </c>
      <c r="B18" s="5" t="n">
        <v>682579</v>
      </c>
      <c r="C18" s="5" t="n">
        <v>288799</v>
      </c>
      <c r="D18" s="5" t="n">
        <v>69009</v>
      </c>
    </row>
    <row r="19">
      <c r="A19" s="6" t="inlineStr">
        <is>
          <t>ECL coverage ratio (Total ECL allowance / Gross secured lending)</t>
        </is>
      </c>
      <c r="B19" s="6" t="inlineStr">
        <is>
          <t>0.28%</t>
        </is>
      </c>
      <c r="C19" s="6" t="inlineStr">
        <is>
          <t>0.21%</t>
        </is>
      </c>
      <c r="D19" s="6" t="inlineStr">
        <is>
          <t>0.30%</t>
        </is>
      </c>
    </row>
    <row r="20">
      <c r="A20" s="5" t="inlineStr">
        <is>
          <t>Loans and advances by product (FY2024/FY2023 only - see note)</t>
        </is>
      </c>
      <c r="B20" s="6" t="n"/>
      <c r="C20" s="6" t="n"/>
      <c r="D20" s="6" t="n"/>
    </row>
    <row r="21">
      <c r="A21" s="6" t="inlineStr">
        <is>
          <t>Commercial Investment Loan</t>
        </is>
      </c>
      <c r="B21" s="6" t="n"/>
      <c r="C21" s="6" t="n">
        <v>219690</v>
      </c>
      <c r="D21" s="6" t="n">
        <v>46339</v>
      </c>
    </row>
    <row r="22">
      <c r="A22" s="6" t="inlineStr">
        <is>
          <t>Commercial Mortgage Loan</t>
        </is>
      </c>
      <c r="B22" s="6" t="n"/>
      <c r="C22" s="6" t="n">
        <v>69726</v>
      </c>
      <c r="D22" s="6" t="n">
        <v>22875</v>
      </c>
    </row>
    <row r="24" ht="380" customHeight="1">
      <c r="A24" s="8" t="inlineStr">
        <is>
          <t>Sources - LHV Bank Limited Annual Reports, solo basis, £'000 (FY2023/FY2024 as originally reported in whole £, divided by 1,000 here for unit consistency with FY2025's own £'000 presentation):
FY2025: Annual Report 2025, Statement of financial position/Statement of comprehensive income/Statement of change in equity, p.65-66, Note 14 'Loans and advances to customers' p.86, Note 34.1.12-34.1.14 'Credit performance'/'Movement in total exposures' p.107-108 - https://framerusercontent.com/assets/ZBWKLmRUPe8T4hKrOicG3V2KYeE.pdf
FY2024: Annual Report and Financial Statements 2024, Statement of Financial Position/Statement of Comprehensive Income/Statement of Change in Equity, p.52-54, Note 12 'Loans and advances to customers' p.78-79 - https://framerusercontent.com/assets/srilZFyKHEx1zeu697l5ZFVMXoU.pdf
FY2023: Annual Report and Financial Statements 2023, Statement of Comprehensive Income/Statement of Financial Position/Statement of Changes in Equity, p.28-30 - https://framerusercontent.com/assets/6Jp4ZWQKQVS1wXUDoBneovYKzIo.pdf
ENTITY NOTE: LHV Bank Limited (Companies House 13180211, FRN 993767) is a UK bank owned by AS LHV Group (Estonia), incorporated 4 February 2021 and granted an unrestricted PRA banking licence on 3 May 2023 - its first Annual Report and Pillar 3 disclosure cover FY2023, so only 3 years of history exist (too young for 5). As at 31 December 2025 it is classified as an 'other institution' (not Small and Non-Complex, not Large) under Article 433 of the PRA Rulebook's Disclosure Part, requiring a reduced annual-only Pillar 3 disclosure with no KM2/MREL template - consistent with no MREL figures appearing in any year's Pillar 3 report.
PRESENTATION NOTE: FY2025's Statement of comprehensive income "has been re-represented using a new format" (the Bank's own words) - its structure (Total operating income before Operating expenses, then Net operating income, then Change in ECL allowance as its own line) genuinely differs from FY2023/FY2024's structure (Net operating income shown AFTER Credit impairment charge, BEFORE Operating expenses). Each year's own contemporaneous report's structure is preserved as published rather than forced into one template; FY2024's own report (not AR2025's later re-represented comparative) is used for FY2024's own figures, per project convention - the two are numerically identical (AR2025's FY2024 comparative column ties to AR2024's own figures to the last £'000) so this is a presentation-only choice, not a data conflict.
Balance Sheet line items also differ across years: FY2025 splits out Derivative financial instruments, Prepayments and accrued income, Amounts due from/to other group undertakings, and Right-of-use assets separately; FY2023/FY2024 combine most of these into 'Other assets'/'Other liabilities' or fold right-of-use assets into Property, plant and equipment - blank cells indicate that year's report did not disclose that specific split, not that the balance was zero. FY2023/FY2024 disclose 'Overdraft from fellow subsidiary' as its own line (repaid during FY2024); no equivalent exists in FY2025. FY2023/FY2024 disclose a separate 'Merger reserve' component of equity (arising on the LHV Pank branch business transfer, Aug 2023); FY2025's own equity statement combines this into a single 'Other reserves' line instead - see the Statement of Changes in Equity sheet's own note for how this is reconciled.</t>
        </is>
      </c>
    </row>
    <row r="26" ht="380" customHeight="1">
      <c r="A26" s="8" t="inlineStr">
        <is>
          <t>(continued)
DATA ERROR NOTE 2 (2026-09-07): LHV Bank Limited's own FY2025 Annual Report (p.66, Statement of comprehensive income) prints 'Total operating income' for FY2025 as £2k - this is the sum of only the last three income lines (Other operating income 248, Changes in fair value of financial instruments at FVTPL (183), Foreign exchange translation differences (63) = 2), omitting Net interest income (23,515) and Net fee and commission income (24,058) entirely, even though both sit directly above it in the same statement with no other subtotal in between. This does not reconcile with the same statement's own next line down: 'Net operating income' (Total operating income less Operating expenses) is printed as 8,133, which only reconciles against a Total operating income of approximately 47,575 (23,515 + 24,058 + 248 - 183 - 63 = 47,575; less Operating expenses of 39,443 = 8,132, matching the printed 8,133 to rounding) - not the printed 2. This workbook uses the reconciling figure (47,575) for 'Total operating income', not the source's own apparent misprint.
DATA QUALITY NOTE: FY2024's IFRS 9 stage table (Note 12, AR2024) totals £289,416k, £3k more than Note 34's own FY2024 (Represented) total in AR2025 (£289,413k) - an immaterial cross-note rounding difference in the Bank's own disclosures, not a transcription error here; both are shown as sourced. FY2025's on-balance-sheet IFRS 9 stage total (£684,472k, Note 34) is £94k less than Note 14's own 'Gross secured lending' figure (£684,566k) - reconciled via the 'Fair value adjustment for hedged risk' line, which brings the total to the Balance Sheet's own £682,579k. No IFRS 9 stage split or by-product breakdown is disclosed for FY2025 anywhere in the Annual Report reviewed this session (Note 14 only shows an aggregate gross/ECL/net figure by product) - genuinely unavailable this session, not assumed absent.</t>
        </is>
      </c>
    </row>
  </sheetData>
  <mergeCells count="2">
    <mergeCell ref="A26:D26"/>
    <mergeCell ref="A24:D2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s>
  <sheetData>
    <row r="1">
      <c r="A1" s="1" t="inlineStr">
        <is>
          <t>LHV Bank Limited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row>
    <row r="4">
      <c r="A4" s="6" t="inlineStr">
        <is>
          <t>Return on equity - average equity basis</t>
        </is>
      </c>
      <c r="B4" s="6" t="inlineStr">
        <is>
          <t>5.34%</t>
        </is>
      </c>
      <c r="C4" s="6" t="inlineStr">
        <is>
          <t>5.23%</t>
        </is>
      </c>
      <c r="D4" s="6" t="n"/>
    </row>
    <row r="5">
      <c r="A5" s="6" t="inlineStr">
        <is>
          <t>Return on equity - year-end equity basis</t>
        </is>
      </c>
      <c r="B5" s="6" t="inlineStr">
        <is>
          <t>4.45%</t>
        </is>
      </c>
      <c r="C5" s="6" t="inlineStr">
        <is>
          <t>4.32%</t>
        </is>
      </c>
      <c r="D5" s="6" t="inlineStr">
        <is>
          <t>13.78%</t>
        </is>
      </c>
    </row>
    <row r="6">
      <c r="A6" s="6" t="inlineStr">
        <is>
          <t>Return on assets - average assets basis</t>
        </is>
      </c>
      <c r="B6" s="6" t="inlineStr">
        <is>
          <t>0.50%</t>
        </is>
      </c>
      <c r="C6" s="6" t="inlineStr">
        <is>
          <t>0.63%</t>
        </is>
      </c>
      <c r="D6" s="6" t="n"/>
    </row>
    <row r="7">
      <c r="A7" s="6" t="inlineStr">
        <is>
          <t>Return on assets - year-end assets basis</t>
        </is>
      </c>
      <c r="B7" s="6" t="inlineStr">
        <is>
          <t>0.38%</t>
        </is>
      </c>
      <c r="C7" s="6" t="inlineStr">
        <is>
          <t>0.47%</t>
        </is>
      </c>
      <c r="D7" s="6" t="inlineStr">
        <is>
          <t>2.01%</t>
        </is>
      </c>
    </row>
    <row r="8">
      <c r="A8" s="6" t="inlineStr">
        <is>
          <t>Return on equity (as published)</t>
        </is>
      </c>
      <c r="B8" s="6" t="inlineStr">
        <is>
          <t>5%</t>
        </is>
      </c>
      <c r="C8" s="6" t="inlineStr">
        <is>
          <t>7.5%</t>
        </is>
      </c>
      <c r="D8" s="6" t="n"/>
    </row>
    <row r="9" ht="234" customHeight="1">
      <c r="A9" s="7" t="inlineStr">
        <is>
          <t>Note: TWO KINDS OF FIGURE, NEVER MERGED. The rows above are not one series. The 'Return on equity/assets' rows are THIS PROJECT'S OWN ARITHMETIC on the figures printed on this workbook's statement sheets. The rows marked '(as published)' are the bank's own published ratios, quoted verbatim, each struck on the bank's own definition - which differs from bank to bank and usually from ours, most often in whether the numerator is before or after tax and whether the denominator is average, opening or year-end equity, tangible equity or required equity. They are not averaged, reconciled, or substituted for one another, and where they disagree both stand: the disagreement is the finding.
THE BANK'S OWN DEFINITIONS, VERBATIM. Return on equity: the document states no definition, and none is supplied here.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The two diverge most in FY2024, where return on equity is 5.23% on an average basis and 4.32% on a year-end basis.
FY2023 HAS NO AVERAGE-BASIS RATIO, AND THAT IS CORRECT. An average denominator needs an opening balance, and FY2023 is the oldest column this workbook carries, so there is no prior year to open from. The blank is structural, not a missing figure. The year-end basis is shown for FY2023 because it needs only the closing balance.</t>
        </is>
      </c>
    </row>
    <row r="11" ht="170" customHeight="1">
      <c r="A11" s="8" t="inlineStr">
        <is>
          <t>Computed by this workbook's own build script from the Profit &amp; Loss and Balance Sheet sheets of this same workbook - the Profit &amp; Loss row “profit after tax” and the Balance Sheet rows “total equity” and “total assets”, resolved BY LABEL at build time through the shared resolver scripts/profitability_rows.py, so this sheet cannot drift from the statements it summarises. Those rows are themselves transcribed from LHV Bank Limited's Annual Report and Accounts for each year; see the source cells on the Balance Sheet and Profit &amp; Loss sheets for the exact document, page and table behind every input to every percentage above.
The '(as published)' rows are quoted verbatim from LHV Bank Limited's own disclosures and are recorded, with the exact document, page and verification state for each, in research/profitability/published_returns.jsonl under ‘LHV’.</t>
        </is>
      </c>
    </row>
  </sheetData>
  <mergeCells count="2">
    <mergeCell ref="A9:D9"/>
    <mergeCell ref="A11:D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s>
  <sheetData>
    <row r="1">
      <c r="A1" s="1" t="inlineStr">
        <is>
          <t>LHV Bank Limited — KM1 Key Metrics</t>
        </is>
      </c>
    </row>
    <row r="2">
      <c r="A2" s="2" t="inlineStr">
        <is>
          <t>The Bank's own published key-metrics template (headed 'Template UK KM1 - Key metrics template' in the FY2025 edition and simply 'Key metrics', unnumbered, in the FY2023 and FY2024 editions), reproduced whole in its own row order, labels and printed precision. Solo basis. Amounts in £'000, ratios as printed. Each year comes from its own edition, never a later comparative. LHV prints no template row numbers and prints a condensed two-row SREP block - both reproduced as published. No columns before FY2023: the Bank was authorised on 3 May 2023.</t>
        </is>
      </c>
    </row>
    <row r="3">
      <c r="A3" s="4" t="inlineStr">
        <is>
          <t>Line item</t>
        </is>
      </c>
      <c r="B3" s="4" t="inlineStr">
        <is>
          <t>FY2025</t>
        </is>
      </c>
      <c r="C3" s="4" t="inlineStr">
        <is>
          <t>FY2024</t>
        </is>
      </c>
      <c r="D3" s="4" t="inlineStr">
        <is>
          <t>FY2023</t>
        </is>
      </c>
    </row>
    <row r="4">
      <c r="A4" s="5" t="inlineStr">
        <is>
          <t>Available own funds</t>
        </is>
      </c>
      <c r="B4" s="6" t="n"/>
      <c r="C4" s="6" t="n"/>
      <c r="D4" s="6" t="n"/>
    </row>
    <row r="5">
      <c r="A5" s="6" t="inlineStr">
        <is>
          <t>Common equity Tier 1 capital (£'000)</t>
        </is>
      </c>
      <c r="B5" s="6" t="n">
        <v>103888</v>
      </c>
      <c r="C5" s="6" t="n">
        <v>68399</v>
      </c>
      <c r="D5" s="6" t="n">
        <v>44532</v>
      </c>
    </row>
    <row r="6">
      <c r="A6" s="6" t="inlineStr">
        <is>
          <t>Tier 1 capital (£'000)</t>
        </is>
      </c>
      <c r="B6" s="6" t="n">
        <v>103888</v>
      </c>
      <c r="C6" s="6" t="n">
        <v>68399</v>
      </c>
      <c r="D6" s="6" t="n">
        <v>44532</v>
      </c>
    </row>
    <row r="7">
      <c r="A7" s="6" t="inlineStr">
        <is>
          <t>Total capital (£'000)</t>
        </is>
      </c>
      <c r="B7" s="6" t="n">
        <v>113921</v>
      </c>
      <c r="C7" s="6" t="n">
        <v>68399</v>
      </c>
      <c r="D7" s="6" t="n">
        <v>44532</v>
      </c>
    </row>
    <row r="8">
      <c r="A8" s="5" t="inlineStr">
        <is>
          <t>Risk weighted exposure amounts</t>
        </is>
      </c>
      <c r="B8" s="6" t="n"/>
      <c r="C8" s="6" t="n"/>
      <c r="D8" s="6" t="n"/>
    </row>
    <row r="9">
      <c r="A9" s="6" t="inlineStr">
        <is>
          <t>Total risk weighted exposure amount (£'000)</t>
        </is>
      </c>
      <c r="B9" s="6" t="n">
        <v>561468</v>
      </c>
      <c r="C9" s="6" t="n">
        <v>284276</v>
      </c>
      <c r="D9" s="6" t="n">
        <v>140702</v>
      </c>
    </row>
    <row r="10">
      <c r="A10" s="5" t="inlineStr">
        <is>
          <t>Capital ratios</t>
        </is>
      </c>
      <c r="B10" s="6" t="n"/>
      <c r="C10" s="6" t="n"/>
      <c r="D10" s="6" t="n"/>
    </row>
    <row r="11">
      <c r="A11" s="6" t="inlineStr">
        <is>
          <t>Common equity Tier 1 capital ratio (%)</t>
        </is>
      </c>
      <c r="B11" s="6" t="inlineStr">
        <is>
          <t>18.5%</t>
        </is>
      </c>
      <c r="C11" s="6" t="inlineStr">
        <is>
          <t>24.1%</t>
        </is>
      </c>
      <c r="D11" s="6" t="inlineStr">
        <is>
          <t>31.7%</t>
        </is>
      </c>
    </row>
    <row r="12">
      <c r="A12" s="6" t="inlineStr">
        <is>
          <t>Tier 1 capital ratio (%)</t>
        </is>
      </c>
      <c r="B12" s="6" t="inlineStr">
        <is>
          <t>18.5%</t>
        </is>
      </c>
      <c r="C12" s="6" t="inlineStr">
        <is>
          <t>24.1%</t>
        </is>
      </c>
      <c r="D12" s="6" t="inlineStr">
        <is>
          <t>31.7%</t>
        </is>
      </c>
    </row>
    <row r="13">
      <c r="A13" s="6" t="inlineStr">
        <is>
          <t>Total capital ratio (%)</t>
        </is>
      </c>
      <c r="B13" s="6" t="inlineStr">
        <is>
          <t>20.3%</t>
        </is>
      </c>
      <c r="C13" s="6" t="inlineStr">
        <is>
          <t>24.1%</t>
        </is>
      </c>
      <c r="D13" s="6" t="inlineStr">
        <is>
          <t>31.7%</t>
        </is>
      </c>
    </row>
    <row r="14">
      <c r="A14" s="5" t="inlineStr">
        <is>
          <t>Additional own funds requirements</t>
        </is>
      </c>
      <c r="B14" s="6" t="n"/>
      <c r="C14" s="6" t="n"/>
      <c r="D14" s="6" t="n"/>
    </row>
    <row r="15">
      <c r="A15" s="6" t="inlineStr">
        <is>
          <t>Additional requirement (%)</t>
        </is>
      </c>
      <c r="B15" s="6" t="inlineStr">
        <is>
          <t>3.5%</t>
        </is>
      </c>
      <c r="C15" s="6" t="inlineStr">
        <is>
          <t>2.2%</t>
        </is>
      </c>
      <c r="D15" s="6" t="inlineStr">
        <is>
          <t>1.7%</t>
        </is>
      </c>
    </row>
    <row r="16">
      <c r="A16" s="6" t="inlineStr">
        <is>
          <t>Total own funds requirements (%)</t>
        </is>
      </c>
      <c r="B16" s="6" t="inlineStr">
        <is>
          <t>11.5%</t>
        </is>
      </c>
      <c r="C16" s="6" t="inlineStr">
        <is>
          <t>10.2%</t>
        </is>
      </c>
      <c r="D16" s="6" t="inlineStr">
        <is>
          <t>9.7%</t>
        </is>
      </c>
    </row>
    <row r="17">
      <c r="A17" s="5" t="inlineStr">
        <is>
          <t>Combined buffer requirement</t>
        </is>
      </c>
      <c r="B17" s="6" t="n"/>
      <c r="C17" s="6" t="n"/>
      <c r="D17" s="6" t="n"/>
    </row>
    <row r="18">
      <c r="A18" s="6" t="inlineStr">
        <is>
          <t>Capital conservation buffer (%)</t>
        </is>
      </c>
      <c r="B18" s="6" t="inlineStr">
        <is>
          <t>2.5%</t>
        </is>
      </c>
      <c r="C18" s="6" t="inlineStr">
        <is>
          <t>2.5%</t>
        </is>
      </c>
      <c r="D18" s="6" t="inlineStr">
        <is>
          <t>2.5%</t>
        </is>
      </c>
    </row>
    <row r="19">
      <c r="A19" s="6" t="inlineStr">
        <is>
          <t>Institution specific countercyclical buffer (%)</t>
        </is>
      </c>
      <c r="B19" s="6" t="inlineStr">
        <is>
          <t>2.0%</t>
        </is>
      </c>
      <c r="C19" s="6" t="inlineStr">
        <is>
          <t>2.0%</t>
        </is>
      </c>
      <c r="D19" s="6" t="inlineStr">
        <is>
          <t>2.0%</t>
        </is>
      </c>
    </row>
    <row r="20">
      <c r="A20" s="6" t="inlineStr">
        <is>
          <t>Combined buffer requirement (%)</t>
        </is>
      </c>
      <c r="B20" s="6" t="inlineStr">
        <is>
          <t>4.5%</t>
        </is>
      </c>
      <c r="C20" s="6" t="inlineStr">
        <is>
          <t>4.5%</t>
        </is>
      </c>
      <c r="D20" s="6" t="inlineStr">
        <is>
          <t>4.5%</t>
        </is>
      </c>
    </row>
    <row r="21">
      <c r="A21" s="6" t="inlineStr">
        <is>
          <t>Total capital requirement and combined buffers (%)</t>
        </is>
      </c>
      <c r="B21" s="6" t="inlineStr">
        <is>
          <t>16.0%</t>
        </is>
      </c>
      <c r="C21" s="6" t="inlineStr">
        <is>
          <t>14.7%</t>
        </is>
      </c>
      <c r="D21" s="6" t="inlineStr">
        <is>
          <t>14.2%</t>
        </is>
      </c>
    </row>
    <row r="22">
      <c r="A22" s="5" t="inlineStr">
        <is>
          <t>Leverage ratio</t>
        </is>
      </c>
      <c r="B22" s="6" t="n"/>
      <c r="C22" s="6" t="n"/>
      <c r="D22" s="6" t="n"/>
    </row>
    <row r="23">
      <c r="A23" s="6" t="inlineStr">
        <is>
          <t>Total exposure measure excluding claims made on central banks (£'000)</t>
        </is>
      </c>
      <c r="B23" s="6" t="n">
        <v>721124</v>
      </c>
      <c r="C23" s="6" t="n">
        <v>317763</v>
      </c>
      <c r="D23" s="6" t="n">
        <v>79084</v>
      </c>
    </row>
    <row r="24">
      <c r="A24" s="6" t="inlineStr">
        <is>
          <t>Leverage ratio excluding claims made on central banks (%)</t>
        </is>
      </c>
      <c r="B24" s="6" t="inlineStr">
        <is>
          <t>14.4%</t>
        </is>
      </c>
      <c r="C24" s="6" t="inlineStr">
        <is>
          <t>21.5%</t>
        </is>
      </c>
      <c r="D24" s="6" t="inlineStr">
        <is>
          <t>56.3%</t>
        </is>
      </c>
    </row>
    <row r="25">
      <c r="A25" s="5" t="inlineStr">
        <is>
          <t>Liquidity coverage ratio</t>
        </is>
      </c>
      <c r="B25" s="6" t="n"/>
      <c r="C25" s="6" t="n"/>
      <c r="D25" s="6" t="n"/>
    </row>
    <row r="26">
      <c r="A26" s="6" t="inlineStr">
        <is>
          <t>Total HQLA (£'000)</t>
        </is>
      </c>
      <c r="B26" s="6" t="n">
        <v>405138</v>
      </c>
      <c r="C26" s="6" t="n">
        <v>296989</v>
      </c>
      <c r="D26" s="6" t="n">
        <v>137258</v>
      </c>
    </row>
    <row r="27">
      <c r="A27" s="6" t="inlineStr">
        <is>
          <t>Cash outflows (£'000)</t>
        </is>
      </c>
      <c r="B27" s="6" t="n">
        <v>224517</v>
      </c>
      <c r="C27" s="6" t="n">
        <v>183800</v>
      </c>
      <c r="D27" s="6" t="n">
        <v>113127</v>
      </c>
    </row>
    <row r="28">
      <c r="A28" s="6" t="inlineStr">
        <is>
          <t>Cash inflows (£'000)</t>
        </is>
      </c>
      <c r="B28" s="6" t="n">
        <v>19154</v>
      </c>
      <c r="C28" s="6" t="n">
        <v>12270</v>
      </c>
      <c r="D28" s="6" t="n">
        <v>9352</v>
      </c>
    </row>
    <row r="29">
      <c r="A29" s="6" t="inlineStr">
        <is>
          <t>Total net cash outflows (£'000)</t>
        </is>
      </c>
      <c r="B29" s="6" t="n">
        <v>205363</v>
      </c>
      <c r="C29" s="6" t="n">
        <v>171530</v>
      </c>
      <c r="D29" s="6" t="n">
        <v>103776</v>
      </c>
    </row>
    <row r="30">
      <c r="A30" s="6" t="inlineStr">
        <is>
          <t>Liquidity coverage ratio (%)</t>
        </is>
      </c>
      <c r="B30" s="6" t="inlineStr">
        <is>
          <t>196%</t>
        </is>
      </c>
      <c r="C30" s="6" t="inlineStr">
        <is>
          <t>175%</t>
        </is>
      </c>
      <c r="D30" s="6" t="inlineStr">
        <is>
          <t>133%</t>
        </is>
      </c>
    </row>
    <row r="31">
      <c r="A31" s="5" t="inlineStr">
        <is>
          <t>Net stable funding ratio</t>
        </is>
      </c>
      <c r="B31" s="6" t="n"/>
      <c r="C31" s="6" t="n"/>
      <c r="D31" s="6" t="n"/>
    </row>
    <row r="32">
      <c r="A32" s="6" t="inlineStr">
        <is>
          <t>Total available funding (£'000)</t>
        </is>
      </c>
      <c r="B32" s="6" t="n">
        <v>802886</v>
      </c>
      <c r="C32" s="6" t="n">
        <v>372192</v>
      </c>
      <c r="D32" s="6" t="n">
        <v>144797</v>
      </c>
    </row>
    <row r="33">
      <c r="A33" s="6" t="inlineStr">
        <is>
          <t>Total required funding (£'000)</t>
        </is>
      </c>
      <c r="B33" s="6" t="n">
        <v>441159</v>
      </c>
      <c r="C33" s="6" t="n">
        <v>153881</v>
      </c>
      <c r="D33" s="6" t="n">
        <v>51410</v>
      </c>
    </row>
    <row r="34">
      <c r="A34" s="6" t="inlineStr">
        <is>
          <t>Net stable funding ratio (%)</t>
        </is>
      </c>
      <c r="B34" s="6" t="inlineStr">
        <is>
          <t>182%</t>
        </is>
      </c>
      <c r="C34" s="6" t="inlineStr">
        <is>
          <t>260%</t>
        </is>
      </c>
      <c r="D34" s="6" t="inlineStr">
        <is>
          <t>278%</t>
        </is>
      </c>
    </row>
    <row r="36" ht="409" customHeight="1">
      <c r="A36" s="8" t="inlineStr">
        <is>
          <t>Sources - LHV Bank Limited's own Pillar 3 Disclosures (solo basis), key-metrics template, £'000 and % exactly as printed. EACH YEAR IS TAKEN FROM THE EDITION IN WHICH IT IS THE REPORTING YEAR, never from a later edition's comparative column:
FY2025: Pillar 3 Disclosures 31 December 2025, section 3.1.2 'Template UK KM1 - Key metrics template', printed p.6-7 (the table breaks across the two pages, splitting after 'Combined buffer requirement'), column '31 December 2025' - https://framerusercontent.com/assets/xqUVp5XxVe8i90y3LAxlQmmQg.pdf
FY2024: Pillar 3 Disclosures 2024, 'Key metrics', printed p.11, column '31 December 2024' - https://framerusercontent.com/assets/OJpwHIE7Kzeo65KeJdj7ZrJGUk.pdf
FY2023: Pillar 3 Disclosures 2023, 'Key metrics', printed p.12, single column '31 December 2023' - https://framerusercontent.com/assets/5YzVUZr8JQg4njsGLzu4ZBXBs8.pdf
LATEST-EDITION CHECK (required by the KM1 map), performed 2026-09-17 against the Bank's OWN website rather than our cited URLs or Wayback: lhv.com/about/reports (the reports page the Pillar 3 document itself names in its section 1.1) lists exactly six documents - Annual Reports for 2023, 2024 and 2025 and Pillar 3 Disclosures for 2023, 2024 and 2025 - which are the six already cited in this build script. The newest edition published is the Pillar 3 Disclosures for 31 December 2025. NONE NEWER EXISTS; this workbook is not an edition behind.
IS THIS THE KM1 TEMPLATE? YES, ON THE ROW-SET TEST, AND THE BANK SAYS SO ITSELF IN THE NEWEST EDITION. The FY2023 and FY2024 editions head the table simply 'Key metrics', print no row numbers, and never write the token 'KM1' anywhere; a presence test keyed on the token or on row numbering would miss both. The FY2025 edition prints the identical table under the heading 'Template UK KM1 - Key metrics template' and states it 'outlines the key metrics referenced in Article 447'. The row set is the template's throughout: available own funds, risk-weighted exposure amount, capital ratios, additional own funds requirements, the combined buffer block, leverage ratio and exposure measure, and the full LCR and NSFR component build-ups.
WHAT THE BANK DOES NOT PRINT, reproduced as absent rather than filled in:
• NO ROW NUMBERS in any edition. The template's own numbering ('1', 'UK 7a', '15') is therefore absent from this sheet too - mapping the Bank's rows onto template numbers it never printed would invent a correspondence.
• A CONDENSED SREP BLOCK. Where the UK template splits additional own funds requirements into UK 7a-7d (CET1/AT1/T2/total), LHV prints two rows only - 'Additional requirement' and 'Total own funds requirements'. Shown as the Bank prints them.
• NO ROWS BEFORE FY2023, because no earlier edition exists. LHV Bank Limited was granted its unrestricted PRA banking licence on 3 May 2023 and FY2023 is its first Pillar 3 disclosure - the blank is the absence of a reporting period, not an access gap or a row we failed to find.</t>
        </is>
      </c>
    </row>
    <row r="38" ht="409" customHeight="1">
      <c r="A38" s="8" t="inlineStr">
        <is>
          <t>(continued)
BASIS NOTE ON THE LIQUIDITY ROWS. The LCR and NSFR rows are period AVERAGES, not year-end points, and each edition says so in its own footnote. FY2023's average covers only 3 May 2023 (authorisation) to 31 December 2023 - 'the period from when the entity became an authorised credit institution subject to reporting requirements', in the Bank's own words - so it is a partial-period average beside FY2024's and FY2025's full 12-month averages. That is a genuine basis difference across the row, flagged rather than smoothed.
TWO ROWS ARE REPORTED AS DISAGREEMENTS BY verify_workbook.py AND BOTH REPORTS ARE FALSE POSITIVES OF THE CHECKER'S LABEL MATCHING, NOT ERRORS IN THESE FIGURES. The checker decides which metric sheet a KM1 row belongs to by longest-prefix match on the row label, and two of LHV's own captions begin with the name of a different metric:
• 'Tier 1 capital ratio (%)' begins with 'Tier 1 capital', so the checker compares this PERCENTAGE against the Tier 1 Capital sheet's AMOUNT (18.5% against £103,888k, and so on for each year). LHV writes 'Tier 1 capital ratio' where the UK template writes 'Tier 1 ratio'; the figures are right and agree with the Tier 1 Ratio sheet.
• 'Total capital requirement and combined buffers (%)' begins with 'Total capital', so it is compared against the Total Capital sheet's amount. It is a buffer requirement, not a capital amount, and has no counterpart metric sheet at all.
Neither row has been reworded to satisfy the checker: these are the Bank's own printed captions, and editing them to suit a matching heuristic would be normalising the source by the back door. Six disagreements on this sheet are these two rows across three years each; every other cross-checked cell agrees.
CROSS-CONFIRMATION. Every FY2023 and FY2024 figure above also appears, identically, as the following edition's comparative column - an independent confirmation of both columns at no transcription cost. FY2025's are single-sourced from their own edition, LHV publishing no half-year Pillar 3.
ENTITY NOTE: LHV Bank Limited (Companies House 13180211, FRN 993767) is a UK bank owned by AS LHV Group (Estonia), incorporated 4 February 2021 and granted an unrestricted PRA banking licence on 3 May 2023 - its first Annual Report and Pillar 3 disclosure cover FY2023, so only 3 years of history exist (too young for 5). As at 31 December 2025 it is classified as an 'other institution' (not Small and Non-Complex, not Large) under Article 433 of the PRA Rulebook's Disclosure Part, requiring a reduced annual-only Pillar 3 disclosure with no KM2/MREL template - consistent with no MREL figures appearing in any year's Pillar 3 report.</t>
        </is>
      </c>
    </row>
  </sheetData>
  <mergeCells count="2">
    <mergeCell ref="A36:D36"/>
    <mergeCell ref="A38:D3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s>
  <sheetData>
    <row r="1">
      <c r="A1" s="1" t="inlineStr">
        <is>
          <t>LHV Bank Limited — CET1 Capital</t>
        </is>
      </c>
    </row>
    <row r="2">
      <c r="A2" s="2" t="inlineStr">
        <is>
          <t>Solo basis, £'000</t>
        </is>
      </c>
    </row>
    <row r="3">
      <c r="A3" s="4" t="inlineStr">
        <is>
          <t>Metric</t>
        </is>
      </c>
      <c r="B3" s="4" t="inlineStr">
        <is>
          <t>FY2025</t>
        </is>
      </c>
      <c r="C3" s="4" t="inlineStr">
        <is>
          <t>FY2024</t>
        </is>
      </c>
      <c r="D3" s="4" t="inlineStr">
        <is>
          <t>FY2023</t>
        </is>
      </c>
    </row>
    <row r="4">
      <c r="A4" s="6" t="inlineStr">
        <is>
          <t>Common Equity Tier 1 (CET1) capital</t>
        </is>
      </c>
      <c r="B4" s="6" t="n">
        <v>103888</v>
      </c>
      <c r="C4" s="6" t="n">
        <v>68399</v>
      </c>
      <c r="D4" s="6" t="n">
        <v>44532</v>
      </c>
    </row>
    <row r="6" ht="120" customHeight="1">
      <c r="A6" s="8" t="inlineStr">
        <is>
          <t>Sources - LHV Bank Limited's own Pillar 3 disclosures (solo basis), £'000:
FY2025: LHV Bank Limited Pillar 3 Disclosures 2025, p.6-7 (3.1.2 Template UK KM1 - Key metrics) - https://framerusercontent.com/assets/xqUVp5XxVe8i90y3LAxlQmmQg.pdf
FY2024: LHV Bank Limited Pillar 3 Disclosures 2024, p.11 (Key metrics) - https://framerusercontent.com/assets/OJpwHIE7Kzeo65KeJdj7ZrJGUk.pdf
FY2023: LHV Bank Limited Pillar 3 Disclosures 2023, p.12 (Key metrics) - https://framerusercontent.com/assets/5YzVUZr8JQg4njsGLzu4ZBXBs8.pdf
Each year's figures are confirmed by their exact appearance as the following year's comparative column, where shown.</t>
        </is>
      </c>
    </row>
  </sheetData>
  <mergeCells count="1">
    <mergeCell ref="A6:D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s>
  <sheetData>
    <row r="1">
      <c r="A1" s="1" t="inlineStr">
        <is>
          <t>LHV Bank Limited — CET1 Ratio</t>
        </is>
      </c>
    </row>
    <row r="2">
      <c r="A2" s="2" t="inlineStr">
        <is>
          <t>Solo basis, % of RWA</t>
        </is>
      </c>
    </row>
    <row r="3">
      <c r="A3" s="4" t="inlineStr">
        <is>
          <t>Metric</t>
        </is>
      </c>
      <c r="B3" s="4" t="inlineStr">
        <is>
          <t>FY2025</t>
        </is>
      </c>
      <c r="C3" s="4" t="inlineStr">
        <is>
          <t>FY2024</t>
        </is>
      </c>
      <c r="D3" s="4" t="inlineStr">
        <is>
          <t>FY2023</t>
        </is>
      </c>
    </row>
    <row r="4">
      <c r="A4" s="6" t="inlineStr">
        <is>
          <t>Common equity Tier 1 capital ratio</t>
        </is>
      </c>
      <c r="B4" s="6" t="inlineStr">
        <is>
          <t>18.5%</t>
        </is>
      </c>
      <c r="C4" s="6" t="inlineStr">
        <is>
          <t>24.1%</t>
        </is>
      </c>
      <c r="D4" s="6" t="inlineStr">
        <is>
          <t>31.7%</t>
        </is>
      </c>
    </row>
    <row r="6" ht="120" customHeight="1">
      <c r="A6" s="8" t="inlineStr">
        <is>
          <t>Sources - LHV Bank Limited's own Pillar 3 disclosures (solo basis), £'000:
FY2025: LHV Bank Limited Pillar 3 Disclosures 2025, p.6-7 (3.1.2 Template UK KM1 - Key metrics) - https://framerusercontent.com/assets/xqUVp5XxVe8i90y3LAxlQmmQg.pdf
FY2024: LHV Bank Limited Pillar 3 Disclosures 2024, p.11 (Key metrics) - https://framerusercontent.com/assets/OJpwHIE7Kzeo65KeJdj7ZrJGUk.pdf
FY2023: LHV Bank Limited Pillar 3 Disclosures 2023, p.12 (Key metrics) - https://framerusercontent.com/assets/5YzVUZr8JQg4njsGLzu4ZBXBs8.pdf
Each year's figures are confirmed by their exact appearance as the following year's comparative column, where shown.</t>
        </is>
      </c>
    </row>
  </sheetData>
  <mergeCells count="1">
    <mergeCell ref="A6:D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s>
  <sheetData>
    <row r="1">
      <c r="A1" s="1" t="inlineStr">
        <is>
          <t>LHV Bank Limited — Tier 1 Capital</t>
        </is>
      </c>
    </row>
    <row r="2">
      <c r="A2" s="2" t="inlineStr">
        <is>
          <t>Solo basis, £'000</t>
        </is>
      </c>
    </row>
    <row r="3">
      <c r="A3" s="4" t="inlineStr">
        <is>
          <t>Metric</t>
        </is>
      </c>
      <c r="B3" s="4" t="inlineStr">
        <is>
          <t>FY2025</t>
        </is>
      </c>
      <c r="C3" s="4" t="inlineStr">
        <is>
          <t>FY2024</t>
        </is>
      </c>
      <c r="D3" s="4" t="inlineStr">
        <is>
          <t>FY2023</t>
        </is>
      </c>
    </row>
    <row r="4">
      <c r="A4" s="6" t="inlineStr">
        <is>
          <t>Tier 1 capital</t>
        </is>
      </c>
      <c r="B4" s="6" t="n">
        <v>103888</v>
      </c>
      <c r="C4" s="6" t="n">
        <v>68399</v>
      </c>
      <c r="D4" s="6" t="n">
        <v>44532</v>
      </c>
    </row>
    <row r="5" ht="30" customHeight="1">
      <c r="A5" s="7" t="inlineStr">
        <is>
          <t>Note: Equal to CET1 capital in every year shown - LHV Bank has no Additional Tier 1 (AT1) instruments.</t>
        </is>
      </c>
    </row>
    <row r="7" ht="120" customHeight="1">
      <c r="A7" s="8" t="inlineStr">
        <is>
          <t>Sources - LHV Bank Limited's own Pillar 3 disclosures (solo basis), £'000:
FY2025: LHV Bank Limited Pillar 3 Disclosures 2025, p.6-7 (3.1.2 Template UK KM1 - Key metrics) - https://framerusercontent.com/assets/xqUVp5XxVe8i90y3LAxlQmmQg.pdf
FY2024: LHV Bank Limited Pillar 3 Disclosures 2024, p.11 (Key metrics) - https://framerusercontent.com/assets/OJpwHIE7Kzeo65KeJdj7ZrJGUk.pdf
FY2023: LHV Bank Limited Pillar 3 Disclosures 2023, p.12 (Key metrics) - https://framerusercontent.com/assets/5YzVUZr8JQg4njsGLzu4ZBXBs8.pdf
Each year's figures are confirmed by their exact appearance as the following year's comparative column, where shown.</t>
        </is>
      </c>
    </row>
  </sheetData>
  <mergeCells count="2">
    <mergeCell ref="A5:D5"/>
    <mergeCell ref="A7:D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s>
  <sheetData>
    <row r="1">
      <c r="A1" s="1" t="inlineStr">
        <is>
          <t>LHV Bank Limited — Tier 1 Ratio</t>
        </is>
      </c>
    </row>
    <row r="2">
      <c r="A2" s="2" t="inlineStr">
        <is>
          <t>Solo basis, % of RWA</t>
        </is>
      </c>
    </row>
    <row r="3">
      <c r="A3" s="4" t="inlineStr">
        <is>
          <t>Metric</t>
        </is>
      </c>
      <c r="B3" s="4" t="inlineStr">
        <is>
          <t>FY2025</t>
        </is>
      </c>
      <c r="C3" s="4" t="inlineStr">
        <is>
          <t>FY2024</t>
        </is>
      </c>
      <c r="D3" s="4" t="inlineStr">
        <is>
          <t>FY2023</t>
        </is>
      </c>
    </row>
    <row r="4">
      <c r="A4" s="6" t="inlineStr">
        <is>
          <t>Tier 1 capital ratio</t>
        </is>
      </c>
      <c r="B4" s="6" t="inlineStr">
        <is>
          <t>18.5%</t>
        </is>
      </c>
      <c r="C4" s="6" t="inlineStr">
        <is>
          <t>24.1%</t>
        </is>
      </c>
      <c r="D4" s="6" t="inlineStr">
        <is>
          <t>31.7%</t>
        </is>
      </c>
    </row>
    <row r="6" ht="120" customHeight="1">
      <c r="A6" s="8" t="inlineStr">
        <is>
          <t>Sources - LHV Bank Limited's own Pillar 3 disclosures (solo basis), £'000:
FY2025: LHV Bank Limited Pillar 3 Disclosures 2025, p.6-7 (3.1.2 Template UK KM1 - Key metrics) - https://framerusercontent.com/assets/xqUVp5XxVe8i90y3LAxlQmmQg.pdf
FY2024: LHV Bank Limited Pillar 3 Disclosures 2024, p.11 (Key metrics) - https://framerusercontent.com/assets/OJpwHIE7Kzeo65KeJdj7ZrJGUk.pdf
FY2023: LHV Bank Limited Pillar 3 Disclosures 2023, p.12 (Key metrics) - https://framerusercontent.com/assets/5YzVUZr8JQg4njsGLzu4ZBXBs8.pdf
Each year's figures are confirmed by their exact appearance as the following year's comparative column, where shown.</t>
        </is>
      </c>
    </row>
  </sheetData>
  <mergeCells count="1">
    <mergeCell ref="A6:D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s>
  <sheetData>
    <row r="1">
      <c r="A1" s="1" t="inlineStr">
        <is>
          <t>LHV Bank Limited — Total Capital</t>
        </is>
      </c>
    </row>
    <row r="2">
      <c r="A2" s="2" t="inlineStr">
        <is>
          <t>Solo basis, £'000</t>
        </is>
      </c>
    </row>
    <row r="3">
      <c r="A3" s="4" t="inlineStr">
        <is>
          <t>Metric</t>
        </is>
      </c>
      <c r="B3" s="4" t="inlineStr">
        <is>
          <t>FY2025</t>
        </is>
      </c>
      <c r="C3" s="4" t="inlineStr">
        <is>
          <t>FY2024</t>
        </is>
      </c>
      <c r="D3" s="4" t="inlineStr">
        <is>
          <t>FY2023</t>
        </is>
      </c>
    </row>
    <row r="4">
      <c r="A4" s="6" t="inlineStr">
        <is>
          <t>Total capital</t>
        </is>
      </c>
      <c r="B4" s="6" t="n">
        <v>113921</v>
      </c>
      <c r="C4" s="6" t="n">
        <v>68399</v>
      </c>
      <c r="D4" s="6" t="n">
        <v>44532</v>
      </c>
    </row>
    <row r="5" ht="30" customHeight="1">
      <c r="A5" s="7" t="inlineStr">
        <is>
          <t>Note: Exceeds Tier 1 capital from FY2025 onward following issuance of £10,000k of subordinated (Tier 2) liabilities during the year (see Cash Flow Statement sheet) - equal to CET1/Tier 1 capital in FY2023 and FY2024, before that issuance.</t>
        </is>
      </c>
    </row>
    <row r="7" ht="120" customHeight="1">
      <c r="A7" s="8" t="inlineStr">
        <is>
          <t>Sources - LHV Bank Limited's own Pillar 3 disclosures (solo basis), £'000:
FY2025: LHV Bank Limited Pillar 3 Disclosures 2025, p.6-7 (3.1.2 Template UK KM1 - Key metrics) - https://framerusercontent.com/assets/xqUVp5XxVe8i90y3LAxlQmmQg.pdf
FY2024: LHV Bank Limited Pillar 3 Disclosures 2024, p.11 (Key metrics) - https://framerusercontent.com/assets/OJpwHIE7Kzeo65KeJdj7ZrJGUk.pdf
FY2023: LHV Bank Limited Pillar 3 Disclosures 2023, p.12 (Key metrics) - https://framerusercontent.com/assets/5YzVUZr8JQg4njsGLzu4ZBXBs8.pdf
Each year's figures are confirmed by their exact appearance as the following year's comparative column, where shown.</t>
        </is>
      </c>
    </row>
  </sheetData>
  <mergeCells count="2">
    <mergeCell ref="A5:D5"/>
    <mergeCell ref="A7:D7"/>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s>
  <sheetData>
    <row r="1">
      <c r="A1" s="1" t="inlineStr">
        <is>
          <t>LHV Bank Limited — Total Capital Ratio</t>
        </is>
      </c>
    </row>
    <row r="2">
      <c r="A2" s="2" t="inlineStr">
        <is>
          <t>Solo basis, % of RWA</t>
        </is>
      </c>
    </row>
    <row r="3">
      <c r="A3" s="4" t="inlineStr">
        <is>
          <t>Metric</t>
        </is>
      </c>
      <c r="B3" s="4" t="inlineStr">
        <is>
          <t>FY2025</t>
        </is>
      </c>
      <c r="C3" s="4" t="inlineStr">
        <is>
          <t>FY2024</t>
        </is>
      </c>
      <c r="D3" s="4" t="inlineStr">
        <is>
          <t>FY2023</t>
        </is>
      </c>
    </row>
    <row r="4">
      <c r="A4" s="6" t="inlineStr">
        <is>
          <t>Total capital ratio</t>
        </is>
      </c>
      <c r="B4" s="6" t="inlineStr">
        <is>
          <t>20.3%</t>
        </is>
      </c>
      <c r="C4" s="6" t="inlineStr">
        <is>
          <t>24.1%</t>
        </is>
      </c>
      <c r="D4" s="6" t="inlineStr">
        <is>
          <t>31.7%</t>
        </is>
      </c>
    </row>
    <row r="6" ht="120" customHeight="1">
      <c r="A6" s="8" t="inlineStr">
        <is>
          <t>Sources - LHV Bank Limited's own Pillar 3 disclosures (solo basis), £'000:
FY2025: LHV Bank Limited Pillar 3 Disclosures 2025, p.6-7 (3.1.2 Template UK KM1 - Key metrics) - https://framerusercontent.com/assets/xqUVp5XxVe8i90y3LAxlQmmQg.pdf
FY2024: LHV Bank Limited Pillar 3 Disclosures 2024, p.11 (Key metrics) - https://framerusercontent.com/assets/OJpwHIE7Kzeo65KeJdj7ZrJGUk.pdf
FY2023: LHV Bank Limited Pillar 3 Disclosures 2023, p.12 (Key metrics) - https://framerusercontent.com/assets/5YzVUZr8JQg4njsGLzu4ZBXBs8.pdf
Each year's figures are confirmed by their exact appearance as the following year's comparative column, where shown.</t>
        </is>
      </c>
    </row>
  </sheetData>
  <mergeCells count="1">
    <mergeCell ref="A6:D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s>
  <sheetData>
    <row r="1">
      <c r="A1" s="1" t="inlineStr">
        <is>
          <t>LHV Bank Limited — Total RWAs</t>
        </is>
      </c>
    </row>
    <row r="2">
      <c r="A2" s="2" t="inlineStr">
        <is>
          <t>Solo basis, £'000</t>
        </is>
      </c>
    </row>
    <row r="3">
      <c r="A3" s="4" t="inlineStr">
        <is>
          <t>Metric</t>
        </is>
      </c>
      <c r="B3" s="4" t="inlineStr">
        <is>
          <t>FY2025</t>
        </is>
      </c>
      <c r="C3" s="4" t="inlineStr">
        <is>
          <t>FY2024</t>
        </is>
      </c>
      <c r="D3" s="4" t="inlineStr">
        <is>
          <t>FY2023</t>
        </is>
      </c>
    </row>
    <row r="4">
      <c r="A4" s="6" t="inlineStr">
        <is>
          <t>Total risk weighted exposure amount</t>
        </is>
      </c>
      <c r="B4" s="6" t="n">
        <v>561468</v>
      </c>
      <c r="C4" s="6" t="n">
        <v>284276</v>
      </c>
      <c r="D4" s="6" t="n">
        <v>140702</v>
      </c>
    </row>
    <row r="6" ht="120" customHeight="1">
      <c r="A6" s="8" t="inlineStr">
        <is>
          <t>Sources - LHV Bank Limited's own Pillar 3 disclosures (solo basis), £'000:
FY2025: LHV Bank Limited Pillar 3 Disclosures 2025, p.6-7 (3.1.2 Template UK KM1 - Key metrics) - https://framerusercontent.com/assets/xqUVp5XxVe8i90y3LAxlQmmQg.pdf
FY2024: LHV Bank Limited Pillar 3 Disclosures 2024, p.11 (Key metrics) - https://framerusercontent.com/assets/OJpwHIE7Kzeo65KeJdj7ZrJGUk.pdf
FY2023: LHV Bank Limited Pillar 3 Disclosures 2023, p.12 (Key metrics) - https://framerusercontent.com/assets/5YzVUZr8JQg4njsGLzu4ZBXBs8.pdf
Each year's figures are confirmed by their exact appearance as the following year's comparative column, where shown.</t>
        </is>
      </c>
    </row>
  </sheetData>
  <mergeCells count="1">
    <mergeCell ref="A6:D6"/>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s>
  <sheetData>
    <row r="1">
      <c r="A1" s="1" t="inlineStr">
        <is>
          <t>LHV Bank Limited — RWA Breakdown</t>
        </is>
      </c>
    </row>
    <row r="2">
      <c r="A2" s="2" t="inlineStr">
        <is>
          <t>Solo basis, standardised approach for credit/market risk, basic indicator approach for operational risk (Template UK OV1). £'000.</t>
        </is>
      </c>
    </row>
    <row r="3">
      <c r="A3" s="4" t="inlineStr">
        <is>
          <t>Line item</t>
        </is>
      </c>
      <c r="B3" s="4" t="inlineStr">
        <is>
          <t>FY2025 (£'000)</t>
        </is>
      </c>
      <c r="C3" s="4" t="inlineStr">
        <is>
          <t>FY2024 (£'000)</t>
        </is>
      </c>
      <c r="D3" s="4" t="inlineStr">
        <is>
          <t>FY2023 (£'000)</t>
        </is>
      </c>
    </row>
    <row r="4">
      <c r="A4" s="6" t="inlineStr">
        <is>
          <t>Credit risk</t>
        </is>
      </c>
      <c r="B4" s="6" t="n">
        <v>481364</v>
      </c>
      <c r="C4" s="6" t="n">
        <v>211654</v>
      </c>
      <c r="D4" s="6" t="n">
        <v>61243</v>
      </c>
    </row>
    <row r="5">
      <c r="A5" s="6" t="inlineStr">
        <is>
          <t>Counterparty credit risk (CCR)</t>
        </is>
      </c>
      <c r="B5" s="6" t="n">
        <v>3110</v>
      </c>
      <c r="C5" s="6" t="n">
        <v>0</v>
      </c>
      <c r="D5" s="6" t="n">
        <v>0</v>
      </c>
    </row>
    <row r="6">
      <c r="A6" s="6" t="inlineStr">
        <is>
          <t>Market risk</t>
        </is>
      </c>
      <c r="B6" s="6" t="n">
        <v>3557</v>
      </c>
      <c r="C6" s="6" t="n"/>
      <c r="D6" s="6" t="n"/>
    </row>
    <row r="7">
      <c r="A7" s="6" t="inlineStr">
        <is>
          <t>Operational risk</t>
        </is>
      </c>
      <c r="B7" s="6" t="n">
        <v>73437</v>
      </c>
      <c r="C7" s="6" t="n">
        <v>72622</v>
      </c>
      <c r="D7" s="6" t="n">
        <v>79460</v>
      </c>
    </row>
    <row r="8">
      <c r="A8" s="5" t="inlineStr">
        <is>
          <t>Total risk weighted exposure amount</t>
        </is>
      </c>
      <c r="B8" s="5" t="n">
        <v>561468</v>
      </c>
      <c r="C8" s="5" t="n">
        <v>284276</v>
      </c>
      <c r="D8" s="5" t="n">
        <v>140702</v>
      </c>
    </row>
    <row r="10" ht="200" customHeight="1">
      <c r="A10" s="8" t="inlineStr">
        <is>
          <t>Sources - LHV Bank Limited's own Pillar 3 disclosures (solo basis), £'000:
FY2025: LHV Bank Limited Pillar 3 Disclosures 2025, p.6-7 (3.1.2 Template UK KM1 - Key metrics) - https://framerusercontent.com/assets/xqUVp5XxVe8i90y3LAxlQmmQg.pdf
FY2024: LHV Bank Limited Pillar 3 Disclosures 2024, p.11 (Key metrics) - https://framerusercontent.com/assets/OJpwHIE7Kzeo65KeJdj7ZrJGUk.pdf
FY2023: LHV Bank Limited Pillar 3 Disclosures 2023, p.12 (Key metrics) - https://framerusercontent.com/assets/5YzVUZr8JQg4njsGLzu4ZBXBs8.pdf
Each year's figures are confirmed by their exact appearance as the following year's comparative column, where shown.
All years' figures shown above tie exactly to the Total RWAs sheet. Market Risk and Counterparty Credit Risk are both nil/not disclosed as separate lines in FY2023/FY2024's own Template UK OV1-equivalent table (only Credit Risk and Operational Risk lines shown, summing exactly to that year's Total); FY2025's own table is the first to show non-zero Counterparty Credit Risk (£3,110k) and a new Market Risk line (£3,557k), reflecting genuine growth/diversification in the Bank's activities, not a change in disclosure practice.</t>
        </is>
      </c>
    </row>
  </sheetData>
  <mergeCells count="1">
    <mergeCell ref="A10:D10"/>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s>
  <sheetData>
    <row r="1">
      <c r="A1" s="1" t="inlineStr">
        <is>
          <t>LHV Bank Limited — Leverage Ratio</t>
        </is>
      </c>
    </row>
    <row r="2">
      <c r="A2" s="2" t="inlineStr">
        <is>
          <t>Solo basis, £'000 / %</t>
        </is>
      </c>
    </row>
    <row r="3">
      <c r="A3" s="4" t="inlineStr">
        <is>
          <t>Metric</t>
        </is>
      </c>
      <c r="B3" s="4" t="inlineStr">
        <is>
          <t>FY2025</t>
        </is>
      </c>
      <c r="C3" s="4" t="inlineStr">
        <is>
          <t>FY2024</t>
        </is>
      </c>
      <c r="D3" s="4" t="inlineStr">
        <is>
          <t>FY2023</t>
        </is>
      </c>
    </row>
    <row r="4">
      <c r="A4" s="6" t="inlineStr">
        <is>
          <t>Total exposure measure excluding claims made on central banks</t>
        </is>
      </c>
      <c r="B4" s="6" t="n">
        <v>721124</v>
      </c>
      <c r="C4" s="6" t="n">
        <v>317763</v>
      </c>
      <c r="D4" s="6" t="n">
        <v>79084</v>
      </c>
    </row>
    <row r="5">
      <c r="A5" s="6" t="inlineStr">
        <is>
          <t>Leverage ratio excluding claims made on central banks (%)</t>
        </is>
      </c>
      <c r="B5" s="6" t="inlineStr">
        <is>
          <t>14.4%</t>
        </is>
      </c>
      <c r="C5" s="6" t="inlineStr">
        <is>
          <t>21.5%</t>
        </is>
      </c>
      <c r="D5" s="6" t="inlineStr">
        <is>
          <t>56.3%</t>
        </is>
      </c>
    </row>
    <row r="6" ht="208" customHeight="1">
      <c r="A6" s="7" t="inlineStr">
        <is>
          <t xml:space="preserve">Note: FY2023's very high ratio (56.3%) reflects the bank's small, deposit/capital-heavy balance sheet shortly after launch (unrestricted licence granted 3 May 2023), not a transcription error - it fell sharply as the loan book scaled in FY2024/FY2025.
ONE LEVERAGE BASIS ONLY - CHECKED AND RECORDED 2026-10-09 (GA-026). Template UK LR2 (LRCom) asks for BOTH leverage measures - rows 24 and UK-25c on the including-claims-on-central-banks basis, UK-24b and 25 on the excluding basis, with the reconciling deduction at UK-24a - and 47 workbooks in this corpus carry both. This sheet carries the excluding side alone because that is all this bank publishes, not because the including side was missed.
HOW THAT WAS ESTABLISHED: all 3 source URLs cited on this sheet and its KM1 sheet were re-fetched on 2026-10-09 (3 returned a real PDF, %PDF magic bytes checked), and each document's full text was searched for an LR2/LRCom template and for the 'including claims on central banks' wording. No edition contained either. The bank files UK KM1, whose leverage block (rows 13 and 14) asks only for the excluding measure; a KM1 filer that publishes no LR2 therefore discloses one basis.
THIS IS A RECORDED FINDING, NOT AN UNCHECKED GAP. Do not reopen it on the sheet's shape alone. It should be reopened when a NEW edition appears, since a bank can begin printing LR2 at any time - Aldermore's FY2026 report is the first of its eight editions to do so. And note the method's own limit: the text search is defeated by a figure wrapping into the middle of a label (UBP's KM1 renders as '...excluding claims  4,407,957  on central banks'), so a hit was always read by hand and only a clean zero across every edition supports this finding. </t>
        </is>
      </c>
    </row>
    <row r="8" ht="120" customHeight="1">
      <c r="A8" s="8" t="inlineStr">
        <is>
          <t>Sources - LHV Bank Limited's own Pillar 3 disclosures (solo basis), £'000:
FY2025: LHV Bank Limited Pillar 3 Disclosures 2025, p.6-7 (3.1.2 Template UK KM1 - Key metrics) - https://framerusercontent.com/assets/xqUVp5XxVe8i90y3LAxlQmmQg.pdf
FY2024: LHV Bank Limited Pillar 3 Disclosures 2024, p.11 (Key metrics) - https://framerusercontent.com/assets/OJpwHIE7Kzeo65KeJdj7ZrJGUk.pdf
FY2023: LHV Bank Limited Pillar 3 Disclosures 2023, p.12 (Key metrics) - https://framerusercontent.com/assets/5YzVUZr8JQg4njsGLzu4ZBXBs8.pdf
Each year's figures are confirmed by their exact appearance as the following year's comparative column, where shown.</t>
        </is>
      </c>
    </row>
  </sheetData>
  <mergeCells count="2">
    <mergeCell ref="A8:D8"/>
    <mergeCell ref="A6:D6"/>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s>
  <sheetData>
    <row r="1">
      <c r="A1" s="1" t="inlineStr">
        <is>
          <t>LHV Bank Limited — LCR</t>
        </is>
      </c>
    </row>
    <row r="2">
      <c r="A2" s="2" t="inlineStr">
        <is>
          <t>Solo basis, £'000 / %</t>
        </is>
      </c>
    </row>
    <row r="3">
      <c r="A3" s="4" t="inlineStr">
        <is>
          <t>Metric</t>
        </is>
      </c>
      <c r="B3" s="4" t="inlineStr">
        <is>
          <t>FY2025</t>
        </is>
      </c>
      <c r="C3" s="4" t="inlineStr">
        <is>
          <t>FY2024</t>
        </is>
      </c>
      <c r="D3" s="4" t="inlineStr">
        <is>
          <t>FY2023</t>
        </is>
      </c>
    </row>
    <row r="4">
      <c r="A4" s="6" t="inlineStr">
        <is>
          <t>Total HQLA</t>
        </is>
      </c>
      <c r="B4" s="6" t="n">
        <v>405138</v>
      </c>
      <c r="C4" s="6" t="n">
        <v>296989</v>
      </c>
      <c r="D4" s="6" t="n">
        <v>137258</v>
      </c>
    </row>
    <row r="5">
      <c r="A5" s="6" t="inlineStr">
        <is>
          <t>Total net cash outflows</t>
        </is>
      </c>
      <c r="B5" s="6" t="n">
        <v>205363</v>
      </c>
      <c r="C5" s="6" t="n">
        <v>171530</v>
      </c>
      <c r="D5" s="6" t="n">
        <v>103776</v>
      </c>
    </row>
    <row r="6">
      <c r="A6" s="6" t="inlineStr">
        <is>
          <t>Liquidity coverage ratio (%)</t>
        </is>
      </c>
      <c r="B6" s="6" t="inlineStr">
        <is>
          <t>196%</t>
        </is>
      </c>
      <c r="C6" s="6" t="inlineStr">
        <is>
          <t>175%</t>
        </is>
      </c>
      <c r="D6" s="6" t="inlineStr">
        <is>
          <t>133%</t>
        </is>
      </c>
    </row>
    <row r="7" ht="30" customHeight="1">
      <c r="A7" s="7" t="inlineStr">
        <is>
          <t>Note: FY2023's LCR/NSFR are averages over 3 May 2023 (authorisation) to 31 December 2023 only, not a full 12-month average like FY2024/FY2025.</t>
        </is>
      </c>
    </row>
    <row r="9" ht="120" customHeight="1">
      <c r="A9" s="8" t="inlineStr">
        <is>
          <t>Sources - LHV Bank Limited's own Pillar 3 disclosures (solo basis), £'000:
FY2025: LHV Bank Limited Pillar 3 Disclosures 2025, p.6-7 (3.1.2 Template UK KM1 - Key metrics) - https://framerusercontent.com/assets/xqUVp5XxVe8i90y3LAxlQmmQg.pdf
FY2024: LHV Bank Limited Pillar 3 Disclosures 2024, p.11 (Key metrics) - https://framerusercontent.com/assets/OJpwHIE7Kzeo65KeJdj7ZrJGUk.pdf
FY2023: LHV Bank Limited Pillar 3 Disclosures 2023, p.12 (Key metrics) - https://framerusercontent.com/assets/5YzVUZr8JQg4njsGLzu4ZBXBs8.pdf
Each year's figures are confirmed by their exact appearance as the following year's comparative column, where shown.</t>
        </is>
      </c>
    </row>
  </sheetData>
  <mergeCells count="2">
    <mergeCell ref="A7:D7"/>
    <mergeCell ref="A9:D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s>
  <sheetData>
    <row r="1">
      <c r="A1" s="1" t="inlineStr">
        <is>
          <t>LHV Bank Limited — NSFR</t>
        </is>
      </c>
    </row>
    <row r="2">
      <c r="A2" s="2" t="inlineStr">
        <is>
          <t>Solo basis, £'000 / %</t>
        </is>
      </c>
    </row>
    <row r="3">
      <c r="A3" s="4" t="inlineStr">
        <is>
          <t>Metric</t>
        </is>
      </c>
      <c r="B3" s="4" t="inlineStr">
        <is>
          <t>FY2025</t>
        </is>
      </c>
      <c r="C3" s="4" t="inlineStr">
        <is>
          <t>FY2024</t>
        </is>
      </c>
      <c r="D3" s="4" t="inlineStr">
        <is>
          <t>FY2023</t>
        </is>
      </c>
    </row>
    <row r="4">
      <c r="A4" s="6" t="inlineStr">
        <is>
          <t>Total available funding</t>
        </is>
      </c>
      <c r="B4" s="6" t="n">
        <v>802886</v>
      </c>
      <c r="C4" s="6" t="n">
        <v>372192</v>
      </c>
      <c r="D4" s="6" t="n">
        <v>144797</v>
      </c>
    </row>
    <row r="5">
      <c r="A5" s="6" t="inlineStr">
        <is>
          <t>Total required funding</t>
        </is>
      </c>
      <c r="B5" s="6" t="n">
        <v>441159</v>
      </c>
      <c r="C5" s="6" t="n">
        <v>153881</v>
      </c>
      <c r="D5" s="6" t="n">
        <v>51410</v>
      </c>
    </row>
    <row r="6">
      <c r="A6" s="6" t="inlineStr">
        <is>
          <t>Net stable funding ratio (%)</t>
        </is>
      </c>
      <c r="B6" s="6" t="inlineStr">
        <is>
          <t>182%</t>
        </is>
      </c>
      <c r="C6" s="6" t="inlineStr">
        <is>
          <t>260%</t>
        </is>
      </c>
      <c r="D6" s="6" t="inlineStr">
        <is>
          <t>278%</t>
        </is>
      </c>
    </row>
    <row r="7" ht="30" customHeight="1">
      <c r="A7" s="7" t="inlineStr">
        <is>
          <t>Note: FY2023's NSFR is an average over 3 May 2023 (authorisation) to 31 December 2023 only, not a full 12-month average like FY2024/FY2025.</t>
        </is>
      </c>
    </row>
    <row r="9" ht="120" customHeight="1">
      <c r="A9" s="8" t="inlineStr">
        <is>
          <t>Sources - LHV Bank Limited's own Pillar 3 disclosures (solo basis), £'000:
FY2025: LHV Bank Limited Pillar 3 Disclosures 2025, p.6-7 (3.1.2 Template UK KM1 - Key metrics) - https://framerusercontent.com/assets/xqUVp5XxVe8i90y3LAxlQmmQg.pdf
FY2024: LHV Bank Limited Pillar 3 Disclosures 2024, p.11 (Key metrics) - https://framerusercontent.com/assets/OJpwHIE7Kzeo65KeJdj7ZrJGUk.pdf
FY2023: LHV Bank Limited Pillar 3 Disclosures 2023, p.12 (Key metrics) - https://framerusercontent.com/assets/5YzVUZr8JQg4njsGLzu4ZBXBs8.pdf
Each year's figures are confirmed by their exact appearance as the following year's comparative column, where shown.</t>
        </is>
      </c>
    </row>
  </sheetData>
  <mergeCells count="2">
    <mergeCell ref="A7:D7"/>
    <mergeCell ref="A9:D9"/>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s>
  <sheetData>
    <row r="1">
      <c r="A1" s="1" t="inlineStr">
        <is>
          <t>LHV Bank Limited — MREL Ratio</t>
        </is>
      </c>
    </row>
    <row r="2">
      <c r="A2" s="2" t="inlineStr">
        <is>
          <t>Solo basis</t>
        </is>
      </c>
    </row>
    <row r="3">
      <c r="A3" s="4" t="inlineStr">
        <is>
          <t>Metric</t>
        </is>
      </c>
      <c r="B3" s="4" t="inlineStr">
        <is>
          <t>FY2025</t>
        </is>
      </c>
      <c r="C3" s="4" t="inlineStr">
        <is>
          <t>FY2024</t>
        </is>
      </c>
      <c r="D3" s="4" t="inlineStr">
        <is>
          <t>FY2023</t>
        </is>
      </c>
    </row>
    <row r="4">
      <c r="A4" s="6" t="inlineStr">
        <is>
          <t>MREL ratio</t>
        </is>
      </c>
      <c r="B4" s="6" t="inlineStr">
        <is>
          <t>Not published – FY2025 Pillar 3 (reduced 'other institution' disclosure, no KM2 required) and FY2025 Annual Report read 2026-09-19: no MREL figure</t>
        </is>
      </c>
      <c r="C4" s="6" t="inlineStr">
        <is>
          <t>Not published – FY2024 Pillar 3 (reduced 'other institution' disclosure, no KM2 required) and FY2024 Annual Report read 2026-09-19: no MREL figure</t>
        </is>
      </c>
      <c r="D4" s="6" t="inlineStr">
        <is>
          <t>Not published – FY2023 Pillar 3 (reduced 'other institution' disclosure, no KM2 required) and FY2023 Annual Report read 2026-09-19: no MREL figure</t>
        </is>
      </c>
    </row>
    <row r="5" ht="78" customHeight="1">
      <c r="A5" s="7" t="inlineStr">
        <is>
          <t>Note: LHV Bank Limited is classified as an 'other institution' (not Large, not subject to LREQ/G-SII/O-SII status) under Article 433 of the PRA Rulebook's Disclosure Part as at 31 December 2025, requiring only reduced annual Pillar 3 disclosure with no UK KM2/MREL template - no MREL figure of any kind appears in any year's Pillar 3 report. GA-020 (2026-09-19): the FY2023-FY2025 Pillar 3 reports and Annual Reports were re-read, with 0 MREL, eligible-liabilities or KM2 hits against 32-90 'capital' hits per document. The cells previously read a bare 'Not applicable'. They now read 'Not published', because no document states that no MREL requirement applies; the reduced disclosure regime explains only why none is printed.</t>
        </is>
      </c>
    </row>
    <row r="7" ht="120" customHeight="1">
      <c r="A7" s="8" t="inlineStr">
        <is>
          <t>Sources - LHV Bank Limited's own Pillar 3 disclosures (solo basis), £'000:
FY2025: LHV Bank Limited Pillar 3 Disclosures 2025, p.6-7 (3.1.2 Template UK KM1 - Key metrics) - https://framerusercontent.com/assets/xqUVp5XxVe8i90y3LAxlQmmQg.pdf
FY2024: LHV Bank Limited Pillar 3 Disclosures 2024, p.11 (Key metrics) - https://framerusercontent.com/assets/OJpwHIE7Kzeo65KeJdj7ZrJGUk.pdf
FY2023: LHV Bank Limited Pillar 3 Disclosures 2023, p.12 (Key metrics) - https://framerusercontent.com/assets/5YzVUZr8JQg4njsGLzu4ZBXBs8.pdf
Each year's figures are confirmed by their exact appearance as the following year's comparative column, where shown.</t>
        </is>
      </c>
    </row>
  </sheetData>
  <mergeCells count="2">
    <mergeCell ref="A5:D5"/>
    <mergeCell ref="A7:D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2026-10-26T09:36:09Z</dcterms:created>
  <dcterms:modified xmlns:dcterms="http://purl.org/dc/terms/" xmlns:xsi="http://www.w3.org/2001/XMLSchema-instance" xsi:type="dcterms:W3CDTF">2026-10-26T09:36:09Z</dcterms:modified>
</cp:coreProperties>
</file>