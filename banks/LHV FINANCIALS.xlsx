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LHV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'Overview'!G6</f>
            </strRef>
          </tx>
          <spPr>
            <a:ln xmlns:a="http://schemas.openxmlformats.org/drawingml/2006/main">
              <a:prstDash val="solid"/>
            </a:ln>
          </spPr>
          <cat>
            <numRef>
              <f>'Overview'!$H$5:$J$5</f>
            </numRef>
          </cat>
          <val>
            <numRef>
              <f>'Overview'!$H$6:$J$6</f>
            </numRef>
          </val>
        </ser>
        <ser>
          <idx val="1"/>
          <order val="1"/>
          <tx>
            <strRef>
              <f>'Overview'!G7</f>
            </strRef>
          </tx>
          <spPr>
            <a:ln xmlns:a="http://schemas.openxmlformats.org/drawingml/2006/main">
              <a:prstDash val="solid"/>
            </a:ln>
          </spPr>
          <cat>
            <numRef>
              <f>'Overview'!$H$5:$J$5</f>
            </numRef>
          </cat>
          <val>
            <numRef>
              <f>'Overview'!$H$7:$J$7</f>
            </numRef>
          </val>
        </ser>
        <ser>
          <idx val="2"/>
          <order val="2"/>
          <tx>
            <strRef>
              <f>'Overview'!G8</f>
            </strRef>
          </tx>
          <spPr>
            <a:ln xmlns:a="http://schemas.openxmlformats.org/drawingml/2006/main">
              <a:prstDash val="solid"/>
            </a:ln>
          </spPr>
          <cat>
            <numRef>
              <f>'Overview'!$H$5:$J$5</f>
            </numRef>
          </cat>
          <val>
            <numRef>
              <f>'Overview'!$H$8:$J$8</f>
            </numRef>
          </val>
        </ser>
        <ser>
          <idx val="3"/>
          <order val="3"/>
          <tx>
            <strRef>
              <f>'Overview'!G9</f>
            </strRef>
          </tx>
          <spPr>
            <a:ln xmlns:a="http://schemas.openxmlformats.org/drawingml/2006/main">
              <a:prstDash val="solid"/>
            </a:ln>
          </spPr>
          <cat>
            <numRef>
              <f>'Overview'!$H$5:$J$5</f>
            </numRef>
          </cat>
          <val>
            <numRef>
              <f>'Overview'!$H$9:$J$9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LHV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'Overview'!M13</f>
            </strRef>
          </tx>
          <spPr>
            <a:ln xmlns:a="http://schemas.openxmlformats.org/drawingml/2006/main">
              <a:prstDash val="solid"/>
            </a:ln>
          </spPr>
          <cat>
            <numRef>
              <f>'Overview'!$N$12:$P$12</f>
            </numRef>
          </cat>
          <val>
            <numRef>
              <f>'Overview'!$N$13:$P$13</f>
            </numRef>
          </val>
        </ser>
        <ser>
          <idx val="1"/>
          <order val="1"/>
          <tx>
            <strRef>
              <f>'Overview'!M14</f>
            </strRef>
          </tx>
          <spPr>
            <a:ln xmlns:a="http://schemas.openxmlformats.org/drawingml/2006/main">
              <a:prstDash val="solid"/>
            </a:ln>
          </spPr>
          <cat>
            <numRef>
              <f>'Overview'!$N$12:$P$12</f>
            </numRef>
          </cat>
          <val>
            <numRef>
              <f>'Overview'!$N$14:$P$14</f>
            </numRef>
          </val>
        </ser>
        <ser>
          <idx val="2"/>
          <order val="2"/>
          <tx>
            <strRef>
              <f>'Overview'!M15</f>
            </strRef>
          </tx>
          <spPr>
            <a:ln xmlns:a="http://schemas.openxmlformats.org/drawingml/2006/main">
              <a:prstDash val="solid"/>
            </a:ln>
          </spPr>
          <cat>
            <numRef>
              <f>'Overview'!$N$12:$P$12</f>
            </numRef>
          </cat>
          <val>
            <numRef>
              <f>'Overview'!$N$15:$P$15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LHV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'Overview'!S19</f>
            </strRef>
          </tx>
          <spPr>
            <a:ln xmlns:a="http://schemas.openxmlformats.org/drawingml/2006/main">
              <a:prstDash val="solid"/>
            </a:ln>
          </spPr>
          <cat>
            <numRef>
              <f>'Overview'!$T$18:$V$18</f>
            </numRef>
          </cat>
          <val>
            <numRef>
              <f>'Overview'!$T$19:$V$19</f>
            </numRef>
          </val>
        </ser>
        <ser>
          <idx val="1"/>
          <order val="1"/>
          <tx>
            <strRef>
              <f>'Overview'!S20</f>
            </strRef>
          </tx>
          <spPr>
            <a:ln xmlns:a="http://schemas.openxmlformats.org/drawingml/2006/main">
              <a:prstDash val="solid"/>
            </a:ln>
          </spPr>
          <cat>
            <numRef>
              <f>'Overview'!$T$18:$V$18</f>
            </numRef>
          </cat>
          <val>
            <numRef>
              <f>'Overview'!$T$20:$V$20</f>
            </numRef>
          </val>
        </ser>
        <ser>
          <idx val="2"/>
          <order val="2"/>
          <tx>
            <strRef>
              <f>'Overview'!S21</f>
            </strRef>
          </tx>
          <spPr>
            <a:ln xmlns:a="http://schemas.openxmlformats.org/drawingml/2006/main">
              <a:prstDash val="solid"/>
            </a:ln>
          </spPr>
          <cat>
            <numRef>
              <f>'Overview'!$T$18:$V$18</f>
            </numRef>
          </cat>
          <val>
            <numRef>
              <f>'Overview'!$T$21:$V$21</f>
            </numRef>
          </val>
        </ser>
        <ser>
          <idx val="3"/>
          <order val="3"/>
          <tx>
            <strRef>
              <f>'Overview'!S22</f>
            </strRef>
          </tx>
          <spPr>
            <a:ln xmlns:a="http://schemas.openxmlformats.org/drawingml/2006/main">
              <a:prstDash val="solid"/>
            </a:ln>
          </spPr>
          <cat>
            <numRef>
              <f>'Overview'!$T$18:$V$18</f>
            </numRef>
          </cat>
          <val>
            <numRef>
              <f>'Overview'!$T$22:$V$22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LHV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'Overview'!Y26</f>
            </strRef>
          </tx>
          <spPr>
            <a:ln xmlns:a="http://schemas.openxmlformats.org/drawingml/2006/main">
              <a:prstDash val="solid"/>
            </a:ln>
          </spPr>
          <cat>
            <numRef>
              <f>'Overview'!$Z$25:$AB$25</f>
            </numRef>
          </cat>
          <val>
            <numRef>
              <f>'Overview'!$Z$26:$AB$26</f>
            </numRef>
          </val>
        </ser>
        <ser>
          <idx val="1"/>
          <order val="1"/>
          <tx>
            <strRef>
              <f>'Overview'!Y27</f>
            </strRef>
          </tx>
          <spPr>
            <a:ln xmlns:a="http://schemas.openxmlformats.org/drawingml/2006/main">
              <a:prstDash val="solid"/>
            </a:ln>
          </spPr>
          <cat>
            <numRef>
              <f>'Overview'!$Z$25:$AB$25</f>
            </numRef>
          </cat>
          <val>
            <numRef>
              <f>'Overview'!$Z$27:$AB$27</f>
            </numRef>
          </val>
        </ser>
        <ser>
          <idx val="2"/>
          <order val="2"/>
          <tx>
            <strRef>
              <f>'Overview'!Y28</f>
            </strRef>
          </tx>
          <spPr>
            <a:ln xmlns:a="http://schemas.openxmlformats.org/drawingml/2006/main">
              <a:prstDash val="solid"/>
            </a:ln>
          </spPr>
          <cat>
            <numRef>
              <f>'Overview'!$Z$25:$AB$25</f>
            </numRef>
          </cat>
          <val>
            <numRef>
              <f>'Overview'!$Z$28:$AB$28</f>
            </numRef>
          </val>
        </ser>
        <ser>
          <idx val="3"/>
          <order val="3"/>
          <tx>
            <strRef>
              <f>'Overview'!Y29</f>
            </strRef>
          </tx>
          <spPr>
            <a:ln xmlns:a="http://schemas.openxmlformats.org/drawingml/2006/main">
              <a:prstDash val="solid"/>
            </a:ln>
          </spPr>
          <cat>
            <numRef>
              <f>'Overview'!$Z$25:$AB$25</f>
            </numRef>
          </cat>
          <val>
            <numRef>
              <f>'Overview'!$Z$29:$AB$29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LHV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'Overview'!AE6</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'Overview'!$AF$6:$AH$6</f>
            </numRef>
          </val>
          <smooth val="0"/>
        </ser>
        <ser>
          <idx val="1"/>
          <order val="1"/>
          <tx>
            <strRef>
              <f>'Overview'!AE7</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'Overview'!$AF$7:$AH$7</f>
            </numRef>
          </val>
          <smooth val="0"/>
        </ser>
        <ser>
          <idx val="2"/>
          <order val="2"/>
          <tx>
            <strRef>
              <f>'Overview'!AE8</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'Overview'!$AF$8:$AH$8</f>
            </numRef>
          </val>
          <smooth val="0"/>
        </ser>
        <ser>
          <idx val="3"/>
          <order val="3"/>
          <tx>
            <strRef>
              <f>'Overview'!AE9</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'Overview'!$AF$9:$AH$9</f>
            </numRef>
          </val>
          <smooth val="0"/>
        </ser>
        <ser>
          <idx val="4"/>
          <order val="4"/>
          <tx>
            <strRef>
              <f>'Overview'!AE10</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'Overview'!$AF$10:$AH$10</f>
            </numRef>
          </val>
          <smooth val="0"/>
        </ser>
        <ser>
          <idx val="5"/>
          <order val="5"/>
          <tx>
            <strRef>
              <f>'Overview'!AE11</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'Overview'!$AF$11:$AH$11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H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c r="A1" s="1" t="inlineStr">
        <is>
          <t>LHV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H5" t="inlineStr">
        <is>
          <t>FY2023</t>
        </is>
      </c>
      <c r="I5" t="inlineStr">
        <is>
          <t>FY2024</t>
        </is>
      </c>
      <c r="J5" t="inlineStr">
        <is>
          <t>FY2025</t>
        </is>
      </c>
      <c r="AF5" t="inlineStr">
        <is>
          <t>FY2023</t>
        </is>
      </c>
      <c r="AG5" t="inlineStr">
        <is>
          <t>FY2024</t>
        </is>
      </c>
      <c r="AH5" t="inlineStr">
        <is>
          <t>FY2025</t>
        </is>
      </c>
    </row>
    <row r="6">
      <c r="A6" s="5" t="inlineStr">
        <is>
          <t>Total assets</t>
        </is>
      </c>
      <c r="B6" s="5" t="n">
        <v>1251669</v>
      </c>
      <c r="C6" s="5" t="n">
        <v>662432</v>
      </c>
      <c r="D6" s="5" t="n">
        <v>321011</v>
      </c>
      <c r="G6" t="inlineStr">
        <is>
          <t>Total assets</t>
        </is>
      </c>
      <c r="H6" t="n">
        <v>321011</v>
      </c>
      <c r="I6" t="n">
        <v>662432</v>
      </c>
      <c r="J6" t="n">
        <v>1251669</v>
      </c>
      <c r="AE6" t="inlineStr">
        <is>
          <t>CET1 Ratio</t>
        </is>
      </c>
      <c r="AF6" t="n">
        <v>31.7</v>
      </c>
      <c r="AG6" t="n">
        <v>24.1</v>
      </c>
      <c r="AH6" t="n">
        <v>18.5</v>
      </c>
    </row>
    <row r="7">
      <c r="A7" s="5" t="inlineStr">
        <is>
          <t>Loans and advances to customers</t>
        </is>
      </c>
      <c r="B7" s="5" t="n">
        <v>682579</v>
      </c>
      <c r="C7" s="5" t="n">
        <v>288799</v>
      </c>
      <c r="D7" s="5" t="n">
        <v>69009</v>
      </c>
      <c r="G7" t="inlineStr">
        <is>
          <t>Loans and advances to customers</t>
        </is>
      </c>
      <c r="H7" t="n">
        <v>69009</v>
      </c>
      <c r="I7" t="n">
        <v>288799</v>
      </c>
      <c r="J7" t="n">
        <v>682579</v>
      </c>
      <c r="AE7" t="inlineStr">
        <is>
          <t>Tier 1 Ratio</t>
        </is>
      </c>
      <c r="AF7" t="n">
        <v>31.7</v>
      </c>
      <c r="AG7" t="n">
        <v>24.1</v>
      </c>
      <c r="AH7" t="n">
        <v>18.5</v>
      </c>
    </row>
    <row r="8">
      <c r="A8" s="5" t="inlineStr">
        <is>
          <t>Deposits by/from customers</t>
        </is>
      </c>
      <c r="B8" s="5" t="n">
        <v>1114522</v>
      </c>
      <c r="C8" s="5" t="n">
        <v>584520</v>
      </c>
      <c r="D8" s="5" t="n">
        <v>206998</v>
      </c>
      <c r="G8" t="inlineStr">
        <is>
          <t>Deposits by/from customers</t>
        </is>
      </c>
      <c r="H8" t="n">
        <v>206998</v>
      </c>
      <c r="I8" t="n">
        <v>584520</v>
      </c>
      <c r="J8" t="n">
        <v>1114522</v>
      </c>
      <c r="AE8" t="inlineStr">
        <is>
          <t>Total Capital Ratio</t>
        </is>
      </c>
      <c r="AF8" t="n">
        <v>31.7</v>
      </c>
      <c r="AG8" t="n">
        <v>24.1</v>
      </c>
      <c r="AH8" t="n">
        <v>20.3</v>
      </c>
    </row>
    <row r="9">
      <c r="A9" s="5" t="inlineStr">
        <is>
          <t>Total equity</t>
        </is>
      </c>
      <c r="B9" s="5" t="n">
        <v>106878</v>
      </c>
      <c r="C9" s="5" t="n">
        <v>71339</v>
      </c>
      <c r="D9" s="5" t="n">
        <v>46697</v>
      </c>
      <c r="G9" t="inlineStr">
        <is>
          <t>Total equity</t>
        </is>
      </c>
      <c r="H9" t="n">
        <v>46697</v>
      </c>
      <c r="I9" t="n">
        <v>71339</v>
      </c>
      <c r="J9" t="n">
        <v>106878</v>
      </c>
      <c r="AE9" t="inlineStr">
        <is>
          <t>Leverage Ratio</t>
        </is>
      </c>
      <c r="AF9" t="n">
        <v>56.3</v>
      </c>
      <c r="AG9" t="n">
        <v>21.5</v>
      </c>
      <c r="AH9" t="n">
        <v>14.4</v>
      </c>
    </row>
    <row r="10">
      <c r="AE10" t="inlineStr">
        <is>
          <t>LCR</t>
        </is>
      </c>
      <c r="AF10" t="n">
        <v>133</v>
      </c>
      <c r="AG10" t="n">
        <v>175</v>
      </c>
      <c r="AH10" t="n">
        <v>196</v>
      </c>
    </row>
    <row r="11">
      <c r="A11" s="3" t="inlineStr">
        <is>
          <t>Profit &amp; Loss Summary (£'000)</t>
        </is>
      </c>
      <c r="AE11" t="inlineStr">
        <is>
          <t>NSFR</t>
        </is>
      </c>
      <c r="AF11" t="n">
        <v>278</v>
      </c>
      <c r="AG11" t="n">
        <v>260</v>
      </c>
      <c r="AH11" t="n">
        <v>182</v>
      </c>
    </row>
    <row r="12">
      <c r="A12" s="4" t="inlineStr">
        <is>
          <t>Line item</t>
        </is>
      </c>
      <c r="B12" s="4" t="inlineStr">
        <is>
          <t>FY2025</t>
        </is>
      </c>
      <c r="C12" s="4" t="inlineStr">
        <is>
          <t>FY2024</t>
        </is>
      </c>
      <c r="D12" s="4" t="inlineStr">
        <is>
          <t>FY2023</t>
        </is>
      </c>
      <c r="N12" t="inlineStr">
        <is>
          <t>FY2023</t>
        </is>
      </c>
      <c r="O12" t="inlineStr">
        <is>
          <t>FY2024</t>
        </is>
      </c>
      <c r="P12" t="inlineStr">
        <is>
          <t>FY2025</t>
        </is>
      </c>
    </row>
    <row r="13">
      <c r="A13" s="5" t="inlineStr">
        <is>
          <t>Net interest income</t>
        </is>
      </c>
      <c r="B13" s="5" t="n">
        <v>23515</v>
      </c>
      <c r="C13" s="5" t="n">
        <v>12397</v>
      </c>
      <c r="D13" s="5" t="n">
        <v>25052</v>
      </c>
      <c r="M13" t="inlineStr">
        <is>
          <t>Net interest income</t>
        </is>
      </c>
      <c r="N13" t="n">
        <v>25052</v>
      </c>
      <c r="O13" t="n">
        <v>12397</v>
      </c>
      <c r="P13" t="n">
        <v>23515</v>
      </c>
    </row>
    <row r="14">
      <c r="A14" s="5" t="inlineStr">
        <is>
          <t>Profit before tax</t>
        </is>
      </c>
      <c r="B14" s="5" t="n">
        <v>6766</v>
      </c>
      <c r="C14" s="5" t="n">
        <v>4044</v>
      </c>
      <c r="D14" s="5" t="n">
        <v>4780</v>
      </c>
      <c r="M14" t="inlineStr">
        <is>
          <t>Profit before tax</t>
        </is>
      </c>
      <c r="N14" t="n">
        <v>4780</v>
      </c>
      <c r="O14" t="n">
        <v>4044</v>
      </c>
      <c r="P14" t="n">
        <v>6766</v>
      </c>
    </row>
    <row r="15">
      <c r="A15" s="5" t="inlineStr">
        <is>
          <t>Profit after tax</t>
        </is>
      </c>
      <c r="B15" s="5" t="n">
        <v>4761</v>
      </c>
      <c r="C15" s="5" t="n">
        <v>3084</v>
      </c>
      <c r="D15" s="5" t="n">
        <v>6437</v>
      </c>
      <c r="M15" t="inlineStr">
        <is>
          <t>Profit after tax</t>
        </is>
      </c>
      <c r="N15" t="n">
        <v>6437</v>
      </c>
      <c r="O15" t="n">
        <v>3084</v>
      </c>
      <c r="P15" t="n">
        <v>4761</v>
      </c>
    </row>
    <row r="17">
      <c r="A17" s="3" t="inlineStr">
        <is>
          <t>Statement of Changes in Equity Summary (£'000)</t>
        </is>
      </c>
    </row>
    <row r="18">
      <c r="A18" s="4" t="inlineStr">
        <is>
          <t>Line item</t>
        </is>
      </c>
      <c r="B18" s="4" t="inlineStr">
        <is>
          <t>FY2025</t>
        </is>
      </c>
      <c r="C18" s="4" t="inlineStr">
        <is>
          <t>FY2024</t>
        </is>
      </c>
      <c r="D18" s="4" t="inlineStr">
        <is>
          <t>FY2023</t>
        </is>
      </c>
      <c r="T18" t="inlineStr">
        <is>
          <t>FY2023</t>
        </is>
      </c>
      <c r="U18" t="inlineStr">
        <is>
          <t>FY2024</t>
        </is>
      </c>
      <c r="V18" t="inlineStr">
        <is>
          <t>FY2025</t>
        </is>
      </c>
    </row>
    <row r="19">
      <c r="A19" s="5" t="inlineStr">
        <is>
          <t>Opening equity</t>
        </is>
      </c>
      <c r="B19" s="5" t="n">
        <v>71339</v>
      </c>
      <c r="C19" s="5" t="n">
        <v>46697</v>
      </c>
      <c r="D19" s="5" t="n">
        <v>31651</v>
      </c>
      <c r="S19" t="inlineStr">
        <is>
          <t>Opening equity</t>
        </is>
      </c>
      <c r="T19" t="n">
        <v>31651</v>
      </c>
      <c r="U19" t="n">
        <v>46697</v>
      </c>
      <c r="V19" t="n">
        <v>71339</v>
      </c>
    </row>
    <row r="20">
      <c r="A20" s="5" t="inlineStr">
        <is>
          <t>Total comprehensive income for the year</t>
        </is>
      </c>
      <c r="B20" s="5" t="n">
        <v>4761</v>
      </c>
      <c r="C20" s="5" t="n">
        <v>3084</v>
      </c>
      <c r="D20" s="5" t="n">
        <v>6437</v>
      </c>
      <c r="S20" t="inlineStr">
        <is>
          <t>Total comprehensive income for the year</t>
        </is>
      </c>
      <c r="T20" t="n">
        <v>6437</v>
      </c>
      <c r="U20" t="n">
        <v>3084</v>
      </c>
      <c r="V20" t="n">
        <v>4761</v>
      </c>
    </row>
    <row r="21">
      <c r="A21" s="5" t="inlineStr">
        <is>
          <t>Other equity movements, net</t>
        </is>
      </c>
      <c r="B21" s="5" t="n">
        <v>30777</v>
      </c>
      <c r="C21" s="5" t="n">
        <v>21558</v>
      </c>
      <c r="D21" s="5" t="n">
        <v>8609</v>
      </c>
      <c r="S21" t="inlineStr">
        <is>
          <t>Other equity movements, net</t>
        </is>
      </c>
      <c r="T21" t="n">
        <v>8609</v>
      </c>
      <c r="U21" t="n">
        <v>21558</v>
      </c>
      <c r="V21" t="n">
        <v>30777</v>
      </c>
    </row>
    <row r="22">
      <c r="A22" s="5" t="inlineStr">
        <is>
          <t>Closing equity</t>
        </is>
      </c>
      <c r="B22" s="5" t="n">
        <v>106878</v>
      </c>
      <c r="C22" s="5" t="n">
        <v>71339</v>
      </c>
      <c r="D22" s="5" t="n">
        <v>46697</v>
      </c>
      <c r="S22" t="inlineStr">
        <is>
          <t>Closing equity</t>
        </is>
      </c>
      <c r="T22" t="n">
        <v>46697</v>
      </c>
      <c r="U22" t="n">
        <v>71339</v>
      </c>
      <c r="V22" t="n">
        <v>106878</v>
      </c>
    </row>
    <row r="24">
      <c r="A24" s="3" t="inlineStr">
        <is>
          <t>Cash Flow Summary (£'000)</t>
        </is>
      </c>
    </row>
    <row r="25">
      <c r="A25" s="4" t="inlineStr">
        <is>
          <t>Line item</t>
        </is>
      </c>
      <c r="B25" s="4" t="inlineStr">
        <is>
          <t>FY2025</t>
        </is>
      </c>
      <c r="C25" s="4" t="inlineStr">
        <is>
          <t>FY2024</t>
        </is>
      </c>
      <c r="D25" s="4" t="inlineStr">
        <is>
          <t>FY2023</t>
        </is>
      </c>
      <c r="Z25" t="inlineStr">
        <is>
          <t>FY2023</t>
        </is>
      </c>
      <c r="AA25" t="inlineStr">
        <is>
          <t>FY2024</t>
        </is>
      </c>
      <c r="AB25" t="inlineStr">
        <is>
          <t>FY2025</t>
        </is>
      </c>
    </row>
    <row r="26">
      <c r="A26" s="5" t="inlineStr">
        <is>
          <t>Net cash from/(used in) operating activities</t>
        </is>
      </c>
      <c r="B26" s="5" t="n">
        <v>157520</v>
      </c>
      <c r="C26" s="5" t="n">
        <v>101379.183</v>
      </c>
      <c r="D26" s="5" t="n">
        <v>224565.739</v>
      </c>
      <c r="Y26" t="inlineStr">
        <is>
          <t>Net cash from/(used in) operating activities</t>
        </is>
      </c>
      <c r="Z26" t="n">
        <v>224565.739</v>
      </c>
      <c r="AA26" t="n">
        <v>101379.183</v>
      </c>
      <c r="AB26" t="n">
        <v>157520</v>
      </c>
    </row>
    <row r="27">
      <c r="A27" s="5" t="inlineStr">
        <is>
          <t>Net cash from/(used in) investing activities</t>
        </is>
      </c>
      <c r="B27" s="5" t="n">
        <v>-325</v>
      </c>
      <c r="C27" s="5" t="n">
        <v>-1059.316</v>
      </c>
      <c r="D27" s="5" t="n">
        <v>-2804.607</v>
      </c>
      <c r="Y27" t="inlineStr">
        <is>
          <t>Net cash from/(used in) investing activities</t>
        </is>
      </c>
      <c r="Z27" t="n">
        <v>-2804.607</v>
      </c>
      <c r="AA27" t="n">
        <v>-1059.316</v>
      </c>
      <c r="AB27" t="n">
        <v>-325</v>
      </c>
    </row>
    <row r="28">
      <c r="A28" s="5" t="inlineStr">
        <is>
          <t>Net cash from/(used in) financing activities</t>
        </is>
      </c>
      <c r="B28" s="5" t="n">
        <v>38990</v>
      </c>
      <c r="C28" s="5" t="n">
        <v>19854.736</v>
      </c>
      <c r="D28" s="5" t="n">
        <v>8712.325000000001</v>
      </c>
      <c r="Y28" t="inlineStr">
        <is>
          <t>Net cash from/(used in) financing activities</t>
        </is>
      </c>
      <c r="Z28" t="n">
        <v>8712.325000000001</v>
      </c>
      <c r="AA28" t="n">
        <v>19854.736</v>
      </c>
      <c r="AB28" t="n">
        <v>38990</v>
      </c>
    </row>
    <row r="29">
      <c r="A29" s="5" t="inlineStr">
        <is>
          <t>Cash and cash equivalents at end of year</t>
        </is>
      </c>
      <c r="B29" s="5" t="n">
        <v>558485</v>
      </c>
      <c r="C29" s="5" t="n">
        <v>362299.484</v>
      </c>
      <c r="D29" s="5" t="n">
        <v>242124.881</v>
      </c>
      <c r="Y29" t="inlineStr">
        <is>
          <t>Cash and cash equivalents at end of year</t>
        </is>
      </c>
      <c r="Z29" t="n">
        <v>242124.881</v>
      </c>
      <c r="AA29" t="n">
        <v>362299.484</v>
      </c>
      <c r="AB29" t="n">
        <v>558485</v>
      </c>
    </row>
    <row r="31">
      <c r="A31" s="3" t="inlineStr">
        <is>
          <t>Pillar 3 Key Metrics</t>
        </is>
      </c>
    </row>
    <row r="32">
      <c r="A32" s="4" t="inlineStr">
        <is>
          <t>Line item</t>
        </is>
      </c>
      <c r="B32" s="4" t="inlineStr">
        <is>
          <t>FY2025</t>
        </is>
      </c>
      <c r="C32" s="4" t="inlineStr">
        <is>
          <t>FY2024</t>
        </is>
      </c>
      <c r="D32" s="4" t="inlineStr">
        <is>
          <t>FY2023</t>
        </is>
      </c>
    </row>
    <row r="33">
      <c r="A33" s="6" t="inlineStr">
        <is>
          <t>CET1 Ratio</t>
        </is>
      </c>
      <c r="B33" s="6" t="inlineStr">
        <is>
          <t>18.5%</t>
        </is>
      </c>
      <c r="C33" s="6" t="inlineStr">
        <is>
          <t>24.1%</t>
        </is>
      </c>
      <c r="D33" s="6" t="inlineStr">
        <is>
          <t>31.7%</t>
        </is>
      </c>
    </row>
    <row r="34">
      <c r="A34" s="6" t="inlineStr">
        <is>
          <t>Tier 1 Ratio</t>
        </is>
      </c>
      <c r="B34" s="6" t="inlineStr">
        <is>
          <t>18.5%</t>
        </is>
      </c>
      <c r="C34" s="6" t="inlineStr">
        <is>
          <t>24.1%</t>
        </is>
      </c>
      <c r="D34" s="6" t="inlineStr">
        <is>
          <t>31.7%</t>
        </is>
      </c>
    </row>
    <row r="35">
      <c r="A35" s="6" t="inlineStr">
        <is>
          <t>Total Capital Ratio</t>
        </is>
      </c>
      <c r="B35" s="6" t="inlineStr">
        <is>
          <t>20.3%</t>
        </is>
      </c>
      <c r="C35" s="6" t="inlineStr">
        <is>
          <t>24.1%</t>
        </is>
      </c>
      <c r="D35" s="6" t="inlineStr">
        <is>
          <t>31.7%</t>
        </is>
      </c>
    </row>
    <row r="36">
      <c r="A36" s="6" t="inlineStr">
        <is>
          <t>Leverage Ratio</t>
        </is>
      </c>
      <c r="B36" s="6" t="inlineStr">
        <is>
          <t>14.4%</t>
        </is>
      </c>
      <c r="C36" s="6" t="inlineStr">
        <is>
          <t>21.5%</t>
        </is>
      </c>
      <c r="D36" s="6" t="inlineStr">
        <is>
          <t>56.3%</t>
        </is>
      </c>
    </row>
    <row r="37">
      <c r="A37" s="6" t="inlineStr">
        <is>
          <t>LCR</t>
        </is>
      </c>
      <c r="B37" s="6" t="inlineStr">
        <is>
          <t>196%</t>
        </is>
      </c>
      <c r="C37" s="6" t="inlineStr">
        <is>
          <t>175%</t>
        </is>
      </c>
      <c r="D37" s="6" t="inlineStr">
        <is>
          <t>133%</t>
        </is>
      </c>
    </row>
    <row r="38">
      <c r="A38" s="6" t="inlineStr">
        <is>
          <t>NSFR</t>
        </is>
      </c>
      <c r="B38" s="6" t="inlineStr">
        <is>
          <t>182%</t>
        </is>
      </c>
      <c r="C38" s="6" t="inlineStr">
        <is>
          <t>260%</t>
        </is>
      </c>
      <c r="D38" s="6" t="inlineStr">
        <is>
          <t>278%</t>
        </is>
      </c>
    </row>
    <row r="40" ht="45" customHeight="1">
      <c r="A40" s="7" t="inlineStr">
        <is>
          <t>Note: Figures are duplicated from the detail sheets for at-a-glance trend viewing; see each sheet's own source citation for the underlying document/page. Only 3 years shown - LHV Bank Limited was granted its PRA banking licence on 3 May 2023, so no earlier trading history exists. FY2024 cash flow uses a corrected 'Net increase in cash' figure - see the Cash Flow Statement sheet's DATA ERROR NOTE.</t>
        </is>
      </c>
    </row>
  </sheetData>
  <mergeCells count="1">
    <mergeCell ref="A40:D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Balance Sheet</t>
        </is>
      </c>
    </row>
    <row r="2">
      <c r="A2" s="2" t="inlineStr">
        <is>
          <t>Solo basis, £'000 unless stated. Only 3 years shown - see Cash Flow Statement sheet's ENTITY NOTE.</t>
        </is>
      </c>
    </row>
    <row r="3">
      <c r="A3" s="4" t="inlineStr">
        <is>
          <t>Line item</t>
        </is>
      </c>
      <c r="B3" s="4" t="inlineStr">
        <is>
          <t>FY2025 (£'000)</t>
        </is>
      </c>
      <c r="C3" s="4" t="inlineStr">
        <is>
          <t>FY2024 (£'000)</t>
        </is>
      </c>
      <c r="D3" s="4" t="inlineStr">
        <is>
          <t>FY2023 (£'000)</t>
        </is>
      </c>
    </row>
    <row r="4">
      <c r="A4" s="5" t="inlineStr">
        <is>
          <t>Assets</t>
        </is>
      </c>
      <c r="B4" s="6" t="n"/>
      <c r="C4" s="6" t="n"/>
      <c r="D4" s="6" t="n"/>
    </row>
    <row r="5">
      <c r="A5" s="6" t="inlineStr">
        <is>
          <t>Cash and cash equivalents</t>
        </is>
      </c>
      <c r="B5" s="6" t="n">
        <v>558485</v>
      </c>
      <c r="C5" s="6" t="n">
        <v>362299</v>
      </c>
      <c r="D5" s="6" t="n">
        <v>242125</v>
      </c>
    </row>
    <row r="6">
      <c r="A6" s="6" t="inlineStr">
        <is>
          <t>Derivative financial instruments (asset)</t>
        </is>
      </c>
      <c r="B6" s="6" t="n">
        <v>481</v>
      </c>
      <c r="C6" s="6" t="n"/>
      <c r="D6" s="6" t="n"/>
    </row>
    <row r="7">
      <c r="A7" s="6" t="inlineStr">
        <is>
          <t>Loans and advances to customers</t>
        </is>
      </c>
      <c r="B7" s="6" t="n">
        <v>682579</v>
      </c>
      <c r="C7" s="6" t="n">
        <v>288799</v>
      </c>
      <c r="D7" s="6" t="n">
        <v>69009</v>
      </c>
    </row>
    <row r="8">
      <c r="A8" s="6" t="inlineStr">
        <is>
          <t>Prepayments and accrued income</t>
        </is>
      </c>
      <c r="B8" s="6" t="n">
        <v>2022</v>
      </c>
      <c r="C8" s="6" t="n"/>
      <c r="D8" s="6" t="n"/>
    </row>
    <row r="9">
      <c r="A9" s="6" t="inlineStr">
        <is>
          <t>Other assets</t>
        </is>
      </c>
      <c r="B9" s="6" t="n">
        <v>2558</v>
      </c>
      <c r="C9" s="6" t="n">
        <v>6052</v>
      </c>
      <c r="D9" s="6" t="n">
        <v>2731</v>
      </c>
    </row>
    <row r="10">
      <c r="A10" s="6" t="inlineStr">
        <is>
          <t>Amounts due from other group undertakings</t>
        </is>
      </c>
      <c r="B10" s="6" t="n">
        <v>1778</v>
      </c>
      <c r="C10" s="6" t="n"/>
      <c r="D10" s="6" t="n"/>
    </row>
    <row r="11">
      <c r="A11" s="6" t="inlineStr">
        <is>
          <t>Right-of-use assets</t>
        </is>
      </c>
      <c r="B11" s="6" t="n">
        <v>1285</v>
      </c>
      <c r="C11" s="6" t="n"/>
      <c r="D11" s="6" t="n"/>
    </row>
    <row r="12">
      <c r="A12" s="6" t="inlineStr">
        <is>
          <t>Property, plant and equipment</t>
        </is>
      </c>
      <c r="B12" s="6" t="n">
        <v>870</v>
      </c>
      <c r="C12" s="6" t="n">
        <v>3435</v>
      </c>
      <c r="D12" s="6" t="n">
        <v>5437</v>
      </c>
    </row>
    <row r="13">
      <c r="A13" s="6" t="inlineStr">
        <is>
          <t>Intangible assets</t>
        </is>
      </c>
      <c r="B13" s="6" t="n">
        <v>1193</v>
      </c>
      <c r="C13" s="6" t="n">
        <v>1041</v>
      </c>
      <c r="D13" s="6" t="n"/>
    </row>
    <row r="14">
      <c r="A14" s="6" t="inlineStr">
        <is>
          <t>Deferred tax assets</t>
        </is>
      </c>
      <c r="B14" s="6" t="n">
        <v>418</v>
      </c>
      <c r="C14" s="6" t="n">
        <v>806</v>
      </c>
      <c r="D14" s="6" t="n">
        <v>1710</v>
      </c>
    </row>
    <row r="15">
      <c r="A15" s="5" t="inlineStr">
        <is>
          <t>Total assets</t>
        </is>
      </c>
      <c r="B15" s="5" t="n">
        <v>1251669</v>
      </c>
      <c r="C15" s="5" t="n">
        <v>662432</v>
      </c>
      <c r="D15" s="5" t="n">
        <v>321011</v>
      </c>
    </row>
    <row r="16">
      <c r="A16" s="5" t="inlineStr">
        <is>
          <t>Liabilities</t>
        </is>
      </c>
      <c r="B16" s="6" t="n"/>
      <c r="C16" s="6" t="n"/>
      <c r="D16" s="6" t="n"/>
    </row>
    <row r="17">
      <c r="A17" s="6" t="inlineStr">
        <is>
          <t>Derivative financial instruments (liability)</t>
        </is>
      </c>
      <c r="B17" s="6" t="n">
        <v>446</v>
      </c>
      <c r="C17" s="6" t="n"/>
      <c r="D17" s="6" t="n"/>
    </row>
    <row r="18">
      <c r="A18" s="6" t="inlineStr">
        <is>
          <t>Amounts due to banks</t>
        </is>
      </c>
      <c r="B18" s="6" t="n">
        <v>9090</v>
      </c>
      <c r="C18" s="6" t="n"/>
      <c r="D18" s="6" t="n"/>
    </row>
    <row r="19">
      <c r="A19" s="6" t="inlineStr">
        <is>
          <t>Deposits by/from customers</t>
        </is>
      </c>
      <c r="B19" s="6" t="n">
        <v>1114522</v>
      </c>
      <c r="C19" s="6" t="n">
        <v>584520</v>
      </c>
      <c r="D19" s="6" t="n">
        <v>206998</v>
      </c>
    </row>
    <row r="20">
      <c r="A20" s="6" t="inlineStr">
        <is>
          <t>Overdraft from fellow subsidiary</t>
        </is>
      </c>
      <c r="B20" s="6" t="n"/>
      <c r="C20" s="6" t="n"/>
      <c r="D20" s="6" t="n">
        <v>57473</v>
      </c>
    </row>
    <row r="21">
      <c r="A21" s="6" t="inlineStr">
        <is>
          <t>Amounts due to other group undertakings</t>
        </is>
      </c>
      <c r="B21" s="6" t="n">
        <v>12</v>
      </c>
      <c r="C21" s="6" t="n"/>
      <c r="D21" s="6" t="n"/>
    </row>
    <row r="22">
      <c r="A22" s="6" t="inlineStr">
        <is>
          <t>Subordinated liabilities</t>
        </is>
      </c>
      <c r="B22" s="6" t="n">
        <v>10033</v>
      </c>
      <c r="C22" s="6" t="n"/>
      <c r="D22" s="6" t="n"/>
    </row>
    <row r="23">
      <c r="A23" s="6" t="inlineStr">
        <is>
          <t>Provisions</t>
        </is>
      </c>
      <c r="B23" s="6" t="n">
        <v>358</v>
      </c>
      <c r="C23" s="6" t="n">
        <v>267</v>
      </c>
      <c r="D23" s="6" t="n">
        <v>188</v>
      </c>
    </row>
    <row r="24">
      <c r="A24" s="6" t="inlineStr">
        <is>
          <t>Other liabilities</t>
        </is>
      </c>
      <c r="B24" s="6" t="n">
        <v>8876</v>
      </c>
      <c r="C24" s="6" t="n">
        <v>3939</v>
      </c>
      <c r="D24" s="6" t="n">
        <v>5651</v>
      </c>
    </row>
    <row r="25">
      <c r="A25" s="6" t="inlineStr">
        <is>
          <t>Lease liabilities</t>
        </is>
      </c>
      <c r="B25" s="6" t="n">
        <v>1454</v>
      </c>
      <c r="C25" s="6" t="n">
        <v>2367</v>
      </c>
      <c r="D25" s="6" t="n">
        <v>4004</v>
      </c>
    </row>
    <row r="26">
      <c r="A26" s="5" t="inlineStr">
        <is>
          <t>Total liabilities</t>
        </is>
      </c>
      <c r="B26" s="5" t="n">
        <v>1144791</v>
      </c>
      <c r="C26" s="5" t="n">
        <v>591093</v>
      </c>
      <c r="D26" s="5" t="n">
        <v>274314</v>
      </c>
    </row>
    <row r="27">
      <c r="A27" s="5" t="inlineStr">
        <is>
          <t>Equity</t>
        </is>
      </c>
      <c r="B27" s="6" t="n"/>
      <c r="C27" s="6" t="n"/>
      <c r="D27" s="6" t="n"/>
    </row>
    <row r="28">
      <c r="A28" s="6" t="inlineStr">
        <is>
          <t>Called-up share capital</t>
        </is>
      </c>
      <c r="B28" s="6" t="n">
        <v>105000</v>
      </c>
      <c r="C28" s="6" t="n">
        <v>75000</v>
      </c>
      <c r="D28" s="6" t="n">
        <v>54100</v>
      </c>
    </row>
    <row r="29">
      <c r="A29" s="6" t="inlineStr">
        <is>
          <t>Other reserves</t>
        </is>
      </c>
      <c r="B29" s="6" t="n">
        <v>-346</v>
      </c>
      <c r="C29" s="6" t="n">
        <v>-612</v>
      </c>
      <c r="D29" s="6" t="n">
        <v>-1270</v>
      </c>
    </row>
    <row r="30">
      <c r="A30" s="6" t="inlineStr">
        <is>
          <t>Accumulated profits/(losses)</t>
        </is>
      </c>
      <c r="B30" s="6" t="n">
        <v>2224</v>
      </c>
      <c r="C30" s="6" t="n">
        <v>-3049</v>
      </c>
      <c r="D30" s="6" t="n">
        <v>-6133</v>
      </c>
    </row>
    <row r="31">
      <c r="A31" s="5" t="inlineStr">
        <is>
          <t>Total equity</t>
        </is>
      </c>
      <c r="B31" s="5" t="n">
        <v>106878</v>
      </c>
      <c r="C31" s="5" t="n">
        <v>71339</v>
      </c>
      <c r="D31" s="5" t="n">
        <v>46697</v>
      </c>
    </row>
    <row r="32">
      <c r="A32" s="5" t="inlineStr">
        <is>
          <t>Total equity and liabilities</t>
        </is>
      </c>
      <c r="B32" s="5" t="n">
        <v>1251669</v>
      </c>
      <c r="C32" s="5" t="n">
        <v>662432</v>
      </c>
      <c r="D32" s="5" t="n">
        <v>321011</v>
      </c>
    </row>
    <row r="34" ht="340" customHeight="1">
      <c r="A34"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t>
        </is>
      </c>
    </row>
  </sheetData>
  <mergeCells count="1">
    <mergeCell ref="A34:D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s>
  <sheetData>
    <row r="1">
      <c r="A1" s="1" t="inlineStr">
        <is>
          <t>LHV Bank Limited — Profit &amp; Loss</t>
        </is>
      </c>
    </row>
    <row r="2">
      <c r="A2" s="2" t="inlineStr">
        <is>
          <t>Solo basis, £'000 unless stated. FY2023/FY2024's own reports show Credit impairment charge and Net operating income BEFORE operating expenses; FY2025's re-represented format moves operating expenses before Net operating income and adds a separate 'Change in ECL allowance' line - each year's own structure preserved, not forced into one template (see STATEMENTS_SOURCES note).</t>
        </is>
      </c>
    </row>
    <row r="3">
      <c r="A3" s="4" t="inlineStr">
        <is>
          <t>Line item</t>
        </is>
      </c>
      <c r="B3" s="4" t="inlineStr">
        <is>
          <t>FY2025 (£'000)</t>
        </is>
      </c>
      <c r="C3" s="4" t="inlineStr">
        <is>
          <t>FY2024 (£'000)</t>
        </is>
      </c>
      <c r="D3" s="4" t="inlineStr">
        <is>
          <t>FY2023 (£'000)</t>
        </is>
      </c>
    </row>
    <row r="4">
      <c r="A4" s="5" t="inlineStr">
        <is>
          <t>Income</t>
        </is>
      </c>
      <c r="B4" s="6" t="n"/>
      <c r="C4" s="6" t="n"/>
      <c r="D4" s="6" t="n"/>
    </row>
    <row r="5">
      <c r="A5" s="6" t="inlineStr">
        <is>
          <t>Interest income</t>
        </is>
      </c>
      <c r="B5" s="6" t="n">
        <v>58374</v>
      </c>
      <c r="C5" s="6" t="n">
        <v>29616</v>
      </c>
      <c r="D5" s="6" t="n">
        <v>29628</v>
      </c>
    </row>
    <row r="6">
      <c r="A6" s="6" t="inlineStr">
        <is>
          <t>Interest expense</t>
        </is>
      </c>
      <c r="B6" s="6" t="n">
        <v>-34859</v>
      </c>
      <c r="C6" s="6" t="n">
        <v>-17219</v>
      </c>
      <c r="D6" s="6" t="n">
        <v>-4576</v>
      </c>
    </row>
    <row r="7">
      <c r="A7" s="5" t="inlineStr">
        <is>
          <t>Net interest income</t>
        </is>
      </c>
      <c r="B7" s="5" t="n">
        <v>23515</v>
      </c>
      <c r="C7" s="5" t="n">
        <v>12397</v>
      </c>
      <c r="D7" s="5" t="n">
        <v>25052</v>
      </c>
    </row>
    <row r="8">
      <c r="A8" s="6" t="inlineStr">
        <is>
          <t>Fee and commission income</t>
        </is>
      </c>
      <c r="B8" s="6" t="n">
        <v>26285</v>
      </c>
      <c r="C8" s="6" t="n">
        <v>26840</v>
      </c>
      <c r="D8" s="6" t="n">
        <v>6962</v>
      </c>
    </row>
    <row r="9">
      <c r="A9" s="6" t="inlineStr">
        <is>
          <t>Fee and commission expense</t>
        </is>
      </c>
      <c r="B9" s="6" t="n">
        <v>-2227</v>
      </c>
      <c r="C9" s="6" t="n">
        <v>-1902</v>
      </c>
      <c r="D9" s="6" t="n">
        <v>-202</v>
      </c>
    </row>
    <row r="10">
      <c r="A10" s="5" t="inlineStr">
        <is>
          <t>Net fee and commission income</t>
        </is>
      </c>
      <c r="B10" s="5" t="n">
        <v>24058</v>
      </c>
      <c r="C10" s="5" t="n"/>
      <c r="D10" s="5" t="n"/>
    </row>
    <row r="11">
      <c r="A11" s="6" t="inlineStr">
        <is>
          <t>Other operating income</t>
        </is>
      </c>
      <c r="B11" s="6" t="n">
        <v>248</v>
      </c>
      <c r="C11" s="6" t="n">
        <v>420</v>
      </c>
      <c r="D11" s="6" t="n">
        <v>227</v>
      </c>
    </row>
    <row r="12">
      <c r="A12" s="6" t="inlineStr">
        <is>
          <t>Changes in fair value of financial instruments measured at FVTPL</t>
        </is>
      </c>
      <c r="B12" s="6" t="n">
        <v>-183</v>
      </c>
      <c r="C12" s="6" t="n"/>
      <c r="D12" s="6" t="n"/>
    </row>
    <row r="13">
      <c r="A13" s="6" t="inlineStr">
        <is>
          <t>Foreign exchange translation differences</t>
        </is>
      </c>
      <c r="B13" s="6" t="n">
        <v>-63</v>
      </c>
      <c r="C13" s="6" t="n">
        <v>-102</v>
      </c>
      <c r="D13" s="6" t="n">
        <v>-62</v>
      </c>
    </row>
    <row r="14">
      <c r="A14" s="5" t="inlineStr">
        <is>
          <t>Total operating income (FY2025's own subtotal, structured differently from FY2023/FY2024 - see note)</t>
        </is>
      </c>
      <c r="B14" s="5" t="n">
        <v>2</v>
      </c>
      <c r="C14" s="5" t="n"/>
      <c r="D14" s="5" t="n"/>
    </row>
    <row r="15">
      <c r="A15" s="5" t="inlineStr">
        <is>
          <t>Net operating income (FY2023/FY2024's own subtotal, BEFORE operating expenses - structured differently from FY2025's own subtotals above/below)</t>
        </is>
      </c>
      <c r="B15" s="5" t="n"/>
      <c r="C15" s="5" t="n">
        <v>37241</v>
      </c>
      <c r="D15" s="5" t="n">
        <v>31978</v>
      </c>
    </row>
    <row r="16">
      <c r="A16" s="6" t="inlineStr">
        <is>
          <t>Personnel expenses</t>
        </is>
      </c>
      <c r="B16" s="6" t="n"/>
      <c r="C16" s="6" t="n">
        <v>-18715</v>
      </c>
      <c r="D16" s="6" t="n">
        <v>-12886</v>
      </c>
    </row>
    <row r="17">
      <c r="A17" s="6" t="inlineStr">
        <is>
          <t>Depreciation and amortisation</t>
        </is>
      </c>
      <c r="B17" s="6" t="n"/>
      <c r="C17" s="6" t="n">
        <v>-1091</v>
      </c>
      <c r="D17" s="6" t="n">
        <v>-1596</v>
      </c>
    </row>
    <row r="18">
      <c r="A18" s="6" t="inlineStr">
        <is>
          <t>Other operating expenses</t>
        </is>
      </c>
      <c r="B18" s="6" t="n"/>
      <c r="C18" s="6" t="n">
        <v>-13391</v>
      </c>
      <c r="D18" s="6" t="n">
        <v>-12566</v>
      </c>
    </row>
    <row r="19">
      <c r="A19" s="5" t="inlineStr">
        <is>
          <t>Operating expenses</t>
        </is>
      </c>
      <c r="B19" s="5" t="n">
        <v>-39443</v>
      </c>
      <c r="C19" s="5" t="n">
        <v>-33197</v>
      </c>
      <c r="D19" s="5" t="n">
        <v>-27198</v>
      </c>
    </row>
    <row r="20">
      <c r="A20" s="5" t="inlineStr">
        <is>
          <t>Net operating income (FY2025's own subtotal, AFTER operating expenses)</t>
        </is>
      </c>
      <c r="B20" s="5" t="n">
        <v>8133</v>
      </c>
      <c r="C20" s="5" t="n"/>
      <c r="D20" s="5" t="n"/>
    </row>
    <row r="21">
      <c r="A21" s="6" t="inlineStr">
        <is>
          <t>Change in expected credit loss allowance</t>
        </is>
      </c>
      <c r="B21" s="6" t="n">
        <v>-1367</v>
      </c>
      <c r="C21" s="6" t="n">
        <v>-412</v>
      </c>
      <c r="D21" s="6" t="n">
        <v>-150</v>
      </c>
    </row>
    <row r="22">
      <c r="A22" s="5" t="inlineStr">
        <is>
          <t>Profit before tax</t>
        </is>
      </c>
      <c r="B22" s="5" t="n">
        <v>6766</v>
      </c>
      <c r="C22" s="5" t="n">
        <v>4044</v>
      </c>
      <c r="D22" s="5" t="n">
        <v>4780</v>
      </c>
    </row>
    <row r="23">
      <c r="A23" s="6" t="inlineStr">
        <is>
          <t>Taxation (charge)/credit</t>
        </is>
      </c>
      <c r="B23" s="6" t="n">
        <v>-2004</v>
      </c>
      <c r="C23" s="6" t="n">
        <v>-961</v>
      </c>
      <c r="D23" s="6" t="n">
        <v>1657</v>
      </c>
    </row>
    <row r="24">
      <c r="A24" s="5" t="inlineStr">
        <is>
          <t>Profit after tax</t>
        </is>
      </c>
      <c r="B24" s="5" t="n">
        <v>4761</v>
      </c>
      <c r="C24" s="5" t="n">
        <v>3084</v>
      </c>
      <c r="D24" s="5" t="n">
        <v>6437</v>
      </c>
    </row>
    <row r="25">
      <c r="A25" s="5" t="inlineStr">
        <is>
          <t>Total comprehensive income for the year</t>
        </is>
      </c>
      <c r="B25" s="5" t="n">
        <v>4761</v>
      </c>
      <c r="C25" s="5" t="n">
        <v>3084</v>
      </c>
      <c r="D25" s="5" t="n">
        <v>6437</v>
      </c>
    </row>
    <row r="27" ht="340" customHeight="1">
      <c r="A27"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t>
        </is>
      </c>
    </row>
  </sheetData>
  <mergeCells count="1">
    <mergeCell ref="A27:D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LHV Bank Limited — Statement of Changes in Equity</t>
        </is>
      </c>
    </row>
    <row r="2">
      <c r="A2" s="2" t="inlineStr">
        <is>
          <t>Chronological roll-forward, oldest to newest. £'000. Equity reconciliation ladder confirmed: every year's own closing balance ties exactly to the next year's own opening balance and that year's own Balance Sheet Total equity - Total equity itself is never in doubt at any point (46,697 / 71,339 / 106,878), only the split between the 'Other reserves' and 'Accumulated profits' columns for the 31 Dec 2024 balance differs by £19k between AR2024's own closing figures and AR2025's own restated comparative (a genuine, disclosed reclassification between reserve categories, not a plug for an error) - flagged explicitly as its own row rather than silently absorbed into either adjacent row.</t>
        </is>
      </c>
    </row>
    <row r="3">
      <c r="A3" s="4" t="inlineStr">
        <is>
          <t>Movement</t>
        </is>
      </c>
      <c r="B3" s="4" t="inlineStr">
        <is>
          <t>Called-up share capital</t>
        </is>
      </c>
      <c r="C3" s="4" t="inlineStr">
        <is>
          <t>Other reserves</t>
        </is>
      </c>
      <c r="D3" s="4" t="inlineStr">
        <is>
          <t>Accumulated profits/(losses)</t>
        </is>
      </c>
      <c r="E3" s="4" t="inlineStr">
        <is>
          <t>Total</t>
        </is>
      </c>
    </row>
    <row r="4">
      <c r="A4" s="5" t="inlineStr">
        <is>
          <t>Opening balance at 1 January 2023 (FY2023 opening, = FY2022 closing)</t>
        </is>
      </c>
      <c r="B4" s="5" t="n">
        <v>44100</v>
      </c>
      <c r="C4" s="5" t="n">
        <v>121</v>
      </c>
      <c r="D4" s="5" t="n">
        <v>-12570</v>
      </c>
      <c r="E4" s="5" t="n">
        <v>31651</v>
      </c>
    </row>
    <row r="5">
      <c r="A5" s="6" t="inlineStr">
        <is>
          <t>Profit for the year</t>
        </is>
      </c>
      <c r="B5" s="6" t="n"/>
      <c r="C5" s="6" t="n"/>
      <c r="D5" s="6" t="n">
        <v>6437</v>
      </c>
      <c r="E5" s="6" t="n">
        <v>6437</v>
      </c>
    </row>
    <row r="6">
      <c r="A6" s="6" t="inlineStr">
        <is>
          <t>Issue and allotment of share capital</t>
        </is>
      </c>
      <c r="B6" s="6" t="n">
        <v>10000</v>
      </c>
      <c r="C6" s="6" t="n"/>
      <c r="D6" s="6" t="n"/>
      <c r="E6" s="6" t="n">
        <v>10000</v>
      </c>
    </row>
    <row r="7">
      <c r="A7" s="6" t="inlineStr">
        <is>
          <t>Share based payments</t>
        </is>
      </c>
      <c r="B7" s="6" t="n"/>
      <c r="C7" s="6" t="n">
        <v>334</v>
      </c>
      <c r="D7" s="6" t="n"/>
      <c r="E7" s="6" t="n">
        <v>334</v>
      </c>
    </row>
    <row r="8">
      <c r="A8" s="6" t="inlineStr">
        <is>
          <t>Merger reserve arising on LHV Pank branch business transfer (18 Aug 2023)</t>
        </is>
      </c>
      <c r="B8" s="6" t="n"/>
      <c r="C8" s="6" t="n">
        <v>-1725</v>
      </c>
      <c r="D8" s="6" t="n"/>
      <c r="E8" s="6" t="n">
        <v>-1725</v>
      </c>
    </row>
    <row r="9">
      <c r="A9" s="5" t="inlineStr">
        <is>
          <t>At 31 December 2023 (FY2023 closing)</t>
        </is>
      </c>
      <c r="B9" s="5" t="n">
        <v>54100</v>
      </c>
      <c r="C9" s="5" t="n">
        <v>-1270</v>
      </c>
      <c r="D9" s="5" t="n">
        <v>-6133</v>
      </c>
      <c r="E9" s="5" t="n">
        <v>46697</v>
      </c>
    </row>
    <row r="10">
      <c r="A10" s="6" t="inlineStr">
        <is>
          <t>Profit for the year</t>
        </is>
      </c>
      <c r="B10" s="6" t="n"/>
      <c r="C10" s="6" t="n"/>
      <c r="D10" s="6" t="n">
        <v>3084</v>
      </c>
      <c r="E10" s="6" t="n">
        <v>3084</v>
      </c>
    </row>
    <row r="11">
      <c r="A11" s="6" t="inlineStr">
        <is>
          <t>Issue and allotment of share capital</t>
        </is>
      </c>
      <c r="B11" s="6" t="n">
        <v>20900</v>
      </c>
      <c r="C11" s="6" t="n"/>
      <c r="D11" s="6" t="n"/>
      <c r="E11" s="6" t="n">
        <v>20900</v>
      </c>
    </row>
    <row r="12">
      <c r="A12" s="6" t="inlineStr">
        <is>
          <t>Share based payments</t>
        </is>
      </c>
      <c r="B12" s="6" t="n"/>
      <c r="C12" s="6" t="n">
        <v>658</v>
      </c>
      <c r="D12" s="6" t="n"/>
      <c r="E12" s="6" t="n">
        <v>658</v>
      </c>
    </row>
    <row r="13">
      <c r="A13" s="5" t="inlineStr">
        <is>
          <t>At 31 December 2024 per AR2024's own report (FY2024 closing, AR2024's own basis)</t>
        </is>
      </c>
      <c r="B13" s="5" t="n">
        <v>75000</v>
      </c>
      <c r="C13" s="5" t="n">
        <v>-612</v>
      </c>
      <c r="D13" s="5" t="n">
        <v>-3049</v>
      </c>
      <c r="E13" s="5" t="n">
        <v>71339</v>
      </c>
    </row>
    <row r="14">
      <c r="A14" s="6" t="inlineStr">
        <is>
          <t>Reclassification between reserve categories per AR2025's own restated FY2024 comparative (net £nil - see note below, NOT a plug for a genuine error)</t>
        </is>
      </c>
      <c r="B14" s="6" t="n"/>
      <c r="C14" s="6" t="n">
        <v>-19</v>
      </c>
      <c r="D14" s="6" t="n">
        <v>19</v>
      </c>
      <c r="E14" s="6" t="n"/>
    </row>
    <row r="15">
      <c r="A15" s="5" t="inlineStr">
        <is>
          <t>At 1 January 2025 per AR2025's own comparative (FY2025 opening, AR2025's own basis)</t>
        </is>
      </c>
      <c r="B15" s="5" t="n">
        <v>75000</v>
      </c>
      <c r="C15" s="5" t="n">
        <v>-631</v>
      </c>
      <c r="D15" s="5" t="n">
        <v>-3030</v>
      </c>
      <c r="E15" s="5" t="n">
        <v>71339</v>
      </c>
    </row>
    <row r="16">
      <c r="A16" s="6" t="inlineStr">
        <is>
          <t>Total comprehensive income</t>
        </is>
      </c>
      <c r="B16" s="6" t="n"/>
      <c r="C16" s="6" t="n"/>
      <c r="D16" s="6" t="n">
        <v>4761</v>
      </c>
      <c r="E16" s="6" t="n">
        <v>4761</v>
      </c>
    </row>
    <row r="17">
      <c r="A17" s="6" t="inlineStr">
        <is>
          <t>Issue and allotment of share capital</t>
        </is>
      </c>
      <c r="B17" s="6" t="n">
        <v>30000</v>
      </c>
      <c r="C17" s="6" t="n"/>
      <c r="D17" s="6" t="n"/>
      <c r="E17" s="6" t="n">
        <v>30000</v>
      </c>
    </row>
    <row r="18">
      <c r="A18" s="6" t="inlineStr">
        <is>
          <t>Net share option movements</t>
        </is>
      </c>
      <c r="B18" s="6" t="n"/>
      <c r="C18" s="6" t="n">
        <v>285</v>
      </c>
      <c r="D18" s="6" t="n">
        <v>492</v>
      </c>
      <c r="E18" s="6" t="n">
        <v>777</v>
      </c>
    </row>
    <row r="19">
      <c r="A19" s="5" t="inlineStr">
        <is>
          <t>At 31 December 2025 (FY2025 closing)</t>
        </is>
      </c>
      <c r="B19" s="5" t="n">
        <v>105000</v>
      </c>
      <c r="C19" s="5" t="n">
        <v>-346</v>
      </c>
      <c r="D19" s="5" t="n">
        <v>2224</v>
      </c>
      <c r="E19" s="5" t="n">
        <v>106878</v>
      </c>
    </row>
    <row r="21" ht="150" customHeight="1">
      <c r="A21"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Statement of Cash Flows</t>
        </is>
      </c>
    </row>
    <row r="2">
      <c r="A2" s="2" t="inlineStr">
        <is>
          <t>Solo basis, £'000 unless stated. See source note at bottom (incl. a known FY2024 report error).</t>
        </is>
      </c>
    </row>
    <row r="3">
      <c r="A3" s="4" t="inlineStr">
        <is>
          <t>Line item</t>
        </is>
      </c>
      <c r="B3" s="4" t="inlineStr">
        <is>
          <t>FY2025 (£'000)</t>
        </is>
      </c>
      <c r="C3" s="4" t="inlineStr">
        <is>
          <t>FY2024 (£'000)</t>
        </is>
      </c>
      <c r="D3" s="4" t="inlineStr">
        <is>
          <t>FY2023 (£'000)</t>
        </is>
      </c>
    </row>
    <row r="4">
      <c r="A4" s="5" t="inlineStr">
        <is>
          <t>Operating activities</t>
        </is>
      </c>
      <c r="B4" s="6" t="n"/>
      <c r="C4" s="6" t="n"/>
      <c r="D4" s="6" t="n"/>
    </row>
    <row r="5">
      <c r="A5" s="6" t="inlineStr">
        <is>
          <t>Profit for the year before taxation</t>
        </is>
      </c>
      <c r="B5" s="6" t="n">
        <v>6766</v>
      </c>
      <c r="C5" s="6" t="n">
        <v>4044.276</v>
      </c>
      <c r="D5" s="6" t="n">
        <v>4779.563</v>
      </c>
    </row>
    <row r="6">
      <c r="A6" s="6" t="inlineStr">
        <is>
          <t>Non-cash items (combined, as reported)</t>
        </is>
      </c>
      <c r="B6" s="6" t="n">
        <v>4064</v>
      </c>
      <c r="C6" s="6" t="n"/>
      <c r="D6" s="6" t="n"/>
    </row>
    <row r="7">
      <c r="A7" s="6" t="inlineStr">
        <is>
          <t>Depreciation of property, plant and equipment</t>
        </is>
      </c>
      <c r="B7" s="6" t="n"/>
      <c r="C7" s="6" t="n">
        <v>1091.16</v>
      </c>
      <c r="D7" s="6" t="n">
        <v>1596.396</v>
      </c>
    </row>
    <row r="8">
      <c r="A8" s="6" t="inlineStr">
        <is>
          <t>Share based payments</t>
        </is>
      </c>
      <c r="B8" s="6" t="n"/>
      <c r="C8" s="6" t="n">
        <v>638.961</v>
      </c>
      <c r="D8" s="6" t="n">
        <v>334.11</v>
      </c>
    </row>
    <row r="9">
      <c r="A9" s="6" t="inlineStr">
        <is>
          <t>Foreign exchange translation differences</t>
        </is>
      </c>
      <c r="B9" s="6" t="n"/>
      <c r="C9" s="6" t="n">
        <v>101.96</v>
      </c>
      <c r="D9" s="6" t="n"/>
    </row>
    <row r="10">
      <c r="A10" s="6" t="inlineStr">
        <is>
          <t>Credit impairment losses/(gains)</t>
        </is>
      </c>
      <c r="B10" s="6" t="n"/>
      <c r="C10" s="6" t="n">
        <v>411.671</v>
      </c>
      <c r="D10" s="6" t="n">
        <v>149.876</v>
      </c>
    </row>
    <row r="11">
      <c r="A11" s="6" t="inlineStr">
        <is>
          <t>Increase/(decrease) in other assets/other liabilities (combined, as reported)</t>
        </is>
      </c>
      <c r="B11" s="6" t="n"/>
      <c r="C11" s="6" t="n"/>
      <c r="D11" s="6" t="n">
        <v>2716.589</v>
      </c>
    </row>
    <row r="12">
      <c r="A12" s="6" t="inlineStr">
        <is>
          <t>Changes in operating assets and liabilities (combined, as reported)</t>
        </is>
      </c>
      <c r="B12" s="6" t="n">
        <v>147815</v>
      </c>
      <c r="C12" s="6" t="n"/>
      <c r="D12" s="6" t="n"/>
    </row>
    <row r="13">
      <c r="A13" s="6" t="inlineStr">
        <is>
          <t>(Increase)/decrease in operating assets</t>
        </is>
      </c>
      <c r="B13" s="6" t="n"/>
      <c r="C13" s="6" t="n">
        <v>-3353.822</v>
      </c>
      <c r="D13" s="6" t="n"/>
    </row>
    <row r="14">
      <c r="A14" s="6" t="inlineStr">
        <is>
          <t>(Increase)/decrease in operating liabilities</t>
        </is>
      </c>
      <c r="B14" s="6" t="n"/>
      <c r="C14" s="6" t="n">
        <v>-1200.156</v>
      </c>
      <c r="D14" s="6" t="n"/>
    </row>
    <row r="15">
      <c r="A15" s="6" t="inlineStr">
        <is>
          <t>Tax paid</t>
        </is>
      </c>
      <c r="B15" s="6" t="n">
        <v>-1125</v>
      </c>
      <c r="C15" s="6" t="n">
        <v>-278.181</v>
      </c>
      <c r="D15" s="6" t="n"/>
    </row>
    <row r="16">
      <c r="A16" s="6" t="inlineStr">
        <is>
          <t>Net loans and advances to customers</t>
        </is>
      </c>
      <c r="B16" s="6" t="n"/>
      <c r="C16" s="6" t="n">
        <v>-219442.236</v>
      </c>
      <c r="D16" s="6" t="n">
        <v>-49482.095</v>
      </c>
    </row>
    <row r="17">
      <c r="A17" s="6" t="inlineStr">
        <is>
          <t>Net deposits from customers</t>
        </is>
      </c>
      <c r="B17" s="6" t="n"/>
      <c r="C17" s="6" t="n">
        <v>376838.55</v>
      </c>
      <c r="D17" s="6" t="n">
        <v>206998.301</v>
      </c>
    </row>
    <row r="18">
      <c r="A18" s="6" t="inlineStr">
        <is>
          <t>Facilities/amounts received from/(to) group companies</t>
        </is>
      </c>
      <c r="B18" s="6" t="n"/>
      <c r="C18" s="6" t="n">
        <v>-57472.999</v>
      </c>
      <c r="D18" s="6" t="n">
        <v>57472.999</v>
      </c>
    </row>
    <row r="19">
      <c r="A19" s="5" t="inlineStr">
        <is>
          <t>Net cash generated from operating activities</t>
        </is>
      </c>
      <c r="B19" s="5" t="n">
        <v>157520</v>
      </c>
      <c r="C19" s="5" t="n">
        <v>101379.183</v>
      </c>
      <c r="D19" s="5" t="n">
        <v>224565.739</v>
      </c>
    </row>
    <row r="20">
      <c r="A20" s="5" t="inlineStr">
        <is>
          <t>Investing activities</t>
        </is>
      </c>
      <c r="B20" s="6" t="n"/>
      <c r="C20" s="6" t="n"/>
      <c r="D20" s="6" t="n"/>
    </row>
    <row r="21">
      <c r="A21" s="6" t="inlineStr">
        <is>
          <t>Purchase of property, plant and equipment</t>
        </is>
      </c>
      <c r="B21" s="6" t="n"/>
      <c r="C21" s="6" t="n"/>
      <c r="D21" s="6" t="n">
        <v>-1079.751</v>
      </c>
    </row>
    <row r="22">
      <c r="A22" s="6" t="inlineStr">
        <is>
          <t>Acquisition of property, plant &amp; equipment and intangibles (combined, as reported)</t>
        </is>
      </c>
      <c r="B22" s="6" t="n"/>
      <c r="C22" s="6" t="n">
        <v>-1059.316</v>
      </c>
      <c r="D22" s="6" t="n"/>
    </row>
    <row r="23">
      <c r="A23" s="6" t="inlineStr">
        <is>
          <t>Purchase and development of intangible assets</t>
        </is>
      </c>
      <c r="B23" s="6" t="n">
        <v>-325</v>
      </c>
      <c r="C23" s="6" t="n"/>
      <c r="D23" s="6" t="n"/>
    </row>
    <row r="24">
      <c r="A24" s="6" t="inlineStr">
        <is>
          <t>Banking Services business transfer</t>
        </is>
      </c>
      <c r="B24" s="6" t="n"/>
      <c r="C24" s="6" t="n"/>
      <c r="D24" s="6" t="n">
        <v>-1724.857</v>
      </c>
    </row>
    <row r="25">
      <c r="A25" s="5" t="inlineStr">
        <is>
          <t>Net cash (used in)/generated from investing activities</t>
        </is>
      </c>
      <c r="B25" s="5" t="n">
        <v>-325</v>
      </c>
      <c r="C25" s="5" t="n">
        <v>-1059.316</v>
      </c>
      <c r="D25" s="5" t="n">
        <v>-2804.607</v>
      </c>
    </row>
    <row r="26">
      <c r="A26" s="5" t="inlineStr">
        <is>
          <t>Financing activities</t>
        </is>
      </c>
      <c r="B26" s="6" t="n"/>
      <c r="C26" s="6" t="n"/>
      <c r="D26" s="6" t="n"/>
    </row>
    <row r="27">
      <c r="A27" s="6" t="inlineStr">
        <is>
          <t>Issue and allotment of share capital / shares issued</t>
        </is>
      </c>
      <c r="B27" s="6" t="n">
        <v>30000</v>
      </c>
      <c r="C27" s="6" t="n">
        <v>20900</v>
      </c>
      <c r="D27" s="6" t="n">
        <v>10000</v>
      </c>
    </row>
    <row r="28">
      <c r="A28" s="6" t="inlineStr">
        <is>
          <t>Proceeds from issuance of subordinated liabilities</t>
        </is>
      </c>
      <c r="B28" s="6" t="n">
        <v>10000</v>
      </c>
      <c r="C28" s="6" t="n"/>
      <c r="D28" s="6" t="n"/>
    </row>
    <row r="29">
      <c r="A29" s="6" t="inlineStr">
        <is>
          <t>Payment of lease liabilities</t>
        </is>
      </c>
      <c r="B29" s="6" t="n">
        <v>-1010</v>
      </c>
      <c r="C29" s="6" t="n">
        <v>-1045.264</v>
      </c>
      <c r="D29" s="6" t="n">
        <v>-1287.675</v>
      </c>
    </row>
    <row r="30">
      <c r="A30" s="5" t="inlineStr">
        <is>
          <t>Net cash generated from financing activities</t>
        </is>
      </c>
      <c r="B30" s="5" t="n">
        <v>38990</v>
      </c>
      <c r="C30" s="5" t="n">
        <v>19854.736</v>
      </c>
      <c r="D30" s="5" t="n">
        <v>8712.325000000001</v>
      </c>
    </row>
    <row r="31">
      <c r="A31" s="5" t="inlineStr">
        <is>
          <t>Net increase/(decrease) in cash and cash equivalents</t>
        </is>
      </c>
      <c r="B31" s="5" t="n">
        <v>196185</v>
      </c>
      <c r="C31" s="5" t="n">
        <v>120174.603</v>
      </c>
      <c r="D31" s="5" t="n">
        <v>230473.456</v>
      </c>
    </row>
    <row r="32">
      <c r="A32" s="6" t="inlineStr">
        <is>
          <t>Cash and cash equivalents at start of year</t>
        </is>
      </c>
      <c r="B32" s="6" t="n">
        <v>362299</v>
      </c>
      <c r="C32" s="6" t="n">
        <v>242124.881</v>
      </c>
      <c r="D32" s="6" t="n">
        <v>11651.425</v>
      </c>
    </row>
    <row r="33">
      <c r="A33" s="5" t="inlineStr">
        <is>
          <t>Cash and cash equivalents at end of year</t>
        </is>
      </c>
      <c r="B33" s="5" t="n">
        <v>558485</v>
      </c>
      <c r="C33" s="5" t="n">
        <v>362299.484</v>
      </c>
      <c r="D33" s="5" t="n">
        <v>242124.881</v>
      </c>
    </row>
    <row r="35" ht="260" customHeight="1">
      <c r="A35" s="8" t="inlineStr">
        <is>
          <t>Sources - all figures are LHV Bank Limited's own Statement of Cash Flows, £'000 (FY2023/FY2024 as originally reported in whole £, divided by 1,000 here for unit consistency with FY2025's own £'000 presentation):
FY2025: LHV Bank Limited Annual Report 2025, p.67 (Statement of cash flows) - https://framerusercontent.com/assets/ZBWKLmRUPe8T4hKrOicG3V2KYeE.pdf
FY2024: LHV Bank Limited Annual Report and Financial Statements 2024, p.55 (Statement of Cash Flows) - https://framerusercontent.com/assets/srilZFyKHEx1zeu697l5ZFVMXoU.pdf
FY2023: LHV Bank Limited Annual Report and Financial Statements 2023, p.31 (Statement of Cash Flows) - https://framerusercontent.com/assets/6Jp4ZWQKQVS1wXUDoBneovYKzIo.pdf
Note: FY2025's report uses a simplified presentation ('Non-cash items' and 'Changes in operating assets and liabilities' as single combined lines); FY2023/FY2024 break these out into more granular line items instead - each year's own line items/labels are preserved as reported, blank where a year didn't disclose that split. FY2023's own report did not print a combined 'Net cash from operating activities' total (only three un-combined subsection subtotals) - the total shown here for FY2023 is computed as the sum of its own operating-activity line items, and is confirmed exactly by its appearance as FY2024's report's own FY2023 comparative (224,565,739).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DATA ERROR NOTE: LHV Bank Limited's own FY2024 Annual Report (p.55) prints 'Net Increase in cash and cash equivalents' for FY2024 as (199,190,949) - this does not reconcile with that same report's own opening (242,124,881) and closing (362,299,484) balances, nor with the sum of its own three activity subtotals (101,379,183 - 1,059,316 + 19,854,736 = 120,174,603). This workbook uses the correct, reconciling figure (120,174,603, i.e. £120,175k), which independently matches both the opening/closing balance difference and the FY2025 Annual Report's own restated FY2024 comparative (£120,175k, p.67) - not the erroneous figure as printed in the FY2024 report itself.</t>
        </is>
      </c>
    </row>
  </sheetData>
  <mergeCells count="1">
    <mergeCell ref="A35:D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s>
  <sheetData>
    <row r="1">
      <c r="A1" s="1" t="inlineStr">
        <is>
          <t>LHV Bank Limited — Asset Quality</t>
        </is>
      </c>
    </row>
    <row r="2">
      <c r="A2" s="2" t="inlineStr">
        <is>
          <t>IFRS 9 stage exposure/ECL for secured commercial lending (on-balance sheet). £'000.</t>
        </is>
      </c>
    </row>
    <row r="3">
      <c r="A3" s="4" t="inlineStr">
        <is>
          <t>Line item</t>
        </is>
      </c>
      <c r="B3" s="4" t="inlineStr">
        <is>
          <t>FY2025 (£'000)</t>
        </is>
      </c>
      <c r="C3" s="4" t="inlineStr">
        <is>
          <t>FY2024 (£'000)</t>
        </is>
      </c>
      <c r="D3" s="4" t="inlineStr">
        <is>
          <t>FY2023 (£'000)</t>
        </is>
      </c>
    </row>
    <row r="4">
      <c r="A4" s="5" t="inlineStr">
        <is>
          <t>Loans and advances to customers, on-balance sheet gross exposure by IFRS 9 stage</t>
        </is>
      </c>
      <c r="B4" s="6" t="n"/>
      <c r="C4" s="6" t="n"/>
      <c r="D4" s="6" t="n"/>
    </row>
    <row r="5">
      <c r="A5" s="6" t="inlineStr">
        <is>
          <t>Stage 1 (12-month ECL)</t>
        </is>
      </c>
      <c r="B5" s="6" t="n">
        <v>634582</v>
      </c>
      <c r="C5" s="6" t="n">
        <v>286049</v>
      </c>
      <c r="D5" s="6" t="n">
        <v>69214</v>
      </c>
    </row>
    <row r="6">
      <c r="A6" s="6" t="inlineStr">
        <is>
          <t>Stage 2 (lifetime ECL, not credit-impaired)</t>
        </is>
      </c>
      <c r="B6" s="6" t="n">
        <v>42925</v>
      </c>
      <c r="C6" s="6" t="n">
        <v>1246</v>
      </c>
      <c r="D6" s="6" t="n"/>
    </row>
    <row r="7">
      <c r="A7" s="6" t="inlineStr">
        <is>
          <t>Stage 3 (lifetime ECL, credit-impaired)</t>
        </is>
      </c>
      <c r="B7" s="6" t="n">
        <v>6965</v>
      </c>
      <c r="C7" s="6" t="n">
        <v>2121</v>
      </c>
      <c r="D7" s="6" t="n"/>
    </row>
    <row r="8">
      <c r="A8" s="5" t="inlineStr">
        <is>
          <t>Total gross exposure (on-balance sheet, IFRS 9 stage table basis)</t>
        </is>
      </c>
      <c r="B8" s="5" t="n">
        <v>684472</v>
      </c>
      <c r="C8" s="5" t="n">
        <v>289416</v>
      </c>
      <c r="D8" s="5" t="n">
        <v>69214</v>
      </c>
    </row>
    <row r="9">
      <c r="A9" s="5" t="inlineStr">
        <is>
          <t>ECL allowance by IFRS 9 stage (on-balance sheet)</t>
        </is>
      </c>
      <c r="B9" s="6" t="n"/>
      <c r="C9" s="6" t="n"/>
      <c r="D9" s="6" t="n"/>
    </row>
    <row r="10">
      <c r="A10" s="6" t="inlineStr">
        <is>
          <t>Stage 1</t>
        </is>
      </c>
      <c r="B10" s="6" t="n">
        <v>-685</v>
      </c>
      <c r="C10" s="6" t="n">
        <v>-456</v>
      </c>
      <c r="D10" s="6" t="n">
        <v>-205</v>
      </c>
    </row>
    <row r="11">
      <c r="A11" s="6" t="inlineStr">
        <is>
          <t>Stage 2</t>
        </is>
      </c>
      <c r="B11" s="6" t="n">
        <v>-306</v>
      </c>
      <c r="C11" s="6" t="n">
        <v>-52</v>
      </c>
      <c r="D11" s="6" t="n"/>
    </row>
    <row r="12">
      <c r="A12" s="6" t="inlineStr">
        <is>
          <t>Stage 3</t>
        </is>
      </c>
      <c r="B12" s="6" t="n">
        <v>-902</v>
      </c>
      <c r="C12" s="6" t="n">
        <v>-109</v>
      </c>
      <c r="D12" s="6" t="n"/>
    </row>
    <row r="13">
      <c r="A13" s="5" t="inlineStr">
        <is>
          <t>Total ECL allowance (on-balance sheet)</t>
        </is>
      </c>
      <c r="B13" s="5" t="n">
        <v>-1893</v>
      </c>
      <c r="C13" s="5" t="n">
        <v>-617</v>
      </c>
      <c r="D13" s="5" t="n">
        <v>-205</v>
      </c>
    </row>
    <row r="14">
      <c r="A14" s="5" t="inlineStr">
        <is>
          <t>Loans and advances to customers, per Note 14/12/loans note (gross secured lending basis)</t>
        </is>
      </c>
      <c r="B14" s="6" t="n"/>
      <c r="C14" s="6" t="n"/>
      <c r="D14" s="6" t="n"/>
    </row>
    <row r="15">
      <c r="A15" s="6" t="inlineStr">
        <is>
          <t>Gross secured lending</t>
        </is>
      </c>
      <c r="B15" s="6" t="n">
        <v>684566</v>
      </c>
      <c r="C15" s="6" t="n">
        <v>289416</v>
      </c>
      <c r="D15" s="6" t="n">
        <v>69214</v>
      </c>
    </row>
    <row r="16">
      <c r="A16" s="6" t="inlineStr">
        <is>
          <t>Less: allowance for expected credit losses</t>
        </is>
      </c>
      <c r="B16" s="6" t="n">
        <v>-1893</v>
      </c>
      <c r="C16" s="6" t="n">
        <v>-617</v>
      </c>
      <c r="D16" s="6" t="n">
        <v>-205</v>
      </c>
    </row>
    <row r="17">
      <c r="A17" s="6" t="inlineStr">
        <is>
          <t>Fair value adjustment for hedged risk</t>
        </is>
      </c>
      <c r="B17" s="6" t="n">
        <v>-94</v>
      </c>
      <c r="C17" s="6" t="n"/>
      <c r="D17" s="6" t="n"/>
    </row>
    <row r="18">
      <c r="A18" s="5" t="inlineStr">
        <is>
          <t>Total loans and advances to customers (ties to Balance Sheet)</t>
        </is>
      </c>
      <c r="B18" s="5" t="n">
        <v>682579</v>
      </c>
      <c r="C18" s="5" t="n">
        <v>288799</v>
      </c>
      <c r="D18" s="5" t="n">
        <v>69009</v>
      </c>
    </row>
    <row r="19">
      <c r="A19" s="6" t="inlineStr">
        <is>
          <t>ECL coverage ratio (Total ECL allowance / Gross secured lending)</t>
        </is>
      </c>
      <c r="B19" s="6" t="inlineStr">
        <is>
          <t>0.28%</t>
        </is>
      </c>
      <c r="C19" s="6" t="inlineStr">
        <is>
          <t>0.21%</t>
        </is>
      </c>
      <c r="D19" s="6" t="inlineStr">
        <is>
          <t>0.30%</t>
        </is>
      </c>
    </row>
    <row r="20">
      <c r="A20" s="5" t="inlineStr">
        <is>
          <t>Loans and advances by product (FY2024/FY2023 only - see note)</t>
        </is>
      </c>
      <c r="B20" s="6" t="n"/>
      <c r="C20" s="6" t="n"/>
      <c r="D20" s="6" t="n"/>
    </row>
    <row r="21">
      <c r="A21" s="6" t="inlineStr">
        <is>
          <t>Commercial Investment Loan</t>
        </is>
      </c>
      <c r="B21" s="6" t="n"/>
      <c r="C21" s="6" t="n">
        <v>219690</v>
      </c>
      <c r="D21" s="6" t="n">
        <v>46339</v>
      </c>
    </row>
    <row r="22">
      <c r="A22" s="6" t="inlineStr">
        <is>
          <t>Commercial Mortgage Loan</t>
        </is>
      </c>
      <c r="B22" s="6" t="n"/>
      <c r="C22" s="6" t="n">
        <v>69726</v>
      </c>
      <c r="D22" s="6" t="n">
        <v>22875</v>
      </c>
    </row>
    <row r="24" ht="380" customHeight="1">
      <c r="A24"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QUALITY NOTE: FY2024's IFRS 9 stage table (Note 12, AR2024) totals £289,416k, £3k more than Note 34's own FY2024 (Represented) total in AR2025 (£289,413k) - an immaterial cross-note rounding difference in the Bank's own disclosures, not a transcription error here; both are shown as sourced. FY2025's on-balance-sheet IFRS 9 stage total (£684,472k, Note 34) is £94k less than Note 14's own 'Gross secured lending' figure (£684,566k) - reconciled via the 'Fair value adjustment for hedged risk' line, which brings the total to the Balance Sheet's own £682,579k. No IFRS 9 stage split or by-product breakdown is disclosed for FY2025 anywhere in the Annual Report reviewed this session (Note 14 only shows an aggregate gross/ECL/net figure by product) - genuinely unavailable this session, not assumed absent.</t>
        </is>
      </c>
    </row>
  </sheetData>
  <mergeCells count="1">
    <mergeCell ref="A24:D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CET1 Capital</t>
        </is>
      </c>
    </row>
    <row r="2">
      <c r="A2" s="2" t="inlineStr">
        <is>
          <t>Solo basis, £'000</t>
        </is>
      </c>
    </row>
    <row r="3">
      <c r="A3" s="4" t="inlineStr">
        <is>
          <t>Metric</t>
        </is>
      </c>
      <c r="B3" s="4" t="inlineStr">
        <is>
          <t>FY2025</t>
        </is>
      </c>
      <c r="C3" s="4" t="inlineStr">
        <is>
          <t>FY2024</t>
        </is>
      </c>
      <c r="D3" s="4" t="inlineStr">
        <is>
          <t>FY2023</t>
        </is>
      </c>
    </row>
    <row r="4">
      <c r="A4" s="6" t="inlineStr">
        <is>
          <t>Common Equity Tier 1 (CET1) capital</t>
        </is>
      </c>
      <c r="B4" s="6" t="n">
        <v>103888</v>
      </c>
      <c r="C4" s="6" t="n">
        <v>68399</v>
      </c>
      <c r="D4" s="6" t="n">
        <v>44532</v>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CET1 Ratio</t>
        </is>
      </c>
    </row>
    <row r="2">
      <c r="A2" s="2" t="inlineStr">
        <is>
          <t>Solo basis, % of RWA</t>
        </is>
      </c>
    </row>
    <row r="3">
      <c r="A3" s="4" t="inlineStr">
        <is>
          <t>Metric</t>
        </is>
      </c>
      <c r="B3" s="4" t="inlineStr">
        <is>
          <t>FY2025</t>
        </is>
      </c>
      <c r="C3" s="4" t="inlineStr">
        <is>
          <t>FY2024</t>
        </is>
      </c>
      <c r="D3" s="4" t="inlineStr">
        <is>
          <t>FY2023</t>
        </is>
      </c>
    </row>
    <row r="4">
      <c r="A4" s="6" t="inlineStr">
        <is>
          <t>Common equity Tier 1 capital ratio</t>
        </is>
      </c>
      <c r="B4" s="6" t="inlineStr">
        <is>
          <t>18.5%</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Tier 1 Capital</t>
        </is>
      </c>
    </row>
    <row r="2">
      <c r="A2" s="2" t="inlineStr">
        <is>
          <t>Solo basis, £'000</t>
        </is>
      </c>
    </row>
    <row r="3">
      <c r="A3" s="4" t="inlineStr">
        <is>
          <t>Metric</t>
        </is>
      </c>
      <c r="B3" s="4" t="inlineStr">
        <is>
          <t>FY2025</t>
        </is>
      </c>
      <c r="C3" s="4" t="inlineStr">
        <is>
          <t>FY2024</t>
        </is>
      </c>
      <c r="D3" s="4" t="inlineStr">
        <is>
          <t>FY2023</t>
        </is>
      </c>
    </row>
    <row r="4">
      <c r="A4" s="6" t="inlineStr">
        <is>
          <t>Tier 1 capital</t>
        </is>
      </c>
      <c r="B4" s="6" t="n">
        <v>103888</v>
      </c>
      <c r="C4" s="6" t="n">
        <v>68399</v>
      </c>
      <c r="D4" s="6" t="n">
        <v>44532</v>
      </c>
    </row>
    <row r="5" ht="60" customHeight="1">
      <c r="A5" s="7" t="inlineStr">
        <is>
          <t>Note: Equal to CET1 capital in every year shown - LHV Bank has no Additional Tier 1 (AT1) instruments.</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Tier 1 Ratio</t>
        </is>
      </c>
    </row>
    <row r="2">
      <c r="A2" s="2" t="inlineStr">
        <is>
          <t>Solo basis, % of RWA</t>
        </is>
      </c>
    </row>
    <row r="3">
      <c r="A3" s="4" t="inlineStr">
        <is>
          <t>Metric</t>
        </is>
      </c>
      <c r="B3" s="4" t="inlineStr">
        <is>
          <t>FY2025</t>
        </is>
      </c>
      <c r="C3" s="4" t="inlineStr">
        <is>
          <t>FY2024</t>
        </is>
      </c>
      <c r="D3" s="4" t="inlineStr">
        <is>
          <t>FY2023</t>
        </is>
      </c>
    </row>
    <row r="4">
      <c r="A4" s="6" t="inlineStr">
        <is>
          <t>Tier 1 capital ratio</t>
        </is>
      </c>
      <c r="B4" s="6" t="inlineStr">
        <is>
          <t>18.5%</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Capital</t>
        </is>
      </c>
    </row>
    <row r="2">
      <c r="A2" s="2" t="inlineStr">
        <is>
          <t>Solo basis, £'000</t>
        </is>
      </c>
    </row>
    <row r="3">
      <c r="A3" s="4" t="inlineStr">
        <is>
          <t>Metric</t>
        </is>
      </c>
      <c r="B3" s="4" t="inlineStr">
        <is>
          <t>FY2025</t>
        </is>
      </c>
      <c r="C3" s="4" t="inlineStr">
        <is>
          <t>FY2024</t>
        </is>
      </c>
      <c r="D3" s="4" t="inlineStr">
        <is>
          <t>FY2023</t>
        </is>
      </c>
    </row>
    <row r="4">
      <c r="A4" s="6" t="inlineStr">
        <is>
          <t>Total capital</t>
        </is>
      </c>
      <c r="B4" s="6" t="n">
        <v>113921</v>
      </c>
      <c r="C4" s="6" t="n">
        <v>68399</v>
      </c>
      <c r="D4" s="6" t="n">
        <v>44532</v>
      </c>
    </row>
    <row r="5" ht="60" customHeight="1">
      <c r="A5" s="7" t="inlineStr">
        <is>
          <t>Note: Exceeds Tier 1 capital from FY2025 onward following issuance of £10,000k of subordinated (Tier 2) liabilities during the year (see Cash Flow Statement sheet) - equal to CET1/Tier 1 capital in FY2023 and FY2024, before that issuance.</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Capital Ratio</t>
        </is>
      </c>
    </row>
    <row r="2">
      <c r="A2" s="2" t="inlineStr">
        <is>
          <t>Solo basis, % of RWA</t>
        </is>
      </c>
    </row>
    <row r="3">
      <c r="A3" s="4" t="inlineStr">
        <is>
          <t>Metric</t>
        </is>
      </c>
      <c r="B3" s="4" t="inlineStr">
        <is>
          <t>FY2025</t>
        </is>
      </c>
      <c r="C3" s="4" t="inlineStr">
        <is>
          <t>FY2024</t>
        </is>
      </c>
      <c r="D3" s="4" t="inlineStr">
        <is>
          <t>FY2023</t>
        </is>
      </c>
    </row>
    <row r="4">
      <c r="A4" s="6" t="inlineStr">
        <is>
          <t>Total capital ratio</t>
        </is>
      </c>
      <c r="B4" s="6" t="inlineStr">
        <is>
          <t>20.3%</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RWAs</t>
        </is>
      </c>
    </row>
    <row r="2">
      <c r="A2" s="2" t="inlineStr">
        <is>
          <t>Solo basis, £'000</t>
        </is>
      </c>
    </row>
    <row r="3">
      <c r="A3" s="4" t="inlineStr">
        <is>
          <t>Metric</t>
        </is>
      </c>
      <c r="B3" s="4" t="inlineStr">
        <is>
          <t>FY2025</t>
        </is>
      </c>
      <c r="C3" s="4" t="inlineStr">
        <is>
          <t>FY2024</t>
        </is>
      </c>
      <c r="D3" s="4" t="inlineStr">
        <is>
          <t>FY2023</t>
        </is>
      </c>
    </row>
    <row r="4">
      <c r="A4" s="6" t="inlineStr">
        <is>
          <t>Total risk weighted exposure amount</t>
        </is>
      </c>
      <c r="B4" s="6" t="n">
        <v>561468</v>
      </c>
      <c r="C4" s="6" t="n">
        <v>284276</v>
      </c>
      <c r="D4" s="6" t="n">
        <v>140702</v>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RWA Breakdown</t>
        </is>
      </c>
    </row>
    <row r="2">
      <c r="A2" s="2" t="inlineStr">
        <is>
          <t>Solo basis, standardised approach for credit/market risk, basic indicator approach for operational risk (Template UK OV1). £'000.</t>
        </is>
      </c>
    </row>
    <row r="3">
      <c r="A3" s="4" t="inlineStr">
        <is>
          <t>Line item</t>
        </is>
      </c>
      <c r="B3" s="4" t="inlineStr">
        <is>
          <t>FY2025 (£'000)</t>
        </is>
      </c>
      <c r="C3" s="4" t="inlineStr">
        <is>
          <t>FY2024 (£'000)</t>
        </is>
      </c>
      <c r="D3" s="4" t="inlineStr">
        <is>
          <t>FY2023 (£'000)</t>
        </is>
      </c>
    </row>
    <row r="4">
      <c r="A4" s="6" t="inlineStr">
        <is>
          <t>Credit risk</t>
        </is>
      </c>
      <c r="B4" s="6" t="n">
        <v>481364</v>
      </c>
      <c r="C4" s="6" t="n">
        <v>211654</v>
      </c>
      <c r="D4" s="6" t="n">
        <v>61243</v>
      </c>
    </row>
    <row r="5">
      <c r="A5" s="6" t="inlineStr">
        <is>
          <t>Counterparty credit risk (CCR)</t>
        </is>
      </c>
      <c r="B5" s="6" t="n">
        <v>3110</v>
      </c>
      <c r="C5" s="6" t="n">
        <v>0</v>
      </c>
      <c r="D5" s="6" t="n">
        <v>0</v>
      </c>
    </row>
    <row r="6">
      <c r="A6" s="6" t="inlineStr">
        <is>
          <t>Market risk</t>
        </is>
      </c>
      <c r="B6" s="6" t="n">
        <v>3557</v>
      </c>
      <c r="C6" s="6" t="n"/>
      <c r="D6" s="6" t="n"/>
    </row>
    <row r="7">
      <c r="A7" s="6" t="inlineStr">
        <is>
          <t>Operational risk</t>
        </is>
      </c>
      <c r="B7" s="6" t="n">
        <v>73437</v>
      </c>
      <c r="C7" s="6" t="n">
        <v>72622</v>
      </c>
      <c r="D7" s="6" t="n">
        <v>79460</v>
      </c>
    </row>
    <row r="8">
      <c r="A8" s="5" t="inlineStr">
        <is>
          <t>Total risk weighted exposure amount</t>
        </is>
      </c>
      <c r="B8" s="5" t="n">
        <v>561468</v>
      </c>
      <c r="C8" s="5" t="n">
        <v>284276</v>
      </c>
      <c r="D8" s="5" t="n">
        <v>140702</v>
      </c>
    </row>
    <row r="10" ht="200" customHeight="1">
      <c r="A10"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
All years' figures shown above tie exactly to the Total RWAs sheet. Market Risk and Counterparty Credit Risk are both nil/not disclosed as separate lines in FY2023/FY2024's own Template UK OV1-equivalent table (only Credit Risk and Operational Risk lines shown, summing exactly to that year's Total); FY2025's own table is the first to show non-zero Counterparty Credit Risk (£3,110k) and a new Market Risk line (£3,557k), reflecting genuine growth/diversification in the Bank's activities, not a change in disclosure practice.</t>
        </is>
      </c>
    </row>
  </sheetData>
  <mergeCells count="1">
    <mergeCell ref="A10:D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Leverage Ratio</t>
        </is>
      </c>
    </row>
    <row r="2">
      <c r="A2" s="2" t="inlineStr">
        <is>
          <t>Solo basis, £'000 / %</t>
        </is>
      </c>
    </row>
    <row r="3">
      <c r="A3" s="4" t="inlineStr">
        <is>
          <t>Metric</t>
        </is>
      </c>
      <c r="B3" s="4" t="inlineStr">
        <is>
          <t>FY2025</t>
        </is>
      </c>
      <c r="C3" s="4" t="inlineStr">
        <is>
          <t>FY2024</t>
        </is>
      </c>
      <c r="D3" s="4" t="inlineStr">
        <is>
          <t>FY2023</t>
        </is>
      </c>
    </row>
    <row r="4">
      <c r="A4" s="6" t="inlineStr">
        <is>
          <t>Total exposure measure excluding claims made on central banks</t>
        </is>
      </c>
      <c r="B4" s="6" t="n">
        <v>721124</v>
      </c>
      <c r="C4" s="6" t="n">
        <v>317763</v>
      </c>
      <c r="D4" s="6" t="n">
        <v>79084</v>
      </c>
    </row>
    <row r="5">
      <c r="A5" s="6" t="inlineStr">
        <is>
          <t>Leverage ratio excluding claims made on central banks (%)</t>
        </is>
      </c>
      <c r="B5" s="6" t="inlineStr">
        <is>
          <t>14.4%</t>
        </is>
      </c>
      <c r="C5" s="6" t="inlineStr">
        <is>
          <t>21.5%</t>
        </is>
      </c>
      <c r="D5" s="6" t="inlineStr">
        <is>
          <t>56.3%</t>
        </is>
      </c>
    </row>
    <row r="6" ht="60" customHeight="1">
      <c r="A6" s="7" t="inlineStr">
        <is>
          <t>Note: FY2023's very high ratio (56.3%) reflects the bank's small, deposit/capital-heavy balance sheet shortly after launch (unrestricted licence granted 3 May 2023), not a transcription error - it fell sharply as the loan book scaled in FY2024/FY2025.</t>
        </is>
      </c>
    </row>
    <row r="8" ht="120" customHeight="1">
      <c r="A8"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8:D8"/>
    <mergeCell ref="A6:D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LCR</t>
        </is>
      </c>
    </row>
    <row r="2">
      <c r="A2" s="2" t="inlineStr">
        <is>
          <t>Solo basis, £'000 / %</t>
        </is>
      </c>
    </row>
    <row r="3">
      <c r="A3" s="4" t="inlineStr">
        <is>
          <t>Metric</t>
        </is>
      </c>
      <c r="B3" s="4" t="inlineStr">
        <is>
          <t>FY2025</t>
        </is>
      </c>
      <c r="C3" s="4" t="inlineStr">
        <is>
          <t>FY2024</t>
        </is>
      </c>
      <c r="D3" s="4" t="inlineStr">
        <is>
          <t>FY2023</t>
        </is>
      </c>
    </row>
    <row r="4">
      <c r="A4" s="6" t="inlineStr">
        <is>
          <t>Total HQLA</t>
        </is>
      </c>
      <c r="B4" s="6" t="n">
        <v>405138</v>
      </c>
      <c r="C4" s="6" t="n">
        <v>296989</v>
      </c>
      <c r="D4" s="6" t="n">
        <v>137258</v>
      </c>
    </row>
    <row r="5">
      <c r="A5" s="6" t="inlineStr">
        <is>
          <t>Total net cash outflows</t>
        </is>
      </c>
      <c r="B5" s="6" t="n">
        <v>205363</v>
      </c>
      <c r="C5" s="6" t="n">
        <v>171530</v>
      </c>
      <c r="D5" s="6" t="n">
        <v>103776</v>
      </c>
    </row>
    <row r="6">
      <c r="A6" s="6" t="inlineStr">
        <is>
          <t>Liquidity coverage ratio (%)</t>
        </is>
      </c>
      <c r="B6" s="6" t="inlineStr">
        <is>
          <t>196%</t>
        </is>
      </c>
      <c r="C6" s="6" t="inlineStr">
        <is>
          <t>175%</t>
        </is>
      </c>
      <c r="D6" s="6" t="inlineStr">
        <is>
          <t>133%</t>
        </is>
      </c>
    </row>
    <row r="7" ht="60" customHeight="1">
      <c r="A7" s="7" t="inlineStr">
        <is>
          <t>Note: FY2023's LCR/NSFR are averages over 3 May 2023 (authorisation) to 31 December 2023 only, not a full 12-month average like FY2024/FY2025.</t>
        </is>
      </c>
    </row>
    <row r="9" ht="120" customHeight="1">
      <c r="A9"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7:D7"/>
    <mergeCell ref="A9:D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NSFR</t>
        </is>
      </c>
    </row>
    <row r="2">
      <c r="A2" s="2" t="inlineStr">
        <is>
          <t>Solo basis, £'000 / %</t>
        </is>
      </c>
    </row>
    <row r="3">
      <c r="A3" s="4" t="inlineStr">
        <is>
          <t>Metric</t>
        </is>
      </c>
      <c r="B3" s="4" t="inlineStr">
        <is>
          <t>FY2025</t>
        </is>
      </c>
      <c r="C3" s="4" t="inlineStr">
        <is>
          <t>FY2024</t>
        </is>
      </c>
      <c r="D3" s="4" t="inlineStr">
        <is>
          <t>FY2023</t>
        </is>
      </c>
    </row>
    <row r="4">
      <c r="A4" s="6" t="inlineStr">
        <is>
          <t>Total available funding</t>
        </is>
      </c>
      <c r="B4" s="6" t="n">
        <v>802886</v>
      </c>
      <c r="C4" s="6" t="n">
        <v>372192</v>
      </c>
      <c r="D4" s="6" t="n">
        <v>144797</v>
      </c>
    </row>
    <row r="5">
      <c r="A5" s="6" t="inlineStr">
        <is>
          <t>Total required funding</t>
        </is>
      </c>
      <c r="B5" s="6" t="n">
        <v>441159</v>
      </c>
      <c r="C5" s="6" t="n">
        <v>153881</v>
      </c>
      <c r="D5" s="6" t="n">
        <v>51410</v>
      </c>
    </row>
    <row r="6">
      <c r="A6" s="6" t="inlineStr">
        <is>
          <t>Net stable funding ratio (%)</t>
        </is>
      </c>
      <c r="B6" s="6" t="inlineStr">
        <is>
          <t>182%</t>
        </is>
      </c>
      <c r="C6" s="6" t="inlineStr">
        <is>
          <t>260%</t>
        </is>
      </c>
      <c r="D6" s="6" t="inlineStr">
        <is>
          <t>278%</t>
        </is>
      </c>
    </row>
    <row r="7" ht="60" customHeight="1">
      <c r="A7" s="7" t="inlineStr">
        <is>
          <t>Note: FY2023's NSFR is an average over 3 May 2023 (authorisation) to 31 December 2023 only, not a full 12-month average like FY2024/FY2025.</t>
        </is>
      </c>
    </row>
    <row r="9" ht="120" customHeight="1">
      <c r="A9"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7:D7"/>
    <mergeCell ref="A9:D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MREL Ratio</t>
        </is>
      </c>
    </row>
    <row r="2">
      <c r="A2" s="2" t="inlineStr">
        <is>
          <t>Solo basis</t>
        </is>
      </c>
    </row>
    <row r="3">
      <c r="A3" s="4" t="inlineStr">
        <is>
          <t>Metric</t>
        </is>
      </c>
      <c r="B3" s="4" t="inlineStr">
        <is>
          <t>FY2025</t>
        </is>
      </c>
      <c r="C3" s="4" t="inlineStr">
        <is>
          <t>FY2024</t>
        </is>
      </c>
      <c r="D3" s="4" t="inlineStr">
        <is>
          <t>FY2023</t>
        </is>
      </c>
    </row>
    <row r="4">
      <c r="A4" s="6" t="inlineStr">
        <is>
          <t>MREL ratio</t>
        </is>
      </c>
      <c r="B4" s="6" t="inlineStr">
        <is>
          <t>Not applicable</t>
        </is>
      </c>
      <c r="C4" s="6" t="inlineStr">
        <is>
          <t>Not applicable</t>
        </is>
      </c>
      <c r="D4" s="6" t="inlineStr">
        <is>
          <t>Not applicable</t>
        </is>
      </c>
    </row>
    <row r="5" ht="60" customHeight="1">
      <c r="A5" s="7" t="inlineStr">
        <is>
          <t>Note: LHV Bank Limited is classified as an 'other institution' (not Large, not subject to LREQ/G-SII/O-SII status) under Article 433 of the PRA Rulebook's Disclosure Part as at 31 December 2025, requiring only reduced annual Pillar 3 disclosure with no UK KM2/MREL template - no MREL figure of any kind appears in any year's Pillar 3 report.</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2026-09-03T19:10:58Z</dcterms:created>
  <dcterms:modified xmlns:dcterms="http://purl.org/dc/terms/" xmlns:xsi="http://www.w3.org/2001/XMLSchema-instance" xsi:type="dcterms:W3CDTF">2026-09-03T19:10:58Z</dcterms:modified>
</cp:coreProperties>
</file>