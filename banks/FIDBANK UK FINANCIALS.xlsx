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AD7B7E"/>
        <bgColor rgb="00AD7B7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FidBank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'Overview'!$J$5:$M$5</f>
            </numRef>
          </cat>
          <val>
            <numRef>
              <f>'Overview'!$J$6:$M$6</f>
            </numRef>
          </val>
        </ser>
        <ser>
          <idx val="1"/>
          <order val="1"/>
          <tx>
            <strRef>
              <f>'Overview'!I7</f>
            </strRef>
          </tx>
          <spPr>
            <a:ln xmlns:a="http://schemas.openxmlformats.org/drawingml/2006/main">
              <a:prstDash val="solid"/>
            </a:ln>
          </spPr>
          <cat>
            <numRef>
              <f>'Overview'!$J$5:$M$5</f>
            </numRef>
          </cat>
          <val>
            <numRef>
              <f>'Overview'!$J$7:$M$7</f>
            </numRef>
          </val>
        </ser>
        <ser>
          <idx val="2"/>
          <order val="2"/>
          <tx>
            <strRef>
              <f>'Overview'!I8</f>
            </strRef>
          </tx>
          <spPr>
            <a:ln xmlns:a="http://schemas.openxmlformats.org/drawingml/2006/main">
              <a:prstDash val="solid"/>
            </a:ln>
          </spPr>
          <cat>
            <numRef>
              <f>'Overview'!$J$5:$M$5</f>
            </numRef>
          </cat>
          <val>
            <numRef>
              <f>'Overview'!$J$8:$M$8</f>
            </numRef>
          </val>
        </ser>
        <ser>
          <idx val="3"/>
          <order val="3"/>
          <tx>
            <strRef>
              <f>'Overview'!I9</f>
            </strRef>
          </tx>
          <spPr>
            <a:ln xmlns:a="http://schemas.openxmlformats.org/drawingml/2006/main">
              <a:prstDash val="solid"/>
            </a:ln>
          </spPr>
          <cat>
            <numRef>
              <f>'Overview'!$J$5:$M$5</f>
            </numRef>
          </cat>
          <val>
            <numRef>
              <f>'Overview'!$J$9:$M$9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FidBank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'Overview'!P13</f>
            </strRef>
          </tx>
          <spPr>
            <a:ln xmlns:a="http://schemas.openxmlformats.org/drawingml/2006/main">
              <a:prstDash val="solid"/>
            </a:ln>
          </spPr>
          <cat>
            <numRef>
              <f>'Overview'!$Q$12:$T$12</f>
            </numRef>
          </cat>
          <val>
            <numRef>
              <f>'Overview'!$Q$13:$T$13</f>
            </numRef>
          </val>
        </ser>
        <ser>
          <idx val="1"/>
          <order val="1"/>
          <tx>
            <strRef>
              <f>'Overview'!P14</f>
            </strRef>
          </tx>
          <spPr>
            <a:ln xmlns:a="http://schemas.openxmlformats.org/drawingml/2006/main">
              <a:prstDash val="solid"/>
            </a:ln>
          </spPr>
          <cat>
            <numRef>
              <f>'Overview'!$Q$12:$T$12</f>
            </numRef>
          </cat>
          <val>
            <numRef>
              <f>'Overview'!$Q$14:$T$14</f>
            </numRef>
          </val>
        </ser>
        <ser>
          <idx val="2"/>
          <order val="2"/>
          <tx>
            <strRef>
              <f>'Overview'!P15</f>
            </strRef>
          </tx>
          <spPr>
            <a:ln xmlns:a="http://schemas.openxmlformats.org/drawingml/2006/main">
              <a:prstDash val="solid"/>
            </a:ln>
          </spPr>
          <cat>
            <numRef>
              <f>'Overview'!$Q$12:$T$12</f>
            </numRef>
          </cat>
          <val>
            <numRef>
              <f>'Overview'!$Q$15:$T$15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FidBank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'Overview'!W19</f>
            </strRef>
          </tx>
          <spPr>
            <a:ln xmlns:a="http://schemas.openxmlformats.org/drawingml/2006/main">
              <a:prstDash val="solid"/>
            </a:ln>
          </spPr>
          <cat>
            <numRef>
              <f>'Overview'!$X$18:$AA$18</f>
            </numRef>
          </cat>
          <val>
            <numRef>
              <f>'Overview'!$X$19:$AA$19</f>
            </numRef>
          </val>
        </ser>
        <ser>
          <idx val="1"/>
          <order val="1"/>
          <tx>
            <strRef>
              <f>'Overview'!W20</f>
            </strRef>
          </tx>
          <spPr>
            <a:ln xmlns:a="http://schemas.openxmlformats.org/drawingml/2006/main">
              <a:prstDash val="solid"/>
            </a:ln>
          </spPr>
          <cat>
            <numRef>
              <f>'Overview'!$X$18:$AA$18</f>
            </numRef>
          </cat>
          <val>
            <numRef>
              <f>'Overview'!$X$20:$AA$20</f>
            </numRef>
          </val>
        </ser>
        <ser>
          <idx val="2"/>
          <order val="2"/>
          <tx>
            <strRef>
              <f>'Overview'!W21</f>
            </strRef>
          </tx>
          <spPr>
            <a:ln xmlns:a="http://schemas.openxmlformats.org/drawingml/2006/main">
              <a:prstDash val="solid"/>
            </a:ln>
          </spPr>
          <cat>
            <numRef>
              <f>'Overview'!$X$18:$AA$18</f>
            </numRef>
          </cat>
          <val>
            <numRef>
              <f>'Overview'!$X$21:$AA$21</f>
            </numRef>
          </val>
        </ser>
        <ser>
          <idx val="3"/>
          <order val="3"/>
          <tx>
            <strRef>
              <f>'Overview'!W22</f>
            </strRef>
          </tx>
          <spPr>
            <a:ln xmlns:a="http://schemas.openxmlformats.org/drawingml/2006/main">
              <a:prstDash val="solid"/>
            </a:ln>
          </spPr>
          <cat>
            <numRef>
              <f>'Overview'!$X$18:$AA$18</f>
            </numRef>
          </cat>
          <val>
            <numRef>
              <f>'Overview'!$X$22:$AA$22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FidBank UK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'Overview'!AD26</f>
            </strRef>
          </tx>
          <spPr>
            <a:ln xmlns:a="http://schemas.openxmlformats.org/drawingml/2006/main">
              <a:prstDash val="solid"/>
            </a:ln>
          </spPr>
          <cat>
            <numRef>
              <f>'Overview'!$AE$25:$AH$25</f>
            </numRef>
          </cat>
          <val>
            <numRef>
              <f>'Overview'!$AE$26:$AH$26</f>
            </numRef>
          </val>
        </ser>
        <ser>
          <idx val="1"/>
          <order val="1"/>
          <tx>
            <strRef>
              <f>'Overview'!AD27</f>
            </strRef>
          </tx>
          <spPr>
            <a:ln xmlns:a="http://schemas.openxmlformats.org/drawingml/2006/main">
              <a:prstDash val="solid"/>
            </a:ln>
          </spPr>
          <cat>
            <numRef>
              <f>'Overview'!$AE$25:$AH$25</f>
            </numRef>
          </cat>
          <val>
            <numRef>
              <f>'Overview'!$AE$27:$AH$27</f>
            </numRef>
          </val>
        </ser>
        <ser>
          <idx val="2"/>
          <order val="2"/>
          <tx>
            <strRef>
              <f>'Overview'!AD28</f>
            </strRef>
          </tx>
          <spPr>
            <a:ln xmlns:a="http://schemas.openxmlformats.org/drawingml/2006/main">
              <a:prstDash val="solid"/>
            </a:ln>
          </spPr>
          <cat>
            <numRef>
              <f>'Overview'!$AE$25:$AH$25</f>
            </numRef>
          </cat>
          <val>
            <numRef>
              <f>'Overview'!$AE$28:$AH$28</f>
            </numRef>
          </val>
        </ser>
        <ser>
          <idx val="3"/>
          <order val="3"/>
          <tx>
            <strRef>
              <f>'Overview'!AD29</f>
            </strRef>
          </tx>
          <spPr>
            <a:ln xmlns:a="http://schemas.openxmlformats.org/drawingml/2006/main">
              <a:prstDash val="solid"/>
            </a:ln>
          </spPr>
          <cat>
            <numRef>
              <f>'Overview'!$AE$25:$AH$25</f>
            </numRef>
          </cat>
          <val>
            <numRef>
              <f>'Overview'!$AE$29:$AH$29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FidBank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'Overview'!AK6</f>
            </strRef>
          </tx>
          <spPr>
            <a:ln xmlns:a="http://schemas.openxmlformats.org/drawingml/2006/main">
              <a:prstDash val="solid"/>
            </a:ln>
          </spPr>
          <marker>
            <symbol val="none"/>
            <spPr>
              <a:ln xmlns:a="http://schemas.openxmlformats.org/drawingml/2006/main">
                <a:prstDash val="solid"/>
              </a:ln>
            </spPr>
          </marker>
          <cat>
            <numRef>
              <f>'Overview'!$AL$5:$AP$5</f>
            </numRef>
          </cat>
          <val>
            <numRef>
              <f>'Overview'!$AL$6:$AP$6</f>
            </numRef>
          </val>
          <smooth val="0"/>
        </ser>
        <ser>
          <idx val="1"/>
          <order val="1"/>
          <tx>
            <strRef>
              <f>'Overview'!AK7</f>
            </strRef>
          </tx>
          <spPr>
            <a:ln xmlns:a="http://schemas.openxmlformats.org/drawingml/2006/main">
              <a:prstDash val="solid"/>
            </a:ln>
          </spPr>
          <marker>
            <symbol val="none"/>
            <spPr>
              <a:ln xmlns:a="http://schemas.openxmlformats.org/drawingml/2006/main">
                <a:prstDash val="solid"/>
              </a:ln>
            </spPr>
          </marker>
          <cat>
            <numRef>
              <f>'Overview'!$AL$5:$AP$5</f>
            </numRef>
          </cat>
          <val>
            <numRef>
              <f>'Overview'!$AL$7:$AP$7</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38</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82</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104</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126</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P3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s>
  <sheetData>
    <row r="1">
      <c r="A1" s="1" t="inlineStr">
        <is>
          <t>FidBank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 (conv. from USD))</t>
        </is>
      </c>
    </row>
    <row r="5">
      <c r="A5" s="4" t="inlineStr">
        <is>
          <t>Line item</t>
        </is>
      </c>
      <c r="B5" s="4" t="inlineStr">
        <is>
          <t>FY2025</t>
        </is>
      </c>
      <c r="C5" s="4" t="inlineStr">
        <is>
          <t>FY2024</t>
        </is>
      </c>
      <c r="D5" s="4" t="inlineStr">
        <is>
          <t>FY2023</t>
        </is>
      </c>
      <c r="E5" s="4" t="inlineStr">
        <is>
          <t>FY2022</t>
        </is>
      </c>
      <c r="J5" t="inlineStr">
        <is>
          <t>FY2022</t>
        </is>
      </c>
      <c r="K5" t="inlineStr">
        <is>
          <t>FY2023</t>
        </is>
      </c>
      <c r="L5" t="inlineStr">
        <is>
          <t>FY2024</t>
        </is>
      </c>
      <c r="M5" t="inlineStr">
        <is>
          <t>FY2025</t>
        </is>
      </c>
      <c r="AL5" t="inlineStr">
        <is>
          <t>FY2021</t>
        </is>
      </c>
      <c r="AM5" t="inlineStr">
        <is>
          <t>FY2022</t>
        </is>
      </c>
      <c r="AN5" t="inlineStr">
        <is>
          <t>FY2023</t>
        </is>
      </c>
      <c r="AO5" t="inlineStr">
        <is>
          <t>FY2024</t>
        </is>
      </c>
      <c r="AP5" t="inlineStr">
        <is>
          <t>FY2025</t>
        </is>
      </c>
    </row>
    <row r="6">
      <c r="A6" s="5" t="inlineStr">
        <is>
          <t>Total Assets</t>
        </is>
      </c>
      <c r="B6" s="5" t="n">
        <v>333423.7</v>
      </c>
      <c r="C6" s="5" t="n">
        <v>217856</v>
      </c>
      <c r="D6" s="5" t="n">
        <v>149298.4</v>
      </c>
      <c r="E6" s="5" t="n">
        <v>80527.5</v>
      </c>
      <c r="I6" t="inlineStr">
        <is>
          <t>Total Assets</t>
        </is>
      </c>
      <c r="J6" t="n">
        <v>80527.5</v>
      </c>
      <c r="K6" t="n">
        <v>149298.4</v>
      </c>
      <c r="L6" t="n">
        <v>217856</v>
      </c>
      <c r="M6" t="n">
        <v>333423.7</v>
      </c>
      <c r="AK6" t="inlineStr">
        <is>
          <t>Total Capital Ratio (AR proxy: Shareholders' Funds ÷ RWA)</t>
        </is>
      </c>
      <c r="AL6" t="n">
        <v>40</v>
      </c>
      <c r="AM6" t="n">
        <v>54</v>
      </c>
      <c r="AN6" t="n">
        <v>98</v>
      </c>
      <c r="AO6" t="n">
        <v>43</v>
      </c>
      <c r="AP6" t="n">
        <v>21.99</v>
      </c>
    </row>
    <row r="7">
      <c r="A7" s="5" t="inlineStr">
        <is>
          <t>Loans and advances to customers</t>
        </is>
      </c>
      <c r="B7" s="5" t="n">
        <v>108763</v>
      </c>
      <c r="C7" s="5" t="n">
        <v>44132</v>
      </c>
      <c r="D7" s="5" t="n">
        <v>6763.8</v>
      </c>
      <c r="E7" s="5" t="n">
        <v>2970</v>
      </c>
      <c r="I7" t="inlineStr">
        <is>
          <t>Loans and advances to customers</t>
        </is>
      </c>
      <c r="J7" t="n">
        <v>2970</v>
      </c>
      <c r="K7" t="n">
        <v>6763.8</v>
      </c>
      <c r="L7" t="n">
        <v>44132</v>
      </c>
      <c r="M7" t="n">
        <v>108763</v>
      </c>
      <c r="AK7" t="inlineStr">
        <is>
          <t>LCR</t>
        </is>
      </c>
      <c r="AM7" t="n">
        <v>379.92</v>
      </c>
      <c r="AN7" t="n">
        <v>233.04</v>
      </c>
      <c r="AO7" t="n">
        <v>243.39</v>
      </c>
      <c r="AP7" t="n">
        <v>178</v>
      </c>
    </row>
    <row r="8">
      <c r="A8" s="5" t="inlineStr">
        <is>
          <t>Customer accounts</t>
        </is>
      </c>
      <c r="B8" s="5" t="n">
        <v>146063</v>
      </c>
      <c r="C8" s="5" t="n">
        <v>86160</v>
      </c>
      <c r="D8" s="5" t="n">
        <v>39852.8</v>
      </c>
      <c r="E8" s="5" t="n">
        <v>31898.3</v>
      </c>
      <c r="I8" t="inlineStr">
        <is>
          <t>Customer accounts</t>
        </is>
      </c>
      <c r="J8" t="n">
        <v>31898.3</v>
      </c>
      <c r="K8" t="n">
        <v>39852.8</v>
      </c>
      <c r="L8" t="n">
        <v>86160</v>
      </c>
      <c r="M8" t="n">
        <v>146063</v>
      </c>
    </row>
    <row r="9">
      <c r="A9" s="5" t="inlineStr">
        <is>
          <t>Total equity</t>
        </is>
      </c>
      <c r="B9" s="5" t="n">
        <v>41689.6</v>
      </c>
      <c r="C9" s="5" t="n">
        <v>44296.8</v>
      </c>
      <c r="D9" s="5" t="n">
        <v>45273.2</v>
      </c>
      <c r="E9" s="5" t="n">
        <v>29599.2</v>
      </c>
      <c r="I9" t="inlineStr">
        <is>
          <t>Total equity</t>
        </is>
      </c>
      <c r="J9" t="n">
        <v>29599.2</v>
      </c>
      <c r="K9" t="n">
        <v>45273.2</v>
      </c>
      <c r="L9" t="n">
        <v>44296.8</v>
      </c>
      <c r="M9" t="n">
        <v>41689.6</v>
      </c>
    </row>
    <row r="11">
      <c r="A11" s="3" t="inlineStr">
        <is>
          <t>Profit &amp; Loss Summary (£'000 (conv. from USD))</t>
        </is>
      </c>
    </row>
    <row r="12">
      <c r="A12" s="4" t="inlineStr">
        <is>
          <t>Line item</t>
        </is>
      </c>
      <c r="B12" s="4" t="inlineStr">
        <is>
          <t>FY2025</t>
        </is>
      </c>
      <c r="C12" s="4" t="inlineStr">
        <is>
          <t>FY2024</t>
        </is>
      </c>
      <c r="D12" s="4" t="inlineStr">
        <is>
          <t>FY2023</t>
        </is>
      </c>
      <c r="E12" s="4" t="inlineStr">
        <is>
          <t>FY2022</t>
        </is>
      </c>
      <c r="Q12" t="inlineStr">
        <is>
          <t>FY2022</t>
        </is>
      </c>
      <c r="R12" t="inlineStr">
        <is>
          <t>FY2023</t>
        </is>
      </c>
      <c r="S12" t="inlineStr">
        <is>
          <t>FY2024</t>
        </is>
      </c>
      <c r="T12" t="inlineStr">
        <is>
          <t>FY2025</t>
        </is>
      </c>
    </row>
    <row r="13">
      <c r="A13" s="5" t="inlineStr">
        <is>
          <t>Total income</t>
        </is>
      </c>
      <c r="B13" s="5" t="n">
        <v>12456.1</v>
      </c>
      <c r="C13" s="5" t="n">
        <v>9480.5</v>
      </c>
      <c r="D13" s="5" t="n">
        <v>7040</v>
      </c>
      <c r="E13" s="5" t="n">
        <v>3228.5</v>
      </c>
      <c r="P13" t="inlineStr">
        <is>
          <t>Total income</t>
        </is>
      </c>
      <c r="Q13" t="n">
        <v>3228.5</v>
      </c>
      <c r="R13" t="n">
        <v>7040</v>
      </c>
      <c r="S13" t="n">
        <v>9480.5</v>
      </c>
      <c r="T13" t="n">
        <v>12456.1</v>
      </c>
    </row>
    <row r="14">
      <c r="A14" s="5" t="inlineStr">
        <is>
          <t>Administrative expenses</t>
        </is>
      </c>
      <c r="B14" s="5" t="n">
        <v>-11127.3</v>
      </c>
      <c r="C14" s="5" t="n">
        <v>-9960.9</v>
      </c>
      <c r="D14" s="5" t="n">
        <v>-8932</v>
      </c>
      <c r="E14" s="5" t="n">
        <v>-6906.5</v>
      </c>
      <c r="P14" t="inlineStr">
        <is>
          <t>Administrative expenses</t>
        </is>
      </c>
      <c r="Q14" t="n">
        <v>-6906.5</v>
      </c>
      <c r="R14" t="n">
        <v>-8932</v>
      </c>
      <c r="S14" t="n">
        <v>-9960.9</v>
      </c>
      <c r="T14" t="n">
        <v>-11127.3</v>
      </c>
    </row>
    <row r="15">
      <c r="A15" s="5" t="inlineStr">
        <is>
          <t>Profit/(Loss) for the year after tax</t>
        </is>
      </c>
      <c r="B15" s="5" t="n">
        <v>697</v>
      </c>
      <c r="C15" s="5" t="n">
        <v>-1680.5</v>
      </c>
      <c r="D15" s="5" t="n">
        <v>-2418.4</v>
      </c>
      <c r="E15" s="5" t="n">
        <v>-4375.6</v>
      </c>
      <c r="P15" t="inlineStr">
        <is>
          <t>Profit/(Loss) for the year after tax</t>
        </is>
      </c>
      <c r="Q15" t="n">
        <v>-4375.6</v>
      </c>
      <c r="R15" t="n">
        <v>-2418.4</v>
      </c>
      <c r="S15" t="n">
        <v>-1680.5</v>
      </c>
      <c r="T15" t="n">
        <v>697</v>
      </c>
    </row>
    <row r="17">
      <c r="A17" s="3" t="inlineStr">
        <is>
          <t>Statement of Changes in Equity Summary (£'000 (conv. from USD))</t>
        </is>
      </c>
    </row>
    <row r="18">
      <c r="A18" s="4" t="inlineStr">
        <is>
          <t>Line item</t>
        </is>
      </c>
      <c r="B18" s="4" t="inlineStr">
        <is>
          <t>FY2025</t>
        </is>
      </c>
      <c r="C18" s="4" t="inlineStr">
        <is>
          <t>FY2024</t>
        </is>
      </c>
      <c r="D18" s="4" t="inlineStr">
        <is>
          <t>FY2023</t>
        </is>
      </c>
      <c r="E18" s="4" t="inlineStr">
        <is>
          <t>FY2022</t>
        </is>
      </c>
      <c r="X18" t="inlineStr">
        <is>
          <t>FY2022</t>
        </is>
      </c>
      <c r="Y18" t="inlineStr">
        <is>
          <t>FY2023</t>
        </is>
      </c>
      <c r="Z18" t="inlineStr">
        <is>
          <t>FY2024</t>
        </is>
      </c>
      <c r="AA18" t="inlineStr">
        <is>
          <t>FY2025</t>
        </is>
      </c>
    </row>
    <row r="19">
      <c r="A19" s="5" t="inlineStr">
        <is>
          <t>Opening equity</t>
        </is>
      </c>
      <c r="B19" s="5" t="n">
        <v>44296.8</v>
      </c>
      <c r="C19" s="5" t="n">
        <v>45273.2</v>
      </c>
      <c r="D19" s="5" t="n">
        <v>29599.2</v>
      </c>
      <c r="E19" s="5" t="n">
        <v>30294.8</v>
      </c>
      <c r="W19" t="inlineStr">
        <is>
          <t>Opening equity</t>
        </is>
      </c>
      <c r="X19" t="n">
        <v>30294.8</v>
      </c>
      <c r="Y19" t="n">
        <v>29599.2</v>
      </c>
      <c r="Z19" t="n">
        <v>45273.2</v>
      </c>
      <c r="AA19" t="n">
        <v>44296.8</v>
      </c>
    </row>
    <row r="20">
      <c r="A20" s="5" t="inlineStr">
        <is>
          <t>Total comprehensive income/(loss) for the year</t>
        </is>
      </c>
      <c r="B20" s="5" t="n">
        <v>689.4</v>
      </c>
      <c r="C20" s="5" t="n">
        <v>-1661</v>
      </c>
      <c r="D20" s="5" t="n">
        <v>-2417.6</v>
      </c>
      <c r="E20" s="5" t="n">
        <v>-4373.2</v>
      </c>
      <c r="W20" t="inlineStr">
        <is>
          <t>Total comprehensive income/(loss) for the year</t>
        </is>
      </c>
      <c r="X20" t="n">
        <v>-4373.2</v>
      </c>
      <c r="Y20" t="n">
        <v>-2417.6</v>
      </c>
      <c r="Z20" t="n">
        <v>-1661</v>
      </c>
      <c r="AA20" t="n">
        <v>689.4</v>
      </c>
    </row>
    <row r="21">
      <c r="A21" s="5" t="inlineStr">
        <is>
          <t>Other equity movements, net</t>
        </is>
      </c>
      <c r="B21" s="5" t="n">
        <v>-3296.6</v>
      </c>
      <c r="C21" s="5" t="n">
        <v>684.6</v>
      </c>
      <c r="D21" s="5" t="n">
        <v>18091.6</v>
      </c>
      <c r="E21" s="5" t="n">
        <v>3677.6</v>
      </c>
      <c r="W21" t="inlineStr">
        <is>
          <t>Other equity movements, net</t>
        </is>
      </c>
      <c r="X21" t="n">
        <v>3677.6</v>
      </c>
      <c r="Y21" t="n">
        <v>18091.6</v>
      </c>
      <c r="Z21" t="n">
        <v>684.6</v>
      </c>
      <c r="AA21" t="n">
        <v>-3296.6</v>
      </c>
    </row>
    <row r="22">
      <c r="A22" s="5" t="inlineStr">
        <is>
          <t>Closing equity</t>
        </is>
      </c>
      <c r="B22" s="5" t="n">
        <v>41689.6</v>
      </c>
      <c r="C22" s="5" t="n">
        <v>44296.8</v>
      </c>
      <c r="D22" s="5" t="n">
        <v>45273.2</v>
      </c>
      <c r="E22" s="5" t="n">
        <v>29599.2</v>
      </c>
      <c r="W22" t="inlineStr">
        <is>
          <t>Closing equity</t>
        </is>
      </c>
      <c r="X22" t="n">
        <v>29599.2</v>
      </c>
      <c r="Y22" t="n">
        <v>45273.2</v>
      </c>
      <c r="Z22" t="n">
        <v>44296.8</v>
      </c>
      <c r="AA22" t="n">
        <v>41689.6</v>
      </c>
    </row>
    <row r="24">
      <c r="A24" s="3" t="inlineStr">
        <is>
          <t>Cash Flow Summary (£'000 (conv. from USD))</t>
        </is>
      </c>
    </row>
    <row r="25">
      <c r="A25" s="4" t="inlineStr">
        <is>
          <t>Line item</t>
        </is>
      </c>
      <c r="B25" s="4" t="inlineStr">
        <is>
          <t>FY2025</t>
        </is>
      </c>
      <c r="C25" s="4" t="inlineStr">
        <is>
          <t>FY2024</t>
        </is>
      </c>
      <c r="D25" s="4" t="inlineStr">
        <is>
          <t>FY2023</t>
        </is>
      </c>
      <c r="E25" s="4" t="inlineStr">
        <is>
          <t>FY2022</t>
        </is>
      </c>
      <c r="AE25" t="inlineStr">
        <is>
          <t>FY2022</t>
        </is>
      </c>
      <c r="AF25" t="inlineStr">
        <is>
          <t>FY2023</t>
        </is>
      </c>
      <c r="AG25" t="inlineStr">
        <is>
          <t>FY2024</t>
        </is>
      </c>
      <c r="AH25" t="inlineStr">
        <is>
          <t>FY2025</t>
        </is>
      </c>
    </row>
    <row r="26">
      <c r="A26" s="5" t="inlineStr">
        <is>
          <t>Net cash (used in)/from operating activities</t>
        </is>
      </c>
      <c r="B26" s="5" t="n">
        <v>16960.6</v>
      </c>
      <c r="C26" s="5" t="n">
        <v>-11886.7</v>
      </c>
      <c r="D26" s="5" t="n">
        <v>-18293.6</v>
      </c>
      <c r="E26" s="5" t="n">
        <v>-2485.4</v>
      </c>
      <c r="AD26" t="inlineStr">
        <is>
          <t>Net cash (used in)/from operating activities</t>
        </is>
      </c>
      <c r="AE26" t="n">
        <v>-2485.4</v>
      </c>
      <c r="AF26" t="n">
        <v>-18293.6</v>
      </c>
      <c r="AG26" t="n">
        <v>-11886.7</v>
      </c>
      <c r="AH26" t="n">
        <v>16960.6</v>
      </c>
    </row>
    <row r="27">
      <c r="A27" s="5" t="inlineStr">
        <is>
          <t>Net cash flow used in investing activities</t>
        </is>
      </c>
      <c r="B27" s="5" t="n">
        <v>-298.5</v>
      </c>
      <c r="C27" s="5" t="n">
        <v>-47.7</v>
      </c>
      <c r="D27" s="5" t="n">
        <v>-130.4</v>
      </c>
      <c r="E27" s="5" t="n">
        <v>-30.9</v>
      </c>
      <c r="AD27" t="inlineStr">
        <is>
          <t>Net cash flow used in investing activities</t>
        </is>
      </c>
      <c r="AE27" t="n">
        <v>-30.9</v>
      </c>
      <c r="AF27" t="n">
        <v>-130.4</v>
      </c>
      <c r="AG27" t="n">
        <v>-47.7</v>
      </c>
      <c r="AH27" t="n">
        <v>-298.5</v>
      </c>
    </row>
    <row r="28">
      <c r="A28" s="5" t="inlineStr">
        <is>
          <t>Net cash generated from/(used in) financing activities</t>
        </is>
      </c>
      <c r="B28" s="5" t="n">
        <v>-459.1</v>
      </c>
      <c r="C28" s="5" t="n">
        <v>-440.6</v>
      </c>
      <c r="D28" s="5" t="n">
        <v>19780.8</v>
      </c>
      <c r="E28" s="5" t="n">
        <v>-384.6</v>
      </c>
      <c r="AD28" t="inlineStr">
        <is>
          <t>Net cash generated from/(used in) financing activities</t>
        </is>
      </c>
      <c r="AE28" t="n">
        <v>-384.6</v>
      </c>
      <c r="AF28" t="n">
        <v>19780.8</v>
      </c>
      <c r="AG28" t="n">
        <v>-440.6</v>
      </c>
      <c r="AH28" t="n">
        <v>-459.1</v>
      </c>
    </row>
    <row r="29">
      <c r="A29" s="5" t="inlineStr">
        <is>
          <t>Cash and cash equivalents at end of year</t>
        </is>
      </c>
      <c r="B29" s="5" t="n">
        <v>90189.60000000001</v>
      </c>
      <c r="C29" s="5" t="n">
        <v>79931.2</v>
      </c>
      <c r="D29" s="5" t="n">
        <v>5611.8</v>
      </c>
      <c r="E29" s="5" t="n">
        <v>4525.8</v>
      </c>
      <c r="AD29" t="inlineStr">
        <is>
          <t>Cash and cash equivalents at end of year</t>
        </is>
      </c>
      <c r="AE29" t="n">
        <v>4525.8</v>
      </c>
      <c r="AF29" t="n">
        <v>5611.8</v>
      </c>
      <c r="AG29" t="n">
        <v>79931.2</v>
      </c>
      <c r="AH29" t="n">
        <v>90189.60000000001</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Total Capital Ratio (AR proxy: Shareholders' Funds ÷ RWA)</t>
        </is>
      </c>
      <c r="B33" s="6" t="inlineStr">
        <is>
          <t>21.99%</t>
        </is>
      </c>
      <c r="C33" s="6" t="inlineStr">
        <is>
          <t>43%</t>
        </is>
      </c>
      <c r="D33" s="6" t="inlineStr">
        <is>
          <t>98%</t>
        </is>
      </c>
      <c r="E33" s="6" t="inlineStr">
        <is>
          <t>54%</t>
        </is>
      </c>
      <c r="F33" s="6" t="inlineStr">
        <is>
          <t>40%</t>
        </is>
      </c>
    </row>
    <row r="34">
      <c r="A34" s="6" t="inlineStr">
        <is>
          <t>LCR</t>
        </is>
      </c>
      <c r="B34" s="6" t="inlineStr">
        <is>
          <t>178%</t>
        </is>
      </c>
      <c r="C34" s="6" t="inlineStr">
        <is>
          <t>243.39%</t>
        </is>
      </c>
      <c r="D34" s="6" t="inlineStr">
        <is>
          <t>233.04%</t>
        </is>
      </c>
      <c r="E34" s="6" t="inlineStr">
        <is>
          <t>379.92%</t>
        </is>
      </c>
      <c r="F34" s="6" t="n"/>
    </row>
    <row r="36" ht="65" customHeight="1">
      <c r="A36" s="7" t="inlineStr">
        <is>
          <t>Note: FY2021 cash flow/balance sheet/P&amp;L not available (see Cash Flow Statement sheet's source note) - only FY2021's own closing equity is known (as FY2022's disclosed opening balance), shown on the Statement of Changes in Equity sheet. Pillar 3 coverage is thin - a headline Capital Ratio (all 5 years), actual Tier 1/CET1/Total Capital AMOUNTS (FY2025-FY2022, from the capital adequacy note - a finding not previously captured in this workbook), and LCR (FY2025/FY2024 only) are disclosed; RWA itself and every ratio derived from it remain Not publicly disclosed. Figures are duplicated from the detail sheets for at-a-glance trend viewing; see each sheet's own source citation.</t>
        </is>
      </c>
    </row>
  </sheetData>
  <mergeCells count="1">
    <mergeCell ref="A36:F3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s>
  <sheetData>
    <row r="1">
      <c r="A1" s="1" t="inlineStr">
        <is>
          <t>FidBank UK Limited — Statement of Financial Position</t>
        </is>
      </c>
    </row>
    <row r="2">
      <c r="A2" s="2" t="inlineStr">
        <is>
          <t>Bank-only basis, £'000 (conv. from USD). FY2021 not available - see source note below.</t>
        </is>
      </c>
    </row>
    <row r="3">
      <c r="A3" s="4" t="inlineStr">
        <is>
          <t>Line item</t>
        </is>
      </c>
      <c r="B3" s="4" t="inlineStr">
        <is>
          <t>FY2025 (£'000, conv. from USD)</t>
        </is>
      </c>
      <c r="C3" s="4" t="inlineStr">
        <is>
          <t>FY2024 (£'000, conv. from USD)</t>
        </is>
      </c>
      <c r="D3" s="4" t="inlineStr">
        <is>
          <t>FY2023 (£'000, conv. from USD)</t>
        </is>
      </c>
      <c r="E3" s="4" t="inlineStr">
        <is>
          <t>FY2022 (£'000, conv. from USD)</t>
        </is>
      </c>
    </row>
    <row r="4">
      <c r="A4" s="5" t="inlineStr">
        <is>
          <t>Assets</t>
        </is>
      </c>
      <c r="B4" s="6" t="n"/>
      <c r="C4" s="6" t="n"/>
      <c r="D4" s="6" t="n"/>
      <c r="E4" s="6" t="n"/>
    </row>
    <row r="5">
      <c r="A5" s="6" t="inlineStr">
        <is>
          <t>Cash and cash equivalents</t>
        </is>
      </c>
      <c r="B5" s="6" t="n">
        <v>90189.60000000001</v>
      </c>
      <c r="C5" s="6" t="n">
        <v>79931.2</v>
      </c>
      <c r="D5" s="6" t="n">
        <v>5611.8</v>
      </c>
      <c r="E5" s="6" t="n">
        <v>4525.8</v>
      </c>
    </row>
    <row r="6">
      <c r="A6" s="6" t="inlineStr">
        <is>
          <t>Short-term investments</t>
        </is>
      </c>
      <c r="B6" s="6" t="n">
        <v>8203</v>
      </c>
      <c r="C6" s="6" t="n">
        <v>0</v>
      </c>
      <c r="D6" s="6" t="n"/>
      <c r="E6" s="6" t="n"/>
    </row>
    <row r="7">
      <c r="A7" s="6" t="inlineStr">
        <is>
          <t>Loans and advances to banks</t>
        </is>
      </c>
      <c r="B7" s="6" t="n">
        <v>91676.3</v>
      </c>
      <c r="C7" s="6" t="n">
        <v>52640.8</v>
      </c>
      <c r="D7" s="6" t="n">
        <v>100800.8</v>
      </c>
      <c r="E7" s="6" t="n">
        <v>54530.8</v>
      </c>
    </row>
    <row r="8">
      <c r="A8" s="6" t="inlineStr">
        <is>
          <t>Loans and advances to customers</t>
        </is>
      </c>
      <c r="B8" s="6" t="n">
        <v>108763</v>
      </c>
      <c r="C8" s="6" t="n">
        <v>44132</v>
      </c>
      <c r="D8" s="6" t="n">
        <v>6763.8</v>
      </c>
      <c r="E8" s="6" t="n">
        <v>2970</v>
      </c>
    </row>
    <row r="9">
      <c r="A9" s="6" t="inlineStr">
        <is>
          <t>Derivative Financial Assets</t>
        </is>
      </c>
      <c r="B9" s="6" t="n">
        <v>313.3</v>
      </c>
      <c r="C9" s="6" t="n">
        <v>0</v>
      </c>
      <c r="D9" s="6" t="n"/>
      <c r="E9" s="6" t="n"/>
    </row>
    <row r="10">
      <c r="A10" s="6" t="inlineStr">
        <is>
          <t>Financial assets measured at FVOCI</t>
        </is>
      </c>
      <c r="B10" s="6" t="n">
        <v>25056.3</v>
      </c>
      <c r="C10" s="6" t="n">
        <v>38035.2</v>
      </c>
      <c r="D10" s="6" t="n">
        <v>33090.6</v>
      </c>
      <c r="E10" s="6" t="n">
        <v>15102.5</v>
      </c>
    </row>
    <row r="11">
      <c r="A11" s="6" t="inlineStr">
        <is>
          <t>Financial assets valued at Amortised Cost</t>
        </is>
      </c>
      <c r="B11" s="6" t="n">
        <v>6002.2</v>
      </c>
      <c r="C11" s="6" t="n">
        <v>0</v>
      </c>
      <c r="D11" s="6" t="n"/>
      <c r="E11" s="6" t="n"/>
    </row>
    <row r="12">
      <c r="A12" s="6" t="inlineStr">
        <is>
          <t>Property and equipment</t>
        </is>
      </c>
      <c r="B12" s="6" t="n">
        <v>28.1</v>
      </c>
      <c r="C12" s="6" t="n">
        <v>47.2</v>
      </c>
      <c r="D12" s="6" t="n">
        <v>44.1</v>
      </c>
      <c r="E12" s="6" t="n">
        <v>36.7</v>
      </c>
    </row>
    <row r="13">
      <c r="A13" s="6" t="inlineStr">
        <is>
          <t>Intangible assets</t>
        </is>
      </c>
      <c r="B13" s="6" t="n">
        <v>456.3</v>
      </c>
      <c r="C13" s="6" t="n">
        <v>292.8</v>
      </c>
      <c r="D13" s="6" t="n">
        <v>364.6</v>
      </c>
      <c r="E13" s="6" t="n">
        <v>422.5</v>
      </c>
    </row>
    <row r="14">
      <c r="A14" s="6" t="inlineStr">
        <is>
          <t>Right-of-use-assets</t>
        </is>
      </c>
      <c r="B14" s="6" t="n">
        <v>680.7</v>
      </c>
      <c r="C14" s="6" t="n">
        <v>1040</v>
      </c>
      <c r="D14" s="6" t="n">
        <v>1317.3</v>
      </c>
      <c r="E14" s="6" t="n">
        <v>1710</v>
      </c>
    </row>
    <row r="15">
      <c r="A15" s="6" t="inlineStr">
        <is>
          <t>Other assets</t>
        </is>
      </c>
      <c r="B15" s="6" t="n">
        <v>1265.2</v>
      </c>
      <c r="C15" s="6" t="n">
        <v>980.8</v>
      </c>
      <c r="D15" s="6" t="n">
        <v>739.4</v>
      </c>
      <c r="E15" s="6" t="n">
        <v>708.3</v>
      </c>
    </row>
    <row r="16">
      <c r="A16" s="6" t="inlineStr">
        <is>
          <t>Prepayments</t>
        </is>
      </c>
      <c r="B16" s="6" t="n">
        <v>789.6</v>
      </c>
      <c r="C16" s="6" t="n">
        <v>756</v>
      </c>
      <c r="D16" s="6" t="n">
        <v>566.1</v>
      </c>
      <c r="E16" s="6" t="n">
        <v>520.8</v>
      </c>
    </row>
    <row r="17">
      <c r="A17" s="5" t="inlineStr">
        <is>
          <t>Total Assets</t>
        </is>
      </c>
      <c r="B17" s="5" t="n">
        <v>333423.7</v>
      </c>
      <c r="C17" s="5" t="n">
        <v>217856</v>
      </c>
      <c r="D17" s="5" t="n">
        <v>149298.4</v>
      </c>
      <c r="E17" s="5" t="n">
        <v>80527.5</v>
      </c>
    </row>
    <row r="18">
      <c r="A18" s="5" t="inlineStr">
        <is>
          <t>Liabilities</t>
        </is>
      </c>
      <c r="B18" s="6" t="n"/>
      <c r="C18" s="6" t="n"/>
      <c r="D18" s="6" t="n"/>
      <c r="E18" s="6" t="n"/>
    </row>
    <row r="19">
      <c r="A19" s="6" t="inlineStr">
        <is>
          <t>Deposits by banks</t>
        </is>
      </c>
      <c r="B19" s="6" t="n">
        <v>143794.8</v>
      </c>
      <c r="C19" s="6" t="n">
        <v>84956</v>
      </c>
      <c r="D19" s="6" t="n">
        <v>61919.7</v>
      </c>
      <c r="E19" s="6" t="n">
        <v>16619.2</v>
      </c>
    </row>
    <row r="20">
      <c r="A20" s="6" t="inlineStr">
        <is>
          <t>Customer accounts</t>
        </is>
      </c>
      <c r="B20" s="6" t="n">
        <v>146063</v>
      </c>
      <c r="C20" s="6" t="n">
        <v>86160</v>
      </c>
      <c r="D20" s="6" t="n">
        <v>39852.8</v>
      </c>
      <c r="E20" s="6" t="n">
        <v>31898.3</v>
      </c>
    </row>
    <row r="21">
      <c r="A21" s="6" t="inlineStr">
        <is>
          <t>Derivative Financial Liabilities</t>
        </is>
      </c>
      <c r="B21" s="6" t="n">
        <v>102.2</v>
      </c>
      <c r="C21" s="6" t="n">
        <v>0</v>
      </c>
      <c r="D21" s="6" t="n"/>
      <c r="E21" s="6" t="n"/>
    </row>
    <row r="22">
      <c r="A22" s="6" t="inlineStr">
        <is>
          <t>Lease liabilities</t>
        </is>
      </c>
      <c r="B22" s="6" t="n">
        <v>917</v>
      </c>
      <c r="C22" s="6" t="n">
        <v>1284</v>
      </c>
      <c r="D22" s="6" t="n">
        <v>1575.6</v>
      </c>
      <c r="E22" s="6" t="n">
        <v>1720.8</v>
      </c>
    </row>
    <row r="23">
      <c r="A23" s="6" t="inlineStr">
        <is>
          <t>Other liabilities</t>
        </is>
      </c>
      <c r="B23" s="6" t="n">
        <v>746.7</v>
      </c>
      <c r="C23" s="6" t="n">
        <v>790.4</v>
      </c>
      <c r="D23" s="6" t="n">
        <v>564.6</v>
      </c>
      <c r="E23" s="6" t="n">
        <v>544.2</v>
      </c>
    </row>
    <row r="24">
      <c r="A24" s="6" t="inlineStr">
        <is>
          <t>Accruals and deferred income</t>
        </is>
      </c>
      <c r="B24" s="6" t="n">
        <v>110.4</v>
      </c>
      <c r="C24" s="6" t="n">
        <v>368.8</v>
      </c>
      <c r="D24" s="6" t="n">
        <v>112.6</v>
      </c>
      <c r="E24" s="6" t="n">
        <v>145.8</v>
      </c>
    </row>
    <row r="25">
      <c r="A25" s="5" t="inlineStr">
        <is>
          <t>Total Liabilities</t>
        </is>
      </c>
      <c r="B25" s="5" t="n">
        <v>291734.1</v>
      </c>
      <c r="C25" s="5" t="n">
        <v>173559.2</v>
      </c>
      <c r="D25" s="5" t="n">
        <v>104025.2</v>
      </c>
      <c r="E25" s="5" t="n">
        <v>50928.3</v>
      </c>
    </row>
    <row r="26">
      <c r="A26" s="5" t="inlineStr">
        <is>
          <t>Equity</t>
        </is>
      </c>
      <c r="B26" s="6" t="n"/>
      <c r="C26" s="6" t="n"/>
      <c r="D26" s="6" t="n"/>
      <c r="E26" s="6" t="n"/>
    </row>
    <row r="27">
      <c r="A27" s="6" t="inlineStr">
        <is>
          <t>Called up share capital</t>
        </is>
      </c>
      <c r="B27" s="6" t="n">
        <v>63029.6</v>
      </c>
      <c r="C27" s="6" t="n">
        <v>68072</v>
      </c>
      <c r="D27" s="6" t="n">
        <v>67000</v>
      </c>
      <c r="E27" s="6" t="n">
        <v>50075</v>
      </c>
    </row>
    <row r="28">
      <c r="A28" s="6" t="inlineStr">
        <is>
          <t>FVOCI reserve</t>
        </is>
      </c>
      <c r="B28" s="6" t="n">
        <v>8.1</v>
      </c>
      <c r="C28" s="6" t="n">
        <v>17.6</v>
      </c>
      <c r="D28" s="6" t="n">
        <v>-2.4</v>
      </c>
      <c r="E28" s="6" t="n">
        <v>-3.3</v>
      </c>
    </row>
    <row r="29">
      <c r="A29" s="6" t="inlineStr">
        <is>
          <t>Retained losses</t>
        </is>
      </c>
      <c r="B29" s="6" t="n">
        <v>-21348.1</v>
      </c>
      <c r="C29" s="6" t="n">
        <v>-23792.8</v>
      </c>
      <c r="D29" s="6" t="n">
        <v>-21724.4</v>
      </c>
      <c r="E29" s="6" t="n">
        <v>-20472.5</v>
      </c>
    </row>
    <row r="30">
      <c r="A30" s="5" t="inlineStr">
        <is>
          <t>Total equity</t>
        </is>
      </c>
      <c r="B30" s="5" t="n">
        <v>41689.6</v>
      </c>
      <c r="C30" s="5" t="n">
        <v>44296.8</v>
      </c>
      <c r="D30" s="5" t="n">
        <v>45273.2</v>
      </c>
      <c r="E30" s="5" t="n">
        <v>29599.2</v>
      </c>
    </row>
    <row r="31">
      <c r="A31" s="5" t="inlineStr">
        <is>
          <t>Total Liabilities and Equity</t>
        </is>
      </c>
      <c r="B31" s="5" t="n">
        <v>333423.7</v>
      </c>
      <c r="C31" s="5" t="n">
        <v>217856</v>
      </c>
      <c r="D31" s="5" t="n">
        <v>149298.4</v>
      </c>
      <c r="E31" s="5" t="n">
        <v>80527.5</v>
      </c>
    </row>
    <row r="33" ht="380" customHeight="1">
      <c r="A33" s="8" t="inlineStr">
        <is>
          <t>Sources - FidBank UK Limited's own Statement of Financial Position / Statement of Comprehensive Income / Statement of Changes in Equity (Bank-only, GBP figures converted from the source's own USD figures - see FX methodology note in the Cash Flow Statement sheet's source citation):
FY2025, FY2024: Annual Report and Financial Statements for the year ended 31 December 2025, pp.34-36 - https://find-and-update.company-information.service.gov.uk/company/04661188/filing-history/MzUzMzg1ODU2NWFkaXF6a2N4/document?format=pdf&amp;download=0
FY2023, FY2022: Annual Report &amp; Financial Statements for the year ended 31 December 2023, pp.23-25 - https://find-and-update.company-information.service.gov.uk/company/04661188/filing-history/MzQxOTU1NjA5M2FkaXF6a2N4/document?format=pdf&amp;download=0
FY2021: only the equity roll-forward's opening balance is available (as the FY2023 Annual Report's own comparative 'Balance as at 1 January 2022' row) - no FY2021 balance sheet or income statement exists in any filing reviewed (see the Cash Flow Statement sheet's entity note for why).
FX conversion: point-in-time (balance) figures at that year's period-end spot rate; flow (income statement) figures at that year's average rate - both entity-disclosed, same methodology as the Cash Flow Statement sheet.
PRESENTATION CHANGE, FY2025: Short-term investments, Derivative Financial Assets/Liabilities, and Financial assets valued at Amortised Cost are new lines that first appear in FY2025 (nil/absent in prior years' own statements) - left blank for FY2024-FY2022 rather than assumed nil, except where the FY2025 Annual Report's own FY2024 comparative column explicitly shows '-' (shown as 0).
MINOR DISCLOSED INCONSISTENCY, FY2024/FY2025 BOUNDARY: the FY2025 Annual Report's own equity statement states the 1 January 2025 opening balance as Retained losses $(29,740)k / Total equity $55,372k, which differs by $1k from the FY2024 Annual Report's own 31 December 2024 closing balance of $(29,741)k / $55,371k - a source-document rounding artifact. The equity sheet below uses each year's own closing balance as the following year's opening (continuous roll-forward) rather than FY2025's own restated opening figure, per project convention (reproduce as disclosed, not force-reconciled) - the $1k gap is absorbed into that year's FX translation effect row alongside the genuine FX translation effect, since both are immaterial at this entity's scale.
FidBank UK Limited (company 04661188, FRN 400712) is a wholly-owned subsidiary of Fidelity Bank Plc, Nigeria (listed on the Nigerian Stock Exchange). The company has changed name twice: incorporated 2003 as "Union Bank UK PLC", later became "Fidelity Bank UK Limited", then renamed "FidBank UK Limited" on 13/14 March 2024 (per Companies House and the FY2023 Annual Report's own Subsequent Events note). Only 3 Annual Report filings exist at Companies House at all (FY2023, FY2024, FY2025) - no earlier filings were found, consistent with this being a young/thin filer at Companies House even though the company itself is over 20 years old; FY2021's cash flow could not be sourced from any document and is left blank rather than estimated (the FY2025 Annual Report's own 5-year "Financial Highlights" table gives only headline P&amp;L/balance-sheet figures for FY2021, not a line-item cash flow statement).</t>
        </is>
      </c>
    </row>
    <row r="35" ht="380" customHeight="1">
      <c r="A35" s="8" t="inlineStr">
        <is>
          <t>(continued)
PRESENTATION CHANGE: the FY2023 Annual Report's cash flow statement (covering FY2023/FY2022) and the FY2025 Annual Report's cash flow statement (covering FY2025/FY2024) use different line-item structures and different terminology for the closing cash balance ("Cash and cash equivalents" in the FY2023 vintage vs. "Cash and cash equivalents (including bank placements)" in the FY2025 vintage) - each year's own line items and labels are preserved as printed rather than forced into a common format, per project convention.
UNEXPLAINED CASH-BRIDGE GAP: FY2023's own statement shows closing cash and cash equivalents of US$7,127k. The FY2025 Annual Report's own comparative shows the FY2024 column's OPENING balance as US$115,901k - a US$108,774k gap between the two filings' figures for what should be the same balance sheet date (31 Dec 2023). This is plausibly explained by the broadened "(including bank placements)" definition introduced in the newer presentation, but this could not be confirmed from the source documents available - left unreconciled and flagged here rather than forced to match, per project convention (compare Arab Bank Europe's/Bank of China UK's similar unreconciled gaps elsewhere in this project).
SOURCE-LABEL NOTE: the FY2025 Annual Report's cash flow statement labels BOTH columns' opening-balance row "at 31 December 2024" - this is a source-document label copy-paste artifact (the FY2024 column's opening balance is actually as at 31 December 2023); the VALUES are used exactly as printed, only the shared row label is affected.
FX METHODOLOGY NOTE, FY2023/FY2022: the opening cash balance for these two years is converted at the correct PRIOR-year spot rate (FY2022's opening uses FY2021's own year-end $/£ rate of 1.35, sourced from the FY2025 Annual Report's 5-year Financial Highlights table, p.6 - no FY2021 cash flow statement exists for this entity, but its exchange rate is separately disclosed there). Because the FY2023 Annual Report's own USD figures tie exactly with no FX line (single-currency presentation), converting opening/flow/closing at three different correct rates (prior-year spot / this year's average / this year's spot) necessarily creates a translation gap in GBP terms - a genuine 'Exchange difference / effect of GBP-USD translation' line for FY2023/FY2022 is computed programmatically from the actual converted figures (see _FY2023_FY2022_TRANSLATION_PLUG in the build script) and shown alongside FY2025/FY2024's real disclosed exchange-difference line, per this project's established FX conversion methodology.</t>
        </is>
      </c>
    </row>
  </sheetData>
  <mergeCells count="2">
    <mergeCell ref="A35:E35"/>
    <mergeCell ref="A33:E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s>
  <sheetData>
    <row r="1">
      <c r="A1" s="1" t="inlineStr">
        <is>
          <t>FidBank UK Limited — Statement of Comprehensive Income</t>
        </is>
      </c>
    </row>
    <row r="2">
      <c r="A2" s="2" t="inlineStr">
        <is>
          <t>Bank-only basis, £'000 (conv. from USD). FY2021 not available - see source note below.</t>
        </is>
      </c>
    </row>
    <row r="3">
      <c r="A3" s="4" t="inlineStr">
        <is>
          <t>Line item</t>
        </is>
      </c>
      <c r="B3" s="4" t="inlineStr">
        <is>
          <t>FY2025 (£'000, conv. from USD)</t>
        </is>
      </c>
      <c r="C3" s="4" t="inlineStr">
        <is>
          <t>FY2024 (£'000, conv. from USD)</t>
        </is>
      </c>
      <c r="D3" s="4" t="inlineStr">
        <is>
          <t>FY2023 (£'000, conv. from USD)</t>
        </is>
      </c>
      <c r="E3" s="4" t="inlineStr">
        <is>
          <t>FY2022 (£'000, conv. from USD)</t>
        </is>
      </c>
    </row>
    <row r="4">
      <c r="A4" s="5" t="inlineStr">
        <is>
          <t>Income</t>
        </is>
      </c>
      <c r="B4" s="6" t="n"/>
      <c r="C4" s="6" t="n"/>
      <c r="D4" s="6" t="n"/>
      <c r="E4" s="6" t="n"/>
    </row>
    <row r="5">
      <c r="A5" s="6" t="inlineStr">
        <is>
          <t>Interest income</t>
        </is>
      </c>
      <c r="B5" s="6" t="n">
        <v>15034.8</v>
      </c>
      <c r="C5" s="6" t="n">
        <v>11468</v>
      </c>
      <c r="D5" s="6" t="n">
        <v>6909.6</v>
      </c>
      <c r="E5" s="6" t="n">
        <v>2662.6</v>
      </c>
    </row>
    <row r="6">
      <c r="A6" s="6" t="inlineStr">
        <is>
          <t>Interest expense</t>
        </is>
      </c>
      <c r="B6" s="6" t="n">
        <v>-6161.4</v>
      </c>
      <c r="C6" s="6" t="n">
        <v>-3786.7</v>
      </c>
      <c r="D6" s="6" t="n">
        <v>-1130.4</v>
      </c>
      <c r="E6" s="6" t="n">
        <v>-351.2</v>
      </c>
    </row>
    <row r="7">
      <c r="A7" s="5" t="inlineStr">
        <is>
          <t>Net interest income</t>
        </is>
      </c>
      <c r="B7" s="5" t="n">
        <v>8873.5</v>
      </c>
      <c r="C7" s="5" t="n">
        <v>7681.2</v>
      </c>
      <c r="D7" s="5" t="n">
        <v>5779.2</v>
      </c>
      <c r="E7" s="5" t="n">
        <v>2311.4</v>
      </c>
    </row>
    <row r="8">
      <c r="A8" s="6" t="inlineStr">
        <is>
          <t>Fees and commission income</t>
        </is>
      </c>
      <c r="B8" s="6" t="n">
        <v>1875</v>
      </c>
      <c r="C8" s="6" t="n">
        <v>1584.4</v>
      </c>
      <c r="D8" s="6" t="n">
        <v>1052</v>
      </c>
      <c r="E8" s="6" t="n">
        <v>815.4</v>
      </c>
    </row>
    <row r="9">
      <c r="A9" s="6" t="inlineStr">
        <is>
          <t>Dealing and exchange gains</t>
        </is>
      </c>
      <c r="B9" s="6" t="n">
        <v>1707.6</v>
      </c>
      <c r="C9" s="6" t="n">
        <v>214.8</v>
      </c>
      <c r="D9" s="6" t="n">
        <v>208.8</v>
      </c>
      <c r="E9" s="6" t="n">
        <v>101.6</v>
      </c>
    </row>
    <row r="10">
      <c r="A10" s="5" t="inlineStr">
        <is>
          <t>Total income</t>
        </is>
      </c>
      <c r="B10" s="5" t="n">
        <v>12456.1</v>
      </c>
      <c r="C10" s="5" t="n">
        <v>9480.5</v>
      </c>
      <c r="D10" s="5" t="n">
        <v>7040</v>
      </c>
      <c r="E10" s="5" t="n">
        <v>3228.5</v>
      </c>
    </row>
    <row r="11">
      <c r="A11" s="6" t="inlineStr">
        <is>
          <t>Administrative expenses</t>
        </is>
      </c>
      <c r="B11" s="6" t="n">
        <v>-11127.3</v>
      </c>
      <c r="C11" s="6" t="n">
        <v>-9960.9</v>
      </c>
      <c r="D11" s="6" t="n">
        <v>-8932</v>
      </c>
      <c r="E11" s="6" t="n">
        <v>-6906.5</v>
      </c>
    </row>
    <row r="12">
      <c r="A12" s="6" t="inlineStr">
        <is>
          <t>Depreciation and amortisation</t>
        </is>
      </c>
      <c r="B12" s="6" t="n">
        <v>-412.1</v>
      </c>
      <c r="C12" s="6" t="n">
        <v>-419.5</v>
      </c>
      <c r="D12" s="6" t="n">
        <v>-457.6</v>
      </c>
      <c r="E12" s="6" t="n">
        <v>-457.7</v>
      </c>
    </row>
    <row r="13">
      <c r="A13" s="6" t="inlineStr">
        <is>
          <t>Impairment reversal/(charge) on loans and advances</t>
        </is>
      </c>
      <c r="B13" s="6" t="n">
        <v>153.8</v>
      </c>
      <c r="C13" s="6" t="n">
        <v>-500</v>
      </c>
      <c r="D13" s="6" t="n">
        <v>106.4</v>
      </c>
      <c r="E13" s="6" t="n">
        <v>-117.1</v>
      </c>
    </row>
    <row r="14">
      <c r="A14" s="6" t="inlineStr">
        <is>
          <t>Other operating expense</t>
        </is>
      </c>
      <c r="B14" s="6" t="n">
        <v>-373.5</v>
      </c>
      <c r="C14" s="6" t="n">
        <v>-280.5</v>
      </c>
      <c r="D14" s="6" t="n">
        <v>-175.2</v>
      </c>
      <c r="E14" s="6" t="n">
        <v>-122.8</v>
      </c>
    </row>
    <row r="15">
      <c r="A15" s="5" t="inlineStr">
        <is>
          <t>Profit/(Loss) before tax</t>
        </is>
      </c>
      <c r="B15" s="5" t="n">
        <v>697</v>
      </c>
      <c r="C15" s="5" t="n">
        <v>-1680.5</v>
      </c>
      <c r="D15" s="5" t="n">
        <v>-2418.4</v>
      </c>
      <c r="E15" s="5" t="n">
        <v>-4375.6</v>
      </c>
    </row>
    <row r="16">
      <c r="A16" s="6" t="inlineStr">
        <is>
          <t>Tax charge</t>
        </is>
      </c>
      <c r="B16" s="6" t="n">
        <v>0</v>
      </c>
      <c r="C16" s="6" t="n">
        <v>0</v>
      </c>
      <c r="D16" s="6" t="n">
        <v>0</v>
      </c>
      <c r="E16" s="6" t="n">
        <v>0</v>
      </c>
    </row>
    <row r="17">
      <c r="A17" s="5" t="inlineStr">
        <is>
          <t>Profit/(Loss) for the year after tax</t>
        </is>
      </c>
      <c r="B17" s="5" t="n">
        <v>697</v>
      </c>
      <c r="C17" s="5" t="n">
        <v>-1680.5</v>
      </c>
      <c r="D17" s="5" t="n">
        <v>-2418.4</v>
      </c>
      <c r="E17" s="5" t="n">
        <v>-4375.6</v>
      </c>
    </row>
    <row r="18">
      <c r="A18" s="5" t="inlineStr">
        <is>
          <t>Other comprehensive income</t>
        </is>
      </c>
      <c r="B18" s="6" t="n"/>
      <c r="C18" s="6" t="n"/>
      <c r="D18" s="6" t="n"/>
      <c r="E18" s="6" t="n"/>
    </row>
    <row r="19">
      <c r="A19" s="6" t="inlineStr">
        <is>
          <t>Unrealised, net change in fair value of financial assets measured at FVOCI</t>
        </is>
      </c>
      <c r="B19" s="6" t="n">
        <v>-7.6</v>
      </c>
      <c r="C19" s="6" t="n">
        <v>19.5</v>
      </c>
      <c r="D19" s="6" t="n">
        <v>0.8</v>
      </c>
      <c r="E19" s="6" t="n">
        <v>2.4</v>
      </c>
    </row>
    <row r="20">
      <c r="A20" s="5" t="inlineStr">
        <is>
          <t>Total comprehensive income/(loss) for the year</t>
        </is>
      </c>
      <c r="B20" s="5" t="n">
        <v>689.4</v>
      </c>
      <c r="C20" s="5" t="n">
        <v>-1660.9</v>
      </c>
      <c r="D20" s="5" t="n">
        <v>-2417.6</v>
      </c>
      <c r="E20" s="5" t="n">
        <v>-4373.2</v>
      </c>
    </row>
    <row r="22" ht="380" customHeight="1">
      <c r="A22" s="8" t="inlineStr">
        <is>
          <t>Sources - FidBank UK Limited's own Statement of Financial Position / Statement of Comprehensive Income / Statement of Changes in Equity (Bank-only, GBP figures converted from the source's own USD figures - see FX methodology note in the Cash Flow Statement sheet's source citation):
FY2025, FY2024: Annual Report and Financial Statements for the year ended 31 December 2025, pp.34-36 - https://find-and-update.company-information.service.gov.uk/company/04661188/filing-history/MzUzMzg1ODU2NWFkaXF6a2N4/document?format=pdf&amp;download=0
FY2023, FY2022: Annual Report &amp; Financial Statements for the year ended 31 December 2023, pp.23-25 - https://find-and-update.company-information.service.gov.uk/company/04661188/filing-history/MzQxOTU1NjA5M2FkaXF6a2N4/document?format=pdf&amp;download=0
FY2021: only the equity roll-forward's opening balance is available (as the FY2023 Annual Report's own comparative 'Balance as at 1 January 2022' row) - no FY2021 balance sheet or income statement exists in any filing reviewed (see the Cash Flow Statement sheet's entity note for why).
FX conversion: point-in-time (balance) figures at that year's period-end spot rate; flow (income statement) figures at that year's average rate - both entity-disclosed, same methodology as the Cash Flow Statement sheet.
PRESENTATION CHANGE, FY2025: Short-term investments, Derivative Financial Assets/Liabilities, and Financial assets valued at Amortised Cost are new lines that first appear in FY2025 (nil/absent in prior years' own statements) - left blank for FY2024-FY2022 rather than assumed nil, except where the FY2025 Annual Report's own FY2024 comparative column explicitly shows '-' (shown as 0).
MINOR DISCLOSED INCONSISTENCY, FY2024/FY2025 BOUNDARY: the FY2025 Annual Report's own equity statement states the 1 January 2025 opening balance as Retained losses $(29,740)k / Total equity $55,372k, which differs by $1k from the FY2024 Annual Report's own 31 December 2024 closing balance of $(29,741)k / $55,371k - a source-document rounding artifact. The equity sheet below uses each year's own closing balance as the following year's opening (continuous roll-forward) rather than FY2025's own restated opening figure, per project convention (reproduce as disclosed, not force-reconciled) - the $1k gap is absorbed into that year's FX translation effect row alongside the genuine FX translation effect, since both are immaterial at this entity's scale.
FidBank UK Limited (company 04661188, FRN 400712) is a wholly-owned subsidiary of Fidelity Bank Plc, Nigeria (listed on the Nigerian Stock Exchange). The company has changed name twice: incorporated 2003 as "Union Bank UK PLC", later became "Fidelity Bank UK Limited", then renamed "FidBank UK Limited" on 13/14 March 2024 (per Companies House and the FY2023 Annual Report's own Subsequent Events note). Only 3 Annual Report filings exist at Companies House at all (FY2023, FY2024, FY2025) - no earlier filings were found, consistent with this being a young/thin filer at Companies House even though the company itself is over 20 years old; FY2021's cash flow could not be sourced from any document and is left blank rather than estimated (the FY2025 Annual Report's own 5-year "Financial Highlights" table gives only headline P&amp;L/balance-sheet figures for FY2021, not a line-item cash flow statement).</t>
        </is>
      </c>
    </row>
    <row r="24" ht="380" customHeight="1">
      <c r="A24" s="8" t="inlineStr">
        <is>
          <t>(continued)
PRESENTATION CHANGE: the FY2023 Annual Report's cash flow statement (covering FY2023/FY2022) and the FY2025 Annual Report's cash flow statement (covering FY2025/FY2024) use different line-item structures and different terminology for the closing cash balance ("Cash and cash equivalents" in the FY2023 vintage vs. "Cash and cash equivalents (including bank placements)" in the FY2025 vintage) - each year's own line items and labels are preserved as printed rather than forced into a common format, per project convention.
UNEXPLAINED CASH-BRIDGE GAP: FY2023's own statement shows closing cash and cash equivalents of US$7,127k. The FY2025 Annual Report's own comparative shows the FY2024 column's OPENING balance as US$115,901k - a US$108,774k gap between the two filings' figures for what should be the same balance sheet date (31 Dec 2023). This is plausibly explained by the broadened "(including bank placements)" definition introduced in the newer presentation, but this could not be confirmed from the source documents available - left unreconciled and flagged here rather than forced to match, per project convention (compare Arab Bank Europe's/Bank of China UK's similar unreconciled gaps elsewhere in this project).
SOURCE-LABEL NOTE: the FY2025 Annual Report's cash flow statement labels BOTH columns' opening-balance row "at 31 December 2024" - this is a source-document label copy-paste artifact (the FY2024 column's opening balance is actually as at 31 December 2023); the VALUES are used exactly as printed, only the shared row label is affected.
FX METHODOLOGY NOTE, FY2023/FY2022: the opening cash balance for these two years is converted at the correct PRIOR-year spot rate (FY2022's opening uses FY2021's own year-end $/£ rate of 1.35, sourced from the FY2025 Annual Report's 5-year Financial Highlights table, p.6 - no FY2021 cash flow statement exists for this entity, but its exchange rate is separately disclosed there). Because the FY2023 Annual Report's own USD figures tie exactly with no FX line (single-currency presentation), converting opening/flow/closing at three different correct rates (prior-year spot / this year's average / this year's spot) necessarily creates a translation gap in GBP terms - a genuine 'Exchange difference / effect of GBP-USD translation' line for FY2023/FY2022 is computed programmatically from the actual converted figures (see _FY2023_FY2022_TRANSLATION_PLUG in the build script) and shown alongside FY2025/FY2024's real disclosed exchange-difference line, per this project's established FX conversion methodology.</t>
        </is>
      </c>
    </row>
  </sheetData>
  <mergeCells count="2">
    <mergeCell ref="A22:E22"/>
    <mergeCell ref="A24:E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FidBank UK Limited — Statement of Changes in Equity</t>
        </is>
      </c>
    </row>
    <row r="2">
      <c r="A2" s="2" t="inlineStr">
        <is>
          <t>Bank-only basis, £'000 (conv. from USD), chronological. Each year's FX translation effect row absorbs the pure FX-conversion gap from converting opening/movements/closing at three different correct rates (prior-year spot / this year's average / this year's spot) - see Cash Flow Statement sheet's FX methodology note.</t>
        </is>
      </c>
    </row>
    <row r="3">
      <c r="A3" s="4" t="inlineStr">
        <is>
          <t>Movement</t>
        </is>
      </c>
      <c r="B3" s="4" t="inlineStr">
        <is>
          <t>Share capital</t>
        </is>
      </c>
      <c r="C3" s="4" t="inlineStr">
        <is>
          <t>FVOCI reserve</t>
        </is>
      </c>
      <c r="D3" s="4" t="inlineStr">
        <is>
          <t>Retained losses</t>
        </is>
      </c>
      <c r="E3" s="4" t="inlineStr">
        <is>
          <t>Total equity</t>
        </is>
      </c>
    </row>
    <row r="4">
      <c r="A4" s="6" t="inlineStr">
        <is>
          <t>Balance as at 1 January 2022 (= FY2021 closing)</t>
        </is>
      </c>
      <c r="B4" s="6" t="n">
        <v>44511.1</v>
      </c>
      <c r="C4" s="6" t="n">
        <v>-5.2</v>
      </c>
      <c r="D4" s="6" t="n">
        <v>-14211.1</v>
      </c>
      <c r="E4" s="6" t="n">
        <v>30294.8</v>
      </c>
    </row>
    <row r="5">
      <c r="A5" s="6" t="inlineStr">
        <is>
          <t>Change in fair value of assets measured at FVOCI</t>
        </is>
      </c>
      <c r="B5" s="6" t="n"/>
      <c r="C5" s="6" t="n">
        <v>2.4</v>
      </c>
      <c r="D5" s="6" t="n"/>
      <c r="E5" s="6" t="n">
        <v>2.4</v>
      </c>
    </row>
    <row r="6">
      <c r="A6" s="5" t="inlineStr">
        <is>
          <t>Loss for the year</t>
        </is>
      </c>
      <c r="B6" s="5" t="n"/>
      <c r="C6" s="5" t="n"/>
      <c r="D6" s="5" t="n">
        <v>-4375.6</v>
      </c>
      <c r="E6" s="5" t="n">
        <v>-4375.6</v>
      </c>
    </row>
    <row r="7">
      <c r="A7" s="6" t="inlineStr">
        <is>
          <t>FX translation effect on equity, net</t>
        </is>
      </c>
      <c r="B7" s="6" t="n">
        <v>5563.9</v>
      </c>
      <c r="C7" s="6" t="n">
        <v>-0.5</v>
      </c>
      <c r="D7" s="6" t="n">
        <v>-1885.8</v>
      </c>
      <c r="E7" s="6" t="n">
        <v>3677.6</v>
      </c>
    </row>
    <row r="8">
      <c r="A8" s="5" t="inlineStr">
        <is>
          <t>Balance as at 31 December 2022</t>
        </is>
      </c>
      <c r="B8" s="5" t="n">
        <v>50075</v>
      </c>
      <c r="C8" s="5" t="n">
        <v>-3.3</v>
      </c>
      <c r="D8" s="5" t="n">
        <v>-20472.5</v>
      </c>
      <c r="E8" s="5" t="n">
        <v>29599.2</v>
      </c>
    </row>
    <row r="9">
      <c r="A9" s="6" t="inlineStr">
        <is>
          <t>Share capital issued</t>
        </is>
      </c>
      <c r="B9" s="6" t="n">
        <v>20000</v>
      </c>
      <c r="C9" s="6" t="n"/>
      <c r="D9" s="6" t="n"/>
      <c r="E9" s="6" t="n">
        <v>20000</v>
      </c>
    </row>
    <row r="10">
      <c r="A10" s="6" t="inlineStr">
        <is>
          <t>Change in fair value of assets measured at FVOCI</t>
        </is>
      </c>
      <c r="B10" s="6" t="n"/>
      <c r="C10" s="6" t="n">
        <v>0.8</v>
      </c>
      <c r="D10" s="6" t="n"/>
      <c r="E10" s="6" t="n">
        <v>0.8</v>
      </c>
    </row>
    <row r="11">
      <c r="A11" s="5" t="inlineStr">
        <is>
          <t>Loss for the year</t>
        </is>
      </c>
      <c r="B11" s="5" t="n"/>
      <c r="C11" s="5" t="n"/>
      <c r="D11" s="5" t="n">
        <v>-2418.4</v>
      </c>
      <c r="E11" s="5" t="n">
        <v>-2418.4</v>
      </c>
    </row>
    <row r="12">
      <c r="A12" s="6" t="inlineStr">
        <is>
          <t>FX translation effect on equity, net</t>
        </is>
      </c>
      <c r="B12" s="6" t="n">
        <v>-3075</v>
      </c>
      <c r="C12" s="6" t="n">
        <v>0.1</v>
      </c>
      <c r="D12" s="6" t="n">
        <v>1166.5</v>
      </c>
      <c r="E12" s="6" t="n">
        <v>-1908.4</v>
      </c>
    </row>
    <row r="13">
      <c r="A13" s="5" t="inlineStr">
        <is>
          <t>Balance as at 31 December 2023</t>
        </is>
      </c>
      <c r="B13" s="5" t="n">
        <v>67000</v>
      </c>
      <c r="C13" s="5" t="n">
        <v>-2.4</v>
      </c>
      <c r="D13" s="5" t="n">
        <v>-21724.4</v>
      </c>
      <c r="E13" s="5" t="n">
        <v>45273.2</v>
      </c>
    </row>
    <row r="14">
      <c r="A14" s="6" t="inlineStr">
        <is>
          <t>Change in fair value of assets measured at FVOCI</t>
        </is>
      </c>
      <c r="B14" s="6" t="n"/>
      <c r="C14" s="6" t="n">
        <v>19.5</v>
      </c>
      <c r="D14" s="6" t="n"/>
      <c r="E14" s="6" t="n">
        <v>19.5</v>
      </c>
    </row>
    <row r="15">
      <c r="A15" s="5" t="inlineStr">
        <is>
          <t>Loss for the year</t>
        </is>
      </c>
      <c r="B15" s="5" t="n"/>
      <c r="C15" s="5" t="n"/>
      <c r="D15" s="5" t="n">
        <v>-1680.5</v>
      </c>
      <c r="E15" s="5" t="n">
        <v>-1680.5</v>
      </c>
    </row>
    <row r="16">
      <c r="A16" s="6" t="inlineStr">
        <is>
          <t>FX translation effect on equity, net</t>
        </is>
      </c>
      <c r="B16" s="6" t="n">
        <v>1072</v>
      </c>
      <c r="C16" s="6" t="n">
        <v>0.5</v>
      </c>
      <c r="D16" s="6" t="n">
        <v>-387.9</v>
      </c>
      <c r="E16" s="6" t="n">
        <v>684.6</v>
      </c>
    </row>
    <row r="17">
      <c r="A17" s="5" t="inlineStr">
        <is>
          <t>Balance as at 31 December 2024</t>
        </is>
      </c>
      <c r="B17" s="5" t="n">
        <v>68072</v>
      </c>
      <c r="C17" s="5" t="n">
        <v>17.6</v>
      </c>
      <c r="D17" s="5" t="n">
        <v>-23792.8</v>
      </c>
      <c r="E17" s="5" t="n">
        <v>44296.8</v>
      </c>
    </row>
    <row r="18">
      <c r="A18" s="6" t="inlineStr">
        <is>
          <t>Change in fair value of assets measured at FVOCI</t>
        </is>
      </c>
      <c r="B18" s="6" t="n"/>
      <c r="C18" s="6" t="n">
        <v>-7.6</v>
      </c>
      <c r="D18" s="6" t="n"/>
      <c r="E18" s="6" t="n">
        <v>-7.6</v>
      </c>
    </row>
    <row r="19">
      <c r="A19" s="5" t="inlineStr">
        <is>
          <t>Profit for the year</t>
        </is>
      </c>
      <c r="B19" s="5" t="n"/>
      <c r="C19" s="5" t="n"/>
      <c r="D19" s="5" t="n">
        <v>697</v>
      </c>
      <c r="E19" s="5" t="n">
        <v>697</v>
      </c>
    </row>
    <row r="20">
      <c r="A20" s="6" t="inlineStr">
        <is>
          <t>FX translation effect on equity, net</t>
        </is>
      </c>
      <c r="B20" s="6" t="n">
        <v>-5042.4</v>
      </c>
      <c r="C20" s="6" t="n">
        <v>-1.9</v>
      </c>
      <c r="D20" s="6" t="n">
        <v>1747.7</v>
      </c>
      <c r="E20" s="6" t="n">
        <v>-3296.6</v>
      </c>
    </row>
    <row r="21">
      <c r="A21" s="5" t="inlineStr">
        <is>
          <t>Balance as at 31 December 2025</t>
        </is>
      </c>
      <c r="B21" s="5" t="n">
        <v>63029.6</v>
      </c>
      <c r="C21" s="5" t="n">
        <v>8.1</v>
      </c>
      <c r="D21" s="5" t="n">
        <v>-21348.1</v>
      </c>
      <c r="E21" s="5" t="n">
        <v>41689.6</v>
      </c>
    </row>
    <row r="23" ht="380" customHeight="1">
      <c r="A23" s="8" t="inlineStr">
        <is>
          <t>Sources - FidBank UK Limited's own Statement of Financial Position / Statement of Comprehensive Income / Statement of Changes in Equity (Bank-only, GBP figures converted from the source's own USD figures - see FX methodology note in the Cash Flow Statement sheet's source citation):
FY2025, FY2024: Annual Report and Financial Statements for the year ended 31 December 2025, pp.34-36 - https://find-and-update.company-information.service.gov.uk/company/04661188/filing-history/MzUzMzg1ODU2NWFkaXF6a2N4/document?format=pdf&amp;download=0
FY2023, FY2022: Annual Report &amp; Financial Statements for the year ended 31 December 2023, pp.23-25 - https://find-and-update.company-information.service.gov.uk/company/04661188/filing-history/MzQxOTU1NjA5M2FkaXF6a2N4/document?format=pdf&amp;download=0
FY2021: only the equity roll-forward's opening balance is available (as the FY2023 Annual Report's own comparative 'Balance as at 1 January 2022' row) - no FY2021 balance sheet or income statement exists in any filing reviewed (see the Cash Flow Statement sheet's entity note for why).
FX conversion: point-in-time (balance) figures at that year's period-end spot rate; flow (income statement) figures at that year's average rate - both entity-disclosed, same methodology as the Cash Flow Statement sheet.
PRESENTATION CHANGE, FY2025: Short-term investments, Derivative Financial Assets/Liabilities, and Financial assets valued at Amortised Cost are new lines that first appear in FY2025 (nil/absent in prior years' own statements) - left blank for FY2024-FY2022 rather than assumed nil, except where the FY2025 Annual Report's own FY2024 comparative column explicitly shows '-' (shown as 0).
MINOR DISCLOSED INCONSISTENCY, FY2024/FY2025 BOUNDARY: the FY2025 Annual Report's own equity statement states the 1 January 2025 opening balance as Retained losses $(29,740)k / Total equity $55,372k, which differs by $1k from the FY2024 Annual Report's own 31 December 2024 closing balance of $(29,741)k / $55,371k - a source-document rounding artifact. The equity sheet below uses each year's own closing balance as the following year's opening (continuous roll-forward) rather than FY2025's own restated opening figure, per project convention (reproduce as disclosed, not force-reconciled) - the $1k gap is absorbed into that year's FX translation effect row alongside the genuine FX translation effect, since both are immaterial at this entity's scale.
FidBank UK Limited (company 04661188, FRN 400712) is a wholly-owned subsidiary of Fidelity Bank Plc, Nigeria (listed on the Nigerian Stock Exchange). The company has changed name twice: incorporated 2003 as "Union Bank UK PLC", later became "Fidelity Bank UK Limited", then renamed "FidBank UK Limited" on 13/14 March 2024 (per Companies House and the FY2023 Annual Report's own Subsequent Events note). Only 3 Annual Report filings exist at Companies House at all (FY2023, FY2024, FY2025) - no earlier filings were found, consistent with this being a young/thin filer at Companies House even though the company itself is over 20 years old; FY2021's cash flow could not be sourced from any document and is left blank rather than estimated (the FY2025 Annual Report's own 5-year "Financial Highlights" table gives only headline P&amp;L/balance-sheet figures for FY2021, not a line-item cash flow statement).</t>
        </is>
      </c>
    </row>
    <row r="25" ht="380" customHeight="1">
      <c r="A25" s="8" t="inlineStr">
        <is>
          <t>(continued)
PRESENTATION CHANGE: the FY2023 Annual Report's cash flow statement (covering FY2023/FY2022) and the FY2025 Annual Report's cash flow statement (covering FY2025/FY2024) use different line-item structures and different terminology for the closing cash balance ("Cash and cash equivalents" in the FY2023 vintage vs. "Cash and cash equivalents (including bank placements)" in the FY2025 vintage) - each year's own line items and labels are preserved as printed rather than forced into a common format, per project convention.
UNEXPLAINED CASH-BRIDGE GAP: FY2023's own statement shows closing cash and cash equivalents of US$7,127k. The FY2025 Annual Report's own comparative shows the FY2024 column's OPENING balance as US$115,901k - a US$108,774k gap between the two filings' figures for what should be the same balance sheet date (31 Dec 2023). This is plausibly explained by the broadened "(including bank placements)" definition introduced in the newer presentation, but this could not be confirmed from the source documents available - left unreconciled and flagged here rather than forced to match, per project convention (compare Arab Bank Europe's/Bank of China UK's similar unreconciled gaps elsewhere in this project).
SOURCE-LABEL NOTE: the FY2025 Annual Report's cash flow statement labels BOTH columns' opening-balance row "at 31 December 2024" - this is a source-document label copy-paste artifact (the FY2024 column's opening balance is actually as at 31 December 2023); the VALUES are used exactly as printed, only the shared row label is affected.
FX METHODOLOGY NOTE, FY2023/FY2022: the opening cash balance for these two years is converted at the correct PRIOR-year spot rate (FY2022's opening uses FY2021's own year-end $/£ rate of 1.35, sourced from the FY2025 Annual Report's 5-year Financial Highlights table, p.6 - no FY2021 cash flow statement exists for this entity, but its exchange rate is separately disclosed there). Because the FY2023 Annual Report's own USD figures tie exactly with no FX line (single-currency presentation), converting opening/flow/closing at three different correct rates (prior-year spot / this year's average / this year's spot) necessarily creates a translation gap in GBP terms - a genuine 'Exchange difference / effect of GBP-USD translation' line for FY2023/FY2022 is computed programmatically from the actual converted figures (see _FY2023_FY2022_TRANSLATION_PLUG in the build script) and shown alongside FY2025/FY2024's real disclosed exchange-difference line, per this project's established FX conversion methodology.</t>
        </is>
      </c>
    </row>
  </sheetData>
  <mergeCells count="2">
    <mergeCell ref="A23:E23"/>
    <mergeCell ref="A25:E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s>
  <sheetData>
    <row r="1">
      <c r="A1" s="1" t="inlineStr">
        <is>
          <t>FidBank UK Limited — Statement of Cash Flows</t>
        </is>
      </c>
    </row>
    <row r="2">
      <c r="A2" s="2" t="inlineStr">
        <is>
          <t>Bank-only basis, £'000 (conv. from USD). FY2021 not available - see source note below.</t>
        </is>
      </c>
    </row>
    <row r="3">
      <c r="A3" s="4" t="inlineStr">
        <is>
          <t>Line item</t>
        </is>
      </c>
      <c r="B3" s="4" t="inlineStr">
        <is>
          <t>FY2025 (£'000, conv. from USD)</t>
        </is>
      </c>
      <c r="C3" s="4" t="inlineStr">
        <is>
          <t>FY2024 (£'000, conv. from USD)</t>
        </is>
      </c>
      <c r="D3" s="4" t="inlineStr">
        <is>
          <t>FY2023 (£'000, conv. from USD)</t>
        </is>
      </c>
      <c r="E3" s="4" t="inlineStr">
        <is>
          <t>FY2022 (£'000, conv. from USD)</t>
        </is>
      </c>
    </row>
    <row r="4">
      <c r="A4" s="5" t="inlineStr">
        <is>
          <t>Operating activities</t>
        </is>
      </c>
      <c r="B4" s="6" t="n"/>
      <c r="C4" s="6" t="n"/>
      <c r="D4" s="6" t="n"/>
      <c r="E4" s="6" t="n"/>
    </row>
    <row r="5">
      <c r="A5" s="6" t="inlineStr">
        <is>
          <t>Profit/(loss) before tax</t>
        </is>
      </c>
      <c r="B5" s="6" t="n">
        <v>697</v>
      </c>
      <c r="C5" s="6" t="n">
        <v>-1680.5</v>
      </c>
      <c r="D5" s="6" t="n">
        <v>-2418.4</v>
      </c>
      <c r="E5" s="6" t="n">
        <v>-4375.6</v>
      </c>
    </row>
    <row r="6">
      <c r="A6" s="6" t="inlineStr">
        <is>
          <t>Depreciation and amortisation</t>
        </is>
      </c>
      <c r="B6" s="6" t="n">
        <v>124.2</v>
      </c>
      <c r="C6" s="6" t="n">
        <v>121.9</v>
      </c>
      <c r="D6" s="6" t="n">
        <v>154.4</v>
      </c>
      <c r="E6" s="6" t="n">
        <v>150.4</v>
      </c>
    </row>
    <row r="7">
      <c r="A7" s="6" t="inlineStr">
        <is>
          <t>Amortisation of rights of use assets</t>
        </is>
      </c>
      <c r="B7" s="6" t="n">
        <v>287.9</v>
      </c>
      <c r="C7" s="6" t="n">
        <v>297.7</v>
      </c>
      <c r="D7" s="6" t="n">
        <v>303.2</v>
      </c>
      <c r="E7" s="6" t="n">
        <v>307.3</v>
      </c>
    </row>
    <row r="8">
      <c r="A8" s="6" t="inlineStr">
        <is>
          <t>Adjustment to right of use asset - rent increase</t>
        </is>
      </c>
      <c r="B8" s="6" t="n">
        <v>0</v>
      </c>
      <c r="C8" s="6" t="n">
        <v>-6.2</v>
      </c>
      <c r="D8" s="6" t="n"/>
      <c r="E8" s="6" t="n"/>
    </row>
    <row r="9">
      <c r="A9" s="6" t="inlineStr">
        <is>
          <t>Amortisation of discounts received/premiums paid</t>
        </is>
      </c>
      <c r="B9" s="6" t="n">
        <v>-1700.8</v>
      </c>
      <c r="C9" s="6" t="n">
        <v>-1625</v>
      </c>
      <c r="D9" s="6" t="n">
        <v>-1318.4</v>
      </c>
      <c r="E9" s="6" t="n">
        <v>-199.2</v>
      </c>
    </row>
    <row r="10">
      <c r="A10" s="6" t="inlineStr">
        <is>
          <t>Net exchange differences</t>
        </is>
      </c>
      <c r="B10" s="6" t="n">
        <v>-253.8</v>
      </c>
      <c r="C10" s="6" t="n">
        <v>117.2</v>
      </c>
      <c r="D10" s="6" t="n"/>
      <c r="E10" s="6" t="n"/>
    </row>
    <row r="11">
      <c r="A11" s="6" t="inlineStr">
        <is>
          <t>Profit on sale of amortised cost bonds</t>
        </is>
      </c>
      <c r="B11" s="6" t="n">
        <v>-1137.9</v>
      </c>
      <c r="C11" s="6" t="n">
        <v>0</v>
      </c>
      <c r="D11" s="6" t="n"/>
      <c r="E11" s="6" t="n"/>
    </row>
    <row r="12">
      <c r="A12" s="6" t="inlineStr">
        <is>
          <t>Loss on disposal of tangible/intangible assets</t>
        </is>
      </c>
      <c r="B12" s="6" t="n">
        <v>0</v>
      </c>
      <c r="C12" s="6" t="n">
        <v>0</v>
      </c>
      <c r="D12" s="6" t="n">
        <v>0.8</v>
      </c>
      <c r="E12" s="6" t="n">
        <v>0.8</v>
      </c>
    </row>
    <row r="13">
      <c r="A13" s="6" t="inlineStr">
        <is>
          <t>Bad debt recovered</t>
        </is>
      </c>
      <c r="B13" s="6" t="n"/>
      <c r="C13" s="6" t="n"/>
      <c r="D13" s="6" t="n">
        <v>0</v>
      </c>
      <c r="E13" s="6" t="n">
        <v>18.7</v>
      </c>
    </row>
    <row r="14">
      <c r="A14" s="6" t="inlineStr">
        <is>
          <t>Exchange differences - finance lease liability</t>
        </is>
      </c>
      <c r="B14" s="6" t="n"/>
      <c r="C14" s="6" t="n"/>
      <c r="D14" s="6" t="n">
        <v>96</v>
      </c>
      <c r="E14" s="6" t="n">
        <v>-237.4</v>
      </c>
    </row>
    <row r="15">
      <c r="A15" s="6" t="inlineStr">
        <is>
          <t>Interest on finance lease liability</t>
        </is>
      </c>
      <c r="B15" s="6" t="n">
        <v>91.7</v>
      </c>
      <c r="C15" s="6" t="n">
        <v>150</v>
      </c>
      <c r="D15" s="6" t="n">
        <v>72</v>
      </c>
      <c r="E15" s="6" t="n">
        <v>82.90000000000001</v>
      </c>
    </row>
    <row r="16">
      <c r="A16" s="6" t="inlineStr">
        <is>
          <t>Impairment of loans and advances</t>
        </is>
      </c>
      <c r="B16" s="6" t="n">
        <v>53.8</v>
      </c>
      <c r="C16" s="6" t="n">
        <v>347.7</v>
      </c>
      <c r="D16" s="6" t="n">
        <v>-106.4</v>
      </c>
      <c r="E16" s="6" t="n">
        <v>117.1</v>
      </c>
    </row>
    <row r="17">
      <c r="A17" s="5" t="inlineStr">
        <is>
          <t>Non-cash and other adjustments (subtotal; unlabeled in source)</t>
        </is>
      </c>
      <c r="B17" s="5" t="n">
        <v>-1837.9</v>
      </c>
      <c r="C17" s="5" t="n">
        <v>-2277.3</v>
      </c>
      <c r="D17" s="5" t="n">
        <v>-3216.8</v>
      </c>
      <c r="E17" s="5" t="n">
        <v>-4135</v>
      </c>
    </row>
    <row r="18">
      <c r="A18" s="6" t="inlineStr">
        <is>
          <t>Change in loans and advances to banks</t>
        </is>
      </c>
      <c r="B18" s="6" t="n">
        <v>-43911.4</v>
      </c>
      <c r="C18" s="6" t="n">
        <v>-36557.8</v>
      </c>
      <c r="D18" s="6" t="n">
        <v>-49937.6</v>
      </c>
      <c r="E18" s="6" t="n">
        <v>36614.6</v>
      </c>
    </row>
    <row r="19">
      <c r="A19" s="6" t="inlineStr">
        <is>
          <t>Change in loans and advances to customers</t>
        </is>
      </c>
      <c r="B19" s="6" t="n">
        <v>-69443.2</v>
      </c>
      <c r="C19" s="6" t="n">
        <v>-36546.1</v>
      </c>
      <c r="D19" s="6" t="n">
        <v>-4041.6</v>
      </c>
      <c r="E19" s="6" t="n">
        <v>10236.6</v>
      </c>
    </row>
    <row r="20">
      <c r="A20" s="6" t="inlineStr">
        <is>
          <t>Change in short-term investments</t>
        </is>
      </c>
      <c r="B20" s="6" t="n">
        <v>-8389.4</v>
      </c>
      <c r="C20" s="6" t="n">
        <v>0</v>
      </c>
      <c r="D20" s="6" t="n"/>
      <c r="E20" s="6" t="n"/>
    </row>
    <row r="21">
      <c r="A21" s="6" t="inlineStr">
        <is>
          <t>Change in other assets</t>
        </is>
      </c>
      <c r="B21" s="6" t="n">
        <v>-364.4</v>
      </c>
      <c r="C21" s="6" t="n">
        <v>-224.2</v>
      </c>
      <c r="D21" s="6" t="n">
        <v>-71.2</v>
      </c>
      <c r="E21" s="6" t="n">
        <v>-9.800000000000001</v>
      </c>
    </row>
    <row r="22">
      <c r="A22" s="6" t="inlineStr">
        <is>
          <t>Change in prepayments</t>
        </is>
      </c>
      <c r="B22" s="6" t="n">
        <v>-91.7</v>
      </c>
      <c r="C22" s="6" t="n">
        <v>-177.3</v>
      </c>
      <c r="D22" s="6" t="n">
        <v>-73.59999999999999</v>
      </c>
      <c r="E22" s="6" t="n">
        <v>-22</v>
      </c>
    </row>
    <row r="23">
      <c r="A23" s="6" t="inlineStr">
        <is>
          <t>Change in deposits by banks</t>
        </is>
      </c>
      <c r="B23" s="6" t="n">
        <v>66611.39999999999</v>
      </c>
      <c r="C23" s="6" t="n">
        <v>21528.9</v>
      </c>
      <c r="D23" s="6" t="n">
        <v>46956</v>
      </c>
      <c r="E23" s="6" t="n">
        <v>-39966.7</v>
      </c>
    </row>
    <row r="24">
      <c r="A24" s="6" t="inlineStr">
        <is>
          <t>Change in customer accounts</t>
        </is>
      </c>
      <c r="B24" s="6" t="n">
        <v>67791.7</v>
      </c>
      <c r="C24" s="6" t="n">
        <v>44598.4</v>
      </c>
      <c r="D24" s="6" t="n">
        <v>9868</v>
      </c>
      <c r="E24" s="6" t="n">
        <v>-15468.3</v>
      </c>
    </row>
    <row r="25">
      <c r="A25" s="6" t="inlineStr">
        <is>
          <t>Change in derivatives</t>
        </is>
      </c>
      <c r="B25" s="6" t="n">
        <v>-215.9</v>
      </c>
      <c r="C25" s="6" t="n">
        <v>0</v>
      </c>
      <c r="D25" s="6" t="n"/>
      <c r="E25" s="6" t="n"/>
    </row>
    <row r="26">
      <c r="A26" s="6" t="inlineStr">
        <is>
          <t>Change in other liabilities</t>
        </is>
      </c>
      <c r="B26" s="6" t="n">
        <v>15.2</v>
      </c>
      <c r="C26" s="6" t="n">
        <v>211.7</v>
      </c>
      <c r="D26" s="6" t="n">
        <v>51.2</v>
      </c>
      <c r="E26" s="6" t="n">
        <v>9.800000000000001</v>
      </c>
    </row>
    <row r="27">
      <c r="A27" s="6" t="inlineStr">
        <is>
          <t>Change in accruals and deferred income</t>
        </is>
      </c>
      <c r="B27" s="6" t="n">
        <v>-236.4</v>
      </c>
      <c r="C27" s="6" t="n">
        <v>248.4</v>
      </c>
      <c r="D27" s="6" t="n">
        <v>-25.6</v>
      </c>
      <c r="E27" s="6" t="n">
        <v>-38.2</v>
      </c>
    </row>
    <row r="28">
      <c r="A28" s="5" t="inlineStr">
        <is>
          <t>Cash (used in)/from operations</t>
        </is>
      </c>
      <c r="B28" s="5" t="n">
        <v>9928</v>
      </c>
      <c r="C28" s="5" t="n">
        <v>-9195.299999999999</v>
      </c>
      <c r="D28" s="5" t="n">
        <v>-491.2</v>
      </c>
      <c r="E28" s="5" t="n">
        <v>-12778.9</v>
      </c>
    </row>
    <row r="29">
      <c r="A29" s="6" t="inlineStr">
        <is>
          <t>Acquisition of financial assets</t>
        </is>
      </c>
      <c r="B29" s="6" t="n">
        <v>-88887.10000000001</v>
      </c>
      <c r="C29" s="6" t="n">
        <v>-56551.6</v>
      </c>
      <c r="D29" s="6" t="n">
        <v>-62505.6</v>
      </c>
      <c r="E29" s="6" t="n">
        <v>-32901.6</v>
      </c>
    </row>
    <row r="30">
      <c r="A30" s="6" t="inlineStr">
        <is>
          <t>Disposal of financial assets</t>
        </is>
      </c>
      <c r="B30" s="6" t="n">
        <v>95919.7</v>
      </c>
      <c r="C30" s="6" t="n">
        <v>53860.2</v>
      </c>
      <c r="D30" s="6" t="n">
        <v>44703.2</v>
      </c>
      <c r="E30" s="6" t="n">
        <v>42989.4</v>
      </c>
    </row>
    <row r="31">
      <c r="A31" s="6" t="inlineStr">
        <is>
          <t>Income tax received</t>
        </is>
      </c>
      <c r="B31" s="6" t="n"/>
      <c r="C31" s="6" t="n"/>
      <c r="D31" s="6" t="n">
        <v>0</v>
      </c>
      <c r="E31" s="6" t="n">
        <v>205.7</v>
      </c>
    </row>
    <row r="32">
      <c r="A32" s="5" t="inlineStr">
        <is>
          <t>Net cash (used in)/from operating activities</t>
        </is>
      </c>
      <c r="B32" s="5" t="n">
        <v>16960.6</v>
      </c>
      <c r="C32" s="5" t="n">
        <v>-11886.7</v>
      </c>
      <c r="D32" s="5" t="n">
        <v>-18293.6</v>
      </c>
      <c r="E32" s="5" t="n">
        <v>-2485.4</v>
      </c>
    </row>
    <row r="33">
      <c r="A33" s="5" t="inlineStr">
        <is>
          <t>Investing activities</t>
        </is>
      </c>
      <c r="B33" s="6" t="n"/>
      <c r="C33" s="6" t="n"/>
      <c r="D33" s="6" t="n"/>
      <c r="E33" s="6" t="n"/>
    </row>
    <row r="34">
      <c r="A34" s="6" t="inlineStr">
        <is>
          <t>Acquisition of tangible and intangible assets</t>
        </is>
      </c>
      <c r="B34" s="6" t="n">
        <v>-298.5</v>
      </c>
      <c r="C34" s="6" t="n">
        <v>-47.7</v>
      </c>
      <c r="D34" s="6" t="n">
        <v>-130.4</v>
      </c>
      <c r="E34" s="6" t="n">
        <v>-30.9</v>
      </c>
    </row>
    <row r="35">
      <c r="A35" s="5" t="inlineStr">
        <is>
          <t>Net cash flow used in investing activities</t>
        </is>
      </c>
      <c r="B35" s="5" t="n">
        <v>-298.5</v>
      </c>
      <c r="C35" s="5" t="n">
        <v>-47.7</v>
      </c>
      <c r="D35" s="5" t="n">
        <v>-130.4</v>
      </c>
      <c r="E35" s="5" t="n">
        <v>-30.9</v>
      </c>
    </row>
    <row r="36">
      <c r="A36" s="5" t="inlineStr">
        <is>
          <t>Financing activities</t>
        </is>
      </c>
      <c r="B36" s="6" t="n"/>
      <c r="C36" s="6" t="n"/>
      <c r="D36" s="6" t="n"/>
      <c r="E36" s="6" t="n"/>
    </row>
    <row r="37">
      <c r="A37" s="6" t="inlineStr">
        <is>
          <t>Increase in share capital</t>
        </is>
      </c>
      <c r="B37" s="6" t="n">
        <v>0</v>
      </c>
      <c r="C37" s="6" t="n">
        <v>0</v>
      </c>
      <c r="D37" s="6" t="n">
        <v>20000</v>
      </c>
      <c r="E37" s="6" t="n">
        <v>0</v>
      </c>
    </row>
    <row r="38">
      <c r="A38" s="6" t="inlineStr">
        <is>
          <t>Leasehold property repayments</t>
        </is>
      </c>
      <c r="B38" s="6" t="n">
        <v>-459.1</v>
      </c>
      <c r="C38" s="6" t="n">
        <v>-440.6</v>
      </c>
      <c r="D38" s="6" t="n">
        <v>-219.2</v>
      </c>
      <c r="E38" s="6" t="n">
        <v>-384.6</v>
      </c>
    </row>
    <row r="39">
      <c r="A39" s="5" t="inlineStr">
        <is>
          <t>Net cash generated from/(used in) financing activities</t>
        </is>
      </c>
      <c r="B39" s="5" t="n">
        <v>-459.1</v>
      </c>
      <c r="C39" s="5" t="n">
        <v>-440.6</v>
      </c>
      <c r="D39" s="5" t="n">
        <v>19780.8</v>
      </c>
      <c r="E39" s="5" t="n">
        <v>-384.6</v>
      </c>
    </row>
    <row r="40">
      <c r="A40" s="5" t="inlineStr">
        <is>
          <t>Net (decrease)/increase in cash and cash equivalents</t>
        </is>
      </c>
      <c r="B40" s="5" t="n">
        <v>16203</v>
      </c>
      <c r="C40" s="5" t="n">
        <v>-12375</v>
      </c>
      <c r="D40" s="5" t="n">
        <v>1356.8</v>
      </c>
      <c r="E40" s="5" t="n">
        <v>-2900.8</v>
      </c>
    </row>
    <row r="41">
      <c r="A41" s="6" t="inlineStr">
        <is>
          <t>Cash and cash equivalents at the beginning of the year</t>
        </is>
      </c>
      <c r="B41" s="6" t="n">
        <v>79931.2</v>
      </c>
      <c r="C41" s="6" t="n">
        <v>91260.60000000001</v>
      </c>
      <c r="D41" s="6" t="n">
        <v>4525.8</v>
      </c>
      <c r="E41" s="6" t="n">
        <v>6665.9</v>
      </c>
    </row>
    <row r="42">
      <c r="A42" s="6" t="inlineStr">
        <is>
          <t>Exchange difference in respect of cash and cash equivalents / effect of GBP-USD translation</t>
        </is>
      </c>
      <c r="B42" s="6" t="n">
        <v>343.9</v>
      </c>
      <c r="C42" s="6" t="n">
        <v>-114.8</v>
      </c>
      <c r="D42" s="6" t="n">
        <v>-270.8</v>
      </c>
      <c r="E42" s="6" t="n">
        <v>760.7</v>
      </c>
    </row>
    <row r="43">
      <c r="A43" s="5" t="inlineStr">
        <is>
          <t>Cash and cash equivalents at the end of the year</t>
        </is>
      </c>
      <c r="B43" s="5" t="n">
        <v>90189.60000000001</v>
      </c>
      <c r="C43" s="5" t="n">
        <v>79931.2</v>
      </c>
      <c r="D43" s="5" t="n">
        <v>5611.8</v>
      </c>
      <c r="E43" s="5" t="n">
        <v>4525.8</v>
      </c>
    </row>
    <row r="45" ht="377" customHeight="1">
      <c r="A45" s="8" t="inlineStr">
        <is>
          <t>Sources - all figures are FidBank UK Limited's own Statement of Cash Flows (Bank-only, GBP figures converted from the source's own USD figures at FidBank UK's own disclosed Dollar/Sterling exchange rates - see FX methodology note below):
FY2025, FY2024: Annual Report and Financial Statements for the year ended 31 December 2025, p.37 (Statement of Cash Flows) - https://find-and-update.company-information.service.gov.uk/company/04661188/filing-history/MzUzMzg1ODU2NWFkaXF6a2N4/document?format=pdf&amp;download=0
FY2023, FY2022: Annual Report &amp; Financial Statements for the year ended 31 December 2023, p.26 (Statement of Cash Flows) - https://find-and-update.company-information.service.gov.uk/company/04661188/filing-history/MzQxOTU1NjA5M2FkaXF6a2N4/document?format=pdf&amp;download=0
FY2021: not available - no source document with line-item cash flow detail was found (see entity note).
FX conversion methodology: this project converts flow (cash flow statement) figures at each year's average GBP/USD rate and point-in-time (balance) figures at that year's period-end spot rate. FidBank UK's own Annual Report discloses its own Dollar/Sterling exchange rates (year-end and average) directly in its 5-year Financial Highlights table each year - those entity-disclosed rates are used here rather than an independently-sourced Bank of England rate, since they are explicitly stated as the rates the entity itself used to prepare its accounts. Ratios are never converted (dimensionless, currency-invariant).
FidBank UK Limited (company 04661188, FRN 400712) is a wholly-owned subsidiary of Fidelity Bank Plc, Nigeria (listed on the Nigerian Stock Exchange). The company has changed name twice: incorporated 2003 as "Union Bank UK PLC", later became "Fidelity Bank UK Limited", then renamed "FidBank UK Limited" on 13/14 March 2024 (per Companies House and the FY2023 Annual Report's own Subsequent Events note). Only 3 Annual Report filings exist at Companies House at all (FY2023, FY2024, FY2025) - no earlier filings were found, consistent with this being a young/thin filer at Companies House even though the company itself is over 20 years old; FY2021's cash flow could not be sourced from any document and is left blank rather than estimated (the FY2025 Annual Report's own 5-year "Financial Highlights" table gives only headline P&amp;L/balance-sheet figures for FY2021, not a line-item cash flow statement).
PRESENTATION CHANGE: the FY2023 Annual Report's cash flow statement (covering FY2023/FY2022) and the FY2025 Annual Report's cash flow statement (covering FY2025/FY2024) use different line-item structures and different terminology for the closing cash balance ("Cash and cash equivalents" in the FY2023 vintage vs. "Cash and cash equivalents (including bank placements)" in the FY2025 vintage) - each year's own line items and labels are preserved as printed rather than forced into a common format, per project convention.
UNEXPLAINED CASH-BRIDGE GAP: FY2023's own statement shows closing cash and cash equivalents of US$7,127k. The FY2025 Annual Report's own comparative shows the FY2024 column's OPENING balance as US$115,901k - a US$108,774k gap between the two filings' figures for what should be the same balance sheet date (31 Dec 2023). This is plausibly explained by the broadened "(including bank placements)" definition introduced in the newer presentation, but this could not be confirmed from the source documents available - left unreconciled and flagged here rather than forced to match, per project convention (compare Arab Bank Europe's/Bank of China UK's similar unreconciled gaps elsewhere in this project).
SOURCE-LABEL NOTE: the FY2025 Annual Report's cash flow statement labels BOTH columns' opening-balance row "at 31 December 2024" - this is a source-document label copy-paste artifact (the FY2024 column's opening balance is actually as at 31 December 2023); the VALUES are used exactly as printed, only the shared row label is affected.</t>
        </is>
      </c>
    </row>
    <row r="47" ht="340" customHeight="1">
      <c r="A47" s="8" t="inlineStr">
        <is>
          <t>(continued)
FX METHODOLOGY NOTE, FY2023/FY2022: the opening cash balance for these two years is converted at the correct PRIOR-year spot rate (FY2022's opening uses FY2021's own year-end $/£ rate of 1.35, sourced from the FY2025 Annual Report's 5-year Financial Highlights table, p.6 - no FY2021 cash flow statement exists for this entity, but its exchange rate is separately disclosed there). Because the FY2023 Annual Report's own USD figures tie exactly with no FX line (single-currency presentation), converting opening/flow/closing at three different correct rates (prior-year spot / this year's average / this year's spot) necessarily creates a translation gap in GBP terms - a genuine 'Exchange difference / effect of GBP-USD translation' line for FY2023/FY2022 is computed programmatically from the actual converted figures (see _FY2023_FY2022_TRANSLATION_PLUG in the build script) and shown alongside FY2025/FY2024's real disclosed exchange-difference line, per this project's established FX conversion methodology.</t>
        </is>
      </c>
    </row>
  </sheetData>
  <mergeCells count="2">
    <mergeCell ref="A47:E47"/>
    <mergeCell ref="A45:E4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s>
  <sheetData>
    <row r="1">
      <c r="A1" s="1" t="inlineStr">
        <is>
          <t>FidBank UK Limited — Asset Quality (Loans and advances to customers)</t>
        </is>
      </c>
    </row>
    <row r="2">
      <c r="A2" s="2" t="inlineStr">
        <is>
          <t>Bank-only basis, £'000 (conv. from USD). By product, per Note 19. FY2021 not available.</t>
        </is>
      </c>
    </row>
    <row r="3">
      <c r="A3" s="4" t="inlineStr">
        <is>
          <t>Line item</t>
        </is>
      </c>
      <c r="B3" s="4" t="inlineStr">
        <is>
          <t>FY2025 (£'000, conv. from USD)</t>
        </is>
      </c>
      <c r="C3" s="4" t="inlineStr">
        <is>
          <t>FY2024 (£'000, conv. from USD)</t>
        </is>
      </c>
      <c r="D3" s="4" t="inlineStr">
        <is>
          <t>FY2023 (£'000, conv. from USD)</t>
        </is>
      </c>
      <c r="E3" s="4" t="inlineStr">
        <is>
          <t>FY2022 (£'000, conv. from USD)</t>
        </is>
      </c>
    </row>
    <row r="4">
      <c r="A4" s="5" t="inlineStr">
        <is>
          <t>Gross amount by product</t>
        </is>
      </c>
      <c r="B4" s="6" t="n"/>
      <c r="C4" s="6" t="n"/>
      <c r="D4" s="6" t="n"/>
      <c r="E4" s="6" t="n"/>
    </row>
    <row r="5">
      <c r="A5" s="6" t="inlineStr">
        <is>
          <t>Commercial loans &amp; advances</t>
        </is>
      </c>
      <c r="B5" s="6" t="n">
        <v>72004.39999999999</v>
      </c>
      <c r="C5" s="6" t="n">
        <v>28792.8</v>
      </c>
      <c r="D5" s="6" t="n">
        <v>6683.5</v>
      </c>
      <c r="E5" s="6" t="n">
        <v>2445</v>
      </c>
    </row>
    <row r="6">
      <c r="A6" s="6" t="inlineStr">
        <is>
          <t>Personal loans &amp; advances</t>
        </is>
      </c>
      <c r="B6" s="6" t="n">
        <v>218.5</v>
      </c>
      <c r="C6" s="6" t="n">
        <v>210.4</v>
      </c>
      <c r="D6" s="6" t="n">
        <v>103.9</v>
      </c>
      <c r="E6" s="6" t="n">
        <v>43.3</v>
      </c>
    </row>
    <row r="7">
      <c r="A7" s="6" t="inlineStr">
        <is>
          <t>Syndicated loans</t>
        </is>
      </c>
      <c r="B7" s="6" t="n">
        <v>17969.6</v>
      </c>
      <c r="C7" s="6" t="n">
        <v>15316</v>
      </c>
      <c r="D7" s="6" t="n">
        <v>0</v>
      </c>
      <c r="E7" s="6" t="n">
        <v>485</v>
      </c>
    </row>
    <row r="8">
      <c r="A8" s="6" t="inlineStr">
        <is>
          <t>Sovereign loans</t>
        </is>
      </c>
      <c r="B8" s="6" t="n">
        <v>18812.6</v>
      </c>
      <c r="C8" s="6" t="n">
        <v>0</v>
      </c>
      <c r="D8" s="6" t="n"/>
      <c r="E8" s="6" t="n"/>
    </row>
    <row r="9">
      <c r="A9" s="5" t="inlineStr">
        <is>
          <t>Gross amount, total</t>
        </is>
      </c>
      <c r="B9" s="5" t="n">
        <v>109005.2</v>
      </c>
      <c r="C9" s="5" t="n">
        <v>44319.2</v>
      </c>
      <c r="D9" s="5" t="n">
        <v>6787.4</v>
      </c>
      <c r="E9" s="5" t="n">
        <v>2973.3</v>
      </c>
    </row>
    <row r="10">
      <c r="A10" s="5" t="inlineStr">
        <is>
          <t>Impairment and net amount</t>
        </is>
      </c>
      <c r="B10" s="6" t="n"/>
      <c r="C10" s="6" t="n"/>
      <c r="D10" s="6" t="n"/>
      <c r="E10" s="6" t="n"/>
    </row>
    <row r="11">
      <c r="A11" s="6" t="inlineStr">
        <is>
          <t>Impairment allowance, total</t>
        </is>
      </c>
      <c r="B11" s="6" t="n">
        <v>-242.2</v>
      </c>
      <c r="C11" s="6" t="n">
        <v>-187.2</v>
      </c>
      <c r="D11" s="6" t="n">
        <v>-23.6</v>
      </c>
      <c r="E11" s="6" t="n">
        <v>-3.3</v>
      </c>
    </row>
    <row r="12">
      <c r="A12" s="5" t="inlineStr">
        <is>
          <t>Net amount, total</t>
        </is>
      </c>
      <c r="B12" s="5" t="n">
        <v>108763</v>
      </c>
      <c r="C12" s="5" t="n">
        <v>44132</v>
      </c>
      <c r="D12" s="5" t="n">
        <v>6763.8</v>
      </c>
      <c r="E12" s="5" t="n">
        <v>2970</v>
      </c>
    </row>
    <row r="13">
      <c r="A13" s="6" t="inlineStr">
        <is>
          <t xml:space="preserve">  of which: Stage 1 and Stage 2 impairment allowance</t>
        </is>
      </c>
      <c r="B13" s="6" t="n">
        <v>-237</v>
      </c>
      <c r="C13" s="6" t="n">
        <v>-144</v>
      </c>
      <c r="D13" s="6" t="n">
        <v>-23.1</v>
      </c>
      <c r="E13" s="6" t="n">
        <v>-3.4</v>
      </c>
    </row>
    <row r="14">
      <c r="A14" s="6" t="inlineStr">
        <is>
          <t xml:space="preserve">  of which: Stage 3 impairment allowance</t>
        </is>
      </c>
      <c r="B14" s="6" t="n">
        <v>-7.4</v>
      </c>
      <c r="C14" s="6" t="n">
        <v>-40</v>
      </c>
      <c r="D14" s="6" t="n">
        <v>0</v>
      </c>
      <c r="E14" s="6" t="n">
        <v>0</v>
      </c>
    </row>
    <row r="15">
      <c r="A15" s="5" t="inlineStr">
        <is>
          <t>Derived ratio</t>
        </is>
      </c>
      <c r="B15" s="6" t="n"/>
      <c r="C15" s="6" t="n"/>
      <c r="D15" s="6" t="n"/>
      <c r="E15" s="6" t="n"/>
    </row>
    <row r="16">
      <c r="A16" s="6" t="inlineStr">
        <is>
          <t>Impairment coverage ratio (allowance ÷ gross amount)</t>
        </is>
      </c>
      <c r="B16" s="6" t="inlineStr">
        <is>
          <t>0.22%</t>
        </is>
      </c>
      <c r="C16" s="6" t="inlineStr">
        <is>
          <t>0.42%</t>
        </is>
      </c>
      <c r="D16" s="6" t="inlineStr">
        <is>
          <t>0.35%</t>
        </is>
      </c>
      <c r="E16" s="6" t="inlineStr">
        <is>
          <t>0.11%</t>
        </is>
      </c>
    </row>
    <row r="18" ht="390" customHeight="1">
      <c r="A18" s="8" t="inlineStr">
        <is>
          <t>Sources - FidBank UK Limited's own Note 19 'Loans and advances to customers' (gross amount / impairment allowance / net amount, by product), each Annual Report's own basis:
FY2025, FY2024: Annual Report and Financial Statements for the year ended 31 December 2025, p.53 - https://find-and-update.company-information.service.gov.uk/company/04661188/filing-history/MzUzMzg1ODU2NWFkaXF6a2N4/document?format=pdf&amp;download=0
FY2023, FY2022: Annual Report &amp; Financial Statements for the year ended 31 December 2023, p.44 - https://find-and-update.company-information.service.gov.uk/company/04661188/filing-history/MzQxOTU1NjA5M2FkaXF6a2N4/document?format=pdf&amp;download=0
FY2021: not available - Note 19 gives no FY2021 comparative in either filing reviewed.
The Stage 1&amp;2 vs Stage 3 impairment split is disclosed only as narrative text below each year's Note 19 table (not a further breakdown table), e.g. FY2025: 'Of the $0.33m impairment provision, $0.32m represents the Stage 1 and stage 2 provisions under IFRS 9, while Stage 3 provisions amounted to $0.01m' - reproduced here as disclosed. 'Sovereign Loans' only appears as its own product line from FY2024 onward (shown as '-' for FY2024, absent as a line entirely for FY2023/FY2022 - left blank, not assumed nil, per project convention). Coverage ratio = impairment allowance / gross amount, computed from the disclosed £'000 figures (converted from USD at each year's period-end spot rate - see Cash Flow Statement sheet's FX methodology note).
FidBank UK Limited (company 04661188, FRN 400712) is a wholly-owned subsidiary of Fidelity Bank Plc, Nigeria (listed on the Nigerian Stock Exchange). The company has changed name twice: incorporated 2003 as "Union Bank UK PLC", later became "Fidelity Bank UK Limited", then renamed "FidBank UK Limited" on 13/14 March 2024 (per Companies House and the FY2023 Annual Report's own Subsequent Events note). Only 3 Annual Report filings exist at Companies House at all (FY2023, FY2024, FY2025) - no earlier filings were found, consistent with this being a young/thin filer at Companies House even though the company itself is over 20 years old; FY2021's cash flow could not be sourced from any document and is left blank rather than estimated (the FY2025 Annual Report's own 5-year "Financial Highlights" table gives only headline P&amp;L/balance-sheet figures for FY2021, not a line-item cash flow statement).
PRESENTATION CHANGE: the FY2023 Annual Report's cash flow statement (covering FY2023/FY2022) and the FY2025 Annual Report's cash flow statement (covering FY2025/FY2024) use different line-item structures and different terminology for the closing cash balance ("Cash and cash equivalents" in the FY2023 vintage vs. "Cash and cash equivalents (including bank placements)" in the FY2025 vintage) - each year's own line items and labels are preserved as printed rather than forced into a common format, per project convention.
UNEXPLAINED CASH-BRIDGE GAP: FY2023's own statement shows closing cash and cash equivalents of US$7,127k. The FY2025 Annual Report's own comparative shows the FY2024 column's OPENING balance as US$115,901k - a US$108,774k gap between the two filings' figures for what should be the same balance sheet date (31 Dec 2023). This is plausibly explained by the broadened "(including bank placements)" definition introduced in the newer presentation, but this could not be confirmed from the source documents available - left unreconciled and flagged here rather than forced to match, per project convention (compare Arab Bank Europe's/Bank of China UK's similar unreconciled gaps elsewhere in this project).</t>
        </is>
      </c>
    </row>
    <row r="20" ht="340" customHeight="1">
      <c r="A20" s="8" t="inlineStr">
        <is>
          <t>(continued)
SOURCE-LABEL NOTE: the FY2025 Annual Report's cash flow statement labels BOTH columns' opening-balance row "at 31 December 2024" - this is a source-document label copy-paste artifact (the FY2024 column's opening balance is actually as at 31 December 2023); the VALUES are used exactly as printed, only the shared row label is affected.
FX METHODOLOGY NOTE, FY2023/FY2022: the opening cash balance for these two years is converted at the correct PRIOR-year spot rate (FY2022's opening uses FY2021's own year-end $/£ rate of 1.35, sourced from the FY2025 Annual Report's 5-year Financial Highlights table, p.6 - no FY2021 cash flow statement exists for this entity, but its exchange rate is separately disclosed there). Because the FY2023 Annual Report's own USD figures tie exactly with no FX line (single-currency presentation), converting opening/flow/closing at three different correct rates (prior-year spot / this year's average / this year's spot) necessarily creates a translation gap in GBP terms - a genuine 'Exchange difference / effect of GBP-USD translation' line for FY2023/FY2022 is computed programmatically from the actual converted figures (see _FY2023_FY2022_TRANSLATION_PLUG in the build script) and shown alongside FY2025/FY2024's real disclosed exchange-difference line, per this project's established FX conversion methodology.</t>
        </is>
      </c>
    </row>
  </sheetData>
  <mergeCells count="2">
    <mergeCell ref="A18:E18"/>
    <mergeCell ref="A20:E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FidBank UK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row>
    <row r="4">
      <c r="A4" s="6" t="inlineStr">
        <is>
          <t>Return on equity - average equity basis</t>
        </is>
      </c>
      <c r="B4" s="6" t="inlineStr">
        <is>
          <t>Not computed</t>
        </is>
      </c>
      <c r="C4" s="6" t="inlineStr">
        <is>
          <t>Not computed</t>
        </is>
      </c>
      <c r="D4" s="6" t="inlineStr">
        <is>
          <t>Not computed</t>
        </is>
      </c>
      <c r="E4" s="6" t="inlineStr">
        <is>
          <t>Not computed</t>
        </is>
      </c>
      <c r="F4" s="6" t="inlineStr">
        <is>
          <t>Not computed</t>
        </is>
      </c>
    </row>
    <row r="5">
      <c r="A5" s="6" t="inlineStr">
        <is>
          <t>Return on equity - year-end equity basis</t>
        </is>
      </c>
      <c r="B5" s="6" t="inlineStr">
        <is>
          <t>Not computed</t>
        </is>
      </c>
      <c r="C5" s="6" t="inlineStr">
        <is>
          <t>Not computed</t>
        </is>
      </c>
      <c r="D5" s="6" t="inlineStr">
        <is>
          <t>Not computed</t>
        </is>
      </c>
      <c r="E5" s="6" t="inlineStr">
        <is>
          <t>Not computed</t>
        </is>
      </c>
      <c r="F5" s="6" t="inlineStr">
        <is>
          <t>Not computed</t>
        </is>
      </c>
    </row>
    <row r="6">
      <c r="A6" s="6" t="inlineStr">
        <is>
          <t>Return on assets - average assets basis</t>
        </is>
      </c>
      <c r="B6" s="6" t="inlineStr">
        <is>
          <t>Not computed</t>
        </is>
      </c>
      <c r="C6" s="6" t="inlineStr">
        <is>
          <t>Not computed</t>
        </is>
      </c>
      <c r="D6" s="6" t="inlineStr">
        <is>
          <t>Not computed</t>
        </is>
      </c>
      <c r="E6" s="6" t="inlineStr">
        <is>
          <t>Not computed</t>
        </is>
      </c>
      <c r="F6" s="6" t="inlineStr">
        <is>
          <t>Not computed</t>
        </is>
      </c>
    </row>
    <row r="7">
      <c r="A7" s="6" t="inlineStr">
        <is>
          <t>Return on assets - year-end assets basis</t>
        </is>
      </c>
      <c r="B7" s="6" t="inlineStr">
        <is>
          <t>Not computed</t>
        </is>
      </c>
      <c r="C7" s="6" t="inlineStr">
        <is>
          <t>Not computed</t>
        </is>
      </c>
      <c r="D7" s="6" t="inlineStr">
        <is>
          <t>Not computed</t>
        </is>
      </c>
      <c r="E7" s="6" t="inlineStr">
        <is>
          <t>Not computed</t>
        </is>
      </c>
      <c r="F7" s="6" t="inlineStr">
        <is>
          <t>Not computed</t>
        </is>
      </c>
    </row>
    <row r="8">
      <c r="A8" s="6" t="inlineStr">
        <is>
          <t>Return on Equity (as published)</t>
        </is>
      </c>
      <c r="B8" s="6" t="inlineStr">
        <is>
          <t>1.63%</t>
        </is>
      </c>
      <c r="C8" s="6" t="inlineStr">
        <is>
          <t>Not published</t>
        </is>
      </c>
      <c r="D8" s="6" t="inlineStr">
        <is>
          <t>Not published</t>
        </is>
      </c>
      <c r="E8" s="6" t="inlineStr">
        <is>
          <t>Not published</t>
        </is>
      </c>
      <c r="F8" s="6" t="inlineStr">
        <is>
          <t>Not published</t>
        </is>
      </c>
    </row>
    <row r="9" ht="377" customHeight="1">
      <c r="A9"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Equity: “Profit after tax divided by shareholders' funds.”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FY2021 HAS NO AVERAGE-BASIS RATIO, AND THAT IS CORRECT. An average denominator needs an opening balance, and FY2021 is the oldest column this workbook carries, so there is no prior year to open from. The blank is structural, not a missing figure. The year-end basis is shown for FY2021 because it needs only the closing balance.
WHY SOME CELLS SAY 'NOT COMPUTED'. Every year above is marked 'Not computed' rather than given a number, and the reason is a unit problem, not a missing figure. This workbook's statement sheets print (£'000, conv. from USD): the figures were converted from the bank's reporting currency on this project's standing convention, which converts BALANCE SHEET stocks at the financial year-end SPOT rate and PROFIT AND LOSS flows at that year's AVERAGE rate - the right treatment for each statement taken on its own. A ratio struck ACROSS the two therefore divides a figure converted at one rate by a figure converted at another. Both sides are labelled in the same currency, so such a ratio looks sound and is self-consistent on every check this project runs, but it carries the whole spot-versus-average spread - on recent years a bias of roughly two per cent of the ratio, changing sign from year to year, so it distorts the trend as well as the level. The house rule is that a ratio cancels its unit only if both sides share it; where they do not, the honest output is a refusal rather than a number with a caveat attached. A reader who wants these ratios should strike them on the bank's own figures in its own reporting currency, where both sides do share a basis. (scripts/profitability_fx_basis.py records the basis verdict for every converted workbook in this corpus, and why that verdict cannot be read off the page or detected in the code.)
FIGURES THE BANK PUBLISHED ONLY AS A LATER EDITION'S COMPARATIVE, AND WHY THEY ARE NOT IN THE CELLS ABOVE. FY2024 Return on Equity (3.9)%; FY2023 Return on Equity (5.3)%; FY2022 Return on Equity (15.2)%; FY2021 Return on Equity (14.6)%.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1" ht="170" customHeight="1">
      <c r="A11" s="8" t="inlineStr">
        <is>
          <t>Computed by this workbook's own build script from the Profit &amp; Loss and Balance Sheet sheets of this same workbook - the Profit &amp; Loss row “profit/(loss) for the year after tax” and the Balance Sheet rows “total equity” and “total assets”, resolved BY LABEL at build time through the shared resolver scripts/profitability_rows.py, so this sheet cannot drift from the statements it summarises. Those rows are themselves transcribed from FidBank UK Limited's Annual Report and Accounts for each year; see the source cells on the Balance Sheet and Profit &amp; Loss sheets for the exact document, page and table behind every input to every percentage above.
The '(as published)' rows are quoted verbatim from FidBank UK Limited's own disclosures and are recorded, with the exact document, page and verification state for each, in research/profitability/published_returns.jsonl under ‘FIDBANK UK’.</t>
        </is>
      </c>
    </row>
  </sheetData>
  <mergeCells count="2">
    <mergeCell ref="A11:F11"/>
    <mergeCell ref="A9:F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s>
  <sheetData>
    <row r="1">
      <c r="A1" s="1" t="inlineStr">
        <is>
          <t>FidBank UK Limited — KM1 Key Metrics</t>
        </is>
      </c>
    </row>
    <row r="2">
      <c r="A2" s="2" t="inlineStr">
        <is>
          <t>The Bank's own UK KM1 key-metrics template (single entity - no prudential consolidation is performed), reproduced in its own row order, row numbers, labels and precision. Amounts in US$'000 as reported; ratios as printed, without a percent sign, which is how the Bank prints them. FY2024 and FY2023 come from their own editions; FY2022 is the FY2023 edition's comparative column (the FY2022 edition carries no key-metrics table at all). The FY2023 edition mislabels this table's currency as £000's - see the note.</t>
        </is>
      </c>
    </row>
    <row r="3">
      <c r="A3" s="4" t="inlineStr">
        <is>
          <t>Line item</t>
        </is>
      </c>
      <c r="B3" s="4" t="inlineStr">
        <is>
          <t>FY2025</t>
        </is>
      </c>
      <c r="C3" s="4" t="inlineStr">
        <is>
          <t>FY2024</t>
        </is>
      </c>
      <c r="D3" s="4" t="inlineStr">
        <is>
          <t>FY2023</t>
        </is>
      </c>
      <c r="E3" s="4" t="inlineStr">
        <is>
          <t>FY2022</t>
        </is>
      </c>
    </row>
    <row r="4">
      <c r="A4" s="6" t="inlineStr">
        <is>
          <t>[Edition status for this year - not a KM1 template row]</t>
        </is>
      </c>
      <c r="B4" s="6" t="inlineStr">
        <is>
          <t>Not published - no FY2025 Pillar 3 edition as at 19/09/2026</t>
        </is>
      </c>
      <c r="C4" s="6" t="n"/>
      <c r="D4" s="6" t="n"/>
      <c r="E4" s="6" t="n"/>
    </row>
    <row r="5">
      <c r="A5" s="5" t="inlineStr">
        <is>
          <t>Available own funds (amounts)</t>
        </is>
      </c>
      <c r="B5" s="6" t="n"/>
      <c r="C5" s="6" t="n"/>
      <c r="D5" s="6" t="n"/>
      <c r="E5" s="6" t="n"/>
    </row>
    <row r="6">
      <c r="A6" s="6" t="inlineStr">
        <is>
          <t>1  Common Equity Tier 1 (CET1) capital ($'000)</t>
        </is>
      </c>
      <c r="B6" s="6" t="n"/>
      <c r="C6" s="6" t="n">
        <v>55029</v>
      </c>
      <c r="D6" s="6" t="n">
        <v>57034</v>
      </c>
      <c r="E6" s="6" t="n">
        <v>35045</v>
      </c>
    </row>
    <row r="7">
      <c r="A7" s="6" t="inlineStr">
        <is>
          <t>2  Tier 1 capital ($'000)</t>
        </is>
      </c>
      <c r="B7" s="6" t="n"/>
      <c r="C7" s="6" t="n">
        <v>55029</v>
      </c>
      <c r="D7" s="6" t="n">
        <v>57034</v>
      </c>
      <c r="E7" s="6" t="n">
        <v>35045</v>
      </c>
    </row>
    <row r="8">
      <c r="A8" s="6" t="inlineStr">
        <is>
          <t>3  Total capital ($'000)</t>
        </is>
      </c>
      <c r="B8" s="6" t="n"/>
      <c r="C8" s="6" t="n">
        <v>55029</v>
      </c>
      <c r="D8" s="6" t="n">
        <v>57034</v>
      </c>
      <c r="E8" s="6" t="n">
        <v>35045</v>
      </c>
    </row>
    <row r="9">
      <c r="A9" s="5" t="inlineStr">
        <is>
          <t>Risk-weighted exposure amounts</t>
        </is>
      </c>
      <c r="B9" s="6" t="n"/>
      <c r="C9" s="6" t="n"/>
      <c r="D9" s="6" t="n"/>
      <c r="E9" s="6" t="n"/>
    </row>
    <row r="10">
      <c r="A10" s="6" t="inlineStr">
        <is>
          <t>4  Total risk-weighted exposure amount ($'000)</t>
        </is>
      </c>
      <c r="B10" s="6" t="n"/>
      <c r="C10" s="6" t="n">
        <v>133310</v>
      </c>
      <c r="D10" s="6" t="n">
        <v>60485</v>
      </c>
      <c r="E10" s="6" t="n">
        <v>65571</v>
      </c>
    </row>
    <row r="11">
      <c r="A11" s="5" t="inlineStr">
        <is>
          <t>Capital ratios (as a percentage of risk-weighted exposure amount)</t>
        </is>
      </c>
      <c r="B11" s="6" t="n"/>
      <c r="C11" s="6" t="n"/>
      <c r="D11" s="6" t="n"/>
      <c r="E11" s="6" t="n"/>
    </row>
    <row r="12">
      <c r="A12" s="6" t="inlineStr">
        <is>
          <t>5  Common Equity Tier 1 ratio (%)</t>
        </is>
      </c>
      <c r="B12" s="6" t="n"/>
      <c r="C12" s="6" t="n">
        <v>41.28</v>
      </c>
      <c r="D12" s="6" t="n">
        <v>94.29000000000001</v>
      </c>
      <c r="E12" s="6" t="n">
        <v>53.45</v>
      </c>
    </row>
    <row r="13">
      <c r="A13" s="6" t="inlineStr">
        <is>
          <t>6  Tier 1 ratio (%)</t>
        </is>
      </c>
      <c r="B13" s="6" t="n"/>
      <c r="C13" s="6" t="n">
        <v>41.28</v>
      </c>
      <c r="D13" s="6" t="n">
        <v>94.29000000000001</v>
      </c>
      <c r="E13" s="6" t="n">
        <v>53.45</v>
      </c>
    </row>
    <row r="14">
      <c r="A14" s="6" t="inlineStr">
        <is>
          <t>7  Total capital ratio (%)</t>
        </is>
      </c>
      <c r="B14" s="6" t="n"/>
      <c r="C14" s="6" t="n">
        <v>41.28</v>
      </c>
      <c r="D14" s="6" t="n">
        <v>94.29000000000001</v>
      </c>
      <c r="E14" s="6" t="n">
        <v>53.45</v>
      </c>
    </row>
    <row r="15">
      <c r="A15" s="5" t="inlineStr">
        <is>
          <t>Additional own funds requirements based on SREP (as a percentage of risk-weighted exposure amount)</t>
        </is>
      </c>
      <c r="B15" s="6" t="n"/>
      <c r="C15" s="6" t="n"/>
      <c r="D15" s="6" t="n"/>
      <c r="E15" s="6" t="n"/>
    </row>
    <row r="16">
      <c r="A16" s="6" t="inlineStr">
        <is>
          <t>UK 7a  Additional CET1 SREP requirements (%)</t>
        </is>
      </c>
      <c r="B16" s="6" t="n"/>
      <c r="C16" s="6" t="n">
        <v>4.83</v>
      </c>
      <c r="D16" s="6" t="n">
        <v>4.41</v>
      </c>
      <c r="E16" s="6" t="n">
        <v>4.41</v>
      </c>
    </row>
    <row r="17">
      <c r="A17" s="5" t="inlineStr">
        <is>
          <t>Combined buffer requirement (as a percentage of risk-weighted exposure amount)</t>
        </is>
      </c>
      <c r="B17" s="6" t="n"/>
      <c r="C17" s="6" t="n"/>
      <c r="D17" s="6" t="n"/>
      <c r="E17" s="6" t="n"/>
    </row>
    <row r="18">
      <c r="A18" s="6" t="inlineStr">
        <is>
          <t>8  Capital conservation buffer (%)</t>
        </is>
      </c>
      <c r="B18" s="6" t="n"/>
      <c r="C18" s="6" t="n">
        <v>2.5</v>
      </c>
      <c r="D18" s="6" t="n">
        <v>2.5</v>
      </c>
      <c r="E18" s="6" t="n">
        <v>2.5</v>
      </c>
    </row>
    <row r="19">
      <c r="A19" s="6" t="inlineStr">
        <is>
          <t>9  Institution specific countercyclical capital buffer (%)</t>
        </is>
      </c>
      <c r="B19" s="6" t="n"/>
      <c r="C19" s="6" t="n">
        <v>0.87</v>
      </c>
      <c r="D19" s="6" t="n">
        <v>0.44</v>
      </c>
      <c r="E19" s="6" t="n">
        <v>0.12</v>
      </c>
    </row>
    <row r="20">
      <c r="A20" s="6" t="inlineStr">
        <is>
          <t>10  Global Systemically Important Institution buffer (%)</t>
        </is>
      </c>
      <c r="B20" s="6" t="n"/>
      <c r="C20" s="6" t="inlineStr">
        <is>
          <t>-</t>
        </is>
      </c>
      <c r="D20" s="6" t="inlineStr">
        <is>
          <t>-</t>
        </is>
      </c>
      <c r="E20" s="6" t="inlineStr">
        <is>
          <t>-</t>
        </is>
      </c>
    </row>
    <row r="21">
      <c r="A21" s="6" t="inlineStr">
        <is>
          <t>11  Combined buffer requirement (%)</t>
        </is>
      </c>
      <c r="B21" s="6" t="n"/>
      <c r="C21" s="6" t="n">
        <v>3.37</v>
      </c>
      <c r="D21" s="6" t="n">
        <v>2.94</v>
      </c>
      <c r="E21" s="6" t="n">
        <v>2.62</v>
      </c>
    </row>
    <row r="22">
      <c r="A22" s="6" t="inlineStr">
        <is>
          <t>UK 11a  Overall capital requirements (%)</t>
        </is>
      </c>
      <c r="B22" s="6" t="n"/>
      <c r="C22" s="6" t="n">
        <v>16.2</v>
      </c>
      <c r="D22" s="6" t="n">
        <v>15.35</v>
      </c>
      <c r="E22" s="6" t="n">
        <v>15.03</v>
      </c>
    </row>
    <row r="23">
      <c r="A23" s="6" t="inlineStr">
        <is>
          <t>12  CET1 available after meeting the total SREP own funds requirements (%) [printed with no values]</t>
        </is>
      </c>
      <c r="B23" s="6" t="n"/>
      <c r="C23" s="6" t="n"/>
      <c r="D23" s="6" t="n"/>
      <c r="E23" s="6" t="n"/>
    </row>
    <row r="24">
      <c r="A24" s="5" t="inlineStr">
        <is>
          <t>Leverage ratio</t>
        </is>
      </c>
      <c r="B24" s="6" t="n"/>
      <c r="C24" s="6" t="n"/>
      <c r="D24" s="6" t="n"/>
      <c r="E24" s="6" t="n"/>
    </row>
    <row r="25">
      <c r="A25" s="6" t="inlineStr">
        <is>
          <t>13  Leverage ratio total exposure measure ($'000)</t>
        </is>
      </c>
      <c r="B25" s="6" t="n"/>
      <c r="C25" s="6" t="n">
        <v>282725</v>
      </c>
      <c r="D25" s="6" t="n">
        <v>191191</v>
      </c>
      <c r="E25" s="6" t="n">
        <v>99083</v>
      </c>
    </row>
    <row r="26">
      <c r="A26" s="6" t="inlineStr">
        <is>
          <t>14  Leverage ratio (%)</t>
        </is>
      </c>
      <c r="B26" s="6" t="n"/>
      <c r="C26" s="6" t="n">
        <v>19.45</v>
      </c>
      <c r="D26" s="6" t="n">
        <v>29.83</v>
      </c>
      <c r="E26" s="6" t="n">
        <v>35.78</v>
      </c>
    </row>
    <row r="27">
      <c r="A27" s="5" t="inlineStr">
        <is>
          <t>Liquidity Coverage Ratio</t>
        </is>
      </c>
      <c r="B27" s="6" t="n"/>
      <c r="C27" s="6" t="n"/>
      <c r="D27" s="6" t="n"/>
      <c r="E27" s="6" t="n"/>
    </row>
    <row r="28">
      <c r="A28" s="6" t="inlineStr">
        <is>
          <t>15  Total high-quality liquid assets (HQLA) (Weighted value -average) ($'000)</t>
        </is>
      </c>
      <c r="B28" s="6" t="n"/>
      <c r="C28" s="6" t="n">
        <v>47549</v>
      </c>
      <c r="D28" s="6" t="n">
        <v>42026</v>
      </c>
      <c r="E28" s="6" t="n">
        <v>18123</v>
      </c>
    </row>
    <row r="29">
      <c r="A29" s="6" t="inlineStr">
        <is>
          <t>UK 16a  Cash outflows - Total weighted value ($'000)</t>
        </is>
      </c>
      <c r="B29" s="6" t="n"/>
      <c r="C29" s="6" t="n">
        <v>78145</v>
      </c>
      <c r="D29" s="6" t="n">
        <v>72135</v>
      </c>
      <c r="E29" s="6" t="n">
        <v>19081</v>
      </c>
    </row>
    <row r="30">
      <c r="A30" s="6" t="inlineStr">
        <is>
          <t>UK 16b  Cash inflows - Total weighted value ($'000)</t>
        </is>
      </c>
      <c r="B30" s="6" t="n"/>
      <c r="C30" s="6" t="n">
        <v>58609</v>
      </c>
      <c r="D30" s="6" t="n">
        <v>54101</v>
      </c>
      <c r="E30" s="6" t="n">
        <v>14311</v>
      </c>
    </row>
    <row r="31">
      <c r="A31" s="6" t="inlineStr">
        <is>
          <t>16  Total net cash outflows (adjusted value) ($'000)</t>
        </is>
      </c>
      <c r="B31" s="6" t="n"/>
      <c r="C31" s="6" t="n">
        <v>19536</v>
      </c>
      <c r="D31" s="6" t="n">
        <v>18034</v>
      </c>
      <c r="E31" s="6" t="n">
        <v>4770</v>
      </c>
    </row>
    <row r="32">
      <c r="A32" s="6" t="inlineStr">
        <is>
          <t>17  Liquidity coverage ratio (%)</t>
        </is>
      </c>
      <c r="B32" s="6" t="n"/>
      <c r="C32" s="6" t="n">
        <v>243.39</v>
      </c>
      <c r="D32" s="6" t="n">
        <v>233.04</v>
      </c>
      <c r="E32" s="6" t="n">
        <v>379.92</v>
      </c>
    </row>
    <row r="33">
      <c r="A33" s="5" t="inlineStr">
        <is>
          <t>Net Stable Funding Ratio</t>
        </is>
      </c>
      <c r="B33" s="6" t="n"/>
      <c r="C33" s="6" t="n"/>
      <c r="D33" s="6" t="n"/>
      <c r="E33" s="6" t="n"/>
    </row>
    <row r="34">
      <c r="A34" s="6" t="inlineStr">
        <is>
          <t>18  Total available stable funding ($'000)</t>
        </is>
      </c>
      <c r="B34" s="6" t="n"/>
      <c r="C34" s="6" t="n">
        <v>139028</v>
      </c>
      <c r="D34" s="6" t="n">
        <v>96213</v>
      </c>
      <c r="E34" s="6" t="n">
        <v>69583</v>
      </c>
    </row>
    <row r="35">
      <c r="A35" s="6" t="inlineStr">
        <is>
          <t>19  Total required stable funding ($'000)</t>
        </is>
      </c>
      <c r="B35" s="6" t="n"/>
      <c r="C35" s="6" t="n">
        <v>65648</v>
      </c>
      <c r="D35" s="6" t="n">
        <v>28663</v>
      </c>
      <c r="E35" s="6" t="n">
        <v>19127</v>
      </c>
    </row>
    <row r="36">
      <c r="A36" s="6" t="inlineStr">
        <is>
          <t>20  NSFR ratio (%)</t>
        </is>
      </c>
      <c r="B36" s="6" t="n"/>
      <c r="C36" s="6" t="n">
        <v>211.78</v>
      </c>
      <c r="D36" s="6" t="n">
        <v>335.67</v>
      </c>
      <c r="E36" s="6" t="n">
        <v>363.79</v>
      </c>
    </row>
    <row r="38" ht="409" customHeight="1">
      <c r="A38" s="8" t="inlineStr">
        <is>
          <t>Sources - FidBank UK Limited Pillar 3/capital basis:
FY2025, FY2024: Annual Report and Financial Statements for the year ended 31 December 2025 - "Financial Highlights" (p.6) and "Performance Metrics" (p.7) - https://find-and-update.company-information.service.gov.uk/company/04661188/filing-history/MzUzMzg1ODU2NWFkaXF6a2N4/document?format=pdf&amp;download=0
FY2023, FY2022, FY2021: Annual Report and Financial Statements for the year ended 31 December 2025's own 5-year "Financial Highlights" comparative table (p.6), cross-checked against the FY2023 Annual Report's own 5-year Financial Highlights table (p.3), which independently confirms the same FY2023/FY2022/FY2021 figures - https://find-and-update.company-information.service.gov.uk/company/04661188/filing-history/MzUzMzg1ODU2NWFkaXF6a2N4/document?format=pdf&amp;download=0 ; https://find-and-update.company-information.service.gov.uk/company/04661188/filing-history/MzQxOTU1NjA5M2FkaXF6a2N4/document?format=pdf&amp;download=0
Pillar 3 sources: FY2024 p.9 - https://fidbank.co.uk/assets/Uploads/NewFolder/FidBank-UK-Pillar-3-Disclosure-2024.pdf; FY2023 p.9 - https://fidbank.co.uk/assets/Uploads/NewFolder/FidBank-UK-Pillar-3-Disclosure-2023.pdf; FY2022 pp.6,10 - https://fidbank.co.uk/assets/Uploads/NewFolder/FBUK-Pillar-3-Disclosure-2022.pdf; FY2021 pp.6,10 - https://fidbank.co.uk/assets/Uploads/NewFolder/FBUK-Pillar-3-Disclosure-2021.pdf.
Primary-source correction (HD-064): FidBank UK's own Reporting Archive publishes standalone, entity-level Pillar 3 disclosures for FY2021-FY2024. The FY2023/FY2024 UK KM1 tables disclose CET1, Tier 1, total capital, RWA, capital ratios, leverage, LCR and NSFR; FY2021/FY2022's older disclosures give the capital base and RWA components. These replace the prior incorrect blanket claim that no Pillar 3 document existed. MREL remains not disclosed.
FY2025 PILLAR 3 STATUS (re-verified 15 September 2026): no FY2025 Pillar 3 disclosure has been published. Four filename permutations under the Bank's own /assets/Uploads/ paths return a genuine 404 while the FY2024 file at the same path still serves a 775KB PDF, so the site is live and the FY2025 document simply is not there; a Wayback CDX sweep of the whole fidbank.co.uk domain filtered on 'pillar' returns exactly three documents, the newest being the FY2024 edition (archived 17 January 2026). FidBank publishes its Pillar 3 roughly 12-13 months after year-end, so the FY2025 edition would be expected around January 2027.
Consequently CET1 Ratio, Tier 1 Ratio, Total RWAs, Leverage Ratio and NSFR are all BLANK for FY2025 and are NOT derived. The FY2025 Annual Report (a scanned, image-only filing with no text layer - Creator 'go-tiff2pdf' - read here by rendering all 69 pages at 250 dpi and OCRing, with every figure used re-checked visually at 450 dpi) discloses the capital AMOUNT (Total Tier 1 = Total Regulatory Capital = US$55,665k, Note 30, p.64) and the LCR (178%, Performance Metrics, p.7), but gives NO risk-weighted-asset amount, NO leverage ratio and NO NSFR anywhere in the document ('stable funding' returns zero hits). Total RWAs is specifically NOT back-solved from capital / the 21.99% ratio: the ratio is rounded to 2dp and the document contradicts itself on its value (see the Total Capital Ratio sheet), so any implied RWA would be both imprecise and basis-ambiguous.
COMPARATIVE DISCREPANCY, recorded not resolved: the FY2025 Annual Report's capital table shows a FY2024 comparative of US$55,005k, whereas this workbook carries US$55,029k for FY2024 sourced from the FY2024 Pillar 3 disclosure itself. The US$24k difference is unexplained in the document. Per this project's convention of preferring each year's own report, the FY2024 figure is left at 55,029 from its own Pillar 3; the AR's differing comparative is flagged here rather than silently overwritten.</t>
        </is>
      </c>
    </row>
    <row r="40" ht="409" customHeight="1">
      <c r="A40" s="8" t="inlineStr">
        <is>
          <t>(continued)
KM1 key-metrics table, section 1.4 'Key Metrics', by edition (printed folios, not PDF sheet indices): FY2024 = 2024 Pillar 3 Disclosures, folio 'Page 9 of 32' ($000's). FY2023 = 2023 Pillar 3 Disclosures, folio 'Page 9 of 31' (captioned £000's, which is a source error - see the note). FY2022 = the 31/12/2022 comparative column of that same 2023 edition. LATEST-EDITION CHECK (2026-09-17): the Bank's regulatory-information page was fetched live; the newest Pillar 3 edition published is the 2024 one, so FY2025 is blank because no edition exists, not because none was sought.
KM1 KEY METRICS SHEET - WHAT THIS IS AND HOW IT WAS BUILT
This is FidBank UK's own UK KM1 key-metrics template, with the Bank's own row numbers, labels and precision. The Bank prints its ratio rows as bare numbers under headings that state they are percentages; they are reproduced as printed, without a percent sign added.
THE CURRENCY CAPTION IS DEFECTIVE IN THE SOURCE AND IS RECORDED, NOT SILENTLY FIXED. The FY2023 edition heads the two columns of this table "31/12/2023  £000's" and "31/12/2022  £000's". The FY2024 edition heads the identical digits for 31/12/2023 - CET1 capital 57,034, total risk-weighted exposure amount 60,485, and every other value in the column - as "$000's". The same figures cannot be simultaneously sterling and dollars, so one caption is simply wrong. THE AMOUNTS ARE US DOLLARS, on three independent grounds: (a) the digits are byte-identical across the two editions, which could not happen if the presentation currency had changed between them; (b) every other table in both editions is captioned (USD'000); and (c) the rest of this workbook treats these as dollars and converts them to sterling. The rows below are therefore labelled $'000 and NO DIGIT HAS BEEN ALTERED - only the mislabelled caption is set aside, and it is set aside here in writing rather than quietly.
WHY THE AMOUNT ROWS ARE NOT CROSS-CHECKED against this workbook's metric sheets: this sheet is left in the Bank's own reporting currency (US dollars) while the metric sheets are converted to sterling, so a cell-for-cell comparison of amounts would compare two different currencies. The ratio rows are currency-free and ARE cross-checked.
FY2022 IS A COMPARATIVE COLUMN, NOT AN OWN EDITION. The FY2022 Pillar 3 edition exists but contains no key-metrics table of any kind - confirmed by reading its full text layer (about 76,000 characters, so not an extraction failure) and finding zero occurrences of 'Available own funds', 'Total SREP own funds', 'Additional CET1 SREP', 'risk-weighted exposure amount', 'Combined buffer requirement', 'Net Stable Funding', 'Key Metrics' or 'Leverage ratio'. The FY2022 column here is therefore the FY2023 edition's own 31/12/2022 comparative column, reproduced in that edition's row structure and flagged so it is never mistaken for a FY2022-edition disclosure.
ROW 18 DIVERGES BETWEEN EDITIONS AND THE OWN-EDITION FIGURE IS THE ONE SHOWN. For FY2023, total available stable funding is printed as 96,213 in the FY2023 edition and as 96,123 in the FY2024 edition's comparative column - a transposed pair of digits somewhere, but the source does not say which edition is wrong and it is not this workbook's place to decide. 96,213 is carried here because each year comes from its own edition. The divergence is recorded rather than reconciled.
ROW 12 IS PRINTED WITH NO VALUES in both editions - the row exists in the table and its cells are empty. It is reproduced as a present-but-blank row, not dropped and not filled with a zero.</t>
        </is>
      </c>
    </row>
    <row r="42" ht="409" customHeight="1">
      <c r="A42" s="8" t="inlineStr">
        <is>
          <t>(continued)
ROW 10 PRINTS 'N.A.' (the glyph in both the FY2024 and FY2023 editions, in the FY2024, FY2023 and FY2022 columns) and the cells carry the plain ASCII '-' under KM1 transcription rule 2 (a printed dash/'n/a' becomes '-', the glyph is recorded here). It is the Bank's own statement that the G-SII buffer does not apply to it; it is not a blank and it is certainly not a zero. (Changed 2026-09-19, GA-020: the cells previously carried the literal text 'N.A.'.)
THE TOP ROW IS NOT PART OF THE TEMPLATE (added 2026-09-19). It is bracketed, unnumbered and labelled '[Edition status for this year - not a KM1 template row]'. It carries no figure and is not one of the Bank's rows; it exists only so the FY2025 column states in the grid what this note states in prose. The Bank's own rows below it are untouched - same order, same numbers, same labels, same precision.
FY2025 AND FY2021 CARRY NO TEMPLATE FIGURES. No FY2025 Pillar 3 edition has been published (the FY2025 column's top row says so; see also the source note). The FY2021 edition predates the Bank's adoption of the template and carries no key-metrics table, and no later edition reaches back to 2021 with a comparative column, so there is nothing to transcribe and nothing is inferred from the CET1 ratio and RWA figures that the metric sheets carry for that year.
ENTITY BASIS. The Bank states in its own Pillar 3 that it is a single entity and that no prudential consolidation is performed, so these are the UK entity's own figures on the only basis it reports.</t>
        </is>
      </c>
    </row>
  </sheetData>
  <mergeCells count="3">
    <mergeCell ref="A40:E40"/>
    <mergeCell ref="A42:E42"/>
    <mergeCell ref="A38:E3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FidBank UK Limited — CET1 Capital</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row>
    <row r="4">
      <c r="A4" s="6" t="inlineStr">
        <is>
          <t>CET1 Capital (= Total Regulatory Capital)</t>
        </is>
      </c>
      <c r="B4" s="6" t="n">
        <v>41233.3</v>
      </c>
      <c r="C4" s="6" t="n">
        <v>44023.2</v>
      </c>
      <c r="D4" s="6" t="n">
        <v>44908.7</v>
      </c>
      <c r="E4" s="6" t="n">
        <v>29204.2</v>
      </c>
      <c r="F4" s="6" t="n">
        <v>30161.5</v>
      </c>
    </row>
    <row r="5" ht="91" customHeight="1">
      <c r="A5" s="7" t="inlineStr">
        <is>
          <t>Note: Sourced from Note 30(f) 'Capital adequacy' (Annual Report and Financial Statements, various years) - an analysis of the items comprising the Regulatory Capital base reported to the PRA. This table gives actual capital AMOUNTS (Total Tier 1 Capital / Total Regulatory Capital), not previously captured in this workbook, which had only the entity's separately-disclosed headline 'Capital Ratio' (Shareholders' Funds / RWA). Since Total Regulatory Capital exactly equals Total Tier 1 Capital in every year disclosed (no AT1 or Tier 2 capital line appears), CET1 Capital, Tier 1 Capital, and Total Capital are shown here as equal to that same figure - the capital base is entirely ordinary share capital and reserves less intangibles, with no other capital instruments. RWA itself is never disclosed in any filing reviewed (see CET1 Ratio/Tier 1 Ratio/Total RWAs/Leverage Ratio sheets), so these ratios cannot be derived from this table - only the Capital Ratio proxy (Total Capital Ratio sheet) is available. FY2021: no equivalent table exists (no capital-adequacy note for FY2021 in any filing reviewed).</t>
        </is>
      </c>
    </row>
    <row r="7" ht="409" customHeight="1">
      <c r="A7" s="8" t="inlineStr">
        <is>
          <t>Sources - FidBank UK Limited Pillar 3/capital basis:
FY2025, FY2024: Annual Report and Financial Statements for the year ended 31 December 2025 - "Financial Highlights" (p.6) and "Performance Metrics" (p.7) - https://find-and-update.company-information.service.gov.uk/company/04661188/filing-history/MzUzMzg1ODU2NWFkaXF6a2N4/document?format=pdf&amp;download=0
FY2023, FY2022, FY2021: Annual Report and Financial Statements for the year ended 31 December 2025's own 5-year "Financial Highlights" comparative table (p.6), cross-checked against the FY2023 Annual Report's own 5-year Financial Highlights table (p.3), which independently confirms the same FY2023/FY2022/FY2021 figures - https://find-and-update.company-information.service.gov.uk/company/04661188/filing-history/MzUzMzg1ODU2NWFkaXF6a2N4/document?format=pdf&amp;download=0 ; https://find-and-update.company-information.service.gov.uk/company/04661188/filing-history/MzQxOTU1NjA5M2FkaXF6a2N4/document?format=pdf&amp;download=0
Pillar 3 sources: FY2024 p.9 - https://fidbank.co.uk/assets/Uploads/NewFolder/FidBank-UK-Pillar-3-Disclosure-2024.pdf; FY2023 p.9 - https://fidbank.co.uk/assets/Uploads/NewFolder/FidBank-UK-Pillar-3-Disclosure-2023.pdf; FY2022 pp.6,10 - https://fidbank.co.uk/assets/Uploads/NewFolder/FBUK-Pillar-3-Disclosure-2022.pdf; FY2021 pp.6,10 - https://fidbank.co.uk/assets/Uploads/NewFolder/FBUK-Pillar-3-Disclosure-2021.pdf.
Primary-source correction (HD-064): FidBank UK's own Reporting Archive publishes standalone, entity-level Pillar 3 disclosures for FY2021-FY2024. The FY2023/FY2024 UK KM1 tables disclose CET1, Tier 1, total capital, RWA, capital ratios, leverage, LCR and NSFR; FY2021/FY2022's older disclosures give the capital base and RWA components. These replace the prior incorrect blanket claim that no Pillar 3 document existed. MREL remains not disclosed.
FY2025 PILLAR 3 STATUS (re-verified 15 September 2026): no FY2025 Pillar 3 disclosure has been published. Four filename permutations under the Bank's own /assets/Uploads/ paths return a genuine 404 while the FY2024 file at the same path still serves a 775KB PDF, so the site is live and the FY2025 document simply is not there; a Wayback CDX sweep of the whole fidbank.co.uk domain filtered on 'pillar' returns exactly three documents, the newest being the FY2024 edition (archived 17 January 2026). FidBank publishes its Pillar 3 roughly 12-13 months after year-end, so the FY2025 edition would be expected around January 2027.
Consequently CET1 Ratio, Tier 1 Ratio, Total RWAs, Leverage Ratio and NSFR are all BLANK for FY2025 and are NOT derived. The FY2025 Annual Report (a scanned, image-only filing with no text layer - Creator 'go-tiff2pdf' - read here by rendering all 69 pages at 250 dpi and OCRing, with every figure used re-checked visually at 450 dpi) discloses the capital AMOUNT (Total Tier 1 = Total Regulatory Capital = US$55,665k, Note 30, p.64) and the LCR (178%, Performance Metrics, p.7), but gives NO risk-weighted-asset amount, NO leverage ratio and NO NSFR anywhere in the document ('stable funding' returns zero hits). Total RWAs is specifically NOT back-solved from capital / the 21.99% ratio: the ratio is rounded to 2dp and the document contradicts itself on its value (see the Total Capital Ratio sheet), so any implied RWA would be both imprecise and basis-ambiguous.
COMPARATIVE DISCREPANCY, recorded not resolved: the FY2025 Annual Report's capital table shows a FY2024 comparative of US$55,005k, whereas this workbook carries US$55,029k for FY2024 sourced from the FY2024 Pillar 3 disclosure itself. The US$24k difference is unexplained in the document. Per this project's convention of preferring each year's own report, the FY2024 figure is left at 55,029 from its own Pillar 3; the AR's differing comparative is flagged here rather than silently overwritten.</t>
        </is>
      </c>
    </row>
    <row r="9" ht="409" customHeight="1">
      <c r="A9" s="8" t="inlineStr">
        <is>
          <t>(continued)
Sourced from Note 30(f) 'Capital adequacy' (Annual Report and Financial Statements, various years) - an analysis of the items comprising the Regulatory Capital base reported to the PRA. This table gives actual capital AMOUNTS (Total Tier 1 Capital / Total Regulatory Capital), not previously captured in this workbook, which had only the entity's separately-disclosed headline 'Capital Ratio' (Shareholders' Funds / RWA). Since Total Regulatory Capital exactly equals Total Tier 1 Capital in every year disclosed (no AT1 or Tier 2 capital line appears), CET1 Capital, Tier 1 Capital, and Total Capital are shown here as equal to that same figure - the capital base is entirely ordinary share capital and reserves less intangibles, with no other capital instruments. RWA itself is never disclosed in any filing reviewed (see CET1 Ratio/Tier 1 Ratio/Total RWAs/Leverage Ratio sheets), so these ratios cannot be derived from this table - only the Capital Ratio proxy (Total Capital Ratio sheet) is available. FY2021: no equivalent table exists (no capital-adequacy note for FY2021 in any filing reviewed).</t>
        </is>
      </c>
    </row>
  </sheetData>
  <mergeCells count="3">
    <mergeCell ref="A5:F5"/>
    <mergeCell ref="A7:F7"/>
    <mergeCell ref="A9:F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FidBank UK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CET1 ratio</t>
        </is>
      </c>
      <c r="B4" s="6" t="inlineStr">
        <is>
          <t>Not published - no FY2025 Pillar 3 edition; no RWA denominator in AR2025</t>
        </is>
      </c>
      <c r="C4" s="6" t="inlineStr">
        <is>
          <t>41.28%</t>
        </is>
      </c>
      <c r="D4" s="6" t="inlineStr">
        <is>
          <t>94.29%</t>
        </is>
      </c>
      <c r="E4" s="6" t="inlineStr">
        <is>
          <t>53.45%</t>
        </is>
      </c>
      <c r="F4" s="6" t="inlineStr">
        <is>
          <t>39.60%</t>
        </is>
      </c>
    </row>
    <row r="5" ht="169" customHeight="1">
      <c r="A5" s="7" t="inlineStr">
        <is>
          <t>Note: FY2024-FY2022 are FidBank UK's own UK KM1 disclosures. FY2021 is calculated from its own disclosed CET1 capital and Pillar 1 RWA components; the Annual Report's 40% headline is rounded.
FY2025 IS A RECORDED ABSENCE, NOT AN UNCHECKED CELL (written into the column 2026-09-19). Three things were re-verified this session rather than inherited. (1) No FY2025 Pillar 3 edition exists: FidBank's site carries no disclosures index at all (regulatory-information.html and media-page.html both fetched as HTML on 19/09/2026, neither links any PDF), its Pillar 3 files are unlinked uploads, and two filename permutations for a 2025 edition under that upload path return HTTP 404 while the FY2024 file at the identical path returns HTTP 200 with Content-Type application/pdf - a positive control in the same sweep. A Wayback CDX sweep of the whole fidbank.co.uk domain lists three Pillar 3 PDFs ever, the newest being FY2024 (archived 17/01/2026). (2) The FY2025 Annual Report does not supply the figure. That filing is an image-only scan (Creator 'go-tiff2pdf'; pdftotext returns 69 bytes and ZERO hits for ' the ' across 69 pages, so a text search of it indicts the instrument, not the Bank). It was re-rasterised at 300 dpi and OCR'd here, giving 1,276 hits for ' the ' as the richness control; on that OCR there is no RWA amount, no leverage ratio, no NSFR mention of any kind, and no CET1 line - note 30's capital table (printed p.64) gives capital AMOUNTS only (Total Tier 1 Capital = Total Regulatory Capital = US$55,665k, 2024: 55,005). (3) It is not due yet: FidBank publishes its Pillar 3 roughly 12-13 months after year-end, so an FY2025 edition is expected around January 2027. Nothing is back-solved - Total RWAs is specifically NOT computed as capital divided by the 21.99% ratio, for the reasons in the Total Capital Ratio sheet's note.</t>
        </is>
      </c>
    </row>
    <row r="7" ht="409" customHeight="1">
      <c r="A7" s="8" t="inlineStr">
        <is>
          <t xml:space="preserve">Sources - FidBank UK Limited Pillar 3/capital basis:
FY2025, FY2024: Annual Report and Financial Statements for the year ended 31 December 2025 - "Financial Highlights" (p.6) and "Performance Metrics" (p.7) - https://find-and-update.company-information.service.gov.uk/company/04661188/filing-history/MzUzMzg1ODU2NWFkaXF6a2N4/document?format=pdf&amp;download=0
FY2023, FY2022, FY2021: Annual Report and Financial Statements for the year ended 31 December 2025's own 5-year "Financial Highlights" comparative table (p.6), cross-checked against the FY2023 Annual Report's own 5-year Financial Highlights table (p.3), which independently confirms the same FY2023/FY2022/FY2021 figures - https://find-and-update.company-information.service.gov.uk/company/04661188/filing-history/MzUzMzg1ODU2NWFkaXF6a2N4/document?format=pdf&amp;download=0 ; https://find-and-update.company-information.service.gov.uk/company/04661188/filing-history/MzQxOTU1NjA5M2FkaXF6a2N4/document?format=pdf&amp;download=0
Pillar 3 sources: FY2024 p.9 - https://fidbank.co.uk/assets/Uploads/NewFolder/FidBank-UK-Pillar-3-Disclosure-2024.pdf; FY2023 p.9 - https://fidbank.co.uk/assets/Uploads/NewFolder/FidBank-UK-Pillar-3-Disclosure-2023.pdf; FY2022 pp.6,10 - https://fidbank.co.uk/assets/Uploads/NewFolder/FBUK-Pillar-3-Disclosure-2022.pdf; FY2021 pp.6,10 - https://fidbank.co.uk/assets/Uploads/NewFolder/FBUK-Pillar-3-Disclosure-2021.pdf.
Primary-source correction (HD-064): FidBank UK's own Reporting Archive publishes standalone, entity-level Pillar 3 disclosures for FY2021-FY2024. The FY2023/FY2024 UK KM1 tables disclose CET1, Tier 1, total capital, RWA, capital ratios, leverage, LCR and NSFR; FY2021/FY2022's older disclosures give the capital base and RWA components. These replace the prior incorrect blanket claim that no Pillar 3 document existed. MREL remains not disclosed.
FY2025 PILLAR 3 STATUS (re-verified 15 September 2026): no FY2025 Pillar 3 disclosure has been published. Four filename permutations under the Bank's own /assets/Uploads/ paths return a genuine 404 while the FY2024 file at the same path still serves a 775KB PDF, so the site is live and the FY2025 document simply is not there; a Wayback CDX sweep of the whole fidbank.co.uk domain filtered on 'pillar' returns exactly three documents, the newest being the FY2024 edition (archived 17 January 2026). FidBank publishes its Pillar 3 roughly 12-13 months after year-end, so the FY2025 edition would be expected around January 2027.
Consequently CET1 Ratio, Tier 1 Ratio, Total RWAs, Leverage Ratio and NSFR are all BLANK for FY2025 and are NOT derived. The FY2025 Annual Report (a scanned, image-only filing with no text layer - Creator 'go-tiff2pdf' - read here by rendering all 69 pages at 250 dpi and OCRing, with every figure used re-checked visually at 450 dpi) discloses the capital AMOUNT (Total Tier 1 = Total Regulatory Capital = US$55,665k, Note 30, p.64) and the LCR (178%, Performance Metrics, p.7), but gives NO risk-weighted-asset amount, NO leverage ratio and NO NSFR anywhere in the document ('stable funding' returns zero hits). Total RWAs is specifically NOT back-solved from capital / the 21.99% ratio: the ratio is rounded to 2dp and the document contradicts itself on its value (see the Total Capital Ratio sheet), so any implied RWA would be both imprecise and basis-ambiguous.
COMPARATIVE DISCREPANCY, recorded not resolved: the FY2025 Annual Report's capital table shows a FY2024 comparative of US$55,005k, whereas this workbook carries US$55,029k for FY2024 sourced from the FY2024 Pillar 3 disclosure itself. The US$24k difference is unexplained in the document. Per this project's convention of preferring each year's own report, the FY2024 figure is left at 55,029 from its own Pillar 3; the AR's differing comparative is flagged here rather than silently overwritten.
</t>
        </is>
      </c>
    </row>
  </sheetData>
  <mergeCells count="2">
    <mergeCell ref="A5:F5"/>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FidBank UK Limited — Tier 1 Capital</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Tier 1 Capital</t>
        </is>
      </c>
      <c r="B4" s="6" t="n">
        <v>41233.3</v>
      </c>
      <c r="C4" s="6" t="n">
        <v>44023.2</v>
      </c>
      <c r="D4" s="6" t="n">
        <v>44908.7</v>
      </c>
      <c r="E4" s="6" t="n">
        <v>29204.2</v>
      </c>
      <c r="F4" s="6" t="n">
        <v>30161.5</v>
      </c>
    </row>
    <row r="5" ht="91" customHeight="1">
      <c r="A5" s="7" t="inlineStr">
        <is>
          <t>Note: Sourced from Note 30(f) 'Capital adequacy' (Annual Report and Financial Statements, various years) - an analysis of the items comprising the Regulatory Capital base reported to the PRA. This table gives actual capital AMOUNTS (Total Tier 1 Capital / Total Regulatory Capital), not previously captured in this workbook, which had only the entity's separately-disclosed headline 'Capital Ratio' (Shareholders' Funds / RWA). Since Total Regulatory Capital exactly equals Total Tier 1 Capital in every year disclosed (no AT1 or Tier 2 capital line appears), CET1 Capital, Tier 1 Capital, and Total Capital are shown here as equal to that same figure - the capital base is entirely ordinary share capital and reserves less intangibles, with no other capital instruments. RWA itself is never disclosed in any filing reviewed (see CET1 Ratio/Tier 1 Ratio/Total RWAs/Leverage Ratio sheets), so these ratios cannot be derived from this table - only the Capital Ratio proxy (Total Capital Ratio sheet) is available. FY2021: no equivalent table exists (no capital-adequacy note for FY2021 in any filing reviewed).</t>
        </is>
      </c>
    </row>
    <row r="7" ht="409" customHeight="1">
      <c r="A7" s="8" t="inlineStr">
        <is>
          <t>Sources - FidBank UK Limited Pillar 3/capital basis:
FY2025, FY2024: Annual Report and Financial Statements for the year ended 31 December 2025 - "Financial Highlights" (p.6) and "Performance Metrics" (p.7) - https://find-and-update.company-information.service.gov.uk/company/04661188/filing-history/MzUzMzg1ODU2NWFkaXF6a2N4/document?format=pdf&amp;download=0
FY2023, FY2022, FY2021: Annual Report and Financial Statements for the year ended 31 December 2025's own 5-year "Financial Highlights" comparative table (p.6), cross-checked against the FY2023 Annual Report's own 5-year Financial Highlights table (p.3), which independently confirms the same FY2023/FY2022/FY2021 figures - https://find-and-update.company-information.service.gov.uk/company/04661188/filing-history/MzUzMzg1ODU2NWFkaXF6a2N4/document?format=pdf&amp;download=0 ; https://find-and-update.company-information.service.gov.uk/company/04661188/filing-history/MzQxOTU1NjA5M2FkaXF6a2N4/document?format=pdf&amp;download=0
Pillar 3 sources: FY2024 p.9 - https://fidbank.co.uk/assets/Uploads/NewFolder/FidBank-UK-Pillar-3-Disclosure-2024.pdf; FY2023 p.9 - https://fidbank.co.uk/assets/Uploads/NewFolder/FidBank-UK-Pillar-3-Disclosure-2023.pdf; FY2022 pp.6,10 - https://fidbank.co.uk/assets/Uploads/NewFolder/FBUK-Pillar-3-Disclosure-2022.pdf; FY2021 pp.6,10 - https://fidbank.co.uk/assets/Uploads/NewFolder/FBUK-Pillar-3-Disclosure-2021.pdf.
Primary-source correction (HD-064): FidBank UK's own Reporting Archive publishes standalone, entity-level Pillar 3 disclosures for FY2021-FY2024. The FY2023/FY2024 UK KM1 tables disclose CET1, Tier 1, total capital, RWA, capital ratios, leverage, LCR and NSFR; FY2021/FY2022's older disclosures give the capital base and RWA components. These replace the prior incorrect blanket claim that no Pillar 3 document existed. MREL remains not disclosed.
FY2025 PILLAR 3 STATUS (re-verified 15 September 2026): no FY2025 Pillar 3 disclosure has been published. Four filename permutations under the Bank's own /assets/Uploads/ paths return a genuine 404 while the FY2024 file at the same path still serves a 775KB PDF, so the site is live and the FY2025 document simply is not there; a Wayback CDX sweep of the whole fidbank.co.uk domain filtered on 'pillar' returns exactly three documents, the newest being the FY2024 edition (archived 17 January 2026). FidBank publishes its Pillar 3 roughly 12-13 months after year-end, so the FY2025 edition would be expected around January 2027.
Consequently CET1 Ratio, Tier 1 Ratio, Total RWAs, Leverage Ratio and NSFR are all BLANK for FY2025 and are NOT derived. The FY2025 Annual Report (a scanned, image-only filing with no text layer - Creator 'go-tiff2pdf' - read here by rendering all 69 pages at 250 dpi and OCRing, with every figure used re-checked visually at 450 dpi) discloses the capital AMOUNT (Total Tier 1 = Total Regulatory Capital = US$55,665k, Note 30, p.64) and the LCR (178%, Performance Metrics, p.7), but gives NO risk-weighted-asset amount, NO leverage ratio and NO NSFR anywhere in the document ('stable funding' returns zero hits). Total RWAs is specifically NOT back-solved from capital / the 21.99% ratio: the ratio is rounded to 2dp and the document contradicts itself on its value (see the Total Capital Ratio sheet), so any implied RWA would be both imprecise and basis-ambiguous.
COMPARATIVE DISCREPANCY, recorded not resolved: the FY2025 Annual Report's capital table shows a FY2024 comparative of US$55,005k, whereas this workbook carries US$55,029k for FY2024 sourced from the FY2024 Pillar 3 disclosure itself. The US$24k difference is unexplained in the document. Per this project's convention of preferring each year's own report, the FY2024 figure is left at 55,029 from its own Pillar 3; the AR's differing comparative is flagged here rather than silently overwritten.</t>
        </is>
      </c>
    </row>
    <row r="9" ht="409" customHeight="1">
      <c r="A9" s="8" t="inlineStr">
        <is>
          <t>(continued)
Sourced from Note 30(f) 'Capital adequacy' (Annual Report and Financial Statements, various years) - an analysis of the items comprising the Regulatory Capital base reported to the PRA. This table gives actual capital AMOUNTS (Total Tier 1 Capital / Total Regulatory Capital), not previously captured in this workbook, which had only the entity's separately-disclosed headline 'Capital Ratio' (Shareholders' Funds / RWA). Since Total Regulatory Capital exactly equals Total Tier 1 Capital in every year disclosed (no AT1 or Tier 2 capital line appears), CET1 Capital, Tier 1 Capital, and Total Capital are shown here as equal to that same figure - the capital base is entirely ordinary share capital and reserves less intangibles, with no other capital instruments. RWA itself is never disclosed in any filing reviewed (see CET1 Ratio/Tier 1 Ratio/Total RWAs/Leverage Ratio sheets), so these ratios cannot be derived from this table - only the Capital Ratio proxy (Total Capital Ratio sheet) is available. FY2021: no equivalent table exists (no capital-adequacy note for FY2021 in any filing reviewed).</t>
        </is>
      </c>
    </row>
  </sheetData>
  <mergeCells count="3">
    <mergeCell ref="A5:F5"/>
    <mergeCell ref="A7:F7"/>
    <mergeCell ref="A9:F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FidBank UK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Not published - no FY2025 Pillar 3 edition; no RWA denominator in AR2025</t>
        </is>
      </c>
      <c r="C4" s="6" t="inlineStr">
        <is>
          <t>41.28%</t>
        </is>
      </c>
      <c r="D4" s="6" t="inlineStr">
        <is>
          <t>94.29%</t>
        </is>
      </c>
      <c r="E4" s="6" t="inlineStr">
        <is>
          <t>53.45%</t>
        </is>
      </c>
      <c r="F4" s="6" t="inlineStr">
        <is>
          <t>39.60%</t>
        </is>
      </c>
    </row>
    <row r="5" ht="156" customHeight="1">
      <c r="A5" s="7" t="inlineStr">
        <is>
          <t>Note: FidBank has no AT1 or Tier 2 in the disclosed periods, so Tier 1 equals CET1.
FY2025 IS A RECORDED ABSENCE, NOT AN UNCHECKED CELL (written into the column 2026-09-19). Three things were re-verified this session rather than inherited. (1) No FY2025 Pillar 3 edition exists: FidBank's site carries no disclosures index at all (regulatory-information.html and media-page.html both fetched as HTML on 19/09/2026, neither links any PDF), its Pillar 3 files are unlinked uploads, and two filename permutations for a 2025 edition under that upload path return HTTP 404 while the FY2024 file at the identical path returns HTTP 200 with Content-Type application/pdf - a positive control in the same sweep. A Wayback CDX sweep of the whole fidbank.co.uk domain lists three Pillar 3 PDFs ever, the newest being FY2024 (archived 17/01/2026). (2) The FY2025 Annual Report does not supply the figure. That filing is an image-only scan (Creator 'go-tiff2pdf'; pdftotext returns 69 bytes and ZERO hits for ' the ' across 69 pages, so a text search of it indicts the instrument, not the Bank). It was re-rasterised at 300 dpi and OCR'd here, giving 1,276 hits for ' the ' as the richness control; on that OCR there is no RWA amount, no leverage ratio, no NSFR mention of any kind, and no CET1 line - note 30's capital table (printed p.64) gives capital AMOUNTS only (Total Tier 1 Capital = Total Regulatory Capital = US$55,665k, 2024: 55,005). (3) It is not due yet: FidBank publishes its Pillar 3 roughly 12-13 months after year-end, so an FY2025 edition is expected around January 2027. Nothing is back-solved - Total RWAs is specifically NOT computed as capital divided by the 21.99% ratio, for the reasons in the Total Capital Ratio sheet's note.</t>
        </is>
      </c>
    </row>
    <row r="7" ht="409" customHeight="1">
      <c r="A7" s="8" t="inlineStr">
        <is>
          <t xml:space="preserve">Sources - FidBank UK Limited Pillar 3/capital basis:
FY2025, FY2024: Annual Report and Financial Statements for the year ended 31 December 2025 - "Financial Highlights" (p.6) and "Performance Metrics" (p.7) - https://find-and-update.company-information.service.gov.uk/company/04661188/filing-history/MzUzMzg1ODU2NWFkaXF6a2N4/document?format=pdf&amp;download=0
FY2023, FY2022, FY2021: Annual Report and Financial Statements for the year ended 31 December 2025's own 5-year "Financial Highlights" comparative table (p.6), cross-checked against the FY2023 Annual Report's own 5-year Financial Highlights table (p.3), which independently confirms the same FY2023/FY2022/FY2021 figures - https://find-and-update.company-information.service.gov.uk/company/04661188/filing-history/MzUzMzg1ODU2NWFkaXF6a2N4/document?format=pdf&amp;download=0 ; https://find-and-update.company-information.service.gov.uk/company/04661188/filing-history/MzQxOTU1NjA5M2FkaXF6a2N4/document?format=pdf&amp;download=0
Pillar 3 sources: FY2024 p.9 - https://fidbank.co.uk/assets/Uploads/NewFolder/FidBank-UK-Pillar-3-Disclosure-2024.pdf; FY2023 p.9 - https://fidbank.co.uk/assets/Uploads/NewFolder/FidBank-UK-Pillar-3-Disclosure-2023.pdf; FY2022 pp.6,10 - https://fidbank.co.uk/assets/Uploads/NewFolder/FBUK-Pillar-3-Disclosure-2022.pdf; FY2021 pp.6,10 - https://fidbank.co.uk/assets/Uploads/NewFolder/FBUK-Pillar-3-Disclosure-2021.pdf.
Primary-source correction (HD-064): FidBank UK's own Reporting Archive publishes standalone, entity-level Pillar 3 disclosures for FY2021-FY2024. The FY2023/FY2024 UK KM1 tables disclose CET1, Tier 1, total capital, RWA, capital ratios, leverage, LCR and NSFR; FY2021/FY2022's older disclosures give the capital base and RWA components. These replace the prior incorrect blanket claim that no Pillar 3 document existed. MREL remains not disclosed.
FY2025 PILLAR 3 STATUS (re-verified 15 September 2026): no FY2025 Pillar 3 disclosure has been published. Four filename permutations under the Bank's own /assets/Uploads/ paths return a genuine 404 while the FY2024 file at the same path still serves a 775KB PDF, so the site is live and the FY2025 document simply is not there; a Wayback CDX sweep of the whole fidbank.co.uk domain filtered on 'pillar' returns exactly three documents, the newest being the FY2024 edition (archived 17 January 2026). FidBank publishes its Pillar 3 roughly 12-13 months after year-end, so the FY2025 edition would be expected around January 2027.
Consequently CET1 Ratio, Tier 1 Ratio, Total RWAs, Leverage Ratio and NSFR are all BLANK for FY2025 and are NOT derived. The FY2025 Annual Report (a scanned, image-only filing with no text layer - Creator 'go-tiff2pdf' - read here by rendering all 69 pages at 250 dpi and OCRing, with every figure used re-checked visually at 450 dpi) discloses the capital AMOUNT (Total Tier 1 = Total Regulatory Capital = US$55,665k, Note 30, p.64) and the LCR (178%, Performance Metrics, p.7), but gives NO risk-weighted-asset amount, NO leverage ratio and NO NSFR anywhere in the document ('stable funding' returns zero hits). Total RWAs is specifically NOT back-solved from capital / the 21.99% ratio: the ratio is rounded to 2dp and the document contradicts itself on its value (see the Total Capital Ratio sheet), so any implied RWA would be both imprecise and basis-ambiguous.
COMPARATIVE DISCREPANCY, recorded not resolved: the FY2025 Annual Report's capital table shows a FY2024 comparative of US$55,005k, whereas this workbook carries US$55,029k for FY2024 sourced from the FY2024 Pillar 3 disclosure itself. The US$24k difference is unexplained in the document. Per this project's convention of preferring each year's own report, the FY2024 figure is left at 55,029 from its own Pillar 3; the AR's differing comparative is flagged here rather than silently overwritten.
</t>
        </is>
      </c>
    </row>
  </sheetData>
  <mergeCells count="2">
    <mergeCell ref="A5:F5"/>
    <mergeCell ref="A7:F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FidBank UK Limited — Total Capital</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Regulatory Capital</t>
        </is>
      </c>
      <c r="B4" s="6" t="n">
        <v>41233.3</v>
      </c>
      <c r="C4" s="6" t="n">
        <v>44023.2</v>
      </c>
      <c r="D4" s="6" t="n">
        <v>44908.7</v>
      </c>
      <c r="E4" s="6" t="n">
        <v>29204.2</v>
      </c>
      <c r="F4" s="6" t="n">
        <v>30161.5</v>
      </c>
    </row>
    <row r="5" ht="91" customHeight="1">
      <c r="A5" s="7" t="inlineStr">
        <is>
          <t>Note: Sourced from Note 30(f) 'Capital adequacy' (Annual Report and Financial Statements, various years) - an analysis of the items comprising the Regulatory Capital base reported to the PRA. This table gives actual capital AMOUNTS (Total Tier 1 Capital / Total Regulatory Capital), not previously captured in this workbook, which had only the entity's separately-disclosed headline 'Capital Ratio' (Shareholders' Funds / RWA). Since Total Regulatory Capital exactly equals Total Tier 1 Capital in every year disclosed (no AT1 or Tier 2 capital line appears), CET1 Capital, Tier 1 Capital, and Total Capital are shown here as equal to that same figure - the capital base is entirely ordinary share capital and reserves less intangibles, with no other capital instruments. RWA itself is never disclosed in any filing reviewed (see CET1 Ratio/Tier 1 Ratio/Total RWAs/Leverage Ratio sheets), so these ratios cannot be derived from this table - only the Capital Ratio proxy (Total Capital Ratio sheet) is available. FY2021: no equivalent table exists (no capital-adequacy note for FY2021 in any filing reviewed).</t>
        </is>
      </c>
    </row>
    <row r="7" ht="409" customHeight="1">
      <c r="A7" s="8" t="inlineStr">
        <is>
          <t>Sources - FidBank UK Limited Pillar 3/capital basis:
FY2025, FY2024: Annual Report and Financial Statements for the year ended 31 December 2025 - "Financial Highlights" (p.6) and "Performance Metrics" (p.7) - https://find-and-update.company-information.service.gov.uk/company/04661188/filing-history/MzUzMzg1ODU2NWFkaXF6a2N4/document?format=pdf&amp;download=0
FY2023, FY2022, FY2021: Annual Report and Financial Statements for the year ended 31 December 2025's own 5-year "Financial Highlights" comparative table (p.6), cross-checked against the FY2023 Annual Report's own 5-year Financial Highlights table (p.3), which independently confirms the same FY2023/FY2022/FY2021 figures - https://find-and-update.company-information.service.gov.uk/company/04661188/filing-history/MzUzMzg1ODU2NWFkaXF6a2N4/document?format=pdf&amp;download=0 ; https://find-and-update.company-information.service.gov.uk/company/04661188/filing-history/MzQxOTU1NjA5M2FkaXF6a2N4/document?format=pdf&amp;download=0
Pillar 3 sources: FY2024 p.9 - https://fidbank.co.uk/assets/Uploads/NewFolder/FidBank-UK-Pillar-3-Disclosure-2024.pdf; FY2023 p.9 - https://fidbank.co.uk/assets/Uploads/NewFolder/FidBank-UK-Pillar-3-Disclosure-2023.pdf; FY2022 pp.6,10 - https://fidbank.co.uk/assets/Uploads/NewFolder/FBUK-Pillar-3-Disclosure-2022.pdf; FY2021 pp.6,10 - https://fidbank.co.uk/assets/Uploads/NewFolder/FBUK-Pillar-3-Disclosure-2021.pdf.
Primary-source correction (HD-064): FidBank UK's own Reporting Archive publishes standalone, entity-level Pillar 3 disclosures for FY2021-FY2024. The FY2023/FY2024 UK KM1 tables disclose CET1, Tier 1, total capital, RWA, capital ratios, leverage, LCR and NSFR; FY2021/FY2022's older disclosures give the capital base and RWA components. These replace the prior incorrect blanket claim that no Pillar 3 document existed. MREL remains not disclosed.
FY2025 PILLAR 3 STATUS (re-verified 15 September 2026): no FY2025 Pillar 3 disclosure has been published. Four filename permutations under the Bank's own /assets/Uploads/ paths return a genuine 404 while the FY2024 file at the same path still serves a 775KB PDF, so the site is live and the FY2025 document simply is not there; a Wayback CDX sweep of the whole fidbank.co.uk domain filtered on 'pillar' returns exactly three documents, the newest being the FY2024 edition (archived 17 January 2026). FidBank publishes its Pillar 3 roughly 12-13 months after year-end, so the FY2025 edition would be expected around January 2027.
Consequently CET1 Ratio, Tier 1 Ratio, Total RWAs, Leverage Ratio and NSFR are all BLANK for FY2025 and are NOT derived. The FY2025 Annual Report (a scanned, image-only filing with no text layer - Creator 'go-tiff2pdf' - read here by rendering all 69 pages at 250 dpi and OCRing, with every figure used re-checked visually at 450 dpi) discloses the capital AMOUNT (Total Tier 1 = Total Regulatory Capital = US$55,665k, Note 30, p.64) and the LCR (178%, Performance Metrics, p.7), but gives NO risk-weighted-asset amount, NO leverage ratio and NO NSFR anywhere in the document ('stable funding' returns zero hits). Total RWAs is specifically NOT back-solved from capital / the 21.99% ratio: the ratio is rounded to 2dp and the document contradicts itself on its value (see the Total Capital Ratio sheet), so any implied RWA would be both imprecise and basis-ambiguous.
COMPARATIVE DISCREPANCY, recorded not resolved: the FY2025 Annual Report's capital table shows a FY2024 comparative of US$55,005k, whereas this workbook carries US$55,029k for FY2024 sourced from the FY2024 Pillar 3 disclosure itself. The US$24k difference is unexplained in the document. Per this project's convention of preferring each year's own report, the FY2024 figure is left at 55,029 from its own Pillar 3; the AR's differing comparative is flagged here rather than silently overwritten.</t>
        </is>
      </c>
    </row>
    <row r="9" ht="409" customHeight="1">
      <c r="A9" s="8" t="inlineStr">
        <is>
          <t>(continued)
Sourced from Note 30(f) 'Capital adequacy' (Annual Report and Financial Statements, various years) - an analysis of the items comprising the Regulatory Capital base reported to the PRA. This table gives actual capital AMOUNTS (Total Tier 1 Capital / Total Regulatory Capital), not previously captured in this workbook, which had only the entity's separately-disclosed headline 'Capital Ratio' (Shareholders' Funds / RWA). Since Total Regulatory Capital exactly equals Total Tier 1 Capital in every year disclosed (no AT1 or Tier 2 capital line appears), CET1 Capital, Tier 1 Capital, and Total Capital are shown here as equal to that same figure - the capital base is entirely ordinary share capital and reserves less intangibles, with no other capital instruments. RWA itself is never disclosed in any filing reviewed (see CET1 Ratio/Tier 1 Ratio/Total RWAs/Leverage Ratio sheets), so these ratios cannot be derived from this table - only the Capital Ratio proxy (Total Capital Ratio sheet) is available. FY2021: no equivalent table exists (no capital-adequacy note for FY2021 in any filing reviewed).</t>
        </is>
      </c>
    </row>
  </sheetData>
  <mergeCells count="3">
    <mergeCell ref="A5:F5"/>
    <mergeCell ref="A7:F7"/>
    <mergeCell ref="A9:F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FidBank UK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n"/>
      <c r="C4" s="6" t="inlineStr">
        <is>
          <t>41.28%</t>
        </is>
      </c>
      <c r="D4" s="6" t="inlineStr">
        <is>
          <t>94.29%</t>
        </is>
      </c>
      <c r="E4" s="6" t="inlineStr">
        <is>
          <t>53.45%</t>
        </is>
      </c>
      <c r="F4" s="6" t="inlineStr">
        <is>
          <t>39.60%</t>
        </is>
      </c>
    </row>
    <row r="5">
      <c r="A5" s="6" t="inlineStr">
        <is>
          <t>Annual Report capital-ratio proxy (Shareholders' Funds ÷ RWA)</t>
        </is>
      </c>
      <c r="B5" s="6" t="inlineStr">
        <is>
          <t>21.99%</t>
        </is>
      </c>
      <c r="C5" s="6" t="inlineStr">
        <is>
          <t>43%</t>
        </is>
      </c>
      <c r="D5" s="6" t="inlineStr">
        <is>
          <t>98%</t>
        </is>
      </c>
      <c r="E5" s="6" t="inlineStr">
        <is>
          <t>54%</t>
        </is>
      </c>
      <c r="F5" s="6" t="inlineStr">
        <is>
          <t>40%</t>
        </is>
      </c>
    </row>
    <row r="6" ht="104" customHeight="1">
      <c r="A6" s="7" t="inlineStr">
        <is>
          <t>Note: The first row is the standard regulatory ratio from FidBank UK's own Pillar 3 disclosures. The Annual Report's different accounting-equity proxy is retained separately for comparability - the two bases demonstrably differ (FY2024: 41.28% on the KM1 basis vs 43% on the AR proxy), which is why no FY2025 KM1-basis ratio is inferred from the AR. FY2025 PROXY VALUE CORRECTED AND A SOURCE INCONSISTENCY FLAGGED (verified 15 September 2026): this cell previously read 21.46%, a figure that appears NOWHERE in the FY2025 Annual Report and was a transcription error. The Annual Report itself states the FY2025 capital ratio TWO DIFFERENT WAYS: the 'Key Performance Indicators' section (p.12) gives 21.99% twice - 'FBUK's capital over risk weighted assets was 21.99% (2024: 43%)' and 'decreased from 43% in 2024 to 21.99% in 2025' - while the 'Performance Metrics' infographic (p.7) gives 21.64% for the same measure and year. Both readings were confirmed visually at 450 dpi, not by OCR alone. This workbook uses the 21.99% figure because it appears in the formal KPI section of the Strategic Report, is stated twice, and is accompanied by a narrative explanation of the movement, whereas p.7 is a summary infographic; the 21.64% alternative is recorded here rather than discarded, and the inconsistency is the Bank's own, not this workbook's.</t>
        </is>
      </c>
    </row>
    <row r="8" ht="409" customHeight="1">
      <c r="A8" s="8" t="inlineStr">
        <is>
          <t xml:space="preserve">Sources - FidBank UK Limited Pillar 3/capital basis:
FY2025, FY2024: Annual Report and Financial Statements for the year ended 31 December 2025 - "Financial Highlights" (p.6) and "Performance Metrics" (p.7) - https://find-and-update.company-information.service.gov.uk/company/04661188/filing-history/MzUzMzg1ODU2NWFkaXF6a2N4/document?format=pdf&amp;download=0
FY2023, FY2022, FY2021: Annual Report and Financial Statements for the year ended 31 December 2025's own 5-year "Financial Highlights" comparative table (p.6), cross-checked against the FY2023 Annual Report's own 5-year Financial Highlights table (p.3), which independently confirms the same FY2023/FY2022/FY2021 figures - https://find-and-update.company-information.service.gov.uk/company/04661188/filing-history/MzUzMzg1ODU2NWFkaXF6a2N4/document?format=pdf&amp;download=0 ; https://find-and-update.company-information.service.gov.uk/company/04661188/filing-history/MzQxOTU1NjA5M2FkaXF6a2N4/document?format=pdf&amp;download=0
Pillar 3 sources: FY2024 p.9 - https://fidbank.co.uk/assets/Uploads/NewFolder/FidBank-UK-Pillar-3-Disclosure-2024.pdf; FY2023 p.9 - https://fidbank.co.uk/assets/Uploads/NewFolder/FidBank-UK-Pillar-3-Disclosure-2023.pdf; FY2022 pp.6,10 - https://fidbank.co.uk/assets/Uploads/NewFolder/FBUK-Pillar-3-Disclosure-2022.pdf; FY2021 pp.6,10 - https://fidbank.co.uk/assets/Uploads/NewFolder/FBUK-Pillar-3-Disclosure-2021.pdf.
Primary-source correction (HD-064): FidBank UK's own Reporting Archive publishes standalone, entity-level Pillar 3 disclosures for FY2021-FY2024. The FY2023/FY2024 UK KM1 tables disclose CET1, Tier 1, total capital, RWA, capital ratios, leverage, LCR and NSFR; FY2021/FY2022's older disclosures give the capital base and RWA components. These replace the prior incorrect blanket claim that no Pillar 3 document existed. MREL remains not disclosed.
FY2025 PILLAR 3 STATUS (re-verified 15 September 2026): no FY2025 Pillar 3 disclosure has been published. Four filename permutations under the Bank's own /assets/Uploads/ paths return a genuine 404 while the FY2024 file at the same path still serves a 775KB PDF, so the site is live and the FY2025 document simply is not there; a Wayback CDX sweep of the whole fidbank.co.uk domain filtered on 'pillar' returns exactly three documents, the newest being the FY2024 edition (archived 17 January 2026). FidBank publishes its Pillar 3 roughly 12-13 months after year-end, so the FY2025 edition would be expected around January 2027.
Consequently CET1 Ratio, Tier 1 Ratio, Total RWAs, Leverage Ratio and NSFR are all BLANK for FY2025 and are NOT derived. The FY2025 Annual Report (a scanned, image-only filing with no text layer - Creator 'go-tiff2pdf' - read here by rendering all 69 pages at 250 dpi and OCRing, with every figure used re-checked visually at 450 dpi) discloses the capital AMOUNT (Total Tier 1 = Total Regulatory Capital = US$55,665k, Note 30, p.64) and the LCR (178%, Performance Metrics, p.7), but gives NO risk-weighted-asset amount, NO leverage ratio and NO NSFR anywhere in the document ('stable funding' returns zero hits). Total RWAs is specifically NOT back-solved from capital / the 21.99% ratio: the ratio is rounded to 2dp and the document contradicts itself on its value (see the Total Capital Ratio sheet), so any implied RWA would be both imprecise and basis-ambiguous.
COMPARATIVE DISCREPANCY, recorded not resolved: the FY2025 Annual Report's capital table shows a FY2024 comparative of US$55,005k, whereas this workbook carries US$55,029k for FY2024 sourced from the FY2024 Pillar 3 disclosure itself. The US$24k difference is unexplained in the document. Per this project's convention of preferring each year's own report, the FY2024 figure is left at 55,029 from its own Pillar 3; the AR's differing comparative is flagged here rather than silently overwritten.
</t>
        </is>
      </c>
    </row>
  </sheetData>
  <mergeCells count="2">
    <mergeCell ref="A8:F8"/>
    <mergeCell ref="A6:F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FidBank UK Limited — Total RWAs</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exposure amount</t>
        </is>
      </c>
      <c r="B4" s="6" t="inlineStr">
        <is>
          <t>Not disclosed - AR2025 prints no RWA amount; no FY2025 Pillar 3 edition</t>
        </is>
      </c>
      <c r="C4" s="6" t="n">
        <v>106648</v>
      </c>
      <c r="D4" s="6" t="n">
        <v>47626</v>
      </c>
      <c r="E4" s="6" t="n">
        <v>54642.5</v>
      </c>
      <c r="F4" s="6" t="n">
        <v>76166.7</v>
      </c>
    </row>
    <row r="5" ht="169" customHeight="1">
      <c r="A5" s="7" t="inlineStr">
        <is>
          <t>Note: FY2024-FY2022 are directly disclosed in UK KM1. FY2021 is the sum of the source's own Pillar 1 capital requirements divided by 8%; it reconciles to the Annual Report's rounded 40% capital proxy.
FY2025 IS A RECORDED ABSENCE, NOT AN UNCHECKED CELL (written into the column 2026-09-19). Three things were re-verified this session rather than inherited. (1) No FY2025 Pillar 3 edition exists: FidBank's site carries no disclosures index at all (regulatory-information.html and media-page.html both fetched as HTML on 19/09/2026, neither links any PDF), its Pillar 3 files are unlinked uploads, and two filename permutations for a 2025 edition under that upload path return HTTP 404 while the FY2024 file at the identical path returns HTTP 200 with Content-Type application/pdf - a positive control in the same sweep. A Wayback CDX sweep of the whole fidbank.co.uk domain lists three Pillar 3 PDFs ever, the newest being FY2024 (archived 17/01/2026). (2) The FY2025 Annual Report does not supply the figure. That filing is an image-only scan (Creator 'go-tiff2pdf'; pdftotext returns 69 bytes and ZERO hits for ' the ' across 69 pages, so a text search of it indicts the instrument, not the Bank). It was re-rasterised at 300 dpi and OCR'd here, giving 1,276 hits for ' the ' as the richness control; on that OCR there is no RWA amount, no leverage ratio, no NSFR mention of any kind, and no CET1 line - note 30's capital table (printed p.64) gives capital AMOUNTS only (Total Tier 1 Capital = Total Regulatory Capital = US$55,665k, 2024: 55,005). (3) It is not due yet: FidBank publishes its Pillar 3 roughly 12-13 months after year-end, so an FY2025 edition is expected around January 2027. Nothing is back-solved - Total RWAs is specifically NOT computed as capital divided by the 21.99% ratio, for the reasons in the Total Capital Ratio sheet's note.</t>
        </is>
      </c>
    </row>
    <row r="7" ht="409" customHeight="1">
      <c r="A7" s="8" t="inlineStr">
        <is>
          <t xml:space="preserve">Sources - FidBank UK Limited Pillar 3/capital basis:
FY2025, FY2024: Annual Report and Financial Statements for the year ended 31 December 2025 - "Financial Highlights" (p.6) and "Performance Metrics" (p.7) - https://find-and-update.company-information.service.gov.uk/company/04661188/filing-history/MzUzMzg1ODU2NWFkaXF6a2N4/document?format=pdf&amp;download=0
FY2023, FY2022, FY2021: Annual Report and Financial Statements for the year ended 31 December 2025's own 5-year "Financial Highlights" comparative table (p.6), cross-checked against the FY2023 Annual Report's own 5-year Financial Highlights table (p.3), which independently confirms the same FY2023/FY2022/FY2021 figures - https://find-and-update.company-information.service.gov.uk/company/04661188/filing-history/MzUzMzg1ODU2NWFkaXF6a2N4/document?format=pdf&amp;download=0 ; https://find-and-update.company-information.service.gov.uk/company/04661188/filing-history/MzQxOTU1NjA5M2FkaXF6a2N4/document?format=pdf&amp;download=0
Pillar 3 sources: FY2024 p.9 - https://fidbank.co.uk/assets/Uploads/NewFolder/FidBank-UK-Pillar-3-Disclosure-2024.pdf; FY2023 p.9 - https://fidbank.co.uk/assets/Uploads/NewFolder/FidBank-UK-Pillar-3-Disclosure-2023.pdf; FY2022 pp.6,10 - https://fidbank.co.uk/assets/Uploads/NewFolder/FBUK-Pillar-3-Disclosure-2022.pdf; FY2021 pp.6,10 - https://fidbank.co.uk/assets/Uploads/NewFolder/FBUK-Pillar-3-Disclosure-2021.pdf.
Primary-source correction (HD-064): FidBank UK's own Reporting Archive publishes standalone, entity-level Pillar 3 disclosures for FY2021-FY2024. The FY2023/FY2024 UK KM1 tables disclose CET1, Tier 1, total capital, RWA, capital ratios, leverage, LCR and NSFR; FY2021/FY2022's older disclosures give the capital base and RWA components. These replace the prior incorrect blanket claim that no Pillar 3 document existed. MREL remains not disclosed.
FY2025 PILLAR 3 STATUS (re-verified 15 September 2026): no FY2025 Pillar 3 disclosure has been published. Four filename permutations under the Bank's own /assets/Uploads/ paths return a genuine 404 while the FY2024 file at the same path still serves a 775KB PDF, so the site is live and the FY2025 document simply is not there; a Wayback CDX sweep of the whole fidbank.co.uk domain filtered on 'pillar' returns exactly three documents, the newest being the FY2024 edition (archived 17 January 2026). FidBank publishes its Pillar 3 roughly 12-13 months after year-end, so the FY2025 edition would be expected around January 2027.
Consequently CET1 Ratio, Tier 1 Ratio, Total RWAs, Leverage Ratio and NSFR are all BLANK for FY2025 and are NOT derived. The FY2025 Annual Report (a scanned, image-only filing with no text layer - Creator 'go-tiff2pdf' - read here by rendering all 69 pages at 250 dpi and OCRing, with every figure used re-checked visually at 450 dpi) discloses the capital AMOUNT (Total Tier 1 = Total Regulatory Capital = US$55,665k, Note 30, p.64) and the LCR (178%, Performance Metrics, p.7), but gives NO risk-weighted-asset amount, NO leverage ratio and NO NSFR anywhere in the document ('stable funding' returns zero hits). Total RWAs is specifically NOT back-solved from capital / the 21.99% ratio: the ratio is rounded to 2dp and the document contradicts itself on its value (see the Total Capital Ratio sheet), so any implied RWA would be both imprecise and basis-ambiguous.
COMPARATIVE DISCREPANCY, recorded not resolved: the FY2025 Annual Report's capital table shows a FY2024 comparative of US$55,005k, whereas this workbook carries US$55,029k for FY2024 sourced from the FY2024 Pillar 3 disclosure itself. The US$24k difference is unexplained in the document. Per this project's convention of preferring each year's own report, the FY2024 figure is left at 55,029 from its own Pillar 3; the AR's differing comparative is flagged here rather than silently overwritten.
</t>
        </is>
      </c>
    </row>
  </sheetData>
  <mergeCells count="2">
    <mergeCell ref="A5:F5"/>
    <mergeCell ref="A7:F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FidBank UK Limited — RWA Breakdown</t>
        </is>
      </c>
    </row>
    <row r="2">
      <c r="A2" s="2" t="inlineStr">
        <is>
          <t>FidBank UK's own Pillar 3 disclosures; £'000 converted from USD.</t>
        </is>
      </c>
    </row>
    <row r="3">
      <c r="A3" s="4" t="inlineStr">
        <is>
          <t>Line item</t>
        </is>
      </c>
      <c r="B3" s="4" t="inlineStr">
        <is>
          <t>FY2025 (£'000, conv. from USD)</t>
        </is>
      </c>
      <c r="C3" s="4" t="inlineStr">
        <is>
          <t>FY2024 (£'000, conv. from USD)</t>
        </is>
      </c>
      <c r="D3" s="4" t="inlineStr">
        <is>
          <t>FY2023 (£'000, conv. from USD)</t>
        </is>
      </c>
      <c r="E3" s="4" t="inlineStr">
        <is>
          <t>FY2022 (£'000, conv. from USD)</t>
        </is>
      </c>
      <c r="F3" s="4" t="inlineStr">
        <is>
          <t>FY2021 (£'000, conv. from USD)</t>
        </is>
      </c>
    </row>
    <row r="4">
      <c r="A4" s="6" t="inlineStr">
        <is>
          <t>[No RWA breakdown published for this year - see note below]</t>
        </is>
      </c>
      <c r="B4" s="6" t="inlineStr">
        <is>
          <t>Not disclosed - AR2025 prints no RWA amount; no FY2025 Pillar 3 edition</t>
        </is>
      </c>
      <c r="C4" s="6" t="n"/>
      <c r="D4" s="6" t="n"/>
      <c r="E4" s="6" t="n"/>
      <c r="F4" s="6" t="n"/>
    </row>
    <row r="5">
      <c r="A5" s="6" t="inlineStr">
        <is>
          <t>Credit risk</t>
        </is>
      </c>
      <c r="B5" s="6" t="n"/>
      <c r="C5" s="6" t="n"/>
      <c r="D5" s="6" t="n">
        <v>36805.5</v>
      </c>
      <c r="E5" s="6" t="n">
        <v>39969.2</v>
      </c>
      <c r="F5" s="6" t="n">
        <v>59055.6</v>
      </c>
    </row>
    <row r="6">
      <c r="A6" s="6" t="inlineStr">
        <is>
          <t>Operational risk</t>
        </is>
      </c>
      <c r="B6" s="6" t="n"/>
      <c r="C6" s="6" t="n"/>
      <c r="D6" s="6" t="n">
        <v>8228.299999999999</v>
      </c>
      <c r="E6" s="6" t="n">
        <v>12937.5</v>
      </c>
      <c r="F6" s="6" t="n">
        <v>15777.8</v>
      </c>
    </row>
    <row r="7">
      <c r="A7" s="6" t="inlineStr">
        <is>
          <t>Market risk</t>
        </is>
      </c>
      <c r="B7" s="6" t="n"/>
      <c r="C7" s="6" t="n"/>
      <c r="D7" s="6" t="n">
        <v>2592.1</v>
      </c>
      <c r="E7" s="6" t="n">
        <v>1729.2</v>
      </c>
      <c r="F7" s="6" t="n">
        <v>1333.3</v>
      </c>
    </row>
    <row r="8">
      <c r="A8" s="5" t="inlineStr">
        <is>
          <t>Total</t>
        </is>
      </c>
      <c r="B8" s="5" t="n"/>
      <c r="C8" s="5" t="n">
        <v>106648</v>
      </c>
      <c r="D8" s="5" t="n">
        <v>47626</v>
      </c>
      <c r="E8" s="5" t="n">
        <v>54642.5</v>
      </c>
      <c r="F8" s="5" t="n">
        <v>76166.7</v>
      </c>
    </row>
    <row r="10" ht="390" customHeight="1">
      <c r="A10" s="8" t="inlineStr">
        <is>
          <t>Sources - FidBank UK Limited Pillar 3/capital basis:
FY2025, FY2024: Annual Report and Financial Statements for the year ended 31 December 2025 - "Financial Highlights" (p.6) and "Performance Metrics" (p.7) - https://find-and-update.company-information.service.gov.uk/company/04661188/filing-history/MzUzMzg1ODU2NWFkaXF6a2N4/document?format=pdf&amp;download=0
FY2023, FY2022, FY2021: Annual Report and Financial Statements for the year ended 31 December 2025's own 5-year "Financial Highlights" comparative table (p.6), cross-checked against the FY2023 Annual Report's own 5-year Financial Highlights table (p.3), which independently confirms the same FY2023/FY2022/FY2021 figures - https://find-and-update.company-information.service.gov.uk/company/04661188/filing-history/MzUzMzg1ODU2NWFkaXF6a2N4/document?format=pdf&amp;download=0 ; https://find-and-update.company-information.service.gov.uk/company/04661188/filing-history/MzQxOTU1NjA5M2FkaXF6a2N4/document?format=pdf&amp;download=0
Pillar 3 sources: FY2024 p.9 - https://fidbank.co.uk/assets/Uploads/NewFolder/FidBank-UK-Pillar-3-Disclosure-2024.pdf; FY2023 p.9 - https://fidbank.co.uk/assets/Uploads/NewFolder/FidBank-UK-Pillar-3-Disclosure-2023.pdf; FY2022 pp.6,10 - https://fidbank.co.uk/assets/Uploads/NewFolder/FBUK-Pillar-3-Disclosure-2022.pdf; FY2021 pp.6,10 - https://fidbank.co.uk/assets/Uploads/NewFolder/FBUK-Pillar-3-Disclosure-2021.pdf.
Primary-source correction (HD-064): FidBank UK's own Reporting Archive publishes standalone, entity-level Pillar 3 disclosures for FY2021-FY2024. The FY2023/FY2024 UK KM1 tables disclose CET1, Tier 1, total capital, RWA, capital ratios, leverage, LCR and NSFR; FY2021/FY2022's older disclosures give the capital base and RWA components. These replace the prior incorrect blanket claim that no Pillar 3 document existed. MREL remains not disclosed.
FY2025 PILLAR 3 STATUS (re-verified 15 September 2026): no FY2025 Pillar 3 disclosure has been published. Four filename permutations under the Bank's own /assets/Uploads/ paths return a genuine 404 while the FY2024 file at the same path still serves a 775KB PDF, so the site is live and the FY2025 document simply is not there; a Wayback CDX sweep of the whole fidbank.co.uk domain filtered on 'pillar' returns exactly three documents, the newest being the FY2024 edition (archived 17 January 2026). FidBank publishes its Pillar 3 roughly 12-13 months after year-end, so the FY2025 edition would be expected around January 2027.
Consequently CET1 Ratio, Tier 1 Ratio, Total RWAs, Leverage Ratio and NSFR are all BLANK for FY2025 and are NOT derived. The FY2025 Annual Report (a scanned, image-only filing with no text layer - Creator 'go-tiff2pdf' - read here by rendering all 69 pages at 250 dpi and OCRing, with every figure used re-checked visually at 450 dpi) discloses the capital AMOUNT (Total Tier 1 = Total Regulatory Capital = US$55,665k, Note 30, p.64) and the LCR (178%, Performance Metrics, p.7), but gives NO risk-weighted-asset amount, NO leverage ratio and NO NSFR anywhere in the document ('stable funding' returns zero hits). Total RWAs is specifically NOT back-solved from capital / the 21.99% ratio: the ratio is rounded to 2dp and the document contradicts itself on its value (see the Total Capital Ratio sheet), so any implied RWA would be both imprecise and basis-ambiguous.
COMPARATIVE DISCREPANCY, recorded not resolved: the FY2025 Annual Report's capital table shows a FY2024 comparative of US$55,005k, whereas this workbook carries US$55,029k for FY2024 sourced from the FY2024 Pillar 3 disclosure itself. The US$24k difference is unexplained in the document. Per this project's convention of preferring each year's own report, the FY2024 figure is left at 55,029 from its own Pillar 3; the AR's differing comparative is flagged here rather than silently overwritten.
FY2023 components are direct from its own Pillar 3 Table 2. FY2022/FY2021 components are each disclosed Pillar 1 capital requirement ÷ 8%; immaterial rounding differences versus the separately disclosed aggregate are retained in the Total row.</t>
        </is>
      </c>
    </row>
    <row r="12" ht="150" customHeight="1">
      <c r="A12" s="8" t="inlineStr">
        <is>
          <t>(continued)
FY2025 IS A RECORDED ABSENCE, NOT AN UNCHECKED CELL (written into the column 2026-09-19). Three things were re-verified this session rather than inherited. (1) No FY2025 Pillar 3 edition exists: FidBank's site carries no disclosures index at all (regulatory-information.html and media-page.html both fetched as HTML on 19/09/2026, neither links any PDF), its Pillar 3 files are unlinked uploads, and two filename permutations for a 2025 edition under that upload path return HTTP 404 while the FY2024 file at the identical path returns HTTP 200 with Content-Type application/pdf - a positive control in the same sweep. A Wayback CDX sweep of the whole fidbank.co.uk domain lists three Pillar 3 PDFs ever, the newest being FY2024 (archived 17/01/2026). (2) The FY2025 Annual Report does not supply the figure. That filing is an image-only scan (Creator 'go-tiff2pdf'; pdftotext returns 69 bytes and ZERO hits for ' the ' across 69 pages, so a text search of it indicts the instrument, not the Bank). It was re-rasterised at 300 dpi and OCR'd here, giving 1,276 hits for ' the ' as the richness control; on that OCR there is no RWA amount, no leverage ratio, no NSFR mention of any kind, and no CET1 line - note 30's capital table (printed p.64) gives capital AMOUNTS only (Total Tier 1 Capital = Total Regulatory Capital = US$55,665k, 2024: 55,005). (3) It is not due yet: FidBank publishes its Pillar 3 roughly 12-13 months after year-end, so an FY2025 edition is expected around January 2027. Nothing is back-solved - Total RWAs is specifically NOT computed as capital divided by the 21.99% ratio, for the reasons in the Total Capital Ratio sheet's note.</t>
        </is>
      </c>
    </row>
  </sheetData>
  <mergeCells count="2">
    <mergeCell ref="A10:F10"/>
    <mergeCell ref="A12:F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FidBank UK Limited — Leverage Ratio</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Leverage ratio</t>
        </is>
      </c>
      <c r="B4" s="6" t="inlineStr">
        <is>
          <t>Not disclosed - no leverage ratio in AR2025; no FY2025 Pillar 3 edition</t>
        </is>
      </c>
      <c r="C4" s="6" t="inlineStr">
        <is>
          <t>19.45%</t>
        </is>
      </c>
      <c r="D4" s="6" t="inlineStr">
        <is>
          <t>29.83%</t>
        </is>
      </c>
      <c r="E4" s="6" t="inlineStr">
        <is>
          <t>35.78%</t>
        </is>
      </c>
    </row>
    <row r="5" ht="299" customHeight="1">
      <c r="A5" s="7" t="inlineStr">
        <is>
          <t>Note: Disclosed in FidBank UK's FY2024 and FY2023 UK KM1 tables; FY2022 is the FY2023 edition's comparative (see below). FY2021 remains blank: its older Pillar 3 disclosure does not provide a leverage ratio.
FY2025 IS A RECORDED ABSENCE, NOT AN UNCHECKED CELL (written into the column 2026-09-19). Three things were re-verified this session rather than inherited. (1) No FY2025 Pillar 3 edition exists: FidBank's site carries no disclosures index at all (regulatory-information.html and media-page.html both fetched as HTML on 19/09/2026, neither links any PDF), its Pillar 3 files are unlinked uploads, and two filename permutations for a 2025 edition under that upload path return HTTP 404 while the FY2024 file at the identical path returns HTTP 200 with Content-Type application/pdf - a positive control in the same sweep. A Wayback CDX sweep of the whole fidbank.co.uk domain lists three Pillar 3 PDFs ever, the newest being FY2024 (archived 17/01/2026). (2) The FY2025 Annual Report does not supply the figure. That filing is an image-only scan (Creator 'go-tiff2pdf'; pdftotext returns 69 bytes and ZERO hits for ' the ' across 69 pages, so a text search of it indicts the instrument, not the Bank). It was re-rasterised at 300 dpi and OCR'd here, giving 1,276 hits for ' the ' as the richness control; on that OCR there is no RWA amount, no leverage ratio, no NSFR mention of any kind, and no CET1 line - note 30's capital table (printed p.64) gives capital AMOUNTS only (Total Tier 1 Capital = Total Regulatory Capital = US$55,665k, 2024: 55,005). (3) It is not due yet: FidBank publishes its Pillar 3 roughly 12-13 months after year-end, so an FY2025 edition is expected around January 2027. Nothing is back-solved - Total RWAs is specifically NOT computed as capital divided by the 21.99% ratio, for the reasons in the Total Capital Ratio sheet's note.
GA-026 LEVERAGE BASIS (2026-10-10): ONE BASIS, UNDECLARED. FidBank UK prints the UK KM1 leverage block as two bare rows - "13 Leverage ratio total exposure measure" and "14 Leverage ratio" - with no qualifier of any kind. There is no row 24 / UK-24a / UK-24b / UK-25c, no LR2 or LRSum template, and no narrative stating what the exposure measure contains. A normalised phrase scan of every edition (text joined across line breaks before matching, so a wrapped phrase cannot hide) returns ZERO hits for 'excluding/including claims on central banks' in any form. The two-basis UK presentation is effective only for periods from 1 January 2022 and the Bank never adopted it, so no basis is determinable from the Bank's own words and none is asserted here. Read at 300 dpi: FY2024 ed. p.9 rows 13/14 = 282,725 and 19.45; FY2023 ed. p.9 rows 13/14 = 191,191 and 29.83 (FY2022 comparative 99,083 and 35.78).</t>
        </is>
      </c>
    </row>
    <row r="6" ht="273" customHeight="1">
      <c r="A6" s="7" t="inlineStr">
        <is>
          <t>(continued)
FY2022 PROVENANCE CORRECTION (2026-10-10). This note previously said the figure was "directly disclosed in FidBank UK's FY2024, FY2023 and FY2022 UK KM1 tables". That was wrong for FY2022. The FY2022 Pillar 3 at the URL this script cites is headed "UNION BANK UK PLC / PILLAR 3 DISCLOSURES / 31 December 2022" - the same legal entity under its former name (company number 4661188 appears on both; see ENTITY_NOTE for the two renames) - and it contains NO leverage ratio and NO key-metrics table at all: a full-text search of that edition returns zero hits for 'leverag' in any case, and zero for 'key metric' and 'KM1'. FY2022's 35.78% therefore comes from the FY2023 edition's COMPARATIVE column, not from the FY2022 edition's own disclosure. The figure is kept (it is the only published value) but is recorded here as a later edition's comparative, per the own-edition rule, rather than presented as the FY2022 document's own. The source block below was already correct on this point ("FY2021/FY2022's older disclosures give the capital base and RWA components"); only this sheet note overstated it.
CURRENCY-LABEL CONTRADICTION BETWEEN EDITIONS, RECORDED NOT RECONCILED (2026-10-10). The FY2023 edition's KM1 heads both its columns "£000's"; the FY2024 edition heads both of its columns "$000's" - and the FY2023 column is numerically IDENTICAL in the two (CET1 57,034; RWA 60,485; CET1 ratio 94.29%). The same figures are thus labelled sterling in one of the Bank's documents and dollars in the next. Both column headers were confirmed at 300 dpi, not by text layer alone. This is the Bank's own inconsistency; NO figure in this workbook has been changed, re-scaled or FX-converted on the strength of it, and it is flagged rather than resolved because resolving it would mean choosing which of the Bank's two labels to believe. It bears on the capital sheets (which treat these amounts as USD) as much as on this one.
LINK ROT ON THE CITED URLS (2026-10-10). All four fidbank.co.uk Pillar 3 URLs cited below now return 404; the site itself is live. The documents are not gone - they were re-retrieved from the Wayback Machine at these captures: FY2024 20260208213431 (32pp, %PDF, 775,308 bytes), FY2023 20241203225150 (31pp), FY2022 20250125031047 (23pp). The cited live URLs are left in place as the original publication addresses; this paragraph is the standing record of where they can still be read.</t>
        </is>
      </c>
    </row>
    <row r="8" ht="409" customHeight="1">
      <c r="A8" s="8" t="inlineStr">
        <is>
          <t>Sources - FidBank UK Limited Pillar 3/capital basis:
FY2025, FY2024: Annual Report and Financial Statements for the year ended 31 December 2025 - "Financial Highlights" (p.6) and "Performance Metrics" (p.7) - https://find-and-update.company-information.service.gov.uk/company/04661188/filing-history/MzUzMzg1ODU2NWFkaXF6a2N4/document?format=pdf&amp;download=0
FY2023, FY2022, FY2021: Annual Report and Financial Statements for the year ended 31 December 2025's own 5-year "Financial Highlights" comparative table (p.6), cross-checked against the FY2023 Annual Report's own 5-year Financial Highlights table (p.3), which independently confirms the same FY2023/FY2022/FY2021 figures - https://find-and-update.company-information.service.gov.uk/company/04661188/filing-history/MzUzMzg1ODU2NWFkaXF6a2N4/document?format=pdf&amp;download=0 ; https://find-and-update.company-information.service.gov.uk/company/04661188/filing-history/MzQxOTU1NjA5M2FkaXF6a2N4/document?format=pdf&amp;download=0
Pillar 3 sources: FY2024 p.9 - https://fidbank.co.uk/assets/Uploads/NewFolder/FidBank-UK-Pillar-3-Disclosure-2024.pdf; FY2023 p.9 - https://fidbank.co.uk/assets/Uploads/NewFolder/FidBank-UK-Pillar-3-Disclosure-2023.pdf; FY2022 pp.6,10 - https://fidbank.co.uk/assets/Uploads/NewFolder/FBUK-Pillar-3-Disclosure-2022.pdf; FY2021 pp.6,10 - https://fidbank.co.uk/assets/Uploads/NewFolder/FBUK-Pillar-3-Disclosure-2021.pdf.
Primary-source correction (HD-064): FidBank UK's own Reporting Archive publishes standalone, entity-level Pillar 3 disclosures for FY2021-FY2024. The FY2023/FY2024 UK KM1 tables disclose CET1, Tier 1, total capital, RWA, capital ratios, leverage, LCR and NSFR; FY2021/FY2022's older disclosures give the capital base and RWA components. These replace the prior incorrect blanket claim that no Pillar 3 document existed. MREL remains not disclosed.
FY2025 PILLAR 3 STATUS (re-verified 15 September 2026): no FY2025 Pillar 3 disclosure has been published. Four filename permutations under the Bank's own /assets/Uploads/ paths return a genuine 404 while the FY2024 file at the same path still serves a 775KB PDF, so the site is live and the FY2025 document simply is not there; a Wayback CDX sweep of the whole fidbank.co.uk domain filtered on 'pillar' returns exactly three documents, the newest being the FY2024 edition (archived 17 January 2026). FidBank publishes its Pillar 3 roughly 12-13 months after year-end, so the FY2025 edition would be expected around January 2027.
Consequently CET1 Ratio, Tier 1 Ratio, Total RWAs, Leverage Ratio and NSFR are all BLANK for FY2025 and are NOT derived. The FY2025 Annual Report (a scanned, image-only filing with no text layer - Creator 'go-tiff2pdf' - read here by rendering all 69 pages at 250 dpi and OCRing, with every figure used re-checked visually at 450 dpi) discloses the capital AMOUNT (Total Tier 1 = Total Regulatory Capital = US$55,665k, Note 30, p.64) and the LCR (178%, Performance Metrics, p.7), but gives NO risk-weighted-asset amount, NO leverage ratio and NO NSFR anywhere in the document ('stable funding' returns zero hits). Total RWAs is specifically NOT back-solved from capital / the 21.99% ratio: the ratio is rounded to 2dp and the document contradicts itself on its value (see the Total Capital Ratio sheet), so any implied RWA would be both imprecise and basis-ambiguous.</t>
        </is>
      </c>
    </row>
    <row r="10" ht="409" customHeight="1">
      <c r="A10" s="8" t="inlineStr">
        <is>
          <t xml:space="preserve">(continued)
COMPARATIVE DISCREPANCY, recorded not resolved: the FY2025 Annual Report's capital table shows a FY2024 comparative of US$55,005k, whereas this workbook carries US$55,029k for FY2024 sourced from the FY2024 Pillar 3 disclosure itself. The US$24k difference is unexplained in the document. Per this project's convention of preferring each year's own report, the FY2024 figure is left at 55,029 from its own Pillar 3; the AR's differing comparative is flagged here rather than silently overwritten.
</t>
        </is>
      </c>
    </row>
  </sheetData>
  <mergeCells count="4">
    <mergeCell ref="A6:E6"/>
    <mergeCell ref="A10:E10"/>
    <mergeCell ref="A5:E5"/>
    <mergeCell ref="A8:E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FidBank UK Limited — LCR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Liquidity Coverage Ratio</t>
        </is>
      </c>
      <c r="B4" s="6" t="inlineStr">
        <is>
          <t>178%</t>
        </is>
      </c>
      <c r="C4" s="6" t="inlineStr">
        <is>
          <t>243.39%</t>
        </is>
      </c>
      <c r="D4" s="6" t="inlineStr">
        <is>
          <t>233.04%</t>
        </is>
      </c>
      <c r="E4" s="6" t="inlineStr">
        <is>
          <t>379.92%</t>
        </is>
      </c>
    </row>
    <row r="5" ht="30" customHeight="1">
      <c r="A5" s="7" t="inlineStr">
        <is>
          <t>Note: FY2024-FY2022 values are directly disclosed in FidBank UK's UK KM1 tables; FY2025 remains sourced from its Annual Report. FY2021's older disclosure has no LCR value.</t>
        </is>
      </c>
    </row>
    <row r="7" ht="409" customHeight="1">
      <c r="A7" s="8" t="inlineStr">
        <is>
          <t>Sources - FidBank UK Limited Pillar 3/capital basis:
FY2025, FY2024: Annual Report and Financial Statements for the year ended 31 December 2025 - "Financial Highlights" (p.6) and "Performance Metrics" (p.7) - https://find-and-update.company-information.service.gov.uk/company/04661188/filing-history/MzUzMzg1ODU2NWFkaXF6a2N4/document?format=pdf&amp;download=0
FY2023, FY2022, FY2021: Annual Report and Financial Statements for the year ended 31 December 2025's own 5-year "Financial Highlights" comparative table (p.6), cross-checked against the FY2023 Annual Report's own 5-year Financial Highlights table (p.3), which independently confirms the same FY2023/FY2022/FY2021 figures - https://find-and-update.company-information.service.gov.uk/company/04661188/filing-history/MzUzMzg1ODU2NWFkaXF6a2N4/document?format=pdf&amp;download=0 ; https://find-and-update.company-information.service.gov.uk/company/04661188/filing-history/MzQxOTU1NjA5M2FkaXF6a2N4/document?format=pdf&amp;download=0
Pillar 3 sources: FY2024 p.9 - https://fidbank.co.uk/assets/Uploads/NewFolder/FidBank-UK-Pillar-3-Disclosure-2024.pdf; FY2023 p.9 - https://fidbank.co.uk/assets/Uploads/NewFolder/FidBank-UK-Pillar-3-Disclosure-2023.pdf; FY2022 pp.6,10 - https://fidbank.co.uk/assets/Uploads/NewFolder/FBUK-Pillar-3-Disclosure-2022.pdf; FY2021 pp.6,10 - https://fidbank.co.uk/assets/Uploads/NewFolder/FBUK-Pillar-3-Disclosure-2021.pdf.
Primary-source correction (HD-064): FidBank UK's own Reporting Archive publishes standalone, entity-level Pillar 3 disclosures for FY2021-FY2024. The FY2023/FY2024 UK KM1 tables disclose CET1, Tier 1, total capital, RWA, capital ratios, leverage, LCR and NSFR; FY2021/FY2022's older disclosures give the capital base and RWA components. These replace the prior incorrect blanket claim that no Pillar 3 document existed. MREL remains not disclosed.
FY2025 PILLAR 3 STATUS (re-verified 15 September 2026): no FY2025 Pillar 3 disclosure has been published. Four filename permutations under the Bank's own /assets/Uploads/ paths return a genuine 404 while the FY2024 file at the same path still serves a 775KB PDF, so the site is live and the FY2025 document simply is not there; a Wayback CDX sweep of the whole fidbank.co.uk domain filtered on 'pillar' returns exactly three documents, the newest being the FY2024 edition (archived 17 January 2026). FidBank publishes its Pillar 3 roughly 12-13 months after year-end, so the FY2025 edition would be expected around January 2027.
Consequently CET1 Ratio, Tier 1 Ratio, Total RWAs, Leverage Ratio and NSFR are all BLANK for FY2025 and are NOT derived. The FY2025 Annual Report (a scanned, image-only filing with no text layer - Creator 'go-tiff2pdf' - read here by rendering all 69 pages at 250 dpi and OCRing, with every figure used re-checked visually at 450 dpi) discloses the capital AMOUNT (Total Tier 1 = Total Regulatory Capital = US$55,665k, Note 30, p.64) and the LCR (178%, Performance Metrics, p.7), but gives NO risk-weighted-asset amount, NO leverage ratio and NO NSFR anywhere in the document ('stable funding' returns zero hits). Total RWAs is specifically NOT back-solved from capital / the 21.99% ratio: the ratio is rounded to 2dp and the document contradicts itself on its value (see the Total Capital Ratio sheet), so any implied RWA would be both imprecise and basis-ambiguous.</t>
        </is>
      </c>
    </row>
    <row r="9" ht="409" customHeight="1">
      <c r="A9" s="8" t="inlineStr">
        <is>
          <t xml:space="preserve">(continued)
COMPARATIVE DISCREPANCY, recorded not resolved: the FY2025 Annual Report's capital table shows a FY2024 comparative of US$55,005k, whereas this workbook carries US$55,029k for FY2024 sourced from the FY2024 Pillar 3 disclosure itself. The US$24k difference is unexplained in the document. Per this project's convention of preferring each year's own report, the FY2024 figure is left at 55,029 from its own Pillar 3; the AR's differing comparative is flagged here rather than silently overwritten.
</t>
        </is>
      </c>
    </row>
  </sheetData>
  <mergeCells count="3">
    <mergeCell ref="A5:E5"/>
    <mergeCell ref="A9:E9"/>
    <mergeCell ref="A7:E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FidBank UK Limited — NSFR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Net stable funding ratio</t>
        </is>
      </c>
      <c r="B4" s="6" t="inlineStr">
        <is>
          <t>Not disclosed - 'stable funding' absent from AR2025; no FY2025 Pillar 3 edition</t>
        </is>
      </c>
      <c r="C4" s="6" t="inlineStr">
        <is>
          <t>211.78%</t>
        </is>
      </c>
      <c r="D4" s="6" t="inlineStr">
        <is>
          <t>335.67%</t>
        </is>
      </c>
      <c r="E4" s="6" t="inlineStr">
        <is>
          <t>363.79%</t>
        </is>
      </c>
    </row>
    <row r="5" ht="195" customHeight="1">
      <c r="A5" s="7" t="inlineStr">
        <is>
          <t>Note: Directly disclosed in FidBank UK's FY2024, FY2023 and FY2022 UK KM1 tables. FY2021 remains blank because no entity-level value was located in that year's older disclosure.
FY2025 IS A RECORDED ABSENCE, NOT AN UNCHECKED CELL (written into the column 2026-09-19). Three things were re-verified this session rather than inherited. (1) No FY2025 Pillar 3 edition exists: FidBank's site carries no disclosures index at all (regulatory-information.html and media-page.html both fetched as HTML on 19/09/2026, neither links any PDF), its Pillar 3 files are unlinked uploads, and two filename permutations for a 2025 edition under that upload path return HTTP 404 while the FY2024 file at the identical path returns HTTP 200 with Content-Type application/pdf - a positive control in the same sweep. A Wayback CDX sweep of the whole fidbank.co.uk domain lists three Pillar 3 PDFs ever, the newest being FY2024 (archived 17/01/2026). (2) The FY2025 Annual Report does not supply the figure. That filing is an image-only scan (Creator 'go-tiff2pdf'; pdftotext returns 69 bytes and ZERO hits for ' the ' across 69 pages, so a text search of it indicts the instrument, not the Bank). It was re-rasterised at 300 dpi and OCR'd here, giving 1,276 hits for ' the ' as the richness control; on that OCR there is no RWA amount, no leverage ratio, no NSFR mention of any kind, and no CET1 line - note 30's capital table (printed p.64) gives capital AMOUNTS only (Total Tier 1 Capital = Total Regulatory Capital = US$55,665k, 2024: 55,005). (3) It is not due yet: FidBank publishes its Pillar 3 roughly 12-13 months after year-end, so an FY2025 edition is expected around January 2027. Nothing is back-solved - Total RWAs is specifically NOT computed as capital divided by the 21.99% ratio, for the reasons in the Total Capital Ratio sheet's note.</t>
        </is>
      </c>
    </row>
    <row r="7" ht="409" customHeight="1">
      <c r="A7" s="8" t="inlineStr">
        <is>
          <t>Sources - FidBank UK Limited Pillar 3/capital basis:
FY2025, FY2024: Annual Report and Financial Statements for the year ended 31 December 2025 - "Financial Highlights" (p.6) and "Performance Metrics" (p.7) - https://find-and-update.company-information.service.gov.uk/company/04661188/filing-history/MzUzMzg1ODU2NWFkaXF6a2N4/document?format=pdf&amp;download=0
FY2023, FY2022, FY2021: Annual Report and Financial Statements for the year ended 31 December 2025's own 5-year "Financial Highlights" comparative table (p.6), cross-checked against the FY2023 Annual Report's own 5-year Financial Highlights table (p.3), which independently confirms the same FY2023/FY2022/FY2021 figures - https://find-and-update.company-information.service.gov.uk/company/04661188/filing-history/MzUzMzg1ODU2NWFkaXF6a2N4/document?format=pdf&amp;download=0 ; https://find-and-update.company-information.service.gov.uk/company/04661188/filing-history/MzQxOTU1NjA5M2FkaXF6a2N4/document?format=pdf&amp;download=0
Pillar 3 sources: FY2024 p.9 - https://fidbank.co.uk/assets/Uploads/NewFolder/FidBank-UK-Pillar-3-Disclosure-2024.pdf; FY2023 p.9 - https://fidbank.co.uk/assets/Uploads/NewFolder/FidBank-UK-Pillar-3-Disclosure-2023.pdf; FY2022 pp.6,10 - https://fidbank.co.uk/assets/Uploads/NewFolder/FBUK-Pillar-3-Disclosure-2022.pdf; FY2021 pp.6,10 - https://fidbank.co.uk/assets/Uploads/NewFolder/FBUK-Pillar-3-Disclosure-2021.pdf.
Primary-source correction (HD-064): FidBank UK's own Reporting Archive publishes standalone, entity-level Pillar 3 disclosures for FY2021-FY2024. The FY2023/FY2024 UK KM1 tables disclose CET1, Tier 1, total capital, RWA, capital ratios, leverage, LCR and NSFR; FY2021/FY2022's older disclosures give the capital base and RWA components. These replace the prior incorrect blanket claim that no Pillar 3 document existed. MREL remains not disclosed.
FY2025 PILLAR 3 STATUS (re-verified 15 September 2026): no FY2025 Pillar 3 disclosure has been published. Four filename permutations under the Bank's own /assets/Uploads/ paths return a genuine 404 while the FY2024 file at the same path still serves a 775KB PDF, so the site is live and the FY2025 document simply is not there; a Wayback CDX sweep of the whole fidbank.co.uk domain filtered on 'pillar' returns exactly three documents, the newest being the FY2024 edition (archived 17 January 2026). FidBank publishes its Pillar 3 roughly 12-13 months after year-end, so the FY2025 edition would be expected around January 2027.
Consequently CET1 Ratio, Tier 1 Ratio, Total RWAs, Leverage Ratio and NSFR are all BLANK for FY2025 and are NOT derived. The FY2025 Annual Report (a scanned, image-only filing with no text layer - Creator 'go-tiff2pdf' - read here by rendering all 69 pages at 250 dpi and OCRing, with every figure used re-checked visually at 450 dpi) discloses the capital AMOUNT (Total Tier 1 = Total Regulatory Capital = US$55,665k, Note 30, p.64) and the LCR (178%, Performance Metrics, p.7), but gives NO risk-weighted-asset amount, NO leverage ratio and NO NSFR anywhere in the document ('stable funding' returns zero hits). Total RWAs is specifically NOT back-solved from capital / the 21.99% ratio: the ratio is rounded to 2dp and the document contradicts itself on its value (see the Total Capital Ratio sheet), so any implied RWA would be both imprecise and basis-ambiguous.</t>
        </is>
      </c>
    </row>
    <row r="9" ht="409" customHeight="1">
      <c r="A9" s="8" t="inlineStr">
        <is>
          <t xml:space="preserve">(continued)
COMPARATIVE DISCREPANCY, recorded not resolved: the FY2025 Annual Report's capital table shows a FY2024 comparative of US$55,005k, whereas this workbook carries US$55,029k for FY2024 sourced from the FY2024 Pillar 3 disclosure itself. The US$24k difference is unexplained in the document. Per this project's convention of preferring each year's own report, the FY2024 figure is left at 55,029 from its own Pillar 3; the AR's differing comparative is flagged here rather than silently overwritten.
</t>
        </is>
      </c>
    </row>
  </sheetData>
  <mergeCells count="3">
    <mergeCell ref="A5:E5"/>
    <mergeCell ref="A9:E9"/>
    <mergeCell ref="A7:E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FidBank UK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yet – FY2025 Pillar 3 expected ~Jan 2027 (FY2024 edition appeared Jan 2026); FY2025 Annual Report has no MREL figure</t>
        </is>
      </c>
      <c r="C4" s="6" t="inlineStr">
        <is>
          <t>Not published – FidBank UK FY2024 Pillar 3 disclosure has no MREL figure or KM2 (text probe 0 hits, 2026-09-19)</t>
        </is>
      </c>
      <c r="D4" s="6" t="inlineStr">
        <is>
          <t>Not published – FidBank UK FY2023 Pillar 3 disclosure has no MREL figure or KM2 (text probe 0 hits, 2026-09-19)</t>
        </is>
      </c>
      <c r="E4" s="6" t="inlineStr">
        <is>
          <t>Not published – FidBank UK FY2022 Pillar 3 disclosure has no MREL figure or KM2 (text probe 0 hits, 2026-09-19)</t>
        </is>
      </c>
      <c r="F4" s="6" t="inlineStr">
        <is>
          <t>Not published – FidBank UK FY2021 Pillar 3 disclosure has no MREL figure or KM2 (text probe 0 hits, 2026-09-19)</t>
        </is>
      </c>
    </row>
    <row r="5" ht="117" customHeight="1">
      <c r="A5" s="7" t="inlineStr">
        <is>
          <t>Note: Not publicly disclosed - the metric does not appear in FidBank UK Limited's four standalone Pillar 3 disclosures (FY2021-FY2024, published on the Bank's own Reporting Archive and cited in full on the capital sheets), nor in any of the 3 Annual Report filings reviewed (FY2023, FY2024, FY2025 - the only filings that exist at Companies House for this entity). The FY2023/FY2024 UK KM1 tables disclose CET1, Tier 1, total capital, RWA, capital ratios, leverage, LCR and NSFR, and carry no MREL row.
CORRECTION, 18 September 2026 (KM1-032): this note previously opened 'no standalone Pillar 3 document exists for this entity'. That was false and had already been retracted elsewhere in this same build - the HD-064 primary-source correction on the capital sheets establishes that FidBank publishes entity-level Pillar 3 disclosures for FY2021-FY2024 - but the superseded sentence was left standing here, so one stale string kept asserting on this sheet what the rest of the workbook had disproved. The absence being recorded is MREL's, not the document's. See the Cash Flow Statement sheet's entity note.</t>
        </is>
      </c>
    </row>
    <row r="7" ht="351" customHeight="1">
      <c r="A7" s="8" t="inlineStr">
        <is>
          <t>Sources - FidBank UK Limited Pillar 3/capital basis:
FY2025, FY2024: Annual Report and Financial Statements for the year ended 31 December 2025 - "Financial Highlights" (p.6) and "Performance Metrics" (p.7) - https://find-and-update.company-information.service.gov.uk/company/04661188/filing-history/MzUzMzg1ODU2NWFkaXF6a2N4/document?format=pdf&amp;download=0
FY2023, FY2022, FY2021: Annual Report and Financial Statements for the year ended 31 December 2025's own 5-year "Financial Highlights" comparative table (p.6), cross-checked against the FY2023 Annual Report's own 5-year Financial Highlights table (p.3), which independently confirms the same FY2023/FY2022/FY2021 figures - https://find-and-update.company-information.service.gov.uk/company/04661188/filing-history/MzUzMzg1ODU2NWFkaXF6a2N4/document?format=pdf&amp;download=0 ; https://find-and-update.company-information.service.gov.uk/company/04661188/filing-history/MzQxOTU1NjA5M2FkaXF6a2N4/document?format=pdf&amp;download=0
Pillar 3 sources: FY2024 p.9 - https://fidbank.co.uk/assets/Uploads/NewFolder/FidBank-UK-Pillar-3-Disclosure-2024.pdf; FY2023 p.9 - https://fidbank.co.uk/assets/Uploads/NewFolder/FidBank-UK-Pillar-3-Disclosure-2023.pdf; FY2022 pp.6,10 - https://fidbank.co.uk/assets/Uploads/NewFolder/FBUK-Pillar-3-Disclosure-2022.pdf; FY2021 pp.6,10 - https://fidbank.co.uk/assets/Uploads/NewFolder/FBUK-Pillar-3-Disclosure-2021.pdf.
Primary-source correction (HD-064): FidBank UK's own Reporting Archive publishes standalone, entity-level Pillar 3 disclosures for FY2021-FY2024. The FY2023/FY2024 UK KM1 tables disclose CET1, Tier 1, total capital, RWA, capital ratios, leverage, LCR and NSFR; FY2021/FY2022's older disclosures give the capital base and RWA components. These replace the prior incorrect blanket claim that no Pillar 3 document existed. MREL remains not disclosed.
FY2025 PILLAR 3 STATUS (re-verified 15 September 2026): no FY2025 Pillar 3 disclosure has been published. Four filename permutations under the Bank's own /assets/Uploads/ paths return a genuine 404 while the FY2024 file at the same path still serves a 775KB PDF, so the site is live and the FY2025 document simply is not there; a Wayback CDX sweep of the whole fidbank.co.uk domain filtered on 'pillar' returns exactly three documents, the newest being the FY2024 edition (archived 17 January 2026). FidBank publishes its Pillar 3 roughly 12-13 months after year-end, so the FY2025 edition would be expected around January 2027.
Consequently CET1 Ratio, Tier 1 Ratio, Total RWAs, Leverage Ratio and NSFR are all BLANK for FY2025 and are NOT derived. The FY2025 Annual Report (a scanned, image-only filing with no text layer - Creator 'go-tiff2pdf' - read here by rendering all 69 pages at 250 dpi and OCRing, with every figure used re-checked visually at 450 dpi) discloses the capital AMOUNT (Total Tier 1 = Total Regulatory Capital = US$55,665k, Note 30, p.64) and the LCR (178%, Performance Metrics, p.7), but gives NO risk-weighted-asset amount, NO leverage ratio and NO NSFR anywhere in the document ('stable funding' returns zero hits). Total RWAs is specifically NOT back-solved from capital / the 21.99% ratio: the ratio is rounded to 2dp and the document contradicts itself on its value (see the Total Capital Ratio sheet), so any implied RWA would be both imprecise and basis-ambiguous.</t>
        </is>
      </c>
    </row>
    <row r="9" ht="150" customHeight="1">
      <c r="A9" s="8" t="inlineStr">
        <is>
          <t xml:space="preserve">(continued)
COMPARATIVE DISCREPANCY, recorded not resolved: the FY2025 Annual Report's capital table shows a FY2024 comparative of US$55,005k, whereas this workbook carries US$55,029k for FY2024 sourced from the FY2024 Pillar 3 disclosure itself. The US$24k difference is unexplained in the document. Per this project's convention of preferring each year's own report, the FY2024 figure is left at 55,029 from its own Pillar 3; the AR's differing comparative is flagged here rather than silently overwritten.
</t>
        </is>
      </c>
    </row>
  </sheetData>
  <mergeCells count="3">
    <mergeCell ref="A5:F5"/>
    <mergeCell ref="A7:F7"/>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2026-10-26T09:36:02Z</dcterms:created>
  <dcterms:modified xmlns:dcterms="http://purl.org/dc/terms/" xmlns:xsi="http://www.w3.org/2001/XMLSchema-instance" xsi:type="dcterms:W3CDTF">2026-10-26T09:36:03Z</dcterms:modified>
</cp:coreProperties>
</file>