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D7B7E"/>
        <bgColor rgb="00AD7B7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FidBank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FidBank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40</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FidBank UK Limited — Overview</t>
        </is>
      </c>
    </row>
    <row r="2">
      <c r="A2" s="2" t="inlineStr">
        <is>
          <t>Summary of cash flow and Pillar 3 disclosures across all years covered in this workbook</t>
        </is>
      </c>
    </row>
    <row r="4">
      <c r="A4" s="3" t="inlineStr">
        <is>
          <t>Cash Flow Summary (£'000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(used in)/from operating activities</t>
        </is>
      </c>
      <c r="B6" s="5" t="n">
        <v>16960.6</v>
      </c>
      <c r="C6" s="5" t="n">
        <v>-11886.7</v>
      </c>
      <c r="D6" s="5" t="n">
        <v>-18293.6</v>
      </c>
      <c r="E6" s="5" t="n">
        <v>-2485.4</v>
      </c>
      <c r="F6" s="5" t="n"/>
      <c r="I6" t="inlineStr">
        <is>
          <t>Net cash (used in)/from operating activities</t>
        </is>
      </c>
      <c r="K6" t="n">
        <v>-2485.4</v>
      </c>
      <c r="L6" t="n">
        <v>-18293.6</v>
      </c>
      <c r="M6" t="n">
        <v>-11886.7</v>
      </c>
      <c r="N6" t="n">
        <v>16960.6</v>
      </c>
      <c r="Q6" t="inlineStr">
        <is>
          <t>Total Capital Ratio</t>
        </is>
      </c>
      <c r="R6" t="n">
        <v>40</v>
      </c>
      <c r="S6" t="n">
        <v>54</v>
      </c>
      <c r="T6" t="n">
        <v>98</v>
      </c>
      <c r="U6" t="n">
        <v>43</v>
      </c>
      <c r="V6" t="n">
        <v>21.46</v>
      </c>
    </row>
    <row r="7">
      <c r="A7" s="5" t="inlineStr">
        <is>
          <t>Net cash flow used in investing activities</t>
        </is>
      </c>
      <c r="B7" s="5" t="n">
        <v>-298.5</v>
      </c>
      <c r="C7" s="5" t="n">
        <v>-47.7</v>
      </c>
      <c r="D7" s="5" t="n">
        <v>-130.4</v>
      </c>
      <c r="E7" s="5" t="n">
        <v>-30.9</v>
      </c>
      <c r="F7" s="5" t="n"/>
      <c r="I7" t="inlineStr">
        <is>
          <t>Net cash flow used in investing activities</t>
        </is>
      </c>
      <c r="K7" t="n">
        <v>-30.9</v>
      </c>
      <c r="L7" t="n">
        <v>-130.4</v>
      </c>
      <c r="M7" t="n">
        <v>-47.7</v>
      </c>
      <c r="N7" t="n">
        <v>-298.5</v>
      </c>
      <c r="Q7" t="inlineStr">
        <is>
          <t>LCR</t>
        </is>
      </c>
      <c r="U7" t="n">
        <v>243</v>
      </c>
      <c r="V7" t="n">
        <v>178</v>
      </c>
    </row>
    <row r="8">
      <c r="A8" s="5" t="inlineStr">
        <is>
          <t>Net cash generated from/(used in) financing activities</t>
        </is>
      </c>
      <c r="B8" s="5" t="n">
        <v>-459.1</v>
      </c>
      <c r="C8" s="5" t="n">
        <v>-440.6</v>
      </c>
      <c r="D8" s="5" t="n">
        <v>19780.8</v>
      </c>
      <c r="E8" s="5" t="n">
        <v>-384.6</v>
      </c>
      <c r="F8" s="5" t="n"/>
      <c r="I8" t="inlineStr">
        <is>
          <t>Net cash generated from/(used in) financing activities</t>
        </is>
      </c>
      <c r="K8" t="n">
        <v>-384.6</v>
      </c>
      <c r="L8" t="n">
        <v>19780.8</v>
      </c>
      <c r="M8" t="n">
        <v>-440.6</v>
      </c>
      <c r="N8" t="n">
        <v>-459.1</v>
      </c>
    </row>
    <row r="9">
      <c r="A9" s="5" t="inlineStr">
        <is>
          <t>Cash and cash equivalents at end of year</t>
        </is>
      </c>
      <c r="B9" s="5" t="n">
        <v>90189.60000000001</v>
      </c>
      <c r="C9" s="5" t="n">
        <v>79931.2</v>
      </c>
      <c r="D9" s="5" t="n">
        <v>5611.8</v>
      </c>
      <c r="E9" s="5" t="n">
        <v>4525.8</v>
      </c>
      <c r="F9" s="5" t="n"/>
      <c r="I9" t="inlineStr">
        <is>
          <t>Cash and cash equivalents at end of year</t>
        </is>
      </c>
      <c r="K9" t="n">
        <v>4525.8</v>
      </c>
      <c r="L9" t="n">
        <v>5611.8</v>
      </c>
      <c r="M9" t="n">
        <v>79931.2</v>
      </c>
      <c r="N9" t="n">
        <v>90189.60000000001</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Total Capital Ratio</t>
        </is>
      </c>
      <c r="B13" s="6" t="inlineStr">
        <is>
          <t>21.46%</t>
        </is>
      </c>
      <c r="C13" s="6" t="inlineStr">
        <is>
          <t>43%</t>
        </is>
      </c>
      <c r="D13" s="6" t="inlineStr">
        <is>
          <t>98%</t>
        </is>
      </c>
      <c r="E13" s="6" t="inlineStr">
        <is>
          <t>54%</t>
        </is>
      </c>
      <c r="F13" s="6" t="inlineStr">
        <is>
          <t>40%</t>
        </is>
      </c>
    </row>
    <row r="14">
      <c r="A14" s="6" t="inlineStr">
        <is>
          <t>LCR</t>
        </is>
      </c>
      <c r="B14" s="6" t="inlineStr">
        <is>
          <t>178%</t>
        </is>
      </c>
      <c r="C14" s="6" t="inlineStr">
        <is>
          <t>243%</t>
        </is>
      </c>
      <c r="D14" s="6" t="n"/>
      <c r="E14" s="6" t="n"/>
      <c r="F14" s="6" t="n"/>
    </row>
    <row r="16" ht="45" customHeight="1">
      <c r="A16" s="7" t="inlineStr">
        <is>
          <t>Note: FY2021 cash flow not available (see Cash Flow Statement sheet's source note). Pillar 3 coverage is very thin - only a combined Capital Ratio (all 5 years) and LCR (FY2025/FY2024 only) are disclosed anywhere; every other Pillar 3 metric is Not publicly disclosed. Figures are duplicated from the detail sheets for at-a-glance trend viewing; see each sheet's own source citation.</t>
        </is>
      </c>
    </row>
  </sheetData>
  <mergeCells count="1">
    <mergeCell ref="A16:F1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FidBank UK Limited — Statement of Cash Flows</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Operating activities</t>
        </is>
      </c>
      <c r="B4" s="6" t="n"/>
      <c r="C4" s="6" t="n"/>
      <c r="D4" s="6" t="n"/>
      <c r="E4" s="6" t="n"/>
      <c r="F4" s="6" t="n"/>
    </row>
    <row r="5">
      <c r="A5" s="6" t="inlineStr">
        <is>
          <t>Profit/(loss) before tax</t>
        </is>
      </c>
      <c r="B5" s="6" t="n">
        <v>697</v>
      </c>
      <c r="C5" s="6" t="n">
        <v>-1680.5</v>
      </c>
      <c r="D5" s="6" t="n">
        <v>-2418.4</v>
      </c>
      <c r="E5" s="6" t="n">
        <v>-4375.6</v>
      </c>
      <c r="F5" s="6" t="n"/>
    </row>
    <row r="6">
      <c r="A6" s="6" t="inlineStr">
        <is>
          <t>Depreciation and amortisation</t>
        </is>
      </c>
      <c r="B6" s="6" t="n">
        <v>124.2</v>
      </c>
      <c r="C6" s="6" t="n">
        <v>121.9</v>
      </c>
      <c r="D6" s="6" t="n">
        <v>154.4</v>
      </c>
      <c r="E6" s="6" t="n">
        <v>150.4</v>
      </c>
      <c r="F6" s="6" t="n"/>
    </row>
    <row r="7">
      <c r="A7" s="6" t="inlineStr">
        <is>
          <t>Amortisation of rights of use assets</t>
        </is>
      </c>
      <c r="B7" s="6" t="n">
        <v>287.9</v>
      </c>
      <c r="C7" s="6" t="n">
        <v>297.7</v>
      </c>
      <c r="D7" s="6" t="n">
        <v>303.2</v>
      </c>
      <c r="E7" s="6" t="n">
        <v>307.3</v>
      </c>
      <c r="F7" s="6" t="n"/>
    </row>
    <row r="8">
      <c r="A8" s="6" t="inlineStr">
        <is>
          <t>Adjustment to right of use asset - rent increase</t>
        </is>
      </c>
      <c r="B8" s="6" t="n">
        <v>0</v>
      </c>
      <c r="C8" s="6" t="n">
        <v>-6.2</v>
      </c>
      <c r="D8" s="6" t="n"/>
      <c r="E8" s="6" t="n"/>
      <c r="F8" s="6" t="n"/>
    </row>
    <row r="9">
      <c r="A9" s="6" t="inlineStr">
        <is>
          <t>Amortisation of discounts received/premiums paid</t>
        </is>
      </c>
      <c r="B9" s="6" t="n">
        <v>-1700.8</v>
      </c>
      <c r="C9" s="6" t="n">
        <v>-1625</v>
      </c>
      <c r="D9" s="6" t="n">
        <v>-1318.4</v>
      </c>
      <c r="E9" s="6" t="n">
        <v>-199.2</v>
      </c>
      <c r="F9" s="6" t="n"/>
    </row>
    <row r="10">
      <c r="A10" s="6" t="inlineStr">
        <is>
          <t>Net exchange differences</t>
        </is>
      </c>
      <c r="B10" s="6" t="n">
        <v>-253.8</v>
      </c>
      <c r="C10" s="6" t="n">
        <v>117.2</v>
      </c>
      <c r="D10" s="6" t="n"/>
      <c r="E10" s="6" t="n"/>
      <c r="F10" s="6" t="n"/>
    </row>
    <row r="11">
      <c r="A11" s="6" t="inlineStr">
        <is>
          <t>Profit on sale of amortised cost bonds</t>
        </is>
      </c>
      <c r="B11" s="6" t="n">
        <v>-1137.9</v>
      </c>
      <c r="C11" s="6" t="n">
        <v>0</v>
      </c>
      <c r="D11" s="6" t="n"/>
      <c r="E11" s="6" t="n"/>
      <c r="F11" s="6" t="n"/>
    </row>
    <row r="12">
      <c r="A12" s="6" t="inlineStr">
        <is>
          <t>Loss on disposal of tangible/intangible assets</t>
        </is>
      </c>
      <c r="B12" s="6" t="n">
        <v>0</v>
      </c>
      <c r="C12" s="6" t="n">
        <v>0</v>
      </c>
      <c r="D12" s="6" t="n">
        <v>0.8</v>
      </c>
      <c r="E12" s="6" t="n">
        <v>0.8</v>
      </c>
      <c r="F12" s="6" t="n"/>
    </row>
    <row r="13">
      <c r="A13" s="6" t="inlineStr">
        <is>
          <t>Bad debt recovered</t>
        </is>
      </c>
      <c r="B13" s="6" t="n"/>
      <c r="C13" s="6" t="n"/>
      <c r="D13" s="6" t="n">
        <v>0</v>
      </c>
      <c r="E13" s="6" t="n">
        <v>18.7</v>
      </c>
      <c r="F13" s="6" t="n"/>
    </row>
    <row r="14">
      <c r="A14" s="6" t="inlineStr">
        <is>
          <t>Exchange differences - finance lease liability</t>
        </is>
      </c>
      <c r="B14" s="6" t="n"/>
      <c r="C14" s="6" t="n"/>
      <c r="D14" s="6" t="n">
        <v>96</v>
      </c>
      <c r="E14" s="6" t="n">
        <v>-237.4</v>
      </c>
      <c r="F14" s="6" t="n"/>
    </row>
    <row r="15">
      <c r="A15" s="6" t="inlineStr">
        <is>
          <t>Interest on finance lease liability</t>
        </is>
      </c>
      <c r="B15" s="6" t="n">
        <v>91.7</v>
      </c>
      <c r="C15" s="6" t="n">
        <v>150</v>
      </c>
      <c r="D15" s="6" t="n">
        <v>72</v>
      </c>
      <c r="E15" s="6" t="n">
        <v>82.90000000000001</v>
      </c>
      <c r="F15" s="6" t="n"/>
    </row>
    <row r="16">
      <c r="A16" s="6" t="inlineStr">
        <is>
          <t>Impairment of loans and advances</t>
        </is>
      </c>
      <c r="B16" s="6" t="n">
        <v>53.8</v>
      </c>
      <c r="C16" s="6" t="n">
        <v>347.7</v>
      </c>
      <c r="D16" s="6" t="n">
        <v>-106.4</v>
      </c>
      <c r="E16" s="6" t="n">
        <v>117.1</v>
      </c>
      <c r="F16" s="6" t="n"/>
    </row>
    <row r="17">
      <c r="A17" s="5" t="inlineStr">
        <is>
          <t>Non-cash and other adjustments (subtotal; unlabeled in source)</t>
        </is>
      </c>
      <c r="B17" s="5" t="n">
        <v>-1837.9</v>
      </c>
      <c r="C17" s="5" t="n">
        <v>-2277.3</v>
      </c>
      <c r="D17" s="5" t="n">
        <v>-3216.8</v>
      </c>
      <c r="E17" s="5" t="n">
        <v>-4135</v>
      </c>
      <c r="F17" s="5" t="n"/>
    </row>
    <row r="18">
      <c r="A18" s="6" t="inlineStr">
        <is>
          <t>Change in loans and advances to banks</t>
        </is>
      </c>
      <c r="B18" s="6" t="n">
        <v>-43911.4</v>
      </c>
      <c r="C18" s="6" t="n">
        <v>-36557.8</v>
      </c>
      <c r="D18" s="6" t="n">
        <v>-49937.6</v>
      </c>
      <c r="E18" s="6" t="n">
        <v>36614.6</v>
      </c>
      <c r="F18" s="6" t="n"/>
    </row>
    <row r="19">
      <c r="A19" s="6" t="inlineStr">
        <is>
          <t>Change in loans and advances to customers</t>
        </is>
      </c>
      <c r="B19" s="6" t="n">
        <v>-69443.2</v>
      </c>
      <c r="C19" s="6" t="n">
        <v>-36546.1</v>
      </c>
      <c r="D19" s="6" t="n">
        <v>-4041.6</v>
      </c>
      <c r="E19" s="6" t="n">
        <v>10236.6</v>
      </c>
      <c r="F19" s="6" t="n"/>
    </row>
    <row r="20">
      <c r="A20" s="6" t="inlineStr">
        <is>
          <t>Change in short-term investments</t>
        </is>
      </c>
      <c r="B20" s="6" t="n">
        <v>-8389.4</v>
      </c>
      <c r="C20" s="6" t="n">
        <v>0</v>
      </c>
      <c r="D20" s="6" t="n"/>
      <c r="E20" s="6" t="n"/>
      <c r="F20" s="6" t="n"/>
    </row>
    <row r="21">
      <c r="A21" s="6" t="inlineStr">
        <is>
          <t>Change in other assets</t>
        </is>
      </c>
      <c r="B21" s="6" t="n">
        <v>-364.4</v>
      </c>
      <c r="C21" s="6" t="n">
        <v>-224.2</v>
      </c>
      <c r="D21" s="6" t="n">
        <v>-71.2</v>
      </c>
      <c r="E21" s="6" t="n">
        <v>-9.800000000000001</v>
      </c>
      <c r="F21" s="6" t="n"/>
    </row>
    <row r="22">
      <c r="A22" s="6" t="inlineStr">
        <is>
          <t>Change in prepayments</t>
        </is>
      </c>
      <c r="B22" s="6" t="n">
        <v>-91.7</v>
      </c>
      <c r="C22" s="6" t="n">
        <v>-177.3</v>
      </c>
      <c r="D22" s="6" t="n">
        <v>-73.59999999999999</v>
      </c>
      <c r="E22" s="6" t="n">
        <v>-22</v>
      </c>
      <c r="F22" s="6" t="n"/>
    </row>
    <row r="23">
      <c r="A23" s="6" t="inlineStr">
        <is>
          <t>Change in deposits by banks</t>
        </is>
      </c>
      <c r="B23" s="6" t="n">
        <v>66611.39999999999</v>
      </c>
      <c r="C23" s="6" t="n">
        <v>21528.9</v>
      </c>
      <c r="D23" s="6" t="n">
        <v>46956</v>
      </c>
      <c r="E23" s="6" t="n">
        <v>-39966.7</v>
      </c>
      <c r="F23" s="6" t="n"/>
    </row>
    <row r="24">
      <c r="A24" s="6" t="inlineStr">
        <is>
          <t>Change in customer accounts</t>
        </is>
      </c>
      <c r="B24" s="6" t="n">
        <v>67791.7</v>
      </c>
      <c r="C24" s="6" t="n">
        <v>44598.4</v>
      </c>
      <c r="D24" s="6" t="n">
        <v>9868</v>
      </c>
      <c r="E24" s="6" t="n">
        <v>-15468.3</v>
      </c>
      <c r="F24" s="6" t="n"/>
    </row>
    <row r="25">
      <c r="A25" s="6" t="inlineStr">
        <is>
          <t>Change in derivatives</t>
        </is>
      </c>
      <c r="B25" s="6" t="n">
        <v>-215.9</v>
      </c>
      <c r="C25" s="6" t="n">
        <v>0</v>
      </c>
      <c r="D25" s="6" t="n"/>
      <c r="E25" s="6" t="n"/>
      <c r="F25" s="6" t="n"/>
    </row>
    <row r="26">
      <c r="A26" s="6" t="inlineStr">
        <is>
          <t>Change in other liabilities</t>
        </is>
      </c>
      <c r="B26" s="6" t="n">
        <v>15.2</v>
      </c>
      <c r="C26" s="6" t="n">
        <v>211.7</v>
      </c>
      <c r="D26" s="6" t="n">
        <v>51.2</v>
      </c>
      <c r="E26" s="6" t="n">
        <v>9.800000000000001</v>
      </c>
      <c r="F26" s="6" t="n"/>
    </row>
    <row r="27">
      <c r="A27" s="6" t="inlineStr">
        <is>
          <t>Change in accruals and deferred income</t>
        </is>
      </c>
      <c r="B27" s="6" t="n">
        <v>-236.4</v>
      </c>
      <c r="C27" s="6" t="n">
        <v>248.4</v>
      </c>
      <c r="D27" s="6" t="n">
        <v>-25.6</v>
      </c>
      <c r="E27" s="6" t="n">
        <v>-38.2</v>
      </c>
      <c r="F27" s="6" t="n"/>
    </row>
    <row r="28">
      <c r="A28" s="5" t="inlineStr">
        <is>
          <t>Cash (used in)/from operations</t>
        </is>
      </c>
      <c r="B28" s="5" t="n">
        <v>9928</v>
      </c>
      <c r="C28" s="5" t="n">
        <v>-9195.299999999999</v>
      </c>
      <c r="D28" s="5" t="n">
        <v>-491.2</v>
      </c>
      <c r="E28" s="5" t="n">
        <v>-12778.9</v>
      </c>
      <c r="F28" s="5" t="n"/>
    </row>
    <row r="29">
      <c r="A29" s="6" t="inlineStr">
        <is>
          <t>Acquisition of financial assets</t>
        </is>
      </c>
      <c r="B29" s="6" t="n">
        <v>-88887.10000000001</v>
      </c>
      <c r="C29" s="6" t="n">
        <v>-56551.6</v>
      </c>
      <c r="D29" s="6" t="n">
        <v>-62505.6</v>
      </c>
      <c r="E29" s="6" t="n">
        <v>-32901.6</v>
      </c>
      <c r="F29" s="6" t="n"/>
    </row>
    <row r="30">
      <c r="A30" s="6" t="inlineStr">
        <is>
          <t>Disposal of financial assets</t>
        </is>
      </c>
      <c r="B30" s="6" t="n">
        <v>95919.7</v>
      </c>
      <c r="C30" s="6" t="n">
        <v>53860.2</v>
      </c>
      <c r="D30" s="6" t="n">
        <v>44703.2</v>
      </c>
      <c r="E30" s="6" t="n">
        <v>42989.4</v>
      </c>
      <c r="F30" s="6" t="n"/>
    </row>
    <row r="31">
      <c r="A31" s="6" t="inlineStr">
        <is>
          <t>Income tax received</t>
        </is>
      </c>
      <c r="B31" s="6" t="n"/>
      <c r="C31" s="6" t="n"/>
      <c r="D31" s="6" t="n">
        <v>0</v>
      </c>
      <c r="E31" s="6" t="n">
        <v>205.7</v>
      </c>
      <c r="F31" s="6" t="n"/>
    </row>
    <row r="32">
      <c r="A32" s="5" t="inlineStr">
        <is>
          <t>Net cash (used in)/from operating activities</t>
        </is>
      </c>
      <c r="B32" s="5" t="n">
        <v>16960.6</v>
      </c>
      <c r="C32" s="5" t="n">
        <v>-11886.7</v>
      </c>
      <c r="D32" s="5" t="n">
        <v>-18293.6</v>
      </c>
      <c r="E32" s="5" t="n">
        <v>-2485.4</v>
      </c>
      <c r="F32" s="5" t="n"/>
    </row>
    <row r="33">
      <c r="A33" s="5" t="inlineStr">
        <is>
          <t>Investing activities</t>
        </is>
      </c>
      <c r="B33" s="6" t="n"/>
      <c r="C33" s="6" t="n"/>
      <c r="D33" s="6" t="n"/>
      <c r="E33" s="6" t="n"/>
      <c r="F33" s="6" t="n"/>
    </row>
    <row r="34">
      <c r="A34" s="6" t="inlineStr">
        <is>
          <t>Acquisition of tangible and intangible assets</t>
        </is>
      </c>
      <c r="B34" s="6" t="n">
        <v>-298.5</v>
      </c>
      <c r="C34" s="6" t="n">
        <v>-47.7</v>
      </c>
      <c r="D34" s="6" t="n">
        <v>-130.4</v>
      </c>
      <c r="E34" s="6" t="n">
        <v>-30.9</v>
      </c>
      <c r="F34" s="6" t="n"/>
    </row>
    <row r="35">
      <c r="A35" s="5" t="inlineStr">
        <is>
          <t>Net cash flow used in investing activities</t>
        </is>
      </c>
      <c r="B35" s="5" t="n">
        <v>-298.5</v>
      </c>
      <c r="C35" s="5" t="n">
        <v>-47.7</v>
      </c>
      <c r="D35" s="5" t="n">
        <v>-130.4</v>
      </c>
      <c r="E35" s="5" t="n">
        <v>-30.9</v>
      </c>
      <c r="F35" s="5" t="n"/>
    </row>
    <row r="36">
      <c r="A36" s="5" t="inlineStr">
        <is>
          <t>Financing activities</t>
        </is>
      </c>
      <c r="B36" s="6" t="n"/>
      <c r="C36" s="6" t="n"/>
      <c r="D36" s="6" t="n"/>
      <c r="E36" s="6" t="n"/>
      <c r="F36" s="6" t="n"/>
    </row>
    <row r="37">
      <c r="A37" s="6" t="inlineStr">
        <is>
          <t>Increase in share capital</t>
        </is>
      </c>
      <c r="B37" s="6" t="n">
        <v>0</v>
      </c>
      <c r="C37" s="6" t="n">
        <v>0</v>
      </c>
      <c r="D37" s="6" t="n">
        <v>20000</v>
      </c>
      <c r="E37" s="6" t="n">
        <v>0</v>
      </c>
      <c r="F37" s="6" t="n"/>
    </row>
    <row r="38">
      <c r="A38" s="6" t="inlineStr">
        <is>
          <t>Leasehold property repayments</t>
        </is>
      </c>
      <c r="B38" s="6" t="n">
        <v>-459.1</v>
      </c>
      <c r="C38" s="6" t="n">
        <v>-440.6</v>
      </c>
      <c r="D38" s="6" t="n">
        <v>-219.2</v>
      </c>
      <c r="E38" s="6" t="n">
        <v>-384.6</v>
      </c>
      <c r="F38" s="6" t="n"/>
    </row>
    <row r="39">
      <c r="A39" s="5" t="inlineStr">
        <is>
          <t>Net cash generated from/(used in) financing activities</t>
        </is>
      </c>
      <c r="B39" s="5" t="n">
        <v>-459.1</v>
      </c>
      <c r="C39" s="5" t="n">
        <v>-440.6</v>
      </c>
      <c r="D39" s="5" t="n">
        <v>19780.8</v>
      </c>
      <c r="E39" s="5" t="n">
        <v>-384.6</v>
      </c>
      <c r="F39" s="5" t="n"/>
    </row>
    <row r="40">
      <c r="A40" s="5" t="inlineStr">
        <is>
          <t>Net (decrease)/increase in cash and cash equivalents</t>
        </is>
      </c>
      <c r="B40" s="5" t="n">
        <v>16203</v>
      </c>
      <c r="C40" s="5" t="n">
        <v>-12375</v>
      </c>
      <c r="D40" s="5" t="n">
        <v>1356.8</v>
      </c>
      <c r="E40" s="5" t="n">
        <v>-2900.8</v>
      </c>
      <c r="F40" s="5" t="n"/>
    </row>
    <row r="41">
      <c r="A41" s="6" t="inlineStr">
        <is>
          <t>Cash and cash equivalents at the beginning of the year</t>
        </is>
      </c>
      <c r="B41" s="6" t="n">
        <v>79931.2</v>
      </c>
      <c r="C41" s="6" t="n">
        <v>91260.60000000001</v>
      </c>
      <c r="D41" s="6" t="n">
        <v>4525.8</v>
      </c>
      <c r="E41" s="6" t="n">
        <v>6665.9</v>
      </c>
      <c r="F41" s="6" t="n"/>
    </row>
    <row r="42">
      <c r="A42" s="6" t="inlineStr">
        <is>
          <t>Exchange difference in respect of cash and cash equivalents / effect of GBP-USD translation</t>
        </is>
      </c>
      <c r="B42" s="6" t="n">
        <v>343.9</v>
      </c>
      <c r="C42" s="6" t="n">
        <v>-114.8</v>
      </c>
      <c r="D42" s="6" t="n">
        <v>-270.8</v>
      </c>
      <c r="E42" s="6" t="n">
        <v>760.7</v>
      </c>
      <c r="F42" s="6" t="n"/>
    </row>
    <row r="43">
      <c r="A43" s="5" t="inlineStr">
        <is>
          <t>Cash and cash equivalents at the end of the year</t>
        </is>
      </c>
      <c r="B43" s="5" t="n">
        <v>90189.60000000001</v>
      </c>
      <c r="C43" s="5" t="n">
        <v>79931.2</v>
      </c>
      <c r="D43" s="5" t="n">
        <v>5611.8</v>
      </c>
      <c r="E43" s="5" t="n">
        <v>4525.8</v>
      </c>
      <c r="F43" s="5" t="n"/>
    </row>
    <row r="45" ht="340" customHeight="1">
      <c r="A45" s="8" t="inlineStr">
        <is>
          <t>Sources - all figures are FidBank UK Limited's own Statement of Cash Flows (Bank-only, GBP figures converted from the source's own USD figures at FidBank UK's own disclosed Dollar/Sterling exchange rates - see FX methodology note below):
FY2025, FY2024: Annual Report and Financial Statements for the year ended 31 December 2025, p.37 (Statement of Cash Flows) - https://find-and-update.company-information.service.gov.uk/company/04661188/filing-history/MzUzMzg1ODU2NWFkaXF6a2N4/document?format=pdf&amp;download=0
FY2023, FY2022: Annual Report &amp; Financial Statements for the year ended 31 December 2023, p.26 (Statement of Cash Flows) - https://find-and-update.company-information.service.gov.uk/company/04661188/filing-history/MzQxOTU1NjA5M2FkaXF6a2N4/document?format=pdf&amp;download=0
FY2021: not available - no source document with line-item cash flow detail was found (see entity note).
FX conversion methodology: this project converts flow (cash flow statement) figures at each year's average GBP/USD rate and point-in-time (balance) figures at that year's period-end spot rate. FidBank UK's own Annual Report discloses its own Dollar/Sterling exchange rates (year-end and average) directly in its 5-year Financial Highlights table each year - those entity-disclosed rates are used here rather than an independently-sourced Bank of England rate, since they are explicitly stated as the rates the entity itself used to prepare its accounts. Ratios are never converted (dimensionless, currency-invariant).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Capital Ratio (Shareholders' Funds ÷ RWA)</t>
        </is>
      </c>
      <c r="B4" s="6" t="inlineStr">
        <is>
          <t>21.46%</t>
        </is>
      </c>
      <c r="C4" s="6" t="inlineStr">
        <is>
          <t>43%</t>
        </is>
      </c>
      <c r="D4" s="6" t="inlineStr">
        <is>
          <t>98%</t>
        </is>
      </c>
      <c r="E4" s="6" t="inlineStr">
        <is>
          <t>54%</t>
        </is>
      </c>
      <c r="F4" s="6" t="inlineStr">
        <is>
          <t>40%</t>
        </is>
      </c>
    </row>
    <row r="5" ht="60" customHeight="1">
      <c r="A5" s="7" t="inlineStr">
        <is>
          <t>Note: CAUTION: this is FidBank UK's own headline "Capital Ratio" (Shareholders' Funds ÷ Risk Weighted Assets, per the source's own stated formula), NOT necessarily a standard regulatory Total Capital Ratio (CET1+AT1+T2 ÷ RWA) since the numerator is an accounting equity figure, not a confirmed regulatory-capital figure. Used as the best available proxy since no other capital ratio breakdown is disclosed. FY2025's Performance Metrics infographic (p.7) separately states this same ratio as 21.64%, a minor internal inconsistency with the Financial Highlights table's own 21.46% - the Financial Highlights table figure is used here as the formal 5-year comparative disclosure.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 The Strategic Report's Capital Risk section confirms a Leverage Ratio IS tracked internally ("tracked daily...reported quarterly to the Board"), but its actual value is never stated in any filing reviewed.</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178%</t>
        </is>
      </c>
      <c r="C4" s="6" t="inlineStr">
        <is>
          <t>243%</t>
        </is>
      </c>
      <c r="D4" s="6" t="n"/>
      <c r="E4" s="6" t="n"/>
      <c r="F4" s="6" t="n"/>
    </row>
    <row r="5" ht="60" customHeight="1">
      <c r="A5" s="7" t="inlineStr">
        <is>
          <t>Note: Only disclosed for FY2025 and FY2024 (Performance Metrics page, p.7 of the FY2025 Annual Report) - not found in the FY2023 Annual Report or anywhere else for FY2023/FY2022/FY2021.</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2026-08-28T08:48:24Z</dcterms:created>
  <dcterms:modified xsi:type="dcterms:W3CDTF">2026-08-28T08:48:24Z</dcterms:modified>
</cp:coreProperties>
</file>