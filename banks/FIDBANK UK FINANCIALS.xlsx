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'Overview'!$J$5:$M$5</f>
            </numRef>
          </cat>
          <val>
            <numRef>
              <f>'Overview'!$J$6:$M$6</f>
            </numRef>
          </val>
        </ser>
        <ser>
          <idx val="1"/>
          <order val="1"/>
          <tx>
            <strRef>
              <f>'Overview'!I7</f>
            </strRef>
          </tx>
          <spPr>
            <a:ln xmlns:a="http://schemas.openxmlformats.org/drawingml/2006/main">
              <a:prstDash val="solid"/>
            </a:ln>
          </spPr>
          <cat>
            <numRef>
              <f>'Overview'!$J$5:$M$5</f>
            </numRef>
          </cat>
          <val>
            <numRef>
              <f>'Overview'!$J$7:$M$7</f>
            </numRef>
          </val>
        </ser>
        <ser>
          <idx val="2"/>
          <order val="2"/>
          <tx>
            <strRef>
              <f>'Overview'!I8</f>
            </strRef>
          </tx>
          <spPr>
            <a:ln xmlns:a="http://schemas.openxmlformats.org/drawingml/2006/main">
              <a:prstDash val="solid"/>
            </a:ln>
          </spPr>
          <cat>
            <numRef>
              <f>'Overview'!$J$5:$M$5</f>
            </numRef>
          </cat>
          <val>
            <numRef>
              <f>'Overview'!$J$8:$M$8</f>
            </numRef>
          </val>
        </ser>
        <ser>
          <idx val="3"/>
          <order val="3"/>
          <tx>
            <strRef>
              <f>'Overview'!I9</f>
            </strRef>
          </tx>
          <spPr>
            <a:ln xmlns:a="http://schemas.openxmlformats.org/drawingml/2006/main">
              <a:prstDash val="solid"/>
            </a:ln>
          </spPr>
          <cat>
            <numRef>
              <f>'Overview'!$J$5:$M$5</f>
            </numRef>
          </cat>
          <val>
            <numRef>
              <f>'Overview'!$J$9:$M$9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'Overview'!P13</f>
            </strRef>
          </tx>
          <spPr>
            <a:ln xmlns:a="http://schemas.openxmlformats.org/drawingml/2006/main">
              <a:prstDash val="solid"/>
            </a:ln>
          </spPr>
          <cat>
            <numRef>
              <f>'Overview'!$Q$12:$T$12</f>
            </numRef>
          </cat>
          <val>
            <numRef>
              <f>'Overview'!$Q$13:$T$13</f>
            </numRef>
          </val>
        </ser>
        <ser>
          <idx val="1"/>
          <order val="1"/>
          <tx>
            <strRef>
              <f>'Overview'!P14</f>
            </strRef>
          </tx>
          <spPr>
            <a:ln xmlns:a="http://schemas.openxmlformats.org/drawingml/2006/main">
              <a:prstDash val="solid"/>
            </a:ln>
          </spPr>
          <cat>
            <numRef>
              <f>'Overview'!$Q$12:$T$12</f>
            </numRef>
          </cat>
          <val>
            <numRef>
              <f>'Overview'!$Q$14:$T$14</f>
            </numRef>
          </val>
        </ser>
        <ser>
          <idx val="2"/>
          <order val="2"/>
          <tx>
            <strRef>
              <f>'Overview'!P15</f>
            </strRef>
          </tx>
          <spPr>
            <a:ln xmlns:a="http://schemas.openxmlformats.org/drawingml/2006/main">
              <a:prstDash val="solid"/>
            </a:ln>
          </spPr>
          <cat>
            <numRef>
              <f>'Overview'!$Q$12:$T$12</f>
            </numRef>
          </cat>
          <val>
            <numRef>
              <f>'Overview'!$Q$15:$T$15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'Overview'!W19</f>
            </strRef>
          </tx>
          <spPr>
            <a:ln xmlns:a="http://schemas.openxmlformats.org/drawingml/2006/main">
              <a:prstDash val="solid"/>
            </a:ln>
          </spPr>
          <cat>
            <numRef>
              <f>'Overview'!$X$18:$AA$18</f>
            </numRef>
          </cat>
          <val>
            <numRef>
              <f>'Overview'!$X$19:$AA$19</f>
            </numRef>
          </val>
        </ser>
        <ser>
          <idx val="1"/>
          <order val="1"/>
          <tx>
            <strRef>
              <f>'Overview'!W20</f>
            </strRef>
          </tx>
          <spPr>
            <a:ln xmlns:a="http://schemas.openxmlformats.org/drawingml/2006/main">
              <a:prstDash val="solid"/>
            </a:ln>
          </spPr>
          <cat>
            <numRef>
              <f>'Overview'!$X$18:$AA$18</f>
            </numRef>
          </cat>
          <val>
            <numRef>
              <f>'Overview'!$X$20:$AA$20</f>
            </numRef>
          </val>
        </ser>
        <ser>
          <idx val="2"/>
          <order val="2"/>
          <tx>
            <strRef>
              <f>'Overview'!W21</f>
            </strRef>
          </tx>
          <spPr>
            <a:ln xmlns:a="http://schemas.openxmlformats.org/drawingml/2006/main">
              <a:prstDash val="solid"/>
            </a:ln>
          </spPr>
          <cat>
            <numRef>
              <f>'Overview'!$X$18:$AA$18</f>
            </numRef>
          </cat>
          <val>
            <numRef>
              <f>'Overview'!$X$21:$AA$21</f>
            </numRef>
          </val>
        </ser>
        <ser>
          <idx val="3"/>
          <order val="3"/>
          <tx>
            <strRef>
              <f>'Overview'!W22</f>
            </strRef>
          </tx>
          <spPr>
            <a:ln xmlns:a="http://schemas.openxmlformats.org/drawingml/2006/main">
              <a:prstDash val="solid"/>
            </a:ln>
          </spPr>
          <cat>
            <numRef>
              <f>'Overview'!$X$18:$AA$18</f>
            </numRef>
          </cat>
          <val>
            <numRef>
              <f>'Overview'!$X$22:$AA$22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'Overview'!AD26</f>
            </strRef>
          </tx>
          <spPr>
            <a:ln xmlns:a="http://schemas.openxmlformats.org/drawingml/2006/main">
              <a:prstDash val="solid"/>
            </a:ln>
          </spPr>
          <cat>
            <numRef>
              <f>'Overview'!$AE$25:$AH$25</f>
            </numRef>
          </cat>
          <val>
            <numRef>
              <f>'Overview'!$AE$26:$AH$26</f>
            </numRef>
          </val>
        </ser>
        <ser>
          <idx val="1"/>
          <order val="1"/>
          <tx>
            <strRef>
              <f>'Overview'!AD27</f>
            </strRef>
          </tx>
          <spPr>
            <a:ln xmlns:a="http://schemas.openxmlformats.org/drawingml/2006/main">
              <a:prstDash val="solid"/>
            </a:ln>
          </spPr>
          <cat>
            <numRef>
              <f>'Overview'!$AE$25:$AH$25</f>
            </numRef>
          </cat>
          <val>
            <numRef>
              <f>'Overview'!$AE$27:$AH$27</f>
            </numRef>
          </val>
        </ser>
        <ser>
          <idx val="2"/>
          <order val="2"/>
          <tx>
            <strRef>
              <f>'Overview'!AD28</f>
            </strRef>
          </tx>
          <spPr>
            <a:ln xmlns:a="http://schemas.openxmlformats.org/drawingml/2006/main">
              <a:prstDash val="solid"/>
            </a:ln>
          </spPr>
          <cat>
            <numRef>
              <f>'Overview'!$AE$25:$AH$25</f>
            </numRef>
          </cat>
          <val>
            <numRef>
              <f>'Overview'!$AE$28:$AH$28</f>
            </numRef>
          </val>
        </ser>
        <ser>
          <idx val="3"/>
          <order val="3"/>
          <tx>
            <strRef>
              <f>'Overview'!AD29</f>
            </strRef>
          </tx>
          <spPr>
            <a:ln xmlns:a="http://schemas.openxmlformats.org/drawingml/2006/main">
              <a:prstDash val="solid"/>
            </a:ln>
          </spPr>
          <cat>
            <numRef>
              <f>'Overview'!$AE$25:$AH$25</f>
            </numRef>
          </cat>
          <val>
            <numRef>
              <f>'Overview'!$AE$29:$AH$29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'Overview'!$AL$5:$AP$5</f>
            </numRef>
          </cat>
          <val>
            <numRef>
              <f>'Overview'!$AL$6:$AP$6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'Overview'!$AL$5:$AP$5</f>
            </numRef>
          </cat>
          <val>
            <numRef>
              <f>'Overview'!$AL$7:$AP$7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P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J5" t="inlineStr">
        <is>
          <t>FY2022</t>
        </is>
      </c>
      <c r="K5" t="inlineStr">
        <is>
          <t>FY2023</t>
        </is>
      </c>
      <c r="L5" t="inlineStr">
        <is>
          <t>FY2024</t>
        </is>
      </c>
      <c r="M5" t="inlineStr">
        <is>
          <t>FY2025</t>
        </is>
      </c>
      <c r="AL5" t="inlineStr">
        <is>
          <t>FY2021</t>
        </is>
      </c>
      <c r="AM5" t="inlineStr">
        <is>
          <t>FY2022</t>
        </is>
      </c>
      <c r="AN5" t="inlineStr">
        <is>
          <t>FY2023</t>
        </is>
      </c>
      <c r="AO5" t="inlineStr">
        <is>
          <t>FY2024</t>
        </is>
      </c>
      <c r="AP5" t="inlineStr">
        <is>
          <t>FY2025</t>
        </is>
      </c>
    </row>
    <row r="6">
      <c r="A6" s="5" t="inlineStr">
        <is>
          <t>Total Assets</t>
        </is>
      </c>
      <c r="B6" s="5" t="n">
        <v>333423.7</v>
      </c>
      <c r="C6" s="5" t="n">
        <v>217856</v>
      </c>
      <c r="D6" s="5" t="n">
        <v>149298.4</v>
      </c>
      <c r="E6" s="5" t="n">
        <v>80527.5</v>
      </c>
      <c r="I6" t="inlineStr">
        <is>
          <t>Total Assets</t>
        </is>
      </c>
      <c r="J6" t="n">
        <v>80527.5</v>
      </c>
      <c r="K6" t="n">
        <v>149298.4</v>
      </c>
      <c r="L6" t="n">
        <v>217856</v>
      </c>
      <c r="M6" t="n">
        <v>333423.7</v>
      </c>
      <c r="AK6" t="inlineStr">
        <is>
          <t>Total Capital Ratio (AR proxy: Shareholders' Funds ÷ RWA)</t>
        </is>
      </c>
      <c r="AL6" t="n">
        <v>40</v>
      </c>
      <c r="AM6" t="n">
        <v>54</v>
      </c>
      <c r="AN6" t="n">
        <v>98</v>
      </c>
      <c r="AO6" t="n">
        <v>43</v>
      </c>
      <c r="AP6" t="n">
        <v>21.99</v>
      </c>
    </row>
    <row r="7">
      <c r="A7" s="5" t="inlineStr">
        <is>
          <t>Loans and advances to customers</t>
        </is>
      </c>
      <c r="B7" s="5" t="n">
        <v>108763</v>
      </c>
      <c r="C7" s="5" t="n">
        <v>44132</v>
      </c>
      <c r="D7" s="5" t="n">
        <v>6763.8</v>
      </c>
      <c r="E7" s="5" t="n">
        <v>2970</v>
      </c>
      <c r="I7" t="inlineStr">
        <is>
          <t>Loans and advances to customers</t>
        </is>
      </c>
      <c r="J7" t="n">
        <v>2970</v>
      </c>
      <c r="K7" t="n">
        <v>6763.8</v>
      </c>
      <c r="L7" t="n">
        <v>44132</v>
      </c>
      <c r="M7" t="n">
        <v>108763</v>
      </c>
      <c r="AK7" t="inlineStr">
        <is>
          <t>LCR</t>
        </is>
      </c>
      <c r="AM7" t="n">
        <v>379.92</v>
      </c>
      <c r="AN7" t="n">
        <v>233.04</v>
      </c>
      <c r="AO7" t="n">
        <v>243.39</v>
      </c>
      <c r="AP7" t="n">
        <v>178</v>
      </c>
    </row>
    <row r="8">
      <c r="A8" s="5" t="inlineStr">
        <is>
          <t>Customer accounts</t>
        </is>
      </c>
      <c r="B8" s="5" t="n">
        <v>146063</v>
      </c>
      <c r="C8" s="5" t="n">
        <v>86160</v>
      </c>
      <c r="D8" s="5" t="n">
        <v>39852.8</v>
      </c>
      <c r="E8" s="5" t="n">
        <v>31898.3</v>
      </c>
      <c r="I8" t="inlineStr">
        <is>
          <t>Customer accounts</t>
        </is>
      </c>
      <c r="J8" t="n">
        <v>31898.3</v>
      </c>
      <c r="K8" t="n">
        <v>39852.8</v>
      </c>
      <c r="L8" t="n">
        <v>86160</v>
      </c>
      <c r="M8" t="n">
        <v>146063</v>
      </c>
    </row>
    <row r="9">
      <c r="A9" s="5" t="inlineStr">
        <is>
          <t>Total equity</t>
        </is>
      </c>
      <c r="B9" s="5" t="n">
        <v>41689.6</v>
      </c>
      <c r="C9" s="5" t="n">
        <v>44296.8</v>
      </c>
      <c r="D9" s="5" t="n">
        <v>45273.2</v>
      </c>
      <c r="E9" s="5" t="n">
        <v>29599.2</v>
      </c>
      <c r="I9" t="inlineStr">
        <is>
          <t>Total equity</t>
        </is>
      </c>
      <c r="J9" t="n">
        <v>29599.2</v>
      </c>
      <c r="K9" t="n">
        <v>45273.2</v>
      </c>
      <c r="L9" t="n">
        <v>44296.8</v>
      </c>
      <c r="M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Q12" t="inlineStr">
        <is>
          <t>FY2022</t>
        </is>
      </c>
      <c r="R12" t="inlineStr">
        <is>
          <t>FY2023</t>
        </is>
      </c>
      <c r="S12" t="inlineStr">
        <is>
          <t>FY2024</t>
        </is>
      </c>
      <c r="T12" t="inlineStr">
        <is>
          <t>FY2025</t>
        </is>
      </c>
    </row>
    <row r="13">
      <c r="A13" s="5" t="inlineStr">
        <is>
          <t>Total income</t>
        </is>
      </c>
      <c r="B13" s="5" t="n">
        <v>12456.1</v>
      </c>
      <c r="C13" s="5" t="n">
        <v>9480.5</v>
      </c>
      <c r="D13" s="5" t="n">
        <v>7040</v>
      </c>
      <c r="E13" s="5" t="n">
        <v>3228.5</v>
      </c>
      <c r="P13" t="inlineStr">
        <is>
          <t>Total income</t>
        </is>
      </c>
      <c r="Q13" t="n">
        <v>3228.5</v>
      </c>
      <c r="R13" t="n">
        <v>7040</v>
      </c>
      <c r="S13" t="n">
        <v>9480.5</v>
      </c>
      <c r="T13" t="n">
        <v>12456.1</v>
      </c>
    </row>
    <row r="14">
      <c r="A14" s="5" t="inlineStr">
        <is>
          <t>Administrative expenses</t>
        </is>
      </c>
      <c r="B14" s="5" t="n">
        <v>-11127.3</v>
      </c>
      <c r="C14" s="5" t="n">
        <v>-9960.9</v>
      </c>
      <c r="D14" s="5" t="n">
        <v>-8932</v>
      </c>
      <c r="E14" s="5" t="n">
        <v>-6906.5</v>
      </c>
      <c r="P14" t="inlineStr">
        <is>
          <t>Administrative expenses</t>
        </is>
      </c>
      <c r="Q14" t="n">
        <v>-6906.5</v>
      </c>
      <c r="R14" t="n">
        <v>-8932</v>
      </c>
      <c r="S14" t="n">
        <v>-9960.9</v>
      </c>
      <c r="T14" t="n">
        <v>-11127.3</v>
      </c>
    </row>
    <row r="15">
      <c r="A15" s="5" t="inlineStr">
        <is>
          <t>Profit/(Loss) for the year after tax</t>
        </is>
      </c>
      <c r="B15" s="5" t="n">
        <v>697</v>
      </c>
      <c r="C15" s="5" t="n">
        <v>-1680.5</v>
      </c>
      <c r="D15" s="5" t="n">
        <v>-2418.4</v>
      </c>
      <c r="E15" s="5" t="n">
        <v>-4375.6</v>
      </c>
      <c r="P15" t="inlineStr">
        <is>
          <t>Profit/(Loss) for the year after tax</t>
        </is>
      </c>
      <c r="Q15" t="n">
        <v>-4375.6</v>
      </c>
      <c r="R15" t="n">
        <v>-2418.4</v>
      </c>
      <c r="S15" t="n">
        <v>-1680.5</v>
      </c>
      <c r="T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X18" t="inlineStr">
        <is>
          <t>FY2022</t>
        </is>
      </c>
      <c r="Y18" t="inlineStr">
        <is>
          <t>FY2023</t>
        </is>
      </c>
      <c r="Z18" t="inlineStr">
        <is>
          <t>FY2024</t>
        </is>
      </c>
      <c r="AA18" t="inlineStr">
        <is>
          <t>FY2025</t>
        </is>
      </c>
    </row>
    <row r="19">
      <c r="A19" s="5" t="inlineStr">
        <is>
          <t>Opening equity</t>
        </is>
      </c>
      <c r="B19" s="5" t="n">
        <v>44296.8</v>
      </c>
      <c r="C19" s="5" t="n">
        <v>45273.2</v>
      </c>
      <c r="D19" s="5" t="n">
        <v>29599.2</v>
      </c>
      <c r="E19" s="5" t="n">
        <v>30294.8</v>
      </c>
      <c r="W19" t="inlineStr">
        <is>
          <t>Opening equity</t>
        </is>
      </c>
      <c r="X19" t="n">
        <v>30294.8</v>
      </c>
      <c r="Y19" t="n">
        <v>29599.2</v>
      </c>
      <c r="Z19" t="n">
        <v>45273.2</v>
      </c>
      <c r="AA19" t="n">
        <v>44296.8</v>
      </c>
    </row>
    <row r="20">
      <c r="A20" s="5" t="inlineStr">
        <is>
          <t>Total comprehensive income/(loss) for the year</t>
        </is>
      </c>
      <c r="B20" s="5" t="n">
        <v>689.4</v>
      </c>
      <c r="C20" s="5" t="n">
        <v>-1661</v>
      </c>
      <c r="D20" s="5" t="n">
        <v>-2417.6</v>
      </c>
      <c r="E20" s="5" t="n">
        <v>-4373.2</v>
      </c>
      <c r="W20" t="inlineStr">
        <is>
          <t>Total comprehensive income/(loss) for the year</t>
        </is>
      </c>
      <c r="X20" t="n">
        <v>-4373.2</v>
      </c>
      <c r="Y20" t="n">
        <v>-2417.6</v>
      </c>
      <c r="Z20" t="n">
        <v>-1661</v>
      </c>
      <c r="AA20" t="n">
        <v>689.4</v>
      </c>
    </row>
    <row r="21">
      <c r="A21" s="5" t="inlineStr">
        <is>
          <t>Other equity movements, net</t>
        </is>
      </c>
      <c r="B21" s="5" t="n">
        <v>-3296.6</v>
      </c>
      <c r="C21" s="5" t="n">
        <v>684.6</v>
      </c>
      <c r="D21" s="5" t="n">
        <v>18091.6</v>
      </c>
      <c r="E21" s="5" t="n">
        <v>3677.6</v>
      </c>
      <c r="W21" t="inlineStr">
        <is>
          <t>Other equity movements, net</t>
        </is>
      </c>
      <c r="X21" t="n">
        <v>3677.6</v>
      </c>
      <c r="Y21" t="n">
        <v>18091.6</v>
      </c>
      <c r="Z21" t="n">
        <v>684.6</v>
      </c>
      <c r="AA21" t="n">
        <v>-3296.6</v>
      </c>
    </row>
    <row r="22">
      <c r="A22" s="5" t="inlineStr">
        <is>
          <t>Closing equity</t>
        </is>
      </c>
      <c r="B22" s="5" t="n">
        <v>41689.6</v>
      </c>
      <c r="C22" s="5" t="n">
        <v>44296.8</v>
      </c>
      <c r="D22" s="5" t="n">
        <v>45273.2</v>
      </c>
      <c r="E22" s="5" t="n">
        <v>29599.2</v>
      </c>
      <c r="W22" t="inlineStr">
        <is>
          <t>Closing equity</t>
        </is>
      </c>
      <c r="X22" t="n">
        <v>29599.2</v>
      </c>
      <c r="Y22" t="n">
        <v>45273.2</v>
      </c>
      <c r="Z22" t="n">
        <v>44296.8</v>
      </c>
      <c r="AA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AE25" t="inlineStr">
        <is>
          <t>FY2022</t>
        </is>
      </c>
      <c r="AF25" t="inlineStr">
        <is>
          <t>FY2023</t>
        </is>
      </c>
      <c r="AG25" t="inlineStr">
        <is>
          <t>FY2024</t>
        </is>
      </c>
      <c r="AH25" t="inlineStr">
        <is>
          <t>FY2025</t>
        </is>
      </c>
    </row>
    <row r="26">
      <c r="A26" s="5" t="inlineStr">
        <is>
          <t>Net cash (used in)/from operating activities</t>
        </is>
      </c>
      <c r="B26" s="5" t="n">
        <v>16960.6</v>
      </c>
      <c r="C26" s="5" t="n">
        <v>-11886.7</v>
      </c>
      <c r="D26" s="5" t="n">
        <v>-18293.6</v>
      </c>
      <c r="E26" s="5" t="n">
        <v>-2485.4</v>
      </c>
      <c r="AD26" t="inlineStr">
        <is>
          <t>Net cash (used in)/from operating activities</t>
        </is>
      </c>
      <c r="AE26" t="n">
        <v>-2485.4</v>
      </c>
      <c r="AF26" t="n">
        <v>-18293.6</v>
      </c>
      <c r="AG26" t="n">
        <v>-11886.7</v>
      </c>
      <c r="AH26" t="n">
        <v>16960.6</v>
      </c>
    </row>
    <row r="27">
      <c r="A27" s="5" t="inlineStr">
        <is>
          <t>Net cash flow used in investing activities</t>
        </is>
      </c>
      <c r="B27" s="5" t="n">
        <v>-298.5</v>
      </c>
      <c r="C27" s="5" t="n">
        <v>-47.7</v>
      </c>
      <c r="D27" s="5" t="n">
        <v>-130.4</v>
      </c>
      <c r="E27" s="5" t="n">
        <v>-30.9</v>
      </c>
      <c r="AD27" t="inlineStr">
        <is>
          <t>Net cash flow used in investing activities</t>
        </is>
      </c>
      <c r="AE27" t="n">
        <v>-30.9</v>
      </c>
      <c r="AF27" t="n">
        <v>-130.4</v>
      </c>
      <c r="AG27" t="n">
        <v>-47.7</v>
      </c>
      <c r="AH27" t="n">
        <v>-298.5</v>
      </c>
    </row>
    <row r="28">
      <c r="A28" s="5" t="inlineStr">
        <is>
          <t>Net cash generated from/(used in) financing activities</t>
        </is>
      </c>
      <c r="B28" s="5" t="n">
        <v>-459.1</v>
      </c>
      <c r="C28" s="5" t="n">
        <v>-440.6</v>
      </c>
      <c r="D28" s="5" t="n">
        <v>19780.8</v>
      </c>
      <c r="E28" s="5" t="n">
        <v>-384.6</v>
      </c>
      <c r="AD28" t="inlineStr">
        <is>
          <t>Net cash generated from/(used in) financing activities</t>
        </is>
      </c>
      <c r="AE28" t="n">
        <v>-384.6</v>
      </c>
      <c r="AF28" t="n">
        <v>19780.8</v>
      </c>
      <c r="AG28" t="n">
        <v>-440.6</v>
      </c>
      <c r="AH28" t="n">
        <v>-459.1</v>
      </c>
    </row>
    <row r="29">
      <c r="A29" s="5" t="inlineStr">
        <is>
          <t>Cash and cash equivalents at end of year</t>
        </is>
      </c>
      <c r="B29" s="5" t="n">
        <v>90189.60000000001</v>
      </c>
      <c r="C29" s="5" t="n">
        <v>79931.2</v>
      </c>
      <c r="D29" s="5" t="n">
        <v>5611.8</v>
      </c>
      <c r="E29" s="5" t="n">
        <v>4525.8</v>
      </c>
      <c r="AD29" t="inlineStr">
        <is>
          <t>Cash and cash equivalents at end of year</t>
        </is>
      </c>
      <c r="AE29" t="n">
        <v>4525.8</v>
      </c>
      <c r="AF29" t="n">
        <v>5611.8</v>
      </c>
      <c r="AG29" t="n">
        <v>79931.2</v>
      </c>
      <c r="AH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 (AR proxy: Shareholders' Funds ÷ RWA)</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243.39%</t>
        </is>
      </c>
      <c r="D34" s="6" t="inlineStr">
        <is>
          <t>233.04%</t>
        </is>
      </c>
      <c r="E34" s="6" t="inlineStr">
        <is>
          <t>379.92%</t>
        </is>
      </c>
      <c r="F34" s="6" t="n"/>
    </row>
    <row r="36" ht="6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Assets</t>
        </is>
      </c>
      <c r="B4" s="6" t="n"/>
      <c r="C4" s="6" t="n"/>
      <c r="D4" s="6" t="n"/>
      <c r="E4" s="6" t="n"/>
    </row>
    <row r="5">
      <c r="A5" s="6" t="inlineStr">
        <is>
          <t>Cash and cash equivalents</t>
        </is>
      </c>
      <c r="B5" s="6" t="n">
        <v>90189.60000000001</v>
      </c>
      <c r="C5" s="6" t="n">
        <v>79931.2</v>
      </c>
      <c r="D5" s="6" t="n">
        <v>5611.8</v>
      </c>
      <c r="E5" s="6" t="n">
        <v>4525.8</v>
      </c>
    </row>
    <row r="6">
      <c r="A6" s="6" t="inlineStr">
        <is>
          <t>Short-term investments</t>
        </is>
      </c>
      <c r="B6" s="6" t="n">
        <v>8203</v>
      </c>
      <c r="C6" s="6" t="n">
        <v>0</v>
      </c>
      <c r="D6" s="6" t="n"/>
      <c r="E6" s="6" t="n"/>
    </row>
    <row r="7">
      <c r="A7" s="6" t="inlineStr">
        <is>
          <t>Loans and advances to banks</t>
        </is>
      </c>
      <c r="B7" s="6" t="n">
        <v>91676.3</v>
      </c>
      <c r="C7" s="6" t="n">
        <v>52640.8</v>
      </c>
      <c r="D7" s="6" t="n">
        <v>100800.8</v>
      </c>
      <c r="E7" s="6" t="n">
        <v>54530.8</v>
      </c>
    </row>
    <row r="8">
      <c r="A8" s="6" t="inlineStr">
        <is>
          <t>Loans and advances to customers</t>
        </is>
      </c>
      <c r="B8" s="6" t="n">
        <v>108763</v>
      </c>
      <c r="C8" s="6" t="n">
        <v>44132</v>
      </c>
      <c r="D8" s="6" t="n">
        <v>6763.8</v>
      </c>
      <c r="E8" s="6" t="n">
        <v>2970</v>
      </c>
    </row>
    <row r="9">
      <c r="A9" s="6" t="inlineStr">
        <is>
          <t>Derivative Financial Assets</t>
        </is>
      </c>
      <c r="B9" s="6" t="n">
        <v>313.3</v>
      </c>
      <c r="C9" s="6" t="n">
        <v>0</v>
      </c>
      <c r="D9" s="6" t="n"/>
      <c r="E9" s="6" t="n"/>
    </row>
    <row r="10">
      <c r="A10" s="6" t="inlineStr">
        <is>
          <t>Financial assets measured at FVOCI</t>
        </is>
      </c>
      <c r="B10" s="6" t="n">
        <v>25056.3</v>
      </c>
      <c r="C10" s="6" t="n">
        <v>38035.2</v>
      </c>
      <c r="D10" s="6" t="n">
        <v>33090.6</v>
      </c>
      <c r="E10" s="6" t="n">
        <v>15102.5</v>
      </c>
    </row>
    <row r="11">
      <c r="A11" s="6" t="inlineStr">
        <is>
          <t>Financial assets valued at Amortised Cost</t>
        </is>
      </c>
      <c r="B11" s="6" t="n">
        <v>6002.2</v>
      </c>
      <c r="C11" s="6" t="n">
        <v>0</v>
      </c>
      <c r="D11" s="6" t="n"/>
      <c r="E11" s="6" t="n"/>
    </row>
    <row r="12">
      <c r="A12" s="6" t="inlineStr">
        <is>
          <t>Property and equipment</t>
        </is>
      </c>
      <c r="B12" s="6" t="n">
        <v>28.1</v>
      </c>
      <c r="C12" s="6" t="n">
        <v>47.2</v>
      </c>
      <c r="D12" s="6" t="n">
        <v>44.1</v>
      </c>
      <c r="E12" s="6" t="n">
        <v>36.7</v>
      </c>
    </row>
    <row r="13">
      <c r="A13" s="6" t="inlineStr">
        <is>
          <t>Intangible assets</t>
        </is>
      </c>
      <c r="B13" s="6" t="n">
        <v>456.3</v>
      </c>
      <c r="C13" s="6" t="n">
        <v>292.8</v>
      </c>
      <c r="D13" s="6" t="n">
        <v>364.6</v>
      </c>
      <c r="E13" s="6" t="n">
        <v>422.5</v>
      </c>
    </row>
    <row r="14">
      <c r="A14" s="6" t="inlineStr">
        <is>
          <t>Right-of-use-assets</t>
        </is>
      </c>
      <c r="B14" s="6" t="n">
        <v>680.7</v>
      </c>
      <c r="C14" s="6" t="n">
        <v>1040</v>
      </c>
      <c r="D14" s="6" t="n">
        <v>1317.3</v>
      </c>
      <c r="E14" s="6" t="n">
        <v>1710</v>
      </c>
    </row>
    <row r="15">
      <c r="A15" s="6" t="inlineStr">
        <is>
          <t>Other assets</t>
        </is>
      </c>
      <c r="B15" s="6" t="n">
        <v>1265.2</v>
      </c>
      <c r="C15" s="6" t="n">
        <v>980.8</v>
      </c>
      <c r="D15" s="6" t="n">
        <v>739.4</v>
      </c>
      <c r="E15" s="6" t="n">
        <v>708.3</v>
      </c>
    </row>
    <row r="16">
      <c r="A16" s="6" t="inlineStr">
        <is>
          <t>Prepayments</t>
        </is>
      </c>
      <c r="B16" s="6" t="n">
        <v>789.6</v>
      </c>
      <c r="C16" s="6" t="n">
        <v>756</v>
      </c>
      <c r="D16" s="6" t="n">
        <v>566.1</v>
      </c>
      <c r="E16" s="6" t="n">
        <v>520.8</v>
      </c>
    </row>
    <row r="17">
      <c r="A17" s="5" t="inlineStr">
        <is>
          <t>Total Assets</t>
        </is>
      </c>
      <c r="B17" s="5" t="n">
        <v>333423.7</v>
      </c>
      <c r="C17" s="5" t="n">
        <v>217856</v>
      </c>
      <c r="D17" s="5" t="n">
        <v>149298.4</v>
      </c>
      <c r="E17" s="5" t="n">
        <v>80527.5</v>
      </c>
    </row>
    <row r="18">
      <c r="A18" s="5" t="inlineStr">
        <is>
          <t>Liabilities</t>
        </is>
      </c>
      <c r="B18" s="6" t="n"/>
      <c r="C18" s="6" t="n"/>
      <c r="D18" s="6" t="n"/>
      <c r="E18" s="6" t="n"/>
    </row>
    <row r="19">
      <c r="A19" s="6" t="inlineStr">
        <is>
          <t>Deposits by banks</t>
        </is>
      </c>
      <c r="B19" s="6" t="n">
        <v>143794.8</v>
      </c>
      <c r="C19" s="6" t="n">
        <v>84956</v>
      </c>
      <c r="D19" s="6" t="n">
        <v>61919.7</v>
      </c>
      <c r="E19" s="6" t="n">
        <v>16619.2</v>
      </c>
    </row>
    <row r="20">
      <c r="A20" s="6" t="inlineStr">
        <is>
          <t>Customer accounts</t>
        </is>
      </c>
      <c r="B20" s="6" t="n">
        <v>146063</v>
      </c>
      <c r="C20" s="6" t="n">
        <v>86160</v>
      </c>
      <c r="D20" s="6" t="n">
        <v>39852.8</v>
      </c>
      <c r="E20" s="6" t="n">
        <v>31898.3</v>
      </c>
    </row>
    <row r="21">
      <c r="A21" s="6" t="inlineStr">
        <is>
          <t>Derivative Financial Liabilities</t>
        </is>
      </c>
      <c r="B21" s="6" t="n">
        <v>102.2</v>
      </c>
      <c r="C21" s="6" t="n">
        <v>0</v>
      </c>
      <c r="D21" s="6" t="n"/>
      <c r="E21" s="6" t="n"/>
    </row>
    <row r="22">
      <c r="A22" s="6" t="inlineStr">
        <is>
          <t>Lease liabilities</t>
        </is>
      </c>
      <c r="B22" s="6" t="n">
        <v>917</v>
      </c>
      <c r="C22" s="6" t="n">
        <v>1284</v>
      </c>
      <c r="D22" s="6" t="n">
        <v>1575.6</v>
      </c>
      <c r="E22" s="6" t="n">
        <v>1720.8</v>
      </c>
    </row>
    <row r="23">
      <c r="A23" s="6" t="inlineStr">
        <is>
          <t>Other liabilities</t>
        </is>
      </c>
      <c r="B23" s="6" t="n">
        <v>746.7</v>
      </c>
      <c r="C23" s="6" t="n">
        <v>790.4</v>
      </c>
      <c r="D23" s="6" t="n">
        <v>564.6</v>
      </c>
      <c r="E23" s="6" t="n">
        <v>544.2</v>
      </c>
    </row>
    <row r="24">
      <c r="A24" s="6" t="inlineStr">
        <is>
          <t>Accruals and deferred income</t>
        </is>
      </c>
      <c r="B24" s="6" t="n">
        <v>110.4</v>
      </c>
      <c r="C24" s="6" t="n">
        <v>368.8</v>
      </c>
      <c r="D24" s="6" t="n">
        <v>112.6</v>
      </c>
      <c r="E24" s="6" t="n">
        <v>145.8</v>
      </c>
    </row>
    <row r="25">
      <c r="A25" s="5" t="inlineStr">
        <is>
          <t>Total Liabilities</t>
        </is>
      </c>
      <c r="B25" s="5" t="n">
        <v>291734.1</v>
      </c>
      <c r="C25" s="5" t="n">
        <v>173559.2</v>
      </c>
      <c r="D25" s="5" t="n">
        <v>104025.2</v>
      </c>
      <c r="E25" s="5" t="n">
        <v>50928.3</v>
      </c>
    </row>
    <row r="26">
      <c r="A26" s="5" t="inlineStr">
        <is>
          <t>Equity</t>
        </is>
      </c>
      <c r="B26" s="6" t="n"/>
      <c r="C26" s="6" t="n"/>
      <c r="D26" s="6" t="n"/>
      <c r="E26" s="6" t="n"/>
    </row>
    <row r="27">
      <c r="A27" s="6" t="inlineStr">
        <is>
          <t>Called up share capital</t>
        </is>
      </c>
      <c r="B27" s="6" t="n">
        <v>63029.6</v>
      </c>
      <c r="C27" s="6" t="n">
        <v>68072</v>
      </c>
      <c r="D27" s="6" t="n">
        <v>67000</v>
      </c>
      <c r="E27" s="6" t="n">
        <v>50075</v>
      </c>
    </row>
    <row r="28">
      <c r="A28" s="6" t="inlineStr">
        <is>
          <t>FVOCI reserve</t>
        </is>
      </c>
      <c r="B28" s="6" t="n">
        <v>8.1</v>
      </c>
      <c r="C28" s="6" t="n">
        <v>17.6</v>
      </c>
      <c r="D28" s="6" t="n">
        <v>-2.4</v>
      </c>
      <c r="E28" s="6" t="n">
        <v>-3.3</v>
      </c>
    </row>
    <row r="29">
      <c r="A29" s="6" t="inlineStr">
        <is>
          <t>Retained losses</t>
        </is>
      </c>
      <c r="B29" s="6" t="n">
        <v>-21348.1</v>
      </c>
      <c r="C29" s="6" t="n">
        <v>-23792.8</v>
      </c>
      <c r="D29" s="6" t="n">
        <v>-21724.4</v>
      </c>
      <c r="E29" s="6" t="n">
        <v>-20472.5</v>
      </c>
    </row>
    <row r="30">
      <c r="A30" s="5" t="inlineStr">
        <is>
          <t>Total equity</t>
        </is>
      </c>
      <c r="B30" s="5" t="n">
        <v>41689.6</v>
      </c>
      <c r="C30" s="5" t="n">
        <v>44296.8</v>
      </c>
      <c r="D30" s="5" t="n">
        <v>45273.2</v>
      </c>
      <c r="E30" s="5" t="n">
        <v>29599.2</v>
      </c>
    </row>
    <row r="31">
      <c r="A31" s="5" t="inlineStr">
        <is>
          <t>Total Liabilities and Equity</t>
        </is>
      </c>
      <c r="B31" s="5" t="n">
        <v>333423.7</v>
      </c>
      <c r="C31" s="5" t="n">
        <v>217856</v>
      </c>
      <c r="D31" s="5" t="n">
        <v>149298.4</v>
      </c>
      <c r="E31" s="5" t="n">
        <v>80527.5</v>
      </c>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t>
        </is>
      </c>
    </row>
    <row r="35" ht="380" customHeight="1">
      <c r="A35" s="8" t="inlineStr">
        <is>
          <t>(continued)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2">
    <mergeCell ref="A35:E35"/>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Income</t>
        </is>
      </c>
      <c r="B4" s="6" t="n"/>
      <c r="C4" s="6" t="n"/>
      <c r="D4" s="6" t="n"/>
      <c r="E4" s="6" t="n"/>
    </row>
    <row r="5">
      <c r="A5" s="6" t="inlineStr">
        <is>
          <t>Interest income</t>
        </is>
      </c>
      <c r="B5" s="6" t="n">
        <v>15034.8</v>
      </c>
      <c r="C5" s="6" t="n">
        <v>11468</v>
      </c>
      <c r="D5" s="6" t="n">
        <v>6909.6</v>
      </c>
      <c r="E5" s="6" t="n">
        <v>2662.6</v>
      </c>
    </row>
    <row r="6">
      <c r="A6" s="6" t="inlineStr">
        <is>
          <t>Interest expense</t>
        </is>
      </c>
      <c r="B6" s="6" t="n">
        <v>-6161.4</v>
      </c>
      <c r="C6" s="6" t="n">
        <v>-3786.7</v>
      </c>
      <c r="D6" s="6" t="n">
        <v>-1130.4</v>
      </c>
      <c r="E6" s="6" t="n">
        <v>-351.2</v>
      </c>
    </row>
    <row r="7">
      <c r="A7" s="5" t="inlineStr">
        <is>
          <t>Net interest income</t>
        </is>
      </c>
      <c r="B7" s="5" t="n">
        <v>8873.5</v>
      </c>
      <c r="C7" s="5" t="n">
        <v>7681.2</v>
      </c>
      <c r="D7" s="5" t="n">
        <v>5779.2</v>
      </c>
      <c r="E7" s="5" t="n">
        <v>2311.4</v>
      </c>
    </row>
    <row r="8">
      <c r="A8" s="6" t="inlineStr">
        <is>
          <t>Fees and commission income</t>
        </is>
      </c>
      <c r="B8" s="6" t="n">
        <v>1875</v>
      </c>
      <c r="C8" s="6" t="n">
        <v>1584.4</v>
      </c>
      <c r="D8" s="6" t="n">
        <v>1052</v>
      </c>
      <c r="E8" s="6" t="n">
        <v>815.4</v>
      </c>
    </row>
    <row r="9">
      <c r="A9" s="6" t="inlineStr">
        <is>
          <t>Dealing and exchange gains</t>
        </is>
      </c>
      <c r="B9" s="6" t="n">
        <v>1707.6</v>
      </c>
      <c r="C9" s="6" t="n">
        <v>214.8</v>
      </c>
      <c r="D9" s="6" t="n">
        <v>208.8</v>
      </c>
      <c r="E9" s="6" t="n">
        <v>101.6</v>
      </c>
    </row>
    <row r="10">
      <c r="A10" s="5" t="inlineStr">
        <is>
          <t>Total income</t>
        </is>
      </c>
      <c r="B10" s="5" t="n">
        <v>12456.1</v>
      </c>
      <c r="C10" s="5" t="n">
        <v>9480.5</v>
      </c>
      <c r="D10" s="5" t="n">
        <v>7040</v>
      </c>
      <c r="E10" s="5" t="n">
        <v>3228.5</v>
      </c>
    </row>
    <row r="11">
      <c r="A11" s="6" t="inlineStr">
        <is>
          <t>Administrative expenses</t>
        </is>
      </c>
      <c r="B11" s="6" t="n">
        <v>-11127.3</v>
      </c>
      <c r="C11" s="6" t="n">
        <v>-9960.9</v>
      </c>
      <c r="D11" s="6" t="n">
        <v>-8932</v>
      </c>
      <c r="E11" s="6" t="n">
        <v>-6906.5</v>
      </c>
    </row>
    <row r="12">
      <c r="A12" s="6" t="inlineStr">
        <is>
          <t>Depreciation and amortisation</t>
        </is>
      </c>
      <c r="B12" s="6" t="n">
        <v>-412.1</v>
      </c>
      <c r="C12" s="6" t="n">
        <v>-419.5</v>
      </c>
      <c r="D12" s="6" t="n">
        <v>-457.6</v>
      </c>
      <c r="E12" s="6" t="n">
        <v>-457.7</v>
      </c>
    </row>
    <row r="13">
      <c r="A13" s="6" t="inlineStr">
        <is>
          <t>Impairment reversal/(charge) on loans and advances</t>
        </is>
      </c>
      <c r="B13" s="6" t="n">
        <v>153.8</v>
      </c>
      <c r="C13" s="6" t="n">
        <v>-500</v>
      </c>
      <c r="D13" s="6" t="n">
        <v>106.4</v>
      </c>
      <c r="E13" s="6" t="n">
        <v>-117.1</v>
      </c>
    </row>
    <row r="14">
      <c r="A14" s="6" t="inlineStr">
        <is>
          <t>Other operating expense</t>
        </is>
      </c>
      <c r="B14" s="6" t="n">
        <v>-373.5</v>
      </c>
      <c r="C14" s="6" t="n">
        <v>-280.5</v>
      </c>
      <c r="D14" s="6" t="n">
        <v>-175.2</v>
      </c>
      <c r="E14" s="6" t="n">
        <v>-122.8</v>
      </c>
    </row>
    <row r="15">
      <c r="A15" s="5" t="inlineStr">
        <is>
          <t>Profit/(Loss) before tax</t>
        </is>
      </c>
      <c r="B15" s="5" t="n">
        <v>697</v>
      </c>
      <c r="C15" s="5" t="n">
        <v>-1680.5</v>
      </c>
      <c r="D15" s="5" t="n">
        <v>-2418.4</v>
      </c>
      <c r="E15" s="5" t="n">
        <v>-4375.6</v>
      </c>
    </row>
    <row r="16">
      <c r="A16" s="6" t="inlineStr">
        <is>
          <t>Tax charge</t>
        </is>
      </c>
      <c r="B16" s="6" t="n">
        <v>0</v>
      </c>
      <c r="C16" s="6" t="n">
        <v>0</v>
      </c>
      <c r="D16" s="6" t="n">
        <v>0</v>
      </c>
      <c r="E16" s="6" t="n">
        <v>0</v>
      </c>
    </row>
    <row r="17">
      <c r="A17" s="5" t="inlineStr">
        <is>
          <t>Profit/(Loss) for the year after tax</t>
        </is>
      </c>
      <c r="B17" s="5" t="n">
        <v>697</v>
      </c>
      <c r="C17" s="5" t="n">
        <v>-1680.5</v>
      </c>
      <c r="D17" s="5" t="n">
        <v>-2418.4</v>
      </c>
      <c r="E17" s="5" t="n">
        <v>-4375.6</v>
      </c>
    </row>
    <row r="18">
      <c r="A18" s="5" t="inlineStr">
        <is>
          <t>Other comprehensive income</t>
        </is>
      </c>
      <c r="B18" s="6" t="n"/>
      <c r="C18" s="6" t="n"/>
      <c r="D18" s="6" t="n"/>
      <c r="E18" s="6" t="n"/>
    </row>
    <row r="19">
      <c r="A19" s="6" t="inlineStr">
        <is>
          <t>Unrealised, net change in fair value of financial assets measured at FVOCI</t>
        </is>
      </c>
      <c r="B19" s="6" t="n">
        <v>-7.6</v>
      </c>
      <c r="C19" s="6" t="n">
        <v>19.5</v>
      </c>
      <c r="D19" s="6" t="n">
        <v>0.8</v>
      </c>
      <c r="E19" s="6" t="n">
        <v>2.4</v>
      </c>
    </row>
    <row r="20">
      <c r="A20" s="5" t="inlineStr">
        <is>
          <t>Total comprehensive income/(loss) for the year</t>
        </is>
      </c>
      <c r="B20" s="5" t="n">
        <v>689.4</v>
      </c>
      <c r="C20" s="5" t="n">
        <v>-1660.9</v>
      </c>
      <c r="D20" s="5" t="n">
        <v>-2417.6</v>
      </c>
      <c r="E20" s="5" t="n">
        <v>-4373.2</v>
      </c>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t>
        </is>
      </c>
    </row>
    <row r="24" ht="380" customHeight="1">
      <c r="A24" s="8" t="inlineStr">
        <is>
          <t>(continued)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2">
    <mergeCell ref="A22:E22"/>
    <mergeCell ref="A24:E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t>
        </is>
      </c>
    </row>
    <row r="25" ht="380" customHeight="1">
      <c r="A25" s="8" t="inlineStr">
        <is>
          <t>(continued)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2">
    <mergeCell ref="A23:E23"/>
    <mergeCell ref="A25:E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Operating activities</t>
        </is>
      </c>
      <c r="B4" s="6" t="n"/>
      <c r="C4" s="6" t="n"/>
      <c r="D4" s="6" t="n"/>
      <c r="E4" s="6" t="n"/>
    </row>
    <row r="5">
      <c r="A5" s="6" t="inlineStr">
        <is>
          <t>Profit/(loss) before tax</t>
        </is>
      </c>
      <c r="B5" s="6" t="n">
        <v>697</v>
      </c>
      <c r="C5" s="6" t="n">
        <v>-1680.5</v>
      </c>
      <c r="D5" s="6" t="n">
        <v>-2418.4</v>
      </c>
      <c r="E5" s="6" t="n">
        <v>-4375.6</v>
      </c>
    </row>
    <row r="6">
      <c r="A6" s="6" t="inlineStr">
        <is>
          <t>Depreciation and amortisation</t>
        </is>
      </c>
      <c r="B6" s="6" t="n">
        <v>124.2</v>
      </c>
      <c r="C6" s="6" t="n">
        <v>121.9</v>
      </c>
      <c r="D6" s="6" t="n">
        <v>154.4</v>
      </c>
      <c r="E6" s="6" t="n">
        <v>150.4</v>
      </c>
    </row>
    <row r="7">
      <c r="A7" s="6" t="inlineStr">
        <is>
          <t>Amortisation of rights of use assets</t>
        </is>
      </c>
      <c r="B7" s="6" t="n">
        <v>287.9</v>
      </c>
      <c r="C7" s="6" t="n">
        <v>297.7</v>
      </c>
      <c r="D7" s="6" t="n">
        <v>303.2</v>
      </c>
      <c r="E7" s="6" t="n">
        <v>307.3</v>
      </c>
    </row>
    <row r="8">
      <c r="A8" s="6" t="inlineStr">
        <is>
          <t>Adjustment to right of use asset - rent increase</t>
        </is>
      </c>
      <c r="B8" s="6" t="n">
        <v>0</v>
      </c>
      <c r="C8" s="6" t="n">
        <v>-6.2</v>
      </c>
      <c r="D8" s="6" t="n"/>
      <c r="E8" s="6" t="n"/>
    </row>
    <row r="9">
      <c r="A9" s="6" t="inlineStr">
        <is>
          <t>Amortisation of discounts received/premiums paid</t>
        </is>
      </c>
      <c r="B9" s="6" t="n">
        <v>-1700.8</v>
      </c>
      <c r="C9" s="6" t="n">
        <v>-1625</v>
      </c>
      <c r="D9" s="6" t="n">
        <v>-1318.4</v>
      </c>
      <c r="E9" s="6" t="n">
        <v>-199.2</v>
      </c>
    </row>
    <row r="10">
      <c r="A10" s="6" t="inlineStr">
        <is>
          <t>Net exchange differences</t>
        </is>
      </c>
      <c r="B10" s="6" t="n">
        <v>-253.8</v>
      </c>
      <c r="C10" s="6" t="n">
        <v>117.2</v>
      </c>
      <c r="D10" s="6" t="n"/>
      <c r="E10" s="6" t="n"/>
    </row>
    <row r="11">
      <c r="A11" s="6" t="inlineStr">
        <is>
          <t>Profit on sale of amortised cost bonds</t>
        </is>
      </c>
      <c r="B11" s="6" t="n">
        <v>-1137.9</v>
      </c>
      <c r="C11" s="6" t="n">
        <v>0</v>
      </c>
      <c r="D11" s="6" t="n"/>
      <c r="E11" s="6" t="n"/>
    </row>
    <row r="12">
      <c r="A12" s="6" t="inlineStr">
        <is>
          <t>Loss on disposal of tangible/intangible assets</t>
        </is>
      </c>
      <c r="B12" s="6" t="n">
        <v>0</v>
      </c>
      <c r="C12" s="6" t="n">
        <v>0</v>
      </c>
      <c r="D12" s="6" t="n">
        <v>0.8</v>
      </c>
      <c r="E12" s="6" t="n">
        <v>0.8</v>
      </c>
    </row>
    <row r="13">
      <c r="A13" s="6" t="inlineStr">
        <is>
          <t>Bad debt recovered</t>
        </is>
      </c>
      <c r="B13" s="6" t="n"/>
      <c r="C13" s="6" t="n"/>
      <c r="D13" s="6" t="n">
        <v>0</v>
      </c>
      <c r="E13" s="6" t="n">
        <v>18.7</v>
      </c>
    </row>
    <row r="14">
      <c r="A14" s="6" t="inlineStr">
        <is>
          <t>Exchange differences - finance lease liability</t>
        </is>
      </c>
      <c r="B14" s="6" t="n"/>
      <c r="C14" s="6" t="n"/>
      <c r="D14" s="6" t="n">
        <v>96</v>
      </c>
      <c r="E14" s="6" t="n">
        <v>-237.4</v>
      </c>
    </row>
    <row r="15">
      <c r="A15" s="6" t="inlineStr">
        <is>
          <t>Interest on finance lease liability</t>
        </is>
      </c>
      <c r="B15" s="6" t="n">
        <v>91.7</v>
      </c>
      <c r="C15" s="6" t="n">
        <v>150</v>
      </c>
      <c r="D15" s="6" t="n">
        <v>72</v>
      </c>
      <c r="E15" s="6" t="n">
        <v>82.90000000000001</v>
      </c>
    </row>
    <row r="16">
      <c r="A16" s="6" t="inlineStr">
        <is>
          <t>Impairment of loans and advances</t>
        </is>
      </c>
      <c r="B16" s="6" t="n">
        <v>53.8</v>
      </c>
      <c r="C16" s="6" t="n">
        <v>347.7</v>
      </c>
      <c r="D16" s="6" t="n">
        <v>-106.4</v>
      </c>
      <c r="E16" s="6" t="n">
        <v>117.1</v>
      </c>
    </row>
    <row r="17">
      <c r="A17" s="5" t="inlineStr">
        <is>
          <t>Non-cash and other adjustments (subtotal; unlabeled in source)</t>
        </is>
      </c>
      <c r="B17" s="5" t="n">
        <v>-1837.9</v>
      </c>
      <c r="C17" s="5" t="n">
        <v>-2277.3</v>
      </c>
      <c r="D17" s="5" t="n">
        <v>-3216.8</v>
      </c>
      <c r="E17" s="5" t="n">
        <v>-4135</v>
      </c>
    </row>
    <row r="18">
      <c r="A18" s="6" t="inlineStr">
        <is>
          <t>Change in loans and advances to banks</t>
        </is>
      </c>
      <c r="B18" s="6" t="n">
        <v>-43911.4</v>
      </c>
      <c r="C18" s="6" t="n">
        <v>-36557.8</v>
      </c>
      <c r="D18" s="6" t="n">
        <v>-49937.6</v>
      </c>
      <c r="E18" s="6" t="n">
        <v>36614.6</v>
      </c>
    </row>
    <row r="19">
      <c r="A19" s="6" t="inlineStr">
        <is>
          <t>Change in loans and advances to customers</t>
        </is>
      </c>
      <c r="B19" s="6" t="n">
        <v>-69443.2</v>
      </c>
      <c r="C19" s="6" t="n">
        <v>-36546.1</v>
      </c>
      <c r="D19" s="6" t="n">
        <v>-4041.6</v>
      </c>
      <c r="E19" s="6" t="n">
        <v>10236.6</v>
      </c>
    </row>
    <row r="20">
      <c r="A20" s="6" t="inlineStr">
        <is>
          <t>Change in short-term investments</t>
        </is>
      </c>
      <c r="B20" s="6" t="n">
        <v>-8389.4</v>
      </c>
      <c r="C20" s="6" t="n">
        <v>0</v>
      </c>
      <c r="D20" s="6" t="n"/>
      <c r="E20" s="6" t="n"/>
    </row>
    <row r="21">
      <c r="A21" s="6" t="inlineStr">
        <is>
          <t>Change in other assets</t>
        </is>
      </c>
      <c r="B21" s="6" t="n">
        <v>-364.4</v>
      </c>
      <c r="C21" s="6" t="n">
        <v>-224.2</v>
      </c>
      <c r="D21" s="6" t="n">
        <v>-71.2</v>
      </c>
      <c r="E21" s="6" t="n">
        <v>-9.800000000000001</v>
      </c>
    </row>
    <row r="22">
      <c r="A22" s="6" t="inlineStr">
        <is>
          <t>Change in prepayments</t>
        </is>
      </c>
      <c r="B22" s="6" t="n">
        <v>-91.7</v>
      </c>
      <c r="C22" s="6" t="n">
        <v>-177.3</v>
      </c>
      <c r="D22" s="6" t="n">
        <v>-73.59999999999999</v>
      </c>
      <c r="E22" s="6" t="n">
        <v>-22</v>
      </c>
    </row>
    <row r="23">
      <c r="A23" s="6" t="inlineStr">
        <is>
          <t>Change in deposits by banks</t>
        </is>
      </c>
      <c r="B23" s="6" t="n">
        <v>66611.39999999999</v>
      </c>
      <c r="C23" s="6" t="n">
        <v>21528.9</v>
      </c>
      <c r="D23" s="6" t="n">
        <v>46956</v>
      </c>
      <c r="E23" s="6" t="n">
        <v>-39966.7</v>
      </c>
    </row>
    <row r="24">
      <c r="A24" s="6" t="inlineStr">
        <is>
          <t>Change in customer accounts</t>
        </is>
      </c>
      <c r="B24" s="6" t="n">
        <v>67791.7</v>
      </c>
      <c r="C24" s="6" t="n">
        <v>44598.4</v>
      </c>
      <c r="D24" s="6" t="n">
        <v>9868</v>
      </c>
      <c r="E24" s="6" t="n">
        <v>-15468.3</v>
      </c>
    </row>
    <row r="25">
      <c r="A25" s="6" t="inlineStr">
        <is>
          <t>Change in derivatives</t>
        </is>
      </c>
      <c r="B25" s="6" t="n">
        <v>-215.9</v>
      </c>
      <c r="C25" s="6" t="n">
        <v>0</v>
      </c>
      <c r="D25" s="6" t="n"/>
      <c r="E25" s="6" t="n"/>
    </row>
    <row r="26">
      <c r="A26" s="6" t="inlineStr">
        <is>
          <t>Change in other liabilities</t>
        </is>
      </c>
      <c r="B26" s="6" t="n">
        <v>15.2</v>
      </c>
      <c r="C26" s="6" t="n">
        <v>211.7</v>
      </c>
      <c r="D26" s="6" t="n">
        <v>51.2</v>
      </c>
      <c r="E26" s="6" t="n">
        <v>9.800000000000001</v>
      </c>
    </row>
    <row r="27">
      <c r="A27" s="6" t="inlineStr">
        <is>
          <t>Change in accruals and deferred income</t>
        </is>
      </c>
      <c r="B27" s="6" t="n">
        <v>-236.4</v>
      </c>
      <c r="C27" s="6" t="n">
        <v>248.4</v>
      </c>
      <c r="D27" s="6" t="n">
        <v>-25.6</v>
      </c>
      <c r="E27" s="6" t="n">
        <v>-38.2</v>
      </c>
    </row>
    <row r="28">
      <c r="A28" s="5" t="inlineStr">
        <is>
          <t>Cash (used in)/from operations</t>
        </is>
      </c>
      <c r="B28" s="5" t="n">
        <v>9928</v>
      </c>
      <c r="C28" s="5" t="n">
        <v>-9195.299999999999</v>
      </c>
      <c r="D28" s="5" t="n">
        <v>-491.2</v>
      </c>
      <c r="E28" s="5" t="n">
        <v>-12778.9</v>
      </c>
    </row>
    <row r="29">
      <c r="A29" s="6" t="inlineStr">
        <is>
          <t>Acquisition of financial assets</t>
        </is>
      </c>
      <c r="B29" s="6" t="n">
        <v>-88887.10000000001</v>
      </c>
      <c r="C29" s="6" t="n">
        <v>-56551.6</v>
      </c>
      <c r="D29" s="6" t="n">
        <v>-62505.6</v>
      </c>
      <c r="E29" s="6" t="n">
        <v>-32901.6</v>
      </c>
    </row>
    <row r="30">
      <c r="A30" s="6" t="inlineStr">
        <is>
          <t>Disposal of financial assets</t>
        </is>
      </c>
      <c r="B30" s="6" t="n">
        <v>95919.7</v>
      </c>
      <c r="C30" s="6" t="n">
        <v>53860.2</v>
      </c>
      <c r="D30" s="6" t="n">
        <v>44703.2</v>
      </c>
      <c r="E30" s="6" t="n">
        <v>42989.4</v>
      </c>
    </row>
    <row r="31">
      <c r="A31" s="6" t="inlineStr">
        <is>
          <t>Income tax received</t>
        </is>
      </c>
      <c r="B31" s="6" t="n"/>
      <c r="C31" s="6" t="n"/>
      <c r="D31" s="6" t="n">
        <v>0</v>
      </c>
      <c r="E31" s="6" t="n">
        <v>205.7</v>
      </c>
    </row>
    <row r="32">
      <c r="A32" s="5" t="inlineStr">
        <is>
          <t>Net cash (used in)/from operating activities</t>
        </is>
      </c>
      <c r="B32" s="5" t="n">
        <v>16960.6</v>
      </c>
      <c r="C32" s="5" t="n">
        <v>-11886.7</v>
      </c>
      <c r="D32" s="5" t="n">
        <v>-18293.6</v>
      </c>
      <c r="E32" s="5" t="n">
        <v>-2485.4</v>
      </c>
    </row>
    <row r="33">
      <c r="A33" s="5" t="inlineStr">
        <is>
          <t>Investing activities</t>
        </is>
      </c>
      <c r="B33" s="6" t="n"/>
      <c r="C33" s="6" t="n"/>
      <c r="D33" s="6" t="n"/>
      <c r="E33" s="6" t="n"/>
    </row>
    <row r="34">
      <c r="A34" s="6" t="inlineStr">
        <is>
          <t>Acquisition of tangible and intangible assets</t>
        </is>
      </c>
      <c r="B34" s="6" t="n">
        <v>-298.5</v>
      </c>
      <c r="C34" s="6" t="n">
        <v>-47.7</v>
      </c>
      <c r="D34" s="6" t="n">
        <v>-130.4</v>
      </c>
      <c r="E34" s="6" t="n">
        <v>-30.9</v>
      </c>
    </row>
    <row r="35">
      <c r="A35" s="5" t="inlineStr">
        <is>
          <t>Net cash flow used in investing activities</t>
        </is>
      </c>
      <c r="B35" s="5" t="n">
        <v>-298.5</v>
      </c>
      <c r="C35" s="5" t="n">
        <v>-47.7</v>
      </c>
      <c r="D35" s="5" t="n">
        <v>-130.4</v>
      </c>
      <c r="E35" s="5" t="n">
        <v>-30.9</v>
      </c>
    </row>
    <row r="36">
      <c r="A36" s="5" t="inlineStr">
        <is>
          <t>Financing activities</t>
        </is>
      </c>
      <c r="B36" s="6" t="n"/>
      <c r="C36" s="6" t="n"/>
      <c r="D36" s="6" t="n"/>
      <c r="E36" s="6" t="n"/>
    </row>
    <row r="37">
      <c r="A37" s="6" t="inlineStr">
        <is>
          <t>Increase in share capital</t>
        </is>
      </c>
      <c r="B37" s="6" t="n">
        <v>0</v>
      </c>
      <c r="C37" s="6" t="n">
        <v>0</v>
      </c>
      <c r="D37" s="6" t="n">
        <v>20000</v>
      </c>
      <c r="E37" s="6" t="n">
        <v>0</v>
      </c>
    </row>
    <row r="38">
      <c r="A38" s="6" t="inlineStr">
        <is>
          <t>Leasehold property repayments</t>
        </is>
      </c>
      <c r="B38" s="6" t="n">
        <v>-459.1</v>
      </c>
      <c r="C38" s="6" t="n">
        <v>-440.6</v>
      </c>
      <c r="D38" s="6" t="n">
        <v>-219.2</v>
      </c>
      <c r="E38" s="6" t="n">
        <v>-384.6</v>
      </c>
    </row>
    <row r="39">
      <c r="A39" s="5" t="inlineStr">
        <is>
          <t>Net cash generated from/(used in) financing activities</t>
        </is>
      </c>
      <c r="B39" s="5" t="n">
        <v>-459.1</v>
      </c>
      <c r="C39" s="5" t="n">
        <v>-440.6</v>
      </c>
      <c r="D39" s="5" t="n">
        <v>19780.8</v>
      </c>
      <c r="E39" s="5" t="n">
        <v>-384.6</v>
      </c>
    </row>
    <row r="40">
      <c r="A40" s="5" t="inlineStr">
        <is>
          <t>Net (decrease)/increase in cash and cash equivalents</t>
        </is>
      </c>
      <c r="B40" s="5" t="n">
        <v>16203</v>
      </c>
      <c r="C40" s="5" t="n">
        <v>-12375</v>
      </c>
      <c r="D40" s="5" t="n">
        <v>1356.8</v>
      </c>
      <c r="E40" s="5" t="n">
        <v>-2900.8</v>
      </c>
    </row>
    <row r="41">
      <c r="A41" s="6" t="inlineStr">
        <is>
          <t>Cash and cash equivalents at the beginning of the year</t>
        </is>
      </c>
      <c r="B41" s="6" t="n">
        <v>79931.2</v>
      </c>
      <c r="C41" s="6" t="n">
        <v>91260.60000000001</v>
      </c>
      <c r="D41" s="6" t="n">
        <v>4525.8</v>
      </c>
      <c r="E41" s="6" t="n">
        <v>6665.9</v>
      </c>
    </row>
    <row r="42">
      <c r="A42" s="6" t="inlineStr">
        <is>
          <t>Exchange difference in respect of cash and cash equivalents / effect of GBP-USD translation</t>
        </is>
      </c>
      <c r="B42" s="6" t="n">
        <v>343.9</v>
      </c>
      <c r="C42" s="6" t="n">
        <v>-114.8</v>
      </c>
      <c r="D42" s="6" t="n">
        <v>-270.8</v>
      </c>
      <c r="E42" s="6" t="n">
        <v>760.7</v>
      </c>
    </row>
    <row r="43">
      <c r="A43" s="5" t="inlineStr">
        <is>
          <t>Cash and cash equivalents at the end of the year</t>
        </is>
      </c>
      <c r="B43" s="5" t="n">
        <v>90189.60000000001</v>
      </c>
      <c r="C43" s="5" t="n">
        <v>79931.2</v>
      </c>
      <c r="D43" s="5" t="n">
        <v>5611.8</v>
      </c>
      <c r="E43" s="5" t="n">
        <v>4525.8</v>
      </c>
    </row>
    <row r="45" ht="377"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t>
        </is>
      </c>
    </row>
    <row r="47" ht="340" customHeight="1">
      <c r="A47" s="8" t="inlineStr">
        <is>
          <t>(continued)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2">
    <mergeCell ref="A47:E47"/>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Gross amount by product</t>
        </is>
      </c>
      <c r="B4" s="6" t="n"/>
      <c r="C4" s="6" t="n"/>
      <c r="D4" s="6" t="n"/>
      <c r="E4" s="6" t="n"/>
    </row>
    <row r="5">
      <c r="A5" s="6" t="inlineStr">
        <is>
          <t>Commercial loans &amp; advances</t>
        </is>
      </c>
      <c r="B5" s="6" t="n">
        <v>72004.39999999999</v>
      </c>
      <c r="C5" s="6" t="n">
        <v>28792.8</v>
      </c>
      <c r="D5" s="6" t="n">
        <v>6683.5</v>
      </c>
      <c r="E5" s="6" t="n">
        <v>2445</v>
      </c>
    </row>
    <row r="6">
      <c r="A6" s="6" t="inlineStr">
        <is>
          <t>Personal loans &amp; advances</t>
        </is>
      </c>
      <c r="B6" s="6" t="n">
        <v>218.5</v>
      </c>
      <c r="C6" s="6" t="n">
        <v>210.4</v>
      </c>
      <c r="D6" s="6" t="n">
        <v>103.9</v>
      </c>
      <c r="E6" s="6" t="n">
        <v>43.3</v>
      </c>
    </row>
    <row r="7">
      <c r="A7" s="6" t="inlineStr">
        <is>
          <t>Syndicated loans</t>
        </is>
      </c>
      <c r="B7" s="6" t="n">
        <v>17969.6</v>
      </c>
      <c r="C7" s="6" t="n">
        <v>15316</v>
      </c>
      <c r="D7" s="6" t="n">
        <v>0</v>
      </c>
      <c r="E7" s="6" t="n">
        <v>485</v>
      </c>
    </row>
    <row r="8">
      <c r="A8" s="6" t="inlineStr">
        <is>
          <t>Sovereign loans</t>
        </is>
      </c>
      <c r="B8" s="6" t="n">
        <v>18812.6</v>
      </c>
      <c r="C8" s="6" t="n">
        <v>0</v>
      </c>
      <c r="D8" s="6" t="n"/>
      <c r="E8" s="6" t="n"/>
    </row>
    <row r="9">
      <c r="A9" s="5" t="inlineStr">
        <is>
          <t>Gross amount, total</t>
        </is>
      </c>
      <c r="B9" s="5" t="n">
        <v>109005.2</v>
      </c>
      <c r="C9" s="5" t="n">
        <v>44319.2</v>
      </c>
      <c r="D9" s="5" t="n">
        <v>6787.4</v>
      </c>
      <c r="E9" s="5" t="n">
        <v>2973.3</v>
      </c>
    </row>
    <row r="10">
      <c r="A10" s="5" t="inlineStr">
        <is>
          <t>Impairment and net amount</t>
        </is>
      </c>
      <c r="B10" s="6" t="n"/>
      <c r="C10" s="6" t="n"/>
      <c r="D10" s="6" t="n"/>
      <c r="E10" s="6" t="n"/>
    </row>
    <row r="11">
      <c r="A11" s="6" t="inlineStr">
        <is>
          <t>Impairment allowance, total</t>
        </is>
      </c>
      <c r="B11" s="6" t="n">
        <v>-242.2</v>
      </c>
      <c r="C11" s="6" t="n">
        <v>-187.2</v>
      </c>
      <c r="D11" s="6" t="n">
        <v>-23.6</v>
      </c>
      <c r="E11" s="6" t="n">
        <v>-3.3</v>
      </c>
    </row>
    <row r="12">
      <c r="A12" s="5" t="inlineStr">
        <is>
          <t>Net amount, total</t>
        </is>
      </c>
      <c r="B12" s="5" t="n">
        <v>108763</v>
      </c>
      <c r="C12" s="5" t="n">
        <v>44132</v>
      </c>
      <c r="D12" s="5" t="n">
        <v>6763.8</v>
      </c>
      <c r="E12" s="5" t="n">
        <v>2970</v>
      </c>
    </row>
    <row r="13">
      <c r="A13" s="6" t="inlineStr">
        <is>
          <t xml:space="preserve">  of which: Stage 1 and Stage 2 impairment allowance</t>
        </is>
      </c>
      <c r="B13" s="6" t="n">
        <v>-237</v>
      </c>
      <c r="C13" s="6" t="n">
        <v>-144</v>
      </c>
      <c r="D13" s="6" t="n">
        <v>-23.1</v>
      </c>
      <c r="E13" s="6" t="n">
        <v>-3.4</v>
      </c>
    </row>
    <row r="14">
      <c r="A14" s="6" t="inlineStr">
        <is>
          <t xml:space="preserve">  of which: Stage 3 impairment allowance</t>
        </is>
      </c>
      <c r="B14" s="6" t="n">
        <v>-7.4</v>
      </c>
      <c r="C14" s="6" t="n">
        <v>-40</v>
      </c>
      <c r="D14" s="6" t="n">
        <v>0</v>
      </c>
      <c r="E14" s="6" t="n">
        <v>0</v>
      </c>
    </row>
    <row r="15">
      <c r="A15" s="5" t="inlineStr">
        <is>
          <t>Derived ratio</t>
        </is>
      </c>
      <c r="B15" s="6" t="n"/>
      <c r="C15" s="6" t="n"/>
      <c r="D15" s="6" t="n"/>
      <c r="E15" s="6" t="n"/>
    </row>
    <row r="16">
      <c r="A16" s="6" t="inlineStr">
        <is>
          <t>Impairment coverage ratio (allowance ÷ gross amount)</t>
        </is>
      </c>
      <c r="B16" s="6" t="inlineStr">
        <is>
          <t>0.22%</t>
        </is>
      </c>
      <c r="C16" s="6" t="inlineStr">
        <is>
          <t>0.42%</t>
        </is>
      </c>
      <c r="D16" s="6" t="inlineStr">
        <is>
          <t>0.35%</t>
        </is>
      </c>
      <c r="E16" s="6" t="inlineStr">
        <is>
          <t>0.11%</t>
        </is>
      </c>
    </row>
    <row r="18" ht="39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t>
        </is>
      </c>
    </row>
    <row r="20" ht="340" customHeight="1">
      <c r="A20" s="8" t="inlineStr">
        <is>
          <t>(continued)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2">
    <mergeCell ref="A18:E18"/>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row>
    <row r="4">
      <c r="A4" s="6" t="inlineStr">
        <is>
          <t>[Edition status for this year - not a KM1 template row]</t>
        </is>
      </c>
      <c r="B4" s="6" t="inlineStr">
        <is>
          <t>Not published - no FY2025 Pillar 3 edition as at 19/09/2026</t>
        </is>
      </c>
      <c r="C4" s="6" t="n"/>
      <c r="D4" s="6" t="n"/>
      <c r="E4" s="6" t="n"/>
    </row>
    <row r="5">
      <c r="A5" s="5" t="inlineStr">
        <is>
          <t>Available own funds (amounts)</t>
        </is>
      </c>
      <c r="B5" s="6" t="n"/>
      <c r="C5" s="6" t="n"/>
      <c r="D5" s="6" t="n"/>
      <c r="E5" s="6" t="n"/>
    </row>
    <row r="6">
      <c r="A6" s="6" t="inlineStr">
        <is>
          <t>1  Common Equity Tier 1 (CET1) capital ($'000)</t>
        </is>
      </c>
      <c r="B6" s="6" t="n"/>
      <c r="C6" s="6" t="n">
        <v>55029</v>
      </c>
      <c r="D6" s="6" t="n">
        <v>57034</v>
      </c>
      <c r="E6" s="6" t="n">
        <v>35045</v>
      </c>
    </row>
    <row r="7">
      <c r="A7" s="6" t="inlineStr">
        <is>
          <t>2  Tier 1 capital ($'000)</t>
        </is>
      </c>
      <c r="B7" s="6" t="n"/>
      <c r="C7" s="6" t="n">
        <v>55029</v>
      </c>
      <c r="D7" s="6" t="n">
        <v>57034</v>
      </c>
      <c r="E7" s="6" t="n">
        <v>35045</v>
      </c>
    </row>
    <row r="8">
      <c r="A8" s="6" t="inlineStr">
        <is>
          <t>3  Total capital ($'000)</t>
        </is>
      </c>
      <c r="B8" s="6" t="n"/>
      <c r="C8" s="6" t="n">
        <v>55029</v>
      </c>
      <c r="D8" s="6" t="n">
        <v>57034</v>
      </c>
      <c r="E8" s="6" t="n">
        <v>35045</v>
      </c>
    </row>
    <row r="9">
      <c r="A9" s="5" t="inlineStr">
        <is>
          <t>Risk-weighted exposure amounts</t>
        </is>
      </c>
      <c r="B9" s="6" t="n"/>
      <c r="C9" s="6" t="n"/>
      <c r="D9" s="6" t="n"/>
      <c r="E9" s="6" t="n"/>
    </row>
    <row r="10">
      <c r="A10" s="6" t="inlineStr">
        <is>
          <t>4  Total risk-weighted exposure amount ($'000)</t>
        </is>
      </c>
      <c r="B10" s="6" t="n"/>
      <c r="C10" s="6" t="n">
        <v>133310</v>
      </c>
      <c r="D10" s="6" t="n">
        <v>60485</v>
      </c>
      <c r="E10" s="6" t="n">
        <v>65571</v>
      </c>
    </row>
    <row r="11">
      <c r="A11" s="5" t="inlineStr">
        <is>
          <t>Capital ratios (as a percentage of risk-weighted exposure amount)</t>
        </is>
      </c>
      <c r="B11" s="6" t="n"/>
      <c r="C11" s="6" t="n"/>
      <c r="D11" s="6" t="n"/>
      <c r="E11" s="6" t="n"/>
    </row>
    <row r="12">
      <c r="A12" s="6" t="inlineStr">
        <is>
          <t>5  Common Equity Tier 1 ratio (%)</t>
        </is>
      </c>
      <c r="B12" s="6" t="n"/>
      <c r="C12" s="6" t="n">
        <v>41.28</v>
      </c>
      <c r="D12" s="6" t="n">
        <v>94.29000000000001</v>
      </c>
      <c r="E12" s="6" t="n">
        <v>53.45</v>
      </c>
    </row>
    <row r="13">
      <c r="A13" s="6" t="inlineStr">
        <is>
          <t>6  Tier 1 ratio (%)</t>
        </is>
      </c>
      <c r="B13" s="6" t="n"/>
      <c r="C13" s="6" t="n">
        <v>41.28</v>
      </c>
      <c r="D13" s="6" t="n">
        <v>94.29000000000001</v>
      </c>
      <c r="E13" s="6" t="n">
        <v>53.45</v>
      </c>
    </row>
    <row r="14">
      <c r="A14" s="6" t="inlineStr">
        <is>
          <t>7  Total capital ratio (%)</t>
        </is>
      </c>
      <c r="B14" s="6" t="n"/>
      <c r="C14" s="6" t="n">
        <v>41.28</v>
      </c>
      <c r="D14" s="6" t="n">
        <v>94.29000000000001</v>
      </c>
      <c r="E14" s="6" t="n">
        <v>53.45</v>
      </c>
    </row>
    <row r="15">
      <c r="A15" s="5" t="inlineStr">
        <is>
          <t>Additional own funds requirements based on SREP (as a percentage of risk-weighted exposure amount)</t>
        </is>
      </c>
      <c r="B15" s="6" t="n"/>
      <c r="C15" s="6" t="n"/>
      <c r="D15" s="6" t="n"/>
      <c r="E15" s="6" t="n"/>
    </row>
    <row r="16">
      <c r="A16" s="6" t="inlineStr">
        <is>
          <t>UK 7a  Additional CET1 SREP requirements (%)</t>
        </is>
      </c>
      <c r="B16" s="6" t="n"/>
      <c r="C16" s="6" t="n">
        <v>4.83</v>
      </c>
      <c r="D16" s="6" t="n">
        <v>4.41</v>
      </c>
      <c r="E16" s="6" t="n">
        <v>4.41</v>
      </c>
    </row>
    <row r="17">
      <c r="A17" s="5" t="inlineStr">
        <is>
          <t>Combined buffer requirement (as a percentage of risk-weighted exposure amount)</t>
        </is>
      </c>
      <c r="B17" s="6" t="n"/>
      <c r="C17" s="6" t="n"/>
      <c r="D17" s="6" t="n"/>
      <c r="E17" s="6" t="n"/>
    </row>
    <row r="18">
      <c r="A18" s="6" t="inlineStr">
        <is>
          <t>8  Capital conservation buffer (%)</t>
        </is>
      </c>
      <c r="B18" s="6" t="n"/>
      <c r="C18" s="6" t="n">
        <v>2.5</v>
      </c>
      <c r="D18" s="6" t="n">
        <v>2.5</v>
      </c>
      <c r="E18" s="6" t="n">
        <v>2.5</v>
      </c>
    </row>
    <row r="19">
      <c r="A19" s="6" t="inlineStr">
        <is>
          <t>9  Institution specific countercyclical capital buffer (%)</t>
        </is>
      </c>
      <c r="B19" s="6" t="n"/>
      <c r="C19" s="6" t="n">
        <v>0.87</v>
      </c>
      <c r="D19" s="6" t="n">
        <v>0.44</v>
      </c>
      <c r="E19" s="6" t="n">
        <v>0.12</v>
      </c>
    </row>
    <row r="20">
      <c r="A20" s="6" t="inlineStr">
        <is>
          <t>10  Global Systemically Important Institution buffer (%)</t>
        </is>
      </c>
      <c r="B20" s="6" t="n"/>
      <c r="C20" s="6" t="inlineStr">
        <is>
          <t>-</t>
        </is>
      </c>
      <c r="D20" s="6" t="inlineStr">
        <is>
          <t>-</t>
        </is>
      </c>
      <c r="E20" s="6" t="inlineStr">
        <is>
          <t>-</t>
        </is>
      </c>
    </row>
    <row r="21">
      <c r="A21" s="6" t="inlineStr">
        <is>
          <t>11  Combined buffer requirement (%)</t>
        </is>
      </c>
      <c r="B21" s="6" t="n"/>
      <c r="C21" s="6" t="n">
        <v>3.37</v>
      </c>
      <c r="D21" s="6" t="n">
        <v>2.94</v>
      </c>
      <c r="E21" s="6" t="n">
        <v>2.62</v>
      </c>
    </row>
    <row r="22">
      <c r="A22" s="6" t="inlineStr">
        <is>
          <t>UK 11a  Overall capital requirements (%)</t>
        </is>
      </c>
      <c r="B22" s="6" t="n"/>
      <c r="C22" s="6" t="n">
        <v>16.2</v>
      </c>
      <c r="D22" s="6" t="n">
        <v>15.35</v>
      </c>
      <c r="E22" s="6" t="n">
        <v>15.03</v>
      </c>
    </row>
    <row r="23">
      <c r="A23" s="6" t="inlineStr">
        <is>
          <t>12  CET1 available after meeting the total SREP own funds requirements (%) [printed with no values]</t>
        </is>
      </c>
      <c r="B23" s="6" t="n"/>
      <c r="C23" s="6" t="n"/>
      <c r="D23" s="6" t="n"/>
      <c r="E23" s="6" t="n"/>
    </row>
    <row r="24">
      <c r="A24" s="5" t="inlineStr">
        <is>
          <t>Leverage ratio</t>
        </is>
      </c>
      <c r="B24" s="6" t="n"/>
      <c r="C24" s="6" t="n"/>
      <c r="D24" s="6" t="n"/>
      <c r="E24" s="6" t="n"/>
    </row>
    <row r="25">
      <c r="A25" s="6" t="inlineStr">
        <is>
          <t>13  Leverage ratio total exposure measure ($'000)</t>
        </is>
      </c>
      <c r="B25" s="6" t="n"/>
      <c r="C25" s="6" t="n">
        <v>282725</v>
      </c>
      <c r="D25" s="6" t="n">
        <v>191191</v>
      </c>
      <c r="E25" s="6" t="n">
        <v>99083</v>
      </c>
    </row>
    <row r="26">
      <c r="A26" s="6" t="inlineStr">
        <is>
          <t>14  Leverage ratio (%)</t>
        </is>
      </c>
      <c r="B26" s="6" t="n"/>
      <c r="C26" s="6" t="n">
        <v>19.45</v>
      </c>
      <c r="D26" s="6" t="n">
        <v>29.83</v>
      </c>
      <c r="E26" s="6" t="n">
        <v>35.78</v>
      </c>
    </row>
    <row r="27">
      <c r="A27" s="5" t="inlineStr">
        <is>
          <t>Liquidity Coverage Ratio</t>
        </is>
      </c>
      <c r="B27" s="6" t="n"/>
      <c r="C27" s="6" t="n"/>
      <c r="D27" s="6" t="n"/>
      <c r="E27" s="6" t="n"/>
    </row>
    <row r="28">
      <c r="A28" s="6" t="inlineStr">
        <is>
          <t>15  Total high-quality liquid assets (HQLA) (Weighted value -average) ($'000)</t>
        </is>
      </c>
      <c r="B28" s="6" t="n"/>
      <c r="C28" s="6" t="n">
        <v>47549</v>
      </c>
      <c r="D28" s="6" t="n">
        <v>42026</v>
      </c>
      <c r="E28" s="6" t="n">
        <v>18123</v>
      </c>
    </row>
    <row r="29">
      <c r="A29" s="6" t="inlineStr">
        <is>
          <t>UK 16a  Cash outflows - Total weighted value ($'000)</t>
        </is>
      </c>
      <c r="B29" s="6" t="n"/>
      <c r="C29" s="6" t="n">
        <v>78145</v>
      </c>
      <c r="D29" s="6" t="n">
        <v>72135</v>
      </c>
      <c r="E29" s="6" t="n">
        <v>19081</v>
      </c>
    </row>
    <row r="30">
      <c r="A30" s="6" t="inlineStr">
        <is>
          <t>UK 16b  Cash inflows - Total weighted value ($'000)</t>
        </is>
      </c>
      <c r="B30" s="6" t="n"/>
      <c r="C30" s="6" t="n">
        <v>58609</v>
      </c>
      <c r="D30" s="6" t="n">
        <v>54101</v>
      </c>
      <c r="E30" s="6" t="n">
        <v>14311</v>
      </c>
    </row>
    <row r="31">
      <c r="A31" s="6" t="inlineStr">
        <is>
          <t>16  Total net cash outflows (adjusted value) ($'000)</t>
        </is>
      </c>
      <c r="B31" s="6" t="n"/>
      <c r="C31" s="6" t="n">
        <v>19536</v>
      </c>
      <c r="D31" s="6" t="n">
        <v>18034</v>
      </c>
      <c r="E31" s="6" t="n">
        <v>4770</v>
      </c>
    </row>
    <row r="32">
      <c r="A32" s="6" t="inlineStr">
        <is>
          <t>17  Liquidity coverage ratio (%)</t>
        </is>
      </c>
      <c r="B32" s="6" t="n"/>
      <c r="C32" s="6" t="n">
        <v>243.39</v>
      </c>
      <c r="D32" s="6" t="n">
        <v>233.04</v>
      </c>
      <c r="E32" s="6" t="n">
        <v>379.92</v>
      </c>
    </row>
    <row r="33">
      <c r="A33" s="5" t="inlineStr">
        <is>
          <t>Net Stable Funding Ratio</t>
        </is>
      </c>
      <c r="B33" s="6" t="n"/>
      <c r="C33" s="6" t="n"/>
      <c r="D33" s="6" t="n"/>
      <c r="E33" s="6" t="n"/>
    </row>
    <row r="34">
      <c r="A34" s="6" t="inlineStr">
        <is>
          <t>18  Total available stable funding ($'000)</t>
        </is>
      </c>
      <c r="B34" s="6" t="n"/>
      <c r="C34" s="6" t="n">
        <v>139028</v>
      </c>
      <c r="D34" s="6" t="n">
        <v>96213</v>
      </c>
      <c r="E34" s="6" t="n">
        <v>69583</v>
      </c>
    </row>
    <row r="35">
      <c r="A35" s="6" t="inlineStr">
        <is>
          <t>19  Total required stable funding ($'000)</t>
        </is>
      </c>
      <c r="B35" s="6" t="n"/>
      <c r="C35" s="6" t="n">
        <v>65648</v>
      </c>
      <c r="D35" s="6" t="n">
        <v>28663</v>
      </c>
      <c r="E35" s="6" t="n">
        <v>19127</v>
      </c>
    </row>
    <row r="36">
      <c r="A36" s="6" t="inlineStr">
        <is>
          <t>20  NSFR ratio (%)</t>
        </is>
      </c>
      <c r="B36" s="6" t="n"/>
      <c r="C36" s="6" t="n">
        <v>211.78</v>
      </c>
      <c r="D36" s="6" t="n">
        <v>335.67</v>
      </c>
      <c r="E36" s="6" t="n">
        <v>363.79</v>
      </c>
    </row>
    <row r="38" ht="409" customHeight="1">
      <c r="A38"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t>
        </is>
      </c>
    </row>
    <row r="40" ht="409" customHeight="1">
      <c r="A40" s="8" t="inlineStr">
        <is>
          <t>(continued)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t>
        </is>
      </c>
    </row>
    <row r="42" ht="409" customHeight="1">
      <c r="A42" s="8" t="inlineStr">
        <is>
          <t>(continued)
ROW 10 PRINTS 'N.A.' (the glyph in both the FY2024 and FY2023 editions, in the FY2024, FY2023 and FY2022 columns) and the cells carry the plain ASCII '-' under KM1 transcription rule 2 (a printed dash/'n/a' becomes '-', the glyph is recorded here). It is the Bank's own statement that the G-SII buffer does not apply to it; it is not a blank and it is certainly not a zero. (Changed 2026-09-19, GA-020: the cells previously carried the literal text 'N.A.'.)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The Bank's own rows below it are untouched - same order, same numbers, same labels, same precision.
FY2025 AND FY2021 CARRY NO TEMPLATE FIGURES. No FY2025 Pillar 3 edition has been published (the FY2025 column's top row says so; see also the source note).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3">
    <mergeCell ref="A40:E40"/>
    <mergeCell ref="A42:E42"/>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91"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409"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t>
        </is>
      </c>
    </row>
    <row r="9" ht="409" customHeight="1">
      <c r="A9" s="8" t="inlineStr">
        <is>
          <t>(continued)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3">
    <mergeCell ref="A5:F5"/>
    <mergeCell ref="A7:F7"/>
    <mergeCell ref="A9:F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FY2025 Pillar 3 edition; no RWA denominator in AR2025</t>
        </is>
      </c>
      <c r="C4" s="6" t="inlineStr">
        <is>
          <t>41.28%</t>
        </is>
      </c>
      <c r="D4" s="6" t="inlineStr">
        <is>
          <t>94.29%</t>
        </is>
      </c>
      <c r="E4" s="6" t="inlineStr">
        <is>
          <t>53.45%</t>
        </is>
      </c>
      <c r="F4" s="6" t="inlineStr">
        <is>
          <t>39.60%</t>
        </is>
      </c>
    </row>
    <row r="5" ht="169" customHeight="1">
      <c r="A5" s="7" t="inlineStr">
        <is>
          <t>Note: FY2024-FY2022 are FidBank UK's own UK KM1 disclosures. FY2021 is calculated from its own disclosed CET1 capital and Pillar 1 RWA components; the Annual Report's 40% headline is rounded.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409"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91"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409"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t>
        </is>
      </c>
    </row>
    <row r="9" ht="409" customHeight="1">
      <c r="A9" s="8" t="inlineStr">
        <is>
          <t>(continued)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edition; no RWA denominator in AR2025</t>
        </is>
      </c>
      <c r="C4" s="6" t="inlineStr">
        <is>
          <t>41.28%</t>
        </is>
      </c>
      <c r="D4" s="6" t="inlineStr">
        <is>
          <t>94.29%</t>
        </is>
      </c>
      <c r="E4" s="6" t="inlineStr">
        <is>
          <t>53.45%</t>
        </is>
      </c>
      <c r="F4" s="6" t="inlineStr">
        <is>
          <t>39.60%</t>
        </is>
      </c>
    </row>
    <row r="5" ht="156" customHeight="1">
      <c r="A5" s="7" t="inlineStr">
        <is>
          <t>Note: FidBank has no AT1 or Tier 2 in the disclosed periods, so Tier 1 equals CET1.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409"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91"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409"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t>
        </is>
      </c>
    </row>
    <row r="9" ht="409" customHeight="1">
      <c r="A9" s="8" t="inlineStr">
        <is>
          <t>(continued)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3">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104"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409"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disclosed - AR2025 prints no RWA amount; no FY2025 Pillar 3 edition</t>
        </is>
      </c>
      <c r="C4" s="6" t="n">
        <v>106648</v>
      </c>
      <c r="D4" s="6" t="n">
        <v>47626</v>
      </c>
      <c r="E4" s="6" t="n">
        <v>54642.5</v>
      </c>
      <c r="F4" s="6" t="n">
        <v>76166.7</v>
      </c>
    </row>
    <row r="5" ht="169" customHeight="1">
      <c r="A5" s="7" t="inlineStr">
        <is>
          <t>Note: FY2024-FY2022 are directly disclosed in UK KM1. FY2021 is the sum of the source's own Pillar 1 capital requirements divided by 8%; it reconciles to the Annual Report's rounded 40% capital proxy.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409"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[No RWA breakdown published for this year - see note below]</t>
        </is>
      </c>
      <c r="B4" s="6" t="inlineStr">
        <is>
          <t>Not disclosed - AR2025 prints no RWA amount; no FY2025 Pillar 3 edition</t>
        </is>
      </c>
      <c r="C4" s="6" t="n"/>
      <c r="D4" s="6" t="n"/>
      <c r="E4" s="6" t="n"/>
      <c r="F4" s="6" t="n"/>
    </row>
    <row r="5">
      <c r="A5" s="6" t="inlineStr">
        <is>
          <t>Credit risk</t>
        </is>
      </c>
      <c r="B5" s="6" t="n"/>
      <c r="C5" s="6" t="n"/>
      <c r="D5" s="6" t="n">
        <v>36805.5</v>
      </c>
      <c r="E5" s="6" t="n">
        <v>39969.2</v>
      </c>
      <c r="F5" s="6" t="n">
        <v>59055.6</v>
      </c>
    </row>
    <row r="6">
      <c r="A6" s="6" t="inlineStr">
        <is>
          <t>Operational risk</t>
        </is>
      </c>
      <c r="B6" s="6" t="n"/>
      <c r="C6" s="6" t="n"/>
      <c r="D6" s="6" t="n">
        <v>8228.299999999999</v>
      </c>
      <c r="E6" s="6" t="n">
        <v>12937.5</v>
      </c>
      <c r="F6" s="6" t="n">
        <v>15777.8</v>
      </c>
    </row>
    <row r="7">
      <c r="A7" s="6" t="inlineStr">
        <is>
          <t>Market risk</t>
        </is>
      </c>
      <c r="B7" s="6" t="n"/>
      <c r="C7" s="6" t="n"/>
      <c r="D7" s="6" t="n">
        <v>2592.1</v>
      </c>
      <c r="E7" s="6" t="n">
        <v>1729.2</v>
      </c>
      <c r="F7" s="6" t="n">
        <v>1333.3</v>
      </c>
    </row>
    <row r="8">
      <c r="A8" s="5" t="inlineStr">
        <is>
          <t>Total</t>
        </is>
      </c>
      <c r="B8" s="5" t="n"/>
      <c r="C8" s="5" t="n">
        <v>106648</v>
      </c>
      <c r="D8" s="5" t="n">
        <v>47626</v>
      </c>
      <c r="E8" s="5" t="n">
        <v>54642.5</v>
      </c>
      <c r="F8" s="5" t="n">
        <v>76166.7</v>
      </c>
    </row>
    <row r="10" ht="390" customHeight="1">
      <c r="A10"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t>
        </is>
      </c>
    </row>
    <row r="12" ht="150" customHeight="1">
      <c r="A12" s="8" t="inlineStr">
        <is>
          <t>(continued)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sheetData>
  <mergeCells count="2">
    <mergeCell ref="A10:F10"/>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disclosed - no leverage ratio in AR2025; no FY2025 Pillar 3 edition</t>
        </is>
      </c>
      <c r="C4" s="6" t="inlineStr">
        <is>
          <t>19.45%</t>
        </is>
      </c>
      <c r="D4" s="6" t="inlineStr">
        <is>
          <t>29.83%</t>
        </is>
      </c>
      <c r="E4" s="6" t="inlineStr">
        <is>
          <t>35.78%</t>
        </is>
      </c>
    </row>
    <row r="5" ht="299" customHeight="1">
      <c r="A5" s="7" t="inlineStr">
        <is>
          <t>Note: Disclosed in FidBank UK's FY2024 and FY2023 UK KM1 tables; FY2022 is the FY2023 edition's comparative (see below). FY2021 remains blank: its older Pillar 3 disclosure does not provide a leverage ratio.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
GA-026 LEVERAGE BASIS (2026-10-10): ONE BASIS, UNDECLARED. FidBank UK prints the UK KM1 leverage block as two bare rows - "13 Leverage ratio total exposure measure" and "14 Leverage ratio" - with no qualifier of any kind. There is no row 24 / UK-24a / UK-24b / UK-25c, no LR2 or LRSum template, and no narrative stating what the exposure measure contains. A normalised phrase scan of every edition (text joined across line breaks before matching, so a wrapped phrase cannot hide) returns ZERO hits for 'excluding/including claims on central banks' in any form. The two-basis UK presentation is effective only for periods from 1 January 2022 and the Bank never adopted it, so no basis is determinable from the Bank's own words and none is asserted here. Read at 300 dpi: FY2024 ed. p.9 rows 13/14 = 282,725 and 19.45; FY2023 ed. p.9 rows 13/14 = 191,191 and 29.83 (FY2022 comparative 99,083 and 35.78).</t>
        </is>
      </c>
    </row>
    <row r="6" ht="273" customHeight="1">
      <c r="A6" s="7" t="inlineStr">
        <is>
          <t>(continued)
FY2022 PROVENANCE CORRECTION (2026-10-10). This note previously said the figure was "directly disclosed in FidBank UK's FY2024, FY2023 and FY2022 UK KM1 tables". That was wrong for FY2022. The FY2022 Pillar 3 at the URL this script cites is headed "UNION BANK UK PLC / PILLAR 3 DISCLOSURES / 31 December 2022" - the same legal entity under its former name (company number 4661188 appears on both; see ENTITY_NOTE for the two renames) - and it contains NO leverage ratio and NO key-metrics table at all: a full-text search of that edition returns zero hits for 'leverag' in any case, and zero for 'key metric' and 'KM1'. FY2022's 35.78% therefore comes from the FY2023 edition's COMPARATIVE column, not from the FY2022 edition's own disclosure. The figure is kept (it is the only published value) but is recorded here as a later edition's comparative, per the own-edition rule, rather than presented as the FY2022 document's own. The source block below was already correct on this point ("FY2021/FY2022's older disclosures give the capital base and RWA components"); only this sheet note overstated it.
CURRENCY-LABEL CONTRADICTION BETWEEN EDITIONS, RECORDED NOT RECONCILED (2026-10-10). The FY2023 edition's KM1 heads both its columns "£000's"; the FY2024 edition heads both of its columns "$000's" - and the FY2023 column is numerically IDENTICAL in the two (CET1 57,034; RWA 60,485; CET1 ratio 94.29%). The same figures are thus labelled sterling in one of the Bank's documents and dollars in the next. Both column headers were confirmed at 300 dpi, not by text layer alone. This is the Bank's own inconsistency; NO figure in this workbook has been changed, re-scaled or FX-converted on the strength of it, and it is flagged rather than resolved because resolving it would mean choosing which of the Bank's two labels to believe. It bears on the capital sheets (which treat these amounts as USD) as much as on this one.
LINK ROT ON THE CITED URLS (2026-10-10). All four fidbank.co.uk Pillar 3 URLs cited below now return 404; the site itself is live. The documents are not gone - they were re-retrieved from the Wayback Machine at these captures: FY2024 20260208213431 (32pp, %PDF, 775,308 bytes), FY2023 20241203225150 (31pp), FY2022 20250125031047 (23pp). The cited live URLs are left in place as the original publication addresses; this paragraph is the standing record of where they can still be read.</t>
        </is>
      </c>
    </row>
    <row r="8" ht="409" customHeight="1">
      <c r="A8"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t>
        </is>
      </c>
    </row>
    <row r="10" ht="409" customHeight="1">
      <c r="A10" s="8" t="inlineStr">
        <is>
          <t xml:space="preserve">(continued)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4">
    <mergeCell ref="A6:E6"/>
    <mergeCell ref="A10:E10"/>
    <mergeCell ref="A5:E5"/>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178%</t>
        </is>
      </c>
      <c r="C4" s="6" t="inlineStr">
        <is>
          <t>243.39%</t>
        </is>
      </c>
      <c r="D4" s="6" t="inlineStr">
        <is>
          <t>233.04%</t>
        </is>
      </c>
      <c r="E4" s="6" t="inlineStr">
        <is>
          <t>379.92%</t>
        </is>
      </c>
    </row>
    <row r="5" ht="30" customHeight="1">
      <c r="A5" s="7" t="inlineStr">
        <is>
          <t>Note: FY2024-FY2022 values are directly disclosed in FidBank UK's UK KM1 tables; FY2025 remains sourced from its Annual Report. FY2021's older disclosure has no LCR value.</t>
        </is>
      </c>
    </row>
    <row r="7" ht="409"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t>
        </is>
      </c>
    </row>
    <row r="9" ht="409" customHeight="1">
      <c r="A9" s="8" t="inlineStr">
        <is>
          <t xml:space="preserve">(continued)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3">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disclosed - 'stable funding' absent from AR2025; no FY2025 Pillar 3 edition</t>
        </is>
      </c>
      <c r="C4" s="6" t="inlineStr">
        <is>
          <t>211.78%</t>
        </is>
      </c>
      <c r="D4" s="6" t="inlineStr">
        <is>
          <t>335.67%</t>
        </is>
      </c>
      <c r="E4" s="6" t="inlineStr">
        <is>
          <t>363.79%</t>
        </is>
      </c>
    </row>
    <row r="5" ht="195" customHeight="1">
      <c r="A5" s="7" t="inlineStr">
        <is>
          <t>Note: Directly disclosed in FidBank UK's FY2024, FY2023 and FY2022 UK KM1 tables. FY2021 remains blank because no entity-level value was located in that year's older disclosure.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409"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t>
        </is>
      </c>
    </row>
    <row r="9" ht="409" customHeight="1">
      <c r="A9" s="8" t="inlineStr">
        <is>
          <t xml:space="preserve">(continued)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yet – FY2025 Pillar 3 expected ~Jan 2027 (FY2024 edition appeared Jan 2026); FY2025 Annual Report has no MREL figure</t>
        </is>
      </c>
      <c r="C4" s="6" t="inlineStr">
        <is>
          <t>Not published – FidBank UK FY2024 Pillar 3 disclosure has no MREL figure or KM2 (text probe 0 hits, 2026-09-19)</t>
        </is>
      </c>
      <c r="D4" s="6" t="inlineStr">
        <is>
          <t>Not published – FidBank UK FY2023 Pillar 3 disclosure has no MREL figure or KM2 (text probe 0 hits, 2026-09-19)</t>
        </is>
      </c>
      <c r="E4" s="6" t="inlineStr">
        <is>
          <t>Not published – FidBank UK FY2022 Pillar 3 disclosure has no MREL figure or KM2 (text probe 0 hits, 2026-09-19)</t>
        </is>
      </c>
      <c r="F4" s="6" t="inlineStr">
        <is>
          <t>Not published – FidBank UK FY2021 Pillar 3 disclosure has no MREL figure or KM2 (text probe 0 hits, 2026-09-19)</t>
        </is>
      </c>
    </row>
    <row r="5" ht="117" customHeight="1">
      <c r="A5" s="7" t="inlineStr">
        <is>
          <t>Note: Not publicly disclosed - the metric does not appear in FidBank UK Limited's four standalone Pillar 3 disclosures (FY2021-FY2024, published on the Bank's own Reporting Archive and cited in full on the capital sheets), nor in any of the 3 Annual Report filings reviewed (FY2023, FY2024, FY2025 - the only filings that exist at Companies House for this entity). The FY2023/FY2024 UK KM1 tables disclose CET1, Tier 1, total capital, RWA, capital ratios, leverage, LCR and NSFR, and carry no MREL row.
CORRECTION, 18 September 2026 (KM1-032): this note previously opened 'no standalone Pillar 3 document exists for this entity'. That was false and had already been retracted elsewhere in this same build - the HD-064 primary-source correction on the capital sheets establishes that FidBank publishes entity-level Pillar 3 disclosures for FY2021-FY2024 - but the superseded sentence was left standing here, so one stale string kept asserting on this sheet what the rest of the workbook had disproved. The absence being recorded is MREL's, not the document's. See the Cash Flow Statement sheet's entity note.</t>
        </is>
      </c>
    </row>
    <row r="7" ht="351"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t>
        </is>
      </c>
    </row>
    <row r="9" ht="150" customHeight="1">
      <c r="A9" s="8" t="inlineStr">
        <is>
          <t xml:space="preserve">(continued)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2026-10-10T15:08:27Z</dcterms:created>
  <dcterms:modified xmlns:dcterms="http://purl.org/dc/terms/" xmlns:xsi="http://www.w3.org/2001/XMLSchema-instance" xsi:type="dcterms:W3CDTF">2026-10-10T15:08:27Z</dcterms:modified>
</cp:coreProperties>
</file>