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D7B7E"/>
        <bgColor rgb="00AD7B7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FidBank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FidBank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a:prstDash val="solid"/>
            </a:ln>
          </spPr>
          <cat>
            <numRef>
              <f>'Overview'!$R$12:$V$12</f>
            </numRef>
          </cat>
          <val>
            <numRef>
              <f>'Overview'!$R$13:$V$13</f>
            </numRef>
          </val>
        </ser>
        <ser>
          <idx val="1"/>
          <order val="1"/>
          <tx>
            <strRef>
              <f>'Overview'!Q14</f>
            </strRef>
          </tx>
          <spPr>
            <a:ln>
              <a:prstDash val="solid"/>
            </a:ln>
          </spPr>
          <cat>
            <numRef>
              <f>'Overview'!$R$12:$V$12</f>
            </numRef>
          </cat>
          <val>
            <numRef>
              <f>'Overview'!$R$14:$V$14</f>
            </numRef>
          </val>
        </ser>
        <ser>
          <idx val="2"/>
          <order val="2"/>
          <tx>
            <strRef>
              <f>'Overview'!Q15</f>
            </strRef>
          </tx>
          <spPr>
            <a:l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FidBank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a:prstDash val="solid"/>
            </a:ln>
          </spPr>
          <cat>
            <numRef>
              <f>'Overview'!$Z$18:$AD$18</f>
            </numRef>
          </cat>
          <val>
            <numRef>
              <f>'Overview'!$Z$19:$AD$19</f>
            </numRef>
          </val>
        </ser>
        <ser>
          <idx val="1"/>
          <order val="1"/>
          <tx>
            <strRef>
              <f>'Overview'!Y20</f>
            </strRef>
          </tx>
          <spPr>
            <a:ln>
              <a:prstDash val="solid"/>
            </a:ln>
          </spPr>
          <cat>
            <numRef>
              <f>'Overview'!$Z$18:$AD$18</f>
            </numRef>
          </cat>
          <val>
            <numRef>
              <f>'Overview'!$Z$20:$AD$20</f>
            </numRef>
          </val>
        </ser>
        <ser>
          <idx val="2"/>
          <order val="2"/>
          <tx>
            <strRef>
              <f>'Overview'!Y21</f>
            </strRef>
          </tx>
          <spPr>
            <a:ln>
              <a:prstDash val="solid"/>
            </a:ln>
          </spPr>
          <cat>
            <numRef>
              <f>'Overview'!$Z$18:$AD$18</f>
            </numRef>
          </cat>
          <val>
            <numRef>
              <f>'Overview'!$Z$21:$AD$21</f>
            </numRef>
          </val>
        </ser>
        <ser>
          <idx val="3"/>
          <order val="3"/>
          <tx>
            <strRef>
              <f>'Overview'!Y22</f>
            </strRef>
          </tx>
          <spPr>
            <a:l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FidBank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a:prstDash val="solid"/>
            </a:ln>
          </spPr>
          <cat>
            <numRef>
              <f>'Overview'!$AH$25:$AL$25</f>
            </numRef>
          </cat>
          <val>
            <numRef>
              <f>'Overview'!$AH$26:$AL$26</f>
            </numRef>
          </val>
        </ser>
        <ser>
          <idx val="1"/>
          <order val="1"/>
          <tx>
            <strRef>
              <f>'Overview'!AG27</f>
            </strRef>
          </tx>
          <spPr>
            <a:ln>
              <a:prstDash val="solid"/>
            </a:ln>
          </spPr>
          <cat>
            <numRef>
              <f>'Overview'!$AH$25:$AL$25</f>
            </numRef>
          </cat>
          <val>
            <numRef>
              <f>'Overview'!$AH$27:$AL$27</f>
            </numRef>
          </val>
        </ser>
        <ser>
          <idx val="2"/>
          <order val="2"/>
          <tx>
            <strRef>
              <f>'Overview'!AG28</f>
            </strRef>
          </tx>
          <spPr>
            <a:ln>
              <a:prstDash val="solid"/>
            </a:ln>
          </spPr>
          <cat>
            <numRef>
              <f>'Overview'!$AH$25:$AL$25</f>
            </numRef>
          </cat>
          <val>
            <numRef>
              <f>'Overview'!$AH$28:$AL$28</f>
            </numRef>
          </val>
        </ser>
        <ser>
          <idx val="3"/>
          <order val="3"/>
          <tx>
            <strRef>
              <f>'Overview'!AG29</f>
            </strRef>
          </tx>
          <spPr>
            <a:l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FidBank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a:prstDash val="solid"/>
            </a:ln>
          </spPr>
          <marker>
            <symbol val="none"/>
            <spPr>
              <a:ln>
                <a:prstDash val="solid"/>
              </a:ln>
            </spPr>
          </marker>
          <cat>
            <numRef>
              <f>'Overview'!$AP$5:$AT$5</f>
            </numRef>
          </cat>
          <val>
            <numRef>
              <f>'Overview'!$AP$6:$AT$6</f>
            </numRef>
          </val>
          <smooth val="0"/>
        </ser>
        <ser>
          <idx val="1"/>
          <order val="1"/>
          <tx>
            <strRef>
              <f>'Overview'!AO7</f>
            </strRef>
          </tx>
          <spPr>
            <a:ln>
              <a:prstDash val="solid"/>
            </a:ln>
          </spPr>
          <marker>
            <symbol val="none"/>
            <spPr>
              <a:l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38</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60</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104</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126</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FidBank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333423.7</v>
      </c>
      <c r="C6" s="5" t="n">
        <v>217856</v>
      </c>
      <c r="D6" s="5" t="n">
        <v>149298.4</v>
      </c>
      <c r="E6" s="5" t="n">
        <v>80527.5</v>
      </c>
      <c r="F6" s="5" t="n"/>
      <c r="I6" t="inlineStr">
        <is>
          <t>Total Assets</t>
        </is>
      </c>
      <c r="K6" t="n">
        <v>80527.5</v>
      </c>
      <c r="L6" t="n">
        <v>149298.4</v>
      </c>
      <c r="M6" t="n">
        <v>217856</v>
      </c>
      <c r="N6" t="n">
        <v>333423.7</v>
      </c>
      <c r="AO6" t="inlineStr">
        <is>
          <t>Total Capital Ratio</t>
        </is>
      </c>
      <c r="AP6" t="n">
        <v>40</v>
      </c>
      <c r="AQ6" t="n">
        <v>54</v>
      </c>
      <c r="AR6" t="n">
        <v>98</v>
      </c>
      <c r="AS6" t="n">
        <v>43</v>
      </c>
      <c r="AT6" t="n">
        <v>21.46</v>
      </c>
    </row>
    <row r="7">
      <c r="A7" s="5" t="inlineStr">
        <is>
          <t>Loans and advances to customers</t>
        </is>
      </c>
      <c r="B7" s="5" t="n">
        <v>108763</v>
      </c>
      <c r="C7" s="5" t="n">
        <v>44132</v>
      </c>
      <c r="D7" s="5" t="n">
        <v>6763.8</v>
      </c>
      <c r="E7" s="5" t="n">
        <v>2970</v>
      </c>
      <c r="F7" s="5" t="n"/>
      <c r="I7" t="inlineStr">
        <is>
          <t>Loans and advances to customers</t>
        </is>
      </c>
      <c r="K7" t="n">
        <v>2970</v>
      </c>
      <c r="L7" t="n">
        <v>6763.8</v>
      </c>
      <c r="M7" t="n">
        <v>44132</v>
      </c>
      <c r="N7" t="n">
        <v>108763</v>
      </c>
      <c r="AO7" t="inlineStr">
        <is>
          <t>LCR</t>
        </is>
      </c>
      <c r="AS7" t="n">
        <v>243</v>
      </c>
      <c r="AT7" t="n">
        <v>178</v>
      </c>
    </row>
    <row r="8">
      <c r="A8" s="5" t="inlineStr">
        <is>
          <t>Customer accounts</t>
        </is>
      </c>
      <c r="B8" s="5" t="n">
        <v>146063</v>
      </c>
      <c r="C8" s="5" t="n">
        <v>86160</v>
      </c>
      <c r="D8" s="5" t="n">
        <v>39852.8</v>
      </c>
      <c r="E8" s="5" t="n">
        <v>31898.3</v>
      </c>
      <c r="F8" s="5" t="n"/>
      <c r="I8" t="inlineStr">
        <is>
          <t>Customer accounts</t>
        </is>
      </c>
      <c r="K8" t="n">
        <v>31898.3</v>
      </c>
      <c r="L8" t="n">
        <v>39852.8</v>
      </c>
      <c r="M8" t="n">
        <v>86160</v>
      </c>
      <c r="N8" t="n">
        <v>146063</v>
      </c>
    </row>
    <row r="9">
      <c r="A9" s="5" t="inlineStr">
        <is>
          <t>Total equity</t>
        </is>
      </c>
      <c r="B9" s="5" t="n">
        <v>41689.6</v>
      </c>
      <c r="C9" s="5" t="n">
        <v>44296.8</v>
      </c>
      <c r="D9" s="5" t="n">
        <v>45273.2</v>
      </c>
      <c r="E9" s="5" t="n">
        <v>29599.2</v>
      </c>
      <c r="F9" s="5" t="n"/>
      <c r="I9" t="inlineStr">
        <is>
          <t>Total equity</t>
        </is>
      </c>
      <c r="K9" t="n">
        <v>29599.2</v>
      </c>
      <c r="L9" t="n">
        <v>45273.2</v>
      </c>
      <c r="M9" t="n">
        <v>44296.8</v>
      </c>
      <c r="N9" t="n">
        <v>41689.6</v>
      </c>
    </row>
    <row r="11">
      <c r="A11" s="3" t="inlineStr">
        <is>
          <t>Profit &amp; Loss Summary (£'000 (conv. from USD))</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12456.1</v>
      </c>
      <c r="C13" s="5" t="n">
        <v>9480.5</v>
      </c>
      <c r="D13" s="5" t="n">
        <v>7040</v>
      </c>
      <c r="E13" s="5" t="n">
        <v>3228.5</v>
      </c>
      <c r="F13" s="5" t="n"/>
      <c r="Q13" t="inlineStr">
        <is>
          <t>Total income</t>
        </is>
      </c>
      <c r="S13" t="n">
        <v>3228.5</v>
      </c>
      <c r="T13" t="n">
        <v>7040</v>
      </c>
      <c r="U13" t="n">
        <v>9480.5</v>
      </c>
      <c r="V13" t="n">
        <v>12456.1</v>
      </c>
    </row>
    <row r="14">
      <c r="A14" s="5" t="inlineStr">
        <is>
          <t>Administrative expenses</t>
        </is>
      </c>
      <c r="B14" s="5" t="n">
        <v>-11127.3</v>
      </c>
      <c r="C14" s="5" t="n">
        <v>-9960.9</v>
      </c>
      <c r="D14" s="5" t="n">
        <v>-8932</v>
      </c>
      <c r="E14" s="5" t="n">
        <v>-6906.5</v>
      </c>
      <c r="F14" s="5" t="n"/>
      <c r="Q14" t="inlineStr">
        <is>
          <t>Administrative expenses</t>
        </is>
      </c>
      <c r="S14" t="n">
        <v>-6906.5</v>
      </c>
      <c r="T14" t="n">
        <v>-8932</v>
      </c>
      <c r="U14" t="n">
        <v>-9960.9</v>
      </c>
      <c r="V14" t="n">
        <v>-11127.3</v>
      </c>
    </row>
    <row r="15">
      <c r="A15" s="5" t="inlineStr">
        <is>
          <t>Profit/(Loss) for the year after tax</t>
        </is>
      </c>
      <c r="B15" s="5" t="n">
        <v>697</v>
      </c>
      <c r="C15" s="5" t="n">
        <v>-1680.5</v>
      </c>
      <c r="D15" s="5" t="n">
        <v>-2418.4</v>
      </c>
      <c r="E15" s="5" t="n">
        <v>-4375.6</v>
      </c>
      <c r="F15" s="5" t="n"/>
      <c r="Q15" t="inlineStr">
        <is>
          <t>Profit/(Loss) for the year after tax</t>
        </is>
      </c>
      <c r="S15" t="n">
        <v>-4375.6</v>
      </c>
      <c r="T15" t="n">
        <v>-2418.4</v>
      </c>
      <c r="U15" t="n">
        <v>-1680.5</v>
      </c>
      <c r="V15" t="n">
        <v>697</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44296.8</v>
      </c>
      <c r="C19" s="5" t="n">
        <v>45273.2</v>
      </c>
      <c r="D19" s="5" t="n">
        <v>29599.2</v>
      </c>
      <c r="E19" s="5" t="n">
        <v>30294.8</v>
      </c>
      <c r="F19" s="5" t="n"/>
      <c r="Y19" t="inlineStr">
        <is>
          <t>Opening equity</t>
        </is>
      </c>
      <c r="AA19" t="n">
        <v>30294.8</v>
      </c>
      <c r="AB19" t="n">
        <v>29599.2</v>
      </c>
      <c r="AC19" t="n">
        <v>45273.2</v>
      </c>
      <c r="AD19" t="n">
        <v>44296.8</v>
      </c>
    </row>
    <row r="20">
      <c r="A20" s="5" t="inlineStr">
        <is>
          <t>Total comprehensive income/(loss) for the year</t>
        </is>
      </c>
      <c r="B20" s="5" t="n">
        <v>689.4</v>
      </c>
      <c r="C20" s="5" t="n">
        <v>-1661</v>
      </c>
      <c r="D20" s="5" t="n">
        <v>-2417.6</v>
      </c>
      <c r="E20" s="5" t="n">
        <v>-4373.2</v>
      </c>
      <c r="F20" s="5" t="n"/>
      <c r="Y20" t="inlineStr">
        <is>
          <t>Total comprehensive income/(loss) for the year</t>
        </is>
      </c>
      <c r="AA20" t="n">
        <v>-4373.2</v>
      </c>
      <c r="AB20" t="n">
        <v>-2417.6</v>
      </c>
      <c r="AC20" t="n">
        <v>-1661</v>
      </c>
      <c r="AD20" t="n">
        <v>689.4</v>
      </c>
    </row>
    <row r="21">
      <c r="A21" s="5" t="inlineStr">
        <is>
          <t>Other equity movements, net</t>
        </is>
      </c>
      <c r="B21" s="5" t="n">
        <v>-3296.6</v>
      </c>
      <c r="C21" s="5" t="n">
        <v>684.6</v>
      </c>
      <c r="D21" s="5" t="n">
        <v>18091.6</v>
      </c>
      <c r="E21" s="5" t="n">
        <v>3677.6</v>
      </c>
      <c r="F21" s="5" t="n"/>
      <c r="Y21" t="inlineStr">
        <is>
          <t>Other equity movements, net</t>
        </is>
      </c>
      <c r="AA21" t="n">
        <v>3677.6</v>
      </c>
      <c r="AB21" t="n">
        <v>18091.6</v>
      </c>
      <c r="AC21" t="n">
        <v>684.6</v>
      </c>
      <c r="AD21" t="n">
        <v>-3296.6</v>
      </c>
    </row>
    <row r="22">
      <c r="A22" s="5" t="inlineStr">
        <is>
          <t>Closing equity</t>
        </is>
      </c>
      <c r="B22" s="5" t="n">
        <v>41689.6</v>
      </c>
      <c r="C22" s="5" t="n">
        <v>44296.8</v>
      </c>
      <c r="D22" s="5" t="n">
        <v>45273.2</v>
      </c>
      <c r="E22" s="5" t="n">
        <v>29599.2</v>
      </c>
      <c r="F22" s="5" t="n"/>
      <c r="Y22" t="inlineStr">
        <is>
          <t>Closing equity</t>
        </is>
      </c>
      <c r="AA22" t="n">
        <v>29599.2</v>
      </c>
      <c r="AB22" t="n">
        <v>45273.2</v>
      </c>
      <c r="AC22" t="n">
        <v>44296.8</v>
      </c>
      <c r="AD22" t="n">
        <v>41689.6</v>
      </c>
    </row>
    <row r="24">
      <c r="A24" s="3" t="inlineStr">
        <is>
          <t>Cash Flow Summary (£'000 (conv. from USD))</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in)/from operating activities</t>
        </is>
      </c>
      <c r="B26" s="5" t="n">
        <v>16960.6</v>
      </c>
      <c r="C26" s="5" t="n">
        <v>-11886.7</v>
      </c>
      <c r="D26" s="5" t="n">
        <v>-18293.6</v>
      </c>
      <c r="E26" s="5" t="n">
        <v>-2485.4</v>
      </c>
      <c r="F26" s="5" t="n"/>
      <c r="AG26" t="inlineStr">
        <is>
          <t>Net cash (used in)/from operating activities</t>
        </is>
      </c>
      <c r="AI26" t="n">
        <v>-2485.4</v>
      </c>
      <c r="AJ26" t="n">
        <v>-18293.6</v>
      </c>
      <c r="AK26" t="n">
        <v>-11886.7</v>
      </c>
      <c r="AL26" t="n">
        <v>16960.6</v>
      </c>
    </row>
    <row r="27">
      <c r="A27" s="5" t="inlineStr">
        <is>
          <t>Net cash flow used in investing activities</t>
        </is>
      </c>
      <c r="B27" s="5" t="n">
        <v>-298.5</v>
      </c>
      <c r="C27" s="5" t="n">
        <v>-47.7</v>
      </c>
      <c r="D27" s="5" t="n">
        <v>-130.4</v>
      </c>
      <c r="E27" s="5" t="n">
        <v>-30.9</v>
      </c>
      <c r="F27" s="5" t="n"/>
      <c r="AG27" t="inlineStr">
        <is>
          <t>Net cash flow used in investing activities</t>
        </is>
      </c>
      <c r="AI27" t="n">
        <v>-30.9</v>
      </c>
      <c r="AJ27" t="n">
        <v>-130.4</v>
      </c>
      <c r="AK27" t="n">
        <v>-47.7</v>
      </c>
      <c r="AL27" t="n">
        <v>-298.5</v>
      </c>
    </row>
    <row r="28">
      <c r="A28" s="5" t="inlineStr">
        <is>
          <t>Net cash generated from/(used in) financing activities</t>
        </is>
      </c>
      <c r="B28" s="5" t="n">
        <v>-459.1</v>
      </c>
      <c r="C28" s="5" t="n">
        <v>-440.6</v>
      </c>
      <c r="D28" s="5" t="n">
        <v>19780.8</v>
      </c>
      <c r="E28" s="5" t="n">
        <v>-384.6</v>
      </c>
      <c r="F28" s="5" t="n"/>
      <c r="AG28" t="inlineStr">
        <is>
          <t>Net cash generated from/(used in) financing activities</t>
        </is>
      </c>
      <c r="AI28" t="n">
        <v>-384.6</v>
      </c>
      <c r="AJ28" t="n">
        <v>19780.8</v>
      </c>
      <c r="AK28" t="n">
        <v>-440.6</v>
      </c>
      <c r="AL28" t="n">
        <v>-459.1</v>
      </c>
    </row>
    <row r="29">
      <c r="A29" s="5" t="inlineStr">
        <is>
          <t>Cash and cash equivalents at end of year</t>
        </is>
      </c>
      <c r="B29" s="5" t="n">
        <v>90189.60000000001</v>
      </c>
      <c r="C29" s="5" t="n">
        <v>79931.2</v>
      </c>
      <c r="D29" s="5" t="n">
        <v>5611.8</v>
      </c>
      <c r="E29" s="5" t="n">
        <v>4525.8</v>
      </c>
      <c r="F29" s="5" t="n"/>
      <c r="AG29" t="inlineStr">
        <is>
          <t>Cash and cash equivalents at end of year</t>
        </is>
      </c>
      <c r="AI29" t="n">
        <v>4525.8</v>
      </c>
      <c r="AJ29" t="n">
        <v>5611.8</v>
      </c>
      <c r="AK29" t="n">
        <v>79931.2</v>
      </c>
      <c r="AL29" t="n">
        <v>90189.60000000001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Total Capital Ratio</t>
        </is>
      </c>
      <c r="B33" s="6" t="inlineStr">
        <is>
          <t>21.46%</t>
        </is>
      </c>
      <c r="C33" s="6" t="inlineStr">
        <is>
          <t>43%</t>
        </is>
      </c>
      <c r="D33" s="6" t="inlineStr">
        <is>
          <t>98%</t>
        </is>
      </c>
      <c r="E33" s="6" t="inlineStr">
        <is>
          <t>54%</t>
        </is>
      </c>
      <c r="F33" s="6" t="inlineStr">
        <is>
          <t>40%</t>
        </is>
      </c>
    </row>
    <row r="34">
      <c r="A34" s="6" t="inlineStr">
        <is>
          <t>LCR</t>
        </is>
      </c>
      <c r="B34" s="6" t="inlineStr">
        <is>
          <t>178%</t>
        </is>
      </c>
      <c r="C34" s="6" t="inlineStr">
        <is>
          <t>243%</t>
        </is>
      </c>
      <c r="D34" s="6" t="n"/>
      <c r="E34" s="6" t="n"/>
      <c r="F34" s="6" t="n"/>
    </row>
    <row r="36" ht="45" customHeight="1">
      <c r="A36" s="7" t="inlineStr">
        <is>
          <t>Note: FY2021 cash flow/balance sheet/P&amp;L not available (see Cash Flow Statement sheet's source note) - only FY2021's own closing equity is known (as FY2022's disclosed opening balance), shown on the Statement of Changes in Equity sheet. Pillar 3 coverage is thin - a headline Capital Ratio (all 5 years), actual Tier 1/CET1/Total Capital AMOUNTS (FY2025-FY2022, from the capital adequacy note - a finding not previously captured in this workbook), and LCR (FY2025/FY2024 only) are disclosed; RWA itself and every ratio derived from it remain Not publicly disclosed. Figures are duplicated from the detail sheets for at-a-glance trend viewing; see each sheet's own source citation.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FidBank UK Limited — Statement of Financial Position</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Assets</t>
        </is>
      </c>
      <c r="B4" s="6" t="n"/>
      <c r="C4" s="6" t="n"/>
      <c r="D4" s="6" t="n"/>
      <c r="E4" s="6" t="n"/>
      <c r="F4" s="6" t="n"/>
    </row>
    <row r="5">
      <c r="A5" s="6" t="inlineStr">
        <is>
          <t>Cash and cash equivalents</t>
        </is>
      </c>
      <c r="B5" s="6" t="n">
        <v>90189.60000000001</v>
      </c>
      <c r="C5" s="6" t="n">
        <v>79931.2</v>
      </c>
      <c r="D5" s="6" t="n">
        <v>5611.8</v>
      </c>
      <c r="E5" s="6" t="n">
        <v>4525.8</v>
      </c>
      <c r="F5" s="6" t="n"/>
    </row>
    <row r="6">
      <c r="A6" s="6" t="inlineStr">
        <is>
          <t>Short-term investments</t>
        </is>
      </c>
      <c r="B6" s="6" t="n">
        <v>8203</v>
      </c>
      <c r="C6" s="6" t="n">
        <v>0</v>
      </c>
      <c r="D6" s="6" t="n"/>
      <c r="E6" s="6" t="n"/>
      <c r="F6" s="6" t="n"/>
    </row>
    <row r="7">
      <c r="A7" s="6" t="inlineStr">
        <is>
          <t>Loans and advances to banks</t>
        </is>
      </c>
      <c r="B7" s="6" t="n">
        <v>91676.3</v>
      </c>
      <c r="C7" s="6" t="n">
        <v>52640.8</v>
      </c>
      <c r="D7" s="6" t="n">
        <v>100800.8</v>
      </c>
      <c r="E7" s="6" t="n">
        <v>54530.8</v>
      </c>
      <c r="F7" s="6" t="n"/>
    </row>
    <row r="8">
      <c r="A8" s="6" t="inlineStr">
        <is>
          <t>Loans and advances to customers</t>
        </is>
      </c>
      <c r="B8" s="6" t="n">
        <v>108763</v>
      </c>
      <c r="C8" s="6" t="n">
        <v>44132</v>
      </c>
      <c r="D8" s="6" t="n">
        <v>6763.8</v>
      </c>
      <c r="E8" s="6" t="n">
        <v>2970</v>
      </c>
      <c r="F8" s="6" t="n"/>
    </row>
    <row r="9">
      <c r="A9" s="6" t="inlineStr">
        <is>
          <t>Derivative Financial Assets</t>
        </is>
      </c>
      <c r="B9" s="6" t="n">
        <v>313.3</v>
      </c>
      <c r="C9" s="6" t="n">
        <v>0</v>
      </c>
      <c r="D9" s="6" t="n"/>
      <c r="E9" s="6" t="n"/>
      <c r="F9" s="6" t="n"/>
    </row>
    <row r="10">
      <c r="A10" s="6" t="inlineStr">
        <is>
          <t>Financial assets measured at FVOCI</t>
        </is>
      </c>
      <c r="B10" s="6" t="n">
        <v>25056.3</v>
      </c>
      <c r="C10" s="6" t="n">
        <v>38035.2</v>
      </c>
      <c r="D10" s="6" t="n">
        <v>33090.6</v>
      </c>
      <c r="E10" s="6" t="n">
        <v>15102.5</v>
      </c>
      <c r="F10" s="6" t="n"/>
    </row>
    <row r="11">
      <c r="A11" s="6" t="inlineStr">
        <is>
          <t>Financial assets valued at Amortised Cost</t>
        </is>
      </c>
      <c r="B11" s="6" t="n">
        <v>6002.2</v>
      </c>
      <c r="C11" s="6" t="n">
        <v>0</v>
      </c>
      <c r="D11" s="6" t="n"/>
      <c r="E11" s="6" t="n"/>
      <c r="F11" s="6" t="n"/>
    </row>
    <row r="12">
      <c r="A12" s="6" t="inlineStr">
        <is>
          <t>Property and equipment</t>
        </is>
      </c>
      <c r="B12" s="6" t="n">
        <v>28.1</v>
      </c>
      <c r="C12" s="6" t="n">
        <v>47.2</v>
      </c>
      <c r="D12" s="6" t="n">
        <v>44.1</v>
      </c>
      <c r="E12" s="6" t="n">
        <v>36.7</v>
      </c>
      <c r="F12" s="6" t="n"/>
    </row>
    <row r="13">
      <c r="A13" s="6" t="inlineStr">
        <is>
          <t>Intangible assets</t>
        </is>
      </c>
      <c r="B13" s="6" t="n">
        <v>456.3</v>
      </c>
      <c r="C13" s="6" t="n">
        <v>292.8</v>
      </c>
      <c r="D13" s="6" t="n">
        <v>364.6</v>
      </c>
      <c r="E13" s="6" t="n">
        <v>422.5</v>
      </c>
      <c r="F13" s="6" t="n"/>
    </row>
    <row r="14">
      <c r="A14" s="6" t="inlineStr">
        <is>
          <t>Right-of-use-assets</t>
        </is>
      </c>
      <c r="B14" s="6" t="n">
        <v>680.7</v>
      </c>
      <c r="C14" s="6" t="n">
        <v>1040</v>
      </c>
      <c r="D14" s="6" t="n">
        <v>1317.3</v>
      </c>
      <c r="E14" s="6" t="n">
        <v>1710</v>
      </c>
      <c r="F14" s="6" t="n"/>
    </row>
    <row r="15">
      <c r="A15" s="6" t="inlineStr">
        <is>
          <t>Other assets</t>
        </is>
      </c>
      <c r="B15" s="6" t="n">
        <v>1265.2</v>
      </c>
      <c r="C15" s="6" t="n">
        <v>980.8</v>
      </c>
      <c r="D15" s="6" t="n">
        <v>739.4</v>
      </c>
      <c r="E15" s="6" t="n">
        <v>708.3</v>
      </c>
      <c r="F15" s="6" t="n"/>
    </row>
    <row r="16">
      <c r="A16" s="6" t="inlineStr">
        <is>
          <t>Prepayments</t>
        </is>
      </c>
      <c r="B16" s="6" t="n">
        <v>789.6</v>
      </c>
      <c r="C16" s="6" t="n">
        <v>756</v>
      </c>
      <c r="D16" s="6" t="n">
        <v>566.1</v>
      </c>
      <c r="E16" s="6" t="n">
        <v>520.8</v>
      </c>
      <c r="F16" s="6" t="n"/>
    </row>
    <row r="17">
      <c r="A17" s="5" t="inlineStr">
        <is>
          <t>Total Assets</t>
        </is>
      </c>
      <c r="B17" s="5" t="n">
        <v>333423.7</v>
      </c>
      <c r="C17" s="5" t="n">
        <v>217856</v>
      </c>
      <c r="D17" s="5" t="n">
        <v>149298.4</v>
      </c>
      <c r="E17" s="5" t="n">
        <v>80527.5</v>
      </c>
      <c r="F17" s="5" t="n"/>
    </row>
    <row r="18">
      <c r="A18" s="5" t="inlineStr">
        <is>
          <t>Liabilities</t>
        </is>
      </c>
      <c r="B18" s="6" t="n"/>
      <c r="C18" s="6" t="n"/>
      <c r="D18" s="6" t="n"/>
      <c r="E18" s="6" t="n"/>
      <c r="F18" s="6" t="n"/>
    </row>
    <row r="19">
      <c r="A19" s="6" t="inlineStr">
        <is>
          <t>Deposits by banks</t>
        </is>
      </c>
      <c r="B19" s="6" t="n">
        <v>143794.8</v>
      </c>
      <c r="C19" s="6" t="n">
        <v>84956</v>
      </c>
      <c r="D19" s="6" t="n">
        <v>61919.7</v>
      </c>
      <c r="E19" s="6" t="n">
        <v>16619.2</v>
      </c>
      <c r="F19" s="6" t="n"/>
    </row>
    <row r="20">
      <c r="A20" s="6" t="inlineStr">
        <is>
          <t>Customer accounts</t>
        </is>
      </c>
      <c r="B20" s="6" t="n">
        <v>146063</v>
      </c>
      <c r="C20" s="6" t="n">
        <v>86160</v>
      </c>
      <c r="D20" s="6" t="n">
        <v>39852.8</v>
      </c>
      <c r="E20" s="6" t="n">
        <v>31898.3</v>
      </c>
      <c r="F20" s="6" t="n"/>
    </row>
    <row r="21">
      <c r="A21" s="6" t="inlineStr">
        <is>
          <t>Derivative Financial Liabilities</t>
        </is>
      </c>
      <c r="B21" s="6" t="n">
        <v>102.2</v>
      </c>
      <c r="C21" s="6" t="n">
        <v>0</v>
      </c>
      <c r="D21" s="6" t="n"/>
      <c r="E21" s="6" t="n"/>
      <c r="F21" s="6" t="n"/>
    </row>
    <row r="22">
      <c r="A22" s="6" t="inlineStr">
        <is>
          <t>Lease liabilities</t>
        </is>
      </c>
      <c r="B22" s="6" t="n">
        <v>917</v>
      </c>
      <c r="C22" s="6" t="n">
        <v>1284</v>
      </c>
      <c r="D22" s="6" t="n">
        <v>1575.6</v>
      </c>
      <c r="E22" s="6" t="n">
        <v>1720.8</v>
      </c>
      <c r="F22" s="6" t="n"/>
    </row>
    <row r="23">
      <c r="A23" s="6" t="inlineStr">
        <is>
          <t>Other liabilities</t>
        </is>
      </c>
      <c r="B23" s="6" t="n">
        <v>746.7</v>
      </c>
      <c r="C23" s="6" t="n">
        <v>790.4</v>
      </c>
      <c r="D23" s="6" t="n">
        <v>564.6</v>
      </c>
      <c r="E23" s="6" t="n">
        <v>544.2</v>
      </c>
      <c r="F23" s="6" t="n"/>
    </row>
    <row r="24">
      <c r="A24" s="6" t="inlineStr">
        <is>
          <t>Accruals and deferred income</t>
        </is>
      </c>
      <c r="B24" s="6" t="n">
        <v>110.4</v>
      </c>
      <c r="C24" s="6" t="n">
        <v>368.8</v>
      </c>
      <c r="D24" s="6" t="n">
        <v>112.6</v>
      </c>
      <c r="E24" s="6" t="n">
        <v>145.8</v>
      </c>
      <c r="F24" s="6" t="n"/>
    </row>
    <row r="25">
      <c r="A25" s="5" t="inlineStr">
        <is>
          <t>Total Liabilities</t>
        </is>
      </c>
      <c r="B25" s="5" t="n">
        <v>291734.1</v>
      </c>
      <c r="C25" s="5" t="n">
        <v>173559.2</v>
      </c>
      <c r="D25" s="5" t="n">
        <v>104025.2</v>
      </c>
      <c r="E25" s="5" t="n">
        <v>50928.3</v>
      </c>
      <c r="F25" s="5" t="n"/>
    </row>
    <row r="26">
      <c r="A26" s="5" t="inlineStr">
        <is>
          <t>Equity</t>
        </is>
      </c>
      <c r="B26" s="6" t="n"/>
      <c r="C26" s="6" t="n"/>
      <c r="D26" s="6" t="n"/>
      <c r="E26" s="6" t="n"/>
      <c r="F26" s="6" t="n"/>
    </row>
    <row r="27">
      <c r="A27" s="6" t="inlineStr">
        <is>
          <t>Called up share capital</t>
        </is>
      </c>
      <c r="B27" s="6" t="n">
        <v>63029.6</v>
      </c>
      <c r="C27" s="6" t="n">
        <v>68072</v>
      </c>
      <c r="D27" s="6" t="n">
        <v>67000</v>
      </c>
      <c r="E27" s="6" t="n">
        <v>50075</v>
      </c>
      <c r="F27" s="6" t="n"/>
    </row>
    <row r="28">
      <c r="A28" s="6" t="inlineStr">
        <is>
          <t>FVOCI reserve</t>
        </is>
      </c>
      <c r="B28" s="6" t="n">
        <v>8.1</v>
      </c>
      <c r="C28" s="6" t="n">
        <v>17.6</v>
      </c>
      <c r="D28" s="6" t="n">
        <v>-2.4</v>
      </c>
      <c r="E28" s="6" t="n">
        <v>-3.3</v>
      </c>
      <c r="F28" s="6" t="n"/>
    </row>
    <row r="29">
      <c r="A29" s="6" t="inlineStr">
        <is>
          <t>Retained losses</t>
        </is>
      </c>
      <c r="B29" s="6" t="n">
        <v>-21348.1</v>
      </c>
      <c r="C29" s="6" t="n">
        <v>-23792.8</v>
      </c>
      <c r="D29" s="6" t="n">
        <v>-21724.4</v>
      </c>
      <c r="E29" s="6" t="n">
        <v>-20472.5</v>
      </c>
      <c r="F29" s="6" t="n"/>
    </row>
    <row r="30">
      <c r="A30" s="5" t="inlineStr">
        <is>
          <t>Total equity</t>
        </is>
      </c>
      <c r="B30" s="5" t="n">
        <v>41689.6</v>
      </c>
      <c r="C30" s="5" t="n">
        <v>44296.8</v>
      </c>
      <c r="D30" s="5" t="n">
        <v>45273.2</v>
      </c>
      <c r="E30" s="5" t="n">
        <v>29599.2</v>
      </c>
      <c r="F30" s="5" t="n"/>
    </row>
    <row r="31">
      <c r="A31" s="5" t="inlineStr">
        <is>
          <t>Total Liabilities and Equity</t>
        </is>
      </c>
      <c r="B31" s="5" t="n">
        <v>333423.7</v>
      </c>
      <c r="C31" s="5" t="n">
        <v>217856</v>
      </c>
      <c r="D31" s="5" t="n">
        <v>149298.4</v>
      </c>
      <c r="E31" s="5" t="n">
        <v>80527.5</v>
      </c>
      <c r="F31" s="5" t="n"/>
    </row>
    <row r="33" ht="380" customHeight="1">
      <c r="A3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FidBank UK Limited — Statement of Comprehensive Income</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Income</t>
        </is>
      </c>
      <c r="B4" s="6" t="n"/>
      <c r="C4" s="6" t="n"/>
      <c r="D4" s="6" t="n"/>
      <c r="E4" s="6" t="n"/>
      <c r="F4" s="6" t="n"/>
    </row>
    <row r="5">
      <c r="A5" s="6" t="inlineStr">
        <is>
          <t>Interest income</t>
        </is>
      </c>
      <c r="B5" s="6" t="n">
        <v>15034.8</v>
      </c>
      <c r="C5" s="6" t="n">
        <v>11468</v>
      </c>
      <c r="D5" s="6" t="n">
        <v>6909.6</v>
      </c>
      <c r="E5" s="6" t="n">
        <v>2662.6</v>
      </c>
      <c r="F5" s="6" t="n"/>
    </row>
    <row r="6">
      <c r="A6" s="6" t="inlineStr">
        <is>
          <t>Interest expense</t>
        </is>
      </c>
      <c r="B6" s="6" t="n">
        <v>-6161.4</v>
      </c>
      <c r="C6" s="6" t="n">
        <v>-3786.7</v>
      </c>
      <c r="D6" s="6" t="n">
        <v>-1130.4</v>
      </c>
      <c r="E6" s="6" t="n">
        <v>-351.2</v>
      </c>
      <c r="F6" s="6" t="n"/>
    </row>
    <row r="7">
      <c r="A7" s="5" t="inlineStr">
        <is>
          <t>Net interest income</t>
        </is>
      </c>
      <c r="B7" s="5" t="n">
        <v>8873.5</v>
      </c>
      <c r="C7" s="5" t="n">
        <v>7681.2</v>
      </c>
      <c r="D7" s="5" t="n">
        <v>5779.2</v>
      </c>
      <c r="E7" s="5" t="n">
        <v>2311.4</v>
      </c>
      <c r="F7" s="5" t="n"/>
    </row>
    <row r="8">
      <c r="A8" s="6" t="inlineStr">
        <is>
          <t>Fees and commission income</t>
        </is>
      </c>
      <c r="B8" s="6" t="n">
        <v>1875</v>
      </c>
      <c r="C8" s="6" t="n">
        <v>1584.4</v>
      </c>
      <c r="D8" s="6" t="n">
        <v>1052</v>
      </c>
      <c r="E8" s="6" t="n">
        <v>815.4</v>
      </c>
      <c r="F8" s="6" t="n"/>
    </row>
    <row r="9">
      <c r="A9" s="6" t="inlineStr">
        <is>
          <t>Dealing and exchange gains</t>
        </is>
      </c>
      <c r="B9" s="6" t="n">
        <v>1707.6</v>
      </c>
      <c r="C9" s="6" t="n">
        <v>214.8</v>
      </c>
      <c r="D9" s="6" t="n">
        <v>208.8</v>
      </c>
      <c r="E9" s="6" t="n">
        <v>101.6</v>
      </c>
      <c r="F9" s="6" t="n"/>
    </row>
    <row r="10">
      <c r="A10" s="5" t="inlineStr">
        <is>
          <t>Total income</t>
        </is>
      </c>
      <c r="B10" s="5" t="n">
        <v>12456.1</v>
      </c>
      <c r="C10" s="5" t="n">
        <v>9480.5</v>
      </c>
      <c r="D10" s="5" t="n">
        <v>7040</v>
      </c>
      <c r="E10" s="5" t="n">
        <v>3228.5</v>
      </c>
      <c r="F10" s="5" t="n"/>
    </row>
    <row r="11">
      <c r="A11" s="6" t="inlineStr">
        <is>
          <t>Administrative expenses</t>
        </is>
      </c>
      <c r="B11" s="6" t="n">
        <v>-11127.3</v>
      </c>
      <c r="C11" s="6" t="n">
        <v>-9960.9</v>
      </c>
      <c r="D11" s="6" t="n">
        <v>-8932</v>
      </c>
      <c r="E11" s="6" t="n">
        <v>-6906.5</v>
      </c>
      <c r="F11" s="6" t="n"/>
    </row>
    <row r="12">
      <c r="A12" s="6" t="inlineStr">
        <is>
          <t>Depreciation and amortisation</t>
        </is>
      </c>
      <c r="B12" s="6" t="n">
        <v>-412.1</v>
      </c>
      <c r="C12" s="6" t="n">
        <v>-419.5</v>
      </c>
      <c r="D12" s="6" t="n">
        <v>-457.6</v>
      </c>
      <c r="E12" s="6" t="n">
        <v>-457.7</v>
      </c>
      <c r="F12" s="6" t="n"/>
    </row>
    <row r="13">
      <c r="A13" s="6" t="inlineStr">
        <is>
          <t>Impairment reversal/(charge) on loans and advances</t>
        </is>
      </c>
      <c r="B13" s="6" t="n">
        <v>153.8</v>
      </c>
      <c r="C13" s="6" t="n">
        <v>-500</v>
      </c>
      <c r="D13" s="6" t="n">
        <v>106.4</v>
      </c>
      <c r="E13" s="6" t="n">
        <v>-117.1</v>
      </c>
      <c r="F13" s="6" t="n"/>
    </row>
    <row r="14">
      <c r="A14" s="6" t="inlineStr">
        <is>
          <t>Other operating expense</t>
        </is>
      </c>
      <c r="B14" s="6" t="n">
        <v>-373.5</v>
      </c>
      <c r="C14" s="6" t="n">
        <v>-280.5</v>
      </c>
      <c r="D14" s="6" t="n">
        <v>-175.2</v>
      </c>
      <c r="E14" s="6" t="n">
        <v>-122.8</v>
      </c>
      <c r="F14" s="6" t="n"/>
    </row>
    <row r="15">
      <c r="A15" s="5" t="inlineStr">
        <is>
          <t>Profit/(Loss) before tax</t>
        </is>
      </c>
      <c r="B15" s="5" t="n">
        <v>697</v>
      </c>
      <c r="C15" s="5" t="n">
        <v>-1680.5</v>
      </c>
      <c r="D15" s="5" t="n">
        <v>-2418.4</v>
      </c>
      <c r="E15" s="5" t="n">
        <v>-4375.6</v>
      </c>
      <c r="F15" s="5" t="n"/>
    </row>
    <row r="16">
      <c r="A16" s="6" t="inlineStr">
        <is>
          <t>Tax charge</t>
        </is>
      </c>
      <c r="B16" s="6" t="n">
        <v>0</v>
      </c>
      <c r="C16" s="6" t="n">
        <v>0</v>
      </c>
      <c r="D16" s="6" t="n">
        <v>0</v>
      </c>
      <c r="E16" s="6" t="n">
        <v>0</v>
      </c>
      <c r="F16" s="6" t="n"/>
    </row>
    <row r="17">
      <c r="A17" s="5" t="inlineStr">
        <is>
          <t>Profit/(Loss) for the year after tax</t>
        </is>
      </c>
      <c r="B17" s="5" t="n">
        <v>697</v>
      </c>
      <c r="C17" s="5" t="n">
        <v>-1680.5</v>
      </c>
      <c r="D17" s="5" t="n">
        <v>-2418.4</v>
      </c>
      <c r="E17" s="5" t="n">
        <v>-4375.6</v>
      </c>
      <c r="F17" s="5" t="n"/>
    </row>
    <row r="18">
      <c r="A18" s="5" t="inlineStr">
        <is>
          <t>Other comprehensive income</t>
        </is>
      </c>
      <c r="B18" s="6" t="n"/>
      <c r="C18" s="6" t="n"/>
      <c r="D18" s="6" t="n"/>
      <c r="E18" s="6" t="n"/>
      <c r="F18" s="6" t="n"/>
    </row>
    <row r="19">
      <c r="A19" s="6" t="inlineStr">
        <is>
          <t>Unrealised, net change in fair value of financial assets measured at FVOCI</t>
        </is>
      </c>
      <c r="B19" s="6" t="n">
        <v>-7.6</v>
      </c>
      <c r="C19" s="6" t="n">
        <v>19.5</v>
      </c>
      <c r="D19" s="6" t="n">
        <v>0.8</v>
      </c>
      <c r="E19" s="6" t="n">
        <v>2.4</v>
      </c>
      <c r="F19" s="6" t="n"/>
    </row>
    <row r="20">
      <c r="A20" s="5" t="inlineStr">
        <is>
          <t>Total comprehensive income/(loss) for the year</t>
        </is>
      </c>
      <c r="B20" s="5" t="n">
        <v>689.4</v>
      </c>
      <c r="C20" s="5" t="n">
        <v>-1660.9</v>
      </c>
      <c r="D20" s="5" t="n">
        <v>-2417.6</v>
      </c>
      <c r="E20" s="5" t="n">
        <v>-4373.2</v>
      </c>
      <c r="F20" s="5" t="n"/>
    </row>
    <row r="22" ht="380" customHeight="1">
      <c r="A22"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FidBank UK Limited — Statement of Changes in Equity</t>
        </is>
      </c>
    </row>
    <row r="2">
      <c r="A2" s="2" t="inlineStr">
        <is>
          <t>Bank-only basis, £'000 (conv. from USD), chronological. Each year's FX translation effect row absorbs the pure FX-conversion gap from converting opening/movements/closing at three different correct rates (prior-year spot / this year's average / this year's spot) - see Cash Flow Statement sheet's FX methodology note.</t>
        </is>
      </c>
    </row>
    <row r="3">
      <c r="A3" s="4" t="inlineStr">
        <is>
          <t>Movement</t>
        </is>
      </c>
      <c r="B3" s="4" t="inlineStr">
        <is>
          <t>Share capital</t>
        </is>
      </c>
      <c r="C3" s="4" t="inlineStr">
        <is>
          <t>FVOCI reserve</t>
        </is>
      </c>
      <c r="D3" s="4" t="inlineStr">
        <is>
          <t>Retained losses</t>
        </is>
      </c>
      <c r="E3" s="4" t="inlineStr">
        <is>
          <t>Total equity</t>
        </is>
      </c>
    </row>
    <row r="4">
      <c r="A4" s="6" t="inlineStr">
        <is>
          <t>Balance as at 1 January 2022 (= FY2021 closing)</t>
        </is>
      </c>
      <c r="B4" s="6" t="n">
        <v>44511.1</v>
      </c>
      <c r="C4" s="6" t="n">
        <v>-5.2</v>
      </c>
      <c r="D4" s="6" t="n">
        <v>-14211.1</v>
      </c>
      <c r="E4" s="6" t="n">
        <v>30294.8</v>
      </c>
    </row>
    <row r="5">
      <c r="A5" s="6" t="inlineStr">
        <is>
          <t>Change in fair value of assets measured at FVOCI</t>
        </is>
      </c>
      <c r="B5" s="6" t="n"/>
      <c r="C5" s="6" t="n">
        <v>2.4</v>
      </c>
      <c r="D5" s="6" t="n"/>
      <c r="E5" s="6" t="n">
        <v>2.4</v>
      </c>
    </row>
    <row r="6">
      <c r="A6" s="5" t="inlineStr">
        <is>
          <t>Loss for the year</t>
        </is>
      </c>
      <c r="B6" s="5" t="n"/>
      <c r="C6" s="5" t="n"/>
      <c r="D6" s="5" t="n">
        <v>-4375.6</v>
      </c>
      <c r="E6" s="5" t="n">
        <v>-4375.6</v>
      </c>
    </row>
    <row r="7">
      <c r="A7" s="6" t="inlineStr">
        <is>
          <t>FX translation effect on equity, net</t>
        </is>
      </c>
      <c r="B7" s="6" t="n">
        <v>5563.9</v>
      </c>
      <c r="C7" s="6" t="n">
        <v>-0.5</v>
      </c>
      <c r="D7" s="6" t="n">
        <v>-1885.8</v>
      </c>
      <c r="E7" s="6" t="n">
        <v>3677.6</v>
      </c>
    </row>
    <row r="8">
      <c r="A8" s="5" t="inlineStr">
        <is>
          <t>Balance as at 31 December 2022</t>
        </is>
      </c>
      <c r="B8" s="5" t="n">
        <v>50075</v>
      </c>
      <c r="C8" s="5" t="n">
        <v>-3.3</v>
      </c>
      <c r="D8" s="5" t="n">
        <v>-20472.5</v>
      </c>
      <c r="E8" s="5" t="n">
        <v>29599.2</v>
      </c>
    </row>
    <row r="9">
      <c r="A9" s="6" t="inlineStr">
        <is>
          <t>Share capital issued</t>
        </is>
      </c>
      <c r="B9" s="6" t="n">
        <v>20000</v>
      </c>
      <c r="C9" s="6" t="n"/>
      <c r="D9" s="6" t="n"/>
      <c r="E9" s="6" t="n">
        <v>20000</v>
      </c>
    </row>
    <row r="10">
      <c r="A10" s="6" t="inlineStr">
        <is>
          <t>Change in fair value of assets measured at FVOCI</t>
        </is>
      </c>
      <c r="B10" s="6" t="n"/>
      <c r="C10" s="6" t="n">
        <v>0.8</v>
      </c>
      <c r="D10" s="6" t="n"/>
      <c r="E10" s="6" t="n">
        <v>0.8</v>
      </c>
    </row>
    <row r="11">
      <c r="A11" s="5" t="inlineStr">
        <is>
          <t>Loss for the year</t>
        </is>
      </c>
      <c r="B11" s="5" t="n"/>
      <c r="C11" s="5" t="n"/>
      <c r="D11" s="5" t="n">
        <v>-2418.4</v>
      </c>
      <c r="E11" s="5" t="n">
        <v>-2418.4</v>
      </c>
    </row>
    <row r="12">
      <c r="A12" s="6" t="inlineStr">
        <is>
          <t>FX translation effect on equity, net</t>
        </is>
      </c>
      <c r="B12" s="6" t="n">
        <v>-3075</v>
      </c>
      <c r="C12" s="6" t="n">
        <v>0.1</v>
      </c>
      <c r="D12" s="6" t="n">
        <v>1166.5</v>
      </c>
      <c r="E12" s="6" t="n">
        <v>-1908.4</v>
      </c>
    </row>
    <row r="13">
      <c r="A13" s="5" t="inlineStr">
        <is>
          <t>Balance as at 31 December 2023</t>
        </is>
      </c>
      <c r="B13" s="5" t="n">
        <v>67000</v>
      </c>
      <c r="C13" s="5" t="n">
        <v>-2.4</v>
      </c>
      <c r="D13" s="5" t="n">
        <v>-21724.4</v>
      </c>
      <c r="E13" s="5" t="n">
        <v>45273.2</v>
      </c>
    </row>
    <row r="14">
      <c r="A14" s="6" t="inlineStr">
        <is>
          <t>Change in fair value of assets measured at FVOCI</t>
        </is>
      </c>
      <c r="B14" s="6" t="n"/>
      <c r="C14" s="6" t="n">
        <v>19.5</v>
      </c>
      <c r="D14" s="6" t="n"/>
      <c r="E14" s="6" t="n">
        <v>19.5</v>
      </c>
    </row>
    <row r="15">
      <c r="A15" s="5" t="inlineStr">
        <is>
          <t>Loss for the year</t>
        </is>
      </c>
      <c r="B15" s="5" t="n"/>
      <c r="C15" s="5" t="n"/>
      <c r="D15" s="5" t="n">
        <v>-1680.5</v>
      </c>
      <c r="E15" s="5" t="n">
        <v>-1680.5</v>
      </c>
    </row>
    <row r="16">
      <c r="A16" s="6" t="inlineStr">
        <is>
          <t>FX translation effect on equity, net</t>
        </is>
      </c>
      <c r="B16" s="6" t="n">
        <v>1072</v>
      </c>
      <c r="C16" s="6" t="n">
        <v>0.5</v>
      </c>
      <c r="D16" s="6" t="n">
        <v>-387.9</v>
      </c>
      <c r="E16" s="6" t="n">
        <v>684.6</v>
      </c>
    </row>
    <row r="17">
      <c r="A17" s="5" t="inlineStr">
        <is>
          <t>Balance as at 31 December 2024</t>
        </is>
      </c>
      <c r="B17" s="5" t="n">
        <v>68072</v>
      </c>
      <c r="C17" s="5" t="n">
        <v>17.6</v>
      </c>
      <c r="D17" s="5" t="n">
        <v>-23792.8</v>
      </c>
      <c r="E17" s="5" t="n">
        <v>44296.8</v>
      </c>
    </row>
    <row r="18">
      <c r="A18" s="6" t="inlineStr">
        <is>
          <t>Change in fair value of assets measured at FVOCI</t>
        </is>
      </c>
      <c r="B18" s="6" t="n"/>
      <c r="C18" s="6" t="n">
        <v>-7.6</v>
      </c>
      <c r="D18" s="6" t="n"/>
      <c r="E18" s="6" t="n">
        <v>-7.6</v>
      </c>
    </row>
    <row r="19">
      <c r="A19" s="5" t="inlineStr">
        <is>
          <t>Profit for the year</t>
        </is>
      </c>
      <c r="B19" s="5" t="n"/>
      <c r="C19" s="5" t="n"/>
      <c r="D19" s="5" t="n">
        <v>697</v>
      </c>
      <c r="E19" s="5" t="n">
        <v>697</v>
      </c>
    </row>
    <row r="20">
      <c r="A20" s="6" t="inlineStr">
        <is>
          <t>FX translation effect on equity, net</t>
        </is>
      </c>
      <c r="B20" s="6" t="n">
        <v>-5042.4</v>
      </c>
      <c r="C20" s="6" t="n">
        <v>-1.9</v>
      </c>
      <c r="D20" s="6" t="n">
        <v>1747.7</v>
      </c>
      <c r="E20" s="6" t="n">
        <v>-3296.6</v>
      </c>
    </row>
    <row r="21">
      <c r="A21" s="5" t="inlineStr">
        <is>
          <t>Balance as at 31 December 2025</t>
        </is>
      </c>
      <c r="B21" s="5" t="n">
        <v>63029.6</v>
      </c>
      <c r="C21" s="5" t="n">
        <v>8.1</v>
      </c>
      <c r="D21" s="5" t="n">
        <v>-21348.1</v>
      </c>
      <c r="E21" s="5" t="n">
        <v>41689.6</v>
      </c>
    </row>
    <row r="23" ht="380" customHeight="1">
      <c r="A2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23:E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FidBank UK Limited — Statement of Cash Flows</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Operating activities</t>
        </is>
      </c>
      <c r="B4" s="6" t="n"/>
      <c r="C4" s="6" t="n"/>
      <c r="D4" s="6" t="n"/>
      <c r="E4" s="6" t="n"/>
      <c r="F4" s="6" t="n"/>
    </row>
    <row r="5">
      <c r="A5" s="6" t="inlineStr">
        <is>
          <t>Profit/(loss) before tax</t>
        </is>
      </c>
      <c r="B5" s="6" t="n">
        <v>697</v>
      </c>
      <c r="C5" s="6" t="n">
        <v>-1680.5</v>
      </c>
      <c r="D5" s="6" t="n">
        <v>-2418.4</v>
      </c>
      <c r="E5" s="6" t="n">
        <v>-4375.6</v>
      </c>
      <c r="F5" s="6" t="n"/>
    </row>
    <row r="6">
      <c r="A6" s="6" t="inlineStr">
        <is>
          <t>Depreciation and amortisation</t>
        </is>
      </c>
      <c r="B6" s="6" t="n">
        <v>124.2</v>
      </c>
      <c r="C6" s="6" t="n">
        <v>121.9</v>
      </c>
      <c r="D6" s="6" t="n">
        <v>154.4</v>
      </c>
      <c r="E6" s="6" t="n">
        <v>150.4</v>
      </c>
      <c r="F6" s="6" t="n"/>
    </row>
    <row r="7">
      <c r="A7" s="6" t="inlineStr">
        <is>
          <t>Amortisation of rights of use assets</t>
        </is>
      </c>
      <c r="B7" s="6" t="n">
        <v>287.9</v>
      </c>
      <c r="C7" s="6" t="n">
        <v>297.7</v>
      </c>
      <c r="D7" s="6" t="n">
        <v>303.2</v>
      </c>
      <c r="E7" s="6" t="n">
        <v>307.3</v>
      </c>
      <c r="F7" s="6" t="n"/>
    </row>
    <row r="8">
      <c r="A8" s="6" t="inlineStr">
        <is>
          <t>Adjustment to right of use asset - rent increase</t>
        </is>
      </c>
      <c r="B8" s="6" t="n">
        <v>0</v>
      </c>
      <c r="C8" s="6" t="n">
        <v>-6.2</v>
      </c>
      <c r="D8" s="6" t="n"/>
      <c r="E8" s="6" t="n"/>
      <c r="F8" s="6" t="n"/>
    </row>
    <row r="9">
      <c r="A9" s="6" t="inlineStr">
        <is>
          <t>Amortisation of discounts received/premiums paid</t>
        </is>
      </c>
      <c r="B9" s="6" t="n">
        <v>-1700.8</v>
      </c>
      <c r="C9" s="6" t="n">
        <v>-1625</v>
      </c>
      <c r="D9" s="6" t="n">
        <v>-1318.4</v>
      </c>
      <c r="E9" s="6" t="n">
        <v>-199.2</v>
      </c>
      <c r="F9" s="6" t="n"/>
    </row>
    <row r="10">
      <c r="A10" s="6" t="inlineStr">
        <is>
          <t>Net exchange differences</t>
        </is>
      </c>
      <c r="B10" s="6" t="n">
        <v>-253.8</v>
      </c>
      <c r="C10" s="6" t="n">
        <v>117.2</v>
      </c>
      <c r="D10" s="6" t="n"/>
      <c r="E10" s="6" t="n"/>
      <c r="F10" s="6" t="n"/>
    </row>
    <row r="11">
      <c r="A11" s="6" t="inlineStr">
        <is>
          <t>Profit on sale of amortised cost bonds</t>
        </is>
      </c>
      <c r="B11" s="6" t="n">
        <v>-1137.9</v>
      </c>
      <c r="C11" s="6" t="n">
        <v>0</v>
      </c>
      <c r="D11" s="6" t="n"/>
      <c r="E11" s="6" t="n"/>
      <c r="F11" s="6" t="n"/>
    </row>
    <row r="12">
      <c r="A12" s="6" t="inlineStr">
        <is>
          <t>Loss on disposal of tangible/intangible assets</t>
        </is>
      </c>
      <c r="B12" s="6" t="n">
        <v>0</v>
      </c>
      <c r="C12" s="6" t="n">
        <v>0</v>
      </c>
      <c r="D12" s="6" t="n">
        <v>0.8</v>
      </c>
      <c r="E12" s="6" t="n">
        <v>0.8</v>
      </c>
      <c r="F12" s="6" t="n"/>
    </row>
    <row r="13">
      <c r="A13" s="6" t="inlineStr">
        <is>
          <t>Bad debt recovered</t>
        </is>
      </c>
      <c r="B13" s="6" t="n"/>
      <c r="C13" s="6" t="n"/>
      <c r="D13" s="6" t="n">
        <v>0</v>
      </c>
      <c r="E13" s="6" t="n">
        <v>18.7</v>
      </c>
      <c r="F13" s="6" t="n"/>
    </row>
    <row r="14">
      <c r="A14" s="6" t="inlineStr">
        <is>
          <t>Exchange differences - finance lease liability</t>
        </is>
      </c>
      <c r="B14" s="6" t="n"/>
      <c r="C14" s="6" t="n"/>
      <c r="D14" s="6" t="n">
        <v>96</v>
      </c>
      <c r="E14" s="6" t="n">
        <v>-237.4</v>
      </c>
      <c r="F14" s="6" t="n"/>
    </row>
    <row r="15">
      <c r="A15" s="6" t="inlineStr">
        <is>
          <t>Interest on finance lease liability</t>
        </is>
      </c>
      <c r="B15" s="6" t="n">
        <v>91.7</v>
      </c>
      <c r="C15" s="6" t="n">
        <v>150</v>
      </c>
      <c r="D15" s="6" t="n">
        <v>72</v>
      </c>
      <c r="E15" s="6" t="n">
        <v>82.90000000000001</v>
      </c>
      <c r="F15" s="6" t="n"/>
    </row>
    <row r="16">
      <c r="A16" s="6" t="inlineStr">
        <is>
          <t>Impairment of loans and advances</t>
        </is>
      </c>
      <c r="B16" s="6" t="n">
        <v>53.8</v>
      </c>
      <c r="C16" s="6" t="n">
        <v>347.7</v>
      </c>
      <c r="D16" s="6" t="n">
        <v>-106.4</v>
      </c>
      <c r="E16" s="6" t="n">
        <v>117.1</v>
      </c>
      <c r="F16" s="6" t="n"/>
    </row>
    <row r="17">
      <c r="A17" s="5" t="inlineStr">
        <is>
          <t>Non-cash and other adjustments (subtotal; unlabeled in source)</t>
        </is>
      </c>
      <c r="B17" s="5" t="n">
        <v>-1837.9</v>
      </c>
      <c r="C17" s="5" t="n">
        <v>-2277.3</v>
      </c>
      <c r="D17" s="5" t="n">
        <v>-3216.8</v>
      </c>
      <c r="E17" s="5" t="n">
        <v>-4135</v>
      </c>
      <c r="F17" s="5" t="n"/>
    </row>
    <row r="18">
      <c r="A18" s="6" t="inlineStr">
        <is>
          <t>Change in loans and advances to banks</t>
        </is>
      </c>
      <c r="B18" s="6" t="n">
        <v>-43911.4</v>
      </c>
      <c r="C18" s="6" t="n">
        <v>-36557.8</v>
      </c>
      <c r="D18" s="6" t="n">
        <v>-49937.6</v>
      </c>
      <c r="E18" s="6" t="n">
        <v>36614.6</v>
      </c>
      <c r="F18" s="6" t="n"/>
    </row>
    <row r="19">
      <c r="A19" s="6" t="inlineStr">
        <is>
          <t>Change in loans and advances to customers</t>
        </is>
      </c>
      <c r="B19" s="6" t="n">
        <v>-69443.2</v>
      </c>
      <c r="C19" s="6" t="n">
        <v>-36546.1</v>
      </c>
      <c r="D19" s="6" t="n">
        <v>-4041.6</v>
      </c>
      <c r="E19" s="6" t="n">
        <v>10236.6</v>
      </c>
      <c r="F19" s="6" t="n"/>
    </row>
    <row r="20">
      <c r="A20" s="6" t="inlineStr">
        <is>
          <t>Change in short-term investments</t>
        </is>
      </c>
      <c r="B20" s="6" t="n">
        <v>-8389.4</v>
      </c>
      <c r="C20" s="6" t="n">
        <v>0</v>
      </c>
      <c r="D20" s="6" t="n"/>
      <c r="E20" s="6" t="n"/>
      <c r="F20" s="6" t="n"/>
    </row>
    <row r="21">
      <c r="A21" s="6" t="inlineStr">
        <is>
          <t>Change in other assets</t>
        </is>
      </c>
      <c r="B21" s="6" t="n">
        <v>-364.4</v>
      </c>
      <c r="C21" s="6" t="n">
        <v>-224.2</v>
      </c>
      <c r="D21" s="6" t="n">
        <v>-71.2</v>
      </c>
      <c r="E21" s="6" t="n">
        <v>-9.800000000000001</v>
      </c>
      <c r="F21" s="6" t="n"/>
    </row>
    <row r="22">
      <c r="A22" s="6" t="inlineStr">
        <is>
          <t>Change in prepayments</t>
        </is>
      </c>
      <c r="B22" s="6" t="n">
        <v>-91.7</v>
      </c>
      <c r="C22" s="6" t="n">
        <v>-177.3</v>
      </c>
      <c r="D22" s="6" t="n">
        <v>-73.59999999999999</v>
      </c>
      <c r="E22" s="6" t="n">
        <v>-22</v>
      </c>
      <c r="F22" s="6" t="n"/>
    </row>
    <row r="23">
      <c r="A23" s="6" t="inlineStr">
        <is>
          <t>Change in deposits by banks</t>
        </is>
      </c>
      <c r="B23" s="6" t="n">
        <v>66611.39999999999</v>
      </c>
      <c r="C23" s="6" t="n">
        <v>21528.9</v>
      </c>
      <c r="D23" s="6" t="n">
        <v>46956</v>
      </c>
      <c r="E23" s="6" t="n">
        <v>-39966.7</v>
      </c>
      <c r="F23" s="6" t="n"/>
    </row>
    <row r="24">
      <c r="A24" s="6" t="inlineStr">
        <is>
          <t>Change in customer accounts</t>
        </is>
      </c>
      <c r="B24" s="6" t="n">
        <v>67791.7</v>
      </c>
      <c r="C24" s="6" t="n">
        <v>44598.4</v>
      </c>
      <c r="D24" s="6" t="n">
        <v>9868</v>
      </c>
      <c r="E24" s="6" t="n">
        <v>-15468.3</v>
      </c>
      <c r="F24" s="6" t="n"/>
    </row>
    <row r="25">
      <c r="A25" s="6" t="inlineStr">
        <is>
          <t>Change in derivatives</t>
        </is>
      </c>
      <c r="B25" s="6" t="n">
        <v>-215.9</v>
      </c>
      <c r="C25" s="6" t="n">
        <v>0</v>
      </c>
      <c r="D25" s="6" t="n"/>
      <c r="E25" s="6" t="n"/>
      <c r="F25" s="6" t="n"/>
    </row>
    <row r="26">
      <c r="A26" s="6" t="inlineStr">
        <is>
          <t>Change in other liabilities</t>
        </is>
      </c>
      <c r="B26" s="6" t="n">
        <v>15.2</v>
      </c>
      <c r="C26" s="6" t="n">
        <v>211.7</v>
      </c>
      <c r="D26" s="6" t="n">
        <v>51.2</v>
      </c>
      <c r="E26" s="6" t="n">
        <v>9.800000000000001</v>
      </c>
      <c r="F26" s="6" t="n"/>
    </row>
    <row r="27">
      <c r="A27" s="6" t="inlineStr">
        <is>
          <t>Change in accruals and deferred income</t>
        </is>
      </c>
      <c r="B27" s="6" t="n">
        <v>-236.4</v>
      </c>
      <c r="C27" s="6" t="n">
        <v>248.4</v>
      </c>
      <c r="D27" s="6" t="n">
        <v>-25.6</v>
      </c>
      <c r="E27" s="6" t="n">
        <v>-38.2</v>
      </c>
      <c r="F27" s="6" t="n"/>
    </row>
    <row r="28">
      <c r="A28" s="5" t="inlineStr">
        <is>
          <t>Cash (used in)/from operations</t>
        </is>
      </c>
      <c r="B28" s="5" t="n">
        <v>9928</v>
      </c>
      <c r="C28" s="5" t="n">
        <v>-9195.299999999999</v>
      </c>
      <c r="D28" s="5" t="n">
        <v>-491.2</v>
      </c>
      <c r="E28" s="5" t="n">
        <v>-12778.9</v>
      </c>
      <c r="F28" s="5" t="n"/>
    </row>
    <row r="29">
      <c r="A29" s="6" t="inlineStr">
        <is>
          <t>Acquisition of financial assets</t>
        </is>
      </c>
      <c r="B29" s="6" t="n">
        <v>-88887.10000000001</v>
      </c>
      <c r="C29" s="6" t="n">
        <v>-56551.6</v>
      </c>
      <c r="D29" s="6" t="n">
        <v>-62505.6</v>
      </c>
      <c r="E29" s="6" t="n">
        <v>-32901.6</v>
      </c>
      <c r="F29" s="6" t="n"/>
    </row>
    <row r="30">
      <c r="A30" s="6" t="inlineStr">
        <is>
          <t>Disposal of financial assets</t>
        </is>
      </c>
      <c r="B30" s="6" t="n">
        <v>95919.7</v>
      </c>
      <c r="C30" s="6" t="n">
        <v>53860.2</v>
      </c>
      <c r="D30" s="6" t="n">
        <v>44703.2</v>
      </c>
      <c r="E30" s="6" t="n">
        <v>42989.4</v>
      </c>
      <c r="F30" s="6" t="n"/>
    </row>
    <row r="31">
      <c r="A31" s="6" t="inlineStr">
        <is>
          <t>Income tax received</t>
        </is>
      </c>
      <c r="B31" s="6" t="n"/>
      <c r="C31" s="6" t="n"/>
      <c r="D31" s="6" t="n">
        <v>0</v>
      </c>
      <c r="E31" s="6" t="n">
        <v>205.7</v>
      </c>
      <c r="F31" s="6" t="n"/>
    </row>
    <row r="32">
      <c r="A32" s="5" t="inlineStr">
        <is>
          <t>Net cash (used in)/from operating activities</t>
        </is>
      </c>
      <c r="B32" s="5" t="n">
        <v>16960.6</v>
      </c>
      <c r="C32" s="5" t="n">
        <v>-11886.7</v>
      </c>
      <c r="D32" s="5" t="n">
        <v>-18293.6</v>
      </c>
      <c r="E32" s="5" t="n">
        <v>-2485.4</v>
      </c>
      <c r="F32" s="5" t="n"/>
    </row>
    <row r="33">
      <c r="A33" s="5" t="inlineStr">
        <is>
          <t>Investing activities</t>
        </is>
      </c>
      <c r="B33" s="6" t="n"/>
      <c r="C33" s="6" t="n"/>
      <c r="D33" s="6" t="n"/>
      <c r="E33" s="6" t="n"/>
      <c r="F33" s="6" t="n"/>
    </row>
    <row r="34">
      <c r="A34" s="6" t="inlineStr">
        <is>
          <t>Acquisition of tangible and intangible assets</t>
        </is>
      </c>
      <c r="B34" s="6" t="n">
        <v>-298.5</v>
      </c>
      <c r="C34" s="6" t="n">
        <v>-47.7</v>
      </c>
      <c r="D34" s="6" t="n">
        <v>-130.4</v>
      </c>
      <c r="E34" s="6" t="n">
        <v>-30.9</v>
      </c>
      <c r="F34" s="6" t="n"/>
    </row>
    <row r="35">
      <c r="A35" s="5" t="inlineStr">
        <is>
          <t>Net cash flow used in investing activities</t>
        </is>
      </c>
      <c r="B35" s="5" t="n">
        <v>-298.5</v>
      </c>
      <c r="C35" s="5" t="n">
        <v>-47.7</v>
      </c>
      <c r="D35" s="5" t="n">
        <v>-130.4</v>
      </c>
      <c r="E35" s="5" t="n">
        <v>-30.9</v>
      </c>
      <c r="F35" s="5" t="n"/>
    </row>
    <row r="36">
      <c r="A36" s="5" t="inlineStr">
        <is>
          <t>Financing activities</t>
        </is>
      </c>
      <c r="B36" s="6" t="n"/>
      <c r="C36" s="6" t="n"/>
      <c r="D36" s="6" t="n"/>
      <c r="E36" s="6" t="n"/>
      <c r="F36" s="6" t="n"/>
    </row>
    <row r="37">
      <c r="A37" s="6" t="inlineStr">
        <is>
          <t>Increase in share capital</t>
        </is>
      </c>
      <c r="B37" s="6" t="n">
        <v>0</v>
      </c>
      <c r="C37" s="6" t="n">
        <v>0</v>
      </c>
      <c r="D37" s="6" t="n">
        <v>20000</v>
      </c>
      <c r="E37" s="6" t="n">
        <v>0</v>
      </c>
      <c r="F37" s="6" t="n"/>
    </row>
    <row r="38">
      <c r="A38" s="6" t="inlineStr">
        <is>
          <t>Leasehold property repayments</t>
        </is>
      </c>
      <c r="B38" s="6" t="n">
        <v>-459.1</v>
      </c>
      <c r="C38" s="6" t="n">
        <v>-440.6</v>
      </c>
      <c r="D38" s="6" t="n">
        <v>-219.2</v>
      </c>
      <c r="E38" s="6" t="n">
        <v>-384.6</v>
      </c>
      <c r="F38" s="6" t="n"/>
    </row>
    <row r="39">
      <c r="A39" s="5" t="inlineStr">
        <is>
          <t>Net cash generated from/(used in) financing activities</t>
        </is>
      </c>
      <c r="B39" s="5" t="n">
        <v>-459.1</v>
      </c>
      <c r="C39" s="5" t="n">
        <v>-440.6</v>
      </c>
      <c r="D39" s="5" t="n">
        <v>19780.8</v>
      </c>
      <c r="E39" s="5" t="n">
        <v>-384.6</v>
      </c>
      <c r="F39" s="5" t="n"/>
    </row>
    <row r="40">
      <c r="A40" s="5" t="inlineStr">
        <is>
          <t>Net (decrease)/increase in cash and cash equivalents</t>
        </is>
      </c>
      <c r="B40" s="5" t="n">
        <v>16203</v>
      </c>
      <c r="C40" s="5" t="n">
        <v>-12375</v>
      </c>
      <c r="D40" s="5" t="n">
        <v>1356.8</v>
      </c>
      <c r="E40" s="5" t="n">
        <v>-2900.8</v>
      </c>
      <c r="F40" s="5" t="n"/>
    </row>
    <row r="41">
      <c r="A41" s="6" t="inlineStr">
        <is>
          <t>Cash and cash equivalents at the beginning of the year</t>
        </is>
      </c>
      <c r="B41" s="6" t="n">
        <v>79931.2</v>
      </c>
      <c r="C41" s="6" t="n">
        <v>91260.60000000001</v>
      </c>
      <c r="D41" s="6" t="n">
        <v>4525.8</v>
      </c>
      <c r="E41" s="6" t="n">
        <v>6665.9</v>
      </c>
      <c r="F41" s="6" t="n"/>
    </row>
    <row r="42">
      <c r="A42" s="6" t="inlineStr">
        <is>
          <t>Exchange difference in respect of cash and cash equivalents / effect of GBP-USD translation</t>
        </is>
      </c>
      <c r="B42" s="6" t="n">
        <v>343.9</v>
      </c>
      <c r="C42" s="6" t="n">
        <v>-114.8</v>
      </c>
      <c r="D42" s="6" t="n">
        <v>-270.8</v>
      </c>
      <c r="E42" s="6" t="n">
        <v>760.7</v>
      </c>
      <c r="F42" s="6" t="n"/>
    </row>
    <row r="43">
      <c r="A43" s="5" t="inlineStr">
        <is>
          <t>Cash and cash equivalents at the end of the year</t>
        </is>
      </c>
      <c r="B43" s="5" t="n">
        <v>90189.60000000001</v>
      </c>
      <c r="C43" s="5" t="n">
        <v>79931.2</v>
      </c>
      <c r="D43" s="5" t="n">
        <v>5611.8</v>
      </c>
      <c r="E43" s="5" t="n">
        <v>4525.8</v>
      </c>
      <c r="F43" s="5" t="n"/>
    </row>
    <row r="45" ht="340" customHeight="1">
      <c r="A45" s="8" t="inlineStr">
        <is>
          <t>Sources - all figures are FidBank UK Limited's own Statement of Cash Flows (Bank-only, GBP figures converted from the source's own USD figures at FidBank UK's own disclosed Dollar/Sterling exchange rates - see FX methodology note below):
FY2025, FY2024: Annual Report and Financial Statements for the year ended 31 December 2025, p.37 (Statement of Cash Flows) - https://find-and-update.company-information.service.gov.uk/company/04661188/filing-history/MzUzMzg1ODU2NWFkaXF6a2N4/document?format=pdf&amp;download=0
FY2023, FY2022: Annual Report &amp; Financial Statements for the year ended 31 December 2023, p.26 (Statement of Cash Flows) - https://find-and-update.company-information.service.gov.uk/company/04661188/filing-history/MzQxOTU1NjA5M2FkaXF6a2N4/document?format=pdf&amp;download=0
FY2021: not available - no source document with line-item cash flow detail was found (see entity note).
FX conversion methodology: this project converts flow (cash flow statement) figures at each year's average GBP/USD rate and point-in-time (balance) figures at that year's period-end spot rate. FidBank UK's own Annual Report discloses its own Dollar/Sterling exchange rates (year-end and average) directly in its 5-year Financial Highlights table each year - those entity-disclosed rates are used here rather than an independently-sourced Bank of England rate, since they are explicitly stated as the rates the entity itself used to prepare its accounts. Ratios are never converted (dimensionless, currency-invariant).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45:F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FidBank UK Limited — Asset Quality (Loans and advances to customers)</t>
        </is>
      </c>
    </row>
    <row r="2">
      <c r="A2" s="2" t="inlineStr">
        <is>
          <t>Bank-only basis, £'000 (conv. from USD). By product, per Note 19. FY2021 not available.</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Gross amount by product</t>
        </is>
      </c>
      <c r="B4" s="6" t="n"/>
      <c r="C4" s="6" t="n"/>
      <c r="D4" s="6" t="n"/>
      <c r="E4" s="6" t="n"/>
      <c r="F4" s="6" t="n"/>
    </row>
    <row r="5">
      <c r="A5" s="6" t="inlineStr">
        <is>
          <t>Commercial loans &amp; advances</t>
        </is>
      </c>
      <c r="B5" s="6" t="n">
        <v>72004.39999999999</v>
      </c>
      <c r="C5" s="6" t="n">
        <v>28792.8</v>
      </c>
      <c r="D5" s="6" t="n">
        <v>6683.5</v>
      </c>
      <c r="E5" s="6" t="n">
        <v>2445</v>
      </c>
      <c r="F5" s="6" t="n"/>
    </row>
    <row r="6">
      <c r="A6" s="6" t="inlineStr">
        <is>
          <t>Personal loans &amp; advances</t>
        </is>
      </c>
      <c r="B6" s="6" t="n">
        <v>218.5</v>
      </c>
      <c r="C6" s="6" t="n">
        <v>210.4</v>
      </c>
      <c r="D6" s="6" t="n">
        <v>103.9</v>
      </c>
      <c r="E6" s="6" t="n">
        <v>43.3</v>
      </c>
      <c r="F6" s="6" t="n"/>
    </row>
    <row r="7">
      <c r="A7" s="6" t="inlineStr">
        <is>
          <t>Syndicated loans</t>
        </is>
      </c>
      <c r="B7" s="6" t="n">
        <v>17969.6</v>
      </c>
      <c r="C7" s="6" t="n">
        <v>15316</v>
      </c>
      <c r="D7" s="6" t="n">
        <v>0</v>
      </c>
      <c r="E7" s="6" t="n">
        <v>485</v>
      </c>
      <c r="F7" s="6" t="n"/>
    </row>
    <row r="8">
      <c r="A8" s="6" t="inlineStr">
        <is>
          <t>Sovereign loans</t>
        </is>
      </c>
      <c r="B8" s="6" t="n">
        <v>18812.6</v>
      </c>
      <c r="C8" s="6" t="n">
        <v>0</v>
      </c>
      <c r="D8" s="6" t="n"/>
      <c r="E8" s="6" t="n"/>
      <c r="F8" s="6" t="n"/>
    </row>
    <row r="9">
      <c r="A9" s="5" t="inlineStr">
        <is>
          <t>Gross amount, total</t>
        </is>
      </c>
      <c r="B9" s="5" t="n">
        <v>109005.2</v>
      </c>
      <c r="C9" s="5" t="n">
        <v>44319.2</v>
      </c>
      <c r="D9" s="5" t="n">
        <v>6787.4</v>
      </c>
      <c r="E9" s="5" t="n">
        <v>2973.3</v>
      </c>
      <c r="F9" s="5" t="n"/>
    </row>
    <row r="10">
      <c r="A10" s="5" t="inlineStr">
        <is>
          <t>Impairment and net amount</t>
        </is>
      </c>
      <c r="B10" s="6" t="n"/>
      <c r="C10" s="6" t="n"/>
      <c r="D10" s="6" t="n"/>
      <c r="E10" s="6" t="n"/>
      <c r="F10" s="6" t="n"/>
    </row>
    <row r="11">
      <c r="A11" s="6" t="inlineStr">
        <is>
          <t>Impairment allowance, total</t>
        </is>
      </c>
      <c r="B11" s="6" t="n">
        <v>-242.2</v>
      </c>
      <c r="C11" s="6" t="n">
        <v>-187.2</v>
      </c>
      <c r="D11" s="6" t="n">
        <v>-23.6</v>
      </c>
      <c r="E11" s="6" t="n">
        <v>-3.3</v>
      </c>
      <c r="F11" s="6" t="n"/>
    </row>
    <row r="12">
      <c r="A12" s="5" t="inlineStr">
        <is>
          <t>Net amount, total</t>
        </is>
      </c>
      <c r="B12" s="5" t="n">
        <v>108763</v>
      </c>
      <c r="C12" s="5" t="n">
        <v>44132</v>
      </c>
      <c r="D12" s="5" t="n">
        <v>6763.8</v>
      </c>
      <c r="E12" s="5" t="n">
        <v>2970</v>
      </c>
      <c r="F12" s="5" t="n"/>
    </row>
    <row r="13">
      <c r="A13" s="6" t="inlineStr">
        <is>
          <t xml:space="preserve">  of which: Stage 1 and Stage 2 impairment allowance</t>
        </is>
      </c>
      <c r="B13" s="6" t="n">
        <v>-237</v>
      </c>
      <c r="C13" s="6" t="n">
        <v>-144</v>
      </c>
      <c r="D13" s="6" t="n">
        <v>-23.1</v>
      </c>
      <c r="E13" s="6" t="n">
        <v>-3.4</v>
      </c>
      <c r="F13" s="6" t="n"/>
    </row>
    <row r="14">
      <c r="A14" s="6" t="inlineStr">
        <is>
          <t xml:space="preserve">  of which: Stage 3 impairment allowance</t>
        </is>
      </c>
      <c r="B14" s="6" t="n">
        <v>-7.4</v>
      </c>
      <c r="C14" s="6" t="n">
        <v>-40</v>
      </c>
      <c r="D14" s="6" t="n">
        <v>0</v>
      </c>
      <c r="E14" s="6" t="n">
        <v>0</v>
      </c>
      <c r="F14" s="6" t="n"/>
    </row>
    <row r="15">
      <c r="A15" s="5" t="inlineStr">
        <is>
          <t>Derived ratio</t>
        </is>
      </c>
      <c r="B15" s="6" t="n"/>
      <c r="C15" s="6" t="n"/>
      <c r="D15" s="6" t="n"/>
      <c r="E15" s="6" t="n"/>
      <c r="F15" s="6" t="n"/>
    </row>
    <row r="16">
      <c r="A16" s="6" t="inlineStr">
        <is>
          <t>Impairment coverage ratio (allowance ÷ gross amount)</t>
        </is>
      </c>
      <c r="B16" s="6" t="inlineStr">
        <is>
          <t>0.22%</t>
        </is>
      </c>
      <c r="C16" s="6" t="inlineStr">
        <is>
          <t>0.42%</t>
        </is>
      </c>
      <c r="D16" s="6" t="inlineStr">
        <is>
          <t>0.35%</t>
        </is>
      </c>
      <c r="E16" s="6" t="inlineStr">
        <is>
          <t>0.11%</t>
        </is>
      </c>
      <c r="F16" s="6" t="n"/>
    </row>
    <row r="18" ht="340" customHeight="1">
      <c r="A18" s="8" t="inlineStr">
        <is>
          <t>Sources - FidBank UK Limited's own Note 19 'Loans and advances to customers' (gross amount / impairment allowance / net amount, by product), each Annual Report's own basis:
FY2025, FY2024: Annual Report and Financial Statements for the year ended 31 December 2025, p.53 - https://find-and-update.company-information.service.gov.uk/company/04661188/filing-history/MzUzMzg1ODU2NWFkaXF6a2N4/document?format=pdf&amp;download=0
FY2023, FY2022: Annual Report &amp; Financial Statements for the year ended 31 December 2023, p.44 - https://find-and-update.company-information.service.gov.uk/company/04661188/filing-history/MzQxOTU1NjA5M2FkaXF6a2N4/document?format=pdf&amp;download=0
FY2021: not available - Note 19 gives no FY2021 comparative in either filing reviewed.
The Stage 1&amp;2 vs Stage 3 impairment split is disclosed only as narrative text below each year's Note 19 table (not a further breakdown table), e.g. FY2025: 'Of the $0.33m impairment provision, $0.32m represents the Stage 1 and stage 2 provisions under IFRS 9, while Stage 3 provisions amounted to $0.01m' - reproduced here as disclosed. 'Sovereign Loans' only appears as its own product line from FY2024 onward (shown as '-' for FY2024, absent as a line entirely for FY2023/FY2022 - left blank, not assumed nil, per project convention). Coverage ratio = impairment allowance / gross amount, computed from the disclosed £'000 figures (converted from USD at each year's period-end spot rate - see Cash Flow Statement sheet's FX methodology note).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 Total Regulatory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n"/>
      <c r="C4" s="6" t="inlineStr">
        <is>
          <t>41.28%</t>
        </is>
      </c>
      <c r="D4" s="6" t="inlineStr">
        <is>
          <t>94.29%</t>
        </is>
      </c>
      <c r="E4" s="6" t="inlineStr">
        <is>
          <t>53.45%</t>
        </is>
      </c>
      <c r="F4" s="6" t="inlineStr">
        <is>
          <t>39.60%</t>
        </is>
      </c>
    </row>
    <row r="5" ht="60" customHeight="1">
      <c r="A5" s="7" t="inlineStr">
        <is>
          <t>Note: FY2024-FY2022 are FidBank UK's own UK KM1 disclosures. FY2021 is calculated from its own disclosed CET1 capital and Pillar 1 RWA components; the Annual Report's 40% headline is rounded.</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41.28%</t>
        </is>
      </c>
      <c r="D4" s="6" t="inlineStr">
        <is>
          <t>94.29%</t>
        </is>
      </c>
      <c r="E4" s="6" t="inlineStr">
        <is>
          <t>53.45%</t>
        </is>
      </c>
      <c r="F4" s="6" t="inlineStr">
        <is>
          <t>39.60%</t>
        </is>
      </c>
    </row>
    <row r="5" ht="60" customHeight="1">
      <c r="A5" s="7" t="inlineStr">
        <is>
          <t>Note: FidBank has no AT1 or Tier 2 in the disclosed periods, so Tier 1 equals CET1.</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41.28%</t>
        </is>
      </c>
      <c r="D4" s="6" t="inlineStr">
        <is>
          <t>94.29%</t>
        </is>
      </c>
      <c r="E4" s="6" t="inlineStr">
        <is>
          <t>53.45%</t>
        </is>
      </c>
      <c r="F4" s="6" t="inlineStr">
        <is>
          <t>39.60%</t>
        </is>
      </c>
    </row>
    <row r="5">
      <c r="A5" s="6" t="inlineStr">
        <is>
          <t>Annual Report capital-ratio proxy (Shareholders' Funds ÷ RWA)</t>
        </is>
      </c>
      <c r="B5" s="6" t="inlineStr">
        <is>
          <t>21.46%</t>
        </is>
      </c>
      <c r="C5" s="6" t="inlineStr">
        <is>
          <t>43%</t>
        </is>
      </c>
      <c r="D5" s="6" t="inlineStr">
        <is>
          <t>98%</t>
        </is>
      </c>
      <c r="E5" s="6" t="inlineStr">
        <is>
          <t>54%</t>
        </is>
      </c>
      <c r="F5" s="6" t="inlineStr">
        <is>
          <t>40%</t>
        </is>
      </c>
    </row>
    <row r="6" ht="60" customHeight="1">
      <c r="A6" s="7" t="inlineStr">
        <is>
          <t>Note: The first row is the standard regulatory ratio from FidBank UK's own Pillar 3 disclosures. The Annual Report's different accounting-equity proxy is retained separately for comparability.</t>
        </is>
      </c>
    </row>
    <row r="8" ht="220" customHeight="1">
      <c r="A8"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c r="C4" s="6" t="n">
        <v>106648</v>
      </c>
      <c r="D4" s="6" t="n">
        <v>47626</v>
      </c>
      <c r="E4" s="6" t="n">
        <v>54642.5</v>
      </c>
      <c r="F4" s="6" t="n">
        <v>76166.7</v>
      </c>
    </row>
    <row r="5" ht="60" customHeight="1">
      <c r="A5" s="7" t="inlineStr">
        <is>
          <t>Note: FY2024-FY2022 are directly disclosed in UK KM1. FY2021 is the sum of the source's own Pillar 1 capital requirements divided by 8%; it reconciles to the Annual Report's rounded 40% capital proxy.</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FidBank UK Limited — RWA Breakdown</t>
        </is>
      </c>
    </row>
    <row r="2">
      <c r="A2" s="2" t="inlineStr">
        <is>
          <t>FidBank UK's own Pillar 3 disclosures; £'000 converted from USD.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6" t="inlineStr">
        <is>
          <t>Credit risk</t>
        </is>
      </c>
      <c r="B4" s="6" t="n"/>
      <c r="C4" s="6" t="n"/>
      <c r="D4" s="6" t="n">
        <v>36805.5</v>
      </c>
      <c r="E4" s="6" t="n">
        <v>39969.2</v>
      </c>
      <c r="F4" s="6" t="n">
        <v>59055.6</v>
      </c>
    </row>
    <row r="5">
      <c r="A5" s="6" t="inlineStr">
        <is>
          <t>Operational risk</t>
        </is>
      </c>
      <c r="B5" s="6" t="n"/>
      <c r="C5" s="6" t="n"/>
      <c r="D5" s="6" t="n">
        <v>8228.299999999999</v>
      </c>
      <c r="E5" s="6" t="n">
        <v>12937.5</v>
      </c>
      <c r="F5" s="6" t="n">
        <v>15777.8</v>
      </c>
    </row>
    <row r="6">
      <c r="A6" s="6" t="inlineStr">
        <is>
          <t>Market risk</t>
        </is>
      </c>
      <c r="B6" s="6" t="n"/>
      <c r="C6" s="6" t="n"/>
      <c r="D6" s="6" t="n">
        <v>2592.1</v>
      </c>
      <c r="E6" s="6" t="n">
        <v>1729.2</v>
      </c>
      <c r="F6" s="6" t="n">
        <v>1333.3</v>
      </c>
    </row>
    <row r="7">
      <c r="A7" s="5" t="inlineStr">
        <is>
          <t>Total</t>
        </is>
      </c>
      <c r="B7" s="5" t="n"/>
      <c r="C7" s="5" t="n">
        <v>106648</v>
      </c>
      <c r="D7" s="5" t="n">
        <v>47626</v>
      </c>
      <c r="E7" s="5" t="n">
        <v>54642.5</v>
      </c>
      <c r="F7" s="5" t="n">
        <v>76166.7</v>
      </c>
    </row>
    <row r="9" ht="150" customHeight="1">
      <c r="A9"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FY2023 components are direct from its own Pillar 3 Table 2. FY2022/FY2021 components are each disclosed Pillar 1 capital requirement ÷ 8%; immaterial rounding differences versus the separately disclosed aggregate are retained in the Total row.</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inlineStr">
        <is>
          <t>19.45%</t>
        </is>
      </c>
      <c r="D4" s="6" t="inlineStr">
        <is>
          <t>29.83%</t>
        </is>
      </c>
      <c r="E4" s="6" t="inlineStr">
        <is>
          <t>35.78%</t>
        </is>
      </c>
      <c r="F4" s="6" t="n"/>
    </row>
    <row r="5" ht="60" customHeight="1">
      <c r="A5" s="7" t="inlineStr">
        <is>
          <t>Note: Directly disclosed in FidBank UK's FY2024, FY2023 and FY2022 UK KM1 tables. FY2021 remains blank: its older Pillar 3 disclosure does not provide a leverage ratio.</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178%</t>
        </is>
      </c>
      <c r="C4" s="6" t="inlineStr">
        <is>
          <t>243.39%</t>
        </is>
      </c>
      <c r="D4" s="6" t="inlineStr">
        <is>
          <t>233.04%</t>
        </is>
      </c>
      <c r="E4" s="6" t="inlineStr">
        <is>
          <t>379.92%</t>
        </is>
      </c>
      <c r="F4" s="6" t="n"/>
    </row>
    <row r="5" ht="60" customHeight="1">
      <c r="A5" s="7" t="inlineStr">
        <is>
          <t>Note: FY2024-FY2022 values are directly disclosed in FidBank UK's UK KM1 tables; FY2025 remains sourced from its Annual Report. FY2021's older disclosure has no LCR value.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n"/>
      <c r="C4" s="6" t="inlineStr">
        <is>
          <t>211.78%</t>
        </is>
      </c>
      <c r="D4" s="6" t="inlineStr">
        <is>
          <t>335.67%</t>
        </is>
      </c>
      <c r="E4" s="6" t="inlineStr">
        <is>
          <t>363.79%</t>
        </is>
      </c>
      <c r="F4" s="6" t="n"/>
    </row>
    <row r="5" ht="60" customHeight="1">
      <c r="A5" s="7" t="inlineStr">
        <is>
          <t>Note: Directly disclosed in FidBank UK's FY2024, FY2023 and FY2022 UK KM1 tables. FY2021 and FY2025 remain blank because no entity-level value was located in their respective disclosures.</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2026-09-05T21:31:11Z</dcterms:created>
  <dcterms:modified xsi:type="dcterms:W3CDTF">2026-09-05T21:31:11Z</dcterms:modified>
</cp:coreProperties>
</file>