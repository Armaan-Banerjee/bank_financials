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OneSavings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OneSavings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OneSavings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'Overview'!$AF$18:$AJ$18</f>
            </numRef>
          </cat>
          <val>
            <numRef>
              <f>'Overview'!$AF$19:$AJ$19</f>
            </numRef>
          </val>
        </ser>
        <ser>
          <idx val="1"/>
          <order val="1"/>
          <tx>
            <strRef>
              <f>'Overview'!AE20</f>
            </strRef>
          </tx>
          <spPr>
            <a:ln xmlns:a="http://schemas.openxmlformats.org/drawingml/2006/main">
              <a:prstDash val="solid"/>
            </a:ln>
          </spPr>
          <cat>
            <numRef>
              <f>'Overview'!$AF$18:$AJ$18</f>
            </numRef>
          </cat>
          <val>
            <numRef>
              <f>'Overview'!$AF$20:$AJ$20</f>
            </numRef>
          </val>
        </ser>
        <ser>
          <idx val="2"/>
          <order val="2"/>
          <tx>
            <strRef>
              <f>'Overview'!AE21</f>
            </strRef>
          </tx>
          <spPr>
            <a:ln xmlns:a="http://schemas.openxmlformats.org/drawingml/2006/main">
              <a:prstDash val="solid"/>
            </a:ln>
          </spPr>
          <cat>
            <numRef>
              <f>'Overview'!$AF$18:$AJ$18</f>
            </numRef>
          </cat>
          <val>
            <numRef>
              <f>'Overview'!$AF$21:$AJ$21</f>
            </numRef>
          </val>
        </ser>
        <ser>
          <idx val="3"/>
          <order val="3"/>
          <tx>
            <strRef>
              <f>'Overview'!AE22</f>
            </strRef>
          </tx>
          <spPr>
            <a:ln xmlns:a="http://schemas.openxmlformats.org/drawingml/2006/main">
              <a:prstDash val="solid"/>
            </a:ln>
          </spPr>
          <cat>
            <numRef>
              <f>'Overview'!$AF$18:$AJ$18</f>
            </numRef>
          </cat>
          <val>
            <numRef>
              <f>'Overview'!$AF$22:$AJ$22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OneSavings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'Overview'!AM26</f>
            </strRef>
          </tx>
          <spPr>
            <a:ln xmlns:a="http://schemas.openxmlformats.org/drawingml/2006/main">
              <a:prstDash val="solid"/>
            </a:ln>
          </spPr>
          <cat>
            <numRef>
              <f>'Overview'!$AN$25:$AT$25</f>
            </numRef>
          </cat>
          <val>
            <numRef>
              <f>'Overview'!$AN$26:$AT$26</f>
            </numRef>
          </val>
        </ser>
        <ser>
          <idx val="1"/>
          <order val="1"/>
          <tx>
            <strRef>
              <f>'Overview'!AM27</f>
            </strRef>
          </tx>
          <spPr>
            <a:ln xmlns:a="http://schemas.openxmlformats.org/drawingml/2006/main">
              <a:prstDash val="solid"/>
            </a:ln>
          </spPr>
          <cat>
            <numRef>
              <f>'Overview'!$AN$25:$AT$25</f>
            </numRef>
          </cat>
          <val>
            <numRef>
              <f>'Overview'!$AN$27:$AT$27</f>
            </numRef>
          </val>
        </ser>
        <ser>
          <idx val="2"/>
          <order val="2"/>
          <tx>
            <strRef>
              <f>'Overview'!AM28</f>
            </strRef>
          </tx>
          <spPr>
            <a:ln xmlns:a="http://schemas.openxmlformats.org/drawingml/2006/main">
              <a:prstDash val="solid"/>
            </a:ln>
          </spPr>
          <cat>
            <numRef>
              <f>'Overview'!$AN$25:$AT$25</f>
            </numRef>
          </cat>
          <val>
            <numRef>
              <f>'Overview'!$AN$28:$AT$28</f>
            </numRef>
          </val>
        </ser>
        <ser>
          <idx val="3"/>
          <order val="3"/>
          <tx>
            <strRef>
              <f>'Overview'!AM29</f>
            </strRef>
          </tx>
          <spPr>
            <a:ln xmlns:a="http://schemas.openxmlformats.org/drawingml/2006/main">
              <a:prstDash val="solid"/>
            </a:ln>
          </spPr>
          <cat>
            <numRef>
              <f>'Overview'!$AN$25:$AT$25</f>
            </numRef>
          </cat>
          <val>
            <numRef>
              <f>'Overview'!$AN$29:$AT$29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OneSavings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'Overview'!AW6</f>
            </strRef>
          </tx>
          <spPr>
            <a:ln xmlns:a="http://schemas.openxmlformats.org/drawingml/2006/main">
              <a:prstDash val="solid"/>
            </a:ln>
          </spPr>
          <marker>
            <symbol val="none"/>
            <spPr>
              <a:ln xmlns:a="http://schemas.openxmlformats.org/drawingml/2006/main">
                <a:prstDash val="solid"/>
              </a:ln>
            </spPr>
          </marker>
          <cat>
            <numRef>
              <f>'Overview'!$AX$5:$BD$5</f>
            </numRef>
          </cat>
          <val>
            <numRef>
              <f>'Overview'!$AX$6:$BD$6</f>
            </numRef>
          </val>
          <smooth val="0"/>
        </ser>
        <ser>
          <idx val="1"/>
          <order val="1"/>
          <tx>
            <strRef>
              <f>'Overview'!AW7</f>
            </strRef>
          </tx>
          <spPr>
            <a:ln xmlns:a="http://schemas.openxmlformats.org/drawingml/2006/main">
              <a:prstDash val="solid"/>
            </a:ln>
          </spPr>
          <marker>
            <symbol val="none"/>
            <spPr>
              <a:ln xmlns:a="http://schemas.openxmlformats.org/drawingml/2006/main">
                <a:prstDash val="solid"/>
              </a:ln>
            </spPr>
          </marker>
          <cat>
            <numRef>
              <f>'Overview'!$AX$5:$BD$5</f>
            </numRef>
          </cat>
          <val>
            <numRef>
              <f>'Overview'!$AX$7:$BD$7</f>
            </numRef>
          </val>
          <smooth val="0"/>
        </ser>
        <ser>
          <idx val="2"/>
          <order val="2"/>
          <tx>
            <strRef>
              <f>'Overview'!AW8</f>
            </strRef>
          </tx>
          <spPr>
            <a:ln xmlns:a="http://schemas.openxmlformats.org/drawingml/2006/main">
              <a:prstDash val="solid"/>
            </a:ln>
          </spPr>
          <marker>
            <symbol val="none"/>
            <spPr>
              <a:ln xmlns:a="http://schemas.openxmlformats.org/drawingml/2006/main">
                <a:prstDash val="solid"/>
              </a:ln>
            </spPr>
          </marker>
          <cat>
            <numRef>
              <f>'Overview'!$AX$5:$BD$5</f>
            </numRef>
          </cat>
          <val>
            <numRef>
              <f>'Overview'!$AX$8:$BD$8</f>
            </numRef>
          </val>
          <smooth val="0"/>
        </ser>
        <ser>
          <idx val="3"/>
          <order val="3"/>
          <tx>
            <strRef>
              <f>'Overview'!AW9</f>
            </strRef>
          </tx>
          <spPr>
            <a:ln xmlns:a="http://schemas.openxmlformats.org/drawingml/2006/main">
              <a:prstDash val="solid"/>
            </a:ln>
          </spPr>
          <marker>
            <symbol val="none"/>
            <spPr>
              <a:ln xmlns:a="http://schemas.openxmlformats.org/drawingml/2006/main">
                <a:prstDash val="solid"/>
              </a:ln>
            </spPr>
          </marker>
          <cat>
            <numRef>
              <f>'Overview'!$AX$5:$BD$5</f>
            </numRef>
          </cat>
          <val>
            <numRef>
              <f>'Overview'!$AX$9:$BD$9</f>
            </numRef>
          </val>
          <smooth val="0"/>
        </ser>
        <ser>
          <idx val="4"/>
          <order val="4"/>
          <tx>
            <strRef>
              <f>'Overview'!AW10</f>
            </strRef>
          </tx>
          <spPr>
            <a:ln xmlns:a="http://schemas.openxmlformats.org/drawingml/2006/main">
              <a:prstDash val="solid"/>
            </a:ln>
          </spPr>
          <marker>
            <symbol val="none"/>
            <spPr>
              <a:ln xmlns:a="http://schemas.openxmlformats.org/drawingml/2006/main">
                <a:prstDash val="solid"/>
              </a:ln>
            </spPr>
          </marker>
          <cat>
            <numRef>
              <f>'Overview'!$AX$5:$BD$5</f>
            </numRef>
          </cat>
          <val>
            <numRef>
              <f>'Overview'!$AX$10:$BD$10</f>
            </numRef>
          </val>
          <smooth val="0"/>
        </ser>
        <ser>
          <idx val="5"/>
          <order val="5"/>
          <tx>
            <strRef>
              <f>'Overview'!AW11</f>
            </strRef>
          </tx>
          <spPr>
            <a:ln xmlns:a="http://schemas.openxmlformats.org/drawingml/2006/main">
              <a:prstDash val="solid"/>
            </a:ln>
          </spPr>
          <marker>
            <symbol val="none"/>
            <spPr>
              <a:ln xmlns:a="http://schemas.openxmlformats.org/drawingml/2006/main">
                <a:prstDash val="solid"/>
              </a:ln>
            </spPr>
          </marker>
          <cat>
            <numRef>
              <f>'Overview'!$AX$5:$BD$5</f>
            </numRef>
          </cat>
          <val>
            <numRef>
              <f>'Overview'!$AX$11:$BD$11</f>
            </numRef>
          </val>
          <smooth val="0"/>
        </ser>
        <ser>
          <idx val="6"/>
          <order val="6"/>
          <tx>
            <strRef>
              <f>'Overview'!AW12</f>
            </strRef>
          </tx>
          <spPr>
            <a:ln xmlns:a="http://schemas.openxmlformats.org/drawingml/2006/main">
              <a:prstDash val="solid"/>
            </a:ln>
          </spPr>
          <marker>
            <symbol val="none"/>
            <spPr>
              <a:ln xmlns:a="http://schemas.openxmlformats.org/drawingml/2006/main">
                <a:prstDash val="solid"/>
              </a:ln>
            </spPr>
          </marker>
          <cat>
            <numRef>
              <f>'Overview'!$AX$5:$BD$5</f>
            </numRef>
          </cat>
          <val>
            <numRef>
              <f>'Overview'!$AX$12:$BD$12</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65</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87</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109</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131</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D4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s>
  <sheetData>
    <row r="1">
      <c r="A1" s="1" t="inlineStr">
        <is>
          <t>OneSavings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X5" t="inlineStr">
        <is>
          <t>FY2019</t>
        </is>
      </c>
      <c r="AY5" t="inlineStr">
        <is>
          <t>FY2020</t>
        </is>
      </c>
      <c r="AZ5" t="inlineStr">
        <is>
          <t>FY2021</t>
        </is>
      </c>
      <c r="BA5" t="inlineStr">
        <is>
          <t>FY2022</t>
        </is>
      </c>
      <c r="BB5" t="inlineStr">
        <is>
          <t>FY2023</t>
        </is>
      </c>
      <c r="BC5" t="inlineStr">
        <is>
          <t>FY2024</t>
        </is>
      </c>
      <c r="BD5" t="inlineStr">
        <is>
          <t>FY2025</t>
        </is>
      </c>
    </row>
    <row r="6">
      <c r="A6" s="5" t="inlineStr">
        <is>
          <t>Total assets</t>
        </is>
      </c>
      <c r="B6" s="5" t="n">
        <v>19561.7</v>
      </c>
      <c r="C6" s="5" t="n">
        <v>17829.5</v>
      </c>
      <c r="D6" s="5" t="n">
        <v>16738</v>
      </c>
      <c r="E6" s="5" t="n">
        <v>15603.9</v>
      </c>
      <c r="F6" s="5" t="n">
        <v>14084.5</v>
      </c>
      <c r="G6" s="5" t="n">
        <v>13374.8</v>
      </c>
      <c r="H6" s="5" t="n">
        <v>13469.9</v>
      </c>
      <c r="K6" t="inlineStr">
        <is>
          <t>Total assets</t>
        </is>
      </c>
      <c r="L6" t="n">
        <v>13469.9</v>
      </c>
      <c r="M6" t="n">
        <v>13374.8</v>
      </c>
      <c r="N6" t="n">
        <v>14084.5</v>
      </c>
      <c r="O6" t="n">
        <v>15603.9</v>
      </c>
      <c r="P6" t="n">
        <v>16738</v>
      </c>
      <c r="Q6" t="n">
        <v>17829.5</v>
      </c>
      <c r="R6" t="n">
        <v>19561.7</v>
      </c>
      <c r="AW6" t="inlineStr">
        <is>
          <t>CET1 Ratio</t>
        </is>
      </c>
      <c r="AZ6" t="n">
        <v>19.6</v>
      </c>
      <c r="BA6" t="n">
        <v>18.3</v>
      </c>
      <c r="BB6" t="n">
        <v>16.1</v>
      </c>
      <c r="BC6" t="n">
        <v>16.3</v>
      </c>
      <c r="BD6" t="n">
        <v>15.8</v>
      </c>
    </row>
    <row r="7">
      <c r="A7" s="5" t="inlineStr">
        <is>
          <t>Loans and advances to customers</t>
        </is>
      </c>
      <c r="B7" s="5" t="n">
        <v>12656.1</v>
      </c>
      <c r="C7" s="5" t="n">
        <v>11958.8</v>
      </c>
      <c r="D7" s="5" t="n">
        <v>11432.2</v>
      </c>
      <c r="E7" s="5" t="n">
        <v>10531.9</v>
      </c>
      <c r="F7" s="5" t="n">
        <v>9476.4</v>
      </c>
      <c r="G7" s="5" t="n">
        <v>8531.700000000001</v>
      </c>
      <c r="H7" s="5" t="n">
        <v>7208.2</v>
      </c>
      <c r="K7" t="inlineStr">
        <is>
          <t>Loans and advances to customers</t>
        </is>
      </c>
      <c r="L7" t="n">
        <v>7208.2</v>
      </c>
      <c r="M7" t="n">
        <v>8531.700000000001</v>
      </c>
      <c r="N7" t="n">
        <v>9476.4</v>
      </c>
      <c r="O7" t="n">
        <v>10531.9</v>
      </c>
      <c r="P7" t="n">
        <v>11432.2</v>
      </c>
      <c r="Q7" t="n">
        <v>11958.8</v>
      </c>
      <c r="R7" t="n">
        <v>12656.1</v>
      </c>
      <c r="AW7" t="inlineStr">
        <is>
          <t>Tier 1 Ratio</t>
        </is>
      </c>
      <c r="AZ7" t="n">
        <v>21.2</v>
      </c>
      <c r="BA7" t="n">
        <v>19.7</v>
      </c>
      <c r="BB7" t="n">
        <v>17.4</v>
      </c>
      <c r="BC7" t="n">
        <v>17.6</v>
      </c>
      <c r="BD7" t="n">
        <v>17.1</v>
      </c>
    </row>
    <row r="8">
      <c r="A8" s="5" t="inlineStr">
        <is>
          <t>Amounts owed to retail depositors</t>
        </is>
      </c>
      <c r="B8" s="5" t="n">
        <v>14088.3</v>
      </c>
      <c r="C8" s="5" t="n">
        <v>13525.4</v>
      </c>
      <c r="D8" s="5" t="n">
        <v>12246.5</v>
      </c>
      <c r="E8" s="5" t="n">
        <v>11132.2</v>
      </c>
      <c r="F8" s="5" t="n">
        <v>9739.4</v>
      </c>
      <c r="G8" s="5" t="n">
        <v>9705.299999999999</v>
      </c>
      <c r="H8" s="5" t="n">
        <v>9435.700000000001</v>
      </c>
      <c r="K8" t="inlineStr">
        <is>
          <t>Amounts owed to retail depositors</t>
        </is>
      </c>
      <c r="L8" t="n">
        <v>9435.700000000001</v>
      </c>
      <c r="M8" t="n">
        <v>9705.299999999999</v>
      </c>
      <c r="N8" t="n">
        <v>9739.4</v>
      </c>
      <c r="O8" t="n">
        <v>11132.2</v>
      </c>
      <c r="P8" t="n">
        <v>12246.5</v>
      </c>
      <c r="Q8" t="n">
        <v>13525.4</v>
      </c>
      <c r="R8" t="n">
        <v>14088.3</v>
      </c>
      <c r="AW8" t="inlineStr">
        <is>
          <t>Total Capital Ratio</t>
        </is>
      </c>
      <c r="AZ8" t="n">
        <v>21.2</v>
      </c>
      <c r="BA8" t="n">
        <v>19.7</v>
      </c>
      <c r="BB8" t="n">
        <v>19.5</v>
      </c>
      <c r="BC8" t="n">
        <v>19.7</v>
      </c>
      <c r="BD8" t="n">
        <v>19.1</v>
      </c>
    </row>
    <row r="9">
      <c r="A9" s="5" t="inlineStr">
        <is>
          <t>Total equity</t>
        </is>
      </c>
      <c r="B9" s="5" t="n">
        <v>2098.7</v>
      </c>
      <c r="C9" s="5" t="n">
        <v>1925.7</v>
      </c>
      <c r="D9" s="5" t="n">
        <v>1848.4</v>
      </c>
      <c r="E9" s="5" t="n">
        <v>1796.5</v>
      </c>
      <c r="F9" s="5" t="n">
        <v>1691.5</v>
      </c>
      <c r="G9" s="5" t="n">
        <v>1494.8</v>
      </c>
      <c r="H9" s="5" t="n">
        <v>1328.3</v>
      </c>
      <c r="K9" t="inlineStr">
        <is>
          <t>Total equity</t>
        </is>
      </c>
      <c r="L9" t="n">
        <v>1328.3</v>
      </c>
      <c r="M9" t="n">
        <v>1494.8</v>
      </c>
      <c r="N9" t="n">
        <v>1691.5</v>
      </c>
      <c r="O9" t="n">
        <v>1796.5</v>
      </c>
      <c r="P9" t="n">
        <v>1848.4</v>
      </c>
      <c r="Q9" t="n">
        <v>1925.7</v>
      </c>
      <c r="R9" t="n">
        <v>2098.7</v>
      </c>
      <c r="AW9" t="inlineStr">
        <is>
          <t>Leverage Ratio</t>
        </is>
      </c>
      <c r="AZ9" t="n">
        <v>7.9</v>
      </c>
      <c r="BA9" t="n">
        <v>8.4</v>
      </c>
      <c r="BB9" t="n">
        <v>7.5</v>
      </c>
      <c r="BC9" t="n">
        <v>7.7</v>
      </c>
      <c r="BD9" t="n">
        <v>7.4</v>
      </c>
    </row>
    <row r="10">
      <c r="AW10" t="inlineStr">
        <is>
          <t>LCR</t>
        </is>
      </c>
      <c r="AX10" t="n">
        <v>199.4</v>
      </c>
      <c r="AY10" t="n">
        <v>254.1</v>
      </c>
      <c r="AZ10" t="n">
        <v>195.5</v>
      </c>
      <c r="BA10" t="n">
        <v>197</v>
      </c>
      <c r="BB10" t="n">
        <v>197.1</v>
      </c>
      <c r="BC10" t="n">
        <v>188</v>
      </c>
      <c r="BD10" t="n">
        <v>169.5</v>
      </c>
    </row>
    <row r="11">
      <c r="A11" s="3" t="inlineStr">
        <is>
          <t>Profit &amp; Loss Summary (£m)</t>
        </is>
      </c>
      <c r="AW11" t="inlineStr">
        <is>
          <t>LCR — OSB SOLO (entity level), POINT-IN-TIME</t>
        </is>
      </c>
      <c r="AX11" t="n">
        <v>199.4</v>
      </c>
      <c r="AY11" t="n">
        <v>254.1</v>
      </c>
      <c r="AZ11" t="n">
        <v>240.1</v>
      </c>
      <c r="BA11" t="n">
        <v>229</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V12" t="inlineStr">
        <is>
          <t>FY2019</t>
        </is>
      </c>
      <c r="W12" t="inlineStr">
        <is>
          <t>FY2020</t>
        </is>
      </c>
      <c r="X12" t="inlineStr">
        <is>
          <t>FY2021</t>
        </is>
      </c>
      <c r="Y12" t="inlineStr">
        <is>
          <t>FY2022</t>
        </is>
      </c>
      <c r="Z12" t="inlineStr">
        <is>
          <t>FY2023</t>
        </is>
      </c>
      <c r="AA12" t="inlineStr">
        <is>
          <t>FY2024</t>
        </is>
      </c>
      <c r="AB12" t="inlineStr">
        <is>
          <t>FY2025</t>
        </is>
      </c>
      <c r="AW12" t="inlineStr">
        <is>
          <t>NSFR</t>
        </is>
      </c>
      <c r="BB12" t="n">
        <v>132.8</v>
      </c>
      <c r="BC12" t="n">
        <v>135.4</v>
      </c>
      <c r="BD12" t="n">
        <v>140.6</v>
      </c>
    </row>
    <row r="13">
      <c r="A13" s="5" t="inlineStr">
        <is>
          <t>Total income</t>
        </is>
      </c>
      <c r="B13" s="5" t="n">
        <v>670.1</v>
      </c>
      <c r="C13" s="5" t="n">
        <v>667.2</v>
      </c>
      <c r="D13" s="5" t="n">
        <v>658.4</v>
      </c>
      <c r="E13" s="5" t="n">
        <v>775.4</v>
      </c>
      <c r="F13" s="5" t="n">
        <v>629</v>
      </c>
      <c r="G13" s="5" t="n">
        <v>508.6</v>
      </c>
      <c r="H13" s="5" t="n">
        <v>343.4</v>
      </c>
      <c r="U13" t="inlineStr">
        <is>
          <t>Total income</t>
        </is>
      </c>
      <c r="V13" t="n">
        <v>343.4</v>
      </c>
      <c r="W13" t="n">
        <v>508.6</v>
      </c>
      <c r="X13" t="n">
        <v>629</v>
      </c>
      <c r="Y13" t="n">
        <v>775.4</v>
      </c>
      <c r="Z13" t="n">
        <v>658.4</v>
      </c>
      <c r="AA13" t="n">
        <v>667.2</v>
      </c>
      <c r="AB13" t="n">
        <v>670.1</v>
      </c>
    </row>
    <row r="14">
      <c r="A14" s="5" t="inlineStr">
        <is>
          <t>Administrative expenses</t>
        </is>
      </c>
      <c r="B14" s="5" t="n">
        <v>-270.3</v>
      </c>
      <c r="C14" s="5" t="n">
        <v>-258.1</v>
      </c>
      <c r="D14" s="5" t="n">
        <v>-233.8</v>
      </c>
      <c r="E14" s="5" t="n">
        <v>-206.5</v>
      </c>
      <c r="F14" s="5" t="n">
        <v>-166.5</v>
      </c>
      <c r="G14" s="5" t="n">
        <v>-157.1</v>
      </c>
      <c r="H14" s="5" t="n">
        <v>-108.7</v>
      </c>
      <c r="U14" t="inlineStr">
        <is>
          <t>Administrative expenses</t>
        </is>
      </c>
      <c r="V14" t="n">
        <v>-108.7</v>
      </c>
      <c r="W14" t="n">
        <v>-157.1</v>
      </c>
      <c r="X14" t="n">
        <v>-166.5</v>
      </c>
      <c r="Y14" t="n">
        <v>-206.5</v>
      </c>
      <c r="Z14" t="n">
        <v>-233.8</v>
      </c>
      <c r="AA14" t="n">
        <v>-258.1</v>
      </c>
      <c r="AB14" t="n">
        <v>-270.3</v>
      </c>
    </row>
    <row r="15">
      <c r="A15" s="5" t="inlineStr">
        <is>
          <t>Profit for the year</t>
        </is>
      </c>
      <c r="B15" s="5" t="n">
        <v>287.1</v>
      </c>
      <c r="C15" s="5" t="n">
        <v>308.1</v>
      </c>
      <c r="D15" s="5" t="n">
        <v>283.6</v>
      </c>
      <c r="E15" s="5" t="n">
        <v>411.3</v>
      </c>
      <c r="F15" s="5" t="n">
        <v>345</v>
      </c>
      <c r="G15" s="5" t="n">
        <v>196.2</v>
      </c>
      <c r="H15" s="5" t="n">
        <v>158.8</v>
      </c>
      <c r="U15" t="inlineStr">
        <is>
          <t>Profit for the year</t>
        </is>
      </c>
      <c r="V15" t="n">
        <v>158.8</v>
      </c>
      <c r="W15" t="n">
        <v>196.2</v>
      </c>
      <c r="X15" t="n">
        <v>345</v>
      </c>
      <c r="Y15" t="n">
        <v>411.3</v>
      </c>
      <c r="Z15" t="n">
        <v>283.6</v>
      </c>
      <c r="AA15" t="n">
        <v>308.1</v>
      </c>
      <c r="AB15" t="n">
        <v>287.1</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AF18" t="inlineStr">
        <is>
          <t>FY2021</t>
        </is>
      </c>
      <c r="AG18" t="inlineStr">
        <is>
          <t>FY2022</t>
        </is>
      </c>
      <c r="AH18" t="inlineStr">
        <is>
          <t>FY2023</t>
        </is>
      </c>
      <c r="AI18" t="inlineStr">
        <is>
          <t>FY2024</t>
        </is>
      </c>
      <c r="AJ18" t="inlineStr">
        <is>
          <t>FY2025</t>
        </is>
      </c>
    </row>
    <row r="19">
      <c r="A19" s="5" t="inlineStr">
        <is>
          <t>Opening equity</t>
        </is>
      </c>
      <c r="B19" s="5" t="n">
        <v>1925.7</v>
      </c>
      <c r="C19" s="5" t="n">
        <v>1848.4</v>
      </c>
      <c r="D19" s="5" t="n">
        <v>1796.5</v>
      </c>
      <c r="E19" s="5" t="n">
        <v>1691.5</v>
      </c>
      <c r="F19" s="5" t="n">
        <v>1494.8</v>
      </c>
      <c r="AE19" t="inlineStr">
        <is>
          <t>Opening equity</t>
        </is>
      </c>
      <c r="AF19" t="n">
        <v>1494.8</v>
      </c>
      <c r="AG19" t="n">
        <v>1691.5</v>
      </c>
      <c r="AH19" t="n">
        <v>1796.5</v>
      </c>
      <c r="AI19" t="n">
        <v>1848.4</v>
      </c>
      <c r="AJ19" t="n">
        <v>1925.7</v>
      </c>
    </row>
    <row r="20">
      <c r="A20" s="5" t="inlineStr">
        <is>
          <t>Total comprehensive income for the year</t>
        </is>
      </c>
      <c r="B20" s="5" t="n">
        <v>286.4</v>
      </c>
      <c r="C20" s="5" t="n">
        <v>308</v>
      </c>
      <c r="D20" s="5" t="n">
        <v>282.7</v>
      </c>
      <c r="E20" s="5" t="n">
        <v>410.8</v>
      </c>
      <c r="F20" s="5" t="n">
        <v>344.5</v>
      </c>
      <c r="AE20" t="inlineStr">
        <is>
          <t>Total comprehensive income for the year</t>
        </is>
      </c>
      <c r="AF20" t="n">
        <v>344.5</v>
      </c>
      <c r="AG20" t="n">
        <v>410.8</v>
      </c>
      <c r="AH20" t="n">
        <v>282.7</v>
      </c>
      <c r="AI20" t="n">
        <v>308</v>
      </c>
      <c r="AJ20" t="n">
        <v>286.4</v>
      </c>
    </row>
    <row r="21">
      <c r="A21" s="5" t="inlineStr">
        <is>
          <t>Other equity movements, net</t>
        </is>
      </c>
      <c r="B21" s="5" t="n">
        <v>-113.4</v>
      </c>
      <c r="C21" s="5" t="n">
        <v>-230.7</v>
      </c>
      <c r="D21" s="5" t="n">
        <v>-230.8</v>
      </c>
      <c r="E21" s="5" t="n">
        <v>-305.8</v>
      </c>
      <c r="F21" s="5" t="n">
        <v>-147.8</v>
      </c>
      <c r="AE21" t="inlineStr">
        <is>
          <t>Other equity movements, net</t>
        </is>
      </c>
      <c r="AF21" t="n">
        <v>-147.8</v>
      </c>
      <c r="AG21" t="n">
        <v>-305.8</v>
      </c>
      <c r="AH21" t="n">
        <v>-230.8</v>
      </c>
      <c r="AI21" t="n">
        <v>-230.7</v>
      </c>
      <c r="AJ21" t="n">
        <v>-113.4</v>
      </c>
    </row>
    <row r="22">
      <c r="A22" s="5" t="inlineStr">
        <is>
          <t>Closing equity</t>
        </is>
      </c>
      <c r="B22" s="5" t="n">
        <v>2098.7</v>
      </c>
      <c r="C22" s="5" t="n">
        <v>1925.7</v>
      </c>
      <c r="D22" s="5" t="n">
        <v>1848.4</v>
      </c>
      <c r="E22" s="5" t="n">
        <v>1796.5</v>
      </c>
      <c r="F22" s="5" t="n">
        <v>1691.5</v>
      </c>
      <c r="AE22" t="inlineStr">
        <is>
          <t>Closing equity</t>
        </is>
      </c>
      <c r="AF22" t="n">
        <v>1691.5</v>
      </c>
      <c r="AG22" t="n">
        <v>1796.5</v>
      </c>
      <c r="AH22" t="n">
        <v>1848.4</v>
      </c>
      <c r="AI22" t="n">
        <v>1925.7</v>
      </c>
      <c r="AJ22" t="n">
        <v>2098.7</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AN25" t="inlineStr">
        <is>
          <t>FY2019</t>
        </is>
      </c>
      <c r="AO25" t="inlineStr">
        <is>
          <t>FY2020</t>
        </is>
      </c>
      <c r="AP25" t="inlineStr">
        <is>
          <t>FY2021</t>
        </is>
      </c>
      <c r="AQ25" t="inlineStr">
        <is>
          <t>FY2022</t>
        </is>
      </c>
      <c r="AR25" t="inlineStr">
        <is>
          <t>FY2023</t>
        </is>
      </c>
      <c r="AS25" t="inlineStr">
        <is>
          <t>FY2024</t>
        </is>
      </c>
      <c r="AT25" t="inlineStr">
        <is>
          <t>FY2025</t>
        </is>
      </c>
    </row>
    <row r="26">
      <c r="A26" s="5" t="inlineStr">
        <is>
          <t>Net cash generated from operating activities</t>
        </is>
      </c>
      <c r="B26" s="5" t="n">
        <v>1096.4</v>
      </c>
      <c r="C26" s="5" t="n">
        <v>941.5</v>
      </c>
      <c r="D26" s="5" t="n">
        <v>151.3</v>
      </c>
      <c r="E26" s="5" t="n">
        <v>678.5</v>
      </c>
      <c r="F26" s="5" t="n">
        <v>-543.9</v>
      </c>
      <c r="G26" s="5" t="n">
        <v>-390.8</v>
      </c>
      <c r="H26" s="5" t="n">
        <v>-393.8</v>
      </c>
      <c r="AM26" t="inlineStr">
        <is>
          <t>Net cash generated from operating activities</t>
        </is>
      </c>
      <c r="AN26" t="n">
        <v>-393.8</v>
      </c>
      <c r="AO26" t="n">
        <v>-390.8</v>
      </c>
      <c r="AP26" t="n">
        <v>-543.9</v>
      </c>
      <c r="AQ26" t="n">
        <v>678.5</v>
      </c>
      <c r="AR26" t="n">
        <v>151.3</v>
      </c>
      <c r="AS26" t="n">
        <v>941.5</v>
      </c>
      <c r="AT26" t="n">
        <v>1096.4</v>
      </c>
    </row>
    <row r="27">
      <c r="A27" s="5" t="inlineStr">
        <is>
          <t>Net cash from investing activities</t>
        </is>
      </c>
      <c r="B27" s="5" t="n">
        <v>-107.8</v>
      </c>
      <c r="C27" s="5" t="n">
        <v>-141.4</v>
      </c>
      <c r="D27" s="5" t="n">
        <v>-282.6</v>
      </c>
      <c r="E27" s="5" t="n">
        <v>-112.8</v>
      </c>
      <c r="F27" s="5" t="n">
        <v>-3.7</v>
      </c>
      <c r="G27" s="5" t="n">
        <v>330.2</v>
      </c>
      <c r="H27" s="5" t="n">
        <v>-47.6</v>
      </c>
      <c r="AM27" t="inlineStr">
        <is>
          <t>Net cash from investing activities</t>
        </is>
      </c>
      <c r="AN27" t="n">
        <v>-47.6</v>
      </c>
      <c r="AO27" t="n">
        <v>330.2</v>
      </c>
      <c r="AP27" t="n">
        <v>-3.7</v>
      </c>
      <c r="AQ27" t="n">
        <v>-112.8</v>
      </c>
      <c r="AR27" t="n">
        <v>-282.6</v>
      </c>
      <c r="AS27" t="n">
        <v>-141.4</v>
      </c>
      <c r="AT27" t="n">
        <v>-107.8</v>
      </c>
    </row>
    <row r="28">
      <c r="A28" s="5" t="inlineStr">
        <is>
          <t>Net cash from financing activities</t>
        </is>
      </c>
      <c r="B28" s="5" t="n">
        <v>-759.2</v>
      </c>
      <c r="C28" s="5" t="n">
        <v>-612</v>
      </c>
      <c r="D28" s="5" t="n">
        <v>-467.3</v>
      </c>
      <c r="E28" s="5" t="n">
        <v>-448.9</v>
      </c>
      <c r="F28" s="5" t="n">
        <v>502.3</v>
      </c>
      <c r="G28" s="5" t="n">
        <v>281.6</v>
      </c>
      <c r="H28" s="5" t="n">
        <v>281.1</v>
      </c>
      <c r="AM28" t="inlineStr">
        <is>
          <t>Net cash from financing activities</t>
        </is>
      </c>
      <c r="AN28" t="n">
        <v>281.1</v>
      </c>
      <c r="AO28" t="n">
        <v>281.6</v>
      </c>
      <c r="AP28" t="n">
        <v>502.3</v>
      </c>
      <c r="AQ28" t="n">
        <v>-448.9</v>
      </c>
      <c r="AR28" t="n">
        <v>-467.3</v>
      </c>
      <c r="AS28" t="n">
        <v>-612</v>
      </c>
      <c r="AT28" t="n">
        <v>-759.2</v>
      </c>
    </row>
    <row r="29">
      <c r="A29" s="5" t="inlineStr">
        <is>
          <t>Cash and cash equivalents at end of year</t>
        </is>
      </c>
      <c r="B29" s="5" t="n">
        <v>1268</v>
      </c>
      <c r="C29" s="5" t="n">
        <v>1038.6</v>
      </c>
      <c r="D29" s="5" t="n">
        <v>850.5</v>
      </c>
      <c r="E29" s="5" t="n">
        <v>1449.1</v>
      </c>
      <c r="F29" s="5" t="n">
        <v>1332.3</v>
      </c>
      <c r="G29" s="5" t="n">
        <v>1377.6</v>
      </c>
      <c r="H29" s="5" t="n">
        <v>1156.6</v>
      </c>
      <c r="AM29" t="inlineStr">
        <is>
          <t>Cash and cash equivalents at end of year</t>
        </is>
      </c>
      <c r="AN29" t="n">
        <v>1156.6</v>
      </c>
      <c r="AO29" t="n">
        <v>1377.6</v>
      </c>
      <c r="AP29" t="n">
        <v>1332.3</v>
      </c>
      <c r="AQ29" t="n">
        <v>1449.1</v>
      </c>
      <c r="AR29" t="n">
        <v>850.5</v>
      </c>
      <c r="AS29" t="n">
        <v>1038.6</v>
      </c>
      <c r="AT29" t="n">
        <v>1268</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row>
    <row r="33">
      <c r="A33" s="6" t="inlineStr">
        <is>
          <t>CET1 Ratio</t>
        </is>
      </c>
      <c r="B33" s="6" t="inlineStr">
        <is>
          <t>15.8%</t>
        </is>
      </c>
      <c r="C33" s="6" t="inlineStr">
        <is>
          <t>16.3%</t>
        </is>
      </c>
      <c r="D33" s="6" t="inlineStr">
        <is>
          <t>16.1%</t>
        </is>
      </c>
      <c r="E33" s="6" t="inlineStr">
        <is>
          <t>18.3%</t>
        </is>
      </c>
      <c r="F33" s="6" t="inlineStr">
        <is>
          <t>19.6%</t>
        </is>
      </c>
      <c r="G33" s="6" t="n"/>
      <c r="H33" s="6" t="n"/>
    </row>
    <row r="34">
      <c r="A34" s="6" t="inlineStr">
        <is>
          <t>Tier 1 Ratio</t>
        </is>
      </c>
      <c r="B34" s="6" t="inlineStr">
        <is>
          <t>17.1%</t>
        </is>
      </c>
      <c r="C34" s="6" t="inlineStr">
        <is>
          <t>17.6%</t>
        </is>
      </c>
      <c r="D34" s="6" t="inlineStr">
        <is>
          <t>17.4%</t>
        </is>
      </c>
      <c r="E34" s="6" t="inlineStr">
        <is>
          <t>19.7%</t>
        </is>
      </c>
      <c r="F34" s="6" t="inlineStr">
        <is>
          <t>21.2%</t>
        </is>
      </c>
      <c r="G34" s="6" t="n"/>
      <c r="H34" s="6" t="n"/>
    </row>
    <row r="35">
      <c r="A35" s="6" t="inlineStr">
        <is>
          <t>Total Capital Ratio</t>
        </is>
      </c>
      <c r="B35" s="6" t="inlineStr">
        <is>
          <t>19.1%</t>
        </is>
      </c>
      <c r="C35" s="6" t="inlineStr">
        <is>
          <t>19.7%</t>
        </is>
      </c>
      <c r="D35" s="6" t="inlineStr">
        <is>
          <t>19.5%</t>
        </is>
      </c>
      <c r="E35" s="6" t="inlineStr">
        <is>
          <t>19.7%</t>
        </is>
      </c>
      <c r="F35" s="6" t="inlineStr">
        <is>
          <t>21.2%</t>
        </is>
      </c>
      <c r="G35" s="6" t="n"/>
      <c r="H35" s="6" t="n"/>
    </row>
    <row r="36">
      <c r="A36" s="6" t="inlineStr">
        <is>
          <t>Leverage Ratio</t>
        </is>
      </c>
      <c r="B36" s="6" t="inlineStr">
        <is>
          <t>7.4%</t>
        </is>
      </c>
      <c r="C36" s="6" t="inlineStr">
        <is>
          <t>7.7%</t>
        </is>
      </c>
      <c r="D36" s="6" t="inlineStr">
        <is>
          <t>7.5%</t>
        </is>
      </c>
      <c r="E36" s="6" t="inlineStr">
        <is>
          <t>8.4%</t>
        </is>
      </c>
      <c r="F36" s="6" t="inlineStr">
        <is>
          <t>7.9%</t>
        </is>
      </c>
      <c r="G36" s="6" t="n"/>
      <c r="H36" s="6" t="n"/>
    </row>
    <row r="37">
      <c r="A37" s="6" t="inlineStr">
        <is>
          <t>LCR</t>
        </is>
      </c>
      <c r="B37" s="6" t="inlineStr">
        <is>
          <t>169.5%</t>
        </is>
      </c>
      <c r="C37" s="6" t="inlineStr">
        <is>
          <t>188.0%</t>
        </is>
      </c>
      <c r="D37" s="6" t="inlineStr">
        <is>
          <t>197.1%</t>
        </is>
      </c>
      <c r="E37" s="6" t="inlineStr">
        <is>
          <t>197.0%</t>
        </is>
      </c>
      <c r="F37" s="6" t="inlineStr">
        <is>
          <t>195.5%</t>
        </is>
      </c>
      <c r="G37" s="6" t="inlineStr">
        <is>
          <t>254.1%</t>
        </is>
      </c>
      <c r="H37" s="6" t="inlineStr">
        <is>
          <t>199.4%</t>
        </is>
      </c>
    </row>
    <row r="38">
      <c r="A38" s="6" t="inlineStr">
        <is>
          <t>LCR — OSB SOLO (entity level), POINT-IN-TIME</t>
        </is>
      </c>
      <c r="B38" s="6" t="n"/>
      <c r="C38" s="6" t="n"/>
      <c r="D38" s="6" t="n"/>
      <c r="E38" s="6" t="inlineStr">
        <is>
          <t>229%</t>
        </is>
      </c>
      <c r="F38" s="6" t="inlineStr">
        <is>
          <t>240.1%</t>
        </is>
      </c>
      <c r="G38" s="6" t="inlineStr">
        <is>
          <t>254.1%</t>
        </is>
      </c>
      <c r="H38" s="6" t="inlineStr">
        <is>
          <t>199.4%</t>
        </is>
      </c>
    </row>
    <row r="39">
      <c r="A39" s="6" t="inlineStr">
        <is>
          <t>NSFR</t>
        </is>
      </c>
      <c r="B39" s="6" t="inlineStr">
        <is>
          <t>140.6%</t>
        </is>
      </c>
      <c r="C39" s="6" t="inlineStr">
        <is>
          <t>135.4%</t>
        </is>
      </c>
      <c r="D39" s="6" t="inlineStr">
        <is>
          <t>132.8%</t>
        </is>
      </c>
      <c r="E39" s="6" t="n"/>
      <c r="F39" s="6" t="n"/>
      <c r="G39" s="6" t="n"/>
      <c r="H39" s="6" t="n"/>
    </row>
    <row r="41" ht="39" customHeight="1">
      <c r="A41" s="7" t="inlineStr">
        <is>
          <t>Note: Cash flows are OneSavings Bank plc Company-only; Pillar 3 metrics are OSB Group consolidated. See the basis note on each sheet. The two LCR rows are DIFFERENT MEASURES and must never be merged or reconciled: 'LCR' is the OSB Group consolidated 12-month average from UK KM1; 'LCR — OSB SOLO' is OneSavings Bank plc's own point-in-time LCR at 31 December, stated in narrative text in the same Pillar 3 documents (FY2023-FY2025: no solo figure is disclosed, so those cells are blank).</t>
        </is>
      </c>
    </row>
  </sheetData>
  <mergeCells count="1">
    <mergeCell ref="A41:H4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OneSavings Bank plc — Balance Sheet</t>
        </is>
      </c>
    </row>
    <row r="2">
      <c r="A2" s="2" t="inlineStr">
        <is>
          <t>Company-only basis, £m (matches the existing Cash Flow Statement's basis, not the OSB Group consolidated basis used by the Pillar 3 sheets - see basis note below). FY2021's own Balance Sheet does not yet break out 'Other equity instruments (AT1)' as its own line - that year's £90.0m of AT1 instruments (per the Statement of Changes in Equity) is bundled into 'Other reserves' (99.4 = 90.0 AT1 + 9.4 FVOCI/share-based reserves), confirmed by the Total equity tie; left blank on the AT1 row rather than double-counted. 'Perpetual subordinated bonds' (15.2, unchanged FY2021-FY2023) is not disclosed as its own line from FY2024 onward - either redeemed or folded into 'Subordinated liabilities' (which itself stays flat at 156.4 across FY2023-FY2025); shown as a genuine presentation change, not forced together. All 5 years' Total assets = Total liabilities + Total equity exactly. The three 'Investment securities held at ...' rows are the Company-level measurement-basis breakdown from the Investment securities note (amortised cost / FVOCI / FVTPL) and sum exactly to the 'Investment securities' line above each year - not an additional asset, just its own sub-analysis.</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5" t="inlineStr">
        <is>
          <t>Assets</t>
        </is>
      </c>
      <c r="B4" s="6" t="n"/>
      <c r="C4" s="6" t="n"/>
      <c r="D4" s="6" t="n"/>
      <c r="E4" s="6" t="n"/>
      <c r="F4" s="6" t="n"/>
      <c r="G4" s="6" t="n"/>
      <c r="H4" s="6" t="n"/>
    </row>
    <row r="5">
      <c r="A5" s="6" t="inlineStr">
        <is>
          <t>Cash in hand</t>
        </is>
      </c>
      <c r="B5" s="6" t="n">
        <v>0.4</v>
      </c>
      <c r="C5" s="6" t="n">
        <v>0.3</v>
      </c>
      <c r="D5" s="6" t="n">
        <v>0.4</v>
      </c>
      <c r="E5" s="6" t="n">
        <v>0.4</v>
      </c>
      <c r="F5" s="6" t="n">
        <v>0.5</v>
      </c>
      <c r="G5" s="6" t="n">
        <v>0.5</v>
      </c>
      <c r="H5" s="6" t="n">
        <v>0.4</v>
      </c>
    </row>
    <row r="6">
      <c r="A6" s="6" t="inlineStr">
        <is>
          <t>Loans and advances to credit institutions</t>
        </is>
      </c>
      <c r="B6" s="6" t="n">
        <v>1424.8</v>
      </c>
      <c r="C6" s="6" t="n">
        <v>1129.4</v>
      </c>
      <c r="D6" s="6" t="n">
        <v>1002.7</v>
      </c>
      <c r="E6" s="6" t="n">
        <v>1506.1</v>
      </c>
      <c r="F6" s="6" t="n">
        <v>1405</v>
      </c>
      <c r="G6" s="6" t="n">
        <v>1518.1</v>
      </c>
      <c r="H6" s="6" t="n">
        <v>1340</v>
      </c>
    </row>
    <row r="7">
      <c r="A7" s="6" t="inlineStr">
        <is>
          <t>Investment securities</t>
        </is>
      </c>
      <c r="B7" s="6" t="n">
        <v>633.2</v>
      </c>
      <c r="C7" s="6" t="n">
        <v>528.7</v>
      </c>
      <c r="D7" s="6" t="n">
        <v>396.2</v>
      </c>
      <c r="E7" s="6" t="n">
        <v>211.4</v>
      </c>
      <c r="F7" s="6" t="n">
        <v>16.2</v>
      </c>
      <c r="G7" s="6" t="n">
        <v>15</v>
      </c>
      <c r="H7" s="6" t="n">
        <v>58.9</v>
      </c>
    </row>
    <row r="8">
      <c r="A8" s="6" t="inlineStr">
        <is>
          <t>Investment securities held at amortised cost</t>
        </is>
      </c>
      <c r="B8" s="6" t="n">
        <v>390.1</v>
      </c>
      <c r="C8" s="6" t="n">
        <v>302.4</v>
      </c>
      <c r="D8" s="6" t="n">
        <v>99.90000000000001</v>
      </c>
      <c r="E8" s="6" t="n">
        <v>61.1</v>
      </c>
      <c r="F8" s="6" t="n">
        <v>0</v>
      </c>
      <c r="G8" s="6" t="n"/>
      <c r="H8" s="6" t="n"/>
    </row>
    <row r="9">
      <c r="A9" s="6" t="inlineStr">
        <is>
          <t>Investment securities held at FVOCI</t>
        </is>
      </c>
      <c r="B9" s="6" t="n">
        <v>243</v>
      </c>
      <c r="C9" s="6" t="n">
        <v>226</v>
      </c>
      <c r="D9" s="6" t="n">
        <v>296</v>
      </c>
      <c r="E9" s="6" t="n">
        <v>149.8</v>
      </c>
      <c r="F9" s="6" t="n">
        <v>15.5</v>
      </c>
      <c r="G9" s="6" t="n"/>
      <c r="H9" s="6" t="n"/>
    </row>
    <row r="10">
      <c r="A10" s="6" t="inlineStr">
        <is>
          <t>Investment securities held at FVTPL</t>
        </is>
      </c>
      <c r="B10" s="6" t="n">
        <v>0.1</v>
      </c>
      <c r="C10" s="6" t="n">
        <v>0.3</v>
      </c>
      <c r="D10" s="6" t="n">
        <v>0.3</v>
      </c>
      <c r="E10" s="6" t="n">
        <v>0.5</v>
      </c>
      <c r="F10" s="6" t="n">
        <v>0.7</v>
      </c>
      <c r="G10" s="6" t="n"/>
      <c r="H10" s="6" t="n"/>
    </row>
    <row r="11">
      <c r="A11" s="6" t="inlineStr">
        <is>
          <t>Loans and advances to customers</t>
        </is>
      </c>
      <c r="B11" s="6" t="n">
        <v>12656.1</v>
      </c>
      <c r="C11" s="6" t="n">
        <v>11958.8</v>
      </c>
      <c r="D11" s="6" t="n">
        <v>11432.2</v>
      </c>
      <c r="E11" s="6" t="n">
        <v>10531.9</v>
      </c>
      <c r="F11" s="6" t="n">
        <v>9476.4</v>
      </c>
      <c r="G11" s="6" t="n">
        <v>8531.700000000001</v>
      </c>
      <c r="H11" s="6" t="n">
        <v>7208.2</v>
      </c>
    </row>
    <row r="12">
      <c r="A12" s="6" t="inlineStr">
        <is>
          <t>Fair value adjustments on hedged assets</t>
        </is>
      </c>
      <c r="B12" s="6" t="n">
        <v>56.1</v>
      </c>
      <c r="C12" s="6" t="n">
        <v>-68.7</v>
      </c>
      <c r="D12" s="6" t="n">
        <v>-11.6</v>
      </c>
      <c r="E12" s="6" t="n">
        <v>-200.8</v>
      </c>
      <c r="F12" s="6" t="n">
        <v>1.3</v>
      </c>
      <c r="G12" s="6" t="n">
        <v>127.4</v>
      </c>
      <c r="H12" s="6" t="n">
        <v>19.8</v>
      </c>
    </row>
    <row r="13">
      <c r="A13" s="6" t="inlineStr">
        <is>
          <t>Derivative assets</t>
        </is>
      </c>
      <c r="B13" s="6" t="n">
        <v>60.9</v>
      </c>
      <c r="C13" s="6" t="n">
        <v>157</v>
      </c>
      <c r="D13" s="6" t="n">
        <v>180.8</v>
      </c>
      <c r="E13" s="6" t="n">
        <v>234</v>
      </c>
      <c r="F13" s="6" t="n">
        <v>50.5</v>
      </c>
      <c r="G13" s="6" t="n">
        <v>4.7</v>
      </c>
      <c r="H13" s="6" t="n">
        <v>11.7</v>
      </c>
    </row>
    <row r="14">
      <c r="A14" s="6" t="inlineStr">
        <is>
          <t>Other assets</t>
        </is>
      </c>
      <c r="B14" s="6" t="n">
        <v>18.5</v>
      </c>
      <c r="C14" s="6" t="n">
        <v>15.2</v>
      </c>
      <c r="D14" s="6" t="n">
        <v>19.4</v>
      </c>
      <c r="E14" s="6" t="n">
        <v>13.1</v>
      </c>
      <c r="F14" s="6" t="n">
        <v>8.300000000000001</v>
      </c>
      <c r="G14" s="6" t="n">
        <v>5.7</v>
      </c>
      <c r="H14" s="6" t="n">
        <v>5.5</v>
      </c>
    </row>
    <row r="15">
      <c r="A15" s="6" t="inlineStr">
        <is>
          <t>Current taxation asset</t>
        </is>
      </c>
      <c r="B15" s="6" t="n"/>
      <c r="C15" s="6" t="n">
        <v>3.9</v>
      </c>
      <c r="D15" s="6" t="n"/>
      <c r="E15" s="6" t="n">
        <v>2.6</v>
      </c>
      <c r="F15" s="6" t="n"/>
      <c r="G15" s="6" t="n"/>
      <c r="H15" s="6" t="n"/>
    </row>
    <row r="16">
      <c r="A16" s="6" t="inlineStr">
        <is>
          <t>Deferred taxation asset</t>
        </is>
      </c>
      <c r="B16" s="6" t="n">
        <v>7.3</v>
      </c>
      <c r="C16" s="6" t="n">
        <v>5</v>
      </c>
      <c r="D16" s="6" t="n">
        <v>3.8</v>
      </c>
      <c r="E16" s="6" t="n">
        <v>4.1</v>
      </c>
      <c r="F16" s="6" t="n">
        <v>4.9</v>
      </c>
      <c r="G16" s="6" t="n">
        <v>3.1</v>
      </c>
      <c r="H16" s="6" t="n">
        <v>1.6</v>
      </c>
    </row>
    <row r="17">
      <c r="A17" s="6" t="inlineStr">
        <is>
          <t>Deemed loan assets</t>
        </is>
      </c>
      <c r="B17" s="6" t="n">
        <v>29.1</v>
      </c>
      <c r="C17" s="6" t="n"/>
      <c r="D17" s="6" t="n"/>
      <c r="E17" s="6" t="n">
        <v>31.2</v>
      </c>
      <c r="F17" s="6" t="n"/>
      <c r="G17" s="6" t="n"/>
      <c r="H17" s="6" t="n"/>
    </row>
    <row r="18">
      <c r="A18" s="6" t="inlineStr">
        <is>
          <t>Non-current assets held for sale</t>
        </is>
      </c>
      <c r="B18" s="6" t="n">
        <v>1.5</v>
      </c>
      <c r="C18" s="6" t="n"/>
      <c r="D18" s="6" t="n"/>
      <c r="E18" s="6" t="n"/>
      <c r="F18" s="6" t="n"/>
      <c r="G18" s="6" t="n"/>
      <c r="H18" s="6" t="n"/>
    </row>
    <row r="19">
      <c r="A19" s="6" t="inlineStr">
        <is>
          <t>Property, plant and equipment</t>
        </is>
      </c>
      <c r="B19" s="6" t="n">
        <v>21.8</v>
      </c>
      <c r="C19" s="6" t="n">
        <v>26.3</v>
      </c>
      <c r="D19" s="6" t="n">
        <v>22.6</v>
      </c>
      <c r="E19" s="6" t="n">
        <v>20.9</v>
      </c>
      <c r="F19" s="6" t="n">
        <v>17.3</v>
      </c>
      <c r="G19" s="6" t="n">
        <v>20.5</v>
      </c>
      <c r="H19" s="6" t="n">
        <v>15.6</v>
      </c>
    </row>
    <row r="20">
      <c r="A20" s="6" t="inlineStr">
        <is>
          <t>Intangible assets</t>
        </is>
      </c>
      <c r="B20" s="6" t="n">
        <v>66.90000000000001</v>
      </c>
      <c r="C20" s="6" t="n">
        <v>48.3</v>
      </c>
      <c r="D20" s="6" t="n">
        <v>23.8</v>
      </c>
      <c r="E20" s="6" t="n">
        <v>6.5</v>
      </c>
      <c r="F20" s="6" t="n">
        <v>7.7</v>
      </c>
      <c r="G20" s="6" t="n">
        <v>7</v>
      </c>
      <c r="H20" s="6" t="n">
        <v>7.1</v>
      </c>
    </row>
    <row r="21">
      <c r="A21" s="6" t="inlineStr">
        <is>
          <t>Investments in subsidiaries and intercompany loans</t>
        </is>
      </c>
      <c r="B21" s="6" t="n">
        <v>4585.1</v>
      </c>
      <c r="C21" s="6" t="n">
        <v>4025.3</v>
      </c>
      <c r="D21" s="6" t="n">
        <v>3667.7</v>
      </c>
      <c r="E21" s="6" t="n">
        <v>3242.5</v>
      </c>
      <c r="F21" s="6" t="n">
        <v>3096.4</v>
      </c>
      <c r="G21" s="6" t="n">
        <v>3137.3</v>
      </c>
      <c r="H21" s="6" t="n">
        <v>3629.4</v>
      </c>
    </row>
    <row r="22">
      <c r="A22" s="5" t="inlineStr">
        <is>
          <t>Total assets</t>
        </is>
      </c>
      <c r="B22" s="5" t="n">
        <v>19561.7</v>
      </c>
      <c r="C22" s="5" t="n">
        <v>17829.5</v>
      </c>
      <c r="D22" s="5" t="n">
        <v>16738</v>
      </c>
      <c r="E22" s="5" t="n">
        <v>15603.9</v>
      </c>
      <c r="F22" s="5" t="n">
        <v>14084.5</v>
      </c>
      <c r="G22" s="5" t="n">
        <v>13374.8</v>
      </c>
      <c r="H22" s="5" t="n">
        <v>13469.9</v>
      </c>
    </row>
    <row r="23">
      <c r="A23" s="5" t="inlineStr">
        <is>
          <t>Liabilities</t>
        </is>
      </c>
      <c r="B23" s="6" t="n"/>
      <c r="C23" s="6" t="n"/>
      <c r="D23" s="6" t="n"/>
      <c r="E23" s="6" t="n"/>
      <c r="F23" s="6" t="n"/>
      <c r="G23" s="6" t="n"/>
      <c r="H23" s="6" t="n"/>
    </row>
    <row r="24">
      <c r="A24" s="6" t="inlineStr">
        <is>
          <t>Amounts owed to credit institutions</t>
        </is>
      </c>
      <c r="B24" s="6" t="n">
        <v>1036.5</v>
      </c>
      <c r="C24" s="6" t="n">
        <v>1623.5</v>
      </c>
      <c r="D24" s="6" t="n">
        <v>2018.3</v>
      </c>
      <c r="E24" s="6" t="n">
        <v>2568.5</v>
      </c>
      <c r="F24" s="6" t="n">
        <v>2420.7</v>
      </c>
      <c r="G24" s="6" t="n">
        <v>1900.5</v>
      </c>
      <c r="H24" s="6" t="n">
        <v>1671.1</v>
      </c>
    </row>
    <row r="25">
      <c r="A25" s="6" t="inlineStr">
        <is>
          <t>Amounts owed to retail depositors</t>
        </is>
      </c>
      <c r="B25" s="6" t="n">
        <v>14088.3</v>
      </c>
      <c r="C25" s="6" t="n">
        <v>13525.4</v>
      </c>
      <c r="D25" s="6" t="n">
        <v>12246.5</v>
      </c>
      <c r="E25" s="6" t="n">
        <v>11132.2</v>
      </c>
      <c r="F25" s="6" t="n">
        <v>9739.4</v>
      </c>
      <c r="G25" s="6" t="n">
        <v>9705.299999999999</v>
      </c>
      <c r="H25" s="6" t="n">
        <v>9435.700000000001</v>
      </c>
    </row>
    <row r="26">
      <c r="A26" s="6" t="inlineStr">
        <is>
          <t>Fair value adjustments on hedged liabilities</t>
        </is>
      </c>
      <c r="B26" s="6" t="n">
        <v>12.2</v>
      </c>
      <c r="C26" s="6" t="n">
        <v>-2.2</v>
      </c>
      <c r="D26" s="6" t="n">
        <v>11.8</v>
      </c>
      <c r="E26" s="6" t="n">
        <v>-33.7</v>
      </c>
      <c r="F26" s="6" t="n">
        <v>-8.800000000000001</v>
      </c>
      <c r="G26" s="6" t="n">
        <v>3.1</v>
      </c>
      <c r="H26" s="6" t="n">
        <v>-0.1</v>
      </c>
    </row>
    <row r="27">
      <c r="A27" s="6" t="inlineStr">
        <is>
          <t>Amounts owed to other customers</t>
        </is>
      </c>
      <c r="B27" s="6" t="n">
        <v>20</v>
      </c>
      <c r="C27" s="6" t="n"/>
      <c r="D27" s="6" t="n">
        <v>0.5</v>
      </c>
      <c r="E27" s="6" t="n">
        <v>0.5</v>
      </c>
      <c r="F27" s="6" t="n">
        <v>5.7</v>
      </c>
      <c r="G27" s="6" t="n">
        <v>5.8</v>
      </c>
      <c r="H27" s="6" t="n">
        <v>8.9</v>
      </c>
    </row>
    <row r="28">
      <c r="A28" s="6" t="inlineStr">
        <is>
          <t>Derivative liabilities</t>
        </is>
      </c>
      <c r="B28" s="6" t="n">
        <v>103.4</v>
      </c>
      <c r="C28" s="6" t="n">
        <v>54.4</v>
      </c>
      <c r="D28" s="6" t="n">
        <v>123.8</v>
      </c>
      <c r="E28" s="6" t="n">
        <v>63.8</v>
      </c>
      <c r="F28" s="6" t="n">
        <v>8.699999999999999</v>
      </c>
      <c r="G28" s="6" t="n">
        <v>93.8</v>
      </c>
      <c r="H28" s="6" t="n">
        <v>54.3</v>
      </c>
    </row>
    <row r="29">
      <c r="A29" s="6" t="inlineStr">
        <is>
          <t>Lease liabilities</t>
        </is>
      </c>
      <c r="B29" s="6" t="n">
        <v>2.1</v>
      </c>
      <c r="C29" s="6" t="n">
        <v>2.7</v>
      </c>
      <c r="D29" s="6" t="n">
        <v>3.4</v>
      </c>
      <c r="E29" s="6" t="n">
        <v>3.6</v>
      </c>
      <c r="F29" s="6" t="n">
        <v>3.9</v>
      </c>
      <c r="G29" s="6" t="n">
        <v>3.9</v>
      </c>
      <c r="H29" s="6" t="n">
        <v>4.3</v>
      </c>
    </row>
    <row r="30">
      <c r="A30" s="6" t="inlineStr">
        <is>
          <t>Other liabilities</t>
        </is>
      </c>
      <c r="B30" s="6" t="n">
        <v>34.7</v>
      </c>
      <c r="C30" s="6" t="n">
        <v>28.5</v>
      </c>
      <c r="D30" s="6" t="n">
        <v>25.8</v>
      </c>
      <c r="E30" s="6" t="n">
        <v>23.9</v>
      </c>
      <c r="F30" s="6" t="n">
        <v>17.3</v>
      </c>
      <c r="G30" s="6" t="n">
        <v>13.8</v>
      </c>
      <c r="H30" s="6" t="n">
        <v>17.1</v>
      </c>
    </row>
    <row r="31">
      <c r="A31" s="6" t="inlineStr">
        <is>
          <t>Provisions</t>
        </is>
      </c>
      <c r="B31" s="6" t="n">
        <v>2.6</v>
      </c>
      <c r="C31" s="6" t="n">
        <v>3.8</v>
      </c>
      <c r="D31" s="6" t="n">
        <v>0.4</v>
      </c>
      <c r="E31" s="6" t="n">
        <v>0.1</v>
      </c>
      <c r="F31" s="6" t="n">
        <v>1.9</v>
      </c>
      <c r="G31" s="6" t="n">
        <v>1.6</v>
      </c>
      <c r="H31" s="6" t="n">
        <v>1.6</v>
      </c>
    </row>
    <row r="32">
      <c r="A32" s="6" t="inlineStr">
        <is>
          <t>Current taxation liability</t>
        </is>
      </c>
      <c r="B32" s="6" t="n">
        <v>7.6</v>
      </c>
      <c r="C32" s="6" t="n"/>
      <c r="D32" s="6" t="n">
        <v>10.9</v>
      </c>
      <c r="E32" s="6" t="n"/>
      <c r="F32" s="6" t="n">
        <v>2.7</v>
      </c>
      <c r="G32" s="6" t="n"/>
      <c r="H32" s="6" t="n"/>
    </row>
    <row r="33">
      <c r="A33" s="6" t="inlineStr">
        <is>
          <t>Deferred taxation liability</t>
        </is>
      </c>
      <c r="B33" s="6" t="n">
        <v>18.4</v>
      </c>
      <c r="C33" s="6" t="n">
        <v>13.1</v>
      </c>
      <c r="D33" s="6" t="n"/>
      <c r="E33" s="6" t="n"/>
      <c r="F33" s="6" t="n"/>
      <c r="G33" s="6" t="n"/>
      <c r="H33" s="6" t="n"/>
    </row>
    <row r="34">
      <c r="A34" s="6" t="inlineStr">
        <is>
          <t>Deemed loan liabilities</t>
        </is>
      </c>
      <c r="B34" s="6" t="n"/>
      <c r="C34" s="6" t="n">
        <v>3.6</v>
      </c>
      <c r="D34" s="6" t="n">
        <v>25.3</v>
      </c>
      <c r="E34" s="6" t="n"/>
      <c r="F34" s="6" t="n">
        <v>142.8</v>
      </c>
      <c r="G34" s="6" t="n">
        <v>66.2</v>
      </c>
      <c r="H34" s="6" t="n">
        <v>240.2</v>
      </c>
    </row>
    <row r="35">
      <c r="A35" s="6" t="inlineStr">
        <is>
          <t>Intercompany loans</t>
        </is>
      </c>
      <c r="B35" s="6" t="n">
        <v>1432.4</v>
      </c>
      <c r="C35" s="6" t="n">
        <v>28.6</v>
      </c>
      <c r="D35" s="6" t="n">
        <v>24.7</v>
      </c>
      <c r="E35" s="6" t="n">
        <v>33.3</v>
      </c>
      <c r="F35" s="6" t="n">
        <v>33.2</v>
      </c>
      <c r="G35" s="6" t="n">
        <v>37.9</v>
      </c>
      <c r="H35" s="6" t="n">
        <v>643.9</v>
      </c>
    </row>
    <row r="36">
      <c r="A36" s="6" t="inlineStr">
        <is>
          <t>Senior notes</t>
        </is>
      </c>
      <c r="B36" s="6" t="n">
        <v>548.4</v>
      </c>
      <c r="C36" s="6" t="n">
        <v>466</v>
      </c>
      <c r="D36" s="6" t="n">
        <v>226.6</v>
      </c>
      <c r="E36" s="6" t="n"/>
      <c r="F36" s="6" t="n"/>
      <c r="G36" s="6" t="n"/>
      <c r="H36" s="6" t="n"/>
    </row>
    <row r="37">
      <c r="A37" s="6" t="inlineStr">
        <is>
          <t>Subordinated liabilities</t>
        </is>
      </c>
      <c r="B37" s="6" t="n">
        <v>156.4</v>
      </c>
      <c r="C37" s="6" t="n">
        <v>156.4</v>
      </c>
      <c r="D37" s="6" t="n">
        <v>156.4</v>
      </c>
      <c r="E37" s="6" t="n">
        <v>63.8</v>
      </c>
      <c r="F37" s="6" t="n">
        <v>10.3</v>
      </c>
      <c r="G37" s="6" t="n">
        <v>10.5</v>
      </c>
      <c r="H37" s="6" t="n">
        <v>10.6</v>
      </c>
    </row>
    <row r="38">
      <c r="A38" s="6" t="inlineStr">
        <is>
          <t>Perpetual subordinated bonds</t>
        </is>
      </c>
      <c r="B38" s="6" t="n"/>
      <c r="C38" s="6" t="n"/>
      <c r="D38" s="6" t="n">
        <v>15.2</v>
      </c>
      <c r="E38" s="6" t="n">
        <v>15.2</v>
      </c>
      <c r="F38" s="6" t="n">
        <v>15.2</v>
      </c>
      <c r="G38" s="6" t="n">
        <v>37.6</v>
      </c>
      <c r="H38" s="6" t="n">
        <v>37.6</v>
      </c>
    </row>
    <row r="39">
      <c r="A39" s="5" t="inlineStr">
        <is>
          <t>Total liabilities</t>
        </is>
      </c>
      <c r="B39" s="5" t="n">
        <v>17463</v>
      </c>
      <c r="C39" s="5" t="n">
        <v>15903.8</v>
      </c>
      <c r="D39" s="5" t="n">
        <v>14889.6</v>
      </c>
      <c r="E39" s="5" t="n">
        <v>13807.4</v>
      </c>
      <c r="F39" s="5" t="n">
        <v>12393</v>
      </c>
      <c r="G39" s="5" t="n">
        <v>11880</v>
      </c>
      <c r="H39" s="5" t="n">
        <v>12141.6</v>
      </c>
    </row>
    <row r="40">
      <c r="A40" s="5" t="inlineStr">
        <is>
          <t>Equity</t>
        </is>
      </c>
      <c r="B40" s="6" t="n"/>
      <c r="C40" s="6" t="n"/>
      <c r="D40" s="6" t="n"/>
      <c r="E40" s="6" t="n"/>
      <c r="F40" s="6" t="n"/>
      <c r="G40" s="6" t="n"/>
      <c r="H40" s="6" t="n"/>
    </row>
    <row r="41">
      <c r="A41" s="6" t="inlineStr">
        <is>
          <t>Share capital</t>
        </is>
      </c>
      <c r="B41" s="6" t="n">
        <v>4.5</v>
      </c>
      <c r="C41" s="6" t="n">
        <v>4.5</v>
      </c>
      <c r="D41" s="6" t="n">
        <v>4.5</v>
      </c>
      <c r="E41" s="6" t="n">
        <v>4.5</v>
      </c>
      <c r="F41" s="6" t="n">
        <v>4.5</v>
      </c>
      <c r="G41" s="6" t="n">
        <v>4.5</v>
      </c>
      <c r="H41" s="6" t="n">
        <v>4.5</v>
      </c>
    </row>
    <row r="42">
      <c r="A42" s="6" t="inlineStr">
        <is>
          <t>Other equity instruments (AT1)</t>
        </is>
      </c>
      <c r="B42" s="6" t="n">
        <v>100.2</v>
      </c>
      <c r="C42" s="6" t="n">
        <v>90</v>
      </c>
      <c r="D42" s="6" t="n">
        <v>90</v>
      </c>
      <c r="E42" s="6" t="n">
        <v>90</v>
      </c>
      <c r="F42" s="6" t="n"/>
      <c r="G42" s="6" t="n"/>
      <c r="H42" s="6" t="n"/>
    </row>
    <row r="43">
      <c r="A43" s="6" t="inlineStr">
        <is>
          <t>Retained earnings</t>
        </is>
      </c>
      <c r="B43" s="6" t="n">
        <v>1975.7</v>
      </c>
      <c r="C43" s="6" t="n">
        <v>1817.4</v>
      </c>
      <c r="D43" s="6" t="n">
        <v>1741.6</v>
      </c>
      <c r="E43" s="6" t="n">
        <v>1690.9</v>
      </c>
      <c r="F43" s="6" t="n">
        <v>1587.6</v>
      </c>
      <c r="G43" s="6" t="n">
        <v>1423.7</v>
      </c>
      <c r="H43" s="6" t="n">
        <v>407</v>
      </c>
    </row>
    <row r="44">
      <c r="A44" s="6" t="inlineStr">
        <is>
          <t>Other reserves</t>
        </is>
      </c>
      <c r="B44" s="6" t="n">
        <v>18.3</v>
      </c>
      <c r="C44" s="6" t="n">
        <v>13.8</v>
      </c>
      <c r="D44" s="6" t="n">
        <v>12.3</v>
      </c>
      <c r="E44" s="6" t="n">
        <v>11.1</v>
      </c>
      <c r="F44" s="6" t="n">
        <v>99.40000000000001</v>
      </c>
      <c r="G44" s="6" t="n">
        <v>66.59999999999999</v>
      </c>
      <c r="H44" s="6" t="n">
        <v>52.6</v>
      </c>
    </row>
    <row r="45">
      <c r="A45" s="5" t="inlineStr">
        <is>
          <t>Total equity</t>
        </is>
      </c>
      <c r="B45" s="5" t="n">
        <v>2098.7</v>
      </c>
      <c r="C45" s="5" t="n">
        <v>1925.7</v>
      </c>
      <c r="D45" s="5" t="n">
        <v>1848.4</v>
      </c>
      <c r="E45" s="5" t="n">
        <v>1796.5</v>
      </c>
      <c r="F45" s="5" t="n">
        <v>1691.5</v>
      </c>
      <c r="G45" s="5" t="n">
        <v>1494.8</v>
      </c>
      <c r="H45" s="5" t="n">
        <v>1328.3</v>
      </c>
    </row>
    <row r="46">
      <c r="A46" s="5" t="inlineStr">
        <is>
          <t>Total liabilities and equity</t>
        </is>
      </c>
      <c r="B46" s="5" t="n">
        <v>19561.7</v>
      </c>
      <c r="C46" s="5" t="n">
        <v>17829.5</v>
      </c>
      <c r="D46" s="5" t="n">
        <v>16738</v>
      </c>
      <c r="E46" s="5" t="n">
        <v>15603.9</v>
      </c>
      <c r="F46" s="5" t="n">
        <v>14084.5</v>
      </c>
      <c r="G46" s="5" t="n">
        <v>13374.8</v>
      </c>
      <c r="H46" s="5" t="n">
        <v>13469.9</v>
      </c>
    </row>
    <row r="48" ht="310" customHeight="1">
      <c r="A48" s="8" t="inlineStr">
        <is>
          <t>Sources — OneSavings Bank plc (Company-only basis for Balance Sheet and Statement of Changes in Equity; OSB Group consolidated basis for Profit &amp; Loss - Company takes the section 408 Companies Act 2006 exemption from presenting its own income statement), £m:
FY2025 &amp; FY2024: Annual Report and Financial Statements for the year ended 31 December 2025, Statement of Comprehensive Income (Group) p.87, Statement of Financial Position p.88, Statement of Changes in Equity (Group) p.89 and (Company) p.90 — https://find-and-update.company-information.service.gov.uk/company/07312896/filing-history/MzUyMDIyOTcwM2FkaXF6a2N4/document?download=0&amp;format=pdf
FY2023 &amp; FY2022: Annual Report and Financial Statements for the year ended 31 December 2023, Statement of Comprehensive Income (Group) p.85, Statement of Financial Position p.86, Statement of Changes in Equity (Group) p.87 and (Company) p.88 — https://find-and-update.company-information.service.gov.uk/company/07312896/filing-history/MzQxOTAwNzg1NWFkaXF6a2N4/document?download=0&amp;format=pdf
FY2021: Annual Report and Financial Statements for the year ended 31 December 2021, Statement of Comprehensive Income (Group) p.94, Statement of Financial Position p.95, Statement of Changes in Equity (Group) p.96 and (Company) p.97 — https://www.onesavingsbank.com/media/5n1lklrr/onesavings-bank-plc-2021-accounts.pdf
FY2020: OneSavings Bank plc Annual Report and Financial Statements for the year ended 31 December 2020, Company comparative columns — https://www.onesavingsbank.com/media/03kpilxl/onesavings-bank-plc-2020-accounts.pdf
FY2019: OneSavings Bank plc Annual Report and Accounts for the year ended 31 December 2019, Statements pp.163-165 — https://www.osb.co.uk/media/utofi4fl/11-osb-2019-annual-report-and-accounts.pdf
Investment securities measurement-basis breakdown (Company column, £m) — 'Investment securities' note:
FY2025 &amp; FY2024: Note 15, p.129 — https://find-and-update.company-information.service.gov.uk/company/07312896/filing-history/MzUyMDIyOTcwM2FkaXF6a2N4/document?download=0&amp;format=pdf
FY2024 &amp; FY2023 (2024 filing's own comparative): Note 15, p.128 — https://find-and-update.company-information.service.gov.uk/company/07312896/filing-history/MzQ2NTMxODAwN2FkaXF6a2N4/document?download=0&amp;format=pdf
FY2023 &amp; FY2022: Note 15, p.122 — https://find-and-update.company-information.service.gov.uk/company/07312896/filing-history/MzQxOTAwNzg1NWFkaXF6a2N4/document?download=0&amp;format=pdf
FY2021 &amp; FY2020: Note 18, p.135 — https://www.onesavingsbank.com/media/5n1lklrr/onesavings-bank-plc-2021-accounts.pdf
The 2023-2025 Companies House filings are scanned/image-only and were OCR'd; each year's amortised cost + FVOCI + FVTPL legs were checked to sum exactly to that year's own 'Investment securities' Balance Sheet total above.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48:H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OneSavings Bank plc — Profit &amp; Loss</t>
        </is>
      </c>
    </row>
    <row r="2">
      <c r="A2" s="2" t="inlineStr">
        <is>
          <t>OSB Group consolidated basis, £m (the Company itself takes the section 408 Companies Act 2006 exemption and publishes no standalone income statement - see basis note below). 'Gain/(loss) on sale of financial assets held at amortised cost' is only itemised as its own line from FY2024 onward (folded into the fair value line in FY2022-FY2023's presentation); FY2021's equivalent 'Gain on sale of financial instruments' line is shown on the same row. 'Impairment of intangible assets' and 'Exceptional items' are unique one-off FY2021 lines. Every year's own components tie exactly to that year's own disclosed Total income/Profit before tax/Profit for the year/Total comprehensive income.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5" t="inlineStr">
        <is>
          <t>Income</t>
        </is>
      </c>
      <c r="B4" s="6" t="n"/>
      <c r="C4" s="6" t="n"/>
      <c r="D4" s="6" t="n"/>
      <c r="E4" s="6" t="n"/>
      <c r="F4" s="6" t="n"/>
      <c r="G4" s="6" t="n"/>
      <c r="H4" s="6" t="n"/>
    </row>
    <row r="5">
      <c r="A5" s="6" t="inlineStr">
        <is>
          <t>Interest receivable and similar income</t>
        </is>
      </c>
      <c r="B5" s="6" t="n">
        <v>1914.3</v>
      </c>
      <c r="C5" s="6" t="n">
        <v>2099.3</v>
      </c>
      <c r="D5" s="6" t="n">
        <v>1767</v>
      </c>
      <c r="E5" s="6" t="n">
        <v>1069.3</v>
      </c>
      <c r="F5" s="6" t="n">
        <v>746.8</v>
      </c>
      <c r="G5" s="6" t="n">
        <v>711.9</v>
      </c>
      <c r="H5" s="6" t="n">
        <v>539.9</v>
      </c>
    </row>
    <row r="6">
      <c r="A6" s="6" t="inlineStr">
        <is>
          <t>Interest payable and similar charges</t>
        </is>
      </c>
      <c r="B6" s="6" t="n">
        <v>-1234.4</v>
      </c>
      <c r="C6" s="6" t="n">
        <v>-1431.8</v>
      </c>
      <c r="D6" s="6" t="n">
        <v>-1108.1</v>
      </c>
      <c r="E6" s="6" t="n">
        <v>-359.4</v>
      </c>
      <c r="F6" s="6" t="n">
        <v>-159.2</v>
      </c>
      <c r="G6" s="6" t="n">
        <v>-239.7</v>
      </c>
      <c r="H6" s="6" t="n">
        <v>-195.2</v>
      </c>
    </row>
    <row r="7">
      <c r="A7" s="5" t="inlineStr">
        <is>
          <t>Net interest income</t>
        </is>
      </c>
      <c r="B7" s="5" t="n">
        <v>679.9</v>
      </c>
      <c r="C7" s="5" t="n">
        <v>667.5</v>
      </c>
      <c r="D7" s="5" t="n">
        <v>658.9</v>
      </c>
      <c r="E7" s="5" t="n">
        <v>709.9</v>
      </c>
      <c r="F7" s="5" t="n">
        <v>587.6</v>
      </c>
      <c r="G7" s="5" t="n">
        <v>472.2</v>
      </c>
      <c r="H7" s="5" t="n">
        <v>344.7</v>
      </c>
    </row>
    <row r="8">
      <c r="A8" s="6" t="inlineStr">
        <is>
          <t>Fair value gains/(losses) on financial instruments</t>
        </is>
      </c>
      <c r="B8" s="6" t="n">
        <v>-20.5</v>
      </c>
      <c r="C8" s="6" t="n">
        <v>-1.5</v>
      </c>
      <c r="D8" s="6" t="n">
        <v>-4.4</v>
      </c>
      <c r="E8" s="6" t="n">
        <v>58.9</v>
      </c>
      <c r="F8" s="6" t="n">
        <v>29.5</v>
      </c>
      <c r="G8" s="6" t="n">
        <v>7.4</v>
      </c>
      <c r="H8" s="6" t="n">
        <v>-3.3</v>
      </c>
    </row>
    <row r="9">
      <c r="A9" s="6" t="inlineStr">
        <is>
          <t>Gain/(loss) on sale of financial assets held at amortised cost</t>
        </is>
      </c>
      <c r="B9" s="6" t="n">
        <v>3.4</v>
      </c>
      <c r="C9" s="6" t="n">
        <v>-2.4</v>
      </c>
      <c r="D9" s="6" t="n"/>
      <c r="E9" s="6" t="n"/>
      <c r="F9" s="6" t="n">
        <v>4</v>
      </c>
      <c r="G9" s="6" t="n">
        <v>20</v>
      </c>
      <c r="H9" s="6" t="n">
        <v>-0.1</v>
      </c>
    </row>
    <row r="10">
      <c r="A10" s="6" t="inlineStr">
        <is>
          <t>Other operating income</t>
        </is>
      </c>
      <c r="B10" s="6" t="n">
        <v>7.3</v>
      </c>
      <c r="C10" s="6" t="n">
        <v>3.6</v>
      </c>
      <c r="D10" s="6" t="n">
        <v>3.9</v>
      </c>
      <c r="E10" s="6" t="n">
        <v>6.6</v>
      </c>
      <c r="F10" s="6" t="n">
        <v>7.9</v>
      </c>
      <c r="G10" s="6" t="n">
        <v>9</v>
      </c>
      <c r="H10" s="6" t="n">
        <v>3.4</v>
      </c>
    </row>
    <row r="11">
      <c r="A11" s="5" t="inlineStr">
        <is>
          <t>Total income</t>
        </is>
      </c>
      <c r="B11" s="5" t="n">
        <v>670.1</v>
      </c>
      <c r="C11" s="5" t="n">
        <v>667.2</v>
      </c>
      <c r="D11" s="5" t="n">
        <v>658.4</v>
      </c>
      <c r="E11" s="5" t="n">
        <v>775.4</v>
      </c>
      <c r="F11" s="5" t="n">
        <v>629</v>
      </c>
      <c r="G11" s="5" t="n">
        <v>508.6</v>
      </c>
      <c r="H11" s="5" t="n">
        <v>343.4</v>
      </c>
    </row>
    <row r="12">
      <c r="A12" s="6" t="inlineStr">
        <is>
          <t>Administrative expenses</t>
        </is>
      </c>
      <c r="B12" s="6" t="n">
        <v>-270.3</v>
      </c>
      <c r="C12" s="6" t="n">
        <v>-258.1</v>
      </c>
      <c r="D12" s="6" t="n">
        <v>-233.8</v>
      </c>
      <c r="E12" s="6" t="n">
        <v>-206.5</v>
      </c>
      <c r="F12" s="6" t="n">
        <v>-166.5</v>
      </c>
      <c r="G12" s="6" t="n">
        <v>-157.1</v>
      </c>
      <c r="H12" s="6" t="n">
        <v>-108.7</v>
      </c>
    </row>
    <row r="13">
      <c r="A13" s="6" t="inlineStr">
        <is>
          <t>Increase/(decrease) in provisions</t>
        </is>
      </c>
      <c r="B13" s="6" t="n">
        <v>-2.4</v>
      </c>
      <c r="C13" s="6" t="n">
        <v>-2.7</v>
      </c>
      <c r="D13" s="6" t="n">
        <v>-0.4</v>
      </c>
      <c r="E13" s="6" t="n">
        <v>1.6</v>
      </c>
      <c r="F13" s="6" t="n">
        <v>-0.2</v>
      </c>
      <c r="G13" s="6" t="n">
        <v>-0.1</v>
      </c>
      <c r="H13" s="6" t="n">
        <v>0</v>
      </c>
    </row>
    <row r="14">
      <c r="A14" s="6" t="inlineStr">
        <is>
          <t>Impairment of financial assets</t>
        </is>
      </c>
      <c r="B14" s="6" t="n">
        <v>-13</v>
      </c>
      <c r="C14" s="6" t="n">
        <v>11.7</v>
      </c>
      <c r="D14" s="6" t="n">
        <v>-48.8</v>
      </c>
      <c r="E14" s="6" t="n">
        <v>-29.8</v>
      </c>
      <c r="F14" s="6" t="n">
        <v>4.4</v>
      </c>
      <c r="G14" s="6" t="n">
        <v>-71</v>
      </c>
      <c r="H14" s="6" t="n">
        <v>-15.6</v>
      </c>
    </row>
    <row r="15">
      <c r="A15" s="6" t="inlineStr">
        <is>
          <t>Impairment of intangible assets</t>
        </is>
      </c>
      <c r="B15" s="6" t="n"/>
      <c r="C15" s="6" t="n"/>
      <c r="D15" s="6" t="n"/>
      <c r="E15" s="6" t="n"/>
      <c r="F15" s="6" t="n">
        <v>3.1</v>
      </c>
      <c r="G15" s="6" t="n"/>
      <c r="H15" s="6" t="n"/>
    </row>
    <row r="16">
      <c r="A16" s="6" t="inlineStr">
        <is>
          <t>Integration costs</t>
        </is>
      </c>
      <c r="B16" s="6" t="n"/>
      <c r="C16" s="6" t="n"/>
      <c r="D16" s="6" t="n"/>
      <c r="E16" s="6" t="n">
        <v>-7.9</v>
      </c>
      <c r="F16" s="6" t="n">
        <v>-5</v>
      </c>
      <c r="G16" s="6" t="n">
        <v>-9.800000000000001</v>
      </c>
      <c r="H16" s="6" t="n">
        <v>-5.2</v>
      </c>
    </row>
    <row r="17">
      <c r="A17" s="6" t="inlineStr">
        <is>
          <t>Exceptional items</t>
        </is>
      </c>
      <c r="B17" s="6" t="n"/>
      <c r="C17" s="6" t="n"/>
      <c r="D17" s="6" t="n"/>
      <c r="E17" s="6" t="n"/>
      <c r="F17" s="6" t="n">
        <v>-0.2</v>
      </c>
      <c r="G17" s="6" t="n">
        <v>-3.3</v>
      </c>
      <c r="H17" s="6" t="n">
        <v>-15.6</v>
      </c>
    </row>
    <row r="18">
      <c r="A18" s="5" t="inlineStr">
        <is>
          <t>Profit before taxation</t>
        </is>
      </c>
      <c r="B18" s="5" t="n">
        <v>384.4</v>
      </c>
      <c r="C18" s="5" t="n">
        <v>418.1</v>
      </c>
      <c r="D18" s="5" t="n">
        <v>375.4</v>
      </c>
      <c r="E18" s="5" t="n">
        <v>532.8</v>
      </c>
      <c r="F18" s="5" t="n">
        <v>464.6</v>
      </c>
      <c r="G18" s="5" t="n">
        <v>260.3</v>
      </c>
      <c r="H18" s="5" t="n">
        <v>209.1</v>
      </c>
    </row>
    <row r="19">
      <c r="A19" s="6" t="inlineStr">
        <is>
          <t>Taxation</t>
        </is>
      </c>
      <c r="B19" s="6" t="n">
        <v>-97.3</v>
      </c>
      <c r="C19" s="6" t="n">
        <v>-110</v>
      </c>
      <c r="D19" s="6" t="n">
        <v>-91.8</v>
      </c>
      <c r="E19" s="6" t="n">
        <v>-121.5</v>
      </c>
      <c r="F19" s="6" t="n">
        <v>-119.6</v>
      </c>
      <c r="G19" s="6" t="n">
        <v>-64.09999999999999</v>
      </c>
      <c r="H19" s="6" t="n">
        <v>-50.3</v>
      </c>
    </row>
    <row r="20">
      <c r="A20" s="5" t="inlineStr">
        <is>
          <t>Profit for the year</t>
        </is>
      </c>
      <c r="B20" s="5" t="n">
        <v>287.1</v>
      </c>
      <c r="C20" s="5" t="n">
        <v>308.1</v>
      </c>
      <c r="D20" s="5" t="n">
        <v>283.6</v>
      </c>
      <c r="E20" s="5" t="n">
        <v>411.3</v>
      </c>
      <c r="F20" s="5" t="n">
        <v>345</v>
      </c>
      <c r="G20" s="5" t="n">
        <v>196.2</v>
      </c>
      <c r="H20" s="5" t="n">
        <v>158.8</v>
      </c>
    </row>
    <row r="21">
      <c r="A21" s="5" t="inlineStr">
        <is>
          <t>Other comprehensive (expense)/income</t>
        </is>
      </c>
      <c r="B21" s="6" t="n"/>
      <c r="C21" s="6" t="n"/>
      <c r="D21" s="6" t="n"/>
      <c r="E21" s="6" t="n"/>
      <c r="F21" s="6" t="n"/>
      <c r="G21" s="6" t="n"/>
      <c r="H21" s="6" t="n"/>
    </row>
    <row r="22">
      <c r="A22" s="6" t="inlineStr">
        <is>
          <t>Fair value changes on FVOCI instruments arising in the year</t>
        </is>
      </c>
      <c r="B22" s="6" t="n">
        <v>1.6</v>
      </c>
      <c r="C22" s="6" t="n">
        <v>-0.1</v>
      </c>
      <c r="D22" s="6" t="n">
        <v>-0.2</v>
      </c>
      <c r="E22" s="6" t="n">
        <v>0.3</v>
      </c>
      <c r="F22" s="6" t="n">
        <v>1.1</v>
      </c>
      <c r="G22" s="6" t="n">
        <v>1</v>
      </c>
      <c r="H22" s="6" t="n">
        <v>0.8</v>
      </c>
    </row>
    <row r="23">
      <c r="A23" s="6" t="inlineStr">
        <is>
          <t>Amounts reclassified to profit or loss for investment securities at FVOCI</t>
        </is>
      </c>
      <c r="B23" s="6" t="n"/>
      <c r="C23" s="6" t="n"/>
      <c r="D23" s="6" t="n"/>
      <c r="E23" s="6" t="n">
        <v>-0.7</v>
      </c>
      <c r="F23" s="6" t="n">
        <v>-2</v>
      </c>
      <c r="G23" s="6" t="n"/>
      <c r="H23" s="6" t="n"/>
    </row>
    <row r="24">
      <c r="A24" s="6" t="inlineStr">
        <is>
          <t>Tax on items in other comprehensive (expense)/income</t>
        </is>
      </c>
      <c r="B24" s="6" t="n">
        <v>-0.2</v>
      </c>
      <c r="C24" s="6" t="n"/>
      <c r="D24" s="6" t="n">
        <v>0.1</v>
      </c>
      <c r="E24" s="6" t="n">
        <v>0.1</v>
      </c>
      <c r="F24" s="6" t="n">
        <v>0.5</v>
      </c>
      <c r="G24" s="6" t="n">
        <v>-0.5</v>
      </c>
      <c r="H24" s="6" t="n">
        <v>-0.2</v>
      </c>
    </row>
    <row r="25">
      <c r="A25" s="6" t="inlineStr">
        <is>
          <t>Revaluation of foreign operations</t>
        </is>
      </c>
      <c r="B25" s="6" t="n">
        <v>-2.1</v>
      </c>
      <c r="C25" s="6" t="n"/>
      <c r="D25" s="6" t="n">
        <v>-0.8</v>
      </c>
      <c r="E25" s="6" t="n">
        <v>-0.2</v>
      </c>
      <c r="F25" s="6" t="n">
        <v>-0.1</v>
      </c>
      <c r="G25" s="6" t="n"/>
      <c r="H25" s="6" t="n"/>
    </row>
    <row r="26">
      <c r="A26" s="5" t="inlineStr">
        <is>
          <t>Other comprehensive expense</t>
        </is>
      </c>
      <c r="B26" s="5" t="n">
        <v>-0.7</v>
      </c>
      <c r="C26" s="5" t="n">
        <v>-0.1</v>
      </c>
      <c r="D26" s="5" t="n">
        <v>-0.9</v>
      </c>
      <c r="E26" s="5" t="n">
        <v>-0.5</v>
      </c>
      <c r="F26" s="5" t="n">
        <v>-0.5</v>
      </c>
      <c r="G26" s="5" t="n">
        <v>0.5</v>
      </c>
      <c r="H26" s="5" t="n">
        <v>0</v>
      </c>
    </row>
    <row r="27">
      <c r="A27" s="5" t="inlineStr">
        <is>
          <t>Total comprehensive income for the year</t>
        </is>
      </c>
      <c r="B27" s="5" t="n">
        <v>286.4</v>
      </c>
      <c r="C27" s="5" t="n">
        <v>308</v>
      </c>
      <c r="D27" s="5" t="n">
        <v>282.7</v>
      </c>
      <c r="E27" s="5" t="n">
        <v>410.8</v>
      </c>
      <c r="F27" s="5" t="n">
        <v>344.5</v>
      </c>
      <c r="G27" s="5" t="n">
        <v>196.7</v>
      </c>
      <c r="H27" s="5" t="n">
        <v>158.8</v>
      </c>
    </row>
    <row r="29" ht="286" customHeight="1">
      <c r="A29" s="8" t="inlineStr">
        <is>
          <t>Sources — OneSavings Bank plc (Company-only basis for Balance Sheet and Statement of Changes in Equity; OSB Group consolidated basis for Profit &amp; Loss - Company takes the section 408 Companies Act 2006 exemption from presenting its own income statement), £m:
FY2025 &amp; FY2024: Annual Report and Financial Statements for the year ended 31 December 2025, Statement of Comprehensive Income (Group) p.87, Statement of Financial Position p.88, Statement of Changes in Equity (Group) p.89 and (Company) p.90 — https://find-and-update.company-information.service.gov.uk/company/07312896/filing-history/MzUyMDIyOTcwM2FkaXF6a2N4/document?download=0&amp;format=pdf
FY2023 &amp; FY2022: Annual Report and Financial Statements for the year ended 31 December 2023, Statement of Comprehensive Income (Group) p.85, Statement of Financial Position p.86, Statement of Changes in Equity (Group) p.87 and (Company) p.88 — https://find-and-update.company-information.service.gov.uk/company/07312896/filing-history/MzQxOTAwNzg1NWFkaXF6a2N4/document?download=0&amp;format=pdf
FY2021: Annual Report and Financial Statements for the year ended 31 December 2021, Statement of Comprehensive Income (Group) p.94, Statement of Financial Position p.95, Statement of Changes in Equity (Group) p.96 and (Company) p.97 — https://www.onesavingsbank.com/media/5n1lklrr/onesavings-bank-plc-2021-accounts.pdf
FY2020: OneSavings Bank plc Annual Report and Financial Statements for the year ended 31 December 2020, Company comparative columns — https://www.onesavingsbank.com/media/03kpilxl/onesavings-bank-plc-2020-accounts.pdf
FY2019: OneSavings Bank plc Annual Report and Accounts for the year ended 31 December 2019, Statements pp.163-165 — https://www.osb.co.uk/media/utofi4fl/11-osb-2019-annual-report-and-accounts.pdf
Investment securities measurement-basis breakdown (Company column, £m) — 'Investment securities' note:
FY2025 &amp; FY2024: Note 15, p.129 — https://find-and-update.company-information.service.gov.uk/company/07312896/filing-history/MzUyMDIyOTcwM2FkaXF6a2N4/document?download=0&amp;format=pdf
FY2024 &amp; FY2023 (2024 filing's own comparative): Note 15, p.128 — https://find-and-update.company-information.service.gov.uk/company/07312896/filing-history/MzQ2NTMxODAwN2FkaXF6a2N4/document?download=0&amp;format=pdf
FY2023 &amp; FY2022: Note 15, p.122 — https://find-and-update.company-information.service.gov.uk/company/07312896/filing-history/MzQxOTAwNzg1NWFkaXF6a2N4/document?download=0&amp;format=pdf
FY2021 &amp; FY2020: Note 18, p.135 — https://www.onesavingsbank.com/media/5n1lklrr/onesavings-bank-plc-2021-accounts.pdf
The 2023-2025 Companies House filings are scanned/image-only and were OCR'd; each year's amortised cost + FVOCI + FVTPL legs were checked to sum exactly to that year's own 'Investment securities' Balance Sheet total above.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29:H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9"/>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OneSavings Bank plc — Statement of Changes in Equity</t>
        </is>
      </c>
    </row>
    <row r="2">
      <c r="A2" s="2" t="inlineStr">
        <is>
          <t>Chronological roll-forward, oldest to newest, Company-only basis, £m. Equity reconciliation ladder confirmed: every year's own closing balance ties exactly to both the next year's own opening balance and that year's own Balance Sheet Total equity - zero plug rows needed anywhere across all 5 years.</t>
        </is>
      </c>
    </row>
    <row r="3">
      <c r="A3" s="4" t="inlineStr">
        <is>
          <t>Movement</t>
        </is>
      </c>
      <c r="B3" s="4" t="inlineStr">
        <is>
          <t>Share capital</t>
        </is>
      </c>
      <c r="C3" s="4" t="inlineStr">
        <is>
          <t>FVOCI reserve</t>
        </is>
      </c>
      <c r="D3" s="4" t="inlineStr">
        <is>
          <t>Share-based payment reserve</t>
        </is>
      </c>
      <c r="E3" s="4" t="inlineStr">
        <is>
          <t>Retained earnings</t>
        </is>
      </c>
      <c r="F3" s="4" t="inlineStr">
        <is>
          <t>Other equity instruments (AT1)</t>
        </is>
      </c>
      <c r="G3" s="4" t="inlineStr">
        <is>
          <t>Total</t>
        </is>
      </c>
    </row>
    <row r="4">
      <c r="A4" s="5" t="inlineStr">
        <is>
          <t>At 31 December 2020 (FY2021 opening)</t>
        </is>
      </c>
      <c r="B4" s="5" t="n">
        <v>4.5</v>
      </c>
      <c r="C4" s="5" t="n">
        <v>-0.1</v>
      </c>
      <c r="D4" s="5" t="n">
        <v>6.7</v>
      </c>
      <c r="E4" s="5" t="n">
        <v>1423.7</v>
      </c>
      <c r="F4" s="5" t="n">
        <v>60</v>
      </c>
      <c r="G4" s="5" t="n">
        <v>1494.8</v>
      </c>
    </row>
    <row r="5">
      <c r="A5" s="6" t="inlineStr">
        <is>
          <t>Profit for the year</t>
        </is>
      </c>
      <c r="B5" s="6" t="n"/>
      <c r="C5" s="6" t="n"/>
      <c r="D5" s="6" t="n"/>
      <c r="E5" s="6" t="n">
        <v>255.1</v>
      </c>
      <c r="F5" s="6" t="n"/>
      <c r="G5" s="6" t="n">
        <v>255.1</v>
      </c>
    </row>
    <row r="6">
      <c r="A6" s="6" t="inlineStr">
        <is>
          <t>Other comprehensive income</t>
        </is>
      </c>
      <c r="B6" s="6" t="n"/>
      <c r="C6" s="6" t="n">
        <v>0.1</v>
      </c>
      <c r="D6" s="6" t="n"/>
      <c r="E6" s="6" t="n"/>
      <c r="F6" s="6" t="n"/>
      <c r="G6" s="6" t="n">
        <v>0.1</v>
      </c>
    </row>
    <row r="7">
      <c r="A7" s="6" t="inlineStr">
        <is>
          <t>Coupon paid on AT1 securities</t>
        </is>
      </c>
      <c r="B7" s="6" t="n"/>
      <c r="C7" s="6" t="n"/>
      <c r="D7" s="6" t="n"/>
      <c r="E7" s="6" t="n">
        <v>-4.7</v>
      </c>
      <c r="F7" s="6" t="n"/>
      <c r="G7" s="6" t="n">
        <v>-4.7</v>
      </c>
    </row>
    <row r="8">
      <c r="A8" s="6" t="inlineStr">
        <is>
          <t>Dividends paid</t>
        </is>
      </c>
      <c r="B8" s="6" t="n"/>
      <c r="C8" s="6" t="n"/>
      <c r="D8" s="6" t="n"/>
      <c r="E8" s="6" t="n">
        <v>-86.7</v>
      </c>
      <c r="F8" s="6" t="n"/>
      <c r="G8" s="6" t="n">
        <v>-86.7</v>
      </c>
    </row>
    <row r="9">
      <c r="A9" s="6" t="inlineStr">
        <is>
          <t>Share-based payments</t>
        </is>
      </c>
      <c r="B9" s="6" t="n"/>
      <c r="C9" s="6" t="n"/>
      <c r="D9" s="6" t="n">
        <v>1.1</v>
      </c>
      <c r="E9" s="6" t="n">
        <v>3.7</v>
      </c>
      <c r="F9" s="6" t="n"/>
      <c r="G9" s="6" t="n">
        <v>4.8</v>
      </c>
    </row>
    <row r="10">
      <c r="A10" s="6" t="inlineStr">
        <is>
          <t>Redemption of AT1 securities</t>
        </is>
      </c>
      <c r="B10" s="6" t="n"/>
      <c r="C10" s="6" t="n"/>
      <c r="D10" s="6" t="n"/>
      <c r="E10" s="6" t="n"/>
      <c r="F10" s="6" t="n">
        <v>-60</v>
      </c>
      <c r="G10" s="6" t="n">
        <v>-60</v>
      </c>
    </row>
    <row r="11">
      <c r="A11" s="6" t="inlineStr">
        <is>
          <t>Transaction costs on redemption of AT1 securities</t>
        </is>
      </c>
      <c r="B11" s="6" t="n"/>
      <c r="C11" s="6" t="n"/>
      <c r="D11" s="6" t="n"/>
      <c r="E11" s="6" t="n">
        <v>-3.5</v>
      </c>
      <c r="F11" s="6" t="n"/>
      <c r="G11" s="6" t="n">
        <v>-3.5</v>
      </c>
    </row>
    <row r="12">
      <c r="A12" s="6" t="inlineStr">
        <is>
          <t>Issuance of AT1 securities</t>
        </is>
      </c>
      <c r="B12" s="6" t="n"/>
      <c r="C12" s="6" t="n"/>
      <c r="D12" s="6" t="n"/>
      <c r="E12" s="6" t="n"/>
      <c r="F12" s="6" t="n">
        <v>90</v>
      </c>
      <c r="G12" s="6" t="n">
        <v>90</v>
      </c>
    </row>
    <row r="13">
      <c r="A13" s="6" t="inlineStr">
        <is>
          <t>Tax recognised in equity</t>
        </is>
      </c>
      <c r="B13" s="6" t="n"/>
      <c r="C13" s="6" t="n"/>
      <c r="D13" s="6" t="n">
        <v>1.6</v>
      </c>
      <c r="E13" s="6" t="n"/>
      <c r="F13" s="6" t="n"/>
      <c r="G13" s="6" t="n">
        <v>1.6</v>
      </c>
    </row>
    <row r="14">
      <c r="A14" s="5" t="inlineStr">
        <is>
          <t>At 31 December 2021 (FY2021 closing)</t>
        </is>
      </c>
      <c r="B14" s="5" t="n">
        <v>4.5</v>
      </c>
      <c r="C14" s="5" t="n">
        <v>0</v>
      </c>
      <c r="D14" s="5" t="n">
        <v>9.4</v>
      </c>
      <c r="E14" s="5" t="n">
        <v>1587.6</v>
      </c>
      <c r="F14" s="5" t="n">
        <v>90</v>
      </c>
      <c r="G14" s="5" t="n">
        <v>1691.5</v>
      </c>
    </row>
    <row r="15">
      <c r="A15" s="6" t="inlineStr">
        <is>
          <t>Profit for the year</t>
        </is>
      </c>
      <c r="B15" s="6" t="n"/>
      <c r="C15" s="6" t="n"/>
      <c r="D15" s="6" t="n"/>
      <c r="E15" s="6" t="n">
        <v>335.9</v>
      </c>
      <c r="F15" s="6" t="n"/>
      <c r="G15" s="6" t="n">
        <v>335.9</v>
      </c>
    </row>
    <row r="16">
      <c r="A16" s="6" t="inlineStr">
        <is>
          <t>Other comprehensive income</t>
        </is>
      </c>
      <c r="B16" s="6" t="n"/>
      <c r="C16" s="6" t="n">
        <v>0.3</v>
      </c>
      <c r="D16" s="6" t="n"/>
      <c r="E16" s="6" t="n"/>
      <c r="F16" s="6" t="n"/>
      <c r="G16" s="6" t="n">
        <v>0.3</v>
      </c>
    </row>
    <row r="17">
      <c r="A17" s="6" t="inlineStr">
        <is>
          <t>Tax on items in other comprehensive income</t>
        </is>
      </c>
      <c r="B17" s="6" t="n"/>
      <c r="C17" s="6" t="n">
        <v>-0.1</v>
      </c>
      <c r="D17" s="6" t="n"/>
      <c r="E17" s="6" t="n"/>
      <c r="F17" s="6" t="n"/>
      <c r="G17" s="6" t="n">
        <v>-0.1</v>
      </c>
    </row>
    <row r="18">
      <c r="A18" s="6" t="inlineStr">
        <is>
          <t>Coupon paid on AT1 securities</t>
        </is>
      </c>
      <c r="B18" s="6" t="n"/>
      <c r="C18" s="6" t="n"/>
      <c r="D18" s="6" t="n"/>
      <c r="E18" s="6" t="n">
        <v>-5.4</v>
      </c>
      <c r="F18" s="6" t="n"/>
      <c r="G18" s="6" t="n">
        <v>-5.4</v>
      </c>
    </row>
    <row r="19">
      <c r="A19" s="6" t="inlineStr">
        <is>
          <t>Dividends paid</t>
        </is>
      </c>
      <c r="B19" s="6" t="n"/>
      <c r="C19" s="6" t="n"/>
      <c r="D19" s="6" t="n"/>
      <c r="E19" s="6" t="n">
        <v>-233.1</v>
      </c>
      <c r="F19" s="6" t="n"/>
      <c r="G19" s="6" t="n">
        <v>-233.1</v>
      </c>
    </row>
    <row r="20">
      <c r="A20" s="6" t="inlineStr">
        <is>
          <t>Share-based payments</t>
        </is>
      </c>
      <c r="B20" s="6" t="n"/>
      <c r="C20" s="6" t="n"/>
      <c r="D20" s="6" t="n">
        <v>1.5</v>
      </c>
      <c r="E20" s="6" t="n">
        <v>5.9</v>
      </c>
      <c r="F20" s="6" t="n"/>
      <c r="G20" s="6" t="n">
        <v>7.4</v>
      </c>
    </row>
    <row r="21">
      <c r="A21" s="5" t="inlineStr">
        <is>
          <t>At 31 December 2022 (FY2022 closing)</t>
        </is>
      </c>
      <c r="B21" s="5" t="n">
        <v>4.5</v>
      </c>
      <c r="C21" s="5" t="n">
        <v>0.2</v>
      </c>
      <c r="D21" s="5" t="n">
        <v>10.9</v>
      </c>
      <c r="E21" s="5" t="n">
        <v>1690.9</v>
      </c>
      <c r="F21" s="5" t="n">
        <v>90</v>
      </c>
      <c r="G21" s="5" t="n">
        <v>1796.5</v>
      </c>
    </row>
    <row r="22">
      <c r="A22" s="6" t="inlineStr">
        <is>
          <t>Profit for the year</t>
        </is>
      </c>
      <c r="B22" s="6" t="n"/>
      <c r="C22" s="6" t="n"/>
      <c r="D22" s="6" t="n"/>
      <c r="E22" s="6" t="n">
        <v>386.8</v>
      </c>
      <c r="F22" s="6" t="n"/>
      <c r="G22" s="6" t="n">
        <v>386.8</v>
      </c>
    </row>
    <row r="23">
      <c r="A23" s="6" t="inlineStr">
        <is>
          <t>Other comprehensive expense</t>
        </is>
      </c>
      <c r="B23" s="6" t="n"/>
      <c r="C23" s="6" t="n">
        <v>-0.2</v>
      </c>
      <c r="D23" s="6" t="n"/>
      <c r="E23" s="6" t="n"/>
      <c r="F23" s="6" t="n"/>
      <c r="G23" s="6" t="n">
        <v>-0.2</v>
      </c>
    </row>
    <row r="24">
      <c r="A24" s="6" t="inlineStr">
        <is>
          <t>Tax on items in other comprehensive expense</t>
        </is>
      </c>
      <c r="B24" s="6" t="n"/>
      <c r="C24" s="6" t="n">
        <v>0.1</v>
      </c>
      <c r="D24" s="6" t="n"/>
      <c r="E24" s="6" t="n"/>
      <c r="F24" s="6" t="n"/>
      <c r="G24" s="6" t="n">
        <v>0.1</v>
      </c>
    </row>
    <row r="25">
      <c r="A25" s="6" t="inlineStr">
        <is>
          <t>Coupon paid on AT1 securities</t>
        </is>
      </c>
      <c r="B25" s="6" t="n"/>
      <c r="C25" s="6" t="n"/>
      <c r="D25" s="6" t="n"/>
      <c r="E25" s="6" t="n">
        <v>-5.4</v>
      </c>
      <c r="F25" s="6" t="n"/>
      <c r="G25" s="6" t="n">
        <v>-5.4</v>
      </c>
    </row>
    <row r="26">
      <c r="A26" s="6" t="inlineStr">
        <is>
          <t>Dividends paid</t>
        </is>
      </c>
      <c r="B26" s="6" t="n"/>
      <c r="C26" s="6" t="n"/>
      <c r="D26" s="6" t="n"/>
      <c r="E26" s="6" t="n">
        <v>-335</v>
      </c>
      <c r="F26" s="6" t="n"/>
      <c r="G26" s="6" t="n">
        <v>-335</v>
      </c>
    </row>
    <row r="27">
      <c r="A27" s="6" t="inlineStr">
        <is>
          <t>Share-based payments</t>
        </is>
      </c>
      <c r="B27" s="6" t="n"/>
      <c r="C27" s="6" t="n"/>
      <c r="D27" s="6" t="n">
        <v>0.9</v>
      </c>
      <c r="E27" s="6" t="n">
        <v>4.3</v>
      </c>
      <c r="F27" s="6" t="n"/>
      <c r="G27" s="6" t="n">
        <v>5.2</v>
      </c>
    </row>
    <row r="28">
      <c r="A28" s="6" t="inlineStr">
        <is>
          <t>Tax recognised in equity</t>
        </is>
      </c>
      <c r="B28" s="6" t="n"/>
      <c r="C28" s="6" t="n"/>
      <c r="D28" s="6" t="n">
        <v>0.4</v>
      </c>
      <c r="E28" s="6" t="n"/>
      <c r="F28" s="6" t="n"/>
      <c r="G28" s="6" t="n">
        <v>0.4</v>
      </c>
    </row>
    <row r="29">
      <c r="A29" s="5" t="inlineStr">
        <is>
          <t>At 31 December 2023 (FY2023 closing)</t>
        </is>
      </c>
      <c r="B29" s="5" t="n">
        <v>4.5</v>
      </c>
      <c r="C29" s="5" t="n">
        <v>0.1</v>
      </c>
      <c r="D29" s="5" t="n">
        <v>12.2</v>
      </c>
      <c r="E29" s="5" t="n">
        <v>1741.6</v>
      </c>
      <c r="F29" s="5" t="n">
        <v>90</v>
      </c>
      <c r="G29" s="5" t="n">
        <v>1848.4</v>
      </c>
    </row>
    <row r="30">
      <c r="A30" s="6" t="inlineStr">
        <is>
          <t>Profit for the year</t>
        </is>
      </c>
      <c r="B30" s="6" t="n"/>
      <c r="C30" s="6" t="n"/>
      <c r="D30" s="6" t="n"/>
      <c r="E30" s="6" t="n">
        <v>295.8</v>
      </c>
      <c r="F30" s="6" t="n"/>
      <c r="G30" s="6" t="n">
        <v>295.8</v>
      </c>
    </row>
    <row r="31">
      <c r="A31" s="6" t="inlineStr">
        <is>
          <t>Other comprehensive expense</t>
        </is>
      </c>
      <c r="B31" s="6" t="n"/>
      <c r="C31" s="6" t="n">
        <v>-0.1</v>
      </c>
      <c r="D31" s="6" t="n"/>
      <c r="E31" s="6" t="n"/>
      <c r="F31" s="6" t="n"/>
      <c r="G31" s="6" t="n">
        <v>-0.1</v>
      </c>
    </row>
    <row r="32">
      <c r="A32" s="6" t="inlineStr">
        <is>
          <t>Coupon paid on AT1 securities</t>
        </is>
      </c>
      <c r="B32" s="6" t="n"/>
      <c r="C32" s="6" t="n"/>
      <c r="D32" s="6" t="n"/>
      <c r="E32" s="6" t="n">
        <v>-5.4</v>
      </c>
      <c r="F32" s="6" t="n"/>
      <c r="G32" s="6" t="n">
        <v>-5.4</v>
      </c>
    </row>
    <row r="33">
      <c r="A33" s="6" t="inlineStr">
        <is>
          <t>Dividends paid</t>
        </is>
      </c>
      <c r="B33" s="6" t="n"/>
      <c r="C33" s="6" t="n"/>
      <c r="D33" s="6" t="n"/>
      <c r="E33" s="6" t="n">
        <v>-218.7</v>
      </c>
      <c r="F33" s="6" t="n"/>
      <c r="G33" s="6" t="n">
        <v>-218.7</v>
      </c>
    </row>
    <row r="34">
      <c r="A34" s="6" t="inlineStr">
        <is>
          <t>Share-based payments</t>
        </is>
      </c>
      <c r="B34" s="6" t="n"/>
      <c r="C34" s="6" t="n"/>
      <c r="D34" s="6" t="n">
        <v>1.4</v>
      </c>
      <c r="E34" s="6" t="n">
        <v>4.1</v>
      </c>
      <c r="F34" s="6" t="n"/>
      <c r="G34" s="6" t="n">
        <v>5.5</v>
      </c>
    </row>
    <row r="35">
      <c r="A35" s="6" t="inlineStr">
        <is>
          <t>Tax recognised in equity</t>
        </is>
      </c>
      <c r="B35" s="6" t="n"/>
      <c r="C35" s="6" t="n"/>
      <c r="D35" s="6" t="n">
        <v>0.2</v>
      </c>
      <c r="E35" s="6" t="n"/>
      <c r="F35" s="6" t="n"/>
      <c r="G35" s="6" t="n">
        <v>0.2</v>
      </c>
    </row>
    <row r="36">
      <c r="A36" s="5" t="inlineStr">
        <is>
          <t>At 31 December 2024 (FY2024 closing)</t>
        </is>
      </c>
      <c r="B36" s="5" t="n">
        <v>4.5</v>
      </c>
      <c r="C36" s="5" t="n">
        <v>0</v>
      </c>
      <c r="D36" s="5" t="n">
        <v>13.8</v>
      </c>
      <c r="E36" s="5" t="n">
        <v>1817.4</v>
      </c>
      <c r="F36" s="5" t="n">
        <v>90</v>
      </c>
      <c r="G36" s="5" t="n">
        <v>1925.7</v>
      </c>
    </row>
    <row r="37">
      <c r="A37" s="6" t="inlineStr">
        <is>
          <t>Profit for the year</t>
        </is>
      </c>
      <c r="B37" s="6" t="n"/>
      <c r="C37" s="6" t="n"/>
      <c r="D37" s="6" t="n"/>
      <c r="E37" s="6" t="n">
        <v>381.7</v>
      </c>
      <c r="F37" s="6" t="n"/>
      <c r="G37" s="6" t="n">
        <v>381.7</v>
      </c>
    </row>
    <row r="38">
      <c r="A38" s="6" t="inlineStr">
        <is>
          <t>Other comprehensive income</t>
        </is>
      </c>
      <c r="B38" s="6" t="n"/>
      <c r="C38" s="6" t="n">
        <v>0.8</v>
      </c>
      <c r="D38" s="6" t="n"/>
      <c r="E38" s="6" t="n"/>
      <c r="F38" s="6" t="n"/>
      <c r="G38" s="6" t="n">
        <v>0.8</v>
      </c>
    </row>
    <row r="39">
      <c r="A39" s="6" t="inlineStr">
        <is>
          <t>Tax on items in other comprehensive income</t>
        </is>
      </c>
      <c r="B39" s="6" t="n"/>
      <c r="C39" s="6" t="n">
        <v>-0.2</v>
      </c>
      <c r="D39" s="6" t="n"/>
      <c r="E39" s="6" t="n"/>
      <c r="F39" s="6" t="n"/>
      <c r="G39" s="6" t="n">
        <v>-0.2</v>
      </c>
    </row>
    <row r="40">
      <c r="A40" s="6" t="inlineStr">
        <is>
          <t>Coupon paid on AT1 securities</t>
        </is>
      </c>
      <c r="B40" s="6" t="n"/>
      <c r="C40" s="6" t="n"/>
      <c r="D40" s="6" t="n"/>
      <c r="E40" s="6" t="n">
        <v>-6.1</v>
      </c>
      <c r="F40" s="6" t="n"/>
      <c r="G40" s="6" t="n">
        <v>-6.1</v>
      </c>
    </row>
    <row r="41">
      <c r="A41" s="6" t="inlineStr">
        <is>
          <t>Dividends paid</t>
        </is>
      </c>
      <c r="B41" s="6" t="n"/>
      <c r="C41" s="6" t="n"/>
      <c r="D41" s="6" t="n"/>
      <c r="E41" s="6" t="n">
        <v>-219</v>
      </c>
      <c r="F41" s="6" t="n"/>
      <c r="G41" s="6" t="n">
        <v>-219</v>
      </c>
    </row>
    <row r="42">
      <c r="A42" s="6" t="inlineStr">
        <is>
          <t>Share-based payments</t>
        </is>
      </c>
      <c r="B42" s="6" t="n"/>
      <c r="C42" s="6" t="n"/>
      <c r="D42" s="6" t="n">
        <v>1.6</v>
      </c>
      <c r="E42" s="6" t="n">
        <v>4.1</v>
      </c>
      <c r="F42" s="6" t="n"/>
      <c r="G42" s="6" t="n">
        <v>5.7</v>
      </c>
    </row>
    <row r="43">
      <c r="A43" s="6" t="inlineStr">
        <is>
          <t>Redemption of AT1 securities</t>
        </is>
      </c>
      <c r="B43" s="6" t="n"/>
      <c r="C43" s="6" t="n"/>
      <c r="D43" s="6" t="n"/>
      <c r="E43" s="6" t="n">
        <v>-0.2</v>
      </c>
      <c r="F43" s="6" t="n">
        <v>-79.8</v>
      </c>
      <c r="G43" s="6" t="n">
        <v>-80</v>
      </c>
    </row>
    <row r="44">
      <c r="A44" s="6" t="inlineStr">
        <is>
          <t>Issuance of AT1 securities</t>
        </is>
      </c>
      <c r="B44" s="6" t="n"/>
      <c r="C44" s="6" t="n"/>
      <c r="D44" s="6" t="n"/>
      <c r="E44" s="6" t="n"/>
      <c r="F44" s="6" t="n">
        <v>90</v>
      </c>
      <c r="G44" s="6" t="n">
        <v>90</v>
      </c>
    </row>
    <row r="45">
      <c r="A45" s="6" t="inlineStr">
        <is>
          <t>Transaction costs on issuance of AT1 securities</t>
        </is>
      </c>
      <c r="B45" s="6" t="n"/>
      <c r="C45" s="6" t="n"/>
      <c r="D45" s="6" t="n"/>
      <c r="E45" s="6" t="n">
        <v>-0.6</v>
      </c>
      <c r="F45" s="6" t="n"/>
      <c r="G45" s="6" t="n">
        <v>-0.6</v>
      </c>
    </row>
    <row r="46">
      <c r="A46" s="6" t="inlineStr">
        <is>
          <t>Tax recognised in equity</t>
        </is>
      </c>
      <c r="B46" s="6" t="n"/>
      <c r="C46" s="6" t="n"/>
      <c r="D46" s="6" t="n">
        <v>2.3</v>
      </c>
      <c r="E46" s="6" t="n"/>
      <c r="F46" s="6" t="n"/>
      <c r="G46" s="6" t="n">
        <v>2.3</v>
      </c>
    </row>
    <row r="47">
      <c r="A47" s="5" t="inlineStr">
        <is>
          <t>At 31 December 2025 (FY2025 closing)</t>
        </is>
      </c>
      <c r="B47" s="5" t="n">
        <v>4.5</v>
      </c>
      <c r="C47" s="5" t="n">
        <v>0.6</v>
      </c>
      <c r="D47" s="5" t="n">
        <v>17.7</v>
      </c>
      <c r="E47" s="5" t="n">
        <v>1975.7</v>
      </c>
      <c r="F47" s="5" t="n">
        <v>100.2</v>
      </c>
      <c r="G47" s="5" t="n">
        <v>2098.7</v>
      </c>
    </row>
    <row r="49" ht="312" customHeight="1">
      <c r="A49" s="8" t="inlineStr">
        <is>
          <t>Sources — OneSavings Bank plc (Company-only basis for Balance Sheet and Statement of Changes in Equity; OSB Group consolidated basis for Profit &amp; Loss - Company takes the section 408 Companies Act 2006 exemption from presenting its own income statement), £m:
FY2025 &amp; FY2024: Annual Report and Financial Statements for the year ended 31 December 2025, Statement of Comprehensive Income (Group) p.87, Statement of Financial Position p.88, Statement of Changes in Equity (Group) p.89 and (Company) p.90 — https://find-and-update.company-information.service.gov.uk/company/07312896/filing-history/MzUyMDIyOTcwM2FkaXF6a2N4/document?download=0&amp;format=pdf
FY2023 &amp; FY2022: Annual Report and Financial Statements for the year ended 31 December 2023, Statement of Comprehensive Income (Group) p.85, Statement of Financial Position p.86, Statement of Changes in Equity (Group) p.87 and (Company) p.88 — https://find-and-update.company-information.service.gov.uk/company/07312896/filing-history/MzQxOTAwNzg1NWFkaXF6a2N4/document?download=0&amp;format=pdf
FY2021: Annual Report and Financial Statements for the year ended 31 December 2021, Statement of Comprehensive Income (Group) p.94, Statement of Financial Position p.95, Statement of Changes in Equity (Group) p.96 and (Company) p.97 — https://www.onesavingsbank.com/media/5n1lklrr/onesavings-bank-plc-2021-accounts.pdf
FY2020: OneSavings Bank plc Annual Report and Financial Statements for the year ended 31 December 2020, Company comparative columns — https://www.onesavingsbank.com/media/03kpilxl/onesavings-bank-plc-2020-accounts.pdf
FY2019: OneSavings Bank plc Annual Report and Accounts for the year ended 31 December 2019, Statements pp.163-165 — https://www.osb.co.uk/media/utofi4fl/11-osb-2019-annual-report-and-accounts.pdf
Investment securities measurement-basis breakdown (Company column, £m) — 'Investment securities' note:
FY2025 &amp; FY2024: Note 15, p.129 — https://find-and-update.company-information.service.gov.uk/company/07312896/filing-history/MzUyMDIyOTcwM2FkaXF6a2N4/document?download=0&amp;format=pdf
FY2024 &amp; FY2023 (2024 filing's own comparative): Note 15, p.128 — https://find-and-update.company-information.service.gov.uk/company/07312896/filing-history/MzQ2NTMxODAwN2FkaXF6a2N4/document?download=0&amp;format=pdf
FY2023 &amp; FY2022: Note 15, p.122 — https://find-and-update.company-information.service.gov.uk/company/07312896/filing-history/MzQxOTAwNzg1NWFkaXF6a2N4/document?download=0&amp;format=pdf
FY2021 &amp; FY2020: Note 18, p.135 — https://www.onesavingsbank.com/media/5n1lklrr/onesavings-bank-plc-2021-accounts.pdf
The 2023-2025 Companies House filings are scanned/image-only and were OCR'd; each year's amortised cost + FVOCI + FVTPL legs were checked to sum exactly to that year's own 'Investment securities' Balance Sheet total above.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49:G4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OneSavings Bank plc — Statement of Cash Flows</t>
        </is>
      </c>
    </row>
    <row r="2">
      <c r="A2" s="2" t="inlineStr">
        <is>
          <t>Company-only basis, £m. Pillar 3 sheets are OSB Group consolidated; see source note.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5" t="inlineStr">
        <is>
          <t>Operating activities</t>
        </is>
      </c>
      <c r="B4" s="6" t="n"/>
      <c r="C4" s="6" t="n"/>
      <c r="D4" s="6" t="n"/>
      <c r="E4" s="6" t="n"/>
      <c r="F4" s="6" t="n"/>
      <c r="G4" s="6" t="n"/>
      <c r="H4" s="6" t="n"/>
    </row>
    <row r="5">
      <c r="A5" s="6" t="inlineStr">
        <is>
          <t>Profit before taxation</t>
        </is>
      </c>
      <c r="B5" s="6" t="n">
        <v>415.6</v>
      </c>
      <c r="C5" s="6" t="n">
        <v>345.9</v>
      </c>
      <c r="D5" s="6" t="n">
        <v>446.9</v>
      </c>
      <c r="E5" s="6" t="n">
        <v>387.3</v>
      </c>
      <c r="F5" s="6" t="n">
        <v>314.5</v>
      </c>
      <c r="G5" s="6" t="n">
        <v>197.3</v>
      </c>
      <c r="H5" s="6" t="n">
        <v>189.4</v>
      </c>
    </row>
    <row r="6">
      <c r="A6" s="6" t="inlineStr">
        <is>
          <t>Adjustments for non-cash and other items</t>
        </is>
      </c>
      <c r="B6" s="6" t="n">
        <v>131.2</v>
      </c>
      <c r="C6" s="6" t="n">
        <v>126.3</v>
      </c>
      <c r="D6" s="6" t="n">
        <v>153.1</v>
      </c>
      <c r="E6" s="6" t="n">
        <v>68.59999999999999</v>
      </c>
      <c r="F6" s="6" t="n">
        <v>12.2</v>
      </c>
      <c r="G6" s="6" t="n">
        <v>39.2</v>
      </c>
      <c r="H6" s="6" t="n">
        <v>26.8</v>
      </c>
    </row>
    <row r="7">
      <c r="A7" s="6" t="inlineStr">
        <is>
          <t>Changes in operating assets and liabilities</t>
        </is>
      </c>
      <c r="B7" s="6" t="n">
        <v>563.7</v>
      </c>
      <c r="C7" s="6" t="n">
        <v>521.6</v>
      </c>
      <c r="D7" s="6" t="n">
        <v>-402.4</v>
      </c>
      <c r="E7" s="6" t="n">
        <v>276.6</v>
      </c>
      <c r="F7" s="6" t="n">
        <v>-817.4</v>
      </c>
      <c r="G7" s="6" t="n">
        <v>-573.7</v>
      </c>
      <c r="H7" s="6" t="n">
        <v>-577.4</v>
      </c>
    </row>
    <row r="8">
      <c r="A8" s="5" t="inlineStr">
        <is>
          <t>Net operating cash flow reconciliation</t>
        </is>
      </c>
      <c r="B8" s="6" t="n"/>
      <c r="C8" s="6" t="n"/>
      <c r="D8" s="6" t="n"/>
      <c r="E8" s="6" t="n"/>
      <c r="F8" s="6" t="n"/>
      <c r="G8" s="6" t="n"/>
      <c r="H8" s="6" t="n"/>
    </row>
    <row r="9">
      <c r="A9" s="6" t="inlineStr">
        <is>
          <t>Cash generated in operating activities</t>
        </is>
      </c>
      <c r="B9" s="6" t="n">
        <v>1110.5</v>
      </c>
      <c r="C9" s="6" t="n">
        <v>993.8</v>
      </c>
      <c r="D9" s="6" t="n">
        <v>197.6</v>
      </c>
      <c r="E9" s="6" t="n">
        <v>732.5</v>
      </c>
      <c r="F9" s="6" t="n">
        <v>-490.7</v>
      </c>
      <c r="G9" s="6" t="n">
        <v>-337.2</v>
      </c>
      <c r="H9" s="6" t="n">
        <v>-361.2</v>
      </c>
    </row>
    <row r="10">
      <c r="A10" s="6" t="inlineStr">
        <is>
          <t>Provisions paid</t>
        </is>
      </c>
      <c r="B10" s="6" t="n">
        <v>-3.3</v>
      </c>
      <c r="C10" s="6" t="n"/>
      <c r="D10" s="6" t="n"/>
      <c r="E10" s="6" t="n"/>
      <c r="F10" s="6" t="n"/>
      <c r="G10" s="6" t="n">
        <v>0</v>
      </c>
      <c r="H10" s="6" t="n">
        <v>-0.2</v>
      </c>
    </row>
    <row r="11">
      <c r="A11" s="6" t="inlineStr">
        <is>
          <t>Net tax paid</t>
        </is>
      </c>
      <c r="B11" s="6" t="n">
        <v>-10.8</v>
      </c>
      <c r="C11" s="6" t="n">
        <v>-52.3</v>
      </c>
      <c r="D11" s="6" t="n">
        <v>-46.3</v>
      </c>
      <c r="E11" s="6" t="n">
        <v>-54</v>
      </c>
      <c r="F11" s="6" t="n">
        <v>-53.2</v>
      </c>
      <c r="G11" s="6" t="n">
        <v>-53.6</v>
      </c>
      <c r="H11" s="6" t="n">
        <v>-32.4</v>
      </c>
    </row>
    <row r="12">
      <c r="A12" s="5" t="inlineStr">
        <is>
          <t>Net cash generated from operating activities</t>
        </is>
      </c>
      <c r="B12" s="5" t="n">
        <v>1096.4</v>
      </c>
      <c r="C12" s="5" t="n">
        <v>941.5</v>
      </c>
      <c r="D12" s="5" t="n">
        <v>151.3</v>
      </c>
      <c r="E12" s="5" t="n">
        <v>678.5</v>
      </c>
      <c r="F12" s="5" t="n">
        <v>-543.9</v>
      </c>
      <c r="G12" s="5" t="n">
        <v>-390.8</v>
      </c>
      <c r="H12" s="5" t="n">
        <v>-393.8</v>
      </c>
    </row>
    <row r="13">
      <c r="A13" s="5" t="inlineStr">
        <is>
          <t>Investing activities</t>
        </is>
      </c>
      <c r="B13" s="6" t="n"/>
      <c r="C13" s="6" t="n"/>
      <c r="D13" s="6" t="n"/>
      <c r="E13" s="6" t="n"/>
      <c r="F13" s="6" t="n"/>
      <c r="G13" s="6" t="n"/>
      <c r="H13" s="6" t="n"/>
    </row>
    <row r="14">
      <c r="A14" s="6" t="inlineStr">
        <is>
          <t>Maturity and sales of investment securities</t>
        </is>
      </c>
      <c r="B14" s="6" t="n">
        <v>303.7</v>
      </c>
      <c r="C14" s="6" t="n">
        <v>428.9</v>
      </c>
      <c r="D14" s="6" t="n">
        <v>317.5</v>
      </c>
      <c r="E14" s="6" t="n">
        <v>451</v>
      </c>
      <c r="F14" s="6" t="n">
        <v>215.4</v>
      </c>
      <c r="G14" s="6" t="n">
        <v>291.1</v>
      </c>
      <c r="H14" s="6" t="n">
        <v>349</v>
      </c>
    </row>
    <row r="15">
      <c r="A15" s="6" t="inlineStr">
        <is>
          <t>Purchases of investment securities</t>
        </is>
      </c>
      <c r="B15" s="6" t="n">
        <v>-405.7</v>
      </c>
      <c r="C15" s="6" t="n">
        <v>-559.8</v>
      </c>
      <c r="D15" s="6" t="n">
        <v>-592</v>
      </c>
      <c r="E15" s="6" t="n">
        <v>-556.4</v>
      </c>
      <c r="F15" s="6" t="n">
        <v>-216.6</v>
      </c>
      <c r="G15" s="6" t="n">
        <v>-205.9</v>
      </c>
      <c r="H15" s="6" t="n">
        <v>-389.9</v>
      </c>
    </row>
    <row r="16">
      <c r="A16" s="6" t="inlineStr">
        <is>
          <t>Interest received on investment securities</t>
        </is>
      </c>
      <c r="B16" s="6" t="n">
        <v>22.7</v>
      </c>
      <c r="C16" s="6" t="n">
        <v>23.5</v>
      </c>
      <c r="D16" s="6" t="n">
        <v>16.3</v>
      </c>
      <c r="E16" s="6" t="n">
        <v>3</v>
      </c>
      <c r="F16" s="6" t="n">
        <v>0.2</v>
      </c>
      <c r="G16" s="6" t="n">
        <v>0.4</v>
      </c>
      <c r="H16" s="6" t="n">
        <v>0</v>
      </c>
    </row>
    <row r="17">
      <c r="A17" s="6" t="inlineStr">
        <is>
          <t>Sales of financial instruments</t>
        </is>
      </c>
      <c r="B17" s="6" t="n"/>
      <c r="C17" s="6" t="n"/>
      <c r="D17" s="6" t="n"/>
      <c r="E17" s="6" t="n"/>
      <c r="F17" s="6" t="n">
        <v>0.3</v>
      </c>
      <c r="G17" s="6" t="n">
        <v>248.9</v>
      </c>
      <c r="H17" s="6" t="n">
        <v>0</v>
      </c>
    </row>
    <row r="18">
      <c r="A18" s="6" t="inlineStr">
        <is>
          <t>Investments in subsidiaries</t>
        </is>
      </c>
      <c r="B18" s="6" t="n"/>
      <c r="C18" s="6" t="n"/>
      <c r="D18" s="6" t="n">
        <v>0</v>
      </c>
      <c r="E18" s="6" t="n">
        <v>-3.2</v>
      </c>
      <c r="F18" s="6" t="n"/>
      <c r="G18" s="6" t="n"/>
      <c r="H18" s="6" t="n"/>
    </row>
    <row r="19">
      <c r="A19" s="6" t="inlineStr">
        <is>
          <t>Proceeds from sale of property, plant and equipment</t>
        </is>
      </c>
      <c r="B19" s="6" t="n">
        <v>1.1</v>
      </c>
      <c r="C19" s="6" t="n"/>
      <c r="D19" s="6" t="n"/>
      <c r="E19" s="6" t="n"/>
      <c r="F19" s="6" t="n">
        <v>2</v>
      </c>
      <c r="G19" s="6" t="n"/>
      <c r="H19" s="6" t="n"/>
    </row>
    <row r="20">
      <c r="A20" s="6" t="inlineStr">
        <is>
          <t>Purchases of property, plant and equipment and intangible assets</t>
        </is>
      </c>
      <c r="B20" s="6" t="n">
        <v>-29.6</v>
      </c>
      <c r="C20" s="6" t="n">
        <v>-34</v>
      </c>
      <c r="D20" s="6" t="n">
        <v>-24.4</v>
      </c>
      <c r="E20" s="6" t="n">
        <v>-7.2</v>
      </c>
      <c r="F20" s="6" t="n">
        <v>-5</v>
      </c>
      <c r="G20" s="6" t="n">
        <v>-4.3</v>
      </c>
      <c r="H20" s="6" t="n">
        <v>-6.7</v>
      </c>
    </row>
    <row r="21">
      <c r="A21" s="5" t="inlineStr">
        <is>
          <t>Net cash from investing activities</t>
        </is>
      </c>
      <c r="B21" s="5" t="n">
        <v>-107.8</v>
      </c>
      <c r="C21" s="5" t="n">
        <v>-141.4</v>
      </c>
      <c r="D21" s="5" t="n">
        <v>-282.6</v>
      </c>
      <c r="E21" s="5" t="n">
        <v>-112.8</v>
      </c>
      <c r="F21" s="5" t="n">
        <v>-3.7</v>
      </c>
      <c r="G21" s="5" t="n">
        <v>330.2</v>
      </c>
      <c r="H21" s="5" t="n">
        <v>-47.6</v>
      </c>
    </row>
    <row r="22">
      <c r="A22" s="5" t="inlineStr">
        <is>
          <t>Financing activities</t>
        </is>
      </c>
      <c r="B22" s="6" t="n"/>
      <c r="C22" s="6" t="n"/>
      <c r="D22" s="6" t="n"/>
      <c r="E22" s="6" t="n"/>
      <c r="F22" s="6" t="n"/>
      <c r="G22" s="6" t="n"/>
      <c r="H22" s="6" t="n"/>
    </row>
    <row r="23">
      <c r="A23" s="6" t="inlineStr">
        <is>
          <t>Financing received</t>
        </is>
      </c>
      <c r="B23" s="6" t="n">
        <v>1377.2</v>
      </c>
      <c r="C23" s="6" t="n">
        <v>527</v>
      </c>
      <c r="D23" s="6" t="n">
        <v>578.7</v>
      </c>
      <c r="E23" s="6" t="n">
        <v>120</v>
      </c>
      <c r="F23" s="6" t="n">
        <v>3163.6</v>
      </c>
      <c r="G23" s="6" t="n">
        <v>1060.2</v>
      </c>
      <c r="H23" s="6" t="n">
        <v>602.2</v>
      </c>
    </row>
    <row r="24">
      <c r="A24" s="6" t="inlineStr">
        <is>
          <t>Financing repaid</t>
        </is>
      </c>
      <c r="B24" s="6" t="n">
        <v>-1805.9</v>
      </c>
      <c r="C24" s="6" t="n">
        <v>-764.2</v>
      </c>
      <c r="D24" s="6" t="n">
        <v>-597.2</v>
      </c>
      <c r="E24" s="6" t="n">
        <v>-304.1</v>
      </c>
      <c r="F24" s="6" t="n">
        <v>-2589.1</v>
      </c>
      <c r="G24" s="6" t="n">
        <v>-764.7</v>
      </c>
      <c r="H24" s="6" t="n">
        <v>-275</v>
      </c>
    </row>
    <row r="25">
      <c r="A25" s="6" t="inlineStr">
        <is>
          <t>Interest paid on financing</t>
        </is>
      </c>
      <c r="B25" s="6" t="n">
        <v>-110.9</v>
      </c>
      <c r="C25" s="6" t="n">
        <v>-145.4</v>
      </c>
      <c r="D25" s="6" t="n">
        <v>-107.7</v>
      </c>
      <c r="E25" s="6" t="n">
        <v>-25.5</v>
      </c>
      <c r="F25" s="6" t="n">
        <v>-6.6</v>
      </c>
      <c r="G25" s="6" t="n">
        <v>-9.800000000000001</v>
      </c>
      <c r="H25" s="6" t="n">
        <v>-2.5</v>
      </c>
    </row>
    <row r="26">
      <c r="A26" s="6" t="inlineStr">
        <is>
          <t>Dividends paid</t>
        </is>
      </c>
      <c r="B26" s="6" t="n">
        <v>-219</v>
      </c>
      <c r="C26" s="6" t="n">
        <v>-218.7</v>
      </c>
      <c r="D26" s="6" t="n">
        <v>-335</v>
      </c>
      <c r="E26" s="6" t="n">
        <v>-233.1</v>
      </c>
      <c r="F26" s="6" t="n">
        <v>-86.7</v>
      </c>
      <c r="G26" s="6" t="n">
        <v>0</v>
      </c>
      <c r="H26" s="6" t="n">
        <v>-37.3</v>
      </c>
    </row>
    <row r="27">
      <c r="A27" s="6" t="inlineStr">
        <is>
          <t>Coupon paid on AT1 securities</t>
        </is>
      </c>
      <c r="B27" s="6" t="n"/>
      <c r="C27" s="6" t="n">
        <v>-5.4</v>
      </c>
      <c r="D27" s="6" t="n">
        <v>-5.4</v>
      </c>
      <c r="E27" s="6" t="n">
        <v>-5.4</v>
      </c>
      <c r="F27" s="6" t="n">
        <v>-4.7</v>
      </c>
      <c r="G27" s="6" t="n">
        <v>-5.5</v>
      </c>
      <c r="H27" s="6" t="n">
        <v>-5.5</v>
      </c>
    </row>
    <row r="28">
      <c r="A28" s="6" t="inlineStr">
        <is>
          <t>Net swap interest paid on subordinated liabilities and senior notes</t>
        </is>
      </c>
      <c r="B28" s="6" t="n"/>
      <c r="C28" s="6" t="n">
        <v>-2.7</v>
      </c>
      <c r="D28" s="6" t="n"/>
      <c r="E28" s="6" t="n"/>
      <c r="F28" s="6" t="n"/>
      <c r="G28" s="6" t="n"/>
      <c r="H28" s="6" t="n"/>
    </row>
    <row r="29">
      <c r="A29" s="6" t="inlineStr">
        <is>
          <t>Net swap interest paid on structural hedge</t>
        </is>
      </c>
      <c r="B29" s="6" t="n"/>
      <c r="C29" s="6" t="n">
        <v>-2.1</v>
      </c>
      <c r="D29" s="6" t="n"/>
      <c r="E29" s="6" t="n"/>
      <c r="F29" s="6" t="n"/>
      <c r="G29" s="6" t="n"/>
      <c r="H29" s="6" t="n"/>
    </row>
    <row r="30">
      <c r="A30" s="6" t="inlineStr">
        <is>
          <t>Redemption of AT1 securities</t>
        </is>
      </c>
      <c r="B30" s="6" t="n">
        <v>-80</v>
      </c>
      <c r="C30" s="6" t="n"/>
      <c r="D30" s="6" t="n"/>
      <c r="E30" s="6" t="n"/>
      <c r="F30" s="6" t="n">
        <v>-63.5</v>
      </c>
      <c r="G30" s="6" t="n"/>
      <c r="H30" s="6" t="n"/>
    </row>
    <row r="31">
      <c r="A31" s="6" t="inlineStr">
        <is>
          <t>Issuance of AT1 securities</t>
        </is>
      </c>
      <c r="B31" s="6" t="n">
        <v>89.40000000000001</v>
      </c>
      <c r="C31" s="6" t="n"/>
      <c r="D31" s="6" t="n"/>
      <c r="E31" s="6" t="n"/>
      <c r="F31" s="6" t="n">
        <v>90</v>
      </c>
      <c r="G31" s="6" t="n"/>
      <c r="H31" s="6" t="n"/>
    </row>
    <row r="32">
      <c r="A32" s="6" t="inlineStr">
        <is>
          <t>Repayments of principal portion of lease liabilities</t>
        </is>
      </c>
      <c r="B32" s="6" t="n"/>
      <c r="C32" s="6" t="n">
        <v>-0.5</v>
      </c>
      <c r="D32" s="6" t="n">
        <v>-0.7</v>
      </c>
      <c r="E32" s="6" t="n">
        <v>-0.8</v>
      </c>
      <c r="F32" s="6" t="n">
        <v>-0.7</v>
      </c>
      <c r="G32" s="6" t="n">
        <v>-0.6</v>
      </c>
      <c r="H32" s="6" t="n">
        <v>-0.8</v>
      </c>
    </row>
    <row r="33">
      <c r="A33" s="6" t="inlineStr">
        <is>
          <t>Other financing activities</t>
        </is>
      </c>
      <c r="B33" s="6" t="n">
        <v>-10</v>
      </c>
      <c r="C33" s="6" t="n"/>
      <c r="D33" s="6" t="n"/>
      <c r="E33" s="6" t="n"/>
      <c r="F33" s="6" t="n"/>
      <c r="G33" s="6" t="n"/>
      <c r="H33" s="6" t="n"/>
    </row>
    <row r="34">
      <c r="A34" s="6" t="inlineStr">
        <is>
          <t>Proceeds from issuance of shares under employee SAYE scheme</t>
        </is>
      </c>
      <c r="B34" s="6" t="n"/>
      <c r="C34" s="6" t="n"/>
      <c r="D34" s="6" t="n">
        <v>0</v>
      </c>
      <c r="E34" s="6" t="n">
        <v>0</v>
      </c>
      <c r="F34" s="6" t="n">
        <v>0</v>
      </c>
      <c r="G34" s="6" t="n">
        <v>2.6</v>
      </c>
      <c r="H34" s="6" t="n">
        <v>0.4</v>
      </c>
    </row>
    <row r="35">
      <c r="A35" s="5" t="inlineStr">
        <is>
          <t>Net cash from financing activities</t>
        </is>
      </c>
      <c r="B35" s="5" t="n">
        <v>-759.2</v>
      </c>
      <c r="C35" s="5" t="n">
        <v>-612</v>
      </c>
      <c r="D35" s="5" t="n">
        <v>-467.3</v>
      </c>
      <c r="E35" s="5" t="n">
        <v>-448.9</v>
      </c>
      <c r="F35" s="5" t="n">
        <v>502.3</v>
      </c>
      <c r="G35" s="5" t="n">
        <v>281.6</v>
      </c>
      <c r="H35" s="5" t="n">
        <v>281.1</v>
      </c>
    </row>
    <row r="36">
      <c r="A36" s="5" t="inlineStr">
        <is>
          <t>Net (decrease)/increase in cash and cash equivalents</t>
        </is>
      </c>
      <c r="B36" s="5" t="n">
        <v>229.4</v>
      </c>
      <c r="C36" s="5" t="n">
        <v>188.1</v>
      </c>
      <c r="D36" s="5" t="n">
        <v>-598.6</v>
      </c>
      <c r="E36" s="5" t="n">
        <v>116.8</v>
      </c>
      <c r="F36" s="5" t="n">
        <v>-45.3</v>
      </c>
      <c r="G36" s="5" t="n">
        <v>221</v>
      </c>
      <c r="H36" s="5" t="n">
        <v>-160.3</v>
      </c>
    </row>
    <row r="37">
      <c r="A37" s="6" t="inlineStr">
        <is>
          <t>Cash and cash equivalents at the beginning of the year</t>
        </is>
      </c>
      <c r="B37" s="6" t="n">
        <v>1038.6</v>
      </c>
      <c r="C37" s="6" t="n">
        <v>850.5</v>
      </c>
      <c r="D37" s="6" t="n">
        <v>1449.1</v>
      </c>
      <c r="E37" s="6" t="n">
        <v>1332.3</v>
      </c>
      <c r="F37" s="6" t="n">
        <v>1377.6</v>
      </c>
      <c r="G37" s="6" t="n">
        <v>1156.6</v>
      </c>
      <c r="H37" s="6" t="n">
        <v>1316.9</v>
      </c>
    </row>
    <row r="38">
      <c r="A38" s="5" t="inlineStr">
        <is>
          <t>Cash and cash equivalents at the end of the year</t>
        </is>
      </c>
      <c r="B38" s="5" t="n">
        <v>1268</v>
      </c>
      <c r="C38" s="5" t="n">
        <v>1038.6</v>
      </c>
      <c r="D38" s="5" t="n">
        <v>850.5</v>
      </c>
      <c r="E38" s="5" t="n">
        <v>1449.1</v>
      </c>
      <c r="F38" s="5" t="n">
        <v>1332.3</v>
      </c>
      <c r="G38" s="5" t="n">
        <v>1377.6</v>
      </c>
      <c r="H38" s="5" t="n">
        <v>1156.6</v>
      </c>
    </row>
    <row r="40" ht="260" customHeight="1">
      <c r="A40" s="8" t="inlineStr">
        <is>
          <t>Sources — OneSavings Bank plc (Company-only basis), Statement of Cash Flows, £m:
FY2025 &amp; FY2024: OneSavings Bank plc Annual Report and Financial Statements for the year ended 31 December 2025, p.91 (Company column; FY2024 comparative) — https://find-and-update.company-information.service.gov.uk/company/07312896/filing-history/MzUyMDIyOTcwM2FkaXF6a2N4/document?download=0&amp;format=pdf
FY2024 &amp; FY2023: OneSavings Bank plc Annual Report and Financial Statements for the year ended 31 December 2024, p.91 (Company column; FY2023 comparative) — https://find-and-update.company-information.service.gov.uk/company/07312896/filing-history/MzQ2NTMxODAwN2FkaXF6a2N4/document?download=0&amp;format=pdf
FY2023 &amp; FY2022: OneSavings Bank plc Annual Report and Financial Statements for the year ended 31 December 2023, p.89 (Company column; FY2022 comparative) — https://find-and-update.company-information.service.gov.uk/company/07312896/filing-history/MzQxOTAwNzg1NWFkaXF6a2N4/document?download=0&amp;format=pdf
FY2021: OneSavings Bank plc Annual Report and Financial Statements for the year ended 31 December 2021, p.98 (Company column) — https://www.onesavingsbank.com/media/5n1lklrr/onesavings-bank-plc-2021-accounts.pdf
FY2020 &amp; FY2019: OneSavings Bank plc Annual Report and Accounts for the year ended 31 December 2020, p.98 (Company columns; FY2019 comparative) — https://www.onesavingsbank.com/media/03kpilxl/onesavings-bank-plc-2020-accounts.pdf; FY2019 cross-check: 2019 Annual Report and Accounts, p.166 (Company column) — https://www.osb.co.uk/media/utofi4fl/11-osb-2019-annual-report-and-accounts.pdf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40:H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OneSavings Bank plc — Asset Quality</t>
        </is>
      </c>
    </row>
    <row r="2">
      <c r="A2" s="2" t="inlineStr">
        <is>
          <t>OSB Group consolidated Pillar 3 basis, £m ('Loans and advances' row of the UK CR1 template only - excludes cash balances at central banks and debt securities, which the same table shows as 100% Stage 1/performing every year). NPL and coverage ratios are derived from the disclosed figures, not separately disclosed by the Group.</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Loans and advances, gross carrying amount by IFRS 9 stage</t>
        </is>
      </c>
      <c r="B4" s="6" t="n"/>
      <c r="C4" s="6" t="n"/>
      <c r="D4" s="6" t="n"/>
      <c r="E4" s="6" t="n"/>
      <c r="F4" s="6" t="n"/>
    </row>
    <row r="5">
      <c r="A5" s="6" t="inlineStr">
        <is>
          <t>Stage 1 (performing)</t>
        </is>
      </c>
      <c r="B5" s="6" t="n">
        <v>21689.5</v>
      </c>
      <c r="C5" s="6" t="n">
        <v>20177.2</v>
      </c>
      <c r="D5" s="6" t="n">
        <v>21017.9</v>
      </c>
      <c r="E5" s="6" t="n">
        <v>19033.2</v>
      </c>
      <c r="F5" s="6" t="n">
        <v>20950.7</v>
      </c>
    </row>
    <row r="6">
      <c r="A6" s="6" t="inlineStr">
        <is>
          <t>Stage 2 (performing)</t>
        </is>
      </c>
      <c r="B6" s="6" t="n">
        <v>3821.4</v>
      </c>
      <c r="C6" s="6" t="n">
        <v>4352</v>
      </c>
      <c r="D6" s="6" t="n">
        <v>4524.3</v>
      </c>
      <c r="E6" s="6" t="n">
        <v>4411.5</v>
      </c>
      <c r="F6" s="6" t="n">
        <v>2408.6</v>
      </c>
    </row>
    <row r="7">
      <c r="A7" s="6" t="inlineStr">
        <is>
          <t>Non-performing (predominantly Stage 3)</t>
        </is>
      </c>
      <c r="B7" s="6" t="n">
        <v>1061.9</v>
      </c>
      <c r="C7" s="6" t="n">
        <v>1009.7</v>
      </c>
      <c r="D7" s="6" t="n">
        <v>796.5</v>
      </c>
      <c r="E7" s="6" t="n">
        <v>595.4</v>
      </c>
      <c r="F7" s="6" t="n">
        <v>564.6</v>
      </c>
    </row>
    <row r="8">
      <c r="A8" s="5" t="inlineStr">
        <is>
          <t>Total loans and advances, gross carrying amount</t>
        </is>
      </c>
      <c r="B8" s="5" t="n">
        <v>25522.3</v>
      </c>
      <c r="C8" s="5" t="n">
        <v>24541.8</v>
      </c>
      <c r="D8" s="5" t="n">
        <v>25555.4</v>
      </c>
      <c r="E8" s="5" t="n">
        <v>23459.1</v>
      </c>
      <c r="F8" s="5" t="n">
        <v>23359.3</v>
      </c>
    </row>
    <row r="9">
      <c r="A9" s="5" t="inlineStr">
        <is>
          <t>Accumulated impairment</t>
        </is>
      </c>
      <c r="B9" s="6" t="n"/>
      <c r="C9" s="6" t="n"/>
      <c r="D9" s="6" t="n"/>
      <c r="E9" s="6" t="n"/>
      <c r="F9" s="6" t="n"/>
    </row>
    <row r="10">
      <c r="A10" s="6" t="inlineStr">
        <is>
          <t>On performing exposures (Stage 1 + Stage 2)</t>
        </is>
      </c>
      <c r="B10" s="6" t="n">
        <v>-46</v>
      </c>
      <c r="C10" s="6" t="n">
        <v>-53.3</v>
      </c>
      <c r="D10" s="6" t="n">
        <v>-77</v>
      </c>
      <c r="E10" s="6" t="n">
        <v>-58.4</v>
      </c>
      <c r="F10" s="6" t="n">
        <v>-39.7</v>
      </c>
    </row>
    <row r="11">
      <c r="A11" s="6" t="inlineStr">
        <is>
          <t>On non-performing exposures</t>
        </is>
      </c>
      <c r="B11" s="6" t="n">
        <v>-77</v>
      </c>
      <c r="C11" s="6" t="n">
        <v>-73.59999999999999</v>
      </c>
      <c r="D11" s="6" t="n">
        <v>-68.8</v>
      </c>
      <c r="E11" s="6" t="n">
        <v>-71.59999999999999</v>
      </c>
      <c r="F11" s="6" t="n">
        <v>-61.8</v>
      </c>
    </row>
    <row r="12">
      <c r="A12" s="5" t="inlineStr">
        <is>
          <t>Net carrying amount</t>
        </is>
      </c>
      <c r="B12" s="5" t="n">
        <v>25399.3</v>
      </c>
      <c r="C12" s="5" t="n">
        <v>24414.9</v>
      </c>
      <c r="D12" s="5" t="n">
        <v>25409.6</v>
      </c>
      <c r="E12" s="5" t="n">
        <v>23329.1</v>
      </c>
      <c r="F12" s="5" t="n">
        <v>23257.8</v>
      </c>
    </row>
    <row r="13">
      <c r="A13" s="5" t="inlineStr">
        <is>
          <t>Derived ratios</t>
        </is>
      </c>
      <c r="B13" s="6" t="n"/>
      <c r="C13" s="6" t="n"/>
      <c r="D13" s="6" t="n"/>
      <c r="E13" s="6" t="n"/>
      <c r="F13" s="6" t="n"/>
    </row>
    <row r="14">
      <c r="A14" s="6" t="inlineStr">
        <is>
          <t>NPL ratio (non-performing / total gross carrying amount)</t>
        </is>
      </c>
      <c r="B14" s="6" t="inlineStr">
        <is>
          <t>4.16%</t>
        </is>
      </c>
      <c r="C14" s="6" t="inlineStr">
        <is>
          <t>4.11%</t>
        </is>
      </c>
      <c r="D14" s="6" t="inlineStr">
        <is>
          <t>3.12%</t>
        </is>
      </c>
      <c r="E14" s="6" t="inlineStr">
        <is>
          <t>2.54%</t>
        </is>
      </c>
      <c r="F14" s="6" t="inlineStr">
        <is>
          <t>2.42%</t>
        </is>
      </c>
    </row>
    <row r="15">
      <c r="A15" s="6" t="inlineStr">
        <is>
          <t>Coverage ratio (accumulated impairment on non-performing / non-performing gross)</t>
        </is>
      </c>
      <c r="B15" s="6" t="inlineStr">
        <is>
          <t>7.25%</t>
        </is>
      </c>
      <c r="C15" s="6" t="inlineStr">
        <is>
          <t>7.29%</t>
        </is>
      </c>
      <c r="D15" s="6" t="inlineStr">
        <is>
          <t>8.64%</t>
        </is>
      </c>
      <c r="E15" s="6" t="inlineStr">
        <is>
          <t>12.03%</t>
        </is>
      </c>
      <c r="F15" s="6" t="inlineStr">
        <is>
          <t>10.95%</t>
        </is>
      </c>
    </row>
    <row r="17" ht="200" customHeight="1">
      <c r="A17" s="8" t="inlineStr">
        <is>
          <t>Sources — OSB Group plc consolidated Pillar 3 basis, UK CR1 (Performing and non-performing exposures and related provisions), 'Loans and advances' row only:
FY2025: Pillar 3 Disclosures 31 December 2025, p.38 — https://www.onesavingsbank.com/media/hbymiii2/q4-2025-osbg-pillar-3-disclosure.pdf
FY2024: Pillar 3 Disclosures 31 December 2024, p.56 — https://www.onesavingsbank.com/media/143pzceq/q4-2024-osbg-pillar-3-disclosure.pdf
FY2023: Pillar 3 Disclosures 31 December 2023, p.53 — https://www.onesavingsbank.com/media/kn3nulae/q4-2023-osb-pillar-3-disclosures.pdf
FY2022: Pillar 3 Disclosures 31 December 2022, p.44 — https://www.onesavingsbank.com/media/cqepdkda/osb-group-pillar-3-disclosures-2022.pdf
FY2021: Pillar 3 Disclosures for year ended 31 December 2021, Table 25, p.44 — https://www.onesavingsbank.com/media/iuvfpajb/osb-group-pillar-3-disclosures-2021.pdf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17:F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OneSavings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Return on equity - average equity basis</t>
        </is>
      </c>
      <c r="B4" s="6" t="inlineStr">
        <is>
          <t>14.27%</t>
        </is>
      </c>
      <c r="C4" s="6" t="inlineStr">
        <is>
          <t>16.33%</t>
        </is>
      </c>
      <c r="D4" s="6" t="inlineStr">
        <is>
          <t>15.56%</t>
        </is>
      </c>
      <c r="E4" s="6" t="inlineStr">
        <is>
          <t>23.58%</t>
        </is>
      </c>
      <c r="F4" s="6" t="inlineStr">
        <is>
          <t>21.66%</t>
        </is>
      </c>
      <c r="G4" s="6" t="inlineStr">
        <is>
          <t>13.90%</t>
        </is>
      </c>
      <c r="H4" s="6" t="n"/>
    </row>
    <row r="5">
      <c r="A5" s="6" t="inlineStr">
        <is>
          <t>Return on equity - year-end equity basis</t>
        </is>
      </c>
      <c r="B5" s="6" t="inlineStr">
        <is>
          <t>13.68%</t>
        </is>
      </c>
      <c r="C5" s="6" t="inlineStr">
        <is>
          <t>16.00%</t>
        </is>
      </c>
      <c r="D5" s="6" t="inlineStr">
        <is>
          <t>15.34%</t>
        </is>
      </c>
      <c r="E5" s="6" t="inlineStr">
        <is>
          <t>22.89%</t>
        </is>
      </c>
      <c r="F5" s="6" t="inlineStr">
        <is>
          <t>20.40%</t>
        </is>
      </c>
      <c r="G5" s="6" t="inlineStr">
        <is>
          <t>13.13%</t>
        </is>
      </c>
      <c r="H5" s="6" t="inlineStr">
        <is>
          <t>11.96%</t>
        </is>
      </c>
    </row>
    <row r="6">
      <c r="A6" s="6" t="inlineStr">
        <is>
          <t>Return on assets - average assets basis</t>
        </is>
      </c>
      <c r="B6" s="6" t="inlineStr">
        <is>
          <t>1.54%</t>
        </is>
      </c>
      <c r="C6" s="6" t="inlineStr">
        <is>
          <t>1.78%</t>
        </is>
      </c>
      <c r="D6" s="6" t="inlineStr">
        <is>
          <t>1.75%</t>
        </is>
      </c>
      <c r="E6" s="6" t="inlineStr">
        <is>
          <t>2.77%</t>
        </is>
      </c>
      <c r="F6" s="6" t="inlineStr">
        <is>
          <t>2.51%</t>
        </is>
      </c>
      <c r="G6" s="6" t="inlineStr">
        <is>
          <t>1.46%</t>
        </is>
      </c>
      <c r="H6" s="6" t="n"/>
    </row>
    <row r="7">
      <c r="A7" s="6" t="inlineStr">
        <is>
          <t>Return on assets - year-end assets basis</t>
        </is>
      </c>
      <c r="B7" s="6" t="inlineStr">
        <is>
          <t>1.47%</t>
        </is>
      </c>
      <c r="C7" s="6" t="inlineStr">
        <is>
          <t>1.73%</t>
        </is>
      </c>
      <c r="D7" s="6" t="inlineStr">
        <is>
          <t>1.69%</t>
        </is>
      </c>
      <c r="E7" s="6" t="inlineStr">
        <is>
          <t>2.64%</t>
        </is>
      </c>
      <c r="F7" s="6" t="inlineStr">
        <is>
          <t>2.45%</t>
        </is>
      </c>
      <c r="G7" s="6" t="inlineStr">
        <is>
          <t>1.47%</t>
        </is>
      </c>
      <c r="H7" s="6" t="inlineStr">
        <is>
          <t>1.18%</t>
        </is>
      </c>
    </row>
    <row r="8">
      <c r="A8" s="6" t="inlineStr">
        <is>
          <t>Return on tangible equity (as published)</t>
        </is>
      </c>
      <c r="B8" s="6" t="inlineStr">
        <is>
          <t>8.9%</t>
        </is>
      </c>
      <c r="C8" s="6" t="inlineStr">
        <is>
          <t>Not published</t>
        </is>
      </c>
      <c r="D8" s="6" t="inlineStr">
        <is>
          <t>Not published</t>
        </is>
      </c>
      <c r="E8" s="6" t="inlineStr">
        <is>
          <t>Not published</t>
        </is>
      </c>
      <c r="F8" s="6" t="inlineStr">
        <is>
          <t>Not published</t>
        </is>
      </c>
      <c r="G8" s="6" t="n"/>
      <c r="H8" s="6" t="n"/>
    </row>
    <row r="9">
      <c r="A9" s="6" t="inlineStr">
        <is>
          <t>Statutory return on equity (as published)</t>
        </is>
      </c>
      <c r="B9" s="6" t="inlineStr">
        <is>
          <t>Not published</t>
        </is>
      </c>
      <c r="C9" s="6" t="inlineStr">
        <is>
          <t>14%</t>
        </is>
      </c>
      <c r="D9" s="6" t="inlineStr">
        <is>
          <t>19%</t>
        </is>
      </c>
      <c r="E9" s="6" t="inlineStr">
        <is>
          <t>Not published</t>
        </is>
      </c>
      <c r="F9" s="6" t="inlineStr">
        <is>
          <t>20%</t>
        </is>
      </c>
      <c r="G9" s="6" t="n"/>
      <c r="H9" s="6" t="n"/>
    </row>
    <row r="10">
      <c r="A10" s="6" t="inlineStr">
        <is>
          <t>Underlying return on equity (as published)</t>
        </is>
      </c>
      <c r="B10" s="6" t="inlineStr">
        <is>
          <t>Not published</t>
        </is>
      </c>
      <c r="C10" s="6" t="inlineStr">
        <is>
          <t>15%</t>
        </is>
      </c>
      <c r="D10" s="6" t="inlineStr">
        <is>
          <t>20%</t>
        </is>
      </c>
      <c r="E10" s="6" t="inlineStr">
        <is>
          <t>Not published</t>
        </is>
      </c>
      <c r="F10" s="6" t="inlineStr">
        <is>
          <t>24%</t>
        </is>
      </c>
      <c r="G10" s="6" t="n"/>
      <c r="H10" s="6" t="n"/>
    </row>
    <row r="11" ht="260" customHeight="1">
      <c r="A11"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tangible equity: “Profit attributable to ordinary shareholders, which is profit after tax and after deducting coupons on AT1 securities, as a percentage of a 13-point average of shareholders' equity, excluding 13-point average of intangible assets and AT1 securities.” Statutory return on equity: “Profit after tax attributable to ordinary shareholders, after deducting coupons on AT1 securities gross of tax, as a percentage of a 13-point average of shareholders' equity, excluding £150m of AT1 securities.” Underlying return on equity: “Underlying profit after tax attributable to ordinary shareholders, after deducting coupons on AT1 securities gross of tax, as a percentage of a 13-point average of shareholders' equity, excluding £150m of AT1 securities.”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FY2021, where return on equity is 21.66% on an average basis and 20.40% on a year-end basis.
FY2019 HAS NO AVERAGE-BASIS RATIO, AND THAT IS CORRECT. An average denominator needs an opening balance, and FY2019 is the oldest column this workbook carries, so there is no prior year to open from. The blank is structural, not a missing figure. The year-end basis is shown for FY2019 because it needs only the closing balance.
FIGURES THE BANK PUBLISHED ONLY AS A LATER EDITION'S COMPARATIVE, AND WHY THEY ARE NOT IN THE CELLS ABOVE. FY2024 Return on tangible equity 14%; FY2022 Statutory return on equity 20%; FY2022 Underlying return on equity 23%.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3" ht="170" customHeight="1">
      <c r="A13" s="8"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OneSavings Bank plc's Annual Report and Accounts for each year; see the source cells on the Balance Sheet and Profit &amp; Loss sheets for the exact document, page and table behind every input to every percentage above.
The '(as published)' rows are quoted verbatim from OneSavings Bank plc's own disclosures and are recorded, with the exact document, page and verification state for each, in research/profitability/published_returns.jsonl under ‘ONESAVINGS’.</t>
        </is>
      </c>
    </row>
  </sheetData>
  <mergeCells count="2">
    <mergeCell ref="A13:H13"/>
    <mergeCell ref="A11:H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OneSavings Bank plc — KM1 Key Metrics</t>
        </is>
      </c>
    </row>
    <row r="2">
      <c r="A2" s="2" t="inlineStr">
        <is>
          <t>OSB Group plc's own published 'UK KM1 - Key metrics template', reproduced in its own row order, row numbering, labels and precision. Amounts in £m, ratios as printed. OSB GROUP CONSOLIDATED BASIS, not OneSavings Bank plc solo - see the entity note. Each column is the 31 December column of that year's own edition (FY2021: the FY2022 edition's comparative). FY2019 and FY2020 are not shown at all: those editions do not use the template.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(£m)</t>
        </is>
      </c>
      <c r="B5" s="6" t="n">
        <v>1975.8</v>
      </c>
      <c r="C5" s="6" t="n">
        <v>1946.4</v>
      </c>
      <c r="D5" s="6" t="n">
        <v>1905.7</v>
      </c>
      <c r="E5" s="6" t="n">
        <v>1920.7</v>
      </c>
      <c r="F5" s="6" t="n">
        <v>1781.7</v>
      </c>
    </row>
    <row r="6">
      <c r="A6" s="6" t="inlineStr">
        <is>
          <t>2  Tier 1 capital (£m)</t>
        </is>
      </c>
      <c r="B6" s="6" t="n">
        <v>2142.9</v>
      </c>
      <c r="C6" s="6" t="n">
        <v>2096.4</v>
      </c>
      <c r="D6" s="6" t="n">
        <v>2055.7</v>
      </c>
      <c r="E6" s="6" t="n">
        <v>2070.7</v>
      </c>
      <c r="F6" s="6" t="n">
        <v>1931.7</v>
      </c>
    </row>
    <row r="7">
      <c r="A7" s="6" t="inlineStr">
        <is>
          <t>3  Total capital (£m)</t>
        </is>
      </c>
      <c r="B7" s="6" t="n">
        <v>2392.9</v>
      </c>
      <c r="C7" s="6" t="n">
        <v>2346.4</v>
      </c>
      <c r="D7" s="6" t="n">
        <v>2305.7</v>
      </c>
      <c r="E7" s="6" t="n">
        <v>2070.7</v>
      </c>
      <c r="F7" s="6" t="n">
        <v>1931.7</v>
      </c>
    </row>
    <row r="8">
      <c r="A8" s="5" t="inlineStr">
        <is>
          <t>Risk-weighted exposure amounts</t>
        </is>
      </c>
      <c r="B8" s="6" t="n"/>
      <c r="C8" s="6" t="n"/>
      <c r="D8" s="6" t="n"/>
      <c r="E8" s="6" t="n"/>
      <c r="F8" s="6" t="n"/>
    </row>
    <row r="9">
      <c r="A9" s="6" t="inlineStr">
        <is>
          <t>4  Total risk-weighted exposure amount (£m)</t>
        </is>
      </c>
      <c r="B9" s="6" t="n">
        <v>12541.7</v>
      </c>
      <c r="C9" s="6" t="n">
        <v>11915.7</v>
      </c>
      <c r="D9" s="6" t="n">
        <v>11845.6</v>
      </c>
      <c r="E9" s="6" t="n">
        <v>10494.7</v>
      </c>
      <c r="F9" s="6" t="n">
        <v>9101.6</v>
      </c>
    </row>
    <row r="10">
      <c r="A10" s="5" t="inlineStr">
        <is>
          <t>Capital ratios (as a percentage of risk-weighted exposure amount)</t>
        </is>
      </c>
      <c r="B10" s="6" t="n"/>
      <c r="C10" s="6" t="n"/>
      <c r="D10" s="6" t="n"/>
      <c r="E10" s="6" t="n"/>
      <c r="F10" s="6" t="n"/>
    </row>
    <row r="11">
      <c r="A11" s="6" t="inlineStr">
        <is>
          <t>5  Common Equity Tier 1 ratio (%)</t>
        </is>
      </c>
      <c r="B11" s="6" t="inlineStr">
        <is>
          <t>15.8%</t>
        </is>
      </c>
      <c r="C11" s="6" t="inlineStr">
        <is>
          <t>16.3%</t>
        </is>
      </c>
      <c r="D11" s="6" t="inlineStr">
        <is>
          <t>16.1%</t>
        </is>
      </c>
      <c r="E11" s="6" t="inlineStr">
        <is>
          <t>18.3%</t>
        </is>
      </c>
      <c r="F11" s="6" t="inlineStr">
        <is>
          <t>19.6%</t>
        </is>
      </c>
    </row>
    <row r="12">
      <c r="A12" s="6" t="inlineStr">
        <is>
          <t>6  Tier 1 ratio (%)</t>
        </is>
      </c>
      <c r="B12" s="6" t="inlineStr">
        <is>
          <t>17.1%</t>
        </is>
      </c>
      <c r="C12" s="6" t="inlineStr">
        <is>
          <t>17.6%</t>
        </is>
      </c>
      <c r="D12" s="6" t="inlineStr">
        <is>
          <t>17.4%</t>
        </is>
      </c>
      <c r="E12" s="6" t="inlineStr">
        <is>
          <t>19.7%</t>
        </is>
      </c>
      <c r="F12" s="6" t="inlineStr">
        <is>
          <t>21.2%</t>
        </is>
      </c>
    </row>
    <row r="13">
      <c r="A13" s="6" t="inlineStr">
        <is>
          <t>7  Total capital ratio (%)</t>
        </is>
      </c>
      <c r="B13" s="6" t="inlineStr">
        <is>
          <t>19.1%</t>
        </is>
      </c>
      <c r="C13" s="6" t="inlineStr">
        <is>
          <t>19.7%</t>
        </is>
      </c>
      <c r="D13" s="6" t="inlineStr">
        <is>
          <t>19.5%</t>
        </is>
      </c>
      <c r="E13" s="6" t="inlineStr">
        <is>
          <t>19.7%</t>
        </is>
      </c>
      <c r="F13" s="6" t="inlineStr">
        <is>
          <t>21.2%</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0.8%</t>
        </is>
      </c>
      <c r="C15" s="6" t="inlineStr">
        <is>
          <t>0.8%</t>
        </is>
      </c>
      <c r="D15" s="6" t="inlineStr">
        <is>
          <t>0.8%</t>
        </is>
      </c>
      <c r="E15" s="6" t="inlineStr">
        <is>
          <t>0.8%</t>
        </is>
      </c>
      <c r="F15" s="6" t="inlineStr">
        <is>
          <t>0.8%</t>
        </is>
      </c>
    </row>
    <row r="16">
      <c r="A16" s="6" t="inlineStr">
        <is>
          <t>UK 7b  Additional AT1 SREP requirements (%)</t>
        </is>
      </c>
      <c r="B16" s="6" t="inlineStr">
        <is>
          <t>0.3%</t>
        </is>
      </c>
      <c r="C16" s="6" t="inlineStr">
        <is>
          <t>0.3%</t>
        </is>
      </c>
      <c r="D16" s="6" t="inlineStr">
        <is>
          <t>0.3%</t>
        </is>
      </c>
      <c r="E16" s="6" t="inlineStr">
        <is>
          <t>0.3%</t>
        </is>
      </c>
      <c r="F16" s="6" t="inlineStr">
        <is>
          <t>0.3%</t>
        </is>
      </c>
    </row>
    <row r="17">
      <c r="A17" s="6" t="inlineStr">
        <is>
          <t>UK 7c  Additional T2 SREP requirements (%)</t>
        </is>
      </c>
      <c r="B17" s="6" t="inlineStr">
        <is>
          <t>0.4%</t>
        </is>
      </c>
      <c r="C17" s="6" t="inlineStr">
        <is>
          <t>0.4%</t>
        </is>
      </c>
      <c r="D17" s="6" t="inlineStr">
        <is>
          <t>0.4%</t>
        </is>
      </c>
      <c r="E17" s="6" t="inlineStr">
        <is>
          <t>0.4%</t>
        </is>
      </c>
      <c r="F17" s="6" t="inlineStr">
        <is>
          <t>0.4%</t>
        </is>
      </c>
    </row>
    <row r="18">
      <c r="A18" s="6" t="inlineStr">
        <is>
          <t>UK 7d  Total SREP own funds requirements (%)</t>
        </is>
      </c>
      <c r="B18" s="6" t="inlineStr">
        <is>
          <t>9.5%</t>
        </is>
      </c>
      <c r="C18" s="6" t="inlineStr">
        <is>
          <t>9.5%</t>
        </is>
      </c>
      <c r="D18" s="6" t="inlineStr">
        <is>
          <t>9.4%</t>
        </is>
      </c>
      <c r="E18" s="6" t="inlineStr">
        <is>
          <t>9.5%</t>
        </is>
      </c>
      <c r="F18" s="6" t="inlineStr">
        <is>
          <t>9.5%</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9  Institution specific countercyclical capital buffer (%)</t>
        </is>
      </c>
      <c r="B21" s="6" t="inlineStr">
        <is>
          <t>2.0%</t>
        </is>
      </c>
      <c r="C21" s="6" t="inlineStr">
        <is>
          <t>2.0%</t>
        </is>
      </c>
      <c r="D21" s="6" t="inlineStr">
        <is>
          <t>2.0%</t>
        </is>
      </c>
      <c r="E21" s="6" t="inlineStr">
        <is>
          <t>1.0%</t>
        </is>
      </c>
      <c r="F21" s="6" t="inlineStr">
        <is>
          <t>0%</t>
        </is>
      </c>
    </row>
    <row r="22">
      <c r="A22" s="6" t="inlineStr">
        <is>
          <t>11  Combined buffer requirement (%)</t>
        </is>
      </c>
      <c r="B22" s="6" t="inlineStr">
        <is>
          <t>4.5%</t>
        </is>
      </c>
      <c r="C22" s="6" t="inlineStr">
        <is>
          <t>4.5%</t>
        </is>
      </c>
      <c r="D22" s="6" t="inlineStr">
        <is>
          <t>4.5%</t>
        </is>
      </c>
      <c r="E22" s="6" t="inlineStr">
        <is>
          <t>3.5%</t>
        </is>
      </c>
      <c r="F22" s="6" t="inlineStr">
        <is>
          <t>2.5%</t>
        </is>
      </c>
    </row>
    <row r="23">
      <c r="A23" s="6" t="inlineStr">
        <is>
          <t>UK 11a  Overall capital requirements (%)</t>
        </is>
      </c>
      <c r="B23" s="6" t="inlineStr">
        <is>
          <t>14.0%</t>
        </is>
      </c>
      <c r="C23" s="6" t="inlineStr">
        <is>
          <t>14.0%</t>
        </is>
      </c>
      <c r="D23" s="6" t="inlineStr">
        <is>
          <t>13.9%</t>
        </is>
      </c>
      <c r="E23" s="6" t="inlineStr">
        <is>
          <t>13.0%</t>
        </is>
      </c>
      <c r="F23" s="6" t="inlineStr">
        <is>
          <t>12.3%</t>
        </is>
      </c>
    </row>
    <row r="24">
      <c r="A24" s="6" t="inlineStr">
        <is>
          <t>12  CET1 available after meeting the total SREP own funds requirements (%)</t>
        </is>
      </c>
      <c r="B24" s="6" t="inlineStr">
        <is>
          <t>9.6%</t>
        </is>
      </c>
      <c r="C24" s="6" t="inlineStr">
        <is>
          <t>10.2%</t>
        </is>
      </c>
      <c r="D24" s="6" t="inlineStr">
        <is>
          <t>10.0%</t>
        </is>
      </c>
      <c r="E24" s="6" t="inlineStr">
        <is>
          <t>10.3%</t>
        </is>
      </c>
      <c r="F24" s="6" t="inlineStr">
        <is>
          <t>11.7%</t>
        </is>
      </c>
    </row>
    <row r="25">
      <c r="A25" s="5" t="inlineStr">
        <is>
          <t>Leverage ratio</t>
        </is>
      </c>
      <c r="B25" s="6" t="n"/>
      <c r="C25" s="6" t="n"/>
      <c r="D25" s="6" t="n"/>
      <c r="E25" s="6" t="n"/>
      <c r="F25" s="6" t="n"/>
    </row>
    <row r="26">
      <c r="A26" s="6" t="inlineStr">
        <is>
          <t>13  Total exposure measure excluding claims on central banks (£m)</t>
        </is>
      </c>
      <c r="B26" s="6" t="n">
        <v>28956.3</v>
      </c>
      <c r="C26" s="6" t="n">
        <v>27322.9</v>
      </c>
      <c r="D26" s="6" t="n">
        <v>27438.8</v>
      </c>
      <c r="E26" s="6" t="n">
        <v>24725.4</v>
      </c>
      <c r="F26" s="6" t="n">
        <v>24555.5</v>
      </c>
    </row>
    <row r="27">
      <c r="A27" s="6" t="inlineStr">
        <is>
          <t>14  Leverage ratio excluding claims on central banks (%)</t>
        </is>
      </c>
      <c r="B27" s="6" t="inlineStr">
        <is>
          <t>7.4%</t>
        </is>
      </c>
      <c r="C27" s="6" t="inlineStr">
        <is>
          <t>7.7%</t>
        </is>
      </c>
      <c r="D27" s="6" t="inlineStr">
        <is>
          <t>7.5%</t>
        </is>
      </c>
      <c r="E27" s="6" t="inlineStr">
        <is>
          <t>8.4%</t>
        </is>
      </c>
      <c r="F27" s="6" t="inlineStr">
        <is>
          <t>7.9%</t>
        </is>
      </c>
    </row>
    <row r="28">
      <c r="A28" s="5" t="inlineStr">
        <is>
          <t>Liquidity Coverage Ratio</t>
        </is>
      </c>
      <c r="B28" s="6" t="n"/>
      <c r="C28" s="6" t="n"/>
      <c r="D28" s="6" t="n"/>
      <c r="E28" s="6" t="n"/>
      <c r="F28" s="6" t="n"/>
    </row>
    <row r="29">
      <c r="A29" s="6" t="inlineStr">
        <is>
          <t>15  Total high-quality liquid assets (HQLA) (Weighted value - average) (£m)</t>
        </is>
      </c>
      <c r="B29" s="6" t="n">
        <v>3181.5</v>
      </c>
      <c r="C29" s="6" t="n">
        <v>3351.8</v>
      </c>
      <c r="D29" s="6" t="n">
        <v>3078</v>
      </c>
      <c r="E29" s="6" t="n">
        <v>2907.1</v>
      </c>
      <c r="F29" s="6" t="n">
        <v>2636.3</v>
      </c>
    </row>
    <row r="30">
      <c r="A30" s="6" t="inlineStr">
        <is>
          <t>16a  Cash outflows - Total weighted value (£m)</t>
        </is>
      </c>
      <c r="B30" s="6" t="n">
        <v>2171.6</v>
      </c>
      <c r="C30" s="6" t="n">
        <v>2134.3</v>
      </c>
      <c r="D30" s="6" t="n">
        <v>1847.2</v>
      </c>
      <c r="E30" s="6" t="n">
        <v>1656.8</v>
      </c>
      <c r="F30" s="6" t="n">
        <v>1442</v>
      </c>
    </row>
    <row r="31">
      <c r="A31" s="6" t="inlineStr">
        <is>
          <t>16b  Cash inflows - Total weighted value (£m)</t>
        </is>
      </c>
      <c r="B31" s="6" t="n">
        <v>273</v>
      </c>
      <c r="C31" s="6" t="n">
        <v>340</v>
      </c>
      <c r="D31" s="6" t="n">
        <v>281.6</v>
      </c>
      <c r="E31" s="6" t="n">
        <v>165.3</v>
      </c>
      <c r="F31" s="6" t="n">
        <v>93.8</v>
      </c>
    </row>
    <row r="32">
      <c r="A32" s="6" t="inlineStr">
        <is>
          <t>16  Total net cash outflows (adjusted value) (£m)</t>
        </is>
      </c>
      <c r="B32" s="6" t="n">
        <v>1898.6</v>
      </c>
      <c r="C32" s="6" t="n">
        <v>1794.3</v>
      </c>
      <c r="D32" s="6" t="n">
        <v>1565.6</v>
      </c>
      <c r="E32" s="6" t="n">
        <v>1491.5</v>
      </c>
      <c r="F32" s="6" t="n">
        <v>1348.3</v>
      </c>
    </row>
    <row r="33">
      <c r="A33" s="6" t="inlineStr">
        <is>
          <t>17  Liquidity coverage ratio (%)</t>
        </is>
      </c>
      <c r="B33" s="6" t="inlineStr">
        <is>
          <t>169.5%</t>
        </is>
      </c>
      <c r="C33" s="6" t="inlineStr">
        <is>
          <t>188.0%</t>
        </is>
      </c>
      <c r="D33" s="6" t="inlineStr">
        <is>
          <t>197.1%</t>
        </is>
      </c>
      <c r="E33" s="6" t="inlineStr">
        <is>
          <t>197.0%</t>
        </is>
      </c>
      <c r="F33" s="6" t="inlineStr">
        <is>
          <t>195.5%</t>
        </is>
      </c>
    </row>
    <row r="34">
      <c r="A34" s="5" t="inlineStr">
        <is>
          <t>Net Stable Funding Ratio</t>
        </is>
      </c>
      <c r="B34" s="6" t="n"/>
      <c r="C34" s="6" t="n"/>
      <c r="D34" s="6" t="n"/>
      <c r="E34" s="6" t="n"/>
      <c r="F34" s="6" t="n"/>
    </row>
    <row r="35">
      <c r="A35" s="6" t="inlineStr">
        <is>
          <t>18  Total available stable funding (£m)</t>
        </is>
      </c>
      <c r="B35" s="6" t="n">
        <v>26596.3</v>
      </c>
      <c r="C35" s="6" t="n">
        <v>27138.8</v>
      </c>
      <c r="D35" s="6" t="n">
        <v>26087</v>
      </c>
      <c r="E35" s="6" t="n"/>
      <c r="F35" s="6" t="n"/>
    </row>
    <row r="36">
      <c r="A36" s="6" t="inlineStr">
        <is>
          <t>19  Total required stable funding (£m)</t>
        </is>
      </c>
      <c r="B36" s="6" t="n">
        <v>18911.8</v>
      </c>
      <c r="C36" s="6" t="n">
        <v>20051.6</v>
      </c>
      <c r="D36" s="6" t="n">
        <v>19638.6</v>
      </c>
      <c r="E36" s="6" t="n"/>
      <c r="F36" s="6" t="n"/>
    </row>
    <row r="37">
      <c r="A37" s="6" t="inlineStr">
        <is>
          <t>20  NSFR ratio (%)</t>
        </is>
      </c>
      <c r="B37" s="6" t="inlineStr">
        <is>
          <t>140.6%</t>
        </is>
      </c>
      <c r="C37" s="6" t="inlineStr">
        <is>
          <t>135.4%</t>
        </is>
      </c>
      <c r="D37" s="6" t="inlineStr">
        <is>
          <t>132.8%</t>
        </is>
      </c>
      <c r="E37" s="6" t="n"/>
      <c r="F37" s="6" t="n"/>
    </row>
    <row r="39" ht="409" customHeight="1">
      <c r="A39" s="8" t="inlineStr">
        <is>
          <t>Sources - OSB Group plc consolidated Pillar 3 basis (includes OneSavings Bank plc and CCFSL), 'UK KM1 - Key metrics template', £m. Each year is the 31 DECEMBER column of the edition in which it is the reporting year, except FY2021 (see below):
FY2025: Pillar 3 Disclosures 31 December 2025, section 2.1, p.7 (printed folio 7), column a '31-Dec-25' - https://www.onesavingsbank.com/media/hbymiii2/q4-2025-osbg-pillar-3-disclosure.pdf
FY2024: Pillar 3 Disclosures 31 December 2024, section 2.1, p.9 (printed folio 9), column a '31 Dec 24' - https://www.onesavingsbank.com/media/143pzceq/q4-2024-osbg-pillar-3-disclosure.pdf
FY2023: Pillar 3 Disclosures 31 December 2023, section 2.1, p.9 (printed folio 9), column a '31 Dec 23' - https://www.onesavingsbank.com/media/kn3nulae/q4-2023-osb-pillar-3-disclosures.pdf
FY2022: Pillar 3 Disclosures 31 December 2022, 'UK KM1 Key metrics', pp.8-9 (printed folios 8-9; the table breaks across the two pages - the leverage, LCR and NSFR blocks are on p.9), column '31 Dec 2022 (T)' - https://www.onesavingsbank.com/media/cqepdkda/osb-group-pillar-3-disclosures-2022.pdf
FY2021: the SAME FY2022 edition's own '31 Dec 2021 (T-4)' comparative column, pp.8-9 - https://www.onesavingsbank.com/media/cqepdkda/osb-group-pillar-3-disclosures-2022.pdf. OSB published no UK KM1 for FY2021 itself (see the row-set finding below), so this column is filled from the earliest edition that prints the year on the template rather than left blank.
WHY FY2019-FY2021 HAVE NO OWN-EDITION KM1, AND WHY FY2019/FY2020 ARE ABSENT ENTIRELY. The FY2019, FY2020 and FY2021 editions each print a table headed 'Table 1: Key metrics' (FY2019, FY2020) or 'Table 4: Key metrics' (FY2021), and none of them is the UK KM1 template. They carry no row numbers, no SREP block (UK 7a-7d), no combined-buffer block, no NSFR block and no leverage exposure measure, while carrying an 'Asset Encumbrance Ratio' row that appears nowhere in the template. That is a different and shorter table, not an unnumbered rendering of the template, so it is not transcribed here - the template simply is not used in those editions, which is a different finding from 'no Pillar 3 is published' (OSB published one every year). FY2021 is nonetheless shown because the FY2022 edition prints a full-template comparative column for 31 December 2021; FY2019 and FY2020 are shown NOT AT ALL, because the earliest column on any edition's template is 31 December 2021, so there is nothing for a FY2019 or FY2020 header to head.
OSB ALSO PUBLISHES QUARTERLY PILLAR 3 DISCLOSURES (Q1/Q2/Q3), and at the date of the latest-edition check below the Q1 2026 and Q2 2026 editions were already published. Those are interim quarters, not a new financial year - OSB's year-end is 31 December - so the newest FULL-YEAR edition remains 31 December 2025, which this workbook holds. Latest-edition check performed 2026-09-18 against osb.co.uk's own 'Results, reports and presentations' page.
RESTATEMENT NOTE, recorded not reconciled: the FY2022 edition footnotes its liquidity rows 'Liquidity coverage has been restated for June 2022 and December 2021 due to a change in methodology. Previous disclosures were prepared using a 3 month quarterly average. Disclosure have now been restated to incorporate a 12 month average preceding the quarter in line with regulation.' The FY2021 column here is therefore on the 12-month-average basis as that edition restated it. The same edition also footnotes that on a like-for-like basis the 31 December 2021 leverage ratio would have been 8.9% with an exposure measure of £21,742.2m; this sheet carries the 7.9% / £24,555.5m actually printed in the template's own row.
NSFR rows 18-20 are blank for FY2021 and FY2022 because the FY2022 edition prints them empty, footnoted 'In line with PS22/21, Net Stable Funding Disclosures are not due until 1 January 2023'. That is a regulatory boundary, not a gap.</t>
        </is>
      </c>
    </row>
    <row r="41" ht="409" customHeight="1">
      <c r="A41" s="8" t="inlineStr">
        <is>
          <t>(continued)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2">
    <mergeCell ref="A41:F41"/>
    <mergeCell ref="A39:F3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OneSavings Bank plc — CET1 Capital</t>
        </is>
      </c>
    </row>
    <row r="2">
      <c r="A2" s="2" t="inlineStr">
        <is>
          <t>OSB Group consolidated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1975.8</v>
      </c>
      <c r="C4" s="6" t="n">
        <v>1946.4</v>
      </c>
      <c r="D4" s="6" t="n">
        <v>1905.7</v>
      </c>
      <c r="E4" s="6" t="n">
        <v>1920.7</v>
      </c>
      <c r="F4" s="6" t="n">
        <v>1781.7</v>
      </c>
    </row>
    <row r="6" ht="234" customHeight="1">
      <c r="A6" s="8" t="inlineStr">
        <is>
          <t>Sources — OSB Group plc consolidated Pillar 3 basis (includes OneSavings Bank plc and CCFSL):
FY2025: Pillar 3 Disclosures 31 December 2025, p.7 (UK KM1; MREL UK KM2 on p.8; liquidity templates on pp.31 and 34) — https://www.onesavingsbank.com/media/hbymiii2/q4-2025-osbg-pillar-3-disclosure.pdf
FY2024: Pillar 3 Disclosures 31 December 2024, p.9 (UK KM1; MREL UK KM2 on p.10; liquidity templates on pp.49 and 52) — https://www.onesavingsbank.com/media/143pzceq/q4-2024-osbg-pillar-3-disclosure.pdf
FY2023: Pillar 3 Disclosures 31 December 2023, p.9 (UK KM1; liquidity templates on pp.46 and 49) — https://www.onesavingsbank.com/media/kn3nulae/q4-2023-osb-pillar-3-disclosures.pdf
FY2022: Pillar 3 Disclosures 31 December 2022, pp.8-9 (UK KM1 and liquidity templates) — https://www.onesavingsbank.com/media/cqepdkda/osb-group-pillar-3-disclosures-2022.pdf
FY2021: Pillar 3 Disclosures for year ended 31 December 2021, p.8 (Table 4: Key metrics) and p.62 (Table 47: LIQ1) — https://www.onesavingsbank.com/media/iuvfpajb/osb-group-pillar-3-disclosures-2021.pdf
FY2020: Pillar 3 Disclosures for year ended 31 December 2020, Table 1 — https://www.osb.co.uk/media/xmiprmgq/download-pillar-3-disclosure-document-2020.pdf
FY2019: Pillar 3 Disclosures for year ended 31 December 2019, Table 1 p.7 — https://www.osb.co.uk/media/nwwagqwf/download-pillar-3-disclosure-document-2019.pdf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OneSavings Bank plc — CET1 Ratio</t>
        </is>
      </c>
    </row>
    <row r="2">
      <c r="A2" s="2" t="inlineStr">
        <is>
          <t>OSB Group consolidated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15.8%</t>
        </is>
      </c>
      <c r="C4" s="6" t="inlineStr">
        <is>
          <t>16.3%</t>
        </is>
      </c>
      <c r="D4" s="6" t="inlineStr">
        <is>
          <t>16.1%</t>
        </is>
      </c>
      <c r="E4" s="6" t="inlineStr">
        <is>
          <t>18.3%</t>
        </is>
      </c>
      <c r="F4" s="6" t="inlineStr">
        <is>
          <t>19.6%</t>
        </is>
      </c>
    </row>
    <row r="6" ht="234" customHeight="1">
      <c r="A6" s="8" t="inlineStr">
        <is>
          <t>Sources — OSB Group plc consolidated Pillar 3 basis (includes OneSavings Bank plc and CCFSL):
FY2025: Pillar 3 Disclosures 31 December 2025, p.7 (UK KM1; MREL UK KM2 on p.8; liquidity templates on pp.31 and 34) — https://www.onesavingsbank.com/media/hbymiii2/q4-2025-osbg-pillar-3-disclosure.pdf
FY2024: Pillar 3 Disclosures 31 December 2024, p.9 (UK KM1; MREL UK KM2 on p.10; liquidity templates on pp.49 and 52) — https://www.onesavingsbank.com/media/143pzceq/q4-2024-osbg-pillar-3-disclosure.pdf
FY2023: Pillar 3 Disclosures 31 December 2023, p.9 (UK KM1; liquidity templates on pp.46 and 49) — https://www.onesavingsbank.com/media/kn3nulae/q4-2023-osb-pillar-3-disclosures.pdf
FY2022: Pillar 3 Disclosures 31 December 2022, pp.8-9 (UK KM1 and liquidity templates) — https://www.onesavingsbank.com/media/cqepdkda/osb-group-pillar-3-disclosures-2022.pdf
FY2021: Pillar 3 Disclosures for year ended 31 December 2021, p.8 (Table 4: Key metrics) and p.62 (Table 47: LIQ1) — https://www.onesavingsbank.com/media/iuvfpajb/osb-group-pillar-3-disclosures-2021.pdf
FY2020: Pillar 3 Disclosures for year ended 31 December 2020, Table 1 — https://www.osb.co.uk/media/xmiprmgq/download-pillar-3-disclosure-document-2020.pdf
FY2019: Pillar 3 Disclosures for year ended 31 December 2019, Table 1 p.7 — https://www.osb.co.uk/media/nwwagqwf/download-pillar-3-disclosure-document-2019.pdf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OneSavings Bank plc — Tier 1 Capital</t>
        </is>
      </c>
    </row>
    <row r="2">
      <c r="A2" s="2" t="inlineStr">
        <is>
          <t>OSB Group consolidated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2142.9</v>
      </c>
      <c r="C4" s="6" t="n">
        <v>2096.4</v>
      </c>
      <c r="D4" s="6" t="n">
        <v>2055.7</v>
      </c>
      <c r="E4" s="6" t="n">
        <v>2070.7</v>
      </c>
      <c r="F4" s="6" t="n">
        <v>1931.7</v>
      </c>
    </row>
    <row r="6" ht="234" customHeight="1">
      <c r="A6" s="8" t="inlineStr">
        <is>
          <t>Sources — OSB Group plc consolidated Pillar 3 basis (includes OneSavings Bank plc and CCFSL):
FY2025: Pillar 3 Disclosures 31 December 2025, p.7 (UK KM1; MREL UK KM2 on p.8; liquidity templates on pp.31 and 34) — https://www.onesavingsbank.com/media/hbymiii2/q4-2025-osbg-pillar-3-disclosure.pdf
FY2024: Pillar 3 Disclosures 31 December 2024, p.9 (UK KM1; MREL UK KM2 on p.10; liquidity templates on pp.49 and 52) — https://www.onesavingsbank.com/media/143pzceq/q4-2024-osbg-pillar-3-disclosure.pdf
FY2023: Pillar 3 Disclosures 31 December 2023, p.9 (UK KM1; liquidity templates on pp.46 and 49) — https://www.onesavingsbank.com/media/kn3nulae/q4-2023-osb-pillar-3-disclosures.pdf
FY2022: Pillar 3 Disclosures 31 December 2022, pp.8-9 (UK KM1 and liquidity templates) — https://www.onesavingsbank.com/media/cqepdkda/osb-group-pillar-3-disclosures-2022.pdf
FY2021: Pillar 3 Disclosures for year ended 31 December 2021, p.8 (Table 4: Key metrics) and p.62 (Table 47: LIQ1) — https://www.onesavingsbank.com/media/iuvfpajb/osb-group-pillar-3-disclosures-2021.pdf
FY2020: Pillar 3 Disclosures for year ended 31 December 2020, Table 1 — https://www.osb.co.uk/media/xmiprmgq/download-pillar-3-disclosure-document-2020.pdf
FY2019: Pillar 3 Disclosures for year ended 31 December 2019, Table 1 p.7 — https://www.osb.co.uk/media/nwwagqwf/download-pillar-3-disclosure-document-2019.pdf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OneSavings Bank plc — Tier 1 Ratio</t>
        </is>
      </c>
    </row>
    <row r="2">
      <c r="A2" s="2" t="inlineStr">
        <is>
          <t>OSB Group consolidated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17.1%</t>
        </is>
      </c>
      <c r="C4" s="6" t="inlineStr">
        <is>
          <t>17.6%</t>
        </is>
      </c>
      <c r="D4" s="6" t="inlineStr">
        <is>
          <t>17.4%</t>
        </is>
      </c>
      <c r="E4" s="6" t="inlineStr">
        <is>
          <t>19.7%</t>
        </is>
      </c>
      <c r="F4" s="6" t="inlineStr">
        <is>
          <t>21.2%</t>
        </is>
      </c>
    </row>
    <row r="6" ht="234" customHeight="1">
      <c r="A6" s="8" t="inlineStr">
        <is>
          <t>Sources — OSB Group plc consolidated Pillar 3 basis (includes OneSavings Bank plc and CCFSL):
FY2025: Pillar 3 Disclosures 31 December 2025, p.7 (UK KM1; MREL UK KM2 on p.8; liquidity templates on pp.31 and 34) — https://www.onesavingsbank.com/media/hbymiii2/q4-2025-osbg-pillar-3-disclosure.pdf
FY2024: Pillar 3 Disclosures 31 December 2024, p.9 (UK KM1; MREL UK KM2 on p.10; liquidity templates on pp.49 and 52) — https://www.onesavingsbank.com/media/143pzceq/q4-2024-osbg-pillar-3-disclosure.pdf
FY2023: Pillar 3 Disclosures 31 December 2023, p.9 (UK KM1; liquidity templates on pp.46 and 49) — https://www.onesavingsbank.com/media/kn3nulae/q4-2023-osb-pillar-3-disclosures.pdf
FY2022: Pillar 3 Disclosures 31 December 2022, pp.8-9 (UK KM1 and liquidity templates) — https://www.onesavingsbank.com/media/cqepdkda/osb-group-pillar-3-disclosures-2022.pdf
FY2021: Pillar 3 Disclosures for year ended 31 December 2021, p.8 (Table 4: Key metrics) and p.62 (Table 47: LIQ1) — https://www.onesavingsbank.com/media/iuvfpajb/osb-group-pillar-3-disclosures-2021.pdf
FY2020: Pillar 3 Disclosures for year ended 31 December 2020, Table 1 — https://www.osb.co.uk/media/xmiprmgq/download-pillar-3-disclosure-document-2020.pdf
FY2019: Pillar 3 Disclosures for year ended 31 December 2019, Table 1 p.7 — https://www.osb.co.uk/media/nwwagqwf/download-pillar-3-disclosure-document-2019.pdf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OneSavings Bank plc — Total Capital</t>
        </is>
      </c>
    </row>
    <row r="2">
      <c r="A2" s="2" t="inlineStr">
        <is>
          <t>OSB Group consolidated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2392.9</v>
      </c>
      <c r="C4" s="6" t="n">
        <v>2346.4</v>
      </c>
      <c r="D4" s="6" t="n">
        <v>2305.7</v>
      </c>
      <c r="E4" s="6" t="n">
        <v>2070.7</v>
      </c>
      <c r="F4" s="6" t="n">
        <v>1931.7</v>
      </c>
    </row>
    <row r="6" ht="234" customHeight="1">
      <c r="A6" s="8" t="inlineStr">
        <is>
          <t>Sources — OSB Group plc consolidated Pillar 3 basis (includes OneSavings Bank plc and CCFSL):
FY2025: Pillar 3 Disclosures 31 December 2025, p.7 (UK KM1; MREL UK KM2 on p.8; liquidity templates on pp.31 and 34) — https://www.onesavingsbank.com/media/hbymiii2/q4-2025-osbg-pillar-3-disclosure.pdf
FY2024: Pillar 3 Disclosures 31 December 2024, p.9 (UK KM1; MREL UK KM2 on p.10; liquidity templates on pp.49 and 52) — https://www.onesavingsbank.com/media/143pzceq/q4-2024-osbg-pillar-3-disclosure.pdf
FY2023: Pillar 3 Disclosures 31 December 2023, p.9 (UK KM1; liquidity templates on pp.46 and 49) — https://www.onesavingsbank.com/media/kn3nulae/q4-2023-osb-pillar-3-disclosures.pdf
FY2022: Pillar 3 Disclosures 31 December 2022, pp.8-9 (UK KM1 and liquidity templates) — https://www.onesavingsbank.com/media/cqepdkda/osb-group-pillar-3-disclosures-2022.pdf
FY2021: Pillar 3 Disclosures for year ended 31 December 2021, p.8 (Table 4: Key metrics) and p.62 (Table 47: LIQ1) — https://www.onesavingsbank.com/media/iuvfpajb/osb-group-pillar-3-disclosures-2021.pdf
FY2020: Pillar 3 Disclosures for year ended 31 December 2020, Table 1 — https://www.osb.co.uk/media/xmiprmgq/download-pillar-3-disclosure-document-2020.pdf
FY2019: Pillar 3 Disclosures for year ended 31 December 2019, Table 1 p.7 — https://www.osb.co.uk/media/nwwagqwf/download-pillar-3-disclosure-document-2019.pdf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OneSavings Bank plc — Total Capital Ratio</t>
        </is>
      </c>
    </row>
    <row r="2">
      <c r="A2" s="2" t="inlineStr">
        <is>
          <t>OSB Group consolidated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19.1%</t>
        </is>
      </c>
      <c r="C4" s="6" t="inlineStr">
        <is>
          <t>19.7%</t>
        </is>
      </c>
      <c r="D4" s="6" t="inlineStr">
        <is>
          <t>19.5%</t>
        </is>
      </c>
      <c r="E4" s="6" t="inlineStr">
        <is>
          <t>19.7%</t>
        </is>
      </c>
      <c r="F4" s="6" t="inlineStr">
        <is>
          <t>21.2%</t>
        </is>
      </c>
    </row>
    <row r="6" ht="234" customHeight="1">
      <c r="A6" s="8" t="inlineStr">
        <is>
          <t>Sources — OSB Group plc consolidated Pillar 3 basis (includes OneSavings Bank plc and CCFSL):
FY2025: Pillar 3 Disclosures 31 December 2025, p.7 (UK KM1; MREL UK KM2 on p.8; liquidity templates on pp.31 and 34) — https://www.onesavingsbank.com/media/hbymiii2/q4-2025-osbg-pillar-3-disclosure.pdf
FY2024: Pillar 3 Disclosures 31 December 2024, p.9 (UK KM1; MREL UK KM2 on p.10; liquidity templates on pp.49 and 52) — https://www.onesavingsbank.com/media/143pzceq/q4-2024-osbg-pillar-3-disclosure.pdf
FY2023: Pillar 3 Disclosures 31 December 2023, p.9 (UK KM1; liquidity templates on pp.46 and 49) — https://www.onesavingsbank.com/media/kn3nulae/q4-2023-osb-pillar-3-disclosures.pdf
FY2022: Pillar 3 Disclosures 31 December 2022, pp.8-9 (UK KM1 and liquidity templates) — https://www.onesavingsbank.com/media/cqepdkda/osb-group-pillar-3-disclosures-2022.pdf
FY2021: Pillar 3 Disclosures for year ended 31 December 2021, p.8 (Table 4: Key metrics) and p.62 (Table 47: LIQ1) — https://www.onesavingsbank.com/media/iuvfpajb/osb-group-pillar-3-disclosures-2021.pdf
FY2020: Pillar 3 Disclosures for year ended 31 December 2020, Table 1 — https://www.osb.co.uk/media/xmiprmgq/download-pillar-3-disclosure-document-2020.pdf
FY2019: Pillar 3 Disclosures for year ended 31 December 2019, Table 1 p.7 — https://www.osb.co.uk/media/nwwagqwf/download-pillar-3-disclosure-document-2019.pdf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OneSavings Bank plc — Total RWAs</t>
        </is>
      </c>
    </row>
    <row r="2">
      <c r="A2" s="2" t="inlineStr">
        <is>
          <t>OSB Group consolidated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12541.7</v>
      </c>
      <c r="C4" s="6" t="n">
        <v>11915.7</v>
      </c>
      <c r="D4" s="6" t="n">
        <v>11845.6</v>
      </c>
      <c r="E4" s="6" t="n">
        <v>10494.7</v>
      </c>
      <c r="F4" s="6" t="n">
        <v>9101.6</v>
      </c>
    </row>
    <row r="6" ht="234" customHeight="1">
      <c r="A6" s="8" t="inlineStr">
        <is>
          <t>Sources — OSB Group plc consolidated Pillar 3 basis (includes OneSavings Bank plc and CCFSL):
FY2025: Pillar 3 Disclosures 31 December 2025, p.7 (UK KM1; MREL UK KM2 on p.8; liquidity templates on pp.31 and 34) — https://www.onesavingsbank.com/media/hbymiii2/q4-2025-osbg-pillar-3-disclosure.pdf
FY2024: Pillar 3 Disclosures 31 December 2024, p.9 (UK KM1; MREL UK KM2 on p.10; liquidity templates on pp.49 and 52) — https://www.onesavingsbank.com/media/143pzceq/q4-2024-osbg-pillar-3-disclosure.pdf
FY2023: Pillar 3 Disclosures 31 December 2023, p.9 (UK KM1; liquidity templates on pp.46 and 49) — https://www.onesavingsbank.com/media/kn3nulae/q4-2023-osb-pillar-3-disclosures.pdf
FY2022: Pillar 3 Disclosures 31 December 2022, pp.8-9 (UK KM1 and liquidity templates) — https://www.onesavingsbank.com/media/cqepdkda/osb-group-pillar-3-disclosures-2022.pdf
FY2021: Pillar 3 Disclosures for year ended 31 December 2021, p.8 (Table 4: Key metrics) and p.62 (Table 47: LIQ1) — https://www.onesavingsbank.com/media/iuvfpajb/osb-group-pillar-3-disclosures-2021.pdf
FY2020: Pillar 3 Disclosures for year ended 31 December 2020, Table 1 — https://www.osb.co.uk/media/xmiprmgq/download-pillar-3-disclosure-document-2020.pdf
FY2019: Pillar 3 Disclosures for year ended 31 December 2019, Table 1 p.7 — https://www.osb.co.uk/media/nwwagqwf/download-pillar-3-disclosure-document-2019.pdf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OneSavings Bank plc — RWA Breakdown</t>
        </is>
      </c>
    </row>
    <row r="2">
      <c r="A2" s="2" t="inlineStr">
        <is>
          <t>OSB Group consolidated Pillar 3 basis, £m. 'Amounts below the thresholds for deduction' is disclosed as a memo/information-only line every year, not included in the Total - confirmed by Credit risk + CCR + Securitisation + Operational risk summing to the disclosed Total exactly (within rounding) in all 5 years.</t>
        </is>
      </c>
    </row>
    <row r="3">
      <c r="A3" s="4" t="inlineStr">
        <is>
          <t>Line item</t>
        </is>
      </c>
      <c r="B3" s="4" t="inlineStr">
        <is>
          <t>FY2025 (£m)</t>
        </is>
      </c>
      <c r="C3" s="4" t="inlineStr">
        <is>
          <t>FY2024 (£m)</t>
        </is>
      </c>
      <c r="D3" s="4" t="inlineStr">
        <is>
          <t>FY2023 (£m)</t>
        </is>
      </c>
      <c r="E3" s="4" t="inlineStr">
        <is>
          <t>FY2022 (£m)</t>
        </is>
      </c>
      <c r="F3" s="4" t="inlineStr">
        <is>
          <t>FY2021 (£m)</t>
        </is>
      </c>
    </row>
    <row r="4">
      <c r="A4" s="6" t="inlineStr">
        <is>
          <t>Credit risk (excluding CCR)</t>
        </is>
      </c>
      <c r="B4" s="6" t="n">
        <v>11382.2</v>
      </c>
      <c r="C4" s="6" t="n">
        <v>10631.1</v>
      </c>
      <c r="D4" s="6" t="n">
        <v>10605.3</v>
      </c>
      <c r="E4" s="6" t="n">
        <v>9496.799999999999</v>
      </c>
      <c r="F4" s="6" t="n">
        <v>8298</v>
      </c>
    </row>
    <row r="5">
      <c r="A5" s="6" t="inlineStr">
        <is>
          <t>Counterparty credit risk (CCR, including CVA)</t>
        </is>
      </c>
      <c r="B5" s="6" t="n">
        <v>44.5</v>
      </c>
      <c r="C5" s="6" t="n">
        <v>106.4</v>
      </c>
      <c r="D5" s="6" t="n">
        <v>177.2</v>
      </c>
      <c r="E5" s="6" t="n">
        <v>5.3</v>
      </c>
      <c r="F5" s="6" t="n">
        <v>44.7</v>
      </c>
    </row>
    <row r="6">
      <c r="A6" s="6" t="inlineStr">
        <is>
          <t>Securitisation exposures in the non-trading book (after the cap)</t>
        </is>
      </c>
      <c r="B6" s="6" t="n">
        <v>126.4</v>
      </c>
      <c r="C6" s="6" t="n">
        <v>137.1</v>
      </c>
      <c r="D6" s="6" t="n">
        <v>39.1</v>
      </c>
      <c r="E6" s="6" t="n">
        <v>32.9</v>
      </c>
      <c r="F6" s="6" t="n">
        <v>31.2</v>
      </c>
    </row>
    <row r="7">
      <c r="A7" s="6" t="inlineStr">
        <is>
          <t>Operational risk</t>
        </is>
      </c>
      <c r="B7" s="6" t="n">
        <v>988.6</v>
      </c>
      <c r="C7" s="6" t="n">
        <v>1041.2</v>
      </c>
      <c r="D7" s="6" t="n">
        <v>1023.9</v>
      </c>
      <c r="E7" s="6" t="n">
        <v>959.6</v>
      </c>
      <c r="F7" s="6" t="n">
        <v>727.7</v>
      </c>
    </row>
    <row r="8">
      <c r="A8" s="6" t="inlineStr">
        <is>
          <t>Amounts below the thresholds for deduction (memo, not additive)</t>
        </is>
      </c>
      <c r="B8" s="6" t="n">
        <v>8.699999999999999</v>
      </c>
      <c r="C8" s="6" t="n">
        <v>6</v>
      </c>
      <c r="D8" s="6" t="n">
        <v>3.6</v>
      </c>
      <c r="E8" s="6" t="n">
        <v>4.6</v>
      </c>
      <c r="F8" s="6" t="n">
        <v>13.2</v>
      </c>
    </row>
    <row r="9">
      <c r="A9" s="5" t="inlineStr">
        <is>
          <t>Total</t>
        </is>
      </c>
      <c r="B9" s="5" t="n">
        <v>12541.7</v>
      </c>
      <c r="C9" s="5" t="n">
        <v>11915.7</v>
      </c>
      <c r="D9" s="5" t="n">
        <v>11845.6</v>
      </c>
      <c r="E9" s="5" t="n">
        <v>10494.7</v>
      </c>
      <c r="F9" s="5" t="n">
        <v>9101.6</v>
      </c>
    </row>
    <row r="11" ht="200" customHeight="1">
      <c r="A11" s="8" t="inlineStr">
        <is>
          <t>Sources — OSB Group plc consolidated Pillar 3 basis, UK OV1 (Overview of risk weighted exposure amounts):
FY2025: Pillar 3 Disclosures 31 December 2025, p.9 — https://www.onesavingsbank.com/media/hbymiii2/q4-2025-osbg-pillar-3-disclosure.pdf
FY2024: Pillar 3 Disclosures 31 December 2024, p.11 — https://www.onesavingsbank.com/media/143pzceq/q4-2024-osbg-pillar-3-disclosure.pdf
FY2023: Pillar 3 Disclosures 31 December 2023, p.11 — https://www.onesavingsbank.com/media/kn3nulae/q4-2023-osb-pillar-3-disclosures.pdf
FY2022: Pillar 3 Disclosures 31 December 2022, p.10-11 — https://www.onesavingsbank.com/media/cqepdkda/osb-group-pillar-3-disclosures-2022.pdf
FY2021: FY2021 comparative column as republished in the Pillar 3 Disclosures 31 December 2022, p.10-11 (the FY2021 disclosure's own UK OV1 table was not reachable in the same format this session) — https://www.onesavingsbank.com/media/cqepdkda/osb-group-pillar-3-disclosures-2022.pdf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1">
    <mergeCell ref="A11:F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OneSavings Bank plc — Leverage Ratio</t>
        </is>
      </c>
    </row>
    <row r="2">
      <c r="A2" s="2" t="inlineStr">
        <is>
          <t>OSB Group consolidated basis, £m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including claims on central banks</t>
        </is>
      </c>
      <c r="B4" s="6" t="n">
        <v>31382.6</v>
      </c>
      <c r="C4" s="6" t="n">
        <v>30372.2</v>
      </c>
      <c r="D4" s="6" t="n">
        <v>29688.8</v>
      </c>
      <c r="E4" s="6" t="n">
        <v>27532</v>
      </c>
      <c r="F4" s="6" t="n"/>
    </row>
    <row r="5">
      <c r="A5" s="6" t="inlineStr">
        <is>
          <t>Claims on central banks excluded</t>
        </is>
      </c>
      <c r="B5" s="6" t="n">
        <v>-2426.3</v>
      </c>
      <c r="C5" s="6" t="n">
        <v>-3048.9</v>
      </c>
      <c r="D5" s="6" t="n">
        <v>-2250</v>
      </c>
      <c r="E5" s="6" t="n">
        <v>-2806.5</v>
      </c>
      <c r="F5" s="6" t="n"/>
    </row>
    <row r="6">
      <c r="A6" s="6" t="inlineStr">
        <is>
          <t>Total exposure measure excluding claims on central banks</t>
        </is>
      </c>
      <c r="B6" s="6" t="n">
        <v>28956.3</v>
      </c>
      <c r="C6" s="6" t="n">
        <v>27322.9</v>
      </c>
      <c r="D6" s="6" t="n">
        <v>27438.8</v>
      </c>
      <c r="E6" s="6" t="n">
        <v>24725.4</v>
      </c>
      <c r="F6" s="6" t="n"/>
    </row>
    <row r="7">
      <c r="A7" s="6" t="inlineStr">
        <is>
          <t>Leverage ratio excluding claims on central banks (%)</t>
        </is>
      </c>
      <c r="B7" s="6" t="inlineStr">
        <is>
          <t>7.4%</t>
        </is>
      </c>
      <c r="C7" s="6" t="inlineStr">
        <is>
          <t>7.7%</t>
        </is>
      </c>
      <c r="D7" s="6" t="inlineStr">
        <is>
          <t>7.5%</t>
        </is>
      </c>
      <c r="E7" s="6" t="inlineStr">
        <is>
          <t>8.4%</t>
        </is>
      </c>
      <c r="F7" s="6" t="inlineStr">
        <is>
          <t>7.9%</t>
        </is>
      </c>
    </row>
    <row r="8">
      <c r="A8" s="6" t="inlineStr">
        <is>
          <t>Leverage ratio including claims on central banks (%)</t>
        </is>
      </c>
      <c r="B8" s="6" t="inlineStr">
        <is>
          <t>6.8%</t>
        </is>
      </c>
      <c r="C8" s="6" t="inlineStr">
        <is>
          <t>6.9%</t>
        </is>
      </c>
      <c r="D8" s="6" t="inlineStr">
        <is>
          <t>7.0%</t>
        </is>
      </c>
      <c r="E8" s="6" t="inlineStr">
        <is>
          <t>7.5%</t>
        </is>
      </c>
      <c r="F8" s="6" t="n"/>
    </row>
    <row r="9" ht="195" customHeight="1">
      <c r="A9" s="7" t="inlineStr">
        <is>
          <t>Note: BOTH LEVERAGE BASES ADDED 2026-10-09 (GA-026). OSB Group publishes both in template UK LR2 (LRCom) rows 24, UK-24a, UK-24b, 25 and UK-25c; the sheet previously carried only the excluding side. Each year is read from its OWN edition's LR2: FY2025 from the 2025 edition, FY2024 from the 2024, FY2023 from the 2023, FY2022 from the 2022.
THE COLUMN TRAP THAT MAKES THIS NECESSARY - DO NOT TAKE AN LR2 SECOND COLUMN AS THE PRIOR YEAR. OSB's UK KM1 runs FIVE QUARTERLY columns (T, T-1 ... T-4), not five years, and its LR2 carries two of those quarters rather than two year-ends. In the 2025 edition the second LR2 column (30,315.8 / -2,752.5 / 27,563.4) is 30 JUNE 2025, not FY2024: 31 December 2024 is the KM1's LAST column, 27,322.9, which is what this sheet carries. Reading the second column as FY2024 would have put an interim date into a year-end cell. Each year's figures above are therefore taken from the column of its own edition whose excluding-basis measure matches the figure already carried here.
ARITHMETIC, RECORDED NOT RECONCILED. FY2025 and FY2023 foot exactly (31,382.6-2,426.3=28,956.3; 29,688.8-2,250.0=27,438.8). FY2024 is 0.4 out (30,372.2-3,048.9=27,323.3 against a printed 27,322.9) and FY2022 is 0.1 out (27,532.0-2,806.5=24,725.5 against a printed 24,725.4). Both sides reproduced as printed; nothing adjusted to make a column tie.
ONE RATIO DOES NOT TIE, AND IS REPRODUCED ANYWAY. FY2023's including-basis ratio is printed as 7.0%, but that edition's own row 23 Tier 1 capital of 2,055.7 over its own row 24 of 29,688.8 is 6.92%, which rounds to 6.9%. The Bank's printed 7.0% is kept; the arithmetic is recorded here rather than the figure being corrected to match it. Every other ratio on both bases ties at the printed precision (FY2025 2,142.9; FY2024 2,096.4; FY2022 2,070.8).
FY2021 uses the pre-UK-KM1 disclosure's Group leverage ratio and does not provide a comparable exposure-measure amount; the 2022 report notes a like-for-like FY2021 exposure measure of £21,742.2m and ratio of 8.9%, but the workbook preserves the FY2021 as-reported 7.9% ratio rather than mixing bases. It stays blank on the two new rows for the same reason.</t>
        </is>
      </c>
    </row>
    <row r="11" ht="234" customHeight="1">
      <c r="A11" s="8" t="inlineStr">
        <is>
          <t>Sources — OSB Group plc consolidated Pillar 3 basis (includes OneSavings Bank plc and CCFSL):
FY2025: Pillar 3 Disclosures 31 December 2025, p.7 (UK KM1; MREL UK KM2 on p.8; liquidity templates on pp.31 and 34) — https://www.onesavingsbank.com/media/hbymiii2/q4-2025-osbg-pillar-3-disclosure.pdf
FY2024: Pillar 3 Disclosures 31 December 2024, p.9 (UK KM1; MREL UK KM2 on p.10; liquidity templates on pp.49 and 52) — https://www.onesavingsbank.com/media/143pzceq/q4-2024-osbg-pillar-3-disclosure.pdf
FY2023: Pillar 3 Disclosures 31 December 2023, p.9 (UK KM1; liquidity templates on pp.46 and 49) — https://www.onesavingsbank.com/media/kn3nulae/q4-2023-osb-pillar-3-disclosures.pdf
FY2022: Pillar 3 Disclosures 31 December 2022, pp.8-9 (UK KM1 and liquidity templates) — https://www.onesavingsbank.com/media/cqepdkda/osb-group-pillar-3-disclosures-2022.pdf
FY2021: Pillar 3 Disclosures for year ended 31 December 2021, p.8 (Table 4: Key metrics) and p.62 (Table 47: LIQ1) — https://www.onesavingsbank.com/media/iuvfpajb/osb-group-pillar-3-disclosures-2021.pdf
FY2020: Pillar 3 Disclosures for year ended 31 December 2020, Table 1 — https://www.osb.co.uk/media/xmiprmgq/download-pillar-3-disclosure-document-2020.pdf
FY2019: Pillar 3 Disclosures for year ended 31 December 2019, Table 1 p.7 — https://www.osb.co.uk/media/nwwagqwf/download-pillar-3-disclosure-document-2019.pdf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2">
    <mergeCell ref="A11:F11"/>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OneSavings Bank plc — LCR</t>
        </is>
      </c>
    </row>
    <row r="2">
      <c r="A2" s="2" t="inlineStr">
        <is>
          <t>OSB Group consolidated basis, £m / % — EXCEPT the final row, which is OneSavings Bank plc solo (entity level). See the note below: the Group rows are 12-month averages, the solo row is point-in-time.</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high-quality liquid assets (HQLA), weighted value average</t>
        </is>
      </c>
      <c r="B4" s="6" t="n">
        <v>3181.5</v>
      </c>
      <c r="C4" s="6" t="n">
        <v>3351.8</v>
      </c>
      <c r="D4" s="6" t="n">
        <v>3078</v>
      </c>
      <c r="E4" s="6" t="n">
        <v>2907.1</v>
      </c>
      <c r="F4" s="6" t="n"/>
      <c r="G4" s="6" t="n"/>
      <c r="H4" s="6" t="n"/>
    </row>
    <row r="5">
      <c r="A5" s="6" t="inlineStr">
        <is>
          <t>Total net cash outflows (adjusted value)</t>
        </is>
      </c>
      <c r="B5" s="6" t="n">
        <v>1898.6</v>
      </c>
      <c r="C5" s="6" t="n">
        <v>1794.3</v>
      </c>
      <c r="D5" s="6" t="n">
        <v>1565.6</v>
      </c>
      <c r="E5" s="6" t="n">
        <v>1491.5</v>
      </c>
      <c r="F5" s="6" t="n"/>
      <c r="G5" s="6" t="n"/>
      <c r="H5" s="6" t="n"/>
    </row>
    <row r="6">
      <c r="A6" s="6" t="inlineStr">
        <is>
          <t>Liquidity Coverage Ratio (%)</t>
        </is>
      </c>
      <c r="B6" s="6" t="inlineStr">
        <is>
          <t>169.5%</t>
        </is>
      </c>
      <c r="C6" s="6" t="inlineStr">
        <is>
          <t>188.0%</t>
        </is>
      </c>
      <c r="D6" s="6" t="inlineStr">
        <is>
          <t>197.1%</t>
        </is>
      </c>
      <c r="E6" s="6" t="inlineStr">
        <is>
          <t>197.0%</t>
        </is>
      </c>
      <c r="F6" s="6" t="inlineStr">
        <is>
          <t>195.5%</t>
        </is>
      </c>
      <c r="G6" s="6" t="n"/>
      <c r="H6" s="6" t="n"/>
    </row>
    <row r="7">
      <c r="A7" s="6" t="inlineStr">
        <is>
          <t>Liquidity Coverage Ratio (%) — OneSavings Bank plc SOLO (entity level), POINT-IN-TIME at 31 December</t>
        </is>
      </c>
      <c r="B7" s="6" t="n"/>
      <c r="C7" s="6" t="n"/>
      <c r="D7" s="6" t="n"/>
      <c r="E7" s="6" t="inlineStr">
        <is>
          <t>229%</t>
        </is>
      </c>
      <c r="F7" s="6" t="inlineStr">
        <is>
          <t>240.1%</t>
        </is>
      </c>
      <c r="G7" s="6" t="inlineStr">
        <is>
          <t>254.1%</t>
        </is>
      </c>
      <c r="H7" s="6" t="inlineStr">
        <is>
          <t>199.4%</t>
        </is>
      </c>
    </row>
    <row r="8" ht="65" customHeight="1">
      <c r="A8" s="7" t="inlineStr">
        <is>
          <t>Note: THE LAST TWO ROWS ARE DIFFERENT MEASURES AND MUST NEVER BE MERGED, AVERAGED, RECONCILED OR TREATED AS A RESTATEMENT OF EACH OTHER. Row 3 is the OSB Group consolidated 12-month average LCR from the UK KM1 template. Row 4 is OneSavings Bank plc's own solo (entity-level) LCR at the 31 December balance sheet date, stated only in narrative text in the same Pillar 3 documents - there is no solo LCR template. That the two are incommensurable is proved on a single page of the primary: the FY2022 disclosure p.9 shows the Group's 12-month average LCR as 197.0% in UK KM1 while its 'Liquidity Ratio' narrative on the same page gives the Group's point-in-time LCR as 185% at 31 December 2022. The solo row is the only genuinely entity-level Pillar 3 data OSB publishes for OneSavings Bank plc; it is added, not substituted, and no Group figure was changed. FY2023-FY2025 carry no solo figure because those editions state none. FY2021's pre-UK-KM1 disclosure provides only the Group LCR percentage in Table 4; HQLA and adjusted net-outflow amounts are not disclosed on a directly comparable annual basis. FY2022 onward uses the 12-month average template (the 2022 disclosure restates prior LCR methodology).</t>
        </is>
      </c>
    </row>
    <row r="10" ht="409" customHeight="1">
      <c r="A10" s="8" t="inlineStr">
        <is>
          <t>Sources — OSB Group plc consolidated Pillar 3 basis (UK KM1, 12-month average LCR):
FY2025: Pillar 3 Disclosures 31 December 2025, p.7 (UK KM1; liquidity templates pp.31 and 34) — https://www.onesavingsbank.com/media/hbymiii2/q4-2025-osbg-pillar-3-disclosure.pdf
FY2024: Pillar 3 Disclosures 31 December 2024, p.9 (UK KM1; liquidity templates pp.49 and 52) — https://www.onesavingsbank.com/media/143pzceq/q4-2024-osbg-pillar-3-disclosure.pdf
FY2023: Pillar 3 Disclosures 31 December 2023, p.9 (UK KM1; liquidity templates pp.46 and 49) — https://www.onesavingsbank.com/media/kn3nulae/q4-2023-osb-pillar-3-disclosures.pdf
FY2022: Pillar 3 Disclosures 31 December 2022, pp.8-9 (UK KM1, row 17) — https://www.onesavingsbank.com/media/cqepdkda/osb-group-pillar-3-disclosures-2022.pdf
FY2021: Pillar 3 Disclosures for year ended 31 December 2021, p.8 (Table 4: Key metrics, 'Liquidity coverage ratio' row) — https://www.onesavingsbank.com/media/iuvfpajb/osb-group-pillar-3-disclosures-2021.pdf
Sources — OneSavings Bank plc SOLO (entity-level) point-in-time LCR, stated in NARRATIVE text in the same documents (there is no solo LCR template; each figure is transcribed verbatim as printed, including FY2022's whole-number '229%'):
FY2022 (229%): Pillar 3 Disclosures 31 December 2022, p.9, 'Liquidity Ratio' narrative directly beneath the UK KM1 table — "As at 31 December 2022, OSB had a Liquidity Coverage Ratio (LCR) of 229% and CCFSL 148% (31 December 2021: 240% and 158%, respectively) and the Group LCR was 185% (31 December 2021: 196%)" — https://www.onesavingsbank.com/media/cqepdkda/osb-group-pillar-3-disclosures-2022.pdf
FY2021 (240.1%): Pillar 3 Disclosures for year ended 31 December 2021, p.8, narrative directly beneath Table 4 in section 1.6 Key regulatory metrics — "The liquidity for both OSB and CCFSL remains strong. OSB has a Liquidity Coverage Ratio (LCR) of 240.1% (2020: 254.1%) and CCFSL 157.9% (2020: 146.0%)" — https://www.onesavingsbank.com/media/iuvfpajb/osb-group-pillar-3-disclosures-2021.pdf
FY2020 (254.1%): Pillar 3 Disclosures for year ended 31 December 2020, p.7, narrative directly beneath Table 1: Key metrics — "The liquidity for both OSB and CCFSL remains strong. OSB solo has a Liquidity Coverage Ratio (LCR) of 254.1% and CCFSL 146.0%"; repeated p.62 in section 9 Liquidity beneath Table 37 as "OSB solo has a Liquidity Coverage Ratio (LCR) of 254.1% (Dec 19: 199.4%) and CCFSL 146.0% (Dec 19: 145%)" — https://www.osb.co.uk/media/xmiprmgq/download-pillar-3-disclosure-document-2020.pdf
FY2019 (199.4%): Pillar 3 Disclosures for year ended 31 December 2019, p.8, narrative in section 1 beneath Table 1: Key metrics — "The liquidity for both OSB and CCFSG Banks remains strong. OSB solo has a Liquidity Coverage Ratio ('LCR') of 199.4% and CCFSG Bank 143.9%"; repeated p.60 in section 9 Liquidity beneath Table 50, which adds "Both OSB and CCFS' LCR at 199.4% and 143.9% respectively remain well above risk appetite and regulatory minimums" — https://www.osb.co.uk/media/nwwagqwf/download-pillar-3-disclosure-document-2019.pdf
The FY2020 edition independently confirms FY2019's 199.4% and the FY2021 edition independently confirms FY2020's 254.1%, each as its own prior-year comparative.
FY2023, FY2024 and FY2025: no OSB-solo LCR is stated anywhere in those editions (each gives only 'The Group had a 12-month average Liquidity Coverage Ratio (LCR) of 197.1%/188.0%/169.5%'), so those cells are left blank rather than carried forward.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2">
    <mergeCell ref="A8:H8"/>
    <mergeCell ref="A10:H1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s>
  <sheetData>
    <row r="1">
      <c r="A1" s="1" t="inlineStr">
        <is>
          <t>OneSavings Bank plc — NSFR</t>
        </is>
      </c>
    </row>
    <row r="2">
      <c r="A2" s="2" t="inlineStr">
        <is>
          <t>OSB Group consolidated basis, £m / %</t>
        </is>
      </c>
    </row>
    <row r="3">
      <c r="A3" s="4" t="inlineStr">
        <is>
          <t>Metric</t>
        </is>
      </c>
      <c r="B3" s="4" t="inlineStr">
        <is>
          <t>FY2025</t>
        </is>
      </c>
      <c r="C3" s="4" t="inlineStr">
        <is>
          <t>FY2024</t>
        </is>
      </c>
      <c r="D3" s="4" t="inlineStr">
        <is>
          <t>FY2023</t>
        </is>
      </c>
    </row>
    <row r="4">
      <c r="A4" s="6" t="inlineStr">
        <is>
          <t>Total available stable funding</t>
        </is>
      </c>
      <c r="B4" s="6" t="n">
        <v>26596.3</v>
      </c>
      <c r="C4" s="6" t="n">
        <v>27138.8</v>
      </c>
      <c r="D4" s="6" t="n">
        <v>26087</v>
      </c>
    </row>
    <row r="5">
      <c r="A5" s="6" t="inlineStr">
        <is>
          <t>Total required stable funding</t>
        </is>
      </c>
      <c r="B5" s="6" t="n">
        <v>18911.8</v>
      </c>
      <c r="C5" s="6" t="n">
        <v>20051.6</v>
      </c>
      <c r="D5" s="6" t="n">
        <v>19638.6</v>
      </c>
    </row>
    <row r="6">
      <c r="A6" s="6" t="inlineStr">
        <is>
          <t>NSFR ratio (%)</t>
        </is>
      </c>
      <c r="B6" s="6" t="inlineStr">
        <is>
          <t>140.6%</t>
        </is>
      </c>
      <c r="C6" s="6" t="inlineStr">
        <is>
          <t>135.4%</t>
        </is>
      </c>
      <c r="D6" s="6" t="inlineStr">
        <is>
          <t>132.8%</t>
        </is>
      </c>
    </row>
    <row r="7" ht="30" customHeight="1">
      <c r="A7" s="7" t="inlineStr">
        <is>
          <t>Note: FY2022's Pillar 3 report states that NSFR disclosures were not due until 1 January 2023; FY2021 likewise has no NSFR disclosure. The FY2023 table does not provide a 31 Dec 2022 comparative, so those cells remain blank.</t>
        </is>
      </c>
    </row>
    <row r="9" ht="299" customHeight="1">
      <c r="A9" s="8" t="inlineStr">
        <is>
          <t>Sources — OSB Group plc consolidated Pillar 3 basis (includes OneSavings Bank plc and CCFSL):
FY2025: Pillar 3 Disclosures 31 December 2025, p.7 (UK KM1; MREL UK KM2 on p.8; liquidity templates on pp.31 and 34) — https://www.onesavingsbank.com/media/hbymiii2/q4-2025-osbg-pillar-3-disclosure.pdf
FY2024: Pillar 3 Disclosures 31 December 2024, p.9 (UK KM1; MREL UK KM2 on p.10; liquidity templates on pp.49 and 52) — https://www.onesavingsbank.com/media/143pzceq/q4-2024-osbg-pillar-3-disclosure.pdf
FY2023: Pillar 3 Disclosures 31 December 2023, p.9 (UK KM1; liquidity templates on pp.46 and 49) — https://www.onesavingsbank.com/media/kn3nulae/q4-2023-osb-pillar-3-disclosures.pdf
FY2022: Pillar 3 Disclosures 31 December 2022, pp.8-9 (UK KM1 and liquidity templates) — https://www.onesavingsbank.com/media/cqepdkda/osb-group-pillar-3-disclosures-2022.pdf
FY2021: Pillar 3 Disclosures for year ended 31 December 2021, p.8 (Table 4: Key metrics) and p.62 (Table 47: LIQ1) — https://www.onesavingsbank.com/media/iuvfpajb/osb-group-pillar-3-disclosures-2021.pdf
FY2020: Pillar 3 Disclosures for year ended 31 December 2020, Table 1 — https://www.osb.co.uk/media/xmiprmgq/download-pillar-3-disclosure-document-2020.pdf
FY2019: Pillar 3 Disclosures for year ended 31 December 2019, Table 1 p.7 — https://www.osb.co.uk/media/nwwagqwf/download-pillar-3-disclosure-document-2019.pdf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2">
    <mergeCell ref="A7:D7"/>
    <mergeCell ref="A9:D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50" customWidth="1" min="1" max="1"/>
    <col width="15" customWidth="1" min="2" max="2"/>
    <col width="15" customWidth="1" min="3" max="3"/>
  </cols>
  <sheetData>
    <row r="1">
      <c r="A1" s="1" t="inlineStr">
        <is>
          <t>OneSavings Bank plc — MREL Ratio</t>
        </is>
      </c>
    </row>
    <row r="2">
      <c r="A2" s="2" t="inlineStr">
        <is>
          <t>OSB Group consolidated basis</t>
        </is>
      </c>
    </row>
    <row r="3">
      <c r="A3" s="4" t="inlineStr">
        <is>
          <t>Metric</t>
        </is>
      </c>
      <c r="B3" s="4" t="inlineStr">
        <is>
          <t>FY2025</t>
        </is>
      </c>
      <c r="C3" s="4" t="inlineStr">
        <is>
          <t>FY2024</t>
        </is>
      </c>
    </row>
    <row r="4">
      <c r="A4" s="6" t="inlineStr">
        <is>
          <t>MREL resources as a percentage of total risk-weighted assets</t>
        </is>
      </c>
      <c r="B4" s="6" t="inlineStr">
        <is>
          <t>24.7%</t>
        </is>
      </c>
      <c r="C4" s="6" t="inlineStr">
        <is>
          <t>25.6%</t>
        </is>
      </c>
    </row>
    <row r="5" ht="39" customHeight="1">
      <c r="A5" s="7" t="inlineStr">
        <is>
          <t>Note: Numeric MREL ratio is disclosed in UK KM2 for FY2025 and FY2024 only. FY2023's Pillar 3 report discusses the 18% requirement but does not provide a year-end MREL-resource ratio; FY2022 and FY2021 do not provide a comparable numeric MREL ratio. Those years are left blank rather than inferred.</t>
        </is>
      </c>
    </row>
    <row r="7" ht="312" customHeight="1">
      <c r="A7" s="8" t="inlineStr">
        <is>
          <t>Sources — OSB Group plc consolidated Pillar 3 basis (includes OneSavings Bank plc and CCFSL):
FY2025: Pillar 3 Disclosures 31 December 2025, p.7 (UK KM1; MREL UK KM2 on p.8; liquidity templates on pp.31 and 34) — https://www.onesavingsbank.com/media/hbymiii2/q4-2025-osbg-pillar-3-disclosure.pdf
FY2024: Pillar 3 Disclosures 31 December 2024, p.9 (UK KM1; MREL UK KM2 on p.10; liquidity templates on pp.49 and 52) — https://www.onesavingsbank.com/media/143pzceq/q4-2024-osbg-pillar-3-disclosure.pdf
FY2023: Pillar 3 Disclosures 31 December 2023, p.9 (UK KM1; liquidity templates on pp.46 and 49) — https://www.onesavingsbank.com/media/kn3nulae/q4-2023-osb-pillar-3-disclosures.pdf
FY2022: Pillar 3 Disclosures 31 December 2022, pp.8-9 (UK KM1 and liquidity templates) — https://www.onesavingsbank.com/media/cqepdkda/osb-group-pillar-3-disclosures-2022.pdf
FY2021: Pillar 3 Disclosures for year ended 31 December 2021, p.8 (Table 4: Key metrics) and p.62 (Table 47: LIQ1) — https://www.onesavingsbank.com/media/iuvfpajb/osb-group-pillar-3-disclosures-2021.pdf
FY2020: Pillar 3 Disclosures for year ended 31 December 2020, Table 1 — https://www.osb.co.uk/media/xmiprmgq/download-pillar-3-disclosure-document-2020.pdf
FY2019: Pillar 3 Disclosures for year ended 31 December 2019, Table 1 p.7 — https://www.osb.co.uk/media/nwwagqwf/download-pillar-3-disclosure-document-2019.pdf
ENTITY AND BASIS NOTE: OneSavings Bank plc (Companies House 07312896, FRN 530504) is the PRA-authorised bank in scope. Cash Flow Statement figures are the Bank's Company-only column, £m, from its own statutory annual accounts. The Pillar 3 disclosures are published by OSB Group plc on a consolidated Group basis and include the Group's banking entities OneSavings Bank plc and Charter Court Financial Services Limited, plus their relevant subsidiaries; OSB does not publish a five-year OSB-bank-only Pillar 3 series. The bases are therefore intentionally different and must not be treated as a single-entity time series. The 2019 Companies House filings were scanned/image-only and were OCR'd; figures were cross-checked against the official OSB reports and the printed opening/closing cash reconciliation.</t>
        </is>
      </c>
    </row>
  </sheetData>
  <mergeCells count="2">
    <mergeCell ref="A5:C5"/>
    <mergeCell ref="A7:C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2026-10-26T09:36:12Z</dcterms:created>
  <dcterms:modified xmlns:dcterms="http://purl.org/dc/terms/" xmlns:xsi="http://www.w3.org/2001/XMLSchema-instance" xsi:type="dcterms:W3CDTF">2026-10-26T09:36:12Z</dcterms:modified>
</cp:coreProperties>
</file>