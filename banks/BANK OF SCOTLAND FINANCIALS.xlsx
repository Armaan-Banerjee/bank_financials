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Scotland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Scotland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Scotland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Scotland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336117</v>
      </c>
      <c r="C6" s="5" t="n">
        <v>327868</v>
      </c>
      <c r="D6" s="5" t="n">
        <v>321109</v>
      </c>
      <c r="E6" s="5" t="n">
        <v>319152</v>
      </c>
      <c r="F6" s="5" t="n">
        <v>313912</v>
      </c>
      <c r="I6" t="inlineStr">
        <is>
          <t>Total assets</t>
        </is>
      </c>
      <c r="J6" t="n">
        <v>313912</v>
      </c>
      <c r="K6" t="n">
        <v>319152</v>
      </c>
      <c r="L6" t="n">
        <v>321109</v>
      </c>
      <c r="M6" t="n">
        <v>327868</v>
      </c>
      <c r="N6" t="n">
        <v>336117</v>
      </c>
      <c r="AO6" t="inlineStr">
        <is>
          <t>CET1 Ratio</t>
        </is>
      </c>
      <c r="AP6" t="n">
        <v>15.7</v>
      </c>
      <c r="AQ6" t="n">
        <v>15.4</v>
      </c>
      <c r="AR6" t="n">
        <v>14.9</v>
      </c>
      <c r="AS6" t="n">
        <v>13.5</v>
      </c>
      <c r="AT6" t="n">
        <v>13.5</v>
      </c>
    </row>
    <row r="7">
      <c r="A7" s="5" t="inlineStr">
        <is>
          <t>Loans and advances to customers</t>
        </is>
      </c>
      <c r="B7" s="5" t="n">
        <v>306405</v>
      </c>
      <c r="C7" s="5" t="n">
        <v>294782</v>
      </c>
      <c r="D7" s="5" t="n">
        <v>286187</v>
      </c>
      <c r="E7" s="5" t="n">
        <v>283621</v>
      </c>
      <c r="F7" s="5" t="n">
        <v>276005</v>
      </c>
      <c r="I7" t="inlineStr">
        <is>
          <t>Loans and advances to customers</t>
        </is>
      </c>
      <c r="J7" t="n">
        <v>276005</v>
      </c>
      <c r="K7" t="n">
        <v>283621</v>
      </c>
      <c r="L7" t="n">
        <v>286187</v>
      </c>
      <c r="M7" t="n">
        <v>294782</v>
      </c>
      <c r="N7" t="n">
        <v>306405</v>
      </c>
      <c r="AO7" t="inlineStr">
        <is>
          <t>Tier 1 Ratio</t>
        </is>
      </c>
      <c r="AP7" t="n">
        <v>19.3</v>
      </c>
      <c r="AQ7" t="n">
        <v>18.5</v>
      </c>
      <c r="AR7" t="n">
        <v>18.1</v>
      </c>
      <c r="AS7" t="n">
        <v>16.7</v>
      </c>
      <c r="AT7" t="n">
        <v>16.6</v>
      </c>
    </row>
    <row r="8">
      <c r="A8" s="5" t="inlineStr">
        <is>
          <t>Customer deposits</t>
        </is>
      </c>
      <c r="B8" s="5" t="n">
        <v>167586</v>
      </c>
      <c r="C8" s="5" t="n">
        <v>165053</v>
      </c>
      <c r="D8" s="5" t="n">
        <v>161946</v>
      </c>
      <c r="E8" s="5" t="n">
        <v>166363</v>
      </c>
      <c r="F8" s="5" t="n">
        <v>170776</v>
      </c>
      <c r="I8" t="inlineStr">
        <is>
          <t>Customer deposits</t>
        </is>
      </c>
      <c r="J8" t="n">
        <v>170776</v>
      </c>
      <c r="K8" t="n">
        <v>166363</v>
      </c>
      <c r="L8" t="n">
        <v>161946</v>
      </c>
      <c r="M8" t="n">
        <v>165053</v>
      </c>
      <c r="N8" t="n">
        <v>167586</v>
      </c>
      <c r="AO8" t="inlineStr">
        <is>
          <t>Total Capital Ratio</t>
        </is>
      </c>
      <c r="AP8" t="n">
        <v>21.8</v>
      </c>
      <c r="AQ8" t="n">
        <v>21</v>
      </c>
      <c r="AR8" t="n">
        <v>20.4</v>
      </c>
      <c r="AS8" t="n">
        <v>18.9</v>
      </c>
      <c r="AT8" t="n">
        <v>18.4</v>
      </c>
    </row>
    <row r="9">
      <c r="A9" s="5" t="inlineStr">
        <is>
          <t>Total equity</t>
        </is>
      </c>
      <c r="B9" s="5" t="n">
        <v>16963</v>
      </c>
      <c r="C9" s="5" t="n">
        <v>16687</v>
      </c>
      <c r="D9" s="5" t="n">
        <v>17035</v>
      </c>
      <c r="E9" s="5" t="n">
        <v>15904</v>
      </c>
      <c r="F9" s="5" t="n">
        <v>13626</v>
      </c>
      <c r="I9" t="inlineStr">
        <is>
          <t>Total equity</t>
        </is>
      </c>
      <c r="J9" t="n">
        <v>13626</v>
      </c>
      <c r="K9" t="n">
        <v>15904</v>
      </c>
      <c r="L9" t="n">
        <v>17035</v>
      </c>
      <c r="M9" t="n">
        <v>16687</v>
      </c>
      <c r="N9" t="n">
        <v>16963</v>
      </c>
      <c r="AO9" t="inlineStr">
        <is>
          <t>Leverage Ratio</t>
        </is>
      </c>
      <c r="AP9" t="n">
        <v>3.8</v>
      </c>
      <c r="AQ9" t="n">
        <v>4.5</v>
      </c>
      <c r="AR9" t="n">
        <v>4.8</v>
      </c>
      <c r="AS9" t="n">
        <v>4.4</v>
      </c>
      <c r="AT9" t="n">
        <v>4.3</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5622</v>
      </c>
      <c r="C13" s="5" t="n">
        <v>4193</v>
      </c>
      <c r="D13" s="5" t="n"/>
      <c r="E13" s="5" t="n"/>
      <c r="F13" s="5" t="n"/>
      <c r="Q13" t="inlineStr">
        <is>
          <t>Total income</t>
        </is>
      </c>
      <c r="U13" t="n">
        <v>4193</v>
      </c>
      <c r="V13" t="n">
        <v>5622</v>
      </c>
    </row>
    <row r="14">
      <c r="A14" s="5" t="inlineStr">
        <is>
          <t>Operating expenses</t>
        </is>
      </c>
      <c r="B14" s="5" t="n">
        <v>-3637</v>
      </c>
      <c r="C14" s="5" t="n">
        <v>-3202</v>
      </c>
      <c r="D14" s="5" t="n"/>
      <c r="E14" s="5" t="n"/>
      <c r="F14" s="5" t="n"/>
      <c r="Q14" t="inlineStr">
        <is>
          <t>Operating expenses</t>
        </is>
      </c>
      <c r="U14" t="n">
        <v>-3202</v>
      </c>
      <c r="V14" t="n">
        <v>-3637</v>
      </c>
    </row>
    <row r="15">
      <c r="A15" s="5" t="inlineStr">
        <is>
          <t>Profit for the year</t>
        </is>
      </c>
      <c r="B15" s="5" t="n">
        <v>1511</v>
      </c>
      <c r="C15" s="5" t="n">
        <v>832</v>
      </c>
      <c r="D15" s="5" t="n">
        <v>926</v>
      </c>
      <c r="E15" s="5" t="n">
        <v>1147</v>
      </c>
      <c r="F15" s="5" t="n">
        <v>1962</v>
      </c>
      <c r="Q15" t="inlineStr">
        <is>
          <t>Profit for the year</t>
        </is>
      </c>
      <c r="R15" t="n">
        <v>1962</v>
      </c>
      <c r="S15" t="n">
        <v>1147</v>
      </c>
      <c r="T15" t="n">
        <v>926</v>
      </c>
      <c r="U15" t="n">
        <v>832</v>
      </c>
      <c r="V15" t="n">
        <v>1511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16687</v>
      </c>
      <c r="C19" s="5" t="n">
        <v>17035</v>
      </c>
      <c r="D19" s="5" t="n">
        <v>15904</v>
      </c>
      <c r="E19" s="5" t="n">
        <v>13626</v>
      </c>
      <c r="F19" s="5" t="n">
        <v>12970</v>
      </c>
      <c r="Y19" t="inlineStr">
        <is>
          <t>Opening equity</t>
        </is>
      </c>
      <c r="Z19" t="n">
        <v>12970</v>
      </c>
      <c r="AA19" t="n">
        <v>13626</v>
      </c>
      <c r="AB19" t="n">
        <v>15904</v>
      </c>
      <c r="AC19" t="n">
        <v>17035</v>
      </c>
      <c r="AD19" t="n">
        <v>16687</v>
      </c>
    </row>
    <row r="20">
      <c r="A20" s="5" t="inlineStr">
        <is>
          <t>Total comprehensive income</t>
        </is>
      </c>
      <c r="B20" s="5" t="n">
        <v>1484</v>
      </c>
      <c r="C20" s="5" t="n">
        <v>835</v>
      </c>
      <c r="D20" s="5" t="n">
        <v>924</v>
      </c>
      <c r="E20" s="5" t="n">
        <v>1125</v>
      </c>
      <c r="F20" s="5" t="n">
        <v>1929</v>
      </c>
      <c r="Y20" t="inlineStr">
        <is>
          <t>Total comprehensive income</t>
        </is>
      </c>
      <c r="Z20" t="n">
        <v>1929</v>
      </c>
      <c r="AA20" t="n">
        <v>1125</v>
      </c>
      <c r="AB20" t="n">
        <v>924</v>
      </c>
      <c r="AC20" t="n">
        <v>835</v>
      </c>
      <c r="AD20" t="n">
        <v>1484</v>
      </c>
    </row>
    <row r="21">
      <c r="A21" s="5" t="inlineStr">
        <is>
          <t>Other movements, net</t>
        </is>
      </c>
      <c r="B21" s="5" t="n">
        <v>-1208</v>
      </c>
      <c r="C21" s="5" t="n">
        <v>-1183</v>
      </c>
      <c r="D21" s="5" t="n">
        <v>207</v>
      </c>
      <c r="E21" s="5" t="n">
        <v>1153</v>
      </c>
      <c r="F21" s="5" t="n">
        <v>-1273</v>
      </c>
      <c r="Y21" t="inlineStr">
        <is>
          <t>Other movements, net</t>
        </is>
      </c>
      <c r="Z21" t="n">
        <v>-1273</v>
      </c>
      <c r="AA21" t="n">
        <v>1153</v>
      </c>
      <c r="AB21" t="n">
        <v>207</v>
      </c>
      <c r="AC21" t="n">
        <v>-1183</v>
      </c>
      <c r="AD21" t="n">
        <v>-1208</v>
      </c>
    </row>
    <row r="22">
      <c r="A22" s="5" t="inlineStr">
        <is>
          <t>Closing equity</t>
        </is>
      </c>
      <c r="B22" s="5" t="n">
        <v>16963</v>
      </c>
      <c r="C22" s="5" t="n">
        <v>16687</v>
      </c>
      <c r="D22" s="5" t="n">
        <v>17035</v>
      </c>
      <c r="E22" s="5" t="n">
        <v>15904</v>
      </c>
      <c r="F22" s="5" t="n">
        <v>13626</v>
      </c>
      <c r="Y22" t="inlineStr">
        <is>
          <t>Closing equity</t>
        </is>
      </c>
      <c r="Z22" t="n">
        <v>13626</v>
      </c>
      <c r="AA22" t="n">
        <v>15904</v>
      </c>
      <c r="AB22" t="n">
        <v>17035</v>
      </c>
      <c r="AC22" t="n">
        <v>16687</v>
      </c>
      <c r="AD22" t="n">
        <v>16963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1133</v>
      </c>
      <c r="C26" s="5" t="n">
        <v>2120</v>
      </c>
      <c r="D26" s="5" t="n">
        <v>-435</v>
      </c>
      <c r="E26" s="5" t="n">
        <v>-1836</v>
      </c>
      <c r="F26" s="5" t="n">
        <v>6414</v>
      </c>
      <c r="AG26" t="inlineStr">
        <is>
          <t>Net cash provided by/(used in) operating activities</t>
        </is>
      </c>
      <c r="AH26" t="n">
        <v>6414</v>
      </c>
      <c r="AI26" t="n">
        <v>-1836</v>
      </c>
      <c r="AJ26" t="n">
        <v>-435</v>
      </c>
      <c r="AK26" t="n">
        <v>2120</v>
      </c>
      <c r="AL26" t="n">
        <v>1133</v>
      </c>
    </row>
    <row r="27">
      <c r="A27" s="5" t="inlineStr">
        <is>
          <t>Net cash (used in)/provided by investing activities</t>
        </is>
      </c>
      <c r="B27" s="5" t="n">
        <v>93</v>
      </c>
      <c r="C27" s="5" t="n">
        <v>-49</v>
      </c>
      <c r="D27" s="5" t="n">
        <v>513</v>
      </c>
      <c r="E27" s="5" t="n">
        <v>1923</v>
      </c>
      <c r="F27" s="5" t="n">
        <v>211</v>
      </c>
      <c r="AG27" t="inlineStr">
        <is>
          <t>Net cash (used in)/provided by investing activities</t>
        </is>
      </c>
      <c r="AH27" t="n">
        <v>211</v>
      </c>
      <c r="AI27" t="n">
        <v>1923</v>
      </c>
      <c r="AJ27" t="n">
        <v>513</v>
      </c>
      <c r="AK27" t="n">
        <v>-49</v>
      </c>
      <c r="AL27" t="n">
        <v>93</v>
      </c>
    </row>
    <row r="28">
      <c r="A28" s="5" t="inlineStr">
        <is>
          <t>Net cash used in/(provided by) financing activities</t>
        </is>
      </c>
      <c r="B28" s="5" t="n">
        <v>-1313</v>
      </c>
      <c r="C28" s="5" t="n">
        <v>-1314</v>
      </c>
      <c r="D28" s="5" t="n">
        <v>-4</v>
      </c>
      <c r="E28" s="5" t="n">
        <v>-224</v>
      </c>
      <c r="F28" s="5" t="n">
        <v>-6617</v>
      </c>
      <c r="AG28" t="inlineStr">
        <is>
          <t>Net cash used in/(provided by) financing activities</t>
        </is>
      </c>
      <c r="AH28" t="n">
        <v>-6617</v>
      </c>
      <c r="AI28" t="n">
        <v>-224</v>
      </c>
      <c r="AJ28" t="n">
        <v>-4</v>
      </c>
      <c r="AK28" t="n">
        <v>-1314</v>
      </c>
      <c r="AL28" t="n">
        <v>-1313</v>
      </c>
    </row>
    <row r="29">
      <c r="A29" s="5" t="inlineStr">
        <is>
          <t>Cash and cash equivalents at end of year</t>
        </is>
      </c>
      <c r="B29" s="5" t="n">
        <v>2771</v>
      </c>
      <c r="C29" s="5" t="n">
        <v>2858</v>
      </c>
      <c r="D29" s="5" t="n">
        <v>2101</v>
      </c>
      <c r="E29" s="5" t="n">
        <v>2027</v>
      </c>
      <c r="F29" s="5" t="n">
        <v>854</v>
      </c>
      <c r="AG29" t="inlineStr">
        <is>
          <t>Cash and cash equivalents at end of year</t>
        </is>
      </c>
      <c r="AH29" t="n">
        <v>854</v>
      </c>
      <c r="AI29" t="n">
        <v>2027</v>
      </c>
      <c r="AJ29" t="n">
        <v>2101</v>
      </c>
      <c r="AK29" t="n">
        <v>2858</v>
      </c>
      <c r="AL29" t="n">
        <v>2771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13.5%</t>
        </is>
      </c>
      <c r="D33" s="6" t="inlineStr">
        <is>
          <t>14.9%</t>
        </is>
      </c>
      <c r="E33" s="6" t="inlineStr">
        <is>
          <t>15.4%</t>
        </is>
      </c>
      <c r="F33" s="6" t="inlineStr">
        <is>
          <t>15.7%</t>
        </is>
      </c>
    </row>
    <row r="34">
      <c r="A34" s="6" t="inlineStr">
        <is>
          <t>Tier 1 Ratio</t>
        </is>
      </c>
      <c r="B34" s="6" t="inlineStr">
        <is>
          <t>16.6%</t>
        </is>
      </c>
      <c r="C34" s="6" t="inlineStr">
        <is>
          <t>16.7%</t>
        </is>
      </c>
      <c r="D34" s="6" t="inlineStr">
        <is>
          <t>18.1%</t>
        </is>
      </c>
      <c r="E34" s="6" t="inlineStr">
        <is>
          <t>18.5%</t>
        </is>
      </c>
      <c r="F34" s="6" t="inlineStr">
        <is>
          <t>19.3%</t>
        </is>
      </c>
    </row>
    <row r="35">
      <c r="A35" s="6" t="inlineStr">
        <is>
          <t>Total Capital Ratio</t>
        </is>
      </c>
      <c r="B35" s="6" t="inlineStr">
        <is>
          <t>18.4%</t>
        </is>
      </c>
      <c r="C35" s="6" t="inlineStr">
        <is>
          <t>18.9%</t>
        </is>
      </c>
      <c r="D35" s="6" t="inlineStr">
        <is>
          <t>20.4%</t>
        </is>
      </c>
      <c r="E35" s="6" t="inlineStr">
        <is>
          <t>21.0%</t>
        </is>
      </c>
      <c r="F35" s="6" t="inlineStr">
        <is>
          <t>21.8%</t>
        </is>
      </c>
    </row>
    <row r="36">
      <c r="A36" s="6" t="inlineStr">
        <is>
          <t>Leverage Ratio</t>
        </is>
      </c>
      <c r="B36" s="6" t="inlineStr">
        <is>
          <t>4.3%</t>
        </is>
      </c>
      <c r="C36" s="6" t="inlineStr">
        <is>
          <t>4.4%</t>
        </is>
      </c>
      <c r="D36" s="6" t="inlineStr">
        <is>
          <t>4.8%</t>
        </is>
      </c>
      <c r="E36" s="6" t="inlineStr">
        <is>
          <t>4.5%</t>
        </is>
      </c>
      <c r="F36" s="6" t="inlineStr">
        <is>
          <t>3.8%</t>
        </is>
      </c>
    </row>
    <row r="38" ht="39" customHeight="1">
      <c r="A3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Balance Sheet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2767</v>
      </c>
      <c r="C5" s="6" t="n">
        <v>2853</v>
      </c>
      <c r="D5" s="6" t="n">
        <v>3009</v>
      </c>
      <c r="E5" s="6" t="n">
        <v>3004</v>
      </c>
      <c r="F5" s="6" t="n">
        <v>3201</v>
      </c>
    </row>
    <row r="6">
      <c r="A6" s="6" t="inlineStr">
        <is>
          <t>Items in the course of collection from banks</t>
        </is>
      </c>
      <c r="B6" s="6" t="n"/>
      <c r="C6" s="6" t="n"/>
      <c r="D6" s="6" t="n"/>
      <c r="E6" s="6" t="n"/>
      <c r="F6" s="6" t="n">
        <v>47</v>
      </c>
    </row>
    <row r="7">
      <c r="A7" s="6" t="inlineStr">
        <is>
          <t>Financial assets at fair value through profit or loss</t>
        </is>
      </c>
      <c r="B7" s="6" t="n">
        <v>123</v>
      </c>
      <c r="C7" s="6" t="n">
        <v>117</v>
      </c>
      <c r="D7" s="6" t="n">
        <v>111</v>
      </c>
      <c r="E7" s="6" t="n">
        <v>113</v>
      </c>
      <c r="F7" s="6" t="n">
        <v>152</v>
      </c>
    </row>
    <row r="8">
      <c r="A8" s="6" t="inlineStr">
        <is>
          <t>Derivative financial instruments</t>
        </is>
      </c>
      <c r="B8" s="6" t="n">
        <v>2214</v>
      </c>
      <c r="C8" s="6" t="n">
        <v>3337</v>
      </c>
      <c r="D8" s="6" t="n">
        <v>2850</v>
      </c>
      <c r="E8" s="6" t="n">
        <v>3476</v>
      </c>
      <c r="F8" s="6" t="n">
        <v>4264</v>
      </c>
    </row>
    <row r="9">
      <c r="A9" s="6" t="inlineStr">
        <is>
          <t>Loans and advances to banks</t>
        </is>
      </c>
      <c r="B9" s="6" t="n">
        <v>97</v>
      </c>
      <c r="C9" s="6" t="n">
        <v>78</v>
      </c>
      <c r="D9" s="6" t="n">
        <v>180</v>
      </c>
      <c r="E9" s="6" t="n">
        <v>171</v>
      </c>
      <c r="F9" s="6" t="n">
        <v>50</v>
      </c>
    </row>
    <row r="10">
      <c r="A10" s="6" t="inlineStr">
        <is>
          <t>Loans and advances to customers</t>
        </is>
      </c>
      <c r="B10" s="6" t="n">
        <v>306405</v>
      </c>
      <c r="C10" s="6" t="n">
        <v>294782</v>
      </c>
      <c r="D10" s="6" t="n">
        <v>286187</v>
      </c>
      <c r="E10" s="6" t="n">
        <v>283621</v>
      </c>
      <c r="F10" s="6" t="n">
        <v>276005</v>
      </c>
    </row>
    <row r="11">
      <c r="A11" s="6" t="inlineStr">
        <is>
          <t>Debt securities</t>
        </is>
      </c>
      <c r="B11" s="6" t="n">
        <v>1041</v>
      </c>
      <c r="C11" s="6" t="n">
        <v>1350</v>
      </c>
      <c r="D11" s="6" t="n">
        <v>1696</v>
      </c>
      <c r="E11" s="6" t="n"/>
      <c r="F11" s="6" t="n"/>
    </row>
    <row r="12">
      <c r="A12" s="6" t="inlineStr">
        <is>
          <t>Due from fellow Lloyds Banking Group undertakings</t>
        </is>
      </c>
      <c r="B12" s="6" t="n">
        <v>18038</v>
      </c>
      <c r="C12" s="6" t="n">
        <v>18896</v>
      </c>
      <c r="D12" s="6" t="n">
        <v>20921</v>
      </c>
      <c r="E12" s="6" t="n">
        <v>22999</v>
      </c>
      <c r="F12" s="6" t="n">
        <v>23919</v>
      </c>
    </row>
    <row r="13">
      <c r="A13" s="5" t="inlineStr">
        <is>
          <t>Financial assets at amortised cost</t>
        </is>
      </c>
      <c r="B13" s="5" t="n">
        <v>325581</v>
      </c>
      <c r="C13" s="5" t="n">
        <v>315106</v>
      </c>
      <c r="D13" s="5" t="n">
        <v>308984</v>
      </c>
      <c r="E13" s="5" t="n">
        <v>306791</v>
      </c>
      <c r="F13" s="5" t="n">
        <v>299974</v>
      </c>
    </row>
    <row r="14">
      <c r="A14" s="6" t="inlineStr">
        <is>
          <t>Financial assets at fair value through other comprehensive income</t>
        </is>
      </c>
      <c r="B14" s="6" t="n"/>
      <c r="C14" s="6" t="n"/>
      <c r="D14" s="6" t="n"/>
      <c r="E14" s="6" t="n"/>
      <c r="F14" s="6" t="n">
        <v>2047</v>
      </c>
    </row>
    <row r="15">
      <c r="A15" s="6" t="inlineStr">
        <is>
          <t>Goodwill</t>
        </is>
      </c>
      <c r="B15" s="6" t="n">
        <v>325</v>
      </c>
      <c r="C15" s="6" t="n">
        <v>325</v>
      </c>
      <c r="D15" s="6" t="n">
        <v>325</v>
      </c>
      <c r="E15" s="6" t="n">
        <v>325</v>
      </c>
      <c r="F15" s="6" t="n">
        <v>325</v>
      </c>
    </row>
    <row r="16">
      <c r="A16" s="6" t="inlineStr">
        <is>
          <t>Current tax recoverable</t>
        </is>
      </c>
      <c r="B16" s="6" t="n">
        <v>450</v>
      </c>
      <c r="C16" s="6" t="n">
        <v>1354</v>
      </c>
      <c r="D16" s="6" t="n">
        <v>1096</v>
      </c>
      <c r="E16" s="6" t="n">
        <v>464</v>
      </c>
      <c r="F16" s="6" t="n">
        <v>293</v>
      </c>
    </row>
    <row r="17">
      <c r="A17" s="6" t="inlineStr">
        <is>
          <t>Deferred tax assets</t>
        </is>
      </c>
      <c r="B17" s="6" t="n">
        <v>1768</v>
      </c>
      <c r="C17" s="6" t="n">
        <v>1886</v>
      </c>
      <c r="D17" s="6" t="n">
        <v>1932</v>
      </c>
      <c r="E17" s="6" t="n">
        <v>1979</v>
      </c>
      <c r="F17" s="6" t="n">
        <v>1991</v>
      </c>
    </row>
    <row r="18">
      <c r="A18" s="6" t="inlineStr">
        <is>
          <t>Investment in subsidiary undertakings</t>
        </is>
      </c>
      <c r="B18" s="6" t="n">
        <v>1284</v>
      </c>
      <c r="C18" s="6" t="n">
        <v>1284</v>
      </c>
      <c r="D18" s="6" t="n">
        <v>1294</v>
      </c>
      <c r="E18" s="6" t="n">
        <v>1313</v>
      </c>
      <c r="F18" s="6" t="n">
        <v>84</v>
      </c>
    </row>
    <row r="19">
      <c r="A19" s="6" t="inlineStr">
        <is>
          <t>Retirement benefit assets</t>
        </is>
      </c>
      <c r="B19" s="6" t="n">
        <v>39</v>
      </c>
      <c r="C19" s="6" t="n">
        <v>52</v>
      </c>
      <c r="D19" s="6" t="n">
        <v>49</v>
      </c>
      <c r="E19" s="6" t="n">
        <v>47</v>
      </c>
      <c r="F19" s="6" t="n">
        <v>58</v>
      </c>
    </row>
    <row r="20">
      <c r="A20" s="6" t="inlineStr">
        <is>
          <t>Other assets</t>
        </is>
      </c>
      <c r="B20" s="6" t="n">
        <v>1566</v>
      </c>
      <c r="C20" s="6" t="n">
        <v>1554</v>
      </c>
      <c r="D20" s="6" t="n">
        <v>1459</v>
      </c>
      <c r="E20" s="6" t="n">
        <v>1640</v>
      </c>
      <c r="F20" s="6" t="n">
        <v>1476</v>
      </c>
    </row>
    <row r="21">
      <c r="A21" s="5" t="inlineStr">
        <is>
          <t>Total assets</t>
        </is>
      </c>
      <c r="B21" s="5" t="n">
        <v>336117</v>
      </c>
      <c r="C21" s="5" t="n">
        <v>327868</v>
      </c>
      <c r="D21" s="5" t="n">
        <v>321109</v>
      </c>
      <c r="E21" s="5" t="n">
        <v>319152</v>
      </c>
      <c r="F21" s="5" t="n">
        <v>313912</v>
      </c>
    </row>
    <row r="22">
      <c r="A22" s="5" t="inlineStr">
        <is>
          <t>Liabilities</t>
        </is>
      </c>
      <c r="B22" s="6" t="n"/>
      <c r="C22" s="6" t="n"/>
      <c r="D22" s="6" t="n"/>
      <c r="E22" s="6" t="n"/>
      <c r="F22" s="6" t="n"/>
    </row>
    <row r="23">
      <c r="A23" s="6" t="inlineStr">
        <is>
          <t>Deposits from banks</t>
        </is>
      </c>
      <c r="B23" s="6" t="n">
        <v>99</v>
      </c>
      <c r="C23" s="6" t="n">
        <v>179</v>
      </c>
      <c r="D23" s="6" t="n">
        <v>179</v>
      </c>
      <c r="E23" s="6" t="n">
        <v>195</v>
      </c>
      <c r="F23" s="6" t="n">
        <v>597</v>
      </c>
    </row>
    <row r="24">
      <c r="A24" s="6" t="inlineStr">
        <is>
          <t>Customer deposits</t>
        </is>
      </c>
      <c r="B24" s="6" t="n">
        <v>167586</v>
      </c>
      <c r="C24" s="6" t="n">
        <v>165053</v>
      </c>
      <c r="D24" s="6" t="n">
        <v>161946</v>
      </c>
      <c r="E24" s="6" t="n">
        <v>166363</v>
      </c>
      <c r="F24" s="6" t="n">
        <v>170776</v>
      </c>
    </row>
    <row r="25">
      <c r="A25" s="6" t="inlineStr">
        <is>
          <t>Repurchase agreements at amortised cost</t>
        </is>
      </c>
      <c r="B25" s="6" t="n">
        <v>10443</v>
      </c>
      <c r="C25" s="6" t="n">
        <v>22168</v>
      </c>
      <c r="D25" s="6" t="n">
        <v>30397</v>
      </c>
      <c r="E25" s="6" t="n">
        <v>30210</v>
      </c>
      <c r="F25" s="6" t="n">
        <v>30028</v>
      </c>
    </row>
    <row r="26">
      <c r="A26" s="6" t="inlineStr">
        <is>
          <t>Due to fellow Lloyds Banking Group undertakings</t>
        </is>
      </c>
      <c r="B26" s="6" t="n">
        <v>124753</v>
      </c>
      <c r="C26" s="6" t="n">
        <v>107189</v>
      </c>
      <c r="D26" s="6" t="n">
        <v>94394</v>
      </c>
      <c r="E26" s="6" t="n">
        <v>91563</v>
      </c>
      <c r="F26" s="6" t="n">
        <v>83193</v>
      </c>
    </row>
    <row r="27">
      <c r="A27" s="6" t="inlineStr">
        <is>
          <t>Items in the course of transmission to banks</t>
        </is>
      </c>
      <c r="B27" s="6" t="n"/>
      <c r="C27" s="6" t="n"/>
      <c r="D27" s="6" t="n"/>
      <c r="E27" s="6" t="n"/>
      <c r="F27" s="6" t="n">
        <v>98</v>
      </c>
    </row>
    <row r="28">
      <c r="A28" s="6" t="inlineStr">
        <is>
          <t>Derivative financial instruments</t>
        </is>
      </c>
      <c r="B28" s="6" t="n">
        <v>2905</v>
      </c>
      <c r="C28" s="6" t="n">
        <v>3366</v>
      </c>
      <c r="D28" s="6" t="n">
        <v>4297</v>
      </c>
      <c r="E28" s="6" t="n">
        <v>4421</v>
      </c>
      <c r="F28" s="6" t="n">
        <v>4144</v>
      </c>
    </row>
    <row r="29">
      <c r="A29" s="6" t="inlineStr">
        <is>
          <t>Notes in circulation</t>
        </is>
      </c>
      <c r="B29" s="6" t="n">
        <v>2118</v>
      </c>
      <c r="C29" s="6" t="n">
        <v>2121</v>
      </c>
      <c r="D29" s="6" t="n">
        <v>1392</v>
      </c>
      <c r="E29" s="6" t="n">
        <v>1280</v>
      </c>
      <c r="F29" s="6" t="n">
        <v>1321</v>
      </c>
    </row>
    <row r="30">
      <c r="A30" s="6" t="inlineStr">
        <is>
          <t>Debt securities in issue at amortised cost</t>
        </is>
      </c>
      <c r="B30" s="6" t="n">
        <v>8342</v>
      </c>
      <c r="C30" s="6" t="n">
        <v>8077</v>
      </c>
      <c r="D30" s="6" t="n">
        <v>7992</v>
      </c>
      <c r="E30" s="6" t="n">
        <v>5376</v>
      </c>
      <c r="F30" s="6" t="n">
        <v>6140</v>
      </c>
    </row>
    <row r="31">
      <c r="A31" s="6" t="inlineStr">
        <is>
          <t>Other liabilities</t>
        </is>
      </c>
      <c r="B31" s="6" t="n">
        <v>1008</v>
      </c>
      <c r="C31" s="6" t="n">
        <v>1031</v>
      </c>
      <c r="D31" s="6" t="n">
        <v>1290</v>
      </c>
      <c r="E31" s="6" t="n">
        <v>1345</v>
      </c>
      <c r="F31" s="6" t="n">
        <v>1288</v>
      </c>
    </row>
    <row r="32">
      <c r="A32" s="6" t="inlineStr">
        <is>
          <t>Provisions</t>
        </is>
      </c>
      <c r="B32" s="6" t="n">
        <v>368</v>
      </c>
      <c r="C32" s="6" t="n">
        <v>464</v>
      </c>
      <c r="D32" s="6" t="n">
        <v>655</v>
      </c>
      <c r="E32" s="6" t="n">
        <v>897</v>
      </c>
      <c r="F32" s="6" t="n">
        <v>1057</v>
      </c>
    </row>
    <row r="33">
      <c r="A33" s="6" t="inlineStr">
        <is>
          <t>Subordinated liabilities</t>
        </is>
      </c>
      <c r="B33" s="6" t="n">
        <v>1532</v>
      </c>
      <c r="C33" s="6" t="n">
        <v>1533</v>
      </c>
      <c r="D33" s="6" t="n">
        <v>1532</v>
      </c>
      <c r="E33" s="6" t="n">
        <v>1598</v>
      </c>
      <c r="F33" s="6" t="n">
        <v>1644</v>
      </c>
    </row>
    <row r="34">
      <c r="A34" s="5" t="inlineStr">
        <is>
          <t>Total liabilities</t>
        </is>
      </c>
      <c r="B34" s="5" t="n">
        <v>319154</v>
      </c>
      <c r="C34" s="5" t="n">
        <v>311181</v>
      </c>
      <c r="D34" s="5" t="n">
        <v>304074</v>
      </c>
      <c r="E34" s="5" t="n">
        <v>303248</v>
      </c>
      <c r="F34" s="5" t="n">
        <v>300286</v>
      </c>
    </row>
    <row r="35">
      <c r="A35" s="5" t="inlineStr">
        <is>
          <t>Equity</t>
        </is>
      </c>
      <c r="B35" s="6" t="n"/>
      <c r="C35" s="6" t="n"/>
      <c r="D35" s="6" t="n"/>
      <c r="E35" s="6" t="n"/>
      <c r="F35" s="6" t="n"/>
    </row>
    <row r="36">
      <c r="A36" s="6" t="inlineStr">
        <is>
          <t>Share capital</t>
        </is>
      </c>
      <c r="B36" s="6" t="n">
        <v>5847</v>
      </c>
      <c r="C36" s="6" t="n">
        <v>5847</v>
      </c>
      <c r="D36" s="6" t="n">
        <v>5847</v>
      </c>
      <c r="E36" s="6" t="n">
        <v>5847</v>
      </c>
      <c r="F36" s="6" t="n">
        <v>5847</v>
      </c>
    </row>
    <row r="37">
      <c r="A37" s="6" t="inlineStr">
        <is>
          <t>Other reserves</t>
        </is>
      </c>
      <c r="B37" s="6" t="n">
        <v>3221</v>
      </c>
      <c r="C37" s="6" t="n">
        <v>3237</v>
      </c>
      <c r="D37" s="6" t="n">
        <v>3235</v>
      </c>
      <c r="E37" s="6" t="n">
        <v>3238</v>
      </c>
      <c r="F37" s="6" t="n">
        <v>2025</v>
      </c>
    </row>
    <row r="38">
      <c r="A38" s="6" t="inlineStr">
        <is>
          <t>Retained profits</t>
        </is>
      </c>
      <c r="B38" s="6" t="n">
        <v>5295</v>
      </c>
      <c r="C38" s="6" t="n">
        <v>5003</v>
      </c>
      <c r="D38" s="6" t="n">
        <v>5403</v>
      </c>
      <c r="E38" s="6" t="n">
        <v>4619</v>
      </c>
      <c r="F38" s="6" t="n">
        <v>3554</v>
      </c>
    </row>
    <row r="39">
      <c r="A39" s="5" t="inlineStr">
        <is>
          <t>Ordinary shareholders' equity</t>
        </is>
      </c>
      <c r="B39" s="5" t="n">
        <v>14363</v>
      </c>
      <c r="C39" s="5" t="n">
        <v>14087</v>
      </c>
      <c r="D39" s="5" t="n">
        <v>14485</v>
      </c>
      <c r="E39" s="5" t="n">
        <v>13704</v>
      </c>
      <c r="F39" s="5" t="n">
        <v>11426</v>
      </c>
    </row>
    <row r="40">
      <c r="A40" s="6" t="inlineStr">
        <is>
          <t>Other equity instruments</t>
        </is>
      </c>
      <c r="B40" s="6" t="n">
        <v>2600</v>
      </c>
      <c r="C40" s="6" t="n">
        <v>2600</v>
      </c>
      <c r="D40" s="6" t="n">
        <v>2550</v>
      </c>
      <c r="E40" s="6" t="n">
        <v>2200</v>
      </c>
      <c r="F40" s="6" t="n">
        <v>2200</v>
      </c>
    </row>
    <row r="41">
      <c r="A41" s="5" t="inlineStr">
        <is>
          <t>Total equity</t>
        </is>
      </c>
      <c r="B41" s="5" t="n">
        <v>16963</v>
      </c>
      <c r="C41" s="5" t="n">
        <v>16687</v>
      </c>
      <c r="D41" s="5" t="n">
        <v>17035</v>
      </c>
      <c r="E41" s="5" t="n">
        <v>15904</v>
      </c>
      <c r="F41" s="5" t="n">
        <v>13626</v>
      </c>
    </row>
    <row r="42">
      <c r="A42" s="5" t="inlineStr">
        <is>
          <t>Total equity and liabilities</t>
        </is>
      </c>
      <c r="B42" s="5" t="n">
        <v>336117</v>
      </c>
      <c r="C42" s="5" t="n">
        <v>327868</v>
      </c>
      <c r="D42" s="5" t="n">
        <v>321109</v>
      </c>
      <c r="E42" s="5" t="n">
        <v>319152</v>
      </c>
      <c r="F42" s="5" t="n">
        <v>313912</v>
      </c>
    </row>
    <row r="44" ht="351" customHeight="1">
      <c r="A44"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Profit &amp; Loss</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14929</v>
      </c>
      <c r="C5" s="6" t="n">
        <v>14569</v>
      </c>
      <c r="D5" s="6" t="n"/>
      <c r="E5" s="6" t="n"/>
      <c r="F5" s="6" t="n"/>
    </row>
    <row r="6">
      <c r="A6" s="6" t="inlineStr">
        <is>
          <t>Interest expense</t>
        </is>
      </c>
      <c r="B6" s="6" t="n">
        <v>-10454</v>
      </c>
      <c r="C6" s="6" t="n">
        <v>-10974</v>
      </c>
      <c r="D6" s="6" t="n"/>
      <c r="E6" s="6" t="n"/>
      <c r="F6" s="6" t="n"/>
    </row>
    <row r="7">
      <c r="A7" s="5" t="inlineStr">
        <is>
          <t>Net interest income</t>
        </is>
      </c>
      <c r="B7" s="5" t="n">
        <v>4475</v>
      </c>
      <c r="C7" s="5" t="n">
        <v>3595</v>
      </c>
      <c r="D7" s="5" t="n"/>
      <c r="E7" s="5" t="n"/>
      <c r="F7" s="5" t="n"/>
    </row>
    <row r="8">
      <c r="A8" s="6" t="inlineStr">
        <is>
          <t>Fee and commission income</t>
        </is>
      </c>
      <c r="B8" s="6" t="n">
        <v>625</v>
      </c>
      <c r="C8" s="6" t="n">
        <v>629</v>
      </c>
      <c r="D8" s="6" t="n"/>
      <c r="E8" s="6" t="n"/>
      <c r="F8" s="6" t="n"/>
    </row>
    <row r="9">
      <c r="A9" s="6" t="inlineStr">
        <is>
          <t>Fee and commission expense</t>
        </is>
      </c>
      <c r="B9" s="6" t="n">
        <v>-295</v>
      </c>
      <c r="C9" s="6" t="n">
        <v>-374</v>
      </c>
      <c r="D9" s="6" t="n"/>
      <c r="E9" s="6" t="n"/>
      <c r="F9" s="6" t="n"/>
    </row>
    <row r="10">
      <c r="A10" s="5" t="inlineStr">
        <is>
          <t>Net fee and commission income</t>
        </is>
      </c>
      <c r="B10" s="5" t="n">
        <v>330</v>
      </c>
      <c r="C10" s="5" t="n">
        <v>255</v>
      </c>
      <c r="D10" s="5" t="n"/>
      <c r="E10" s="5" t="n"/>
      <c r="F10" s="5" t="n"/>
    </row>
    <row r="11">
      <c r="A11" s="6" t="inlineStr">
        <is>
          <t>Net trading income</t>
        </is>
      </c>
      <c r="B11" s="6" t="n">
        <v>187</v>
      </c>
      <c r="C11" s="6" t="n">
        <v>67</v>
      </c>
      <c r="D11" s="6" t="n"/>
      <c r="E11" s="6" t="n"/>
      <c r="F11" s="6" t="n"/>
    </row>
    <row r="12">
      <c r="A12" s="6" t="inlineStr">
        <is>
          <t>Dividends from subsidiaries</t>
        </is>
      </c>
      <c r="B12" s="6" t="n">
        <v>406</v>
      </c>
      <c r="C12" s="6" t="n">
        <v>184</v>
      </c>
      <c r="D12" s="6" t="n"/>
      <c r="E12" s="6" t="n"/>
      <c r="F12" s="6" t="n"/>
    </row>
    <row r="13">
      <c r="A13" s="6" t="inlineStr">
        <is>
          <t>Other operating income</t>
        </is>
      </c>
      <c r="B13" s="6" t="n">
        <v>224</v>
      </c>
      <c r="C13" s="6" t="n">
        <v>92</v>
      </c>
      <c r="D13" s="6" t="n"/>
      <c r="E13" s="6" t="n"/>
      <c r="F13" s="6" t="n"/>
    </row>
    <row r="14">
      <c r="A14" s="5" t="inlineStr">
        <is>
          <t>Other income</t>
        </is>
      </c>
      <c r="B14" s="5" t="n">
        <v>1147</v>
      </c>
      <c r="C14" s="5" t="n">
        <v>598</v>
      </c>
      <c r="D14" s="5" t="n"/>
      <c r="E14" s="5" t="n"/>
      <c r="F14" s="5" t="n"/>
    </row>
    <row r="15">
      <c r="A15" s="5" t="inlineStr">
        <is>
          <t>Total income</t>
        </is>
      </c>
      <c r="B15" s="5" t="n">
        <v>5622</v>
      </c>
      <c r="C15" s="5" t="n">
        <v>4193</v>
      </c>
      <c r="D15" s="5" t="n"/>
      <c r="E15" s="5" t="n"/>
      <c r="F15" s="5" t="n"/>
    </row>
    <row r="16">
      <c r="A16" s="6" t="inlineStr">
        <is>
          <t>Operating expenses</t>
        </is>
      </c>
      <c r="B16" s="6" t="n">
        <v>-3637</v>
      </c>
      <c r="C16" s="6" t="n">
        <v>-3202</v>
      </c>
      <c r="D16" s="6" t="n"/>
      <c r="E16" s="6" t="n"/>
      <c r="F16" s="6" t="n"/>
    </row>
    <row r="17">
      <c r="A17" s="6" t="inlineStr">
        <is>
          <t>Impairment (charge) credit</t>
        </is>
      </c>
      <c r="B17" s="6" t="n">
        <v>-89</v>
      </c>
      <c r="C17" s="6" t="n">
        <v>24</v>
      </c>
      <c r="D17" s="6" t="n"/>
      <c r="E17" s="6" t="n"/>
      <c r="F17" s="6" t="n"/>
    </row>
    <row r="18">
      <c r="A18" s="5" t="inlineStr">
        <is>
          <t>Profit before tax</t>
        </is>
      </c>
      <c r="B18" s="5" t="n">
        <v>1896</v>
      </c>
      <c r="C18" s="5" t="n">
        <v>1015</v>
      </c>
      <c r="D18" s="5" t="n"/>
      <c r="E18" s="5" t="n"/>
      <c r="F18" s="5" t="n"/>
    </row>
    <row r="19">
      <c r="A19" s="6" t="inlineStr">
        <is>
          <t>Tax expense</t>
        </is>
      </c>
      <c r="B19" s="6" t="n">
        <v>-385</v>
      </c>
      <c r="C19" s="6" t="n">
        <v>-183</v>
      </c>
      <c r="D19" s="6" t="n"/>
      <c r="E19" s="6" t="n"/>
      <c r="F19" s="6" t="n"/>
    </row>
    <row r="20">
      <c r="A20" s="5" t="inlineStr">
        <is>
          <t>Profit for the year</t>
        </is>
      </c>
      <c r="B20" s="5" t="n">
        <v>1511</v>
      </c>
      <c r="C20" s="5" t="n">
        <v>832</v>
      </c>
      <c r="D20" s="5" t="n">
        <v>926</v>
      </c>
      <c r="E20" s="5" t="n">
        <v>1147</v>
      </c>
      <c r="F20" s="5" t="n">
        <v>1962</v>
      </c>
    </row>
    <row r="21">
      <c r="A21" s="6" t="inlineStr">
        <is>
          <t>Profit attributable to ordinary shareholders</t>
        </is>
      </c>
      <c r="B21" s="6" t="n">
        <v>1274</v>
      </c>
      <c r="C21" s="6" t="n">
        <v>626</v>
      </c>
      <c r="D21" s="6" t="n">
        <v>740</v>
      </c>
      <c r="E21" s="6" t="n">
        <v>1025</v>
      </c>
      <c r="F21" s="6" t="n">
        <v>1853</v>
      </c>
    </row>
    <row r="22">
      <c r="A22" s="6" t="inlineStr">
        <is>
          <t>Profit attributable to other equity holders</t>
        </is>
      </c>
      <c r="B22" s="6" t="n">
        <v>237</v>
      </c>
      <c r="C22" s="6" t="n">
        <v>206</v>
      </c>
      <c r="D22" s="6" t="n">
        <v>186</v>
      </c>
      <c r="E22" s="6" t="n">
        <v>122</v>
      </c>
      <c r="F22" s="6" t="n">
        <v>109</v>
      </c>
    </row>
    <row r="23">
      <c r="A23" s="5" t="inlineStr">
        <is>
          <t>Other comprehensive income</t>
        </is>
      </c>
      <c r="B23" s="6" t="n"/>
      <c r="C23" s="6" t="n"/>
      <c r="D23" s="6" t="n"/>
      <c r="E23" s="6" t="n"/>
      <c r="F23" s="6" t="n"/>
    </row>
    <row r="24">
      <c r="A24" s="6" t="inlineStr">
        <is>
          <t>Other comprehensive income (total), net of tax</t>
        </is>
      </c>
      <c r="B24" s="6" t="n">
        <v>-27</v>
      </c>
      <c r="C24" s="6" t="n">
        <v>3</v>
      </c>
      <c r="D24" s="6" t="n">
        <v>-2</v>
      </c>
      <c r="E24" s="6" t="n">
        <v>-22</v>
      </c>
      <c r="F24" s="6" t="n">
        <v>-33</v>
      </c>
    </row>
    <row r="25">
      <c r="A25" s="5" t="inlineStr">
        <is>
          <t>Total comprehensive income for the year, net of tax</t>
        </is>
      </c>
      <c r="B25" s="5" t="n">
        <v>1484</v>
      </c>
      <c r="C25" s="5" t="n">
        <v>835</v>
      </c>
      <c r="D25" s="5" t="n">
        <v>924</v>
      </c>
      <c r="E25" s="5" t="n">
        <v>1125</v>
      </c>
      <c r="F25" s="5" t="n">
        <v>1929</v>
      </c>
    </row>
    <row r="27" ht="351" customHeight="1">
      <c r="A2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row r="29" ht="260" customHeight="1">
      <c r="A29" s="8" t="inlineStr">
        <is>
          <t>(continued)
PROFIT &amp; LOSS NOTE - genuine disclosure gap, not an omission: from FY2023 back to FY2021, this entity's own Annual Report does NOT publish a full income statement for 'The Bank' (only for 'The Group'), permitted by section 408 of the Companies Act 2006 - only the Bank's bottom-line 'Profit for the year' (split between ordinary shareholders and other equity holders) is disclosed, in a footnote (FY2022/23) or the Statement of comprehensive income (FY2021). All other P&amp;L line items (interest income, fee income, operating expenses, etc.) for those 3 years are therefore blank below - not missing data, genuinely not published at Bank level. Full line-by-line detail is disclosed for the Bank from FY2024 onward.</t>
        </is>
      </c>
    </row>
  </sheetData>
  <mergeCells count="2">
    <mergeCell ref="A29:F29"/>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Scotland plc — Statement of Changes in Equity</t>
        </is>
      </c>
    </row>
    <row r="2">
      <c r="A2" s="2" t="inlineStr">
        <is>
          <t>Unconsolidated ('The Bank') basis, £m, chronological, 1 January 2021 - 31 December 2025</t>
        </is>
      </c>
    </row>
    <row r="3">
      <c r="A3" s="4" t="inlineStr">
        <is>
          <t>Movement</t>
        </is>
      </c>
      <c r="B3" s="4" t="inlineStr">
        <is>
          <t>Share capital</t>
        </is>
      </c>
      <c r="C3" s="4" t="inlineStr">
        <is>
          <t>Other reserves</t>
        </is>
      </c>
      <c r="D3" s="4" t="inlineStr">
        <is>
          <t>Retained profits</t>
        </is>
      </c>
      <c r="E3" s="4" t="inlineStr">
        <is>
          <t>Other equity instruments</t>
        </is>
      </c>
      <c r="F3" s="4" t="inlineStr">
        <is>
          <t>Total equity</t>
        </is>
      </c>
    </row>
    <row r="4">
      <c r="A4" s="5" t="inlineStr">
        <is>
          <t>At 1 January 2021</t>
        </is>
      </c>
      <c r="B4" s="5" t="n">
        <v>5847</v>
      </c>
      <c r="C4" s="5" t="n">
        <v>2046</v>
      </c>
      <c r="D4" s="5" t="n">
        <v>2877</v>
      </c>
      <c r="E4" s="5" t="n">
        <v>2200</v>
      </c>
      <c r="F4" s="5" t="n">
        <v>12970</v>
      </c>
    </row>
    <row r="5">
      <c r="A5" s="6" t="inlineStr">
        <is>
          <t>Profit for the year</t>
        </is>
      </c>
      <c r="B5" s="6" t="n"/>
      <c r="C5" s="6" t="n"/>
      <c r="D5" s="6" t="n">
        <v>1853</v>
      </c>
      <c r="E5" s="6" t="n">
        <v>109</v>
      </c>
      <c r="F5" s="6" t="n">
        <v>1962</v>
      </c>
    </row>
    <row r="6">
      <c r="A6" s="6" t="inlineStr">
        <is>
          <t>Other comprehensive income, net of tax</t>
        </is>
      </c>
      <c r="B6" s="6" t="n"/>
      <c r="C6" s="6" t="n">
        <v>-21</v>
      </c>
      <c r="D6" s="6" t="n">
        <v>-12</v>
      </c>
      <c r="E6" s="6" t="n"/>
      <c r="F6" s="6" t="n">
        <v>-33</v>
      </c>
    </row>
    <row r="7">
      <c r="A7" s="6" t="inlineStr">
        <is>
          <t>Dividends</t>
        </is>
      </c>
      <c r="B7" s="6" t="n"/>
      <c r="C7" s="6" t="n"/>
      <c r="D7" s="6" t="n">
        <v>-1200</v>
      </c>
      <c r="E7" s="6" t="n"/>
      <c r="F7" s="6" t="n">
        <v>-1200</v>
      </c>
    </row>
    <row r="8">
      <c r="A8" s="6" t="inlineStr">
        <is>
          <t>Distributions on other equity instruments</t>
        </is>
      </c>
      <c r="B8" s="6" t="n"/>
      <c r="C8" s="6" t="n"/>
      <c r="D8" s="6" t="n"/>
      <c r="E8" s="6" t="n">
        <v>-109</v>
      </c>
      <c r="F8" s="6" t="n">
        <v>-109</v>
      </c>
    </row>
    <row r="9">
      <c r="A9" s="6" t="inlineStr">
        <is>
          <t>Capital contributions received</t>
        </is>
      </c>
      <c r="B9" s="6" t="n"/>
      <c r="C9" s="6" t="n"/>
      <c r="D9" s="6" t="n">
        <v>36</v>
      </c>
      <c r="E9" s="6" t="n"/>
      <c r="F9" s="6" t="n">
        <v>36</v>
      </c>
    </row>
    <row r="10">
      <c r="A10" s="5" t="inlineStr">
        <is>
          <t>At 31 December 2021</t>
        </is>
      </c>
      <c r="B10" s="5" t="n">
        <v>5847</v>
      </c>
      <c r="C10" s="5" t="n">
        <v>2025</v>
      </c>
      <c r="D10" s="5" t="n">
        <v>3554</v>
      </c>
      <c r="E10" s="5" t="n">
        <v>2200</v>
      </c>
      <c r="F10" s="5" t="n">
        <v>13626</v>
      </c>
    </row>
    <row r="11">
      <c r="A11" s="6" t="inlineStr">
        <is>
          <t>Profit for the year</t>
        </is>
      </c>
      <c r="B11" s="6" t="n"/>
      <c r="C11" s="6" t="n"/>
      <c r="D11" s="6" t="n">
        <v>1025</v>
      </c>
      <c r="E11" s="6" t="n">
        <v>122</v>
      </c>
      <c r="F11" s="6" t="n">
        <v>1147</v>
      </c>
    </row>
    <row r="12">
      <c r="A12" s="6" t="inlineStr">
        <is>
          <t>Other comprehensive income, net of tax</t>
        </is>
      </c>
      <c r="B12" s="6" t="n"/>
      <c r="C12" s="6" t="n">
        <v>-16</v>
      </c>
      <c r="D12" s="6" t="n">
        <v>-6</v>
      </c>
      <c r="E12" s="6" t="n"/>
      <c r="F12" s="6" t="n">
        <v>-22</v>
      </c>
    </row>
    <row r="13">
      <c r="A13" s="6" t="inlineStr">
        <is>
          <t>Distributions on other equity instruments</t>
        </is>
      </c>
      <c r="B13" s="6" t="n"/>
      <c r="C13" s="6" t="n"/>
      <c r="D13" s="6" t="n"/>
      <c r="E13" s="6" t="n">
        <v>-122</v>
      </c>
      <c r="F13" s="6" t="n">
        <v>-122</v>
      </c>
    </row>
    <row r="14">
      <c r="A14" s="6" t="inlineStr">
        <is>
          <t>Capital contributions received</t>
        </is>
      </c>
      <c r="B14" s="6" t="n"/>
      <c r="C14" s="6" t="n">
        <v>1229</v>
      </c>
      <c r="D14" s="6" t="n">
        <v>46</v>
      </c>
      <c r="E14" s="6" t="n"/>
      <c r="F14" s="6" t="n">
        <v>1275</v>
      </c>
    </row>
    <row r="15">
      <c r="A15" s="5" t="inlineStr">
        <is>
          <t>At 31 December 2022</t>
        </is>
      </c>
      <c r="B15" s="5" t="n">
        <v>5847</v>
      </c>
      <c r="C15" s="5" t="n">
        <v>3238</v>
      </c>
      <c r="D15" s="5" t="n">
        <v>4619</v>
      </c>
      <c r="E15" s="5" t="n">
        <v>2200</v>
      </c>
      <c r="F15" s="5" t="n">
        <v>15904</v>
      </c>
    </row>
    <row r="16">
      <c r="A16" s="6" t="inlineStr">
        <is>
          <t>Profit for the year</t>
        </is>
      </c>
      <c r="B16" s="6" t="n"/>
      <c r="C16" s="6" t="n"/>
      <c r="D16" s="6" t="n">
        <v>740</v>
      </c>
      <c r="E16" s="6" t="n">
        <v>186</v>
      </c>
      <c r="F16" s="6" t="n">
        <v>926</v>
      </c>
    </row>
    <row r="17">
      <c r="A17" s="6" t="inlineStr">
        <is>
          <t>Other comprehensive income, net of tax</t>
        </is>
      </c>
      <c r="B17" s="6" t="n"/>
      <c r="C17" s="6" t="n">
        <v>-3</v>
      </c>
      <c r="D17" s="6" t="n">
        <v>1</v>
      </c>
      <c r="E17" s="6" t="n"/>
      <c r="F17" s="6" t="n">
        <v>-2</v>
      </c>
    </row>
    <row r="18">
      <c r="A18" s="6" t="inlineStr">
        <is>
          <t>Distributions on other equity instruments</t>
        </is>
      </c>
      <c r="B18" s="6" t="n"/>
      <c r="C18" s="6" t="n"/>
      <c r="D18" s="6" t="n"/>
      <c r="E18" s="6" t="n">
        <v>-186</v>
      </c>
      <c r="F18" s="6" t="n">
        <v>-186</v>
      </c>
    </row>
    <row r="19">
      <c r="A19" s="6" t="inlineStr">
        <is>
          <t>Issue of other equity instruments</t>
        </is>
      </c>
      <c r="B19" s="6" t="n"/>
      <c r="C19" s="6" t="n"/>
      <c r="D19" s="6" t="n"/>
      <c r="E19" s="6" t="n">
        <v>350</v>
      </c>
      <c r="F19" s="6" t="n">
        <v>350</v>
      </c>
    </row>
    <row r="20">
      <c r="A20" s="6" t="inlineStr">
        <is>
          <t>Capital contributions received</t>
        </is>
      </c>
      <c r="B20" s="6" t="n"/>
      <c r="C20" s="6" t="n"/>
      <c r="D20" s="6" t="n">
        <v>43</v>
      </c>
      <c r="E20" s="6" t="n"/>
      <c r="F20" s="6" t="n">
        <v>43</v>
      </c>
    </row>
    <row r="21">
      <c r="A21" s="5" t="inlineStr">
        <is>
          <t>At 31 December 2023</t>
        </is>
      </c>
      <c r="B21" s="5" t="n">
        <v>5847</v>
      </c>
      <c r="C21" s="5" t="n">
        <v>3235</v>
      </c>
      <c r="D21" s="5" t="n">
        <v>5403</v>
      </c>
      <c r="E21" s="5" t="n">
        <v>2550</v>
      </c>
      <c r="F21" s="5" t="n">
        <v>17035</v>
      </c>
    </row>
    <row r="22">
      <c r="A22" s="6" t="inlineStr">
        <is>
          <t>Profit for the year</t>
        </is>
      </c>
      <c r="B22" s="6" t="n"/>
      <c r="C22" s="6" t="n"/>
      <c r="D22" s="6" t="n">
        <v>626</v>
      </c>
      <c r="E22" s="6" t="n">
        <v>206</v>
      </c>
      <c r="F22" s="6" t="n">
        <v>832</v>
      </c>
    </row>
    <row r="23">
      <c r="A23" s="6" t="inlineStr">
        <is>
          <t>Other comprehensive income, net of tax</t>
        </is>
      </c>
      <c r="B23" s="6" t="n"/>
      <c r="C23" s="6" t="n">
        <v>2</v>
      </c>
      <c r="D23" s="6" t="n">
        <v>1</v>
      </c>
      <c r="E23" s="6" t="n"/>
      <c r="F23" s="6" t="n">
        <v>3</v>
      </c>
    </row>
    <row r="24">
      <c r="A24" s="6" t="inlineStr">
        <is>
          <t>Dividends</t>
        </is>
      </c>
      <c r="B24" s="6" t="n"/>
      <c r="C24" s="6" t="n"/>
      <c r="D24" s="6" t="n">
        <v>-1050</v>
      </c>
      <c r="E24" s="6" t="n"/>
      <c r="F24" s="6" t="n">
        <v>-1050</v>
      </c>
    </row>
    <row r="25">
      <c r="A25" s="6" t="inlineStr">
        <is>
          <t>Distributions on other equity instruments</t>
        </is>
      </c>
      <c r="B25" s="6" t="n"/>
      <c r="C25" s="6" t="n"/>
      <c r="D25" s="6" t="n"/>
      <c r="E25" s="6" t="n">
        <v>-206</v>
      </c>
      <c r="F25" s="6" t="n">
        <v>-206</v>
      </c>
    </row>
    <row r="26">
      <c r="A26" s="6" t="inlineStr">
        <is>
          <t>Issue of other equity instruments</t>
        </is>
      </c>
      <c r="B26" s="6" t="n"/>
      <c r="C26" s="6" t="n"/>
      <c r="D26" s="6" t="n"/>
      <c r="E26" s="6" t="n">
        <v>1250</v>
      </c>
      <c r="F26" s="6" t="n">
        <v>1250</v>
      </c>
    </row>
    <row r="27">
      <c r="A27" s="6" t="inlineStr">
        <is>
          <t>Repurchases and redemptions of other equity instruments</t>
        </is>
      </c>
      <c r="B27" s="6" t="n"/>
      <c r="C27" s="6" t="n"/>
      <c r="D27" s="6" t="n"/>
      <c r="E27" s="6" t="n">
        <v>-1200</v>
      </c>
      <c r="F27" s="6" t="n">
        <v>-1200</v>
      </c>
    </row>
    <row r="28">
      <c r="A28" s="6" t="inlineStr">
        <is>
          <t>Capital contributions received</t>
        </is>
      </c>
      <c r="B28" s="6" t="n"/>
      <c r="C28" s="6" t="n"/>
      <c r="D28" s="6" t="n">
        <v>23</v>
      </c>
      <c r="E28" s="6" t="n"/>
      <c r="F28" s="6" t="n">
        <v>23</v>
      </c>
    </row>
    <row r="29">
      <c r="A29" s="5" t="inlineStr">
        <is>
          <t>At 31 December 2024</t>
        </is>
      </c>
      <c r="B29" s="5" t="n">
        <v>5847</v>
      </c>
      <c r="C29" s="5" t="n">
        <v>3237</v>
      </c>
      <c r="D29" s="5" t="n">
        <v>5003</v>
      </c>
      <c r="E29" s="5" t="n">
        <v>2600</v>
      </c>
      <c r="F29" s="5" t="n">
        <v>16687</v>
      </c>
    </row>
    <row r="30">
      <c r="A30" s="6" t="inlineStr">
        <is>
          <t>Profit for the year</t>
        </is>
      </c>
      <c r="B30" s="6" t="n"/>
      <c r="C30" s="6" t="n"/>
      <c r="D30" s="6" t="n">
        <v>1274</v>
      </c>
      <c r="E30" s="6" t="n">
        <v>237</v>
      </c>
      <c r="F30" s="6" t="n">
        <v>1511</v>
      </c>
    </row>
    <row r="31">
      <c r="A31" s="6" t="inlineStr">
        <is>
          <t>Other comprehensive income, net of tax</t>
        </is>
      </c>
      <c r="B31" s="6" t="n"/>
      <c r="C31" s="6" t="n">
        <v>-16</v>
      </c>
      <c r="D31" s="6" t="n">
        <v>-11</v>
      </c>
      <c r="E31" s="6" t="n"/>
      <c r="F31" s="6" t="n">
        <v>-27</v>
      </c>
    </row>
    <row r="32">
      <c r="A32" s="6" t="inlineStr">
        <is>
          <t>Dividends</t>
        </is>
      </c>
      <c r="B32" s="6" t="n"/>
      <c r="C32" s="6" t="n"/>
      <c r="D32" s="6" t="n">
        <v>-980</v>
      </c>
      <c r="E32" s="6" t="n"/>
      <c r="F32" s="6" t="n">
        <v>-980</v>
      </c>
    </row>
    <row r="33">
      <c r="A33" s="6" t="inlineStr">
        <is>
          <t>Distributions on other equity instruments</t>
        </is>
      </c>
      <c r="B33" s="6" t="n"/>
      <c r="C33" s="6" t="n"/>
      <c r="D33" s="6" t="n"/>
      <c r="E33" s="6" t="n">
        <v>-237</v>
      </c>
      <c r="F33" s="6" t="n">
        <v>-237</v>
      </c>
    </row>
    <row r="34">
      <c r="A34" s="6" t="inlineStr">
        <is>
          <t>Capital contributions received</t>
        </is>
      </c>
      <c r="B34" s="6" t="n"/>
      <c r="C34" s="6" t="n"/>
      <c r="D34" s="6" t="n">
        <v>9</v>
      </c>
      <c r="E34" s="6" t="n"/>
      <c r="F34" s="6" t="n">
        <v>9</v>
      </c>
    </row>
    <row r="35">
      <c r="A35" s="5" t="inlineStr">
        <is>
          <t>At 31 December 2025</t>
        </is>
      </c>
      <c r="B35" s="5" t="n">
        <v>5847</v>
      </c>
      <c r="C35" s="5" t="n">
        <v>3221</v>
      </c>
      <c r="D35" s="5" t="n">
        <v>5295</v>
      </c>
      <c r="E35" s="5" t="n">
        <v>2600</v>
      </c>
      <c r="F35" s="5" t="n">
        <v>16963</v>
      </c>
    </row>
    <row r="37" ht="364" customHeight="1">
      <c r="A3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338"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row r="38" ht="280" customHeight="1">
      <c r="A38" s="8" t="inlineStr">
        <is>
          <t>(continued)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36:F36"/>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Asset Quality</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(gross carrying amount)</t>
        </is>
      </c>
      <c r="B4" s="6" t="n"/>
      <c r="C4" s="6" t="n"/>
      <c r="D4" s="6" t="n"/>
      <c r="E4" s="6" t="n"/>
      <c r="F4" s="6" t="n"/>
    </row>
    <row r="5">
      <c r="A5" s="6" t="inlineStr">
        <is>
          <t>Stage 1</t>
        </is>
      </c>
      <c r="B5" s="6" t="n">
        <v>272640</v>
      </c>
      <c r="C5" s="6" t="n">
        <v>259025</v>
      </c>
      <c r="D5" s="6" t="n">
        <v>242505</v>
      </c>
      <c r="E5" s="6" t="n">
        <v>237443</v>
      </c>
      <c r="F5" s="6" t="n">
        <v>247854</v>
      </c>
    </row>
    <row r="6">
      <c r="A6" s="6" t="inlineStr">
        <is>
          <t>Stage 2</t>
        </is>
      </c>
      <c r="B6" s="6" t="n">
        <v>29632</v>
      </c>
      <c r="C6" s="6" t="n">
        <v>31405</v>
      </c>
      <c r="D6" s="6" t="n">
        <v>38947</v>
      </c>
      <c r="E6" s="6" t="n">
        <v>42046</v>
      </c>
      <c r="F6" s="6" t="n">
        <v>25363</v>
      </c>
    </row>
    <row r="7">
      <c r="A7" s="6" t="inlineStr">
        <is>
          <t>Stage 3</t>
        </is>
      </c>
      <c r="B7" s="6" t="n">
        <v>5377</v>
      </c>
      <c r="C7" s="6" t="n">
        <v>5887</v>
      </c>
      <c r="D7" s="6" t="n">
        <v>6711</v>
      </c>
      <c r="E7" s="6" t="n">
        <v>6946</v>
      </c>
      <c r="F7" s="6" t="n">
        <v>5251</v>
      </c>
    </row>
    <row r="8">
      <c r="A8" s="5" t="inlineStr">
        <is>
          <t>Total gross carrying amount</t>
        </is>
      </c>
      <c r="B8" s="5" t="n">
        <v>307649</v>
      </c>
      <c r="C8" s="5" t="n">
        <v>296317</v>
      </c>
      <c r="D8" s="5" t="n">
        <v>288163</v>
      </c>
      <c r="E8" s="5" t="n">
        <v>286435</v>
      </c>
      <c r="F8" s="5" t="n">
        <v>278468</v>
      </c>
    </row>
    <row r="9">
      <c r="A9" s="5" t="inlineStr">
        <is>
          <t>Allowance for expected credit losses, by IFRS 9 stage</t>
        </is>
      </c>
      <c r="B9" s="6" t="n"/>
      <c r="C9" s="6" t="n"/>
      <c r="D9" s="6" t="n"/>
      <c r="E9" s="6" t="n"/>
      <c r="F9" s="6" t="n"/>
    </row>
    <row r="10">
      <c r="A10" s="6" t="inlineStr">
        <is>
          <t>Stage 1</t>
        </is>
      </c>
      <c r="B10" s="6" t="n">
        <v>152</v>
      </c>
      <c r="C10" s="6" t="n">
        <v>175</v>
      </c>
      <c r="D10" s="6" t="n">
        <v>298</v>
      </c>
      <c r="E10" s="6" t="n">
        <v>216</v>
      </c>
      <c r="F10" s="6" t="n">
        <v>389</v>
      </c>
    </row>
    <row r="11">
      <c r="A11" s="6" t="inlineStr">
        <is>
          <t>Stage 2</t>
        </is>
      </c>
      <c r="B11" s="6" t="n">
        <v>427</v>
      </c>
      <c r="C11" s="6" t="n">
        <v>514</v>
      </c>
      <c r="D11" s="6" t="n">
        <v>711</v>
      </c>
      <c r="E11" s="6" t="n">
        <v>935</v>
      </c>
      <c r="F11" s="6" t="n">
        <v>748</v>
      </c>
    </row>
    <row r="12">
      <c r="A12" s="6" t="inlineStr">
        <is>
          <t>Stage 3</t>
        </is>
      </c>
      <c r="B12" s="6" t="n">
        <v>665</v>
      </c>
      <c r="C12" s="6" t="n">
        <v>846</v>
      </c>
      <c r="D12" s="6" t="n">
        <v>967</v>
      </c>
      <c r="E12" s="6" t="n">
        <v>1663</v>
      </c>
      <c r="F12" s="6" t="n">
        <v>1326</v>
      </c>
    </row>
    <row r="13">
      <c r="A13" s="5" t="inlineStr">
        <is>
          <t>Total allowance for expected credit losses</t>
        </is>
      </c>
      <c r="B13" s="5" t="n">
        <v>1244</v>
      </c>
      <c r="C13" s="5" t="n">
        <v>1535</v>
      </c>
      <c r="D13" s="5" t="n">
        <v>1976</v>
      </c>
      <c r="E13" s="5" t="n">
        <v>2814</v>
      </c>
      <c r="F13" s="5" t="n">
        <v>2463</v>
      </c>
    </row>
    <row r="14">
      <c r="A14" s="5" t="inlineStr">
        <is>
          <t>Net carrying amount</t>
        </is>
      </c>
      <c r="B14" s="5" t="n">
        <v>306405</v>
      </c>
      <c r="C14" s="5" t="n">
        <v>294782</v>
      </c>
      <c r="D14" s="5" t="n">
        <v>286187</v>
      </c>
      <c r="E14" s="5" t="n">
        <v>283621</v>
      </c>
      <c r="F14" s="5" t="n">
        <v>276005</v>
      </c>
    </row>
    <row r="15">
      <c r="A15" s="5" t="inlineStr">
        <is>
          <t>Asset quality ratios</t>
        </is>
      </c>
      <c r="B15" s="6" t="n"/>
      <c r="C15" s="6" t="n"/>
      <c r="D15" s="6" t="n"/>
      <c r="E15" s="6" t="n"/>
      <c r="F15" s="6" t="n"/>
    </row>
    <row r="16">
      <c r="A16" s="6" t="inlineStr">
        <is>
          <t>Drawn ECL coverage (Total allowance / Total gross)</t>
        </is>
      </c>
      <c r="B16" s="6" t="inlineStr">
        <is>
          <t>0.4%</t>
        </is>
      </c>
      <c r="C16" s="6" t="inlineStr">
        <is>
          <t>0.5%</t>
        </is>
      </c>
      <c r="D16" s="6" t="inlineStr">
        <is>
          <t>0.7%</t>
        </is>
      </c>
      <c r="E16" s="6" t="inlineStr">
        <is>
          <t>1.0%</t>
        </is>
      </c>
      <c r="F16" s="6" t="inlineStr">
        <is>
          <t>0.9%</t>
        </is>
      </c>
    </row>
    <row r="17">
      <c r="A17" s="6" t="inlineStr">
        <is>
          <t>Stage 3 / NPL ratio (Stage 3 gross / Total gross)</t>
        </is>
      </c>
      <c r="B17" s="6" t="inlineStr">
        <is>
          <t>1.7%</t>
        </is>
      </c>
      <c r="C17" s="6" t="inlineStr">
        <is>
          <t>2.0%</t>
        </is>
      </c>
      <c r="D17" s="6" t="inlineStr">
        <is>
          <t>2.3%</t>
        </is>
      </c>
      <c r="E17" s="6" t="inlineStr">
        <is>
          <t>2.4%</t>
        </is>
      </c>
      <c r="F17" s="6" t="inlineStr">
        <is>
          <t>1.9%</t>
        </is>
      </c>
    </row>
    <row r="18">
      <c r="A18" s="6" t="inlineStr">
        <is>
          <t>Stage 3 coverage (Stage 3 allowance / Stage 3 gross)</t>
        </is>
      </c>
      <c r="B18" s="6" t="inlineStr">
        <is>
          <t>12.4%</t>
        </is>
      </c>
      <c r="C18" s="6" t="inlineStr">
        <is>
          <t>14.4%</t>
        </is>
      </c>
      <c r="D18" s="6" t="inlineStr">
        <is>
          <t>14.4%</t>
        </is>
      </c>
      <c r="E18" s="6" t="inlineStr">
        <is>
          <t>23.9%</t>
        </is>
      </c>
      <c r="F18" s="6" t="inlineStr">
        <is>
          <t>25.3%</t>
        </is>
      </c>
    </row>
    <row r="20" ht="351" customHeight="1">
      <c r="A20"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row r="22" ht="220" customHeight="1">
      <c r="A22" s="8" t="inlineStr">
        <is>
          <t>(continued)
ASSET QUALITY NOTE - IFRS 9 stage breakdown for 'The Bank' (Note 16/13/14 'Loans and advances to customers' (latterly 'Financial assets at amortised cost'), each year's own Companies House filing). FY2021's own Annual Report and Accounts 2021 (p.54, Note 13, 'Year ended 31 December 2021 / The Bank') DOES disclose a Bank-level Stage 1/2/3 movement table - corrected here from an earlier version of this workbook which wrongly treated it as undisclosed (having only checked the Group-level table); the FY2021 figures below reconcile exactly to the same Bank-level table repeated as FY2022's own comparative column in the Annual Report and Accounts 2022 (p.56, Note 13). No by-product loan-type split is separately disclosed for the Bank in any year - stage is the only breakdown available.</t>
        </is>
      </c>
    </row>
  </sheetData>
  <mergeCells count="2">
    <mergeCell ref="A20:F20"/>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Bank of Scotland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8.98%</t>
        </is>
      </c>
      <c r="C4" s="6" t="inlineStr">
        <is>
          <t>4.93%</t>
        </is>
      </c>
      <c r="D4" s="6" t="inlineStr">
        <is>
          <t>5.62%</t>
        </is>
      </c>
      <c r="E4" s="6" t="inlineStr">
        <is>
          <t>7.77%</t>
        </is>
      </c>
      <c r="F4" s="6" t="n"/>
    </row>
    <row r="5">
      <c r="A5" s="6" t="inlineStr">
        <is>
          <t>Return on equity - year-end equity basis</t>
        </is>
      </c>
      <c r="B5" s="6" t="inlineStr">
        <is>
          <t>8.91%</t>
        </is>
      </c>
      <c r="C5" s="6" t="inlineStr">
        <is>
          <t>4.99%</t>
        </is>
      </c>
      <c r="D5" s="6" t="inlineStr">
        <is>
          <t>5.44%</t>
        </is>
      </c>
      <c r="E5" s="6" t="inlineStr">
        <is>
          <t>7.21%</t>
        </is>
      </c>
      <c r="F5" s="6" t="inlineStr">
        <is>
          <t>14.40%</t>
        </is>
      </c>
    </row>
    <row r="6">
      <c r="A6" s="6" t="inlineStr">
        <is>
          <t>Return on assets - average assets basis</t>
        </is>
      </c>
      <c r="B6" s="6" t="inlineStr">
        <is>
          <t>0.46%</t>
        </is>
      </c>
      <c r="C6" s="6" t="inlineStr">
        <is>
          <t>0.26%</t>
        </is>
      </c>
      <c r="D6" s="6" t="inlineStr">
        <is>
          <t>0.29%</t>
        </is>
      </c>
      <c r="E6" s="6" t="inlineStr">
        <is>
          <t>0.36%</t>
        </is>
      </c>
      <c r="F6" s="6" t="n"/>
    </row>
    <row r="7">
      <c r="A7" s="6" t="inlineStr">
        <is>
          <t>Return on assets - year-end assets basis</t>
        </is>
      </c>
      <c r="B7" s="6" t="inlineStr">
        <is>
          <t>0.45%</t>
        </is>
      </c>
      <c r="C7" s="6" t="inlineStr">
        <is>
          <t>0.25%</t>
        </is>
      </c>
      <c r="D7" s="6" t="inlineStr">
        <is>
          <t>0.29%</t>
        </is>
      </c>
      <c r="E7" s="6" t="inlineStr">
        <is>
          <t>0.36%</t>
        </is>
      </c>
      <c r="F7" s="6" t="inlineStr">
        <is>
          <t>0.63%</t>
        </is>
      </c>
    </row>
    <row r="8">
      <c r="A8" s="6" t="inlineStr">
        <is>
          <t>Post-tax return on average total assets (as published)</t>
        </is>
      </c>
      <c r="B8" s="6" t="inlineStr">
        <is>
          <t>0.39%</t>
        </is>
      </c>
      <c r="C8" s="6" t="inlineStr">
        <is>
          <t>Not published</t>
        </is>
      </c>
      <c r="D8" s="6" t="n"/>
      <c r="E8" s="6" t="n"/>
      <c r="F8" s="6" t="n"/>
    </row>
    <row r="9" ht="247"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Post-tax return on average total assets: “The Group's post-tax return on average total assets increased to 0.39% compared to 0.25% in the year ended 31 December 2024.”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7.77% on an average basis and 7.21%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Post-tax return on average total assets 0.25%.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Bank of Scotland plc's Annual Report and Accounts for each year; see the source cells on the Balance Sheet and Profit &amp; Loss sheets for the exact document, page and table behind every input to every percentage above.
The '(as published)' rows are quoted verbatim from Bank of Scotland plc's own disclosures and are recorded, with the exact document, page and verification state for each, in research/profitability/published_returns.jsonl under ‘BANK OF SCOTLAND’.</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Bank of Scotland plc — KM1 Key Metrics</t>
        </is>
      </c>
    </row>
    <row r="2">
      <c r="A2" s="2" t="inlineStr">
        <is>
          <t>The Bank's own published 'KM1: Key metrics' template, from its year-end Pillar 3 disclosures, reproduced in its row order with its own row numbers, LR2 cross-references and printed precision. Amounts in £m, ratios as printed. Rows 15-20 (LCR/NSFR) are excluded by the Bank under Article 432 because liquidity is managed at Lloyds Bank Liquidity Sub-Group level. FY2021's leverage figures are on the original CRR basis and are shown separately.</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 (£m)</t>
        </is>
      </c>
      <c r="B5" s="6" t="n">
        <v>11083</v>
      </c>
      <c r="C5" s="6" t="n">
        <v>11028</v>
      </c>
      <c r="D5" s="6" t="n">
        <v>11966</v>
      </c>
      <c r="E5" s="6" t="n">
        <v>11284</v>
      </c>
      <c r="F5" s="6" t="n">
        <v>9540</v>
      </c>
    </row>
    <row r="6">
      <c r="A6" s="6" t="inlineStr">
        <is>
          <t>2    Tier 1 capital (£m)</t>
        </is>
      </c>
      <c r="B6" s="6" t="n">
        <v>13683</v>
      </c>
      <c r="C6" s="6" t="n">
        <v>13628</v>
      </c>
      <c r="D6" s="6" t="n">
        <v>14516</v>
      </c>
      <c r="E6" s="6" t="n">
        <v>13484</v>
      </c>
      <c r="F6" s="6" t="n">
        <v>11762</v>
      </c>
    </row>
    <row r="7">
      <c r="A7" s="6" t="inlineStr">
        <is>
          <t>3    Total capital (£m)</t>
        </is>
      </c>
      <c r="B7" s="6" t="n">
        <v>15183</v>
      </c>
      <c r="C7" s="6" t="n">
        <v>15402</v>
      </c>
      <c r="D7" s="6" t="n">
        <v>16410</v>
      </c>
      <c r="E7" s="6" t="n">
        <v>15330</v>
      </c>
      <c r="F7" s="6" t="n">
        <v>13259</v>
      </c>
    </row>
    <row r="8">
      <c r="A8" s="5" t="inlineStr">
        <is>
          <t>Risk-weighted exposure amounts</t>
        </is>
      </c>
      <c r="B8" s="6" t="n"/>
      <c r="C8" s="6" t="n"/>
      <c r="D8" s="6" t="n"/>
      <c r="E8" s="6" t="n"/>
      <c r="F8" s="6" t="n"/>
    </row>
    <row r="9">
      <c r="A9" s="6" t="inlineStr">
        <is>
          <t>4    Total risk-weighted exposure amount (£m)</t>
        </is>
      </c>
      <c r="B9" s="6" t="n">
        <v>82357</v>
      </c>
      <c r="C9" s="6" t="n">
        <v>81493</v>
      </c>
      <c r="D9" s="6" t="n">
        <v>80254</v>
      </c>
      <c r="E9" s="6" t="n">
        <v>73084</v>
      </c>
      <c r="F9" s="6" t="n">
        <v>60807</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13.5%</t>
        </is>
      </c>
      <c r="D11" s="6" t="inlineStr">
        <is>
          <t>14.9%</t>
        </is>
      </c>
      <c r="E11" s="6" t="inlineStr">
        <is>
          <t>15.4%</t>
        </is>
      </c>
      <c r="F11" s="6" t="inlineStr">
        <is>
          <t>15.7%</t>
        </is>
      </c>
    </row>
    <row r="12">
      <c r="A12" s="6" t="inlineStr">
        <is>
          <t>6    Tier 1 ratio (%)</t>
        </is>
      </c>
      <c r="B12" s="6" t="inlineStr">
        <is>
          <t>16.6%</t>
        </is>
      </c>
      <c r="C12" s="6" t="inlineStr">
        <is>
          <t>16.7%</t>
        </is>
      </c>
      <c r="D12" s="6" t="inlineStr">
        <is>
          <t>18.1%</t>
        </is>
      </c>
      <c r="E12" s="6" t="inlineStr">
        <is>
          <t>18.5%</t>
        </is>
      </c>
      <c r="F12" s="6" t="inlineStr">
        <is>
          <t>19.3%</t>
        </is>
      </c>
    </row>
    <row r="13">
      <c r="A13" s="6" t="inlineStr">
        <is>
          <t>7    Total capital ratio (%)</t>
        </is>
      </c>
      <c r="B13" s="6" t="inlineStr">
        <is>
          <t>18.4%</t>
        </is>
      </c>
      <c r="C13" s="6" t="inlineStr">
        <is>
          <t>18.9%</t>
        </is>
      </c>
      <c r="D13" s="6" t="inlineStr">
        <is>
          <t>20.4%</t>
        </is>
      </c>
      <c r="E13" s="6" t="inlineStr">
        <is>
          <t>21.0%</t>
        </is>
      </c>
      <c r="F13" s="6" t="inlineStr">
        <is>
          <t>21.8%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t>
        </is>
      </c>
      <c r="C15" s="6" t="inlineStr">
        <is>
          <t>1.1%</t>
        </is>
      </c>
      <c r="D15" s="6" t="inlineStr">
        <is>
          <t>1.5%</t>
        </is>
      </c>
      <c r="E15" s="6" t="inlineStr">
        <is>
          <t>1.1%</t>
        </is>
      </c>
      <c r="F15" s="6" t="inlineStr">
        <is>
          <t>1.4%</t>
        </is>
      </c>
    </row>
    <row r="16">
      <c r="A16" s="6" t="inlineStr">
        <is>
          <t>UK 7b    Additional AT1 SREP requirements (%)</t>
        </is>
      </c>
      <c r="B16" s="6" t="inlineStr">
        <is>
          <t>0.3%</t>
        </is>
      </c>
      <c r="C16" s="6" t="inlineStr">
        <is>
          <t>0.4%</t>
        </is>
      </c>
      <c r="D16" s="6" t="inlineStr">
        <is>
          <t>0.5%</t>
        </is>
      </c>
      <c r="E16" s="6" t="inlineStr">
        <is>
          <t>0.3%</t>
        </is>
      </c>
      <c r="F16" s="6" t="inlineStr">
        <is>
          <t>0.5%</t>
        </is>
      </c>
    </row>
    <row r="17">
      <c r="A17" s="6" t="inlineStr">
        <is>
          <t>UK 7c    Additional T2 SREP requirements (%)</t>
        </is>
      </c>
      <c r="B17" s="6" t="inlineStr">
        <is>
          <t>0.5%</t>
        </is>
      </c>
      <c r="C17" s="6" t="inlineStr">
        <is>
          <t>0.5%</t>
        </is>
      </c>
      <c r="D17" s="6" t="inlineStr">
        <is>
          <t>0.6%</t>
        </is>
      </c>
      <c r="E17" s="6" t="inlineStr">
        <is>
          <t>0.5%</t>
        </is>
      </c>
      <c r="F17" s="6" t="inlineStr">
        <is>
          <t>0.6%</t>
        </is>
      </c>
    </row>
    <row r="18">
      <c r="A18" s="6" t="inlineStr">
        <is>
          <t>UK 7d    Total SREP own funds requirements (%)</t>
        </is>
      </c>
      <c r="B18" s="6" t="inlineStr">
        <is>
          <t>9.9%</t>
        </is>
      </c>
      <c r="C18" s="6" t="inlineStr">
        <is>
          <t>10.0%</t>
        </is>
      </c>
      <c r="D18" s="6" t="inlineStr">
        <is>
          <t>10.6%</t>
        </is>
      </c>
      <c r="E18" s="6" t="inlineStr">
        <is>
          <t>9.9%</t>
        </is>
      </c>
      <c r="F18" s="6" t="inlineStr">
        <is>
          <t>10.5%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2.0%</t>
        </is>
      </c>
      <c r="C21" s="6" t="inlineStr">
        <is>
          <t>2.0%</t>
        </is>
      </c>
      <c r="D21" s="6" t="inlineStr">
        <is>
          <t>1.988%</t>
        </is>
      </c>
      <c r="E21" s="6" t="inlineStr">
        <is>
          <t>0.987%</t>
        </is>
      </c>
      <c r="F21" s="6" t="inlineStr">
        <is>
          <t>0.001%</t>
        </is>
      </c>
    </row>
    <row r="22">
      <c r="A22" s="6" t="inlineStr">
        <is>
          <t>11    Combined buffer requirement (%)</t>
        </is>
      </c>
      <c r="B22" s="6" t="inlineStr">
        <is>
          <t>4.5%</t>
        </is>
      </c>
      <c r="C22" s="6" t="inlineStr">
        <is>
          <t>4.5%</t>
        </is>
      </c>
      <c r="D22" s="6" t="inlineStr">
        <is>
          <t>4.488%</t>
        </is>
      </c>
      <c r="E22" s="6" t="inlineStr">
        <is>
          <t>3.487%</t>
        </is>
      </c>
      <c r="F22" s="6" t="inlineStr">
        <is>
          <t>2.501%</t>
        </is>
      </c>
    </row>
    <row r="23">
      <c r="A23" s="6" t="inlineStr">
        <is>
          <t>UK 11a    Overall capital requirements (%)</t>
        </is>
      </c>
      <c r="B23" s="6" t="inlineStr">
        <is>
          <t>14.4%</t>
        </is>
      </c>
      <c r="C23" s="6" t="inlineStr">
        <is>
          <t>14.5%</t>
        </is>
      </c>
      <c r="D23" s="6" t="inlineStr">
        <is>
          <t>15.1%</t>
        </is>
      </c>
      <c r="E23" s="6" t="inlineStr">
        <is>
          <t>13.4%</t>
        </is>
      </c>
      <c r="F23" s="6" t="inlineStr">
        <is>
          <t>13.0%</t>
        </is>
      </c>
    </row>
    <row r="24">
      <c r="A24" s="6" t="inlineStr">
        <is>
          <t>12    CET1 available after meeting minimum SREP own funds requirements (%)</t>
        </is>
      </c>
      <c r="B24" s="6" t="inlineStr">
        <is>
          <t>7.9%</t>
        </is>
      </c>
      <c r="C24" s="6" t="inlineStr">
        <is>
          <t>7.9%</t>
        </is>
      </c>
      <c r="D24" s="6" t="inlineStr">
        <is>
          <t>8.9%</t>
        </is>
      </c>
      <c r="E24" s="6" t="inlineStr">
        <is>
          <t>9.8%</t>
        </is>
      </c>
      <c r="F24" s="6" t="inlineStr">
        <is>
          <t>9.8%</t>
        </is>
      </c>
    </row>
    <row r="25">
      <c r="A25" s="5" t="inlineStr">
        <is>
          <t>Leverage ratio — UK basis, excluding claims on central banks (from 1 January 2022)</t>
        </is>
      </c>
      <c r="B25" s="6" t="n"/>
      <c r="C25" s="6" t="n"/>
      <c r="D25" s="6" t="n"/>
      <c r="E25" s="6" t="n"/>
      <c r="F25" s="6" t="n"/>
    </row>
    <row r="26">
      <c r="A26" s="6" t="inlineStr">
        <is>
          <t>13  (LR2 UK-24b)    Total exposure measure excluding claims on central banks (£m)</t>
        </is>
      </c>
      <c r="B26" s="6" t="n">
        <v>320952</v>
      </c>
      <c r="C26" s="6" t="n">
        <v>310190</v>
      </c>
      <c r="D26" s="6" t="n">
        <v>303647</v>
      </c>
      <c r="E26" s="6" t="n">
        <v>300175</v>
      </c>
      <c r="F26" s="6" t="n"/>
    </row>
    <row r="27">
      <c r="A27" s="6" t="inlineStr">
        <is>
          <t>14  (LR2 25)    Leverage ratio excluding claims on central banks (%)</t>
        </is>
      </c>
      <c r="B27" s="6" t="inlineStr">
        <is>
          <t>4.3%</t>
        </is>
      </c>
      <c r="C27" s="6" t="inlineStr">
        <is>
          <t>4.4%</t>
        </is>
      </c>
      <c r="D27" s="6" t="inlineStr">
        <is>
          <t>4.8%</t>
        </is>
      </c>
      <c r="E27" s="6" t="inlineStr">
        <is>
          <t>4.5%</t>
        </is>
      </c>
      <c r="F27" s="6" t="n"/>
    </row>
    <row r="28">
      <c r="A28" s="5" t="inlineStr">
        <is>
          <t>Leverage ratio — original CRR basis, including claims on central banks (to 31 December 2021)</t>
        </is>
      </c>
      <c r="B28" s="6" t="n"/>
      <c r="C28" s="6" t="n"/>
      <c r="D28" s="6" t="n"/>
      <c r="E28" s="6" t="n"/>
      <c r="F28" s="6" t="n"/>
    </row>
    <row r="29">
      <c r="A29" s="6" t="inlineStr">
        <is>
          <t>13  (as captioned in the FY2022 edition)    Total exposure measure including claims on central banks (£m)</t>
        </is>
      </c>
      <c r="B29" s="6" t="n"/>
      <c r="C29" s="6" t="n"/>
      <c r="D29" s="6" t="n"/>
      <c r="E29" s="6" t="n"/>
      <c r="F29" s="6" t="n">
        <v>310184</v>
      </c>
    </row>
    <row r="30">
      <c r="A30" s="6" t="inlineStr">
        <is>
          <t>14  (as captioned in the FY2022 edition)    Leverage ratio including claims on central banks (%)</t>
        </is>
      </c>
      <c r="B30" s="6" t="n"/>
      <c r="C30" s="6" t="n"/>
      <c r="D30" s="6" t="n"/>
      <c r="E30" s="6" t="n"/>
      <c r="F30" s="6" t="inlineStr">
        <is>
          <t>3.8%</t>
        </is>
      </c>
    </row>
    <row r="31">
      <c r="A31" s="5" t="inlineStr">
        <is>
          <t>Additional leverage ratio disclosure requirements</t>
        </is>
      </c>
      <c r="B31" s="6" t="n"/>
      <c r="C31" s="6" t="n"/>
      <c r="D31" s="6" t="n"/>
      <c r="E31" s="6" t="n"/>
      <c r="F31" s="6" t="n"/>
    </row>
    <row r="32">
      <c r="A32" s="6" t="inlineStr">
        <is>
          <t>UK 14a  (LR2 UK-25a)    Fully loaded ECL accounting model leverage ratio excluding claims on central banks (%)</t>
        </is>
      </c>
      <c r="B32" s="6" t="inlineStr">
        <is>
          <t>4.3%</t>
        </is>
      </c>
      <c r="C32" s="6" t="inlineStr">
        <is>
          <t>4.4%</t>
        </is>
      </c>
      <c r="D32" s="6" t="inlineStr">
        <is>
          <t>4.8%</t>
        </is>
      </c>
      <c r="E32" s="6" t="n"/>
      <c r="F32" s="6" t="n"/>
    </row>
    <row r="33">
      <c r="A33" s="6" t="inlineStr">
        <is>
          <t>UK 14b  (LR2 UK-25c)    Leverage ratio including claims on central banks (%)</t>
        </is>
      </c>
      <c r="B33" s="6" t="inlineStr">
        <is>
          <t>4.2%</t>
        </is>
      </c>
      <c r="C33" s="6" t="inlineStr">
        <is>
          <t>4.4%</t>
        </is>
      </c>
      <c r="D33" s="6" t="inlineStr">
        <is>
          <t>4.7%</t>
        </is>
      </c>
      <c r="E33" s="6" t="n"/>
      <c r="F33" s="6" t="n"/>
    </row>
    <row r="34">
      <c r="A34" s="6" t="inlineStr">
        <is>
          <t>UK 14c  (LR2 UK-34)    Average leverage ratio excluding claims on central banks (%)</t>
        </is>
      </c>
      <c r="B34" s="6" t="inlineStr">
        <is>
          <t>4.3%</t>
        </is>
      </c>
      <c r="C34" s="6" t="inlineStr">
        <is>
          <t>4.4%</t>
        </is>
      </c>
      <c r="D34" s="6" t="inlineStr">
        <is>
          <t>4.6%</t>
        </is>
      </c>
      <c r="E34" s="6" t="n"/>
      <c r="F34" s="6" t="n"/>
    </row>
    <row r="35">
      <c r="A35" s="6" t="inlineStr">
        <is>
          <t>UK 14d  (LR2 UK-33)    Average leverage ratio including claims on central banks (%)</t>
        </is>
      </c>
      <c r="B35" s="6" t="inlineStr">
        <is>
          <t>4.3%</t>
        </is>
      </c>
      <c r="C35" s="6" t="inlineStr">
        <is>
          <t>4.4%</t>
        </is>
      </c>
      <c r="D35" s="6" t="inlineStr">
        <is>
          <t>4.5%</t>
        </is>
      </c>
      <c r="E35" s="6" t="n"/>
      <c r="F35" s="6" t="n"/>
    </row>
    <row r="36">
      <c r="A36" s="6" t="inlineStr">
        <is>
          <t>(LR2 UK-31)    Average total exposure measure including claims on central banks (£m)</t>
        </is>
      </c>
      <c r="B36" s="6" t="n">
        <v>322402</v>
      </c>
      <c r="C36" s="6" t="n">
        <v>313040</v>
      </c>
      <c r="D36" s="6" t="n"/>
      <c r="E36" s="6" t="n"/>
      <c r="F36" s="6" t="n"/>
    </row>
    <row r="37">
      <c r="A37" s="6" t="inlineStr">
        <is>
          <t>(LR2 UK-32)    Average total exposure measure excluding claims on central banks (£m)</t>
        </is>
      </c>
      <c r="B37" s="6" t="n">
        <v>319700</v>
      </c>
      <c r="C37" s="6" t="n">
        <v>310277</v>
      </c>
      <c r="D37" s="6" t="n"/>
      <c r="E37" s="6" t="n"/>
      <c r="F37" s="6" t="n"/>
    </row>
    <row r="38">
      <c r="A38" s="6" t="inlineStr">
        <is>
          <t>(LR2 27)    Leverage ratio buffer (%)</t>
        </is>
      </c>
      <c r="B38" s="6" t="inlineStr">
        <is>
          <t>0.7%</t>
        </is>
      </c>
      <c r="C38" s="6" t="inlineStr">
        <is>
          <t>0.7%</t>
        </is>
      </c>
      <c r="D38" s="6" t="n"/>
      <c r="E38" s="6" t="n"/>
      <c r="F38" s="6" t="n"/>
    </row>
    <row r="39">
      <c r="A39" s="6" t="inlineStr">
        <is>
          <t>UK 14e  (LR2 UK-27b)    Of which: countercyclical leverage ratio buffer (%)</t>
        </is>
      </c>
      <c r="B39" s="6" t="inlineStr">
        <is>
          <t>0.7%</t>
        </is>
      </c>
      <c r="C39" s="6" t="inlineStr">
        <is>
          <t>0.7%</t>
        </is>
      </c>
      <c r="D39" s="6" t="inlineStr">
        <is>
          <t>0.7%</t>
        </is>
      </c>
      <c r="E39" s="6" t="n"/>
      <c r="F39" s="6" t="n"/>
    </row>
    <row r="41" ht="400" customHeight="1">
      <c r="A41" s="8" t="inlineStr">
        <is>
          <t>Sources - Bank of Scotland plc's own year-end Pillar 3 disclosures, 'KM1: Key metrics' template, £m and % as printed. Each year is taken from the edition in which it is the reporting year, not from a later edition's comparative:
FY2025: 2025 Year-End Pillar 3 Disclosures, KM1 (column '31 Dec 2025') - https://www.lloydsbankinggroup.com/assets/pdfs/investors/financial-performance/bank-of-scotland-plc/2025/q4/2025-bos-fy-pillar-3.pdf
FY2024: 2024 Year-End Pillar 3 Disclosures, KM1 (column '31 Dec 2024') - https://www.lloydsbankinggroup.com/assets/pdfs/investors/financial-performance/bank-of-scotland-plc/2024/q4/2024-bos-fy-pillar-3.pdf
FY2023: 2023 Year-End Pillar 3 Disclosures, KM1 (column '31 Dec 2023') - https://www.lloydsbankinggroup.com/assets/pdfs/investors/financial-performance/bank-of-scotland-plc/2023/q4/2023-bos-fy-pillar-3.pdf
FY2022: 2022 Year-End Pillar 3 Disclosures, KM1 (column '31 Dec 2022') - https://www.lloydsbankinggroup.com/assets/pdfs/investors/financial-performance/bank-of-scotland-plc/2022/full-year/2022-bos-fy-pillar3.pdf
FY2021: the '31 Dec 2021' comparative column of the 2022 edition above. The 2021 edition's own key-metrics table is a DIFFERENT template - 'KM1: Key metrics and a comparison of own funds and capital and leverage ratios with and without the application of transitional arrangements for IFRS 9', a 17-row IFRS9-FL table with CRD IV leverage rows - so it cannot supply UK KM1 rows: https://www.lloydsbankinggroup.com/assets/pdfs/investors/financial-performance/bank-of-scotland-plc/2021/full-year/2021-bos-fy-pillar3.pdf
Index: https://www.lloydsbankinggroup.com/investors/financial-downloads.html
SOURCING CORRECTION, recorded because the mistake generalises. An earlier build of this workbook stated that no standalone Pillar 3 document is published for this entity. That was wrong. At the time lloydsbankinggroup.com returned a Cloudflare block (error 1007) to every automated fetch, and the block was written down as a fact about the bank rather than a fact about our own reach. Re-checked 2026-09-16 with an ordinary browser User-Agent, the Financial Downloads page loads normally and carries 129 Pillar 3 PDFs, 22 of them Bank of Scotland plc's own: full-year editions for 2020 through 2025 plus half-year and quarterly ones. All six full-year documents were downloaded and verified (HTTP 200, Content-Type application/pdf, %PDF magic bytes). No capital figure in this workbook changed as a result - the Annual Report's Strategic Report capital position and the Pillar 3 KM1 agree exactly for every overlapping year - but the sourcing claim did.
KM1 presentation notes:
• THREE COLUMNS PER EDITION (31 Dec, 30 Jun, 31 Dec prior). Only the year-end columns are carried here; the 30-Jun half-year columns are half-year positions and are not shown in a workbook of financial years.
• A DOUBLE REFERENCE COLUMN. Each row carries both a 'KM1 Ref' and an 'LR2 Ref', because the table embeds extracts of LR2 (Leverage ratio common disclosure) that must be published quarterly. Rows UK-31, UK-32 and 27 have an LR2 reference and no KM1 number at all; they are kept and labelled by their LR2 reference, because the Bank prints them inside its KM1.
• THE 1 JANUARY 2022 LEVERAGE BASIS BREAK is stated by the Bank itself. The FY2022 edition captions rows 13/14 'Total exposure measure (Dec 21: including claims on central banks)' and footnotes: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FY2021, FY2022 and FY2023 editions print these to three decimals ('2.500%', '0.987%', '1.988%'); the FY2024 and FY2025 editions print one ('2.5%', '2.0%'). Each cell is from its own year's edition, so the precision varies along the row. This also means the FY2023 countercyclical buffer reads 1.988% here where the FY2024 edition's comparative rounds it to 2.0%.
• ROWS 15-20 (LCR AND NSFR) ARE ABSENT BY DESIGN, NOT MISSING. Every edition's Appendix 1, 'Excluded templates', lists LIQ1 (Liquidity coverage ratio), LIQ2 (Net stable funding ratio), LIQA and LIQB with the reason 'Liquidity is managed at a Lloyds Bank Liquidity Sub-Group level. Refer to the Lloyds Bank plc Year-End Pillar 3 Disclosures for further information.' That is an Article 432 materiality exclusion, so the Bank's KM1 ends at the leverage block and no LCR/NSFR row was ever printed for this entity.</t>
        </is>
      </c>
    </row>
    <row r="43" ht="400" customHeight="1">
      <c r="A43" s="8" t="inlineStr">
        <is>
          <t>(continued)
• BLANK CELLS IN THE 14a-14e BLOCK ARE ROWS THE BANK DID NOT PRINT, not rows we failed to find. The FY2022 edition's KM1 stops at row 14 and has no 14a-14e block at all. The FY2023 edition prints 14a and 14b but leaves its Dec-22 column empty for 14c/14d/14e, and places UK-31, UK-32 and row 27 in the standalone LR2 table rather than inside KM1 (its LR2 gives Dec-22 average exposure measures of £305,666m including and £302,695m excluding claims on central banks, and a leverage ratio buffer of 0.7%).
• The FY2025 and FY2024 editions caption UK 14e 'Of which: countercyclical leverage ratio buffer (%)'; the FY2023 edition captions it 'Countercyclical leverage ratio buffer (%)'. The Bank footnotes row 27 with 'The additional leverage ratio buffer (ALRB) does not apply for the Bank.'
• DASHES: the Bank states in its basis of preparation that 'de minimis monetary amounts (&lt;£0.5 million) are rounded down for reporting purposes and disclosed as a dash' - so a dash in these documents means a rounded-down small amount, not an inapplicable requirement. No such dash falls in the KM1 rows above.
• FY2020 and earlier are outside this workbook's year range. For the record, the 2020 edition exists and uses the same pre-UK IFRS9-FL key-metrics template as the 2021 one.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41:F41"/>
    <mergeCell ref="A43:F4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364"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364"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364"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364"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364"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364"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364"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RWA Breakdown</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Risk-weighted assets of the Bank, by approach</t>
        </is>
      </c>
      <c r="B4" s="6" t="n"/>
      <c r="C4" s="6" t="n"/>
      <c r="D4" s="6" t="n"/>
      <c r="E4" s="6" t="n"/>
      <c r="F4" s="6" t="n"/>
    </row>
    <row r="5">
      <c r="A5" s="6" t="inlineStr">
        <is>
          <t>Foundation Internal Ratings Based (IRB) Approach</t>
        </is>
      </c>
      <c r="B5" s="6" t="n">
        <v>1942</v>
      </c>
      <c r="C5" s="6" t="n">
        <v>2159</v>
      </c>
      <c r="D5" s="6" t="n">
        <v>2492</v>
      </c>
      <c r="E5" s="6" t="n">
        <v>2605</v>
      </c>
      <c r="F5" s="6" t="n">
        <v>3476</v>
      </c>
    </row>
    <row r="6">
      <c r="A6" s="6" t="inlineStr">
        <is>
          <t>Retail IRB Approach</t>
        </is>
      </c>
      <c r="B6" s="6" t="n">
        <v>63418</v>
      </c>
      <c r="C6" s="6" t="n">
        <v>65594</v>
      </c>
      <c r="D6" s="6" t="n">
        <v>61956</v>
      </c>
      <c r="E6" s="6" t="n">
        <v>53771</v>
      </c>
      <c r="F6" s="6" t="n">
        <v>41636</v>
      </c>
    </row>
    <row r="7">
      <c r="A7" s="6" t="inlineStr">
        <is>
          <t>Other IRB Approach</t>
        </is>
      </c>
      <c r="B7" s="6" t="n">
        <v>3786</v>
      </c>
      <c r="C7" s="6" t="n">
        <v>3740</v>
      </c>
      <c r="D7" s="6" t="n">
        <v>3917</v>
      </c>
      <c r="E7" s="6" t="n">
        <v>3863</v>
      </c>
      <c r="F7" s="6" t="n">
        <v>1557</v>
      </c>
    </row>
    <row r="8">
      <c r="A8" s="5" t="inlineStr">
        <is>
          <t>IRB Approach</t>
        </is>
      </c>
      <c r="B8" s="5" t="n">
        <v>69146</v>
      </c>
      <c r="C8" s="5" t="n">
        <v>71493</v>
      </c>
      <c r="D8" s="5" t="n">
        <v>68365</v>
      </c>
      <c r="E8" s="5" t="n">
        <v>60239</v>
      </c>
      <c r="F8" s="5" t="n">
        <v>46669</v>
      </c>
    </row>
    <row r="9">
      <c r="A9" s="6" t="inlineStr">
        <is>
          <t>Standardised (STA) Approach</t>
        </is>
      </c>
      <c r="B9" s="6" t="n">
        <v>6196</v>
      </c>
      <c r="C9" s="6" t="n">
        <v>3136</v>
      </c>
      <c r="D9" s="6" t="n">
        <v>3457</v>
      </c>
      <c r="E9" s="6" t="n">
        <v>4307</v>
      </c>
      <c r="F9" s="6" t="n">
        <v>4389</v>
      </c>
    </row>
    <row r="10">
      <c r="A10" s="5" t="inlineStr">
        <is>
          <t>Credit risk</t>
        </is>
      </c>
      <c r="B10" s="5" t="n">
        <v>75342</v>
      </c>
      <c r="C10" s="5" t="n">
        <v>74629</v>
      </c>
      <c r="D10" s="5" t="n">
        <v>71821</v>
      </c>
      <c r="E10" s="5" t="n">
        <v>64546</v>
      </c>
      <c r="F10" s="5" t="n">
        <v>51058</v>
      </c>
    </row>
    <row r="11">
      <c r="A11" s="5" t="inlineStr">
        <is>
          <t>Risk-weighted assets of the Bank, by risk type</t>
        </is>
      </c>
      <c r="B11" s="6" t="n"/>
      <c r="C11" s="6" t="n"/>
      <c r="D11" s="6" t="n"/>
      <c r="E11" s="6" t="n"/>
      <c r="F11" s="6" t="n"/>
    </row>
    <row r="12">
      <c r="A12" s="6" t="inlineStr">
        <is>
          <t>Securitisation</t>
        </is>
      </c>
      <c r="B12" s="6" t="n">
        <v>722</v>
      </c>
      <c r="C12" s="6" t="n">
        <v>707</v>
      </c>
      <c r="D12" s="6" t="n">
        <v>931</v>
      </c>
      <c r="E12" s="6" t="n">
        <v>463</v>
      </c>
      <c r="F12" s="6" t="n"/>
    </row>
    <row r="13">
      <c r="A13" s="6" t="inlineStr">
        <is>
          <t>Counterparty credit risk</t>
        </is>
      </c>
      <c r="B13" s="6" t="n">
        <v>188</v>
      </c>
      <c r="C13" s="6" t="n">
        <v>136</v>
      </c>
      <c r="D13" s="6" t="n">
        <v>162</v>
      </c>
      <c r="E13" s="6" t="n">
        <v>191</v>
      </c>
      <c r="F13" s="6" t="n">
        <v>333</v>
      </c>
    </row>
    <row r="14">
      <c r="A14" s="6" t="inlineStr">
        <is>
          <t>Credit valuation adjustment risk</t>
        </is>
      </c>
      <c r="B14" s="6" t="n"/>
      <c r="C14" s="6" t="n">
        <v>51</v>
      </c>
      <c r="D14" s="6" t="n">
        <v>72</v>
      </c>
      <c r="E14" s="6" t="n">
        <v>77</v>
      </c>
      <c r="F14" s="6" t="n">
        <v>46</v>
      </c>
    </row>
    <row r="15">
      <c r="A15" s="6" t="inlineStr">
        <is>
          <t>Operational risk</t>
        </is>
      </c>
      <c r="B15" s="6" t="n">
        <v>6051</v>
      </c>
      <c r="C15" s="6" t="n">
        <v>5909</v>
      </c>
      <c r="D15" s="6" t="n">
        <v>6799</v>
      </c>
      <c r="E15" s="6" t="n">
        <v>7751</v>
      </c>
      <c r="F15" s="6" t="n">
        <v>8488</v>
      </c>
    </row>
    <row r="16">
      <c r="A16" s="6" t="inlineStr">
        <is>
          <t>Market risk</t>
        </is>
      </c>
      <c r="B16" s="6" t="n">
        <v>54</v>
      </c>
      <c r="C16" s="6" t="n">
        <v>61</v>
      </c>
      <c r="D16" s="6" t="n">
        <v>468</v>
      </c>
      <c r="E16" s="6" t="n">
        <v>56</v>
      </c>
      <c r="F16" s="6" t="n">
        <v>254</v>
      </c>
    </row>
    <row r="17">
      <c r="A17" s="5" t="inlineStr">
        <is>
          <t>Underlying risk-weighted assets</t>
        </is>
      </c>
      <c r="B17" s="5" t="n"/>
      <c r="C17" s="5" t="n"/>
      <c r="D17" s="5" t="n"/>
      <c r="E17" s="5" t="n"/>
      <c r="F17" s="5" t="n">
        <v>60179</v>
      </c>
    </row>
    <row r="18">
      <c r="A18" s="6" t="inlineStr">
        <is>
          <t>Threshold risk-weighted assets (of which, already included above)</t>
        </is>
      </c>
      <c r="B18" s="6" t="n">
        <v>2806</v>
      </c>
      <c r="C18" s="6" t="n">
        <v>2926</v>
      </c>
      <c r="D18" s="6" t="n">
        <v>3205</v>
      </c>
      <c r="E18" s="6" t="n">
        <v>3190</v>
      </c>
      <c r="F18" s="6" t="n">
        <v>628</v>
      </c>
    </row>
    <row r="19">
      <c r="A19" s="5" t="inlineStr">
        <is>
          <t>Total risk-weighted assets</t>
        </is>
      </c>
      <c r="B19" s="5" t="n">
        <v>82357</v>
      </c>
      <c r="C19" s="5" t="n">
        <v>81493</v>
      </c>
      <c r="D19" s="5" t="n">
        <v>80254</v>
      </c>
      <c r="E19" s="5" t="n">
        <v>73084</v>
      </c>
      <c r="F19" s="5" t="n">
        <v>60807</v>
      </c>
    </row>
    <row r="21" ht="377" customHeight="1">
      <c r="A21" s="8" t="inlineStr">
        <is>
          <t>Sources - Bank of Scotland plc's own 'Risk-weighted assets of the Bank' table, in the 'Capital position' section of the Strategic Report, each year's own Companies House full accounts filing: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CORRECTION: an earlier version of this workbook marked this sheet 'Not publicly disclosed', claiming the Strategic Report's Capital position section discloses only the single aggregate risk-weighted-assets total. That was wrong - immediately below the capital resources table, each year's own Strategic Report has its own 'Risk-weighted assets of the Bank' table with a full breakdown by IRB/Standardised approach and by risk type (credit/counterparty credit/securitisation/market/operational), reconciling exactly to the Total RWAs sheet in every year. PRESENTATION NOTE: category labels and sub-splits shift slightly year to year, transcribed faithfully from each year's own report rather than restated: (1) FY2025's own report folds credit valuation adjustment (CVA) risk into 'Counterparty credit risk' (footnoted); FY2024-FY2021 show CVA risk as its own line. (2) FY2021's own report has no separate 'Securitisation' line (folded into Standardised Approach/Other IRB) and instead shows a 'Underlying risk-weighted assets' subtotal before adding back 'Threshold risk-weighted assets' to reach the Total - FY2022 onward drop that subtotal and show the threshold figure as a memo ('of which') line below an already-inclusive Total. The FY2022 report's own comparative column for FY2021 restates Other IRB Approach/Standardised Approach/Credit risk slightly differently (adding a separate Securitisation line) while the Total RWAs figure (60,807) is unchanged either way - this workbook uses FY2021's own report figures, per the per-year-own-source convention used throughout.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row r="23" ht="280" customHeight="1">
      <c r="A23" s="8" t="inlineStr">
        <is>
          <t>(continued)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21:F21"/>
    <mergeCell ref="A23:F2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inlineStr">
        <is>
          <t>4.3%</t>
        </is>
      </c>
      <c r="C4" s="6" t="inlineStr">
        <is>
          <t>4.4%</t>
        </is>
      </c>
      <c r="D4" s="6" t="inlineStr">
        <is>
          <t>4.8%</t>
        </is>
      </c>
      <c r="E4" s="6" t="inlineStr">
        <is>
          <t>4.5%</t>
        </is>
      </c>
      <c r="F4" s="6" t="n"/>
    </row>
    <row r="5">
      <c r="A5" s="6" t="inlineStr">
        <is>
          <t>CRD IV leverage ratio (including claims on central banks) — pre-2022 basis</t>
        </is>
      </c>
      <c r="B5" s="6" t="n"/>
      <c r="C5" s="6" t="n"/>
      <c r="D5" s="6" t="n"/>
      <c r="E5" s="6" t="n"/>
      <c r="F5" s="6" t="inlineStr">
        <is>
          <t>3.8%</t>
        </is>
      </c>
    </row>
    <row r="6" ht="91" customHeight="1">
      <c r="A6" s="7" t="inlineStr">
        <is>
          <t>Note: TWO BASES, DELIBERATELY NOT MERGED. The UK leverage ratio excludes claims on central banks and applies from 1 January 2022; before that the CRD IV measure included them. The FY2021 figure is therefore shown on its own row rather than continuing the UK series - the Bank's own FY2022 Pillar 3 footnotes exactly this: 'The leverage exposure measure and ratios reported for 31 December 2021 have been calculated under the original CRR leverage rules, inclusive of claims on central banks.'
SOURCE CORRECTED 2026-09-16 (KM1-006). FY2022 and FY2021 were previously described as undisclosed or only available as a later Annual Report comparative, on the mistaken premise that this entity publishes no Pillar 3 document. It does: all four UK-basis figures and the FY2021 CRD IV figure come from the KM1 template of each year's own Pillar 3 disclosure (see the KM1 Key Metrics sheet). The FY2022 value is unchanged at 4.5%; FY2021, previously blank, is now filled at 3.8% on its own basis.</t>
        </is>
      </c>
    </row>
    <row r="8" ht="364" customHeight="1">
      <c r="A8"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BoS Pillar 3 excluded-templates table (p.30) omits LIQ1 (LCR): liquidity is managed at the Lloyds Bank sub-group level, see the Lloyds Bank plc Pillar 3</t>
        </is>
      </c>
      <c r="C4" s="6" t="inlineStr">
        <is>
          <t>Not published – BoS Pillar 3 excluded-templates table (p.3) omits LIQ1 (LCR): liquidity is managed at the Lloyds Bank sub-group level, see the Lloyds Bank plc Pillar 3</t>
        </is>
      </c>
      <c r="D4" s="6" t="inlineStr">
        <is>
          <t>Not published – BoS Pillar 3 excluded-templates table (p.3) omits LIQ1 (LCR): liquidity is managed at the Lloyds Bank sub-group level, see the Lloyds Bank plc Pillar 3</t>
        </is>
      </c>
      <c r="E4" s="6" t="inlineStr">
        <is>
          <t>Not published – BoS Pillar 3 excluded-templates table (p.4) omits LIQ1 (LCR): liquidity is managed at the Lloyds Bank sub-group level, see the Lloyds Bank plc Pillar 3</t>
        </is>
      </c>
      <c r="F4" s="6" t="inlineStr">
        <is>
          <t>Not published – FY2021 BoS Pillar 3 contains no LCR (text-searched 2026-09-19); liquidity is managed at the Lloyds Bank sub-group level</t>
        </is>
      </c>
    </row>
    <row r="5" ht="91" customHeight="1">
      <c r="A5" s="7" t="inlineStr">
        <is>
          <t>Note: NOT DISCLOSED AT THIS ENTITY LEVEL, BY THE BANK'S OWN EXPLICIT EXCLUSION - a stronger and more precise statement than the one this sheet previously carried. Bank of Scotland plc DOES publish a standalone Pillar 3 report every year (see the KM1 Key Metrics sheet and the Entity Note's Pillar 3 correction); an earlier build of this workbook wrongly recorded that it does not, after its website returned a Cloudflare block. Every edition of that report lists LIQ1 (Liquidity coverage ratio), LIQ2 (Net stable funding ratio), LIQA and LIQB in its Appendix 1 'Excluded templates', with the reason: 'Liquidity is managed at a Lloyds Bank Liquidity Sub-Group level. Refer to the Lloyds Bank plc Year-End Pillar 3 Disclosures for further information.' That is an Article 432 materiality exclusion. So the LCR is not merely absent from the Annual Report - the Bank has formally declined to disclose it at this entity level, and the Bank's own KM1 template has no rows 15-20 as a result. The Lloyds Bank plc liquidity-sub-group figure is a different entity and is out of scope for this workbook.</t>
        </is>
      </c>
    </row>
    <row r="7" ht="364"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BoS Pillar 3 excluded-templates table (p.30) omits LIQ2 (NSFR): liquidity is managed at the Lloyds Bank sub-group level, see the Lloyds Bank plc Pillar 3</t>
        </is>
      </c>
      <c r="C4" s="6" t="inlineStr">
        <is>
          <t>Not published – BoS Pillar 3 excluded-templates table (p.3) omits LIQ2 (NSFR): liquidity is managed at the Lloyds Bank sub-group level, see the Lloyds Bank plc Pillar 3</t>
        </is>
      </c>
      <c r="D4" s="6" t="inlineStr">
        <is>
          <t>Not published – BoS Pillar 3 excluded-templates table (p.3) omits LIQ2 (NSFR): liquidity is managed at the Lloyds Bank sub-group level, see the Lloyds Bank plc Pillar 3</t>
        </is>
      </c>
      <c r="E4" s="6" t="inlineStr">
        <is>
          <t>Not published – no NSFR in the FY2022 BoS Pillar 3; its excluded-templates table (p.4) refers liquidity to the Lloyds Bank plc Pillar 3</t>
        </is>
      </c>
      <c r="F4" s="6" t="inlineStr">
        <is>
          <t>Not published – FY2021 BoS Pillar 3 contains no NSFR (text-searched 2026-09-19); liquidity is managed at the Lloyds Bank sub-group level</t>
        </is>
      </c>
    </row>
    <row r="5" ht="30" customHeight="1">
      <c r="A5" s="7" t="inlineStr">
        <is>
          <t>Note: Same as the LCR note: excluded by the Bank under Article 432 (template LIQ2), because liquidity is managed at Lloyds Bank Liquidity Sub-Group level. Not an absence of sourcing.</t>
        </is>
      </c>
    </row>
    <row r="7" ht="364"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ratio in the FY2025 BoS Pillar 3; it says TLAC 2 'is included within the Pillar 3 disclosures for Lloyds Banking Group plc' (p.3)</t>
        </is>
      </c>
      <c r="C4" s="6" t="inlineStr">
        <is>
          <t>Not published – no MREL ratio in the FY2024 BoS Pillar 3; it says TLAC 2 'is included within the Pillar 3 disclosures for Lloyds Banking Group plc' (p.3)</t>
        </is>
      </c>
      <c r="D4" s="6" t="inlineStr">
        <is>
          <t>Not published – no MREL ratio in the FY2023 BoS Pillar 3; it says TLAC 2 'is included within the Pillar 3 disclosures for Lloyds Banking Group plc' (p.3)</t>
        </is>
      </c>
      <c r="E4" s="6" t="inlineStr">
        <is>
          <t>Not published – no MREL ratio in the FY2022 BoS Pillar 3; it says TLAC 2 'is included within the Pillar 3 disclosures for Lloyds Banking Group plc' (p.4)</t>
        </is>
      </c>
      <c r="F4" s="6" t="inlineStr">
        <is>
          <t>Not published – no MREL ratio in the FY2021 BoS Pillar 3 (p.3 describes eligible MREL instruments only); MREL is disclosed for Lloyds Banking Group</t>
        </is>
      </c>
    </row>
    <row r="5" ht="30" customHeight="1">
      <c r="A5" s="7" t="inlineStr">
        <is>
          <t>Note: Not disclosed for Bank of Scotland plc. The Bank's own Pillar 3 states that template TLAC 2 'is included within the Pillar 3 disclosures for Lloyds Banking Group' - MREL is set and disclosed at the resolution-group level, not for this entity, so there is no entity-level ratio to report.</t>
        </is>
      </c>
    </row>
    <row r="7" ht="364"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2026-10-26T09:35:56Z</dcterms:created>
  <dcterms:modified xmlns:dcterms="http://purl.org/dc/terms/" xmlns:xsi="http://www.w3.org/2001/XMLSchema-instance" xsi:type="dcterms:W3CDTF">2026-10-26T09:35:56Z</dcterms:modified>
</cp:coreProperties>
</file>