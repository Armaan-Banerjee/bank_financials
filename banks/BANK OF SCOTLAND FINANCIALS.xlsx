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42</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of Scotland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provided by/(used in) operating activities</t>
        </is>
      </c>
      <c r="B6" s="5" t="n">
        <v>1133</v>
      </c>
      <c r="C6" s="5" t="n">
        <v>2120</v>
      </c>
      <c r="D6" s="5" t="n">
        <v>-435</v>
      </c>
      <c r="E6" s="5" t="n">
        <v>-1836</v>
      </c>
      <c r="F6" s="5" t="n">
        <v>6414</v>
      </c>
      <c r="I6" t="inlineStr">
        <is>
          <t>Net cash provided by/(used in) operating activities</t>
        </is>
      </c>
      <c r="J6" t="n">
        <v>6414</v>
      </c>
      <c r="K6" t="n">
        <v>-1836</v>
      </c>
      <c r="L6" t="n">
        <v>-435</v>
      </c>
      <c r="M6" t="n">
        <v>2120</v>
      </c>
      <c r="N6" t="n">
        <v>1133</v>
      </c>
      <c r="Q6" t="inlineStr">
        <is>
          <t>CET1 Ratio</t>
        </is>
      </c>
      <c r="R6" t="n">
        <v>15.7</v>
      </c>
      <c r="S6" t="n">
        <v>15.4</v>
      </c>
      <c r="T6" t="n">
        <v>14.9</v>
      </c>
      <c r="U6" t="n">
        <v>13.5</v>
      </c>
      <c r="V6" t="n">
        <v>13.5</v>
      </c>
    </row>
    <row r="7">
      <c r="A7" s="5" t="inlineStr">
        <is>
          <t>Net cash (used in)/provided by investing activities</t>
        </is>
      </c>
      <c r="B7" s="5" t="n">
        <v>93</v>
      </c>
      <c r="C7" s="5" t="n">
        <v>-49</v>
      </c>
      <c r="D7" s="5" t="n">
        <v>513</v>
      </c>
      <c r="E7" s="5" t="n">
        <v>1923</v>
      </c>
      <c r="F7" s="5" t="n">
        <v>211</v>
      </c>
      <c r="I7" t="inlineStr">
        <is>
          <t>Net cash (used in)/provided by investing activities</t>
        </is>
      </c>
      <c r="J7" t="n">
        <v>211</v>
      </c>
      <c r="K7" t="n">
        <v>1923</v>
      </c>
      <c r="L7" t="n">
        <v>513</v>
      </c>
      <c r="M7" t="n">
        <v>-49</v>
      </c>
      <c r="N7" t="n">
        <v>93</v>
      </c>
      <c r="Q7" t="inlineStr">
        <is>
          <t>Tier 1 Ratio</t>
        </is>
      </c>
      <c r="R7" t="n">
        <v>19.3</v>
      </c>
      <c r="S7" t="n">
        <v>18.5</v>
      </c>
      <c r="T7" t="n">
        <v>18.1</v>
      </c>
      <c r="U7" t="n">
        <v>16.7</v>
      </c>
      <c r="V7" t="n">
        <v>16.6</v>
      </c>
    </row>
    <row r="8">
      <c r="A8" s="5" t="inlineStr">
        <is>
          <t>Net cash used in/(provided by) financing activities</t>
        </is>
      </c>
      <c r="B8" s="5" t="n">
        <v>-1313</v>
      </c>
      <c r="C8" s="5" t="n">
        <v>-1314</v>
      </c>
      <c r="D8" s="5" t="n">
        <v>-4</v>
      </c>
      <c r="E8" s="5" t="n">
        <v>-224</v>
      </c>
      <c r="F8" s="5" t="n">
        <v>-6617</v>
      </c>
      <c r="I8" t="inlineStr">
        <is>
          <t>Net cash used in/(provided by) financing activities</t>
        </is>
      </c>
      <c r="J8" t="n">
        <v>-6617</v>
      </c>
      <c r="K8" t="n">
        <v>-224</v>
      </c>
      <c r="L8" t="n">
        <v>-4</v>
      </c>
      <c r="M8" t="n">
        <v>-1314</v>
      </c>
      <c r="N8" t="n">
        <v>-1313</v>
      </c>
      <c r="Q8" t="inlineStr">
        <is>
          <t>Total Capital Ratio</t>
        </is>
      </c>
      <c r="R8" t="n">
        <v>21.8</v>
      </c>
      <c r="S8" t="n">
        <v>21</v>
      </c>
      <c r="T8" t="n">
        <v>20.4</v>
      </c>
      <c r="U8" t="n">
        <v>18.9</v>
      </c>
      <c r="V8" t="n">
        <v>18.4</v>
      </c>
    </row>
    <row r="9">
      <c r="A9" s="5" t="inlineStr">
        <is>
          <t>Cash and cash equivalents at end of year</t>
        </is>
      </c>
      <c r="B9" s="5" t="n">
        <v>2771</v>
      </c>
      <c r="C9" s="5" t="n">
        <v>2858</v>
      </c>
      <c r="D9" s="5" t="n">
        <v>2101</v>
      </c>
      <c r="E9" s="5" t="n">
        <v>2027</v>
      </c>
      <c r="F9" s="5" t="n">
        <v>854</v>
      </c>
      <c r="I9" t="inlineStr">
        <is>
          <t>Cash and cash equivalents at end of year</t>
        </is>
      </c>
      <c r="J9" t="n">
        <v>854</v>
      </c>
      <c r="K9" t="n">
        <v>2027</v>
      </c>
      <c r="L9" t="n">
        <v>2101</v>
      </c>
      <c r="M9" t="n">
        <v>2858</v>
      </c>
      <c r="N9" t="n">
        <v>2771</v>
      </c>
      <c r="Q9" t="inlineStr">
        <is>
          <t>Leverage Ratio</t>
        </is>
      </c>
      <c r="S9" t="n">
        <v>4.5</v>
      </c>
      <c r="T9" t="n">
        <v>4.8</v>
      </c>
      <c r="U9" t="n">
        <v>4.4</v>
      </c>
      <c r="V9" t="n">
        <v>4.3</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13.5%</t>
        </is>
      </c>
      <c r="C13" s="6" t="inlineStr">
        <is>
          <t>13.5%</t>
        </is>
      </c>
      <c r="D13" s="6" t="inlineStr">
        <is>
          <t>14.9%</t>
        </is>
      </c>
      <c r="E13" s="6" t="inlineStr">
        <is>
          <t>15.4%</t>
        </is>
      </c>
      <c r="F13" s="6" t="inlineStr">
        <is>
          <t>15.7%</t>
        </is>
      </c>
    </row>
    <row r="14">
      <c r="A14" s="6" t="inlineStr">
        <is>
          <t>Tier 1 Ratio</t>
        </is>
      </c>
      <c r="B14" s="6" t="inlineStr">
        <is>
          <t>16.6%</t>
        </is>
      </c>
      <c r="C14" s="6" t="inlineStr">
        <is>
          <t>16.7%</t>
        </is>
      </c>
      <c r="D14" s="6" t="inlineStr">
        <is>
          <t>18.1%</t>
        </is>
      </c>
      <c r="E14" s="6" t="inlineStr">
        <is>
          <t>18.5%</t>
        </is>
      </c>
      <c r="F14" s="6" t="inlineStr">
        <is>
          <t>19.3%</t>
        </is>
      </c>
    </row>
    <row r="15">
      <c r="A15" s="6" t="inlineStr">
        <is>
          <t>Total Capital Ratio</t>
        </is>
      </c>
      <c r="B15" s="6" t="inlineStr">
        <is>
          <t>18.4%</t>
        </is>
      </c>
      <c r="C15" s="6" t="inlineStr">
        <is>
          <t>18.9%</t>
        </is>
      </c>
      <c r="D15" s="6" t="inlineStr">
        <is>
          <t>20.4%</t>
        </is>
      </c>
      <c r="E15" s="6" t="inlineStr">
        <is>
          <t>21.0%</t>
        </is>
      </c>
      <c r="F15" s="6" t="inlineStr">
        <is>
          <t>21.8%</t>
        </is>
      </c>
    </row>
    <row r="16">
      <c r="A16" s="6" t="inlineStr">
        <is>
          <t>Leverage Ratio</t>
        </is>
      </c>
      <c r="B16" s="6" t="inlineStr">
        <is>
          <t>4.3%</t>
        </is>
      </c>
      <c r="C16" s="6" t="inlineStr">
        <is>
          <t>4.4%</t>
        </is>
      </c>
      <c r="D16" s="6" t="inlineStr">
        <is>
          <t>4.8%</t>
        </is>
      </c>
      <c r="E16" s="6" t="inlineStr">
        <is>
          <t>4.5%</t>
        </is>
      </c>
      <c r="F16" s="6" t="n"/>
    </row>
    <row r="18" ht="45" customHeight="1">
      <c r="A1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4.3%</t>
        </is>
      </c>
      <c r="C4" s="6" t="inlineStr">
        <is>
          <t>4.4%</t>
        </is>
      </c>
      <c r="D4" s="6" t="inlineStr">
        <is>
          <t>4.8%</t>
        </is>
      </c>
      <c r="E4" s="6" t="inlineStr">
        <is>
          <t>4.5%</t>
        </is>
      </c>
      <c r="F4" s="6" t="n"/>
    </row>
    <row r="5" ht="60" customHeight="1">
      <c r="A5" s="7" t="inlineStr">
        <is>
          <t>Note: Not disclosed in FY2021's own Annual Report, nor in FY2022's own Annual Report (the FY2022 capital table has no leverage-ratio row at all) - the UK leverage ratio template was only introduced to this entity's own disclosure from the FY2023 Annual Report onward. The FY2022 figure (4.5%) shown here comes from FY2023's report, which is the first to show it as a prior-year comparative; FY2021 is left blank since no source (that year's own report or the following year's comparative) ever discloses it.</t>
        </is>
      </c>
    </row>
    <row r="7" ht="18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Bank of Scotland plc's own Annual Report contains no dedicated risk-management/liquidity disclosure section and no standalone Pillar 3 document is published for this entity - LCR is disclosed only at the wider Lloyds Banking Group plc consolidated level, which is out of scope for this entity-level workbook.</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as the LCR note - not disclosed at this entity level; MREL is set and disclosed at the Lloyds Banking Group plc resolution-group level, not for Bank of Scotland plc solo.</t>
        </is>
      </c>
    </row>
    <row r="7" ht="150" customHeight="1">
      <c r="A7" s="8" t="inlineStr">
        <is>
          <t>Sources - Bank of Scotland plc's own unconsolidated ('The Bank') capital position, as stated in the 'Capital position' section of the Strategic Report of each year's own Companies House full accounts filing (no standalone Pillar 3 document is published for this entity - see the Entity Note):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2026-08-27T13:26:56Z</dcterms:created>
  <dcterms:modified xsi:type="dcterms:W3CDTF">2026-08-27T13:26:56Z</dcterms:modified>
</cp:coreProperties>
</file>