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8B1A1A"/>
        <bgColor rgb="008B1A1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Jordan International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'Overview'!N6</f>
            </strRef>
          </tx>
          <spPr>
            <a:ln xmlns:a="http://schemas.openxmlformats.org/drawingml/2006/main">
              <a:prstDash val="solid"/>
            </a:ln>
          </spPr>
          <cat>
            <numRef>
              <f>'Overview'!$O$5:$X$5</f>
            </numRef>
          </cat>
          <val>
            <numRef>
              <f>'Overview'!$O$6:$X$6</f>
            </numRef>
          </val>
        </ser>
        <ser>
          <idx val="1"/>
          <order val="1"/>
          <tx>
            <strRef>
              <f>'Overview'!N7</f>
            </strRef>
          </tx>
          <spPr>
            <a:ln xmlns:a="http://schemas.openxmlformats.org/drawingml/2006/main">
              <a:prstDash val="solid"/>
            </a:ln>
          </spPr>
          <cat>
            <numRef>
              <f>'Overview'!$O$5:$X$5</f>
            </numRef>
          </cat>
          <val>
            <numRef>
              <f>'Overview'!$O$7:$X$7</f>
            </numRef>
          </val>
        </ser>
        <ser>
          <idx val="2"/>
          <order val="2"/>
          <tx>
            <strRef>
              <f>'Overview'!N8</f>
            </strRef>
          </tx>
          <spPr>
            <a:ln xmlns:a="http://schemas.openxmlformats.org/drawingml/2006/main">
              <a:prstDash val="solid"/>
            </a:ln>
          </spPr>
          <cat>
            <numRef>
              <f>'Overview'!$O$5:$X$5</f>
            </numRef>
          </cat>
          <val>
            <numRef>
              <f>'Overview'!$O$8:$X$8</f>
            </numRef>
          </val>
        </ser>
        <ser>
          <idx val="3"/>
          <order val="3"/>
          <tx>
            <strRef>
              <f>'Overview'!N9</f>
            </strRef>
          </tx>
          <spPr>
            <a:ln xmlns:a="http://schemas.openxmlformats.org/drawingml/2006/main">
              <a:prstDash val="solid"/>
            </a:ln>
          </spPr>
          <cat>
            <numRef>
              <f>'Overview'!$O$5:$X$5</f>
            </numRef>
          </cat>
          <val>
            <numRef>
              <f>'Overview'!$O$9:$X$9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Jordan International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'Overview'!AA13</f>
            </strRef>
          </tx>
          <spPr>
            <a:ln xmlns:a="http://schemas.openxmlformats.org/drawingml/2006/main">
              <a:prstDash val="solid"/>
            </a:ln>
          </spPr>
          <cat>
            <numRef>
              <f>'Overview'!$AB$12:$AK$12</f>
            </numRef>
          </cat>
          <val>
            <numRef>
              <f>'Overview'!$AB$13:$AK$13</f>
            </numRef>
          </val>
        </ser>
        <ser>
          <idx val="1"/>
          <order val="1"/>
          <tx>
            <strRef>
              <f>'Overview'!AA14</f>
            </strRef>
          </tx>
          <spPr>
            <a:ln xmlns:a="http://schemas.openxmlformats.org/drawingml/2006/main">
              <a:prstDash val="solid"/>
            </a:ln>
          </spPr>
          <cat>
            <numRef>
              <f>'Overview'!$AB$12:$AK$12</f>
            </numRef>
          </cat>
          <val>
            <numRef>
              <f>'Overview'!$AB$14:$AK$14</f>
            </numRef>
          </val>
        </ser>
        <ser>
          <idx val="2"/>
          <order val="2"/>
          <tx>
            <strRef>
              <f>'Overview'!AA15</f>
            </strRef>
          </tx>
          <spPr>
            <a:ln xmlns:a="http://schemas.openxmlformats.org/drawingml/2006/main">
              <a:prstDash val="solid"/>
            </a:ln>
          </spPr>
          <cat>
            <numRef>
              <f>'Overview'!$AB$12:$AK$12</f>
            </numRef>
          </cat>
          <val>
            <numRef>
              <f>'Overview'!$AB$15:$AK$15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Jordan International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'Overview'!AN19</f>
            </strRef>
          </tx>
          <spPr>
            <a:ln xmlns:a="http://schemas.openxmlformats.org/drawingml/2006/main">
              <a:prstDash val="solid"/>
            </a:ln>
          </spPr>
          <cat>
            <numRef>
              <f>'Overview'!$AO$18:$AX$18</f>
            </numRef>
          </cat>
          <val>
            <numRef>
              <f>'Overview'!$AO$19:$AX$19</f>
            </numRef>
          </val>
        </ser>
        <ser>
          <idx val="1"/>
          <order val="1"/>
          <tx>
            <strRef>
              <f>'Overview'!AN20</f>
            </strRef>
          </tx>
          <spPr>
            <a:ln xmlns:a="http://schemas.openxmlformats.org/drawingml/2006/main">
              <a:prstDash val="solid"/>
            </a:ln>
          </spPr>
          <cat>
            <numRef>
              <f>'Overview'!$AO$18:$AX$18</f>
            </numRef>
          </cat>
          <val>
            <numRef>
              <f>'Overview'!$AO$20:$AX$20</f>
            </numRef>
          </val>
        </ser>
        <ser>
          <idx val="2"/>
          <order val="2"/>
          <tx>
            <strRef>
              <f>'Overview'!AN21</f>
            </strRef>
          </tx>
          <spPr>
            <a:ln xmlns:a="http://schemas.openxmlformats.org/drawingml/2006/main">
              <a:prstDash val="solid"/>
            </a:ln>
          </spPr>
          <cat>
            <numRef>
              <f>'Overview'!$AO$18:$AX$18</f>
            </numRef>
          </cat>
          <val>
            <numRef>
              <f>'Overview'!$AO$21:$AX$21</f>
            </numRef>
          </val>
        </ser>
        <ser>
          <idx val="3"/>
          <order val="3"/>
          <tx>
            <strRef>
              <f>'Overview'!AN22</f>
            </strRef>
          </tx>
          <spPr>
            <a:ln xmlns:a="http://schemas.openxmlformats.org/drawingml/2006/main">
              <a:prstDash val="solid"/>
            </a:ln>
          </spPr>
          <cat>
            <numRef>
              <f>'Overview'!$AO$18:$AX$18</f>
            </numRef>
          </cat>
          <val>
            <numRef>
              <f>'Overview'!$AO$22:$AX$22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Jordan International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'Overview'!BA26</f>
            </strRef>
          </tx>
          <spPr>
            <a:ln xmlns:a="http://schemas.openxmlformats.org/drawingml/2006/main">
              <a:prstDash val="solid"/>
            </a:ln>
          </spPr>
          <cat>
            <numRef>
              <f>'Overview'!$BB$25:$BK$25</f>
            </numRef>
          </cat>
          <val>
            <numRef>
              <f>'Overview'!$BB$26:$BK$26</f>
            </numRef>
          </val>
        </ser>
        <ser>
          <idx val="1"/>
          <order val="1"/>
          <tx>
            <strRef>
              <f>'Overview'!BA27</f>
            </strRef>
          </tx>
          <spPr>
            <a:ln xmlns:a="http://schemas.openxmlformats.org/drawingml/2006/main">
              <a:prstDash val="solid"/>
            </a:ln>
          </spPr>
          <cat>
            <numRef>
              <f>'Overview'!$BB$25:$BK$25</f>
            </numRef>
          </cat>
          <val>
            <numRef>
              <f>'Overview'!$BB$27:$BK$27</f>
            </numRef>
          </val>
        </ser>
        <ser>
          <idx val="2"/>
          <order val="2"/>
          <tx>
            <strRef>
              <f>'Overview'!BA28</f>
            </strRef>
          </tx>
          <spPr>
            <a:ln xmlns:a="http://schemas.openxmlformats.org/drawingml/2006/main">
              <a:prstDash val="solid"/>
            </a:ln>
          </spPr>
          <cat>
            <numRef>
              <f>'Overview'!$BB$25:$BK$25</f>
            </numRef>
          </cat>
          <val>
            <numRef>
              <f>'Overview'!$BB$28:$BK$28</f>
            </numRef>
          </val>
        </ser>
        <ser>
          <idx val="3"/>
          <order val="3"/>
          <tx>
            <strRef>
              <f>'Overview'!BA29</f>
            </strRef>
          </tx>
          <spPr>
            <a:ln xmlns:a="http://schemas.openxmlformats.org/drawingml/2006/main">
              <a:prstDash val="solid"/>
            </a:ln>
          </spPr>
          <cat>
            <numRef>
              <f>'Overview'!$BB$25:$BK$25</f>
            </numRef>
          </cat>
          <val>
            <numRef>
              <f>'Overview'!$BB$29:$BK$29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Jordan International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'Overview'!BN6</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'Overview'!$BO$6:$BX$6</f>
            </numRef>
          </val>
          <smooth val="0"/>
        </ser>
        <ser>
          <idx val="1"/>
          <order val="1"/>
          <tx>
            <strRef>
              <f>'Overview'!BN7</f>
            </strRef>
          </tx>
          <spPr>
            <a:ln xmlns:a="http://schemas.openxmlformats.org/drawingml/2006/main">
              <a:prstDash val="solid"/>
            </a:ln>
          </spPr>
          <marker>
            <symbol val="none"/>
            <spPr>
              <a:ln xmlns:a="http://schemas.openxmlformats.org/drawingml/2006/main">
                <a:prstDash val="solid"/>
              </a:ln>
            </spPr>
          </marker>
          <cat>
            <numRef>
              <f>'Overview'!$BO$5:$BX$5</f>
            </numRef>
          </cat>
          <val>
            <numRef>
              <f>'Overview'!$BO$7:$BX$7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38</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82</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104</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126</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X36"/>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s>
  <sheetData>
    <row r="1">
      <c r="A1" s="1" t="inlineStr">
        <is>
          <t>Jordan International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O5" t="inlineStr">
        <is>
          <t>FY2016</t>
        </is>
      </c>
      <c r="P5" t="inlineStr">
        <is>
          <t>FY2017</t>
        </is>
      </c>
      <c r="Q5" t="inlineStr">
        <is>
          <t>FY2018</t>
        </is>
      </c>
      <c r="R5" t="inlineStr">
        <is>
          <t>FY2019</t>
        </is>
      </c>
      <c r="S5" t="inlineStr">
        <is>
          <t>FY2020</t>
        </is>
      </c>
      <c r="T5" t="inlineStr">
        <is>
          <t>FY2021</t>
        </is>
      </c>
      <c r="U5" t="inlineStr">
        <is>
          <t>FY2022</t>
        </is>
      </c>
      <c r="V5" t="inlineStr">
        <is>
          <t>FY2023</t>
        </is>
      </c>
      <c r="W5" t="inlineStr">
        <is>
          <t>FY2024</t>
        </is>
      </c>
      <c r="X5" t="inlineStr">
        <is>
          <t>FY2025</t>
        </is>
      </c>
      <c r="BO5" t="inlineStr">
        <is>
          <t>FY2016</t>
        </is>
      </c>
      <c r="BP5" t="inlineStr">
        <is>
          <t>FY2017</t>
        </is>
      </c>
      <c r="BQ5" t="inlineStr">
        <is>
          <t>FY2018</t>
        </is>
      </c>
      <c r="BR5" t="inlineStr">
        <is>
          <t>FY2019</t>
        </is>
      </c>
      <c r="BS5" t="inlineStr">
        <is>
          <t>FY2020</t>
        </is>
      </c>
      <c r="BT5" t="inlineStr">
        <is>
          <t>FY2021</t>
        </is>
      </c>
      <c r="BU5" t="inlineStr">
        <is>
          <t>FY2022</t>
        </is>
      </c>
      <c r="BV5" t="inlineStr">
        <is>
          <t>FY2023</t>
        </is>
      </c>
      <c r="BW5" t="inlineStr">
        <is>
          <t>FY2024</t>
        </is>
      </c>
      <c r="BX5" t="inlineStr">
        <is>
          <t>FY2025</t>
        </is>
      </c>
    </row>
    <row r="6">
      <c r="A6" s="5" t="inlineStr">
        <is>
          <t>Total assets</t>
        </is>
      </c>
      <c r="B6" s="5" t="n">
        <v>444633</v>
      </c>
      <c r="C6" s="5" t="n">
        <v>484970</v>
      </c>
      <c r="D6" s="5" t="n">
        <v>446609</v>
      </c>
      <c r="E6" s="5" t="n">
        <v>429969</v>
      </c>
      <c r="F6" s="5" t="n">
        <v>384254</v>
      </c>
      <c r="G6" s="5" t="n">
        <v>371629</v>
      </c>
      <c r="H6" s="5" t="n">
        <v>383726</v>
      </c>
      <c r="I6" s="5" t="n">
        <v>387205</v>
      </c>
      <c r="J6" s="5" t="n">
        <v>393107</v>
      </c>
      <c r="K6" s="5" t="n">
        <v>410772</v>
      </c>
      <c r="N6" t="inlineStr">
        <is>
          <t>Total assets</t>
        </is>
      </c>
      <c r="O6" t="n">
        <v>410772</v>
      </c>
      <c r="P6" t="n">
        <v>393107</v>
      </c>
      <c r="Q6" t="n">
        <v>387205</v>
      </c>
      <c r="R6" t="n">
        <v>383726</v>
      </c>
      <c r="S6" t="n">
        <v>371629</v>
      </c>
      <c r="T6" t="n">
        <v>384254</v>
      </c>
      <c r="U6" t="n">
        <v>429969</v>
      </c>
      <c r="V6" t="n">
        <v>446609</v>
      </c>
      <c r="W6" t="n">
        <v>484970</v>
      </c>
      <c r="X6" t="n">
        <v>444633</v>
      </c>
      <c r="BN6" t="inlineStr">
        <is>
          <t>CET1 ratio (%)</t>
        </is>
      </c>
      <c r="BO6" t="n">
        <v>20.44</v>
      </c>
      <c r="BP6" t="n">
        <v>21.15</v>
      </c>
      <c r="BQ6" t="n">
        <v>22.05</v>
      </c>
      <c r="BR6" t="n">
        <v>22.35</v>
      </c>
      <c r="BS6" t="n">
        <v>22.7</v>
      </c>
      <c r="BT6" t="n">
        <v>22.9</v>
      </c>
      <c r="BU6" t="n">
        <v>19.3</v>
      </c>
      <c r="BV6" t="n">
        <v>19.8</v>
      </c>
      <c r="BW6" t="n">
        <v>19.9</v>
      </c>
    </row>
    <row r="7">
      <c r="A7" s="5" t="inlineStr">
        <is>
          <t>Loans and advances to customers</t>
        </is>
      </c>
      <c r="B7" s="5" t="n">
        <v>224760</v>
      </c>
      <c r="C7" s="5" t="n">
        <v>282222</v>
      </c>
      <c r="D7" s="5" t="n">
        <v>288383</v>
      </c>
      <c r="E7" s="5" t="n">
        <v>233986</v>
      </c>
      <c r="F7" s="5" t="n">
        <v>201093</v>
      </c>
      <c r="G7" s="5" t="n">
        <v>180402</v>
      </c>
      <c r="H7" s="5" t="n">
        <v>152660</v>
      </c>
      <c r="I7" s="5" t="n">
        <v>168221</v>
      </c>
      <c r="J7" s="5" t="n">
        <v>157923</v>
      </c>
      <c r="K7" s="5" t="n">
        <v>162860</v>
      </c>
      <c r="N7" t="inlineStr">
        <is>
          <t>Loans and advances to customers</t>
        </is>
      </c>
      <c r="O7" t="n">
        <v>162860</v>
      </c>
      <c r="P7" t="n">
        <v>157923</v>
      </c>
      <c r="Q7" t="n">
        <v>168221</v>
      </c>
      <c r="R7" t="n">
        <v>152660</v>
      </c>
      <c r="S7" t="n">
        <v>180402</v>
      </c>
      <c r="T7" t="n">
        <v>201093</v>
      </c>
      <c r="U7" t="n">
        <v>233986</v>
      </c>
      <c r="V7" t="n">
        <v>288383</v>
      </c>
      <c r="W7" t="n">
        <v>282222</v>
      </c>
      <c r="X7" t="n">
        <v>224760</v>
      </c>
      <c r="BN7" t="inlineStr">
        <is>
          <t>LCR (%)</t>
        </is>
      </c>
      <c r="BO7" t="n">
        <v>660</v>
      </c>
      <c r="BP7" t="n">
        <v>525.38</v>
      </c>
      <c r="BQ7" t="n">
        <v>223.56</v>
      </c>
      <c r="BR7" t="n">
        <v>373.86</v>
      </c>
      <c r="BS7" t="n">
        <v>509</v>
      </c>
      <c r="BT7" t="n">
        <v>428</v>
      </c>
      <c r="BU7" t="n">
        <v>330</v>
      </c>
      <c r="BV7" t="n">
        <v>343</v>
      </c>
      <c r="BW7" t="n">
        <v>490</v>
      </c>
    </row>
    <row r="8">
      <c r="A8" s="5" t="inlineStr">
        <is>
          <t>Customer accounts</t>
        </is>
      </c>
      <c r="B8" s="5" t="n">
        <v>169530</v>
      </c>
      <c r="C8" s="5" t="n">
        <v>211430</v>
      </c>
      <c r="D8" s="5" t="n">
        <v>176886</v>
      </c>
      <c r="E8" s="5" t="n">
        <v>167312</v>
      </c>
      <c r="F8" s="5" t="n">
        <v>110410</v>
      </c>
      <c r="G8" s="5" t="n">
        <v>111598</v>
      </c>
      <c r="H8" s="5" t="n">
        <v>107367</v>
      </c>
      <c r="I8" s="5" t="n">
        <v>99516</v>
      </c>
      <c r="J8" s="5" t="n">
        <v>73435</v>
      </c>
      <c r="K8" s="5" t="n">
        <v>86186</v>
      </c>
      <c r="N8" t="inlineStr">
        <is>
          <t>Customer accounts</t>
        </is>
      </c>
      <c r="O8" t="n">
        <v>86186</v>
      </c>
      <c r="P8" t="n">
        <v>73435</v>
      </c>
      <c r="Q8" t="n">
        <v>99516</v>
      </c>
      <c r="R8" t="n">
        <v>107367</v>
      </c>
      <c r="S8" t="n">
        <v>111598</v>
      </c>
      <c r="T8" t="n">
        <v>110410</v>
      </c>
      <c r="U8" t="n">
        <v>167312</v>
      </c>
      <c r="V8" t="n">
        <v>176886</v>
      </c>
      <c r="W8" t="n">
        <v>211430</v>
      </c>
      <c r="X8" t="n">
        <v>169530</v>
      </c>
    </row>
    <row r="9">
      <c r="A9" s="5" t="inlineStr">
        <is>
          <t>Shareholders' Funds</t>
        </is>
      </c>
      <c r="B9" s="5" t="n">
        <v>95728</v>
      </c>
      <c r="C9" s="5" t="n">
        <v>93921</v>
      </c>
      <c r="D9" s="5" t="n">
        <v>88961</v>
      </c>
      <c r="E9" s="5" t="n">
        <v>83789</v>
      </c>
      <c r="F9" s="5" t="n">
        <v>93319</v>
      </c>
      <c r="G9" s="5" t="n">
        <v>91392</v>
      </c>
      <c r="H9" s="5" t="n">
        <v>89005</v>
      </c>
      <c r="I9" s="5" t="n">
        <v>84570</v>
      </c>
      <c r="J9" s="5" t="n">
        <v>83148</v>
      </c>
      <c r="K9" s="5" t="n">
        <v>80115</v>
      </c>
      <c r="N9" t="inlineStr">
        <is>
          <t>Shareholders' Funds</t>
        </is>
      </c>
      <c r="O9" t="n">
        <v>80115</v>
      </c>
      <c r="P9" t="n">
        <v>83148</v>
      </c>
      <c r="Q9" t="n">
        <v>84570</v>
      </c>
      <c r="R9" t="n">
        <v>89005</v>
      </c>
      <c r="S9" t="n">
        <v>91392</v>
      </c>
      <c r="T9" t="n">
        <v>93319</v>
      </c>
      <c r="U9" t="n">
        <v>83789</v>
      </c>
      <c r="V9" t="n">
        <v>88961</v>
      </c>
      <c r="W9" t="n">
        <v>93921</v>
      </c>
      <c r="X9" t="n">
        <v>95728</v>
      </c>
    </row>
    <row r="11">
      <c r="A11" s="3" t="inlineStr">
        <is>
          <t>Profit &amp; Loss Summary (£'000)</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AB12" t="inlineStr">
        <is>
          <t>FY2016</t>
        </is>
      </c>
      <c r="AC12" t="inlineStr">
        <is>
          <t>FY2017</t>
        </is>
      </c>
      <c r="AD12" t="inlineStr">
        <is>
          <t>FY2018</t>
        </is>
      </c>
      <c r="AE12" t="inlineStr">
        <is>
          <t>FY2019</t>
        </is>
      </c>
      <c r="AF12" t="inlineStr">
        <is>
          <t>FY2020</t>
        </is>
      </c>
      <c r="AG12" t="inlineStr">
        <is>
          <t>FY2021</t>
        </is>
      </c>
      <c r="AH12" t="inlineStr">
        <is>
          <t>FY2022</t>
        </is>
      </c>
      <c r="AI12" t="inlineStr">
        <is>
          <t>FY2023</t>
        </is>
      </c>
      <c r="AJ12" t="inlineStr">
        <is>
          <t>FY2024</t>
        </is>
      </c>
      <c r="AK12" t="inlineStr">
        <is>
          <t>FY2025</t>
        </is>
      </c>
    </row>
    <row r="13">
      <c r="A13" s="5" t="inlineStr">
        <is>
          <t>Total operating income</t>
        </is>
      </c>
      <c r="B13" s="5" t="n">
        <v>18670</v>
      </c>
      <c r="C13" s="5" t="n">
        <v>21179</v>
      </c>
      <c r="D13" s="5" t="n">
        <v>20197</v>
      </c>
      <c r="E13" s="5" t="n">
        <v>16109</v>
      </c>
      <c r="F13" s="5" t="n">
        <v>13701</v>
      </c>
      <c r="G13" s="5" t="n">
        <v>12068</v>
      </c>
      <c r="H13" s="5" t="n">
        <v>11759</v>
      </c>
      <c r="I13" s="5" t="n">
        <v>12569</v>
      </c>
      <c r="J13" s="5" t="n">
        <v>11699</v>
      </c>
      <c r="K13" s="5" t="n">
        <v>13351</v>
      </c>
      <c r="AA13" t="inlineStr">
        <is>
          <t>Total operating income</t>
        </is>
      </c>
      <c r="AB13" t="n">
        <v>13351</v>
      </c>
      <c r="AC13" t="n">
        <v>11699</v>
      </c>
      <c r="AD13" t="n">
        <v>12569</v>
      </c>
      <c r="AE13" t="n">
        <v>11759</v>
      </c>
      <c r="AF13" t="n">
        <v>12068</v>
      </c>
      <c r="AG13" t="n">
        <v>13701</v>
      </c>
      <c r="AH13" t="n">
        <v>16109</v>
      </c>
      <c r="AI13" t="n">
        <v>20197</v>
      </c>
      <c r="AJ13" t="n">
        <v>21179</v>
      </c>
      <c r="AK13" t="n">
        <v>18670</v>
      </c>
    </row>
    <row r="14">
      <c r="A14" s="5" t="inlineStr">
        <is>
          <t>Total operating expense</t>
        </is>
      </c>
      <c r="B14" s="5" t="n">
        <v>-17295</v>
      </c>
      <c r="C14" s="5" t="n">
        <v>-14558</v>
      </c>
      <c r="D14" s="5" t="n">
        <v>-13747</v>
      </c>
      <c r="E14" s="5" t="n">
        <v>-11862</v>
      </c>
      <c r="F14" s="5" t="n">
        <v>-10984</v>
      </c>
      <c r="G14" s="5" t="n">
        <v>-10007</v>
      </c>
      <c r="H14" s="5" t="n">
        <v>-8700</v>
      </c>
      <c r="I14" s="5" t="n">
        <v>-8563</v>
      </c>
      <c r="J14" s="5" t="n">
        <v>-9804</v>
      </c>
      <c r="K14" s="5" t="n">
        <v>-7530</v>
      </c>
      <c r="AA14" t="inlineStr">
        <is>
          <t>Total operating expense</t>
        </is>
      </c>
      <c r="AB14" t="n">
        <v>-7530</v>
      </c>
      <c r="AC14" t="n">
        <v>-9804</v>
      </c>
      <c r="AD14" t="n">
        <v>-8563</v>
      </c>
      <c r="AE14" t="n">
        <v>-8700</v>
      </c>
      <c r="AF14" t="n">
        <v>-10007</v>
      </c>
      <c r="AG14" t="n">
        <v>-10984</v>
      </c>
      <c r="AH14" t="n">
        <v>-11862</v>
      </c>
      <c r="AI14" t="n">
        <v>-13747</v>
      </c>
      <c r="AJ14" t="n">
        <v>-14558</v>
      </c>
      <c r="AK14" t="n">
        <v>-17295</v>
      </c>
    </row>
    <row r="15">
      <c r="A15" s="5" t="inlineStr">
        <is>
          <t>Profit for the financial year</t>
        </is>
      </c>
      <c r="B15" s="5" t="n">
        <v>1678</v>
      </c>
      <c r="C15" s="5" t="n">
        <v>4966</v>
      </c>
      <c r="D15" s="5" t="n">
        <v>4904</v>
      </c>
      <c r="E15" s="5" t="n">
        <v>3510</v>
      </c>
      <c r="F15" s="5" t="n">
        <v>2746</v>
      </c>
      <c r="G15" s="5" t="n">
        <v>1943</v>
      </c>
      <c r="H15" s="5" t="n">
        <v>2449</v>
      </c>
      <c r="I15" s="5" t="n">
        <v>3346</v>
      </c>
      <c r="J15" s="5" t="n">
        <v>1460</v>
      </c>
      <c r="K15" s="5" t="n">
        <v>4418</v>
      </c>
      <c r="AA15" t="inlineStr">
        <is>
          <t>Profit for the financial year</t>
        </is>
      </c>
      <c r="AB15" t="n">
        <v>4418</v>
      </c>
      <c r="AC15" t="n">
        <v>1460</v>
      </c>
      <c r="AD15" t="n">
        <v>3346</v>
      </c>
      <c r="AE15" t="n">
        <v>2449</v>
      </c>
      <c r="AF15" t="n">
        <v>1943</v>
      </c>
      <c r="AG15" t="n">
        <v>2746</v>
      </c>
      <c r="AH15" t="n">
        <v>3510</v>
      </c>
      <c r="AI15" t="n">
        <v>4904</v>
      </c>
      <c r="AJ15" t="n">
        <v>4966</v>
      </c>
      <c r="AK15" t="n">
        <v>1678</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AO18" t="inlineStr">
        <is>
          <t>FY2016</t>
        </is>
      </c>
      <c r="AP18" t="inlineStr">
        <is>
          <t>FY2017</t>
        </is>
      </c>
      <c r="AQ18" t="inlineStr">
        <is>
          <t>FY2018</t>
        </is>
      </c>
      <c r="AR18" t="inlineStr">
        <is>
          <t>FY2019</t>
        </is>
      </c>
      <c r="AS18" t="inlineStr">
        <is>
          <t>FY2020</t>
        </is>
      </c>
      <c r="AT18" t="inlineStr">
        <is>
          <t>FY2021</t>
        </is>
      </c>
      <c r="AU18" t="inlineStr">
        <is>
          <t>FY2022</t>
        </is>
      </c>
      <c r="AV18" t="inlineStr">
        <is>
          <t>FY2023</t>
        </is>
      </c>
      <c r="AW18" t="inlineStr">
        <is>
          <t>FY2024</t>
        </is>
      </c>
      <c r="AX18" t="inlineStr">
        <is>
          <t>FY2025</t>
        </is>
      </c>
    </row>
    <row r="19">
      <c r="A19" s="5" t="inlineStr">
        <is>
          <t>Opening equity</t>
        </is>
      </c>
      <c r="B19" s="5" t="n">
        <v>93921</v>
      </c>
      <c r="C19" s="5" t="n">
        <v>88961</v>
      </c>
      <c r="D19" s="5" t="n">
        <v>83789</v>
      </c>
      <c r="E19" s="5" t="n">
        <v>93319</v>
      </c>
      <c r="F19" s="5" t="n">
        <v>91392</v>
      </c>
      <c r="G19" s="5" t="n">
        <v>89005</v>
      </c>
      <c r="H19" s="5" t="n">
        <v>84570</v>
      </c>
      <c r="I19" s="5" t="n">
        <v>83148</v>
      </c>
      <c r="J19" s="5" t="n">
        <v>80115</v>
      </c>
      <c r="K19" s="5" t="n">
        <v>74901</v>
      </c>
      <c r="AN19" t="inlineStr">
        <is>
          <t>Opening equity</t>
        </is>
      </c>
      <c r="AO19" t="n">
        <v>74901</v>
      </c>
      <c r="AP19" t="n">
        <v>80115</v>
      </c>
      <c r="AQ19" t="n">
        <v>83148</v>
      </c>
      <c r="AR19" t="n">
        <v>84570</v>
      </c>
      <c r="AS19" t="n">
        <v>89005</v>
      </c>
      <c r="AT19" t="n">
        <v>91392</v>
      </c>
      <c r="AU19" t="n">
        <v>93319</v>
      </c>
      <c r="AV19" t="n">
        <v>83789</v>
      </c>
      <c r="AW19" t="n">
        <v>88961</v>
      </c>
      <c r="AX19" t="n">
        <v>93921</v>
      </c>
    </row>
    <row r="20">
      <c r="A20" s="5" t="inlineStr">
        <is>
          <t>Total comprehensive income/(loss) for the year</t>
        </is>
      </c>
      <c r="B20" s="5" t="n">
        <v>1807</v>
      </c>
      <c r="C20" s="5" t="n">
        <v>4960</v>
      </c>
      <c r="D20" s="5" t="n">
        <v>5172</v>
      </c>
      <c r="E20" s="5" t="n">
        <v>2470</v>
      </c>
      <c r="F20" s="5" t="n">
        <v>1927</v>
      </c>
      <c r="G20" s="5" t="n">
        <v>2387</v>
      </c>
      <c r="H20" s="5" t="n">
        <v>4435</v>
      </c>
      <c r="I20" s="5" t="n">
        <v>1752</v>
      </c>
      <c r="J20" s="5" t="n">
        <v>3033</v>
      </c>
      <c r="K20" s="5" t="n">
        <v>5214</v>
      </c>
      <c r="AN20" t="inlineStr">
        <is>
          <t>Total comprehensive income/(loss) for the year</t>
        </is>
      </c>
      <c r="AO20" t="n">
        <v>5214</v>
      </c>
      <c r="AP20" t="n">
        <v>3033</v>
      </c>
      <c r="AQ20" t="n">
        <v>1752</v>
      </c>
      <c r="AR20" t="n">
        <v>4435</v>
      </c>
      <c r="AS20" t="n">
        <v>2387</v>
      </c>
      <c r="AT20" t="n">
        <v>1927</v>
      </c>
      <c r="AU20" t="n">
        <v>2470</v>
      </c>
      <c r="AV20" t="n">
        <v>5172</v>
      </c>
      <c r="AW20" t="n">
        <v>4960</v>
      </c>
      <c r="AX20" t="n">
        <v>1807</v>
      </c>
    </row>
    <row r="21">
      <c r="A21" s="5" t="inlineStr">
        <is>
          <t>Other equity movements, net</t>
        </is>
      </c>
      <c r="B21" s="5" t="n">
        <v>0</v>
      </c>
      <c r="C21" s="5" t="n">
        <v>0</v>
      </c>
      <c r="D21" s="5" t="n">
        <v>0</v>
      </c>
      <c r="E21" s="5" t="n">
        <v>-12000</v>
      </c>
      <c r="F21" s="5" t="n">
        <v>0</v>
      </c>
      <c r="G21" s="5" t="n">
        <v>0</v>
      </c>
      <c r="H21" s="5" t="n">
        <v>0</v>
      </c>
      <c r="I21" s="5" t="n">
        <v>-330</v>
      </c>
      <c r="J21" s="5" t="n">
        <v>0</v>
      </c>
      <c r="K21" s="5" t="n">
        <v>0</v>
      </c>
      <c r="AN21" t="inlineStr">
        <is>
          <t>Other equity movements, net</t>
        </is>
      </c>
      <c r="AO21" t="n">
        <v>0</v>
      </c>
      <c r="AP21" t="n">
        <v>0</v>
      </c>
      <c r="AQ21" t="n">
        <v>-330</v>
      </c>
      <c r="AR21" t="n">
        <v>0</v>
      </c>
      <c r="AS21" t="n">
        <v>0</v>
      </c>
      <c r="AT21" t="n">
        <v>0</v>
      </c>
      <c r="AU21" t="n">
        <v>-12000</v>
      </c>
      <c r="AV21" t="n">
        <v>0</v>
      </c>
      <c r="AW21" t="n">
        <v>0</v>
      </c>
      <c r="AX21" t="n">
        <v>0</v>
      </c>
    </row>
    <row r="22">
      <c r="A22" s="5" t="inlineStr">
        <is>
          <t>Closing equity</t>
        </is>
      </c>
      <c r="B22" s="5" t="n">
        <v>95728</v>
      </c>
      <c r="C22" s="5" t="n">
        <v>93921</v>
      </c>
      <c r="D22" s="5" t="n">
        <v>88961</v>
      </c>
      <c r="E22" s="5" t="n">
        <v>83789</v>
      </c>
      <c r="F22" s="5" t="n">
        <v>93319</v>
      </c>
      <c r="G22" s="5" t="n">
        <v>91392</v>
      </c>
      <c r="H22" s="5" t="n">
        <v>89005</v>
      </c>
      <c r="I22" s="5" t="n">
        <v>84570</v>
      </c>
      <c r="J22" s="5" t="n">
        <v>83148</v>
      </c>
      <c r="K22" s="5" t="n">
        <v>80115</v>
      </c>
      <c r="AN22" t="inlineStr">
        <is>
          <t>Closing equity</t>
        </is>
      </c>
      <c r="AO22" t="n">
        <v>80115</v>
      </c>
      <c r="AP22" t="n">
        <v>83148</v>
      </c>
      <c r="AQ22" t="n">
        <v>84570</v>
      </c>
      <c r="AR22" t="n">
        <v>89005</v>
      </c>
      <c r="AS22" t="n">
        <v>91392</v>
      </c>
      <c r="AT22" t="n">
        <v>93319</v>
      </c>
      <c r="AU22" t="n">
        <v>83789</v>
      </c>
      <c r="AV22" t="n">
        <v>88961</v>
      </c>
      <c r="AW22" t="n">
        <v>93921</v>
      </c>
      <c r="AX22" t="n">
        <v>95728</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BB25" t="inlineStr">
        <is>
          <t>FY2016</t>
        </is>
      </c>
      <c r="BC25" t="inlineStr">
        <is>
          <t>FY2017</t>
        </is>
      </c>
      <c r="BD25" t="inlineStr">
        <is>
          <t>FY2018</t>
        </is>
      </c>
      <c r="BE25" t="inlineStr">
        <is>
          <t>FY2019</t>
        </is>
      </c>
      <c r="BF25" t="inlineStr">
        <is>
          <t>FY2020</t>
        </is>
      </c>
      <c r="BG25" t="inlineStr">
        <is>
          <t>FY2021</t>
        </is>
      </c>
      <c r="BH25" t="inlineStr">
        <is>
          <t>FY2022</t>
        </is>
      </c>
      <c r="BI25" t="inlineStr">
        <is>
          <t>FY2023</t>
        </is>
      </c>
      <c r="BJ25" t="inlineStr">
        <is>
          <t>FY2024</t>
        </is>
      </c>
      <c r="BK25" t="inlineStr">
        <is>
          <t>FY2025</t>
        </is>
      </c>
    </row>
    <row r="26">
      <c r="A26" s="5" t="inlineStr">
        <is>
          <t>Net cash from/(used in) operating activities</t>
        </is>
      </c>
      <c r="B26" s="5" t="n">
        <v>-8564</v>
      </c>
      <c r="C26" s="5" t="n">
        <v>32529</v>
      </c>
      <c r="D26" s="5" t="n">
        <v>-15204</v>
      </c>
      <c r="E26" s="5" t="n">
        <v>7948</v>
      </c>
      <c r="F26" s="5" t="n">
        <v>-11006</v>
      </c>
      <c r="G26" s="5" t="n">
        <v>-35856</v>
      </c>
      <c r="H26" s="5" t="n">
        <v>6906</v>
      </c>
      <c r="I26" s="5" t="n">
        <v>-60350</v>
      </c>
      <c r="J26" s="5" t="n">
        <v>-26140</v>
      </c>
      <c r="K26" s="5" t="n">
        <v>17609</v>
      </c>
      <c r="BA26" t="inlineStr">
        <is>
          <t>Net cash from/(used in) operating activities</t>
        </is>
      </c>
      <c r="BB26" t="n">
        <v>17609</v>
      </c>
      <c r="BC26" t="n">
        <v>-26140</v>
      </c>
      <c r="BD26" t="n">
        <v>-60350</v>
      </c>
      <c r="BE26" t="n">
        <v>6906</v>
      </c>
      <c r="BF26" t="n">
        <v>-35856</v>
      </c>
      <c r="BG26" t="n">
        <v>-11006</v>
      </c>
      <c r="BH26" t="n">
        <v>7948</v>
      </c>
      <c r="BI26" t="n">
        <v>-15204</v>
      </c>
      <c r="BJ26" t="n">
        <v>32529</v>
      </c>
      <c r="BK26" t="n">
        <v>-8564</v>
      </c>
    </row>
    <row r="27">
      <c r="A27" s="5" t="inlineStr">
        <is>
          <t>Net cash from/(used in) investing activities</t>
        </is>
      </c>
      <c r="B27" s="5" t="n">
        <v>-5089</v>
      </c>
      <c r="C27" s="5" t="n">
        <v>-24486</v>
      </c>
      <c r="D27" s="5" t="n">
        <v>20161</v>
      </c>
      <c r="E27" s="5" t="n">
        <v>21263</v>
      </c>
      <c r="F27" s="5" t="n">
        <v>3916</v>
      </c>
      <c r="G27" s="5" t="n">
        <v>9121</v>
      </c>
      <c r="H27" s="5" t="n">
        <v>5875</v>
      </c>
      <c r="I27" s="5" t="n">
        <v>-1646</v>
      </c>
      <c r="J27" s="5" t="n">
        <v>16106</v>
      </c>
      <c r="K27" s="5" t="n">
        <v>26037</v>
      </c>
      <c r="BA27" t="inlineStr">
        <is>
          <t>Net cash from/(used in) investing activities</t>
        </is>
      </c>
      <c r="BB27" t="n">
        <v>26037</v>
      </c>
      <c r="BC27" t="n">
        <v>16106</v>
      </c>
      <c r="BD27" t="n">
        <v>-1646</v>
      </c>
      <c r="BE27" t="n">
        <v>5875</v>
      </c>
      <c r="BF27" t="n">
        <v>9121</v>
      </c>
      <c r="BG27" t="n">
        <v>3916</v>
      </c>
      <c r="BH27" t="n">
        <v>21263</v>
      </c>
      <c r="BI27" t="n">
        <v>20161</v>
      </c>
      <c r="BJ27" t="n">
        <v>-24486</v>
      </c>
      <c r="BK27" t="n">
        <v>-5089</v>
      </c>
    </row>
    <row r="28">
      <c r="A28" s="5" t="inlineStr">
        <is>
          <t>Net cash from/(used in) financing activities</t>
        </is>
      </c>
      <c r="B28" s="5" t="n">
        <v>0</v>
      </c>
      <c r="C28" s="5" t="n">
        <v>0</v>
      </c>
      <c r="D28" s="5" t="n">
        <v>0</v>
      </c>
      <c r="E28" s="5" t="n">
        <v>-12000</v>
      </c>
      <c r="F28" s="5" t="n">
        <v>0</v>
      </c>
      <c r="G28" s="5" t="n">
        <v>0</v>
      </c>
      <c r="H28" s="5" t="n">
        <v>0</v>
      </c>
      <c r="I28" s="5" t="n">
        <v>7428</v>
      </c>
      <c r="J28" s="5" t="n">
        <v>0</v>
      </c>
      <c r="K28" s="5" t="n">
        <v>0</v>
      </c>
      <c r="BA28" t="inlineStr">
        <is>
          <t>Net cash from/(used in) financing activities</t>
        </is>
      </c>
      <c r="BB28" t="n">
        <v>0</v>
      </c>
      <c r="BC28" t="n">
        <v>0</v>
      </c>
      <c r="BD28" t="n">
        <v>7428</v>
      </c>
      <c r="BE28" t="n">
        <v>0</v>
      </c>
      <c r="BF28" t="n">
        <v>0</v>
      </c>
      <c r="BG28" t="n">
        <v>0</v>
      </c>
      <c r="BH28" t="n">
        <v>-12000</v>
      </c>
      <c r="BI28" t="n">
        <v>0</v>
      </c>
      <c r="BJ28" t="n">
        <v>0</v>
      </c>
      <c r="BK28" t="n">
        <v>0</v>
      </c>
    </row>
    <row r="29">
      <c r="A29" s="5" t="inlineStr">
        <is>
          <t>Cash and cash equivalents at end of year</t>
        </is>
      </c>
      <c r="B29" s="5" t="n">
        <v>64016</v>
      </c>
      <c r="C29" s="5" t="n">
        <v>74046</v>
      </c>
      <c r="D29" s="5" t="n">
        <v>66003</v>
      </c>
      <c r="E29" s="5" t="n">
        <v>77136</v>
      </c>
      <c r="F29" s="5" t="n">
        <v>59925</v>
      </c>
      <c r="G29" s="5" t="n">
        <v>67015</v>
      </c>
      <c r="H29" s="5" t="n">
        <v>93750</v>
      </c>
      <c r="I29" s="5" t="n">
        <v>11057</v>
      </c>
      <c r="J29" s="5" t="n">
        <v>65625</v>
      </c>
      <c r="K29" s="5" t="n">
        <v>75659</v>
      </c>
      <c r="BA29" t="inlineStr">
        <is>
          <t>Cash and cash equivalents at end of year</t>
        </is>
      </c>
      <c r="BB29" t="n">
        <v>75659</v>
      </c>
      <c r="BC29" t="n">
        <v>65625</v>
      </c>
      <c r="BD29" t="n">
        <v>11057</v>
      </c>
      <c r="BE29" t="n">
        <v>93750</v>
      </c>
      <c r="BF29" t="n">
        <v>67015</v>
      </c>
      <c r="BG29" t="n">
        <v>59925</v>
      </c>
      <c r="BH29" t="n">
        <v>77136</v>
      </c>
      <c r="BI29" t="n">
        <v>66003</v>
      </c>
      <c r="BJ29" t="n">
        <v>74046</v>
      </c>
      <c r="BK29" t="n">
        <v>64016</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row>
    <row r="33">
      <c r="A33" s="6" t="inlineStr">
        <is>
          <t>CET1 ratio (%)</t>
        </is>
      </c>
      <c r="B33" s="6" t="n"/>
      <c r="C33" s="6" t="n">
        <v>19.9</v>
      </c>
      <c r="D33" s="6" t="n">
        <v>19.8</v>
      </c>
      <c r="E33" s="6" t="n">
        <v>19.3</v>
      </c>
      <c r="F33" s="6" t="n">
        <v>22.9</v>
      </c>
      <c r="G33" s="6" t="n">
        <v>22.7</v>
      </c>
      <c r="H33" s="6" t="n">
        <v>22.35</v>
      </c>
      <c r="I33" s="6" t="n">
        <v>22.05</v>
      </c>
      <c r="J33" s="6" t="n">
        <v>21.15</v>
      </c>
      <c r="K33" s="6" t="n">
        <v>20.44</v>
      </c>
    </row>
    <row r="34">
      <c r="A34" s="6" t="inlineStr">
        <is>
          <t>LCR (%)</t>
        </is>
      </c>
      <c r="B34" s="6" t="n"/>
      <c r="C34" s="6" t="n">
        <v>490</v>
      </c>
      <c r="D34" s="6" t="n">
        <v>343</v>
      </c>
      <c r="E34" s="6" t="n">
        <v>330</v>
      </c>
      <c r="F34" s="6" t="n">
        <v>428</v>
      </c>
      <c r="G34" s="6" t="n">
        <v>509</v>
      </c>
      <c r="H34" s="6" t="n">
        <v>373.86</v>
      </c>
      <c r="I34" s="6" t="n">
        <v>223.56</v>
      </c>
      <c r="J34" s="6" t="n">
        <v>525.38</v>
      </c>
      <c r="K34" s="6" t="n">
        <v>660</v>
      </c>
    </row>
    <row r="36" ht="52" customHeight="1">
      <c r="A36" s="7" t="inlineStr">
        <is>
          <t>Note: FY2025 Pillar 3 figures not yet published as of this session - see individual metric sheets. The FY2022-to-FY2023 cash bridge does not tie exactly (£16,090k gap) due to a genuine inconsistency between the Bank's own FY2022 and FY2023 Annual Reports, and the FY2018-to-FY2019 bridge does not tie exactly (£69,912k gap) for the same underlying reason one cycle earlier (a disclosed change in the Bank's own definition of cash and cash equivalents) - see the Cash Flow Statement sheet's source notes for full detail. This workbook now spans FY2016-FY2025 (10 years), extended back from the original FY2021-FY2025 window per this project's historical-depth effort (HD-026); FY2016-FY2017 predate the Bank's 1 January 2018 IFRS 9 adoption and use FRS 102's incurred-loss impairment model instead (see the Asset Quality sheet).</t>
        </is>
      </c>
    </row>
  </sheetData>
  <mergeCells count="1">
    <mergeCell ref="A36:K3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4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Balance Sheet</t>
        </is>
      </c>
    </row>
    <row r="2">
      <c r="A2" s="2" t="inlineStr">
        <is>
          <t>As at 31 December (£'000, GBP)</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Assets</t>
        </is>
      </c>
      <c r="B4" s="6" t="n"/>
      <c r="C4" s="6" t="n"/>
      <c r="D4" s="6" t="n"/>
      <c r="E4" s="6" t="n"/>
      <c r="F4" s="6" t="n"/>
      <c r="G4" s="6" t="n"/>
      <c r="H4" s="6" t="n"/>
      <c r="I4" s="6" t="n"/>
      <c r="J4" s="6" t="n"/>
      <c r="K4" s="6" t="n"/>
    </row>
    <row r="5">
      <c r="A5" s="6" t="inlineStr">
        <is>
          <t>Cash</t>
        </is>
      </c>
      <c r="B5" s="6" t="n">
        <v>71</v>
      </c>
      <c r="C5" s="6" t="n">
        <v>71</v>
      </c>
      <c r="D5" s="6" t="n">
        <v>53</v>
      </c>
      <c r="E5" s="6" t="n">
        <v>19</v>
      </c>
      <c r="F5" s="6" t="n">
        <v>132</v>
      </c>
      <c r="G5" s="6" t="n">
        <v>116</v>
      </c>
      <c r="H5" s="6" t="n">
        <v>69</v>
      </c>
      <c r="I5" s="6" t="n">
        <v>83</v>
      </c>
      <c r="J5" s="6" t="n">
        <v>106</v>
      </c>
      <c r="K5" s="6" t="n">
        <v>116</v>
      </c>
    </row>
    <row r="6">
      <c r="A6" s="6" t="inlineStr">
        <is>
          <t>Nostros</t>
        </is>
      </c>
      <c r="B6" s="6" t="n">
        <v>1920</v>
      </c>
      <c r="C6" s="6" t="n">
        <v>2229</v>
      </c>
      <c r="D6" s="6" t="n">
        <v>6495</v>
      </c>
      <c r="E6" s="6" t="n">
        <v>1094</v>
      </c>
      <c r="F6" s="6" t="n">
        <v>8531</v>
      </c>
      <c r="G6" s="6" t="n">
        <v>6049</v>
      </c>
      <c r="H6" s="6" t="n">
        <v>5347</v>
      </c>
      <c r="I6" s="6" t="n">
        <v>10104</v>
      </c>
      <c r="J6" s="6" t="n">
        <v>7560</v>
      </c>
      <c r="K6" s="6" t="n">
        <v>9416</v>
      </c>
    </row>
    <row r="7">
      <c r="A7" s="6" t="inlineStr">
        <is>
          <t>Loans and advances to shareholder banks</t>
        </is>
      </c>
      <c r="B7" s="6" t="n">
        <v>30164</v>
      </c>
      <c r="C7" s="6" t="n">
        <v>25200</v>
      </c>
      <c r="D7" s="6" t="n">
        <v>19587</v>
      </c>
      <c r="E7" s="6" t="n">
        <v>23214</v>
      </c>
      <c r="F7" s="6" t="n">
        <v>24957</v>
      </c>
      <c r="G7" s="6" t="n">
        <v>35099</v>
      </c>
      <c r="H7" s="6" t="n">
        <v>58803</v>
      </c>
      <c r="I7" s="6" t="n">
        <v>39954</v>
      </c>
      <c r="J7" s="6" t="n">
        <v>36129</v>
      </c>
      <c r="K7" s="6" t="n">
        <v>29264</v>
      </c>
    </row>
    <row r="8">
      <c r="A8" s="6" t="inlineStr">
        <is>
          <t>Loans and advances to other banks</t>
        </is>
      </c>
      <c r="B8" s="6" t="n">
        <v>52477</v>
      </c>
      <c r="C8" s="6" t="n">
        <v>59154</v>
      </c>
      <c r="D8" s="6" t="n">
        <v>44479</v>
      </c>
      <c r="E8" s="6" t="n">
        <v>65900</v>
      </c>
      <c r="F8" s="6" t="n">
        <v>36380</v>
      </c>
      <c r="G8" s="6" t="n">
        <v>34600</v>
      </c>
      <c r="H8" s="6" t="n">
        <v>39787</v>
      </c>
      <c r="I8" s="6" t="n">
        <v>36766</v>
      </c>
      <c r="J8" s="6" t="n">
        <v>47919</v>
      </c>
      <c r="K8" s="6" t="n">
        <v>41094</v>
      </c>
    </row>
    <row r="9">
      <c r="A9" s="6" t="inlineStr">
        <is>
          <t>Loans and advances to customers</t>
        </is>
      </c>
      <c r="B9" s="6" t="n">
        <v>224760</v>
      </c>
      <c r="C9" s="6" t="n">
        <v>282222</v>
      </c>
      <c r="D9" s="6" t="n">
        <v>288383</v>
      </c>
      <c r="E9" s="6" t="n">
        <v>233986</v>
      </c>
      <c r="F9" s="6" t="n">
        <v>201093</v>
      </c>
      <c r="G9" s="6" t="n">
        <v>180402</v>
      </c>
      <c r="H9" s="6" t="n">
        <v>152660</v>
      </c>
      <c r="I9" s="6" t="n">
        <v>168221</v>
      </c>
      <c r="J9" s="6" t="n">
        <v>157923</v>
      </c>
      <c r="K9" s="6" t="n">
        <v>162860</v>
      </c>
    </row>
    <row r="10">
      <c r="A10" s="6" t="inlineStr">
        <is>
          <t>Total debt securities</t>
        </is>
      </c>
      <c r="B10" s="6" t="n">
        <v>110877</v>
      </c>
      <c r="C10" s="6" t="n">
        <v>105602</v>
      </c>
      <c r="D10" s="6" t="n">
        <v>75603</v>
      </c>
      <c r="E10" s="6" t="n">
        <v>94004</v>
      </c>
      <c r="F10" s="6" t="n">
        <v>105371</v>
      </c>
      <c r="G10" s="6" t="n">
        <v>107999</v>
      </c>
      <c r="H10" s="6" t="n">
        <v>120917</v>
      </c>
      <c r="I10" s="6" t="n">
        <v>125371</v>
      </c>
      <c r="J10" s="6" t="n">
        <v>137846</v>
      </c>
      <c r="K10" s="6" t="n">
        <v>160356</v>
      </c>
    </row>
    <row r="11">
      <c r="A11" s="6" t="inlineStr">
        <is>
          <t>Debt securities - Government securities (amortised cost)</t>
        </is>
      </c>
      <c r="B11" s="6" t="n">
        <v>17176</v>
      </c>
      <c r="C11" s="6" t="n">
        <v>15682</v>
      </c>
      <c r="D11" s="6" t="n">
        <v>5945</v>
      </c>
      <c r="E11" s="6" t="n">
        <v>6284</v>
      </c>
      <c r="F11" s="6" t="n">
        <v>5607</v>
      </c>
      <c r="G11" s="6" t="n">
        <v>3652</v>
      </c>
      <c r="H11" s="6" t="n">
        <v>3768</v>
      </c>
      <c r="I11" s="6" t="n">
        <v>3904</v>
      </c>
      <c r="J11" s="6" t="n"/>
      <c r="K11" s="6" t="n"/>
    </row>
    <row r="12">
      <c r="A12" s="6" t="inlineStr">
        <is>
          <t>Debt securities - Government securities (FVOCI)</t>
        </is>
      </c>
      <c r="B12" s="6" t="n">
        <v>59472</v>
      </c>
      <c r="C12" s="6" t="n">
        <v>65295</v>
      </c>
      <c r="D12" s="6" t="n">
        <v>58657</v>
      </c>
      <c r="E12" s="6" t="n">
        <v>62463</v>
      </c>
      <c r="F12" s="6" t="n">
        <v>63974</v>
      </c>
      <c r="G12" s="6" t="n">
        <v>67105</v>
      </c>
      <c r="H12" s="6" t="n">
        <v>77745</v>
      </c>
      <c r="I12" s="6" t="n">
        <v>84035</v>
      </c>
      <c r="J12" s="6" t="n"/>
      <c r="K12" s="6" t="n"/>
    </row>
    <row r="13">
      <c r="A13" s="6" t="inlineStr">
        <is>
          <t>Debt securities - Government securities (expected credit losses)</t>
        </is>
      </c>
      <c r="B13" s="6" t="n">
        <v>-336</v>
      </c>
      <c r="C13" s="6" t="n">
        <v>-458</v>
      </c>
      <c r="D13" s="6" t="n">
        <v>-419</v>
      </c>
      <c r="E13" s="6" t="n">
        <v>-582</v>
      </c>
      <c r="F13" s="6" t="n">
        <v>-454</v>
      </c>
      <c r="G13" s="6" t="n">
        <v>-592</v>
      </c>
      <c r="H13" s="6" t="n">
        <v>-337</v>
      </c>
      <c r="I13" s="6" t="n">
        <v>-355</v>
      </c>
      <c r="J13" s="6" t="n"/>
      <c r="K13" s="6" t="n"/>
    </row>
    <row r="14">
      <c r="A14" s="6" t="inlineStr">
        <is>
          <t>Debt securities - Other debt securities (amortised cost)</t>
        </is>
      </c>
      <c r="B14" s="6" t="n">
        <v>31322</v>
      </c>
      <c r="C14" s="6" t="n">
        <v>21477</v>
      </c>
      <c r="D14" s="6" t="n">
        <v>9912</v>
      </c>
      <c r="E14" s="6" t="n">
        <v>19267</v>
      </c>
      <c r="F14" s="6" t="n">
        <v>19518</v>
      </c>
      <c r="G14" s="6" t="n">
        <v>22032</v>
      </c>
      <c r="H14" s="6" t="n">
        <v>17190</v>
      </c>
      <c r="I14" s="6" t="n">
        <v>4780</v>
      </c>
      <c r="J14" s="6" t="n"/>
      <c r="K14" s="6" t="n"/>
    </row>
    <row r="15">
      <c r="A15" s="6" t="inlineStr">
        <is>
          <t>Debt securities - Other debt securities (FVOCI)</t>
        </is>
      </c>
      <c r="B15" s="6" t="n">
        <v>3401</v>
      </c>
      <c r="C15" s="6" t="n">
        <v>3631</v>
      </c>
      <c r="D15" s="6" t="n">
        <v>1527</v>
      </c>
      <c r="E15" s="6" t="n">
        <v>6607</v>
      </c>
      <c r="F15" s="6" t="n">
        <v>16749</v>
      </c>
      <c r="G15" s="6" t="n">
        <v>15826</v>
      </c>
      <c r="H15" s="6" t="n">
        <v>22573</v>
      </c>
      <c r="I15" s="6" t="n">
        <v>33033</v>
      </c>
      <c r="J15" s="6" t="n"/>
      <c r="K15" s="6" t="n"/>
    </row>
    <row r="16">
      <c r="A16" s="6" t="inlineStr">
        <is>
          <t>Debt securities - Other debt securities (expected credit losses)</t>
        </is>
      </c>
      <c r="B16" s="6" t="n">
        <v>-158</v>
      </c>
      <c r="C16" s="6" t="n">
        <v>-25</v>
      </c>
      <c r="D16" s="6" t="n">
        <v>-19</v>
      </c>
      <c r="E16" s="6" t="n">
        <v>-35</v>
      </c>
      <c r="F16" s="6" t="n">
        <v>-23</v>
      </c>
      <c r="G16" s="6" t="n">
        <v>-24</v>
      </c>
      <c r="H16" s="6" t="n">
        <v>-22</v>
      </c>
      <c r="I16" s="6" t="n">
        <v>-26</v>
      </c>
      <c r="J16" s="6" t="n"/>
      <c r="K16" s="6" t="n"/>
    </row>
    <row r="17">
      <c r="A17" s="6" t="inlineStr">
        <is>
          <t>Debt securities - Government securities (held to maturity)</t>
        </is>
      </c>
      <c r="B17" s="6" t="n"/>
      <c r="C17" s="6" t="n"/>
      <c r="D17" s="6" t="n"/>
      <c r="E17" s="6" t="n"/>
      <c r="F17" s="6" t="n"/>
      <c r="G17" s="6" t="n"/>
      <c r="H17" s="6" t="n"/>
      <c r="I17" s="6" t="n"/>
      <c r="J17" s="6" t="n">
        <v>2968</v>
      </c>
      <c r="K17" s="6" t="n">
        <v>3250</v>
      </c>
    </row>
    <row r="18">
      <c r="A18" s="6" t="inlineStr">
        <is>
          <t>Debt securities - Government securities (available for sale)</t>
        </is>
      </c>
      <c r="B18" s="6" t="n"/>
      <c r="C18" s="6" t="n"/>
      <c r="D18" s="6" t="n"/>
      <c r="E18" s="6" t="n"/>
      <c r="F18" s="6" t="n"/>
      <c r="G18" s="6" t="n"/>
      <c r="H18" s="6" t="n"/>
      <c r="I18" s="6" t="n"/>
      <c r="J18" s="6" t="n">
        <v>105187</v>
      </c>
      <c r="K18" s="6" t="n">
        <v>120469</v>
      </c>
    </row>
    <row r="19">
      <c r="A19" s="6" t="inlineStr">
        <is>
          <t>Debt securities - Government securities (designated at FVTPL)</t>
        </is>
      </c>
      <c r="B19" s="6" t="n"/>
      <c r="C19" s="6" t="n"/>
      <c r="D19" s="6" t="n"/>
      <c r="E19" s="6" t="n"/>
      <c r="F19" s="6" t="n"/>
      <c r="G19" s="6" t="n"/>
      <c r="H19" s="6" t="n"/>
      <c r="I19" s="6" t="n"/>
      <c r="J19" s="6" t="n">
        <v>251</v>
      </c>
      <c r="K19" s="6" t="n">
        <v>580</v>
      </c>
    </row>
    <row r="20">
      <c r="A20" s="6" t="inlineStr">
        <is>
          <t>Debt securities - Other debt securities (held to maturity)</t>
        </is>
      </c>
      <c r="B20" s="6" t="n"/>
      <c r="C20" s="6" t="n"/>
      <c r="D20" s="6" t="n"/>
      <c r="E20" s="6" t="n"/>
      <c r="F20" s="6" t="n"/>
      <c r="G20" s="6" t="n"/>
      <c r="H20" s="6" t="n"/>
      <c r="I20" s="6" t="n"/>
      <c r="J20" s="6" t="n">
        <v>4551</v>
      </c>
      <c r="K20" s="6" t="n">
        <v>0</v>
      </c>
    </row>
    <row r="21">
      <c r="A21" s="6" t="inlineStr">
        <is>
          <t>Debt securities - Other debt securities (available for sale)</t>
        </is>
      </c>
      <c r="B21" s="6" t="n"/>
      <c r="C21" s="6" t="n"/>
      <c r="D21" s="6" t="n"/>
      <c r="E21" s="6" t="n"/>
      <c r="F21" s="6" t="n"/>
      <c r="G21" s="6" t="n"/>
      <c r="H21" s="6" t="n"/>
      <c r="I21" s="6" t="n"/>
      <c r="J21" s="6" t="n">
        <v>24889</v>
      </c>
      <c r="K21" s="6" t="n">
        <v>36057</v>
      </c>
    </row>
    <row r="22">
      <c r="A22" s="6" t="inlineStr">
        <is>
          <t>Debt securities - Other debt securities (designated at FVTPL)</t>
        </is>
      </c>
      <c r="B22" s="6" t="n"/>
      <c r="C22" s="6" t="n"/>
      <c r="D22" s="6" t="n"/>
      <c r="E22" s="6" t="n"/>
      <c r="F22" s="6" t="n"/>
      <c r="G22" s="6" t="n"/>
      <c r="H22" s="6" t="n"/>
      <c r="I22" s="6" t="n"/>
      <c r="J22" s="6" t="n">
        <v>0</v>
      </c>
      <c r="K22" s="6" t="n">
        <v>0</v>
      </c>
    </row>
    <row r="23">
      <c r="A23" s="6" t="inlineStr">
        <is>
          <t>Derivatives</t>
        </is>
      </c>
      <c r="B23" s="6" t="n">
        <v>193</v>
      </c>
      <c r="C23" s="6" t="n">
        <v>1985</v>
      </c>
      <c r="D23" s="6" t="n"/>
      <c r="E23" s="6" t="n"/>
      <c r="F23" s="6" t="n"/>
      <c r="G23" s="6" t="n"/>
      <c r="H23" s="6" t="n"/>
      <c r="I23" s="6" t="n"/>
      <c r="J23" s="6" t="n"/>
      <c r="K23" s="6" t="n"/>
    </row>
    <row r="24">
      <c r="A24" s="6" t="inlineStr">
        <is>
          <t>Assets held for sale</t>
        </is>
      </c>
      <c r="B24" s="6" t="n">
        <v>16825</v>
      </c>
      <c r="C24" s="6" t="n"/>
      <c r="D24" s="6" t="n"/>
      <c r="E24" s="6" t="n"/>
      <c r="F24" s="6" t="n"/>
      <c r="G24" s="6" t="n"/>
      <c r="H24" s="6" t="n"/>
      <c r="I24" s="6" t="n"/>
      <c r="J24" s="6" t="n"/>
      <c r="K24" s="6" t="n"/>
    </row>
    <row r="25">
      <c r="A25" s="6" t="inlineStr">
        <is>
          <t>Tangible fixed assets</t>
        </is>
      </c>
      <c r="B25" s="6" t="n">
        <v>1049</v>
      </c>
      <c r="C25" s="6" t="n">
        <v>1306</v>
      </c>
      <c r="D25" s="6" t="n">
        <v>1343</v>
      </c>
      <c r="E25" s="6" t="n">
        <v>1576</v>
      </c>
      <c r="F25" s="6" t="n">
        <v>1629</v>
      </c>
      <c r="G25" s="6" t="n">
        <v>1765</v>
      </c>
      <c r="H25" s="6" t="n">
        <v>1759</v>
      </c>
      <c r="I25" s="6" t="n">
        <v>1859</v>
      </c>
      <c r="J25" s="6" t="n">
        <v>1132</v>
      </c>
      <c r="K25" s="6" t="n">
        <v>856</v>
      </c>
    </row>
    <row r="26">
      <c r="A26" s="6" t="inlineStr">
        <is>
          <t>Intangible assets</t>
        </is>
      </c>
      <c r="B26" s="6" t="n">
        <v>193</v>
      </c>
      <c r="C26" s="6" t="n"/>
      <c r="D26" s="6" t="n"/>
      <c r="E26" s="6" t="n"/>
      <c r="F26" s="6" t="n"/>
      <c r="G26" s="6" t="n"/>
      <c r="H26" s="6" t="n"/>
      <c r="I26" s="6" t="n"/>
      <c r="J26" s="6" t="n"/>
      <c r="K26" s="6" t="n"/>
    </row>
    <row r="27">
      <c r="A27" s="6" t="inlineStr">
        <is>
          <t>Other assets</t>
        </is>
      </c>
      <c r="B27" s="6" t="n">
        <v>1272</v>
      </c>
      <c r="C27" s="6" t="n">
        <v>1622</v>
      </c>
      <c r="D27" s="6" t="n">
        <v>5182</v>
      </c>
      <c r="E27" s="6" t="n">
        <v>4554</v>
      </c>
      <c r="F27" s="6" t="n">
        <v>1361</v>
      </c>
      <c r="G27" s="6" t="n">
        <v>1492</v>
      </c>
      <c r="H27" s="6" t="n">
        <v>470</v>
      </c>
      <c r="I27" s="6" t="n">
        <v>548</v>
      </c>
      <c r="J27" s="6" t="n">
        <v>494</v>
      </c>
      <c r="K27" s="6" t="n">
        <v>922</v>
      </c>
    </row>
    <row r="28">
      <c r="A28" s="6" t="inlineStr">
        <is>
          <t>Deferred tax</t>
        </is>
      </c>
      <c r="B28" s="6" t="n">
        <v>1472</v>
      </c>
      <c r="C28" s="6" t="n">
        <v>1601</v>
      </c>
      <c r="D28" s="6" t="n">
        <v>1956</v>
      </c>
      <c r="E28" s="6" t="n">
        <v>2438</v>
      </c>
      <c r="F28" s="6" t="n">
        <v>2292</v>
      </c>
      <c r="G28" s="6" t="n">
        <v>1761</v>
      </c>
      <c r="H28" s="6" t="n">
        <v>1723</v>
      </c>
      <c r="I28" s="6" t="n">
        <v>2348</v>
      </c>
      <c r="J28" s="6" t="n">
        <v>2101</v>
      </c>
      <c r="K28" s="6" t="n">
        <v>2513</v>
      </c>
    </row>
    <row r="29">
      <c r="A29" s="6" t="inlineStr">
        <is>
          <t>Prepayments and accrued income</t>
        </is>
      </c>
      <c r="B29" s="6" t="n">
        <v>3360</v>
      </c>
      <c r="C29" s="6" t="n">
        <v>3978</v>
      </c>
      <c r="D29" s="6" t="n">
        <v>3528</v>
      </c>
      <c r="E29" s="6" t="n">
        <v>3184</v>
      </c>
      <c r="F29" s="6" t="n">
        <v>2508</v>
      </c>
      <c r="G29" s="6" t="n">
        <v>2346</v>
      </c>
      <c r="H29" s="6" t="n">
        <v>2191</v>
      </c>
      <c r="I29" s="6" t="n">
        <v>1951</v>
      </c>
      <c r="J29" s="6" t="n">
        <v>1897</v>
      </c>
      <c r="K29" s="6" t="n">
        <v>3375</v>
      </c>
    </row>
    <row r="30">
      <c r="A30" s="5" t="inlineStr">
        <is>
          <t>Total Assets</t>
        </is>
      </c>
      <c r="B30" s="5" t="n">
        <v>444633</v>
      </c>
      <c r="C30" s="5" t="n">
        <v>484970</v>
      </c>
      <c r="D30" s="5" t="n">
        <v>446609</v>
      </c>
      <c r="E30" s="5" t="n">
        <v>429969</v>
      </c>
      <c r="F30" s="5" t="n">
        <v>384254</v>
      </c>
      <c r="G30" s="5" t="n">
        <v>371629</v>
      </c>
      <c r="H30" s="5" t="n">
        <v>383726</v>
      </c>
      <c r="I30" s="5" t="n">
        <v>387205</v>
      </c>
      <c r="J30" s="5" t="n">
        <v>393107</v>
      </c>
      <c r="K30" s="5" t="n">
        <v>410772</v>
      </c>
    </row>
    <row r="31">
      <c r="A31" s="5" t="inlineStr">
        <is>
          <t>Liabilities</t>
        </is>
      </c>
      <c r="B31" s="6" t="n"/>
      <c r="C31" s="6" t="n"/>
      <c r="D31" s="6" t="n"/>
      <c r="E31" s="6" t="n"/>
      <c r="F31" s="6" t="n"/>
      <c r="G31" s="6" t="n"/>
      <c r="H31" s="6" t="n"/>
      <c r="I31" s="6" t="n"/>
      <c r="J31" s="6" t="n"/>
      <c r="K31" s="6" t="n"/>
    </row>
    <row r="32">
      <c r="A32" s="6" t="inlineStr">
        <is>
          <t>Deposits by shareholder banks</t>
        </is>
      </c>
      <c r="B32" s="6" t="n">
        <v>106140</v>
      </c>
      <c r="C32" s="6" t="n">
        <v>103079</v>
      </c>
      <c r="D32" s="6" t="n">
        <v>99366</v>
      </c>
      <c r="E32" s="6" t="n">
        <v>107693</v>
      </c>
      <c r="F32" s="6" t="n">
        <v>94387</v>
      </c>
      <c r="G32" s="6" t="n">
        <v>99284</v>
      </c>
      <c r="H32" s="6" t="n">
        <v>115068</v>
      </c>
      <c r="I32" s="6" t="n">
        <v>118252</v>
      </c>
      <c r="J32" s="6" t="n">
        <v>106835</v>
      </c>
      <c r="K32" s="6" t="n">
        <v>106831</v>
      </c>
    </row>
    <row r="33">
      <c r="A33" s="6" t="inlineStr">
        <is>
          <t>Deposits by other banks</t>
        </is>
      </c>
      <c r="B33" s="6" t="n">
        <v>68024</v>
      </c>
      <c r="C33" s="6" t="n">
        <v>69448</v>
      </c>
      <c r="D33" s="6" t="n">
        <v>71773</v>
      </c>
      <c r="E33" s="6" t="n">
        <v>62958</v>
      </c>
      <c r="F33" s="6" t="n">
        <v>82381</v>
      </c>
      <c r="G33" s="6" t="n">
        <v>64681</v>
      </c>
      <c r="H33" s="6" t="n">
        <v>68177</v>
      </c>
      <c r="I33" s="6" t="n">
        <v>80699</v>
      </c>
      <c r="J33" s="6" t="n">
        <v>124563</v>
      </c>
      <c r="K33" s="6" t="n">
        <v>132770</v>
      </c>
    </row>
    <row r="34">
      <c r="A34" s="6" t="inlineStr">
        <is>
          <t>Customer accounts</t>
        </is>
      </c>
      <c r="B34" s="6" t="n">
        <v>169530</v>
      </c>
      <c r="C34" s="6" t="n">
        <v>211430</v>
      </c>
      <c r="D34" s="6" t="n">
        <v>176886</v>
      </c>
      <c r="E34" s="6" t="n">
        <v>167312</v>
      </c>
      <c r="F34" s="6" t="n">
        <v>110410</v>
      </c>
      <c r="G34" s="6" t="n">
        <v>111598</v>
      </c>
      <c r="H34" s="6" t="n">
        <v>107367</v>
      </c>
      <c r="I34" s="6" t="n">
        <v>99516</v>
      </c>
      <c r="J34" s="6" t="n">
        <v>73435</v>
      </c>
      <c r="K34" s="6" t="n">
        <v>86186</v>
      </c>
    </row>
    <row r="35">
      <c r="A35" s="6" t="inlineStr">
        <is>
          <t>Derivatives</t>
        </is>
      </c>
      <c r="B35" s="6" t="n">
        <v>378</v>
      </c>
      <c r="C35" s="6" t="n">
        <v>240</v>
      </c>
      <c r="D35" s="6" t="n"/>
      <c r="E35" s="6" t="n"/>
      <c r="F35" s="6" t="n"/>
      <c r="G35" s="6" t="n"/>
      <c r="H35" s="6" t="n"/>
      <c r="I35" s="6" t="n"/>
      <c r="J35" s="6" t="n"/>
      <c r="K35" s="6" t="n"/>
    </row>
    <row r="36">
      <c r="A36" s="6" t="inlineStr">
        <is>
          <t>Other liabilities</t>
        </is>
      </c>
      <c r="B36" s="6" t="n">
        <v>2170</v>
      </c>
      <c r="C36" s="6" t="n">
        <v>4137</v>
      </c>
      <c r="D36" s="6" t="n">
        <v>7286</v>
      </c>
      <c r="E36" s="6" t="n">
        <v>6350</v>
      </c>
      <c r="F36" s="6" t="n">
        <v>2425</v>
      </c>
      <c r="G36" s="6" t="n">
        <v>3043</v>
      </c>
      <c r="H36" s="6" t="n">
        <v>1860</v>
      </c>
      <c r="I36" s="6" t="n">
        <v>1780</v>
      </c>
      <c r="J36" s="6" t="n">
        <v>1497</v>
      </c>
      <c r="K36" s="6" t="n">
        <v>2535</v>
      </c>
    </row>
    <row r="37">
      <c r="A37" s="6" t="inlineStr">
        <is>
          <t>Accruals and deferred income</t>
        </is>
      </c>
      <c r="B37" s="6" t="n">
        <v>2663</v>
      </c>
      <c r="C37" s="6" t="n">
        <v>2715</v>
      </c>
      <c r="D37" s="6" t="n">
        <v>2337</v>
      </c>
      <c r="E37" s="6" t="n">
        <v>1867</v>
      </c>
      <c r="F37" s="6" t="n">
        <v>1332</v>
      </c>
      <c r="G37" s="6" t="n">
        <v>1631</v>
      </c>
      <c r="H37" s="6" t="n">
        <v>2249</v>
      </c>
      <c r="I37" s="6" t="n">
        <v>2388</v>
      </c>
      <c r="J37" s="6" t="n">
        <v>3629</v>
      </c>
      <c r="K37" s="6" t="n">
        <v>2335</v>
      </c>
    </row>
    <row r="38">
      <c r="A38" s="5" t="inlineStr">
        <is>
          <t>Total Liabilities</t>
        </is>
      </c>
      <c r="B38" s="5" t="n">
        <v>348905</v>
      </c>
      <c r="C38" s="5" t="n">
        <v>391049</v>
      </c>
      <c r="D38" s="5" t="n">
        <v>357648</v>
      </c>
      <c r="E38" s="5" t="n">
        <v>346180</v>
      </c>
      <c r="F38" s="5" t="n">
        <v>290935</v>
      </c>
      <c r="G38" s="5" t="n">
        <v>280237</v>
      </c>
      <c r="H38" s="5" t="n">
        <v>294721</v>
      </c>
      <c r="I38" s="5" t="n">
        <v>302635</v>
      </c>
      <c r="J38" s="5" t="n">
        <v>309959</v>
      </c>
      <c r="K38" s="5" t="n">
        <v>330657</v>
      </c>
    </row>
    <row r="39">
      <c r="A39" s="5" t="inlineStr">
        <is>
          <t>Equity</t>
        </is>
      </c>
      <c r="B39" s="6" t="n"/>
      <c r="C39" s="6" t="n"/>
      <c r="D39" s="6" t="n"/>
      <c r="E39" s="6" t="n"/>
      <c r="F39" s="6" t="n"/>
      <c r="G39" s="6" t="n"/>
      <c r="H39" s="6" t="n"/>
      <c r="I39" s="6" t="n"/>
      <c r="J39" s="6" t="n"/>
      <c r="K39" s="6" t="n"/>
    </row>
    <row r="40">
      <c r="A40" s="6" t="inlineStr">
        <is>
          <t>Called up share capital</t>
        </is>
      </c>
      <c r="B40" s="6" t="n">
        <v>65000</v>
      </c>
      <c r="C40" s="6" t="n">
        <v>65000</v>
      </c>
      <c r="D40" s="6" t="n">
        <v>65000</v>
      </c>
      <c r="E40" s="6" t="n">
        <v>65000</v>
      </c>
      <c r="F40" s="6" t="n">
        <v>65000</v>
      </c>
      <c r="G40" s="6" t="n">
        <v>65000</v>
      </c>
      <c r="H40" s="6" t="n">
        <v>65000</v>
      </c>
      <c r="I40" s="6" t="n">
        <v>65000</v>
      </c>
      <c r="J40" s="6" t="n">
        <v>65000</v>
      </c>
      <c r="K40" s="6" t="n">
        <v>65000</v>
      </c>
    </row>
    <row r="41">
      <c r="A41" s="6" t="inlineStr">
        <is>
          <t>Share premium account</t>
        </is>
      </c>
      <c r="B41" s="6" t="n">
        <v>316</v>
      </c>
      <c r="C41" s="6" t="n">
        <v>316</v>
      </c>
      <c r="D41" s="6" t="n">
        <v>316</v>
      </c>
      <c r="E41" s="6" t="n">
        <v>316</v>
      </c>
      <c r="F41" s="6" t="n">
        <v>316</v>
      </c>
      <c r="G41" s="6" t="n">
        <v>316</v>
      </c>
      <c r="H41" s="6" t="n">
        <v>316</v>
      </c>
      <c r="I41" s="6" t="n">
        <v>316</v>
      </c>
      <c r="J41" s="6" t="n">
        <v>316</v>
      </c>
      <c r="K41" s="6" t="n">
        <v>316</v>
      </c>
    </row>
    <row r="42">
      <c r="A42" s="6" t="inlineStr">
        <is>
          <t>Revaluation reserve</t>
        </is>
      </c>
      <c r="B42" s="6" t="n">
        <v>-16</v>
      </c>
      <c r="C42" s="6" t="n">
        <v>-145</v>
      </c>
      <c r="D42" s="6" t="n">
        <v>-139</v>
      </c>
      <c r="E42" s="6" t="n">
        <v>-407</v>
      </c>
      <c r="F42" s="6" t="n">
        <v>633</v>
      </c>
      <c r="G42" s="6" t="n">
        <v>1452</v>
      </c>
      <c r="H42" s="6" t="n">
        <v>1008</v>
      </c>
      <c r="I42" s="6" t="n">
        <v>-978</v>
      </c>
      <c r="J42" s="6" t="n">
        <v>616</v>
      </c>
      <c r="K42" s="6" t="n">
        <v>-957</v>
      </c>
    </row>
    <row r="43">
      <c r="A43" s="6" t="inlineStr">
        <is>
          <t>Profit or loss account</t>
        </is>
      </c>
      <c r="B43" s="6" t="n">
        <v>30428</v>
      </c>
      <c r="C43" s="6" t="n">
        <v>28750</v>
      </c>
      <c r="D43" s="6" t="n">
        <v>23784</v>
      </c>
      <c r="E43" s="6" t="n">
        <v>18880</v>
      </c>
      <c r="F43" s="6" t="n">
        <v>27370</v>
      </c>
      <c r="G43" s="6" t="n">
        <v>24624</v>
      </c>
      <c r="H43" s="6" t="n">
        <v>22681</v>
      </c>
      <c r="I43" s="6" t="n">
        <v>20232</v>
      </c>
      <c r="J43" s="6" t="n">
        <v>17216</v>
      </c>
      <c r="K43" s="6" t="n">
        <v>15756</v>
      </c>
    </row>
    <row r="44">
      <c r="A44" s="5" t="inlineStr">
        <is>
          <t>Shareholders' Funds</t>
        </is>
      </c>
      <c r="B44" s="5" t="n">
        <v>95728</v>
      </c>
      <c r="C44" s="5" t="n">
        <v>93921</v>
      </c>
      <c r="D44" s="5" t="n">
        <v>88961</v>
      </c>
      <c r="E44" s="5" t="n">
        <v>83789</v>
      </c>
      <c r="F44" s="5" t="n">
        <v>93319</v>
      </c>
      <c r="G44" s="5" t="n">
        <v>91392</v>
      </c>
      <c r="H44" s="5" t="n">
        <v>89005</v>
      </c>
      <c r="I44" s="5" t="n">
        <v>84570</v>
      </c>
      <c r="J44" s="5" t="n">
        <v>83148</v>
      </c>
      <c r="K44" s="5" t="n">
        <v>80115</v>
      </c>
    </row>
    <row r="45">
      <c r="A45" s="5" t="inlineStr">
        <is>
          <t>Total Liabilities and Shareholders' Funds</t>
        </is>
      </c>
      <c r="B45" s="5" t="n">
        <v>444633</v>
      </c>
      <c r="C45" s="5" t="n">
        <v>484970</v>
      </c>
      <c r="D45" s="5" t="n">
        <v>446609</v>
      </c>
      <c r="E45" s="5" t="n">
        <v>429969</v>
      </c>
      <c r="F45" s="5" t="n">
        <v>384254</v>
      </c>
      <c r="G45" s="5" t="n">
        <v>371629</v>
      </c>
      <c r="H45" s="5" t="n">
        <v>383726</v>
      </c>
      <c r="I45" s="5" t="n">
        <v>387205</v>
      </c>
      <c r="J45" s="5" t="n">
        <v>393107</v>
      </c>
      <c r="K45" s="5" t="n">
        <v>410772</v>
      </c>
    </row>
    <row r="47" ht="364" customHeight="1">
      <c r="A47" s="8" t="inlineStr">
        <is>
          <t>Sources - Jordan International Bank Plc's own Balance Sheet, from each year's Companies House-filed Annual Report and Financial Statements (all 10 filings fully scanned/image-only, transcribed via page-image review):
FY2025: Annual Report and Financial Statements 2025, Balance Sheet, p.28 - https://find-and-update.company-information.service.gov.uk/company/01814093/filing-history/MzUyMzkyMzgzOGFkaXF6a2N4/document?format=pdf&amp;download=0
FY2024: Annual Report and Financial Statements 2024, Balance Sheet, p.28 - https://find-and-update.company-information.service.gov.uk/company/01814093/filing-history/MzQ2NjcyMDU4MGFkaXF6a2N4/document?format=pdf&amp;download=0
FY2023: Annual Report and Financial Statements 2023, Balance Sheet, p.26 - https://find-and-update.company-information.service.gov.uk/company/01814093/filing-history/MzQyMjAyODYxMmFkaXF6a2N4/document?format=pdf&amp;download=0
FY2022: Annual Report and Financial Statements 2022, Balance Sheet, p.26 - https://find-and-update.company-information.service.gov.uk/company/01814093/filing-history/MzM3OTQ2NzM2OWFkaXF6a2N4/document?format=pdf&amp;download=0
FY2021: Annual Report and Financial Statements 2021, Balance Sheet, p.27 - https://find-and-update.company-information.service.gov.uk/company/01814093/filing-history/MzMzNzcwMzA4MGFkaXF6a2N4/document?format=pdf&amp;download=0
FY2020: Annual Report and Financial Statements 2020, Balance Sheet, p.25 - https://find-and-update.company-information.service.gov.uk/company/01814093/filing-history/MzMwMjEyMjEzMmFkaXF6a2N4/document?format=pdf&amp;download=0
FY2019: Annual Report and Financial Statements 2019, Balance Sheet, p.22 - https://find-and-update.company-information.service.gov.uk/company/01814093/filing-history/MzI3MjMxMDgyMmFkaXF6a2N4/document?format=pdf&amp;download=0
FY2018: Annual Report and Financial Statements 2018, Balance Sheet, p.20 - https://find-and-update.company-information.service.gov.uk/company/01814093/filing-history/MzIzNjcxMTg2MGFkaXF6a2N4/document?format=pdf&amp;download=0
FY2017: Annual Report and Financial Statements 2017, Balance Sheet, p.17 - https://find-and-update.company-information.service.gov.uk/company/01814093/filing-history/MzIwMzMyNzI2NWFkaXF6a2N4/document?format=pdf&amp;download=0
FY2016: Annual Report and Financial Statements 2016, Balance Sheet, p.13 - https://find-and-update.company-information.service.gov.uk/company/01814093/filing-history/MzE3NTk2MTg3NWFkaXF6a2N4/document?format=pdf&amp;download=0
Presentation changes across years, reproduced as disclosed rather than force-merged: 'Derivatives' only appears as a separate line FY2024/FY2025 (nil/not disclosed separately in earlier years); 'Assets held for sale' and 'Intangible assets' only appear FY2025 (the Bank's own Note 18/Note 20 footnotes confirm these are new lines that year, not a renamed pre-existing line); 'Investments in debt securities' (FY2016-FY2018's own label) and 'Debt securities' (FY2019 onward) are the same line, renamed only. FY2016-FY2017's own Balance Sheet also prints an 'Off Balance Sheet Items' memo section (Contingent liabilities: acceptances, guarantees and irrevocable letters of credit, undrawn commitments) below the Total Liabilities and Shareholders' Funds line - not carried into this sheet as it sits outside the balance sheet total itself, consistent with how later years' equivalent disclosures are also excluded.
DEBT SECURITIES BREAKDOWN: the 'Debt securities - ...' sub-rows below the renamed 'Total debt securities' line are transcribed from each year's own 'Debt securities'/'Investments in debt securities' note, which cross-tabs the balance by issuer type (Government securities vs Other debt securities) and by measurement basis (Amortised cost vs FVOCI vs Expected credit losses FY2018-FY2025, once IFRS 9 was adopted 1 January 2018; Held-to-maturity vs Available-for-sale vs Designated at FVTPL FY2016-FY2017, the pre-IFRS-9 IAS 39 categories) - each year's own note, not a later restated comparative:
FY2025: Annual Report and Financial Statements 2025, Note 16 'Debt Securities', p.48 - https://find-and-update.company-information.service.gov.uk/company/01814093/filing-history/MzUyMzkyMzgzOGFkaXF6a2N4/document?format=pdf&amp;download=0
FY2024: Annual Report and Financial Statements 2024, Note 16 'Debt Securities', p.48 - https://find-and-update.company-information.service.gov.uk/company/01814093/filing-history/MzQ2NjcyMDU4MGFkaXF6a2N4/document?format=pdf&amp;download=0
FY2023: Annual Report and Financial Statements 2023, Note 16 'Debt Securities', p.46 - https://find-and-update.company-information.service.gov.uk/company/01814093/filing-history/MzQyMjAyODYxMmFkaXF6a2N4/document?format=pdf&amp;download=0
FY2022: Annual Report and Financial Statements 2022, Note 16 'Debt Securities', p.44 - https://find-and-update.company-information.service.gov.uk/company/01814093/filing-history/MzM3OTQ2NzM2OWFkaXF6a2N4/document?format=pdf&amp;download=0
FY2021: Annual Report and Financial Statements 2021, Note 16 'Debt Securities', p.45 - https://find-and-update.company-information.service.gov.uk/company/01814093/filing-history/MzMzNzcwMzA4MGFkaXF6a2N4/document?format=pdf&amp;download=0
FY2020: Annual Report and Financial Statements 2020, Note 16 'Debt Securities', p.43 - https://find-and-update.company-information.service.gov.uk/company/01814093/filing-history/MzMwMjEyMjEzMmFkaXF6a2N4/document?format=pdf&amp;download=0
FY2019: Annual Report and Financial Statements 2019, Note 15 'Debt Securities', p.39 - https://find-and-update.company-information.service.gov.uk/company/01814093/filing-history/MzI3MjMxMDgyMmFkaXF6a2N4/document?format=pdf&amp;download=0
FY2018: Annual Report and Financial Statements 2018, Note 15 'Investments in Debt Securities', p.37 - https://find-and-update.company-information.service.gov.uk/company/01814093/filing-history/MzIzNjcxMTg2MGFkaXF6a2N4/document?format=pdf&amp;download=0
FY2017: Annual Report and Financial Statements 2017, Note 13 'Investments in Debt Securities', p.29 - https://find-and-update.company-information.service.gov.uk/company/01814093/filing-history/MzIwMzMyNzI2NWFkaXF6a2N4/document?format=pdf&amp;download=0
FY2016: Annual Report and Financial Statements 2016, Note 13 'Investments in Debt Securities', p.24 - https://find-and-update.company-information.service.gov.uk/company/01814093/filing-history/MzE3NTk2MTg3NWFkaXF6a2N4/document?format=pdf&amp;download=0</t>
        </is>
      </c>
    </row>
    <row r="49" ht="280" customHeight="1">
      <c r="A49" s="8" t="inlineStr">
        <is>
          <t>(continued)
Each year's Government-securities and Other-debt-securities sub-rows sum exactly to that year's 'Total debt securities' line, as do each year's measurement-basis sub-rows (Amortised cost + FVOCI + Expected credit losses for FY2018-FY2025; Held-to-maturity + Available-for-sale + Designated at FVTPL for FY2016-FY2017) - both cuts are genuine, reconciling splits of the same underlying note, not independently-sized estimates. 'Government securities' is the Bank's own note heading in every year (not merely inferred); the 'Other debt securities' column is not further itemised by instrument or issuer in any year's note.
Each year's Balance Sheet, Profit &amp; Loss and Statement of Changes in Equity use that year's own originally-published Annual Report and Financial Statements (Companies House-filed, company 01814093), not a later restated comparative - matching the existing Cash Flow Statement's convention. The equity reconciliation ladder ties exactly at every year boundary: each year's own closing balance ties to both the next year's own opening balance and that year's own Balance Sheet Total equity - zero plug rows needed anywhere. Both FY2016-2025 shareholders are named in every year's own Statement of Changes in Equity ('Housing Bank For Trade &amp; Finance' and 'Arab Jordan Investment Bank', both Jordan-incorporated parent banks) - confirming every year's figures are this UK-incorporated subsidiary's own, not a conflation with either Jordanian parent's own group-level disclosures.</t>
        </is>
      </c>
    </row>
  </sheetData>
  <mergeCells count="2">
    <mergeCell ref="A49:K49"/>
    <mergeCell ref="A47:K4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Profit &amp; Loss</t>
        </is>
      </c>
    </row>
    <row r="2">
      <c r="A2" s="2" t="inlineStr">
        <is>
          <t>For the years ended 31 December (£'000, GBP)</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Interest income</t>
        </is>
      </c>
      <c r="B4" s="6" t="n"/>
      <c r="C4" s="6" t="n"/>
      <c r="D4" s="6" t="n"/>
      <c r="E4" s="6" t="n"/>
      <c r="F4" s="6" t="n"/>
      <c r="G4" s="6" t="n"/>
      <c r="H4" s="6" t="n"/>
      <c r="I4" s="6" t="n"/>
      <c r="J4" s="6" t="n"/>
      <c r="K4" s="6" t="n"/>
    </row>
    <row r="5">
      <c r="A5" s="6" t="inlineStr">
        <is>
          <t>Interest income - debt securities</t>
        </is>
      </c>
      <c r="B5" s="6" t="n">
        <v>5292</v>
      </c>
      <c r="C5" s="6" t="n">
        <v>4661</v>
      </c>
      <c r="D5" s="6" t="n">
        <v>3651</v>
      </c>
      <c r="E5" s="6" t="n">
        <v>2427</v>
      </c>
      <c r="F5" s="6" t="n">
        <v>2027</v>
      </c>
      <c r="G5" s="6" t="n">
        <v>3009</v>
      </c>
      <c r="H5" s="6" t="n">
        <v>4028</v>
      </c>
      <c r="I5" s="6" t="n">
        <v>3420</v>
      </c>
      <c r="J5" s="6" t="n">
        <v>2794</v>
      </c>
      <c r="K5" s="6" t="n">
        <v>3647</v>
      </c>
    </row>
    <row r="6">
      <c r="A6" s="6" t="inlineStr">
        <is>
          <t>Other interest income</t>
        </is>
      </c>
      <c r="B6" s="6" t="n">
        <v>27823</v>
      </c>
      <c r="C6" s="6" t="n">
        <v>32683</v>
      </c>
      <c r="D6" s="6" t="n">
        <v>29366</v>
      </c>
      <c r="E6" s="6" t="n">
        <v>16440</v>
      </c>
      <c r="F6" s="6" t="n">
        <v>11997</v>
      </c>
      <c r="G6" s="6" t="n">
        <v>11503</v>
      </c>
      <c r="H6" s="6" t="n">
        <v>12186</v>
      </c>
      <c r="I6" s="6" t="n">
        <v>12873</v>
      </c>
      <c r="J6" s="6" t="n">
        <v>11585</v>
      </c>
      <c r="K6" s="6" t="n">
        <v>11308</v>
      </c>
    </row>
    <row r="7">
      <c r="A7" s="5" t="inlineStr">
        <is>
          <t>Total interest income</t>
        </is>
      </c>
      <c r="B7" s="5" t="n">
        <v>33115</v>
      </c>
      <c r="C7" s="5" t="n">
        <v>37344</v>
      </c>
      <c r="D7" s="5" t="n">
        <v>33017</v>
      </c>
      <c r="E7" s="5" t="n">
        <v>18867</v>
      </c>
      <c r="F7" s="5" t="n">
        <v>14024</v>
      </c>
      <c r="G7" s="5" t="n">
        <v>14512</v>
      </c>
      <c r="H7" s="5" t="n">
        <v>16214</v>
      </c>
      <c r="I7" s="5" t="n">
        <v>16293</v>
      </c>
      <c r="J7" s="5" t="n">
        <v>14379</v>
      </c>
      <c r="K7" s="5" t="n">
        <v>14955</v>
      </c>
    </row>
    <row r="8">
      <c r="A8" s="6" t="inlineStr">
        <is>
          <t>Interest expense</t>
        </is>
      </c>
      <c r="B8" s="6" t="n">
        <v>-15827</v>
      </c>
      <c r="C8" s="6" t="n">
        <v>-18030</v>
      </c>
      <c r="D8" s="6" t="n">
        <v>-15260</v>
      </c>
      <c r="E8" s="6" t="n">
        <v>-5801</v>
      </c>
      <c r="F8" s="6" t="n">
        <v>-2517</v>
      </c>
      <c r="G8" s="6" t="n">
        <v>-4791</v>
      </c>
      <c r="H8" s="6" t="n">
        <v>-6655</v>
      </c>
      <c r="I8" s="6" t="n">
        <v>-6045</v>
      </c>
      <c r="J8" s="6" t="n">
        <v>-4822</v>
      </c>
      <c r="K8" s="6" t="n">
        <v>-4514</v>
      </c>
    </row>
    <row r="9">
      <c r="A9" s="5" t="inlineStr">
        <is>
          <t>Net interest income</t>
        </is>
      </c>
      <c r="B9" s="5" t="n">
        <v>17288</v>
      </c>
      <c r="C9" s="5" t="n">
        <v>19314</v>
      </c>
      <c r="D9" s="5" t="n">
        <v>17757</v>
      </c>
      <c r="E9" s="5" t="n">
        <v>13066</v>
      </c>
      <c r="F9" s="5" t="n">
        <v>11507</v>
      </c>
      <c r="G9" s="5" t="n">
        <v>9721</v>
      </c>
      <c r="H9" s="5" t="n">
        <v>9559</v>
      </c>
      <c r="I9" s="5" t="n">
        <v>10248</v>
      </c>
      <c r="J9" s="5" t="n">
        <v>9557</v>
      </c>
      <c r="K9" s="5" t="n">
        <v>10441</v>
      </c>
    </row>
    <row r="10">
      <c r="A10" s="5" t="inlineStr">
        <is>
          <t>Non-interest income</t>
        </is>
      </c>
      <c r="B10" s="6" t="n"/>
      <c r="C10" s="6" t="n"/>
      <c r="D10" s="6" t="n"/>
      <c r="E10" s="6" t="n"/>
      <c r="F10" s="6" t="n"/>
      <c r="G10" s="6" t="n"/>
      <c r="H10" s="6" t="n"/>
      <c r="I10" s="6" t="n"/>
      <c r="J10" s="6" t="n"/>
      <c r="K10" s="6" t="n"/>
    </row>
    <row r="11">
      <c r="A11" s="6" t="inlineStr">
        <is>
          <t>Fees and commissions income</t>
        </is>
      </c>
      <c r="B11" s="6" t="n">
        <v>1347</v>
      </c>
      <c r="C11" s="6" t="n">
        <v>1916</v>
      </c>
      <c r="D11" s="6" t="n">
        <v>2394</v>
      </c>
      <c r="E11" s="6" t="n">
        <v>2654</v>
      </c>
      <c r="F11" s="6" t="n">
        <v>2112</v>
      </c>
      <c r="G11" s="6" t="n">
        <v>2315</v>
      </c>
      <c r="H11" s="6" t="n">
        <v>2153</v>
      </c>
      <c r="I11" s="6" t="n">
        <v>2031</v>
      </c>
      <c r="J11" s="6" t="n">
        <v>2018</v>
      </c>
      <c r="K11" s="6" t="n">
        <v>2792</v>
      </c>
    </row>
    <row r="12">
      <c r="A12" s="6" t="inlineStr">
        <is>
          <t>Foreign exchange gains / dealing profits</t>
        </is>
      </c>
      <c r="B12" s="6" t="n">
        <v>35</v>
      </c>
      <c r="C12" s="6" t="n">
        <v>51</v>
      </c>
      <c r="D12" s="6" t="n">
        <v>45</v>
      </c>
      <c r="E12" s="6" t="n">
        <v>31</v>
      </c>
      <c r="F12" s="6" t="n">
        <v>23</v>
      </c>
      <c r="G12" s="6" t="n">
        <v>28</v>
      </c>
      <c r="H12" s="6" t="n">
        <v>47</v>
      </c>
      <c r="I12" s="6" t="n">
        <v>34</v>
      </c>
      <c r="J12" s="6" t="n">
        <v>109</v>
      </c>
      <c r="K12" s="6" t="n">
        <v>112</v>
      </c>
    </row>
    <row r="13">
      <c r="A13" s="6" t="inlineStr">
        <is>
          <t>Other operating income</t>
        </is>
      </c>
      <c r="B13" s="6" t="n"/>
      <c r="C13" s="6" t="n">
        <v>0</v>
      </c>
      <c r="D13" s="6" t="n">
        <v>0</v>
      </c>
      <c r="E13" s="6" t="n">
        <v>2</v>
      </c>
      <c r="F13" s="6" t="n">
        <v>4</v>
      </c>
      <c r="G13" s="6" t="n">
        <v>4</v>
      </c>
      <c r="H13" s="6" t="n">
        <v>4</v>
      </c>
      <c r="I13" s="6" t="n">
        <v>4</v>
      </c>
      <c r="J13" s="6" t="n">
        <v>6</v>
      </c>
      <c r="K13" s="6" t="n">
        <v>25</v>
      </c>
    </row>
    <row r="14">
      <c r="A14" s="6" t="inlineStr">
        <is>
          <t>Profit on disposal of securities</t>
        </is>
      </c>
      <c r="B14" s="6" t="n"/>
      <c r="C14" s="6" t="n"/>
      <c r="D14" s="6" t="n">
        <v>1</v>
      </c>
      <c r="E14" s="6" t="n">
        <v>4</v>
      </c>
      <c r="F14" s="6" t="n">
        <v>55</v>
      </c>
      <c r="G14" s="6" t="n"/>
      <c r="H14" s="6" t="n">
        <v>0</v>
      </c>
      <c r="I14" s="6" t="n">
        <v>262</v>
      </c>
      <c r="J14" s="6" t="n">
        <v>26</v>
      </c>
      <c r="K14" s="6" t="n">
        <v>14</v>
      </c>
    </row>
    <row r="15">
      <c r="A15" s="6" t="inlineStr">
        <is>
          <t>Fair value changes in assets held at FVTPL</t>
        </is>
      </c>
      <c r="B15" s="6" t="n"/>
      <c r="C15" s="6" t="n"/>
      <c r="D15" s="6" t="n"/>
      <c r="E15" s="6" t="n"/>
      <c r="F15" s="6" t="n"/>
      <c r="G15" s="6" t="n"/>
      <c r="H15" s="6" t="n">
        <v>-4</v>
      </c>
      <c r="I15" s="6" t="n">
        <v>-10</v>
      </c>
      <c r="J15" s="6" t="n">
        <v>-17</v>
      </c>
      <c r="K15" s="6" t="n">
        <v>-33</v>
      </c>
    </row>
    <row r="16">
      <c r="A16" s="6" t="inlineStr">
        <is>
          <t>Other gains/(losses)</t>
        </is>
      </c>
      <c r="B16" s="6" t="n"/>
      <c r="C16" s="6" t="n">
        <v>-102</v>
      </c>
      <c r="D16" s="6" t="n"/>
      <c r="E16" s="6" t="n">
        <v>352</v>
      </c>
      <c r="F16" s="6" t="n"/>
      <c r="G16" s="6" t="n"/>
      <c r="H16" s="6" t="n"/>
      <c r="I16" s="6" t="n"/>
      <c r="J16" s="6" t="n"/>
      <c r="K16" s="6" t="n"/>
    </row>
    <row r="17">
      <c r="A17" s="6" t="inlineStr">
        <is>
          <t>Gain on sale of assets held for sale</t>
        </is>
      </c>
      <c r="B17" s="6" t="n">
        <v>899</v>
      </c>
      <c r="C17" s="6" t="n"/>
      <c r="D17" s="6" t="n"/>
      <c r="E17" s="6" t="n"/>
      <c r="F17" s="6" t="n"/>
      <c r="G17" s="6" t="n"/>
      <c r="H17" s="6" t="n"/>
      <c r="I17" s="6" t="n"/>
      <c r="J17" s="6" t="n"/>
      <c r="K17" s="6" t="n"/>
    </row>
    <row r="18">
      <c r="A18" s="5" t="inlineStr">
        <is>
          <t>Total operating income</t>
        </is>
      </c>
      <c r="B18" s="5" t="n">
        <v>18670</v>
      </c>
      <c r="C18" s="5" t="n">
        <v>21179</v>
      </c>
      <c r="D18" s="5" t="n">
        <v>20197</v>
      </c>
      <c r="E18" s="5" t="n">
        <v>16109</v>
      </c>
      <c r="F18" s="5" t="n">
        <v>13701</v>
      </c>
      <c r="G18" s="5" t="n">
        <v>12068</v>
      </c>
      <c r="H18" s="5" t="n">
        <v>11759</v>
      </c>
      <c r="I18" s="5" t="n">
        <v>12569</v>
      </c>
      <c r="J18" s="5" t="n">
        <v>11699</v>
      </c>
      <c r="K18" s="5" t="n">
        <v>13351</v>
      </c>
    </row>
    <row r="19">
      <c r="A19" s="5" t="inlineStr">
        <is>
          <t>Administrative expenses</t>
        </is>
      </c>
      <c r="B19" s="5" t="n">
        <v>-7377</v>
      </c>
      <c r="C19" s="5" t="n">
        <v>-8045</v>
      </c>
      <c r="D19" s="5" t="n">
        <v>-7986</v>
      </c>
      <c r="E19" s="5" t="n">
        <v>-6922</v>
      </c>
      <c r="F19" s="5" t="n">
        <v>-6021</v>
      </c>
      <c r="G19" s="5" t="n">
        <v>-5482</v>
      </c>
      <c r="H19" s="5" t="n">
        <v>-5504</v>
      </c>
      <c r="I19" s="5" t="n">
        <v>-5255</v>
      </c>
      <c r="J19" s="5" t="n">
        <v>-5807</v>
      </c>
      <c r="K19" s="5" t="n">
        <v>-5819</v>
      </c>
    </row>
    <row r="20">
      <c r="A20" s="6" t="inlineStr">
        <is>
          <t>Depreciation (and amortisation)</t>
        </is>
      </c>
      <c r="B20" s="6" t="n">
        <v>-528</v>
      </c>
      <c r="C20" s="6" t="n">
        <v>-509</v>
      </c>
      <c r="D20" s="6" t="n">
        <v>-546</v>
      </c>
      <c r="E20" s="6" t="n">
        <v>-517</v>
      </c>
      <c r="F20" s="6" t="n">
        <v>-583</v>
      </c>
      <c r="G20" s="6" t="n">
        <v>-548</v>
      </c>
      <c r="H20" s="6" t="n">
        <v>-513</v>
      </c>
      <c r="I20" s="6" t="n">
        <v>-426</v>
      </c>
      <c r="J20" s="6" t="n">
        <v>-451</v>
      </c>
      <c r="K20" s="6" t="n">
        <v>-409</v>
      </c>
    </row>
    <row r="21">
      <c r="A21" s="6" t="inlineStr">
        <is>
          <t>Other operating charges</t>
        </is>
      </c>
      <c r="B21" s="6" t="n">
        <v>-5516</v>
      </c>
      <c r="C21" s="6" t="n">
        <v>-5388</v>
      </c>
      <c r="D21" s="6" t="n">
        <v>-4299</v>
      </c>
      <c r="E21" s="6" t="n">
        <v>-3721</v>
      </c>
      <c r="F21" s="6" t="n">
        <v>-3931</v>
      </c>
      <c r="G21" s="6" t="n">
        <v>-3609</v>
      </c>
      <c r="H21" s="6" t="n">
        <v>-2930</v>
      </c>
      <c r="I21" s="6" t="n">
        <v>-2984</v>
      </c>
      <c r="J21" s="6" t="n">
        <v>-2267</v>
      </c>
      <c r="K21" s="6" t="n">
        <v>-2102</v>
      </c>
    </row>
    <row r="22">
      <c r="A22" s="6" t="inlineStr">
        <is>
          <t>Provision for expected credit losses</t>
        </is>
      </c>
      <c r="B22" s="6" t="n">
        <v>-3874</v>
      </c>
      <c r="C22" s="6" t="n">
        <v>-616</v>
      </c>
      <c r="D22" s="6" t="n">
        <v>-916</v>
      </c>
      <c r="E22" s="6" t="n">
        <v>-702</v>
      </c>
      <c r="F22" s="6" t="n">
        <v>-449</v>
      </c>
      <c r="G22" s="6" t="n">
        <v>-368</v>
      </c>
      <c r="H22" s="6" t="n">
        <v>-40</v>
      </c>
      <c r="I22" s="6" t="n">
        <v>102</v>
      </c>
      <c r="J22" s="6" t="n">
        <v>-116</v>
      </c>
      <c r="K22" s="6" t="n">
        <v>-106</v>
      </c>
    </row>
    <row r="23">
      <c r="A23" s="6" t="inlineStr">
        <is>
          <t>Revaluation movement from OCI (recycled to P&amp;L)</t>
        </is>
      </c>
      <c r="B23" s="6" t="n"/>
      <c r="C23" s="6" t="n"/>
      <c r="D23" s="6" t="n"/>
      <c r="E23" s="6" t="n"/>
      <c r="F23" s="6" t="n"/>
      <c r="G23" s="6" t="n"/>
      <c r="H23" s="6" t="n"/>
      <c r="I23" s="6" t="n"/>
      <c r="J23" s="6" t="n">
        <v>-2139</v>
      </c>
      <c r="K23" s="6" t="n"/>
    </row>
    <row r="24">
      <c r="A24" s="5" t="inlineStr">
        <is>
          <t>Profit before taxation</t>
        </is>
      </c>
      <c r="B24" s="5" t="n">
        <v>2274</v>
      </c>
      <c r="C24" s="5" t="n">
        <v>6621</v>
      </c>
      <c r="D24" s="5" t="n">
        <v>6450</v>
      </c>
      <c r="E24" s="5" t="n">
        <v>4247</v>
      </c>
      <c r="F24" s="5" t="n">
        <v>2717</v>
      </c>
      <c r="G24" s="5" t="n">
        <v>2061</v>
      </c>
      <c r="H24" s="5" t="n">
        <v>3059</v>
      </c>
      <c r="I24" s="5" t="n">
        <v>4006</v>
      </c>
      <c r="J24" s="5" t="n">
        <v>1895</v>
      </c>
      <c r="K24" s="5" t="n">
        <v>5821</v>
      </c>
    </row>
    <row r="25">
      <c r="A25" s="6" t="inlineStr">
        <is>
          <t>Tax (charge)/credit on profit</t>
        </is>
      </c>
      <c r="B25" s="6" t="n">
        <v>-596</v>
      </c>
      <c r="C25" s="6" t="n">
        <v>-1655</v>
      </c>
      <c r="D25" s="6" t="n">
        <v>-1546</v>
      </c>
      <c r="E25" s="6" t="n">
        <v>-737</v>
      </c>
      <c r="F25" s="6" t="n">
        <v>29</v>
      </c>
      <c r="G25" s="6" t="n">
        <v>-118</v>
      </c>
      <c r="H25" s="6" t="n">
        <v>-610</v>
      </c>
      <c r="I25" s="6" t="n">
        <v>-660</v>
      </c>
      <c r="J25" s="6" t="n">
        <v>-435</v>
      </c>
      <c r="K25" s="6" t="n">
        <v>-1403</v>
      </c>
    </row>
    <row r="26">
      <c r="A26" s="5" t="inlineStr">
        <is>
          <t>Profit for the financial year</t>
        </is>
      </c>
      <c r="B26" s="5" t="n">
        <v>1678</v>
      </c>
      <c r="C26" s="5" t="n">
        <v>4966</v>
      </c>
      <c r="D26" s="5" t="n">
        <v>4904</v>
      </c>
      <c r="E26" s="5" t="n">
        <v>3510</v>
      </c>
      <c r="F26" s="5" t="n">
        <v>2746</v>
      </c>
      <c r="G26" s="5" t="n">
        <v>1943</v>
      </c>
      <c r="H26" s="5" t="n">
        <v>2449</v>
      </c>
      <c r="I26" s="5" t="n">
        <v>3346</v>
      </c>
      <c r="J26" s="5" t="n">
        <v>1460</v>
      </c>
      <c r="K26" s="5" t="n">
        <v>4418</v>
      </c>
    </row>
    <row r="27">
      <c r="A27" s="5" t="inlineStr">
        <is>
          <t>Other comprehensive income</t>
        </is>
      </c>
      <c r="B27" s="6" t="n"/>
      <c r="C27" s="6" t="n"/>
      <c r="D27" s="6" t="n"/>
      <c r="E27" s="6" t="n"/>
      <c r="F27" s="6" t="n"/>
      <c r="G27" s="6" t="n"/>
      <c r="H27" s="6" t="n"/>
      <c r="I27" s="6" t="n"/>
      <c r="J27" s="6" t="n"/>
      <c r="K27" s="6" t="n"/>
    </row>
    <row r="28">
      <c r="A28" s="6" t="inlineStr">
        <is>
          <t>Revaluation transfer</t>
        </is>
      </c>
      <c r="B28" s="6" t="n"/>
      <c r="C28" s="6" t="n"/>
      <c r="D28" s="6" t="n"/>
      <c r="E28" s="6" t="n"/>
      <c r="F28" s="6" t="n">
        <v>0</v>
      </c>
      <c r="G28" s="6" t="n">
        <v>237</v>
      </c>
      <c r="H28" s="6" t="n"/>
      <c r="I28" s="6" t="n"/>
      <c r="J28" s="6" t="n">
        <v>2139</v>
      </c>
      <c r="K28" s="6" t="n"/>
    </row>
    <row r="29">
      <c r="A29" s="6" t="inlineStr">
        <is>
          <t>Change in fair value of debt securities (FVOCI)</t>
        </is>
      </c>
      <c r="B29" s="6" t="n">
        <v>171</v>
      </c>
      <c r="C29" s="6" t="n">
        <v>-8</v>
      </c>
      <c r="D29" s="6" t="n">
        <v>357</v>
      </c>
      <c r="E29" s="6" t="n">
        <v>-1386</v>
      </c>
      <c r="F29" s="6" t="n">
        <v>-954</v>
      </c>
      <c r="G29" s="6" t="n">
        <v>341</v>
      </c>
      <c r="H29" s="6" t="n">
        <v>2456</v>
      </c>
      <c r="I29" s="6" t="n">
        <v>-1594</v>
      </c>
      <c r="J29" s="6" t="n">
        <v>-229</v>
      </c>
      <c r="K29" s="6" t="n">
        <v>986</v>
      </c>
    </row>
    <row r="30">
      <c r="A30" s="6" t="inlineStr">
        <is>
          <t>Deferred tax on OCI</t>
        </is>
      </c>
      <c r="B30" s="6" t="n">
        <v>-42</v>
      </c>
      <c r="C30" s="6" t="n">
        <v>2</v>
      </c>
      <c r="D30" s="6" t="n">
        <v>-89</v>
      </c>
      <c r="E30" s="6" t="n">
        <v>346</v>
      </c>
      <c r="F30" s="6" t="n">
        <v>135</v>
      </c>
      <c r="G30" s="6" t="n">
        <v>-134</v>
      </c>
      <c r="H30" s="6" t="n">
        <v>-470</v>
      </c>
      <c r="I30" s="6" t="n"/>
      <c r="J30" s="6" t="n">
        <v>-337</v>
      </c>
      <c r="K30" s="6" t="n">
        <v>-190</v>
      </c>
    </row>
    <row r="31">
      <c r="A31" s="5" t="inlineStr">
        <is>
          <t>Total other comprehensive income</t>
        </is>
      </c>
      <c r="B31" s="5" t="n">
        <v>129</v>
      </c>
      <c r="C31" s="5" t="n">
        <v>-6</v>
      </c>
      <c r="D31" s="5" t="n">
        <v>268</v>
      </c>
      <c r="E31" s="5" t="n">
        <v>-1040</v>
      </c>
      <c r="F31" s="5" t="n">
        <v>-819</v>
      </c>
      <c r="G31" s="5" t="n">
        <v>444</v>
      </c>
      <c r="H31" s="5" t="n">
        <v>1986</v>
      </c>
      <c r="I31" s="5" t="n">
        <v>-1594</v>
      </c>
      <c r="J31" s="5" t="n">
        <v>1573</v>
      </c>
      <c r="K31" s="5" t="n">
        <v>796</v>
      </c>
    </row>
    <row r="32">
      <c r="A32" s="5" t="inlineStr">
        <is>
          <t>Total comprehensive income for the year</t>
        </is>
      </c>
      <c r="B32" s="5" t="n">
        <v>1807</v>
      </c>
      <c r="C32" s="5" t="n">
        <v>4960</v>
      </c>
      <c r="D32" s="5" t="n">
        <v>5172</v>
      </c>
      <c r="E32" s="5" t="n">
        <v>2470</v>
      </c>
      <c r="F32" s="5" t="n">
        <v>1927</v>
      </c>
      <c r="G32" s="5" t="n">
        <v>2387</v>
      </c>
      <c r="H32" s="5" t="n">
        <v>4435</v>
      </c>
      <c r="I32" s="5" t="n">
        <v>1752</v>
      </c>
      <c r="J32" s="5" t="n">
        <v>3033</v>
      </c>
      <c r="K32" s="5" t="n">
        <v>5214</v>
      </c>
    </row>
    <row r="34" ht="280" customHeight="1">
      <c r="A34" s="8" t="inlineStr">
        <is>
          <t>Sources - Jordan International Bank Plc's own Profit or Loss Account and Statement of Comprehensive Income, from each year's Companies House-filed Annual Report and Financial Statements (all 10 filings fully scanned/image-only, transcribed via page-image review):
FY2025: Annual Report and Financial Statements 2025, pp.26-27 - https://find-and-update.company-information.service.gov.uk/company/01814093/filing-history/MzUyMzkyMzgzOGFkaXF6a2N4/document?format=pdf&amp;download=0
FY2024: Annual Report and Financial Statements 2024, pp.26-27 - https://find-and-update.company-information.service.gov.uk/company/01814093/filing-history/MzQ2NjcyMDU4MGFkaXF6a2N4/document?format=pdf&amp;download=0
FY2023: Annual Report and Financial Statements 2023, pp.24-25 - https://find-and-update.company-information.service.gov.uk/company/01814093/filing-history/MzQyMjAyODYxMmFkaXF6a2N4/document?format=pdf&amp;download=0
FY2022: Annual Report and Financial Statements 2022, pp.24-25 - https://find-and-update.company-information.service.gov.uk/company/01814093/filing-history/MzM3OTQ2NzM2OWFkaXF6a2N4/document?format=pdf&amp;download=0
FY2021: Annual Report and Financial Statements 2021, pp.25-26 - https://find-and-update.company-information.service.gov.uk/company/01814093/filing-history/MzMzNzcwMzA4MGFkaXF6a2N4/document?format=pdf&amp;download=0
FY2020: Annual Report and Financial Statements 2020, pp.23-24 - https://find-and-update.company-information.service.gov.uk/company/01814093/filing-history/MzMwMjEyMjEzMmFkaXF6a2N4/document?format=pdf&amp;download=0
FY2019: Annual Report and Financial Statements 2019, pp.20-21 - https://find-and-update.company-information.service.gov.uk/company/01814093/filing-history/MzI3MjMxMDgyMmFkaXF6a2N4/document?format=pdf&amp;download=0
FY2018: Annual Report and Financial Statements 2018, p.18 - https://find-and-update.company-information.service.gov.uk/company/01814093/filing-history/MzIzNjcxMTg2MGFkaXF6a2N4/document?format=pdf&amp;download=0
FY2017: Annual Report and Financial Statements 2017, p.16 - https://find-and-update.company-information.service.gov.uk/company/01814093/filing-history/MzIwMzMyNzI2NWFkaXF6a2N4/document?format=pdf&amp;download=0
FY2016: Annual Report and Financial Statements 2016, p.12 - https://find-and-update.company-information.service.gov.uk/company/01814093/filing-history/MzE3NTk2MTg3NWFkaXF6a2N4/document?format=pdf&amp;download=0
Presentation changes across years, reproduced as disclosed: FY2021/FY2022 label the 'Foreign exchange gains' line 'Dealing profits' and use 'Depreciation and amortisation' instead of 'Depreciation'; FY2021/FY2022 head the pre-tax profit line 'OPERATING PROFIT AND PROFIT ON ORDINARY ACTIVITIES BEFORE TAXATION' rather than 'PROFIT BEFORE TAXATION' (same line, label only, consistent all the way back to FY2016). FY2021's OCI section includes a distinct 'Revaluation transfer' line (nil that year); the same concept recurs FY2020 (£237k) and, at much larger scale with two sub-components (a 'current year' £654k and a 'prior years' £1,485k transfer, both from disposals of the Bank's AFS/FVOCI debt securities portfolio being recycled out of the revaluation reserve), FY2017 (£2,139k combined) - all recorded on the same 'Revaluation transfer' row. FY2017 also charges the identical £2,139k against operating profit as 'Revaluation movement from OCI (recycled to P&amp;L)' - both the OCI-side reversal and the P&amp;L-side recognition are the Bank's own presentation of the same recycling event, not a double count (Total comprehensive income nets the two to the correct £3,033k). FY2016-FY2019 use pre-IFRS 9 terminology, labelling the credit-loss line 'Impairment of loans and advances' rather than 'Provision for expected credit losses' (same underlying concept, transcribed onto the same row); FY2016-FY2018 also separately disclose small 'Fair value changes in assets held at FVTPL' movements not repeated from FY2020 onward. FY2018's Statement of Comprehensive Income is not presented as a separate page (unlike FY2019 onward) - its OCI movement of £(1,594)k is disclosed net-of-tax only, directly in that year's Statement of Changes in Equity, so no separate 'Deferred tax on OCI' figure exists for FY2018 to transcribe. 'Gain on sale of assets held for sale' only exists FY2025, tied to that year's new Assets held for sale balance sheet line.
Each year's Balance Sheet, Profit &amp; Loss and Statement of Changes in Equity use that year's own originally-published Annual Report and Financial Statements (Companies House-filed, company 01814093), not a later restated comparative - matching the existing Cash Flow Statement's convention. The equity reconciliation ladder ties exactly at every year boundary: each year's own closing balance ties to both the next year's own opening balance and that year's own Balance Sheet Total equity - zero plug rows needed anywhere. Both FY2016-2025 shareholders are named in every year's own Statement of Changes in Equity ('Housing Bank For Trade &amp; Finance' and 'Arab Jordan Investment Bank', both Jordan-incorporated parent banks) - confirming every year's figures are this UK-incorporated subsidiary's own, not a conflation with either Jordanian parent's own group-level disclosures.</t>
        </is>
      </c>
    </row>
  </sheetData>
  <mergeCells count="1">
    <mergeCell ref="A34:K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Jordan International Bank Plc - Statement of Changes in Equity</t>
        </is>
      </c>
    </row>
    <row r="2">
      <c r="A2" s="2" t="inlineStr">
        <is>
          <t>Chronological roll-forward, oldest to newest (£'000, GBP). Equity reconciliation ladder confirmed: every year's own closing balance ties exactly to both the next year's own opening balance and that year's own Balance Sheet Total equity - zero plug rows needed anywhere.</t>
        </is>
      </c>
    </row>
    <row r="3">
      <c r="A3" s="4" t="inlineStr">
        <is>
          <t>Movement</t>
        </is>
      </c>
      <c r="B3" s="4" t="inlineStr">
        <is>
          <t>Called-up capital</t>
        </is>
      </c>
      <c r="C3" s="4" t="inlineStr">
        <is>
          <t>Share premium account</t>
        </is>
      </c>
      <c r="D3" s="4" t="inlineStr">
        <is>
          <t>Revaluation reserve</t>
        </is>
      </c>
      <c r="E3" s="4" t="inlineStr">
        <is>
          <t>Profit or loss account</t>
        </is>
      </c>
      <c r="F3" s="4" t="inlineStr">
        <is>
          <t>Total equity</t>
        </is>
      </c>
    </row>
    <row r="4">
      <c r="A4" s="5" t="inlineStr">
        <is>
          <t>Balance at 1 January 2016</t>
        </is>
      </c>
      <c r="B4" s="5" t="n">
        <v>65000</v>
      </c>
      <c r="C4" s="5" t="n">
        <v>316</v>
      </c>
      <c r="D4" s="5" t="n">
        <v>-1753</v>
      </c>
      <c r="E4" s="5" t="n">
        <v>11338</v>
      </c>
      <c r="F4" s="5" t="n">
        <v>74901</v>
      </c>
    </row>
    <row r="5">
      <c r="A5" s="6" t="inlineStr">
        <is>
          <t>Movement in revaluation reserve, net of tax</t>
        </is>
      </c>
      <c r="B5" s="6" t="n"/>
      <c r="C5" s="6" t="n"/>
      <c r="D5" s="6" t="n">
        <v>796</v>
      </c>
      <c r="E5" s="6" t="n"/>
      <c r="F5" s="6" t="n">
        <v>796</v>
      </c>
    </row>
    <row r="6">
      <c r="A6" s="6" t="inlineStr">
        <is>
          <t>Profit for the year</t>
        </is>
      </c>
      <c r="B6" s="6" t="n"/>
      <c r="C6" s="6" t="n"/>
      <c r="D6" s="6" t="n"/>
      <c r="E6" s="6" t="n">
        <v>4418</v>
      </c>
      <c r="F6" s="6" t="n">
        <v>4418</v>
      </c>
    </row>
    <row r="7">
      <c r="A7" s="5" t="inlineStr">
        <is>
          <t>Total comprehensive income for the period</t>
        </is>
      </c>
      <c r="B7" s="5" t="n">
        <v>0</v>
      </c>
      <c r="C7" s="5" t="n">
        <v>0</v>
      </c>
      <c r="D7" s="5" t="n">
        <v>796</v>
      </c>
      <c r="E7" s="5" t="n">
        <v>4418</v>
      </c>
      <c r="F7" s="5" t="n">
        <v>5214</v>
      </c>
    </row>
    <row r="8">
      <c r="A8" s="5" t="inlineStr">
        <is>
          <t>Closing balance at 31 December 2016</t>
        </is>
      </c>
      <c r="B8" s="5" t="n">
        <v>65000</v>
      </c>
      <c r="C8" s="5" t="n">
        <v>316</v>
      </c>
      <c r="D8" s="5" t="n">
        <v>-957</v>
      </c>
      <c r="E8" s="5" t="n">
        <v>15756</v>
      </c>
      <c r="F8" s="5" t="n">
        <v>80115</v>
      </c>
    </row>
    <row r="9">
      <c r="A9" s="6" t="inlineStr">
        <is>
          <t>Movement in revaluation reserve, net of tax</t>
        </is>
      </c>
      <c r="B9" s="6" t="n"/>
      <c r="C9" s="6" t="n"/>
      <c r="D9" s="6" t="n">
        <v>1573</v>
      </c>
      <c r="E9" s="6" t="n"/>
      <c r="F9" s="6" t="n">
        <v>1573</v>
      </c>
    </row>
    <row r="10">
      <c r="A10" s="6" t="inlineStr">
        <is>
          <t>Profit for the year</t>
        </is>
      </c>
      <c r="B10" s="6" t="n"/>
      <c r="C10" s="6" t="n"/>
      <c r="D10" s="6" t="n"/>
      <c r="E10" s="6" t="n">
        <v>1460</v>
      </c>
      <c r="F10" s="6" t="n">
        <v>1460</v>
      </c>
    </row>
    <row r="11">
      <c r="A11" s="5" t="inlineStr">
        <is>
          <t>Total comprehensive income for the period</t>
        </is>
      </c>
      <c r="B11" s="5" t="n">
        <v>0</v>
      </c>
      <c r="C11" s="5" t="n">
        <v>0</v>
      </c>
      <c r="D11" s="5" t="n">
        <v>1573</v>
      </c>
      <c r="E11" s="5" t="n">
        <v>1460</v>
      </c>
      <c r="F11" s="5" t="n">
        <v>3033</v>
      </c>
    </row>
    <row r="12">
      <c r="A12" s="5" t="inlineStr">
        <is>
          <t>Closing balance at 31 December 2017</t>
        </is>
      </c>
      <c r="B12" s="5" t="n">
        <v>65000</v>
      </c>
      <c r="C12" s="5" t="n">
        <v>316</v>
      </c>
      <c r="D12" s="5" t="n">
        <v>616</v>
      </c>
      <c r="E12" s="5" t="n">
        <v>17216</v>
      </c>
      <c r="F12" s="5" t="n">
        <v>83148</v>
      </c>
    </row>
    <row r="13">
      <c r="A13" s="6" t="inlineStr">
        <is>
          <t>Adjustment on adoption of IFRS 9, net of tax</t>
        </is>
      </c>
      <c r="B13" s="6" t="n"/>
      <c r="C13" s="6" t="n"/>
      <c r="D13" s="6" t="n"/>
      <c r="E13" s="6" t="n">
        <v>-330</v>
      </c>
      <c r="F13" s="6" t="n">
        <v>-330</v>
      </c>
    </row>
    <row r="14">
      <c r="A14" s="5" t="inlineStr">
        <is>
          <t>Balance at 1 January 2018 (restated)</t>
        </is>
      </c>
      <c r="B14" s="5" t="n">
        <v>65000</v>
      </c>
      <c r="C14" s="5" t="n">
        <v>316</v>
      </c>
      <c r="D14" s="5" t="n">
        <v>616</v>
      </c>
      <c r="E14" s="5" t="n">
        <v>16886</v>
      </c>
      <c r="F14" s="5" t="n">
        <v>82818</v>
      </c>
    </row>
    <row r="15">
      <c r="A15" s="6" t="inlineStr">
        <is>
          <t>Movement in revaluation reserve, net of tax</t>
        </is>
      </c>
      <c r="B15" s="6" t="n"/>
      <c r="C15" s="6" t="n"/>
      <c r="D15" s="6" t="n">
        <v>-1594</v>
      </c>
      <c r="E15" s="6" t="n"/>
      <c r="F15" s="6" t="n">
        <v>-1594</v>
      </c>
    </row>
    <row r="16">
      <c r="A16" s="6" t="inlineStr">
        <is>
          <t>Profit for the year</t>
        </is>
      </c>
      <c r="B16" s="6" t="n"/>
      <c r="C16" s="6" t="n"/>
      <c r="D16" s="6" t="n"/>
      <c r="E16" s="6" t="n">
        <v>3346</v>
      </c>
      <c r="F16" s="6" t="n">
        <v>3346</v>
      </c>
    </row>
    <row r="17">
      <c r="A17" s="5" t="inlineStr">
        <is>
          <t>Total comprehensive income for the period</t>
        </is>
      </c>
      <c r="B17" s="5" t="n">
        <v>0</v>
      </c>
      <c r="C17" s="5" t="n">
        <v>0</v>
      </c>
      <c r="D17" s="5" t="n">
        <v>-1594</v>
      </c>
      <c r="E17" s="5" t="n">
        <v>3346</v>
      </c>
      <c r="F17" s="5" t="n">
        <v>1752</v>
      </c>
    </row>
    <row r="18">
      <c r="A18" s="5" t="inlineStr">
        <is>
          <t>Closing balance at 31 December 2018</t>
        </is>
      </c>
      <c r="B18" s="5" t="n">
        <v>65000</v>
      </c>
      <c r="C18" s="5" t="n">
        <v>316</v>
      </c>
      <c r="D18" s="5" t="n">
        <v>-978</v>
      </c>
      <c r="E18" s="5" t="n">
        <v>20232</v>
      </c>
      <c r="F18" s="5" t="n">
        <v>84570</v>
      </c>
    </row>
    <row r="19">
      <c r="A19" s="6" t="inlineStr">
        <is>
          <t>Movement in revaluation reserve, net of tax</t>
        </is>
      </c>
      <c r="B19" s="6" t="n"/>
      <c r="C19" s="6" t="n"/>
      <c r="D19" s="6" t="n">
        <v>1986</v>
      </c>
      <c r="E19" s="6" t="n"/>
      <c r="F19" s="6" t="n">
        <v>1986</v>
      </c>
    </row>
    <row r="20">
      <c r="A20" s="6" t="inlineStr">
        <is>
          <t>Profit for the year</t>
        </is>
      </c>
      <c r="B20" s="6" t="n"/>
      <c r="C20" s="6" t="n"/>
      <c r="D20" s="6" t="n"/>
      <c r="E20" s="6" t="n">
        <v>2449</v>
      </c>
      <c r="F20" s="6" t="n">
        <v>2449</v>
      </c>
    </row>
    <row r="21">
      <c r="A21" s="5" t="inlineStr">
        <is>
          <t>Total comprehensive income for the period</t>
        </is>
      </c>
      <c r="B21" s="5" t="n">
        <v>0</v>
      </c>
      <c r="C21" s="5" t="n">
        <v>0</v>
      </c>
      <c r="D21" s="5" t="n">
        <v>1986</v>
      </c>
      <c r="E21" s="5" t="n">
        <v>2449</v>
      </c>
      <c r="F21" s="5" t="n">
        <v>4435</v>
      </c>
    </row>
    <row r="22">
      <c r="A22" s="5" t="inlineStr">
        <is>
          <t>Closing balance at 31 December 2019</t>
        </is>
      </c>
      <c r="B22" s="5" t="n">
        <v>65000</v>
      </c>
      <c r="C22" s="5" t="n">
        <v>316</v>
      </c>
      <c r="D22" s="5" t="n">
        <v>1008</v>
      </c>
      <c r="E22" s="5" t="n">
        <v>22681</v>
      </c>
      <c r="F22" s="5" t="n">
        <v>89005</v>
      </c>
    </row>
    <row r="23">
      <c r="A23" s="6" t="inlineStr">
        <is>
          <t>Movement in revaluation reserve, net of tax</t>
        </is>
      </c>
      <c r="B23" s="6" t="n"/>
      <c r="C23" s="6" t="n"/>
      <c r="D23" s="6" t="n">
        <v>444</v>
      </c>
      <c r="E23" s="6" t="n"/>
      <c r="F23" s="6" t="n">
        <v>444</v>
      </c>
    </row>
    <row r="24">
      <c r="A24" s="6" t="inlineStr">
        <is>
          <t>Profit for the year</t>
        </is>
      </c>
      <c r="B24" s="6" t="n"/>
      <c r="C24" s="6" t="n"/>
      <c r="D24" s="6" t="n"/>
      <c r="E24" s="6" t="n">
        <v>1943</v>
      </c>
      <c r="F24" s="6" t="n">
        <v>1943</v>
      </c>
    </row>
    <row r="25">
      <c r="A25" s="5" t="inlineStr">
        <is>
          <t>Total comprehensive income for the period</t>
        </is>
      </c>
      <c r="B25" s="5" t="n">
        <v>0</v>
      </c>
      <c r="C25" s="5" t="n">
        <v>0</v>
      </c>
      <c r="D25" s="5" t="n">
        <v>444</v>
      </c>
      <c r="E25" s="5" t="n">
        <v>1943</v>
      </c>
      <c r="F25" s="5" t="n">
        <v>2387</v>
      </c>
    </row>
    <row r="26">
      <c r="A26" s="5" t="inlineStr">
        <is>
          <t>Closing balance at 31 December 2020</t>
        </is>
      </c>
      <c r="B26" s="5" t="n">
        <v>65000</v>
      </c>
      <c r="C26" s="5" t="n">
        <v>316</v>
      </c>
      <c r="D26" s="5" t="n">
        <v>1452</v>
      </c>
      <c r="E26" s="5" t="n">
        <v>24624</v>
      </c>
      <c r="F26" s="5" t="n">
        <v>91392</v>
      </c>
    </row>
    <row r="27">
      <c r="A27" s="6" t="inlineStr">
        <is>
          <t>Movement in revaluation reserve, net of tax</t>
        </is>
      </c>
      <c r="B27" s="6" t="n"/>
      <c r="C27" s="6" t="n"/>
      <c r="D27" s="6" t="n">
        <v>-819</v>
      </c>
      <c r="E27" s="6" t="n"/>
      <c r="F27" s="6" t="n">
        <v>-819</v>
      </c>
    </row>
    <row r="28">
      <c r="A28" s="6" t="inlineStr">
        <is>
          <t>Profit for the year</t>
        </is>
      </c>
      <c r="B28" s="6" t="n"/>
      <c r="C28" s="6" t="n"/>
      <c r="D28" s="6" t="n"/>
      <c r="E28" s="6" t="n">
        <v>2746</v>
      </c>
      <c r="F28" s="6" t="n">
        <v>2746</v>
      </c>
    </row>
    <row r="29">
      <c r="A29" s="5" t="inlineStr">
        <is>
          <t>Total comprehensive income for the period</t>
        </is>
      </c>
      <c r="B29" s="5" t="n">
        <v>0</v>
      </c>
      <c r="C29" s="5" t="n">
        <v>0</v>
      </c>
      <c r="D29" s="5" t="n">
        <v>-819</v>
      </c>
      <c r="E29" s="5" t="n">
        <v>2746</v>
      </c>
      <c r="F29" s="5" t="n">
        <v>1927</v>
      </c>
    </row>
    <row r="30">
      <c r="A30" s="5" t="inlineStr">
        <is>
          <t>Closing balance at 31 December 2021</t>
        </is>
      </c>
      <c r="B30" s="5" t="n">
        <v>65000</v>
      </c>
      <c r="C30" s="5" t="n">
        <v>316</v>
      </c>
      <c r="D30" s="5" t="n">
        <v>633</v>
      </c>
      <c r="E30" s="5" t="n">
        <v>27370</v>
      </c>
      <c r="F30" s="5" t="n">
        <v>93319</v>
      </c>
    </row>
    <row r="31">
      <c r="A31" s="6" t="inlineStr">
        <is>
          <t>Movement in revaluation reserve, net of tax</t>
        </is>
      </c>
      <c r="B31" s="6" t="n"/>
      <c r="C31" s="6" t="n"/>
      <c r="D31" s="6" t="n">
        <v>-1040</v>
      </c>
      <c r="E31" s="6" t="n"/>
      <c r="F31" s="6" t="n">
        <v>-1040</v>
      </c>
    </row>
    <row r="32">
      <c r="A32" s="6" t="inlineStr">
        <is>
          <t>Profit for the year</t>
        </is>
      </c>
      <c r="B32" s="6" t="n"/>
      <c r="C32" s="6" t="n"/>
      <c r="D32" s="6" t="n"/>
      <c r="E32" s="6" t="n">
        <v>3510</v>
      </c>
      <c r="F32" s="6" t="n">
        <v>3510</v>
      </c>
    </row>
    <row r="33">
      <c r="A33" s="5" t="inlineStr">
        <is>
          <t>Total comprehensive income for the period</t>
        </is>
      </c>
      <c r="B33" s="5" t="n">
        <v>0</v>
      </c>
      <c r="C33" s="5" t="n">
        <v>0</v>
      </c>
      <c r="D33" s="5" t="n">
        <v>-1040</v>
      </c>
      <c r="E33" s="5" t="n">
        <v>3510</v>
      </c>
      <c r="F33" s="5" t="n">
        <v>2470</v>
      </c>
    </row>
    <row r="34">
      <c r="A34" s="6" t="inlineStr">
        <is>
          <t>Dividend paid to equity holders</t>
        </is>
      </c>
      <c r="B34" s="6" t="n"/>
      <c r="C34" s="6" t="n"/>
      <c r="D34" s="6" t="n"/>
      <c r="E34" s="6" t="n">
        <v>-12000</v>
      </c>
      <c r="F34" s="6" t="n">
        <v>-12000</v>
      </c>
    </row>
    <row r="35">
      <c r="A35" s="5" t="inlineStr">
        <is>
          <t>Closing balance at 31 December 2022</t>
        </is>
      </c>
      <c r="B35" s="5" t="n">
        <v>65000</v>
      </c>
      <c r="C35" s="5" t="n">
        <v>316</v>
      </c>
      <c r="D35" s="5" t="n">
        <v>-407</v>
      </c>
      <c r="E35" s="5" t="n">
        <v>18880</v>
      </c>
      <c r="F35" s="5" t="n">
        <v>83789</v>
      </c>
    </row>
    <row r="36">
      <c r="A36" s="6" t="inlineStr">
        <is>
          <t>Movement in revaluation reserve, net of tax</t>
        </is>
      </c>
      <c r="B36" s="6" t="n"/>
      <c r="C36" s="6" t="n"/>
      <c r="D36" s="6" t="n">
        <v>268</v>
      </c>
      <c r="E36" s="6" t="n"/>
      <c r="F36" s="6" t="n">
        <v>268</v>
      </c>
    </row>
    <row r="37">
      <c r="A37" s="6" t="inlineStr">
        <is>
          <t>Profit for the year</t>
        </is>
      </c>
      <c r="B37" s="6" t="n"/>
      <c r="C37" s="6" t="n"/>
      <c r="D37" s="6" t="n"/>
      <c r="E37" s="6" t="n">
        <v>4904</v>
      </c>
      <c r="F37" s="6" t="n">
        <v>4904</v>
      </c>
    </row>
    <row r="38">
      <c r="A38" s="5" t="inlineStr">
        <is>
          <t>Total comprehensive income for the period</t>
        </is>
      </c>
      <c r="B38" s="5" t="n">
        <v>0</v>
      </c>
      <c r="C38" s="5" t="n">
        <v>0</v>
      </c>
      <c r="D38" s="5" t="n">
        <v>268</v>
      </c>
      <c r="E38" s="5" t="n">
        <v>4904</v>
      </c>
      <c r="F38" s="5" t="n">
        <v>5172</v>
      </c>
    </row>
    <row r="39">
      <c r="A39" s="5" t="inlineStr">
        <is>
          <t>Closing balance at 31 December 2023</t>
        </is>
      </c>
      <c r="B39" s="5" t="n">
        <v>65000</v>
      </c>
      <c r="C39" s="5" t="n">
        <v>316</v>
      </c>
      <c r="D39" s="5" t="n">
        <v>-139</v>
      </c>
      <c r="E39" s="5" t="n">
        <v>23784</v>
      </c>
      <c r="F39" s="5" t="n">
        <v>88961</v>
      </c>
    </row>
    <row r="40">
      <c r="A40" s="6" t="inlineStr">
        <is>
          <t>Movement in revaluation reserve, net of tax</t>
        </is>
      </c>
      <c r="B40" s="6" t="n"/>
      <c r="C40" s="6" t="n"/>
      <c r="D40" s="6" t="n">
        <v>-6</v>
      </c>
      <c r="E40" s="6" t="n"/>
      <c r="F40" s="6" t="n">
        <v>-6</v>
      </c>
    </row>
    <row r="41">
      <c r="A41" s="6" t="inlineStr">
        <is>
          <t>Profit for the year</t>
        </is>
      </c>
      <c r="B41" s="6" t="n"/>
      <c r="C41" s="6" t="n"/>
      <c r="D41" s="6" t="n"/>
      <c r="E41" s="6" t="n">
        <v>4966</v>
      </c>
      <c r="F41" s="6" t="n">
        <v>4966</v>
      </c>
    </row>
    <row r="42">
      <c r="A42" s="5" t="inlineStr">
        <is>
          <t>Total comprehensive income for the period</t>
        </is>
      </c>
      <c r="B42" s="5" t="n">
        <v>0</v>
      </c>
      <c r="C42" s="5" t="n">
        <v>0</v>
      </c>
      <c r="D42" s="5" t="n">
        <v>-6</v>
      </c>
      <c r="E42" s="5" t="n">
        <v>4966</v>
      </c>
      <c r="F42" s="5" t="n">
        <v>4960</v>
      </c>
    </row>
    <row r="43">
      <c r="A43" s="5" t="inlineStr">
        <is>
          <t>Closing balance at 31 December 2024</t>
        </is>
      </c>
      <c r="B43" s="5" t="n">
        <v>65000</v>
      </c>
      <c r="C43" s="5" t="n">
        <v>316</v>
      </c>
      <c r="D43" s="5" t="n">
        <v>-145</v>
      </c>
      <c r="E43" s="5" t="n">
        <v>28750</v>
      </c>
      <c r="F43" s="5" t="n">
        <v>93921</v>
      </c>
    </row>
    <row r="44">
      <c r="A44" s="6" t="inlineStr">
        <is>
          <t>Movement in revaluation reserve, net of tax</t>
        </is>
      </c>
      <c r="B44" s="6" t="n"/>
      <c r="C44" s="6" t="n"/>
      <c r="D44" s="6" t="n">
        <v>129</v>
      </c>
      <c r="E44" s="6" t="n"/>
      <c r="F44" s="6" t="n">
        <v>129</v>
      </c>
    </row>
    <row r="45">
      <c r="A45" s="6" t="inlineStr">
        <is>
          <t>Profit for the year</t>
        </is>
      </c>
      <c r="B45" s="6" t="n"/>
      <c r="C45" s="6" t="n"/>
      <c r="D45" s="6" t="n"/>
      <c r="E45" s="6" t="n">
        <v>1678</v>
      </c>
      <c r="F45" s="6" t="n">
        <v>1678</v>
      </c>
    </row>
    <row r="46">
      <c r="A46" s="5" t="inlineStr">
        <is>
          <t>Total comprehensive income for the period</t>
        </is>
      </c>
      <c r="B46" s="5" t="n">
        <v>0</v>
      </c>
      <c r="C46" s="5" t="n">
        <v>0</v>
      </c>
      <c r="D46" s="5" t="n">
        <v>129</v>
      </c>
      <c r="E46" s="5" t="n">
        <v>1678</v>
      </c>
      <c r="F46" s="5" t="n">
        <v>1807</v>
      </c>
    </row>
    <row r="47">
      <c r="A47" s="5" t="inlineStr">
        <is>
          <t>Closing balance at 31 December 2025</t>
        </is>
      </c>
      <c r="B47" s="5" t="n">
        <v>65000</v>
      </c>
      <c r="C47" s="5" t="n">
        <v>316</v>
      </c>
      <c r="D47" s="5" t="n">
        <v>-16</v>
      </c>
      <c r="E47" s="5" t="n">
        <v>30428</v>
      </c>
      <c r="F47" s="5" t="n">
        <v>95728</v>
      </c>
    </row>
    <row r="49" ht="364" customHeight="1">
      <c r="A49" s="8" t="inlineStr">
        <is>
          <t>Sources - Jordan International Bank Plc's own Statement of Changes in Equity, from each year's Companies House-filed Annual Report and Financial Statements (all 10 filings fully scanned/image-only, transcribed via page-image review):
FY2025: Annual Report and Financial Statements 2025, p.29 - https://find-and-update.company-information.service.gov.uk/company/01814093/filing-history/MzUyMzkyMzgzOGFkaXF6a2N4/document?format=pdf&amp;download=0
FY2024: Annual Report and Financial Statements 2024, p.29 - https://find-and-update.company-information.service.gov.uk/company/01814093/filing-history/MzQ2NjcyMDU4MGFkaXF6a2N4/document?format=pdf&amp;download=0
FY2023: Annual Report and Financial Statements 2023, p.27 - https://find-and-update.company-information.service.gov.uk/company/01814093/filing-history/MzQyMjAyODYxMmFkaXF6a2N4/document?format=pdf&amp;download=0
FY2022: Annual Report and Financial Statements 2022, p.27 - https://find-and-update.company-information.service.gov.uk/company/01814093/filing-history/MzM3OTQ2NzM2OWFkaXF6a2N4/document?format=pdf&amp;download=0
FY2021: Annual Report and Financial Statements 2021, p.28 - https://find-and-update.company-information.service.gov.uk/company/01814093/filing-history/MzMzNzcwMzA4MGFkaXF6a2N4/document?format=pdf&amp;download=0
FY2020: Annual Report and Financial Statements 2020, p.26 - https://find-and-update.company-information.service.gov.uk/company/01814093/filing-history/MzMwMjEyMjEzMmFkaXF6a2N4/document?format=pdf&amp;download=0
FY2019: Annual Report and Financial Statements 2019, p.23 - https://find-and-update.company-information.service.gov.uk/company/01814093/filing-history/MzI3MjMxMDgyMmFkaXF6a2N4/document?format=pdf&amp;download=0
FY2018: Annual Report and Financial Statements 2018, p.21 - https://find-and-update.company-information.service.gov.uk/company/01814093/filing-history/MzIzNjcxMTg2MGFkaXF6a2N4/document?format=pdf&amp;download=0
FY2017: Annual Report and Financial Statements 2017, p.18 - https://find-and-update.company-information.service.gov.uk/company/01814093/filing-history/MzIwMzMyNzI2NWFkaXF6a2N4/document?format=pdf&amp;download=0
FY2016: Annual Report and Financial Statements 2016, p.14 (also cross-checked against FY2017's own FY2016 comparative column, p.18) - https://find-and-update.company-information.service.gov.uk/company/01814093/filing-history/MzE3NTk2MTg3NWFkaXF6a2N4/document?format=pdf&amp;download=0
Built year-by-year per the project's reconciliation ladder: each year's own opening + movements = closing balance, checked against both the next year's own reported opening and that year's own Balance Sheet Total equity before moving on. Ties exactly at every boundary - zero plug rows needed anywhere. The Bank adopted IFRS 9 with effect from 1 January 2018, recognising a one-off £330k transitional charge direct to retained earnings (confirmed against both the FY2018 SOCIE and Note 11's own ECL roll-forward, which opens 1 January 2018 with the same adjustment); FY2017's own £2,139k combined revaluation-reserve transfer (disposal recycling, see Profit &amp; Loss sheet) is folded into that year's single 'Movement in revaluation reserve, net of tax' line here alongside the smaller like-for-like revaluation movement, matching this sheet's established one-row-per-year convention.</t>
        </is>
      </c>
    </row>
    <row r="51" ht="260" customHeight="1">
      <c r="A51" s="8" t="inlineStr">
        <is>
          <t>(continued)
Each year's Balance Sheet, Profit &amp; Loss and Statement of Changes in Equity use that year's own originally-published Annual Report and Financial Statements (Companies House-filed, company 01814093), not a later restated comparative - matching the existing Cash Flow Statement's convention. The equity reconciliation ladder ties exactly at every year boundary: each year's own closing balance ties to both the next year's own opening balance and that year's own Balance Sheet Total equity - zero plug rows needed anywhere. Both FY2016-2025 shareholders are named in every year's own Statement of Changes in Equity ('Housing Bank For Trade &amp; Finance' and 'Arab Jordan Investment Bank', both Jordan-incorporated parent banks) - confirming every year's figures are this UK-incorporated subsidiary's own, not a conflation with either Jordanian parent's own group-level disclosures.</t>
        </is>
      </c>
    </row>
  </sheetData>
  <mergeCells count="2">
    <mergeCell ref="A49:F49"/>
    <mergeCell ref="A51:F5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Cash Flow Statement</t>
        </is>
      </c>
    </row>
    <row r="2">
      <c r="A2" s="2" t="inlineStr">
        <is>
          <t>For the years ended 31 December (£'000, GBP)</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Net cash generated/(used) in operating activities</t>
        </is>
      </c>
      <c r="B4" s="5" t="n">
        <v>-8564</v>
      </c>
      <c r="C4" s="5" t="n">
        <v>32529</v>
      </c>
      <c r="D4" s="5" t="n">
        <v>-15204</v>
      </c>
      <c r="E4" s="5" t="n">
        <v>7948</v>
      </c>
      <c r="F4" s="5" t="n">
        <v>-11006</v>
      </c>
      <c r="G4" s="5" t="n">
        <v>-35856</v>
      </c>
      <c r="H4" s="5" t="n">
        <v>6906</v>
      </c>
      <c r="I4" s="5" t="n">
        <v>-60350</v>
      </c>
      <c r="J4" s="5" t="n">
        <v>-26140</v>
      </c>
      <c r="K4" s="5" t="n">
        <v>17609</v>
      </c>
    </row>
    <row r="5">
      <c r="A5" s="5" t="inlineStr">
        <is>
          <t>Cash flows from investing activities</t>
        </is>
      </c>
      <c r="B5" s="6" t="n"/>
      <c r="C5" s="6" t="n"/>
      <c r="D5" s="6" t="n"/>
      <c r="E5" s="6" t="n"/>
      <c r="F5" s="6" t="n"/>
      <c r="G5" s="6" t="n"/>
      <c r="H5" s="6" t="n"/>
      <c r="I5" s="6" t="n"/>
      <c r="J5" s="6" t="n"/>
      <c r="K5" s="6" t="n"/>
    </row>
    <row r="6">
      <c r="A6" s="6" t="inlineStr">
        <is>
          <t>Purchase of debt securities</t>
        </is>
      </c>
      <c r="B6" s="6" t="n">
        <v>-86255</v>
      </c>
      <c r="C6" s="6" t="n">
        <v>-146299</v>
      </c>
      <c r="D6" s="6" t="n">
        <v>-104590</v>
      </c>
      <c r="E6" s="6" t="n">
        <v>-87618</v>
      </c>
      <c r="F6" s="6" t="n">
        <v>-78745</v>
      </c>
      <c r="G6" s="6" t="n">
        <v>-98455</v>
      </c>
      <c r="H6" s="6" t="n">
        <v>-69903</v>
      </c>
      <c r="I6" s="6" t="n">
        <v>-102879</v>
      </c>
      <c r="J6" s="6" t="n">
        <v>-115414</v>
      </c>
      <c r="K6" s="6" t="n">
        <v>-80297</v>
      </c>
    </row>
    <row r="7">
      <c r="A7" s="6" t="inlineStr">
        <is>
          <t>Proceeds from the sale and maturity of debt securities</t>
        </is>
      </c>
      <c r="B7" s="6" t="n">
        <v>76479</v>
      </c>
      <c r="C7" s="6" t="n">
        <v>118151</v>
      </c>
      <c r="D7" s="6" t="n">
        <v>121290</v>
      </c>
      <c r="E7" s="6" t="n">
        <v>106746</v>
      </c>
      <c r="F7" s="6" t="n">
        <v>80891</v>
      </c>
      <c r="G7" s="6" t="n">
        <v>105008</v>
      </c>
      <c r="H7" s="6" t="n">
        <v>72333</v>
      </c>
      <c r="I7" s="6" t="n">
        <v>99096</v>
      </c>
      <c r="J7" s="6" t="n">
        <v>128302</v>
      </c>
      <c r="K7" s="6" t="n">
        <v>102898</v>
      </c>
    </row>
    <row r="8">
      <c r="A8" s="6" t="inlineStr">
        <is>
          <t>Interest received from debt securities</t>
        </is>
      </c>
      <c r="B8" s="6" t="n">
        <v>5151</v>
      </c>
      <c r="C8" s="6" t="n">
        <v>4134</v>
      </c>
      <c r="D8" s="6" t="n">
        <v>3804</v>
      </c>
      <c r="E8" s="6" t="n">
        <v>2599</v>
      </c>
      <c r="F8" s="6" t="n">
        <v>2217</v>
      </c>
      <c r="G8" s="6" t="n">
        <v>3122</v>
      </c>
      <c r="H8" s="6" t="n">
        <v>3869</v>
      </c>
      <c r="I8" s="6" t="n">
        <v>3290</v>
      </c>
      <c r="J8" s="6" t="n">
        <v>2969</v>
      </c>
      <c r="K8" s="6" t="n">
        <v>3039</v>
      </c>
    </row>
    <row r="9">
      <c r="A9" s="6" t="inlineStr">
        <is>
          <t>Other assets sold</t>
        </is>
      </c>
      <c r="B9" s="6" t="n"/>
      <c r="C9" s="6" t="n"/>
      <c r="D9" s="6" t="n"/>
      <c r="E9" s="6" t="n"/>
      <c r="F9" s="6" t="n"/>
      <c r="G9" s="6" t="n"/>
      <c r="H9" s="6" t="n"/>
      <c r="I9" s="6" t="n"/>
      <c r="J9" s="6" t="n">
        <v>976</v>
      </c>
      <c r="K9" s="6" t="n">
        <v>789</v>
      </c>
    </row>
    <row r="10">
      <c r="A10" s="6" t="inlineStr">
        <is>
          <t>Purchase of tangible fixed assets</t>
        </is>
      </c>
      <c r="B10" s="6" t="n">
        <v>-239</v>
      </c>
      <c r="C10" s="6" t="n">
        <v>-472</v>
      </c>
      <c r="D10" s="6" t="n">
        <v>-343</v>
      </c>
      <c r="E10" s="6" t="n">
        <v>-464</v>
      </c>
      <c r="F10" s="6" t="n">
        <v>-447</v>
      </c>
      <c r="G10" s="6" t="n">
        <v>-554</v>
      </c>
      <c r="H10" s="6" t="n">
        <v>-424</v>
      </c>
      <c r="I10" s="6" t="n">
        <v>-1153</v>
      </c>
      <c r="J10" s="6" t="n">
        <v>-727</v>
      </c>
      <c r="K10" s="6" t="n">
        <v>-392</v>
      </c>
    </row>
    <row r="11">
      <c r="A11" s="6" t="inlineStr">
        <is>
          <t>Purchase of intangible assets</t>
        </is>
      </c>
      <c r="B11" s="6" t="n">
        <v>-225</v>
      </c>
      <c r="C11" s="6" t="n"/>
      <c r="D11" s="6" t="n"/>
      <c r="E11" s="6" t="n"/>
      <c r="F11" s="6" t="n"/>
      <c r="G11" s="6" t="n"/>
      <c r="H11" s="6" t="n"/>
      <c r="I11" s="6" t="n"/>
      <c r="J11" s="6" t="n"/>
      <c r="K11" s="6" t="n"/>
    </row>
    <row r="12">
      <c r="A12" s="5" t="inlineStr">
        <is>
          <t>Net cash generated by investing activities</t>
        </is>
      </c>
      <c r="B12" s="5" t="n">
        <v>-5089</v>
      </c>
      <c r="C12" s="5" t="n">
        <v>-24486</v>
      </c>
      <c r="D12" s="5" t="n">
        <v>20161</v>
      </c>
      <c r="E12" s="5" t="n">
        <v>21263</v>
      </c>
      <c r="F12" s="5" t="n">
        <v>3916</v>
      </c>
      <c r="G12" s="5" t="n">
        <v>9121</v>
      </c>
      <c r="H12" s="5" t="n">
        <v>5875</v>
      </c>
      <c r="I12" s="5" t="n">
        <v>-1646</v>
      </c>
      <c r="J12" s="5" t="n">
        <v>16106</v>
      </c>
      <c r="K12" s="5" t="n">
        <v>26037</v>
      </c>
    </row>
    <row r="13">
      <c r="A13" s="5" t="inlineStr">
        <is>
          <t>Cashflows from financing activities</t>
        </is>
      </c>
      <c r="B13" s="6" t="n"/>
      <c r="C13" s="6" t="n"/>
      <c r="D13" s="6" t="n"/>
      <c r="E13" s="6" t="n"/>
      <c r="F13" s="6" t="n"/>
      <c r="G13" s="6" t="n"/>
      <c r="H13" s="6" t="n"/>
      <c r="I13" s="6" t="n"/>
      <c r="J13" s="6" t="n"/>
      <c r="K13" s="6" t="n"/>
    </row>
    <row r="14">
      <c r="A14" s="6" t="inlineStr">
        <is>
          <t>Dividend payment to equity holders</t>
        </is>
      </c>
      <c r="B14" s="6" t="n"/>
      <c r="C14" s="6" t="n"/>
      <c r="D14" s="6" t="n"/>
      <c r="E14" s="6" t="n">
        <v>-12000</v>
      </c>
      <c r="F14" s="6" t="n"/>
      <c r="G14" s="6" t="n"/>
      <c r="H14" s="6" t="n"/>
      <c r="I14" s="6" t="n"/>
      <c r="J14" s="6" t="n"/>
      <c r="K14" s="6" t="n"/>
    </row>
    <row r="15">
      <c r="A15" s="6" t="inlineStr">
        <is>
          <t>Increase in long term customer accounts</t>
        </is>
      </c>
      <c r="B15" s="6" t="n"/>
      <c r="C15" s="6" t="n"/>
      <c r="D15" s="6" t="n"/>
      <c r="E15" s="6" t="n"/>
      <c r="F15" s="6" t="n"/>
      <c r="G15" s="6" t="n"/>
      <c r="H15" s="6" t="n"/>
      <c r="I15" s="6" t="n">
        <v>7428</v>
      </c>
      <c r="J15" s="6" t="n"/>
      <c r="K15" s="6" t="n"/>
    </row>
    <row r="16">
      <c r="A16" s="5" t="inlineStr">
        <is>
          <t>Net cash generated by financing activities</t>
        </is>
      </c>
      <c r="B16" s="5" t="n"/>
      <c r="C16" s="5" t="n"/>
      <c r="D16" s="5" t="n">
        <v>0</v>
      </c>
      <c r="E16" s="5" t="n">
        <v>-12000</v>
      </c>
      <c r="F16" s="5" t="n"/>
      <c r="G16" s="5" t="n"/>
      <c r="H16" s="5" t="n"/>
      <c r="I16" s="5" t="n">
        <v>7428</v>
      </c>
      <c r="J16" s="5" t="n"/>
      <c r="K16" s="5" t="n"/>
    </row>
    <row r="17">
      <c r="A17" s="5" t="inlineStr">
        <is>
          <t>Reconciliation of movement in cash and cash equivalents</t>
        </is>
      </c>
      <c r="B17" s="6" t="n"/>
      <c r="C17" s="6" t="n"/>
      <c r="D17" s="6" t="n"/>
      <c r="E17" s="6" t="n"/>
      <c r="F17" s="6" t="n"/>
      <c r="G17" s="6" t="n"/>
      <c r="H17" s="6" t="n"/>
      <c r="I17" s="6" t="n"/>
      <c r="J17" s="6" t="n"/>
      <c r="K17" s="6" t="n"/>
    </row>
    <row r="18">
      <c r="A18" s="6" t="inlineStr">
        <is>
          <t>(Decrease)/increase in cash and cash equivalents</t>
        </is>
      </c>
      <c r="B18" s="6" t="n">
        <v>-13653</v>
      </c>
      <c r="C18" s="6" t="n">
        <v>8043</v>
      </c>
      <c r="D18" s="6" t="n">
        <v>4957</v>
      </c>
      <c r="E18" s="6" t="n">
        <v>17211</v>
      </c>
      <c r="F18" s="6" t="n">
        <v>-7090</v>
      </c>
      <c r="G18" s="6" t="n">
        <v>-26735</v>
      </c>
      <c r="H18" s="6" t="n">
        <v>12781</v>
      </c>
      <c r="I18" s="6" t="n">
        <v>-54568</v>
      </c>
      <c r="J18" s="6" t="n">
        <v>-10034</v>
      </c>
      <c r="K18" s="6" t="n">
        <v>43646</v>
      </c>
    </row>
    <row r="19">
      <c r="A19" s="6" t="inlineStr">
        <is>
          <t>Cash and cash equivalents at beginning of year</t>
        </is>
      </c>
      <c r="B19" s="6" t="n">
        <v>74046</v>
      </c>
      <c r="C19" s="6" t="n">
        <v>66003</v>
      </c>
      <c r="D19" s="6" t="n">
        <v>61046</v>
      </c>
      <c r="E19" s="6" t="n">
        <v>59925</v>
      </c>
      <c r="F19" s="6" t="n">
        <v>67015</v>
      </c>
      <c r="G19" s="6" t="n">
        <v>93750</v>
      </c>
      <c r="H19" s="6" t="n">
        <v>80969</v>
      </c>
      <c r="I19" s="6" t="n">
        <v>65625</v>
      </c>
      <c r="J19" s="6" t="n">
        <v>75659</v>
      </c>
      <c r="K19" s="6" t="n">
        <v>32013</v>
      </c>
    </row>
    <row r="20">
      <c r="A20" s="6" t="inlineStr">
        <is>
          <t>Movement in cash and cash equivalents</t>
        </is>
      </c>
      <c r="B20" s="6" t="n">
        <v>-13653</v>
      </c>
      <c r="C20" s="6" t="n">
        <v>7510</v>
      </c>
      <c r="D20" s="6" t="n">
        <v>7576</v>
      </c>
      <c r="E20" s="6" t="n">
        <v>9875</v>
      </c>
      <c r="F20" s="6" t="n">
        <v>-7533</v>
      </c>
      <c r="G20" s="6" t="n">
        <v>-27041</v>
      </c>
      <c r="H20" s="6" t="n">
        <v>12892</v>
      </c>
      <c r="I20" s="6" t="n">
        <v>-56556</v>
      </c>
      <c r="J20" s="6" t="n">
        <v>-14512</v>
      </c>
      <c r="K20" s="6" t="n">
        <v>58379</v>
      </c>
    </row>
    <row r="21">
      <c r="A21" s="6" t="inlineStr">
        <is>
          <t>Effect of foreign exchange rate changes</t>
        </is>
      </c>
      <c r="B21" s="6" t="n">
        <v>3623</v>
      </c>
      <c r="C21" s="6" t="n">
        <v>533</v>
      </c>
      <c r="D21" s="6" t="n">
        <v>-2619</v>
      </c>
      <c r="E21" s="6" t="n">
        <v>7336</v>
      </c>
      <c r="F21" s="6" t="n">
        <v>443</v>
      </c>
      <c r="G21" s="6" t="n">
        <v>306</v>
      </c>
      <c r="H21" s="6" t="n">
        <v>-111</v>
      </c>
      <c r="I21" s="6" t="n">
        <v>1988</v>
      </c>
      <c r="J21" s="6" t="n">
        <v>4478</v>
      </c>
      <c r="K21" s="6" t="n">
        <v>-14733</v>
      </c>
    </row>
    <row r="22">
      <c r="A22" s="5" t="inlineStr">
        <is>
          <t>Cash and cash equivalents at end of year</t>
        </is>
      </c>
      <c r="B22" s="5" t="n">
        <v>64016</v>
      </c>
      <c r="C22" s="5" t="n">
        <v>74046</v>
      </c>
      <c r="D22" s="5" t="n">
        <v>66003</v>
      </c>
      <c r="E22" s="5" t="n">
        <v>77136</v>
      </c>
      <c r="F22" s="5" t="n">
        <v>59925</v>
      </c>
      <c r="G22" s="5" t="n">
        <v>67015</v>
      </c>
      <c r="H22" s="5" t="n">
        <v>93750</v>
      </c>
      <c r="I22" s="5" t="n">
        <v>11057</v>
      </c>
      <c r="J22" s="5" t="n">
        <v>65625</v>
      </c>
      <c r="K22" s="5" t="n">
        <v>75659</v>
      </c>
    </row>
    <row r="24" ht="377" customHeight="1">
      <c r="A24" s="8" t="inlineStr">
        <is>
          <t>Sources - Jordan International Bank Plc's own Cash Flow Statement, from each year's Companies House-filed Annual Report and Financial Statements (company 01814093, all 10 filings fully scanned/image-only, transcribed via page-image review):
FY2025: Annual Report and Financial Statements 2025, Cash Flow Statement, p.30 - https://find-and-update.company-information.service.gov.uk/company/01814093/filing-history/MzUyMzkyMzgzOGFkaXF6a2N4/document?format=pdf&amp;download=0
FY2024: Annual Report and Financial Statements 2024, Cash Flow Statement, p.30 (FY2024's own originally-published figures used; matches FY2025's own FY2024 comparative exactly) - https://find-and-update.company-information.service.gov.uk/company/01814093/filing-history/MzQ2NjcyMDU4MGFkaXF6a2N4/document?format=pdf&amp;download=0
FY2023: Annual Report and Financial Statements 2023, Cash Flow Statement, p.28 (FY2023's own originally-published figures used; see note below on FY2022's differing comparative) - https://find-and-update.company-information.service.gov.uk/company/01814093/filing-history/MzQyMjAyODYxMmFkaXF6a2N4/document?format=pdf&amp;download=0
FY2022: Annual Report and Financial Statements 2022, Cash Flow Statement, p.28 (FY2022's own originally-published figures used - see note below) - https://find-and-update.company-information.service.gov.uk/company/01814093/filing-history/MzM3OTQ2NzM2OWFkaXF6a2N4/document?format=pdf&amp;download=0
FY2021: Annual Report and Financial Statements 2021, Cash Flow Statement, p.29 - https://find-and-update.company-information.service.gov.uk/company/01814093/filing-history/MzMzNzcwMzA4MGFkaXF6a2N4/document?format=pdf&amp;download=0
FY2020: Annual Report and Financial Statements 2020, Cash Flow Statement, p.27 - https://find-and-update.company-information.service.gov.uk/company/01814093/filing-history/MzMwMjEyMjEzMmFkaXF6a2N4/document?format=pdf&amp;download=0
FY2019: Annual Report and Financial Statements 2019, Cash Flow Statement, p.24 (FY2019's own originally-published figures used - see note below on FY2018's differing comparative) - https://find-and-update.company-information.service.gov.uk/company/01814093/filing-history/MzI3MjMxMDgyMmFkaXF6a2N4/document?format=pdf&amp;download=0
FY2018: Annual Report and Financial Statements 2018, Cash Flow Statement, p.22 (FY2018's own originally-published figures used - see notes below on the section-labelling bug and the FY2019 restatement gap) - https://find-and-update.company-information.service.gov.uk/company/01814093/filing-history/MzIzNjcxMTg2MGFkaXF6a2N4/document?format=pdf&amp;download=0
FY2017: Annual Report and Financial Statements 2017, Cash Flow Statement, p.19 - https://find-and-update.company-information.service.gov.uk/company/01814093/filing-history/MzIwMzMyNzI2NWFkaXF6a2N4/document?format=pdf&amp;download=0
FY2016: Annual Report and Financial Statements 2016, Cash Flow Statement, p.15 - https://find-and-update.company-information.service.gov.uk/company/01814093/filing-history/MzE3NTk2MTg3NWFkaXF6a2N4/document?format=pdf&amp;download=0
The Bank presents both a '(Decrease)/increase in cash and cash equivalents' line (the sum of the Operating/Investing/Financing sections above it) and a separately-disclosed 'Movement in cash and cash equivalents' line used in the opening-to-closing reconciliation below it; these two lines are not always numerically equal in the Bank's own source documents (e.g. FY2023: 4,957 vs 7,576) - both are transcribed exactly as printed, and the reconciliation used to verify each year's own closing balance is opening + 'Movement' + 'Effect of foreign exchange rate changes'. FY2016's own Cash Flow Statement labels its net investing subtotal 'Net cash outflows Investing activities' while printing a positive £26,037k (the sum of that section's own component lines, which are all correctly signed) - reproduced exactly as printed; the heading's 'outflows' wording appears to be the source's own error, not a transcription error here.
DATA NOTE - FY2018 Cash Flow Statement section-labelling bug in the source document itself, reproduced not silently fixed: the Bank's own FY2018 Annual Report (p.22) prints a 'Cashflows from financing activities' heading immediately followed by a single line 'Increase in long term customer accounts' of £7,428k, then labels the £7,428k subtotal itself 'Net cash (used in)/generated by Investing activities' (the wrong heading - it is the financing subtotal, not investing) before a second, correctly-labelled 'Cash flows from investing activities' section follows with its own, different net figure of £(1,646)k. This workbook assigns the £7,428k customer-account line to financing (where its own section heading places it) and the £(1,646)k figure to investing (matching its own correctly-headed section) - both figures are the Bank's own, only the interim subtotal's heading is mislabelled in the source. Operating £(60,350)k + financing £7,428k + investing £(1,646)k = £(54,568)k, tying exactly to the Bank's own printed 'Decrease in cash and cash equivalents' for FY2018.
DATA NOTE - FY2022/FY2023 opening-vs-closing cash gap (£16,090k): FY2022's own originally-published Cash Flow Statement (Annual Report and Financial Statements 2022, p.28) shows net cash generated in operating activities of £7,948k and cash and cash equivalents at the end of FY2022 of £77,136k. FY2023's own Annual Report (p.28) instead presents a FY2022 comparative column showing net cash generated in operating activities of only £(5,551)k and cash and cash equivalents at the beginning of FY2023 (i.e. the carried-forward FY2022 closing balance) of £57,334k, with FY2023's own closing figure of £61,046k tying to that restated opening balance, not to FY2022's originally-published £77,136k. The Investing and Financing sections are identical between both versions (£21,263k net investing inflow, £(12,000)k dividend payment) - only the Operating activities figure and the resulting cash balance differ, suggesting a reclassification within operating cash flows (e.g. of a balance-sheet item's cash-equivalent treatment) rather than a transcription error in either document. Per this project's convention, each year keeps its own originally-published figures (FY2022 = FY2022 AR's own figures; FY2023 = FY2023 AR's own figures, including its own FY2022 comparative column for internal consistency within that document) rather than substituting a later restated comparative - so the FY2022-to-FY2023 opening/closing bridge in this workbook does not tie by £16,090k. This is a real, disclosed inconsistency between the Bank's own two Annual Reports, not a transcription error; every other year-to-year link in the chain (FY2021-&gt;FY2022, FY2023-&gt;FY2024, FY2024-&gt;FY2025) ties exactly.</t>
        </is>
      </c>
    </row>
    <row r="26" ht="260" customHeight="1">
      <c r="A26" s="8" t="inlineStr">
        <is>
          <t>(continued)
DATA NOTE - FY2018/FY2019 opening-vs-closing cash gap (£69,912k), same pattern one year earlier in this bank's history: FY2018's own originally-published Cash Flow Statement (Annual Report and Financial Statements 2018, p.22) shows cash and cash equivalents at the end of FY2018 of £11,057k. FY2019's own Annual Report (p.24) instead opens FY2019 with a beginning-of-year balance of £80,969k - the Bank's own footnote there explains why: 'During the year, the Bank revisited its definition of cash and cash equivalent and reclassified the balances presented in cash flows from operating activities. The comparative information has been restated to reflect the reclassification adjustment made in the cash and cash equivalent balance and cash flows from operating and financing activities' (Note 38 referenced for detail). Each year again keeps its own originally-published figures per this project's convention, so the FY2018-to-FY2019 bridge does not tie - a real, disclosed definitional change, not a transcription error. FY2016-&gt;FY2017, FY2017-&gt;FY2018, FY2019-&gt;FY2020 and FY2020-&gt;FY2021 all tie exactly.</t>
        </is>
      </c>
    </row>
  </sheetData>
  <mergeCells count="2">
    <mergeCell ref="A26:K26"/>
    <mergeCell ref="A24:K2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Asset Quality</t>
        </is>
      </c>
    </row>
    <row r="2">
      <c r="A2" s="2" t="inlineStr">
        <is>
          <t>Loans and advances to customers at amortised cost - FRS 102 specific/collective basis FY2016-FY2017, IFRS 9 stage basis FY2018 onward (£'000, GBP)</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5" t="inlineStr">
        <is>
          <t>Pre-IFRS 9 / FRS 102 basis (FY2016-FY2017): specific/collective provision</t>
        </is>
      </c>
      <c r="B4" s="6" t="n"/>
      <c r="C4" s="6" t="n"/>
      <c r="D4" s="6" t="n"/>
      <c r="E4" s="6" t="n"/>
      <c r="F4" s="6" t="n"/>
      <c r="G4" s="6" t="n"/>
      <c r="H4" s="6" t="n"/>
      <c r="I4" s="6" t="n"/>
      <c r="J4" s="6" t="n"/>
      <c r="K4" s="6" t="n"/>
    </row>
    <row r="5">
      <c r="A5" s="6" t="inlineStr">
        <is>
          <t>Gross loans and advances to customers (before specific provision)</t>
        </is>
      </c>
      <c r="B5" s="6" t="n"/>
      <c r="C5" s="6" t="n"/>
      <c r="D5" s="6" t="n"/>
      <c r="E5" s="6" t="n"/>
      <c r="F5" s="6" t="n"/>
      <c r="G5" s="6" t="n"/>
      <c r="H5" s="6" t="n"/>
      <c r="I5" s="6" t="n"/>
      <c r="J5" s="6" t="n">
        <v>158383</v>
      </c>
      <c r="K5" s="6" t="n">
        <v>163178</v>
      </c>
    </row>
    <row r="6">
      <c r="A6" s="6" t="inlineStr">
        <is>
          <t>Specific impairment provision</t>
        </is>
      </c>
      <c r="B6" s="6" t="n"/>
      <c r="C6" s="6" t="n"/>
      <c r="D6" s="6" t="n"/>
      <c r="E6" s="6" t="n"/>
      <c r="F6" s="6" t="n"/>
      <c r="G6" s="6" t="n"/>
      <c r="H6" s="6" t="n"/>
      <c r="I6" s="6" t="n"/>
      <c r="J6" s="6" t="n">
        <v>-460</v>
      </c>
      <c r="K6" s="6" t="n">
        <v>-318</v>
      </c>
    </row>
    <row r="7">
      <c r="A7" s="5" t="inlineStr">
        <is>
          <t>Net loans and advances to customers (FRS 102 basis)</t>
        </is>
      </c>
      <c r="B7" s="5" t="n"/>
      <c r="C7" s="5" t="n"/>
      <c r="D7" s="5" t="n"/>
      <c r="E7" s="5" t="n"/>
      <c r="F7" s="5" t="n"/>
      <c r="G7" s="5" t="n"/>
      <c r="H7" s="5" t="n"/>
      <c r="I7" s="5" t="n"/>
      <c r="J7" s="5" t="n">
        <v>157923</v>
      </c>
      <c r="K7" s="5" t="n">
        <v>162860</v>
      </c>
    </row>
    <row r="8">
      <c r="A8" s="6" t="inlineStr">
        <is>
          <t>Memo: bank-wide collective (IBNR) provision, not allocated to a specific balance sheet line (Note 10)</t>
        </is>
      </c>
      <c r="B8" s="6" t="n"/>
      <c r="C8" s="6" t="n"/>
      <c r="D8" s="6" t="n"/>
      <c r="E8" s="6" t="n"/>
      <c r="F8" s="6" t="n"/>
      <c r="G8" s="6" t="n"/>
      <c r="H8" s="6" t="n"/>
      <c r="I8" s="6" t="n"/>
      <c r="J8" s="6" t="n">
        <v>-189</v>
      </c>
      <c r="K8" s="6" t="n">
        <v>-217</v>
      </c>
    </row>
    <row r="9">
      <c r="A9" s="5" t="inlineStr">
        <is>
          <t>Gross carrying amount by stage (IFRS 9, FY2018 onward; rounded to nearest £0.1m from FY2021)</t>
        </is>
      </c>
      <c r="B9" s="6" t="n"/>
      <c r="C9" s="6" t="n"/>
      <c r="D9" s="6" t="n"/>
      <c r="E9" s="6" t="n"/>
      <c r="F9" s="6" t="n"/>
      <c r="G9" s="6" t="n"/>
      <c r="H9" s="6" t="n"/>
      <c r="I9" s="6" t="n"/>
      <c r="J9" s="6" t="n"/>
      <c r="K9" s="6" t="n"/>
    </row>
    <row r="10">
      <c r="A10" s="6" t="inlineStr">
        <is>
          <t>Stage 1</t>
        </is>
      </c>
      <c r="B10" s="6" t="n">
        <v>157600</v>
      </c>
      <c r="C10" s="6" t="n">
        <v>224500</v>
      </c>
      <c r="D10" s="6" t="n">
        <v>254700</v>
      </c>
      <c r="E10" s="6" t="n">
        <v>214000</v>
      </c>
      <c r="F10" s="6" t="n">
        <v>193730</v>
      </c>
      <c r="G10" s="6" t="n">
        <v>180514</v>
      </c>
      <c r="H10" s="6" t="n">
        <v>144495</v>
      </c>
      <c r="I10" s="6" t="n">
        <v>159952</v>
      </c>
      <c r="J10" s="6" t="n"/>
      <c r="K10" s="6" t="n"/>
    </row>
    <row r="11">
      <c r="A11" s="6" t="inlineStr">
        <is>
          <t>Stage 2</t>
        </is>
      </c>
      <c r="B11" s="6" t="n">
        <v>16300</v>
      </c>
      <c r="C11" s="6" t="n">
        <v>24800</v>
      </c>
      <c r="D11" s="6" t="n">
        <v>16500</v>
      </c>
      <c r="E11" s="6" t="n">
        <v>19900</v>
      </c>
      <c r="F11" s="6" t="n">
        <v>7363</v>
      </c>
      <c r="G11" s="6" t="n">
        <v>0</v>
      </c>
      <c r="H11" s="6" t="n">
        <v>6044</v>
      </c>
      <c r="I11" s="6" t="n">
        <v>6135</v>
      </c>
      <c r="J11" s="6" t="n"/>
      <c r="K11" s="6" t="n"/>
    </row>
    <row r="12">
      <c r="A12" s="6" t="inlineStr">
        <is>
          <t>Stage 3</t>
        </is>
      </c>
      <c r="B12" s="6" t="n">
        <v>50900</v>
      </c>
      <c r="C12" s="6" t="n">
        <v>32900</v>
      </c>
      <c r="D12" s="6" t="n">
        <v>17100</v>
      </c>
      <c r="E12" s="6" t="n">
        <v>0</v>
      </c>
      <c r="F12" s="6" t="n">
        <v>0</v>
      </c>
      <c r="G12" s="6" t="n">
        <v>0</v>
      </c>
      <c r="H12" s="6" t="n">
        <v>2186</v>
      </c>
      <c r="I12" s="6" t="n">
        <v>2186</v>
      </c>
      <c r="J12" s="6" t="n"/>
      <c r="K12" s="6" t="n"/>
    </row>
    <row r="13">
      <c r="A13" s="5" t="inlineStr">
        <is>
          <t>Gross carrying amount (as disclosed, rounded from FY2021 / exact FY2018-FY2020)</t>
        </is>
      </c>
      <c r="B13" s="5" t="n">
        <v>224800</v>
      </c>
      <c r="C13" s="5" t="n">
        <v>282200</v>
      </c>
      <c r="D13" s="5" t="n">
        <v>288300</v>
      </c>
      <c r="E13" s="5" t="n">
        <v>233900</v>
      </c>
      <c r="F13" s="5" t="n">
        <v>201093</v>
      </c>
      <c r="G13" s="5" t="n">
        <v>180514</v>
      </c>
      <c r="H13" s="5" t="n">
        <v>152725</v>
      </c>
      <c r="I13" s="5" t="n">
        <v>168273</v>
      </c>
      <c r="J13" s="5" t="n"/>
      <c r="K13" s="5" t="n"/>
    </row>
    <row r="14">
      <c r="A14" s="5" t="inlineStr">
        <is>
          <t>Expected credit loss allowance by stage (exact, from Note 11/12)</t>
        </is>
      </c>
      <c r="B14" s="6" t="n"/>
      <c r="C14" s="6" t="n"/>
      <c r="D14" s="6" t="n"/>
      <c r="E14" s="6" t="n"/>
      <c r="F14" s="6" t="n"/>
      <c r="G14" s="6" t="n"/>
      <c r="H14" s="6" t="n"/>
      <c r="I14" s="6" t="n"/>
      <c r="J14" s="6" t="n"/>
      <c r="K14" s="6" t="n"/>
    </row>
    <row r="15">
      <c r="A15" s="6" t="inlineStr">
        <is>
          <t>Stage 1</t>
        </is>
      </c>
      <c r="B15" s="6" t="n">
        <v>-83</v>
      </c>
      <c r="C15" s="6" t="n">
        <v>-126</v>
      </c>
      <c r="D15" s="6" t="n">
        <v>-230</v>
      </c>
      <c r="E15" s="6" t="n">
        <v>-159</v>
      </c>
      <c r="F15" s="6" t="n">
        <v>-100</v>
      </c>
      <c r="G15" s="6" t="n">
        <v>-112</v>
      </c>
      <c r="H15" s="6" t="n">
        <v>-45</v>
      </c>
      <c r="I15" s="6" t="n">
        <v>-27</v>
      </c>
      <c r="J15" s="6" t="n"/>
      <c r="K15" s="6" t="n"/>
    </row>
    <row r="16">
      <c r="A16" s="6" t="inlineStr">
        <is>
          <t>Stage 2</t>
        </is>
      </c>
      <c r="B16" s="6" t="n">
        <v>-18</v>
      </c>
      <c r="C16" s="6" t="n">
        <v>-266</v>
      </c>
      <c r="D16" s="6" t="n">
        <v>-1196</v>
      </c>
      <c r="E16" s="6" t="n">
        <v>-378</v>
      </c>
      <c r="F16" s="6" t="n">
        <v>-94</v>
      </c>
      <c r="G16" s="6" t="n">
        <v>0</v>
      </c>
      <c r="H16" s="6" t="n">
        <v>-20</v>
      </c>
      <c r="I16" s="6" t="n">
        <v>-25</v>
      </c>
      <c r="J16" s="6" t="n"/>
      <c r="K16" s="6" t="n"/>
    </row>
    <row r="17">
      <c r="A17" s="6" t="inlineStr">
        <is>
          <t>Stage 3</t>
        </is>
      </c>
      <c r="B17" s="6" t="n">
        <v>-5659</v>
      </c>
      <c r="C17" s="6" t="n">
        <v>-2289</v>
      </c>
      <c r="D17" s="6" t="n">
        <v>-410</v>
      </c>
      <c r="E17" s="6" t="n">
        <v>0</v>
      </c>
      <c r="F17" s="6" t="n">
        <v>0</v>
      </c>
      <c r="G17" s="6" t="n">
        <v>0</v>
      </c>
      <c r="H17" s="6" t="n">
        <v>0</v>
      </c>
      <c r="I17" s="6" t="n">
        <v>0</v>
      </c>
      <c r="J17" s="6" t="n"/>
      <c r="K17" s="6" t="n"/>
    </row>
    <row r="18">
      <c r="A18" s="5" t="inlineStr">
        <is>
          <t>Total expected credit loss allowance</t>
        </is>
      </c>
      <c r="B18" s="5" t="n">
        <v>-5760</v>
      </c>
      <c r="C18" s="5" t="n">
        <v>-2681</v>
      </c>
      <c r="D18" s="5" t="n">
        <v>-1836</v>
      </c>
      <c r="E18" s="5" t="n">
        <v>-537</v>
      </c>
      <c r="F18" s="5" t="n">
        <v>-194</v>
      </c>
      <c r="G18" s="5" t="n">
        <v>-112</v>
      </c>
      <c r="H18" s="5" t="n">
        <v>-65</v>
      </c>
      <c r="I18" s="5" t="n">
        <v>-52</v>
      </c>
      <c r="J18" s="5" t="n"/>
      <c r="K18" s="5" t="n"/>
    </row>
    <row r="19">
      <c r="A19" s="5" t="inlineStr">
        <is>
          <t>Net loans and advances to customers</t>
        </is>
      </c>
      <c r="B19" s="5" t="n">
        <v>224760</v>
      </c>
      <c r="C19" s="5" t="n">
        <v>282222</v>
      </c>
      <c r="D19" s="5" t="n">
        <v>288383</v>
      </c>
      <c r="E19" s="5" t="n">
        <v>233986</v>
      </c>
      <c r="F19" s="5" t="n">
        <v>201093</v>
      </c>
      <c r="G19" s="5" t="n">
        <v>180402</v>
      </c>
      <c r="H19" s="5" t="n">
        <v>152660</v>
      </c>
      <c r="I19" s="5" t="n">
        <v>168221</v>
      </c>
      <c r="J19" s="5" t="n"/>
      <c r="K19" s="5" t="n"/>
    </row>
    <row r="21" ht="409" customHeight="1">
      <c r="A21" s="8" t="inlineStr">
        <is>
          <t>Sources - Jordan International Bank Plc's own Note 11 'Loans and advances to customers at amortised cost' (gross carrying amount by stage, narratively disclosed each year) and Note 12 'Impairment allowances' (expected credit loss by stage, tabulated), from each year's own Companies House-filed Annual Report and Financial Statements:
FY2025/FY2024: Annual Report and Financial Statements 2025, Notes 11-12, pp.44-45 - https://find-and-update.company-information.service.gov.uk/company/01814093/filing-history/MzUyMzkyMzgzOGFkaXF6a2N4/document?format=pdf&amp;download=0
FY2024's own figures (used here) also independently confirmed against Annual Report 2024, Notes 11-12, pp.44-45 - https://find-and-update.company-information.service.gov.uk/company/01814093/filing-history/MzQ2NjcyMDU4MGFkaXF6a2N4/document?format=pdf&amp;download=0
FY2023/FY2022: Annual Report and Financial Statements 2023, Notes 11-12, pp.42-43 - https://find-and-update.company-information.service.gov.uk/company/01814093/filing-history/MzQyMjAyODYxMmFkaXF6a2N4/document?format=pdf&amp;download=0
FY2022's own figures (used here) also independently confirmed against Annual Report 2022, Notes 11-12, pp.41-43 - https://find-and-update.company-information.service.gov.uk/company/01814093/filing-history/MzM3OTQ2NzM2OWFkaXF6a2N4/document?format=pdf&amp;download=0
FY2021: Annual Report and Financial Statements 2021, Notes 11-12, pp.42-43 - https://find-and-update.company-information.service.gov.uk/company/01814093/filing-history/MzMzNzcwMzA4MGFkaXF6a2N4/document?format=pdf&amp;download=0
FY2020: Annual Report and Financial Statements 2020, Notes 11-12, pp.40-41 - https://find-and-update.company-information.service.gov.uk/company/01814093/filing-history/MzMwMjEyMjEzMmFkaXF6a2N4/document?format=pdf&amp;download=0
FY2019: Annual Report and Financial Statements 2019, Notes 10-11, pp.36-37 - https://find-and-update.company-information.service.gov.uk/company/01814093/filing-history/MzI3MjMxMDgyMmFkaXF6a2N4/document?format=pdf&amp;download=0
FY2018: Annual Report and Financial Statements 2018, Notes 10-12, pp.34-36 (gross-by-stage figures for FY2018 itself are not narratively disclosed in the FY2018 AR, which gives only the ECL-by-stage table; FY2018's own gross-by-stage figures are instead taken from FY2019's own FY2018 comparative narrative, Note 10, p.36) - https://find-and-update.company-information.service.gov.uk/company/01814093/filing-history/MzIzNjcxMTg2MGFkaXF6a2N4/document?format=pdf&amp;download=0, cross-checked against https://find-and-update.company-information.service.gov.uk/company/01814093/filing-history/MzI3MjMxMDgyMmFkaXF6a2N4/document?format=pdf&amp;download=0
FY2017: Annual Report and Financial Statements 2017, Notes 9-10, p.27 (pre-IFRS 9 basis) - https://find-and-update.company-information.service.gov.uk/company/01814093/filing-history/MzIwMzMyNzI2NWFkaXF6a2N4/document?format=pdf&amp;download=0
FY2016: Annual Report and Financial Statements 2016, Notes 9-10, p.22 (pre-IFRS 9 basis) - https://find-and-update.company-information.service.gov.uk/company/01814093/filing-history/MzE3NTk2MTg3NWFkaXF6a2N4/document?format=pdf&amp;download=0
Genuine cross-report inconsistency flagged, not silently reconciled: FY2024's own Annual Report states loans and advances to customers classified in Stage 2 that year as £24.8 million, but the following year's AR2025 restates its FY2024 comparative as £16.5 million (both Stage 1/Stage 3 figures and the Stage 2 expected credit loss of £266k are identical between the two vintages - only the FY2024 Stage 2 gross figure itself differs). FY2024's own originally-published £24.8m is used here per this project's convention.
The gross-by-stage figures FY2021 onward are the Bank's own narrative disclosure, rounded to the nearest £0.1m in the source text itself; FY2018-FY2020's gross-by-stage figures are exact £'000 amounts (FY2019/FY2020 narratively disclosed to 3 decimal places in £m, e.g. '£144.495 million'; FY2018's are FY2019's own comparative, same precision). Because of the FY2021+ rounding, 'Gross carrying amount' minus 'Total expected credit loss allowance' does not tie exactly to 'Net loans and advances to customers' in those years - this is the source's own rounding, not a transcription error; FY2018-FY2020 tie exactly since no rounding is involved. FY2020's own narrative disclosure ('loans and advances to customers amounting to £180.402 million...was classified in stage 1') states the NET balance, unlike FY2019's own narrative style (which states GROSS figures per stage summing to the gross carrying amount before ECL) - a genuine year-on-year disclosure-style inconsistency in the Bank's own filings. This sheet instead derives FY2020's Stage 1 gross figure arithmetically from Note 11's own repayable-maturity table (£9k + £42,771k + £70,980k + £66,754k = £180,514k), which nets exactly against the £112k Stage 1 ECL to the Balance Sheet's own £180,402k net figure - more internally consistent than reusing the narrative's net figure as if it were gross. 'Net loans and advances to customers' is the exact figure in every year and ties to the Balance Sheet sheet's own 'Loans and advances to customers' line throughout.
FY2016-FY2017 predate the Bank's 1 January 2018 IFRS 9 adoption and use FRS 102's incurred-loss model instead: a 'specific' provision against individually-identified impaired assets (Note 10) netted directly against the customer loan balance in Note 9, plus a separately-disclosed 'collective' (IBNR - incurred-but-not-reported) provision that the Bank's own notes do not allocate to a specific balance sheet line (shown here as a memo item, consistent with how the source itself presents it - not forced into the 'Net loans and advances to customers' total, which ties exactly to the Balance Sheet without it).</t>
        </is>
      </c>
    </row>
  </sheetData>
  <mergeCells count="1">
    <mergeCell ref="A21:K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Return on equity - average equity basis</t>
        </is>
      </c>
      <c r="B4" s="6" t="inlineStr">
        <is>
          <t>1.77%</t>
        </is>
      </c>
      <c r="C4" s="6" t="inlineStr">
        <is>
          <t>5.43%</t>
        </is>
      </c>
      <c r="D4" s="6" t="inlineStr">
        <is>
          <t>5.68%</t>
        </is>
      </c>
      <c r="E4" s="6" t="inlineStr">
        <is>
          <t>3.96%</t>
        </is>
      </c>
      <c r="F4" s="6" t="inlineStr">
        <is>
          <t>2.97%</t>
        </is>
      </c>
      <c r="G4" s="6" t="inlineStr">
        <is>
          <t>2.15%</t>
        </is>
      </c>
      <c r="H4" s="6" t="inlineStr">
        <is>
          <t>2.82%</t>
        </is>
      </c>
      <c r="I4" s="6" t="inlineStr">
        <is>
          <t>3.99%</t>
        </is>
      </c>
      <c r="J4" s="6" t="inlineStr">
        <is>
          <t>1.79%</t>
        </is>
      </c>
      <c r="K4" s="6" t="n"/>
    </row>
    <row r="5">
      <c r="A5" s="6" t="inlineStr">
        <is>
          <t>Return on equity - year-end equity basis</t>
        </is>
      </c>
      <c r="B5" s="6" t="inlineStr">
        <is>
          <t>1.75%</t>
        </is>
      </c>
      <c r="C5" s="6" t="inlineStr">
        <is>
          <t>5.29%</t>
        </is>
      </c>
      <c r="D5" s="6" t="inlineStr">
        <is>
          <t>5.51%</t>
        </is>
      </c>
      <c r="E5" s="6" t="inlineStr">
        <is>
          <t>4.19%</t>
        </is>
      </c>
      <c r="F5" s="6" t="inlineStr">
        <is>
          <t>2.94%</t>
        </is>
      </c>
      <c r="G5" s="6" t="inlineStr">
        <is>
          <t>2.13%</t>
        </is>
      </c>
      <c r="H5" s="6" t="inlineStr">
        <is>
          <t>2.75%</t>
        </is>
      </c>
      <c r="I5" s="6" t="inlineStr">
        <is>
          <t>3.96%</t>
        </is>
      </c>
      <c r="J5" s="6" t="inlineStr">
        <is>
          <t>1.76%</t>
        </is>
      </c>
      <c r="K5" s="6" t="inlineStr">
        <is>
          <t>5.51%</t>
        </is>
      </c>
    </row>
    <row r="6">
      <c r="A6" s="6" t="inlineStr">
        <is>
          <t>Return on assets - average assets basis</t>
        </is>
      </c>
      <c r="B6" s="6" t="inlineStr">
        <is>
          <t>0.36%</t>
        </is>
      </c>
      <c r="C6" s="6" t="inlineStr">
        <is>
          <t>1.07%</t>
        </is>
      </c>
      <c r="D6" s="6" t="inlineStr">
        <is>
          <t>1.12%</t>
        </is>
      </c>
      <c r="E6" s="6" t="inlineStr">
        <is>
          <t>0.86%</t>
        </is>
      </c>
      <c r="F6" s="6" t="inlineStr">
        <is>
          <t>0.73%</t>
        </is>
      </c>
      <c r="G6" s="6" t="inlineStr">
        <is>
          <t>0.51%</t>
        </is>
      </c>
      <c r="H6" s="6" t="inlineStr">
        <is>
          <t>0.64%</t>
        </is>
      </c>
      <c r="I6" s="6" t="inlineStr">
        <is>
          <t>0.86%</t>
        </is>
      </c>
      <c r="J6" s="6" t="inlineStr">
        <is>
          <t>0.36%</t>
        </is>
      </c>
      <c r="K6" s="6" t="n"/>
    </row>
    <row r="7">
      <c r="A7" s="6" t="inlineStr">
        <is>
          <t>Return on assets - year-end assets basis</t>
        </is>
      </c>
      <c r="B7" s="6" t="inlineStr">
        <is>
          <t>0.38%</t>
        </is>
      </c>
      <c r="C7" s="6" t="inlineStr">
        <is>
          <t>1.02%</t>
        </is>
      </c>
      <c r="D7" s="6" t="inlineStr">
        <is>
          <t>1.10%</t>
        </is>
      </c>
      <c r="E7" s="6" t="inlineStr">
        <is>
          <t>0.82%</t>
        </is>
      </c>
      <c r="F7" s="6" t="inlineStr">
        <is>
          <t>0.71%</t>
        </is>
      </c>
      <c r="G7" s="6" t="inlineStr">
        <is>
          <t>0.52%</t>
        </is>
      </c>
      <c r="H7" s="6" t="inlineStr">
        <is>
          <t>0.64%</t>
        </is>
      </c>
      <c r="I7" s="6" t="inlineStr">
        <is>
          <t>0.86%</t>
        </is>
      </c>
      <c r="J7" s="6" t="inlineStr">
        <is>
          <t>0.37%</t>
        </is>
      </c>
      <c r="K7" s="6" t="inlineStr">
        <is>
          <t>1.08%</t>
        </is>
      </c>
    </row>
    <row r="8">
      <c r="A8" s="6" t="inlineStr">
        <is>
          <t>Return on average equity (as published)</t>
        </is>
      </c>
      <c r="B8" s="6" t="inlineStr">
        <is>
          <t>1.9%</t>
        </is>
      </c>
      <c r="C8" s="6" t="inlineStr">
        <is>
          <t>Not published</t>
        </is>
      </c>
      <c r="D8" s="6" t="inlineStr">
        <is>
          <t>Not published</t>
        </is>
      </c>
      <c r="E8" s="6" t="inlineStr">
        <is>
          <t>Not published</t>
        </is>
      </c>
      <c r="F8" s="6" t="inlineStr">
        <is>
          <t>Not published</t>
        </is>
      </c>
      <c r="G8" s="6" t="n"/>
      <c r="H8" s="6" t="n"/>
      <c r="I8" s="6" t="n"/>
      <c r="J8" s="6" t="n"/>
      <c r="K8" s="6" t="n"/>
    </row>
    <row r="9" ht="195"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average equity: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FY2016 HAS NO AVERAGE-BASIS RATIO, AND THAT IS CORRECT. An average denominator needs an opening balance, and FY2016 is the oldest column this workbook carries, so there is no prior year to open from. The blank is structural, not a missing figure. The year-end basis is shown for FY2016 because it needs only the closing balance.
FIGURES THE BANK PUBLISHED ONLY AS A LATER EDITION'S COMPARATIVE, AND WHY THEY ARE NOT IN THE CELLS ABOVE. FY2021 Return on average equity 1.8%; FY2022 Return on average equity 2.8%; FY2023 Return on average equity 5.9%; FY2024 Return on average equity 5.5%.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 for the financial year” and the Balance Sheet rows “shareholders' funds” and “total assets”, resolved BY LABEL at build time through the shared resolver scripts/profitability_rows.py, so this sheet cannot drift from the statements it summarises. Those rows are themselves transcribed from Jordan International Bank Plc's Annual Report and Accounts for each year; see the source cells on the Balance Sheet and Profit &amp; Loss sheets for the exact document, page and table behind every input to every percentage above.
The '(as published)' rows are quoted verbatim from Jordan International Bank Plc's own disclosures and are recorded, with the exact document, page and verification state for each, in research/profitability/published_returns.jsonl under ‘JORDAN INTERNATIONAL BANK’.</t>
        </is>
      </c>
    </row>
  </sheetData>
  <mergeCells count="2">
    <mergeCell ref="A11:K11"/>
    <mergeCell ref="A9:K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s>
  <sheetData>
    <row r="1">
      <c r="A1" s="1" t="inlineStr">
        <is>
          <t>Jordan International Bank Plc - KM1 Key Metrics</t>
        </is>
      </c>
    </row>
    <row r="2">
      <c r="A2" s="2" t="inlineStr">
        <is>
          <t>The Bank's own 'KEY PRUDENTIAL METRICS' table - which it introduces as the 'UK KM1 - Key metrics template' - reproduced in JIB's own row order, labels and printed precision. Solo basis (the Bank has no subsidiaries); amounts in £m, ratios as printed. JIB prints no KM1 row numbers and none have been added. FY2021 and earlier are blank because those editions print a shorter bespoke table rather than the template, and FY2025 is blank because no FY2025 Pillar 3 Report has been published - see the source note.</t>
        </is>
      </c>
    </row>
    <row r="3">
      <c r="A3" s="4" t="inlineStr">
        <is>
          <t>Line item</t>
        </is>
      </c>
      <c r="B3" s="4" t="inlineStr">
        <is>
          <t>FY2025</t>
        </is>
      </c>
      <c r="C3" s="4" t="inlineStr">
        <is>
          <t>FY2024</t>
        </is>
      </c>
      <c r="D3" s="4" t="inlineStr">
        <is>
          <t>FY2023</t>
        </is>
      </c>
      <c r="E3" s="4" t="inlineStr">
        <is>
          <t>FY2022</t>
        </is>
      </c>
    </row>
    <row r="4">
      <c r="A4" s="6" t="inlineStr">
        <is>
          <t>[No UK KM1 published for this year - see note below]</t>
        </is>
      </c>
      <c r="B4" s="6" t="inlineStr">
        <is>
          <t>Not published - FY2025 Pillar 3 Report not issued as at 18 Sep 2026</t>
        </is>
      </c>
      <c r="C4" s="6" t="n"/>
      <c r="D4" s="6" t="n"/>
      <c r="E4" s="6" t="n"/>
    </row>
    <row r="5">
      <c r="A5" s="5" t="inlineStr">
        <is>
          <t>Available own funds (amounts, £m)</t>
        </is>
      </c>
      <c r="B5" s="6" t="n"/>
      <c r="C5" s="6" t="n"/>
      <c r="D5" s="6" t="n"/>
      <c r="E5" s="6" t="n"/>
    </row>
    <row r="6">
      <c r="A6" s="6" t="inlineStr">
        <is>
          <t>Common Equity Tier 1 (CET1)</t>
        </is>
      </c>
      <c r="B6" s="6" t="n"/>
      <c r="C6" s="6" t="n">
        <v>94</v>
      </c>
      <c r="D6" s="6" t="n">
        <v>89</v>
      </c>
      <c r="E6" s="6" t="n">
        <v>83.8</v>
      </c>
    </row>
    <row r="7">
      <c r="A7" s="6" t="inlineStr">
        <is>
          <t>Tier 1</t>
        </is>
      </c>
      <c r="B7" s="6" t="n"/>
      <c r="C7" s="6" t="n">
        <v>94</v>
      </c>
      <c r="D7" s="6" t="n">
        <v>89</v>
      </c>
      <c r="E7" s="6" t="n">
        <v>83.8</v>
      </c>
    </row>
    <row r="8">
      <c r="A8" s="6" t="inlineStr">
        <is>
          <t>Total capital</t>
        </is>
      </c>
      <c r="B8" s="6" t="n"/>
      <c r="C8" s="6" t="n">
        <v>94</v>
      </c>
      <c r="D8" s="6" t="n">
        <v>89</v>
      </c>
      <c r="E8" s="6" t="n">
        <v>83.8</v>
      </c>
    </row>
    <row r="9">
      <c r="A9" s="5" t="inlineStr">
        <is>
          <t>Risk-weighted exposure amounts (£m)</t>
        </is>
      </c>
      <c r="B9" s="6" t="n"/>
      <c r="C9" s="6" t="n"/>
      <c r="D9" s="6" t="n"/>
      <c r="E9" s="6" t="n"/>
    </row>
    <row r="10">
      <c r="A10" s="6" t="inlineStr">
        <is>
          <t>Total risk-weighted exposure amount (RWA)</t>
        </is>
      </c>
      <c r="B10" s="6" t="n"/>
      <c r="C10" s="6" t="n">
        <v>473</v>
      </c>
      <c r="D10" s="6" t="n">
        <v>449</v>
      </c>
      <c r="E10" s="6" t="n">
        <v>435.3</v>
      </c>
    </row>
    <row r="11">
      <c r="A11" s="5" t="inlineStr">
        <is>
          <t>Risk-based capital ratios as a percentage of RWA</t>
        </is>
      </c>
      <c r="B11" s="6" t="n"/>
      <c r="C11" s="6" t="n"/>
      <c r="D11" s="6" t="n"/>
      <c r="E11" s="6" t="n"/>
    </row>
    <row r="12">
      <c r="A12" s="6" t="inlineStr">
        <is>
          <t>Common Equity Tier 1 ratio (%)</t>
        </is>
      </c>
      <c r="B12" s="6" t="n"/>
      <c r="C12" s="6" t="inlineStr">
        <is>
          <t>19.9%</t>
        </is>
      </c>
      <c r="D12" s="6" t="inlineStr">
        <is>
          <t>19.8%</t>
        </is>
      </c>
      <c r="E12" s="6" t="inlineStr">
        <is>
          <t>19.3%</t>
        </is>
      </c>
    </row>
    <row r="13">
      <c r="A13" s="6" t="inlineStr">
        <is>
          <t>Tier 1 ratio (%)</t>
        </is>
      </c>
      <c r="B13" s="6" t="n"/>
      <c r="C13" s="6" t="inlineStr">
        <is>
          <t>19.9%</t>
        </is>
      </c>
      <c r="D13" s="6" t="inlineStr">
        <is>
          <t>19.8%</t>
        </is>
      </c>
      <c r="E13" s="6" t="inlineStr">
        <is>
          <t>19.3%</t>
        </is>
      </c>
    </row>
    <row r="14">
      <c r="A14" s="6" t="inlineStr">
        <is>
          <t>Total capital ratio (%)</t>
        </is>
      </c>
      <c r="B14" s="6" t="n"/>
      <c r="C14" s="6" t="inlineStr">
        <is>
          <t>19.9%</t>
        </is>
      </c>
      <c r="D14" s="6" t="inlineStr">
        <is>
          <t>19.8%</t>
        </is>
      </c>
      <c r="E14" s="6" t="inlineStr">
        <is>
          <t>19.3%</t>
        </is>
      </c>
    </row>
    <row r="15">
      <c r="A15" s="6" t="inlineStr">
        <is>
          <t>Total SREP own funds requirements (%)</t>
        </is>
      </c>
      <c r="B15" s="6" t="n"/>
      <c r="C15" s="6" t="n"/>
      <c r="D15" s="6" t="n"/>
      <c r="E15" s="6" t="inlineStr">
        <is>
          <t>12.1%</t>
        </is>
      </c>
    </row>
    <row r="16">
      <c r="A16" s="5" t="inlineStr">
        <is>
          <t>Combined buffer requirement (as a percentage of risk-weighted exposure amount)</t>
        </is>
      </c>
      <c r="B16" s="6" t="n"/>
      <c r="C16" s="6" t="n"/>
      <c r="D16" s="6" t="n"/>
      <c r="E16" s="6" t="n"/>
    </row>
    <row r="17">
      <c r="A17" s="6" t="inlineStr">
        <is>
          <t>Capital conservation buffer (%)</t>
        </is>
      </c>
      <c r="B17" s="6" t="n"/>
      <c r="C17" s="6" t="inlineStr">
        <is>
          <t>2.5%</t>
        </is>
      </c>
      <c r="D17" s="6" t="inlineStr">
        <is>
          <t>2.5%</t>
        </is>
      </c>
      <c r="E17" s="6" t="inlineStr">
        <is>
          <t>2.5%</t>
        </is>
      </c>
    </row>
    <row r="18">
      <c r="A18" s="6" t="inlineStr">
        <is>
          <t>Institution-specific countercyclical capital buffer (%)</t>
        </is>
      </c>
      <c r="B18" s="6" t="n"/>
      <c r="C18" s="6" t="inlineStr">
        <is>
          <t>2%</t>
        </is>
      </c>
      <c r="D18" s="6" t="inlineStr">
        <is>
          <t>2%</t>
        </is>
      </c>
      <c r="E18" s="6" t="inlineStr">
        <is>
          <t>1%</t>
        </is>
      </c>
    </row>
    <row r="19">
      <c r="A19" s="6" t="inlineStr">
        <is>
          <t>Combined buffer requirement (%)</t>
        </is>
      </c>
      <c r="B19" s="6" t="n"/>
      <c r="C19" s="6" t="inlineStr">
        <is>
          <t>4.5%</t>
        </is>
      </c>
      <c r="D19" s="6" t="inlineStr">
        <is>
          <t>4.5%</t>
        </is>
      </c>
      <c r="E19" s="6" t="inlineStr">
        <is>
          <t>3.5%</t>
        </is>
      </c>
    </row>
    <row r="20">
      <c r="A20" s="6" t="inlineStr">
        <is>
          <t>Overall capital requirements (%)</t>
        </is>
      </c>
      <c r="B20" s="6" t="n"/>
      <c r="C20" s="6" t="inlineStr">
        <is>
          <t>17.1%</t>
        </is>
      </c>
      <c r="D20" s="6" t="inlineStr">
        <is>
          <t>17.06%</t>
        </is>
      </c>
      <c r="E20" s="6" t="inlineStr">
        <is>
          <t>15.6%</t>
        </is>
      </c>
    </row>
    <row r="21">
      <c r="A21" s="6" t="inlineStr">
        <is>
          <t>CET1 available after meeting the total SREP own funds requirements (%)</t>
        </is>
      </c>
      <c r="B21" s="6" t="n"/>
      <c r="C21" s="6" t="inlineStr">
        <is>
          <t>7.3%</t>
        </is>
      </c>
      <c r="D21" s="6" t="inlineStr">
        <is>
          <t>5%</t>
        </is>
      </c>
      <c r="E21" s="6" t="inlineStr">
        <is>
          <t>3.6%</t>
        </is>
      </c>
    </row>
    <row r="22">
      <c r="A22" s="5" t="inlineStr">
        <is>
          <t>Basel III leverage ratio (£m / %)</t>
        </is>
      </c>
      <c r="B22" s="6" t="n"/>
      <c r="C22" s="6" t="n"/>
      <c r="D22" s="6" t="n"/>
      <c r="E22" s="6" t="n"/>
    </row>
    <row r="23">
      <c r="A23" s="6" t="inlineStr">
        <is>
          <t>Total Basel III leverage ratio exposure measure</t>
        </is>
      </c>
      <c r="B23" s="6" t="n"/>
      <c r="C23" s="6" t="n">
        <v>488</v>
      </c>
      <c r="D23" s="6" t="n">
        <v>451.4</v>
      </c>
      <c r="E23" s="6" t="n">
        <v>436.8</v>
      </c>
    </row>
    <row r="24">
      <c r="A24" s="6" t="inlineStr">
        <is>
          <t>Leverage ratio (%)</t>
        </is>
      </c>
      <c r="B24" s="6" t="n"/>
      <c r="C24" s="6" t="inlineStr">
        <is>
          <t>19.3%</t>
        </is>
      </c>
      <c r="D24" s="6" t="inlineStr">
        <is>
          <t>19.7%</t>
        </is>
      </c>
      <c r="E24" s="6" t="inlineStr">
        <is>
          <t>19.3%</t>
        </is>
      </c>
    </row>
    <row r="25">
      <c r="A25" s="5" t="inlineStr">
        <is>
          <t>Liquidity Coverage Ratio (LCR) (£m / %)</t>
        </is>
      </c>
      <c r="B25" s="6" t="n"/>
      <c r="C25" s="6" t="n"/>
      <c r="D25" s="6" t="n"/>
      <c r="E25" s="6" t="n"/>
    </row>
    <row r="26">
      <c r="A26" s="6" t="inlineStr">
        <is>
          <t>Total high-quality liquid assets (HQLA) (weighted value -average)</t>
        </is>
      </c>
      <c r="B26" s="6" t="n"/>
      <c r="C26" s="6" t="n">
        <v>56</v>
      </c>
      <c r="D26" s="6" t="n">
        <v>49.6</v>
      </c>
      <c r="E26" s="6" t="n">
        <v>54.2</v>
      </c>
    </row>
    <row r="27">
      <c r="A27" s="6" t="inlineStr">
        <is>
          <t>Cash outflows - Total weighted value</t>
        </is>
      </c>
      <c r="B27" s="6" t="n"/>
      <c r="C27" s="6" t="n">
        <v>46</v>
      </c>
      <c r="D27" s="6" t="n">
        <v>57.9</v>
      </c>
      <c r="E27" s="6" t="n">
        <v>65.59999999999999</v>
      </c>
    </row>
    <row r="28">
      <c r="A28" s="6" t="inlineStr">
        <is>
          <t>Cash inflows - Total weighted value</t>
        </is>
      </c>
      <c r="B28" s="6" t="n"/>
      <c r="C28" s="6" t="n">
        <v>81</v>
      </c>
      <c r="D28" s="6" t="n">
        <v>68</v>
      </c>
      <c r="E28" s="6" t="n">
        <v>72.59999999999999</v>
      </c>
    </row>
    <row r="29">
      <c r="A29" s="6" t="inlineStr">
        <is>
          <t>Total net cash outflows (adjusted value)</t>
        </is>
      </c>
      <c r="B29" s="6" t="n"/>
      <c r="C29" s="6" t="n">
        <v>12</v>
      </c>
      <c r="D29" s="6" t="n">
        <v>14.5</v>
      </c>
      <c r="E29" s="6" t="n">
        <v>16.4</v>
      </c>
    </row>
    <row r="30">
      <c r="A30" s="6" t="inlineStr">
        <is>
          <t>Liquidity coverage ratio - LCR (%)</t>
        </is>
      </c>
      <c r="B30" s="6" t="n"/>
      <c r="C30" s="6" t="inlineStr">
        <is>
          <t>490%</t>
        </is>
      </c>
      <c r="D30" s="6" t="inlineStr">
        <is>
          <t>343%</t>
        </is>
      </c>
      <c r="E30" s="6" t="inlineStr">
        <is>
          <t>330%</t>
        </is>
      </c>
    </row>
    <row r="31">
      <c r="A31" s="5" t="inlineStr">
        <is>
          <t>Net Stable Funding Ratio (£m / %)</t>
        </is>
      </c>
      <c r="B31" s="6" t="n"/>
      <c r="C31" s="6" t="n"/>
      <c r="D31" s="6" t="n"/>
      <c r="E31" s="6" t="n"/>
    </row>
    <row r="32">
      <c r="A32" s="6" t="inlineStr">
        <is>
          <t>Total available stable funding</t>
        </is>
      </c>
      <c r="B32" s="6" t="n"/>
      <c r="C32" s="6" t="n">
        <v>305</v>
      </c>
      <c r="D32" s="6" t="n">
        <v>284.7</v>
      </c>
      <c r="E32" s="6" t="n">
        <v>210.5</v>
      </c>
    </row>
    <row r="33">
      <c r="A33" s="6" t="inlineStr">
        <is>
          <t>Total required stable funding</t>
        </is>
      </c>
      <c r="B33" s="6" t="n"/>
      <c r="C33" s="6" t="n">
        <v>237</v>
      </c>
      <c r="D33" s="6" t="n">
        <v>227.7</v>
      </c>
      <c r="E33" s="6" t="n">
        <v>163.2</v>
      </c>
    </row>
    <row r="34">
      <c r="A34" s="6" t="inlineStr">
        <is>
          <t>NSFR ratio (%)</t>
        </is>
      </c>
      <c r="B34" s="6" t="n"/>
      <c r="C34" s="6" t="inlineStr">
        <is>
          <t>129%</t>
        </is>
      </c>
      <c r="D34" s="6" t="inlineStr">
        <is>
          <t>125.1%</t>
        </is>
      </c>
      <c r="E34" s="6" t="inlineStr">
        <is>
          <t>129%</t>
        </is>
      </c>
    </row>
    <row r="36" ht="380" customHeight="1">
      <c r="A36" s="8" t="inlineStr">
        <is>
          <t>Sources - Jordan International Bank Plc's own 'KEY PRUDENTIAL METRICS' table, published in Section 1 'Introduction' of each year's Pillar 3 Report on the Bank's own website. The table sits on printed page Five (PDF page 5) of each edition and is introduced with the sentence 'The table below summarises JIB's key prudential ratios (as per UK KM1 - Key metrics template) and further details on its liquidity positions can be found in Section 7.':
FY2024: Pillar 3 Report 2024, p.Five, column headed '31 DECEMBER 2024 - £m' - https://www.jordanbank.co.uk/media/n0xn5hx1/website-jib-pillar-3-2024-v24-clean.pdf
FY2023: Pillar 3 Report 2023, p.Five, column headed '31 DECEMBER 2023 - £m' - https://www.jordanbank.co.uk/media/1266/pw3949-jib-pillar-3-2023-final.pdf
FY2022: Pillar 3 Report 2022, p.Five, column headed '31 DECEMBER 2022 - £m' - https://www.jordanbank.co.uk/media/1245/jib-pillar-3-2022.pdf
KM1 presentation notes:
• ENTITY AND BASIS: solo, and only solo. Each edition's Section 1.4 states 'The information disclosed solely relates to Jordan International Bank Plc. JIB has no subsidiaries.' There is no consolidated basis to confuse it with, and the FY2024 edition adds 'As at 31 December 2024, the Bank has not been exempted from any disclosure requirements based on materiality or on proprietary or confidential information' - so the rows JIB omits are omitted, not formally excluded under Article 432.
• NO ROW NUMBERS: JIB prints this template without the KM1 row numbers ('1', 'UK 7a', '8', ...) that most filers print. None have been added here, because assigning them would be this project's inference rather than the Bank's disclosure. The row ORDER is JIB's own.
• ONE COLUMN PER EDITION: no edition prints a comparative column, so each year's figures are necessarily that year's own originally-published ones. Nothing here is a later edition's restated comparative.
• ROW-SET DRIFT: 'Total SREP own funds requirements (%)' is printed ONLY in the FY2022 edition (12.1%) and is dropped from FY2023 and FY2024; it is shown here in the position FY2022 prints it, between the capital-ratio block and the combined-buffer heading. No edition prints the UK 7a-7d SREP breakdown, UK 8a, UK 9a, row 10, UK 10a or the UK 14a-14e additional leverage rows, so those rows are absent from this sheet rather than blank.
• LABEL DRIFT: FY2022 and FY2023 print 'Institution specific countercyclical capital buffer (%)'; FY2024 prints 'Institution-specific countercyclical capital buffer (%)' (hyphenated). The FY2024 wording labels the row. FY2022 and FY2023 both print 'Risk-based capital ratios as a percentage of RWA' and 'Basel III leverage ratio' identically to FY2024.
• PRECISION IS THE BANK'S OWN and drifts year to year: FY2022 prints one decimal place throughout; FY2023 mixes whole numbers (89, 449) with one decimal (451.4, 49.6, 284.7); FY2024 prints every amount as a whole number (94, 473, 488, 56, 305, 237). Ratios likewise range from '2%' to '17.06%'. None of this has been re-rounded.
• SOURCE ARITHMETIC RECORDED, NOT CORRECTED: in FY2024 the printed HQLA of 56 over the printed net cash outflows of 12 gives 467%, against the 490% LCR the same row prints - a consequence of JIB rounding that edition's amounts to whole £m, since FY2022 (54.2/16.4 = 330%) and FY2023 (49.6/14.5 = 342%) both tie to their printed ratios. Reproduced as published. Note also that JIB's cash INFLOWS exceed its cash outflows in all three years (FY2024 81 vs 46), with net outflows landing at the LCR regime's 25%-of-outflows floor.</t>
        </is>
      </c>
    </row>
    <row r="38" ht="380" customHeight="1">
      <c r="A38" s="8" t="inlineStr">
        <is>
          <t>(continued)
• FY2021 AND EARLIER ARE BLANK BECAUSE THE TEMPLATE IS NOT USED, not because a figure is missing. The FY2021 Pillar 3 Report (p.Five) does print a table headed 'KEY PRUDENTIAL METRICS / 31 DECEMBER 2021 - £M', but it is a different and much shorter table: eleven rows (CET1, Tier 1, Tier 2, Total capital, Total RWA, the three capital ratios, the two leverage rows and a single 'LCR (%)' row), with a 'Tier 2' row the template does not contain, no buffer rows, no SREP row, no LCR build-up and no NSFR rows - and its introductory sentence reads simply 'The table below summarises JIB's key prudential ratios', without the 'as per UK KM1 - Key metrics template' clause the FY2022 and later editions add. Under the map's row-set test that is a bespoke summary, not an unnumbered KM1, so it is not transcribed here; its figures appear on the individual metric sheets instead - https://www.jordanbank.co.uk/media/1239/pw3901-jib-pillar-3-2021-final.pdf
• LATEST-EDITION CHECK, 2026-09-16: JIB's own Annual Report and Accounts page (https://www.jordanbank.co.uk/annual-report-and-accounts/) was fetched directly and lists Pillar 3 Reports for 2016-2024 only - the newest is the Pillar 3 Report 2024, already cited here. The same page already carries the FY2025 company accounts (https://www.jordanbank.co.uk/media/tlihy44n/company_accounts_2025.pdf), which this workbook also already holds, so the Bank is a Pillar 3 edition behind its own accounts and no FY2025 KM1 exists to transcribe. None newer than FY2024.</t>
        </is>
      </c>
    </row>
  </sheetData>
  <mergeCells count="2">
    <mergeCell ref="A36:E36"/>
    <mergeCell ref="A38:E3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Common Equity Tier 1 (CET1) capital</t>
        </is>
      </c>
      <c r="B4" s="6" t="n">
        <v>96</v>
      </c>
      <c r="C4" s="6" t="n">
        <v>94</v>
      </c>
      <c r="D4" s="6" t="n">
        <v>89</v>
      </c>
      <c r="E4" s="6" t="n">
        <v>83.8</v>
      </c>
      <c r="F4" s="6" t="n">
        <v>93.3</v>
      </c>
      <c r="G4" s="6" t="n">
        <v>91.3</v>
      </c>
      <c r="H4" s="6" t="n">
        <v>88.90000000000001</v>
      </c>
      <c r="I4" s="6" t="n">
        <v>84.5</v>
      </c>
      <c r="J4" s="6" t="n">
        <v>83</v>
      </c>
      <c r="K4" s="6" t="n">
        <v>80.09999999999999</v>
      </c>
    </row>
    <row r="5" ht="39" customHeight="1">
      <c r="A5" s="7" t="inlineStr">
        <is>
          <t>Note: FY2025 is ANNUAL-REPORT-BASIS, not Pillar 3 (no FY2025 Pillar 3 Report published as at 15 September 2026): the Bank states it 'considers equity as presented on the balance sheet to be its capital', giving total equity at 31 December 2025 of GBP96m (2024: GBP94m), and that its regulatory capital base consists solely of CET1 with no AT1/Tier 2 eligible instruments. That FY2024 comparative reproduces the FY2024 Pillar 3 CET1 of GBP94m exactly. Stated only to the nearest GBP1m, so accurate to +/-GBP0.5m - see sources. No Additional Tier 1/Tier 2 capital is disclosed in any year, so CET1 = Tier 1 = Total Capital throughout. FY2016 figure is the 'fully loaded' basis (see sources note on the fully-loaded/PRA-transitional split unique to that year).</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CET1 ratio</t>
        </is>
      </c>
      <c r="B4" s="6" t="inlineStr">
        <is>
          <t>Not published - FY2025 Pillar 3 Report not issued as at 18 Sep 2026</t>
        </is>
      </c>
      <c r="C4" s="6" t="inlineStr">
        <is>
          <t>19.9%</t>
        </is>
      </c>
      <c r="D4" s="6" t="inlineStr">
        <is>
          <t>19.8%</t>
        </is>
      </c>
      <c r="E4" s="6" t="inlineStr">
        <is>
          <t>19.3%</t>
        </is>
      </c>
      <c r="F4" s="6" t="inlineStr">
        <is>
          <t>22.9%</t>
        </is>
      </c>
      <c r="G4" s="6" t="inlineStr">
        <is>
          <t>22.7%</t>
        </is>
      </c>
      <c r="H4" s="6" t="inlineStr">
        <is>
          <t>22.35%</t>
        </is>
      </c>
      <c r="I4" s="6" t="inlineStr">
        <is>
          <t>22.05%</t>
        </is>
      </c>
      <c r="J4" s="6" t="inlineStr">
        <is>
          <t>21.15%</t>
        </is>
      </c>
      <c r="K4" s="6" t="inlineStr">
        <is>
          <t>20.44%</t>
        </is>
      </c>
    </row>
    <row r="6" ht="403" customHeight="1">
      <c r="A6"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1">
    <mergeCell ref="A6:K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capital</t>
        </is>
      </c>
      <c r="B4" s="6" t="n">
        <v>96</v>
      </c>
      <c r="C4" s="6" t="n">
        <v>94</v>
      </c>
      <c r="D4" s="6" t="n">
        <v>89</v>
      </c>
      <c r="E4" s="6" t="n">
        <v>83.8</v>
      </c>
      <c r="F4" s="6" t="n">
        <v>93.3</v>
      </c>
      <c r="G4" s="6" t="n">
        <v>91.3</v>
      </c>
      <c r="H4" s="6" t="n">
        <v>88.90000000000001</v>
      </c>
      <c r="I4" s="6" t="n">
        <v>84.5</v>
      </c>
      <c r="J4" s="6" t="n">
        <v>83</v>
      </c>
      <c r="K4" s="6" t="n">
        <v>80.09999999999999</v>
      </c>
    </row>
    <row r="5" ht="39" customHeight="1">
      <c r="A5" s="7" t="inlineStr">
        <is>
          <t xml:space="preserve">Note: Equal to CET1 capital - no Additional Tier 1 instruments are disclosed in any year. FY2025 is ANNUAL-REPORT-BASIS, not Pillar 3 (no FY2025 Pillar 3 Report published as at 15 September 2026): the Bank states it 'considers equity as presented on the balance sheet to be its capital', giving total equity at 31 December 2025 of GBP96m (2024: GBP94m), and that its regulatory capital base consists solely of CET1 with no AT1/Tier 2 eligible instruments. That FY2024 comparative reproduces the FY2024 Pillar 3 CET1 of GBP94m exactly. Stated only to the nearest GBP1m, so accurate to +/-GBP0.5m - see sources. </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Tier 1 ratio</t>
        </is>
      </c>
      <c r="B4" s="6" t="inlineStr">
        <is>
          <t>Not published - FY2025 Pillar 3 Report not issued as at 18 Sep 2026</t>
        </is>
      </c>
      <c r="C4" s="6" t="inlineStr">
        <is>
          <t>19.9%</t>
        </is>
      </c>
      <c r="D4" s="6" t="inlineStr">
        <is>
          <t>19.8%</t>
        </is>
      </c>
      <c r="E4" s="6" t="inlineStr">
        <is>
          <t>19.3%</t>
        </is>
      </c>
      <c r="F4" s="6" t="inlineStr">
        <is>
          <t>22.9%</t>
        </is>
      </c>
      <c r="G4" s="6" t="inlineStr">
        <is>
          <t>22.7%</t>
        </is>
      </c>
      <c r="H4" s="6" t="inlineStr">
        <is>
          <t>22.35%</t>
        </is>
      </c>
      <c r="I4" s="6" t="inlineStr">
        <is>
          <t>22.05%</t>
        </is>
      </c>
      <c r="J4" s="6" t="inlineStr">
        <is>
          <t>21.15%</t>
        </is>
      </c>
      <c r="K4" s="6" t="inlineStr">
        <is>
          <t>20.44%</t>
        </is>
      </c>
    </row>
    <row r="6" ht="403" customHeight="1">
      <c r="A6"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1">
    <mergeCell ref="A6:K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t>
        </is>
      </c>
      <c r="B4" s="6" t="n">
        <v>96</v>
      </c>
      <c r="C4" s="6" t="n">
        <v>94</v>
      </c>
      <c r="D4" s="6" t="n">
        <v>89</v>
      </c>
      <c r="E4" s="6" t="n">
        <v>83.8</v>
      </c>
      <c r="F4" s="6" t="n">
        <v>93.3</v>
      </c>
      <c r="G4" s="6" t="n">
        <v>91.3</v>
      </c>
      <c r="H4" s="6" t="n">
        <v>88.90000000000001</v>
      </c>
      <c r="I4" s="6" t="n">
        <v>84.5</v>
      </c>
      <c r="J4" s="6" t="n">
        <v>83</v>
      </c>
      <c r="K4" s="6" t="n">
        <v>80.09999999999999</v>
      </c>
    </row>
    <row r="5" ht="39" customHeight="1">
      <c r="A5" s="7" t="inlineStr">
        <is>
          <t xml:space="preserve">Note: Equal to CET1/Tier 1 capital - no Tier 2 instruments are disclosed in any year. FY2025 is ANNUAL-REPORT-BASIS, not Pillar 3 (no FY2025 Pillar 3 Report published as at 15 September 2026): the Bank states it 'considers equity as presented on the balance sheet to be its capital', giving total equity at 31 December 2025 of GBP96m (2024: GBP94m), and that its regulatory capital base consists solely of CET1 with no AT1/Tier 2 eligible instruments. That FY2024 comparative reproduces the FY2024 Pillar 3 CET1 of GBP94m exactly. Stated only to the nearest GBP1m, so accurate to +/-GBP0.5m - see sources. </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capital ratio</t>
        </is>
      </c>
      <c r="B4" s="6" t="inlineStr">
        <is>
          <t>Not published - FY2025 Pillar 3 Report not issued as at 18 Sep 2026</t>
        </is>
      </c>
      <c r="C4" s="6" t="inlineStr">
        <is>
          <t>19.9%</t>
        </is>
      </c>
      <c r="D4" s="6" t="inlineStr">
        <is>
          <t>19.8%</t>
        </is>
      </c>
      <c r="E4" s="6" t="inlineStr">
        <is>
          <t>19.3%</t>
        </is>
      </c>
      <c r="F4" s="6" t="inlineStr">
        <is>
          <t>22.9%</t>
        </is>
      </c>
      <c r="G4" s="6" t="inlineStr">
        <is>
          <t>22.7%</t>
        </is>
      </c>
      <c r="H4" s="6" t="inlineStr">
        <is>
          <t>22.35%</t>
        </is>
      </c>
      <c r="I4" s="6" t="inlineStr">
        <is>
          <t>22.05%</t>
        </is>
      </c>
      <c r="J4" s="6" t="inlineStr">
        <is>
          <t>21.15%</t>
        </is>
      </c>
      <c r="K4" s="6" t="inlineStr">
        <is>
          <t>20.44%</t>
        </is>
      </c>
    </row>
    <row r="6" ht="403" customHeight="1">
      <c r="A6"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1">
    <mergeCell ref="A6:K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Total risk-weighted exposure amount (RWA)</t>
        </is>
      </c>
      <c r="B4" s="6" t="inlineStr">
        <is>
          <t>Not published - FY2025 Pillar 3 Report not issued as at 18 Sep 2026</t>
        </is>
      </c>
      <c r="C4" s="6" t="n">
        <v>473</v>
      </c>
      <c r="D4" s="6" t="n">
        <v>449</v>
      </c>
      <c r="E4" s="6" t="n">
        <v>435.3</v>
      </c>
      <c r="F4" s="6" t="n">
        <v>407.5</v>
      </c>
      <c r="G4" s="6" t="n">
        <v>401.6</v>
      </c>
      <c r="H4" s="6" t="n">
        <v>397.8</v>
      </c>
      <c r="I4" s="6" t="n">
        <v>383.1</v>
      </c>
      <c r="J4" s="6" t="n">
        <v>392.6</v>
      </c>
      <c r="K4" s="6" t="n">
        <v>391.8</v>
      </c>
    </row>
    <row r="6" ht="403" customHeight="1">
      <c r="A6"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1">
    <mergeCell ref="A6:K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RWA Breakdown</t>
        </is>
      </c>
    </row>
    <row r="2">
      <c r="A2" s="2" t="inlineStr">
        <is>
          <t>Solo basis throughout (per Pillar 3 disclosures). £'000, except FY2021/FY2020 derived from £m (see source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row>
    <row r="4">
      <c r="A4" s="6" t="inlineStr">
        <is>
          <t>[No FY2025 RWA breakdown published - see note below]</t>
        </is>
      </c>
      <c r="B4" s="6" t="inlineStr">
        <is>
          <t>Not published - FY2025 Pillar 3 Report not issued as at 18 Sep 2026</t>
        </is>
      </c>
      <c r="C4" s="6" t="n"/>
      <c r="D4" s="6" t="n"/>
      <c r="E4" s="6" t="n"/>
      <c r="F4" s="6" t="n"/>
      <c r="G4" s="6" t="n"/>
      <c r="H4" s="6" t="n"/>
      <c r="I4" s="6" t="n"/>
      <c r="J4" s="6" t="n"/>
      <c r="K4" s="6" t="n"/>
    </row>
    <row r="5">
      <c r="A5" s="6" t="inlineStr">
        <is>
          <t>Credit risk (excluding CCR)</t>
        </is>
      </c>
      <c r="B5" s="6" t="n"/>
      <c r="C5" s="6" t="n">
        <v>418080</v>
      </c>
      <c r="D5" s="6" t="n">
        <v>402263</v>
      </c>
      <c r="E5" s="6" t="n">
        <v>388850</v>
      </c>
      <c r="F5" s="6" t="n">
        <v>361250</v>
      </c>
      <c r="G5" s="6" t="n">
        <v>356250</v>
      </c>
      <c r="H5" s="6" t="n">
        <v>352400</v>
      </c>
      <c r="I5" s="6" t="n">
        <v>335400</v>
      </c>
      <c r="J5" s="6" t="n">
        <v>348500</v>
      </c>
      <c r="K5" s="6" t="n">
        <v>350000</v>
      </c>
    </row>
    <row r="6">
      <c r="A6" s="6" t="inlineStr">
        <is>
          <t>Counterparty credit risk (CCR)</t>
        </is>
      </c>
      <c r="B6" s="6" t="n"/>
      <c r="C6" s="6" t="n">
        <v>1582</v>
      </c>
      <c r="D6" s="6" t="n">
        <v>648</v>
      </c>
      <c r="E6" s="6" t="n">
        <v>4.8</v>
      </c>
      <c r="F6" s="6" t="n"/>
      <c r="G6" s="6" t="n"/>
      <c r="H6" s="6" t="n"/>
      <c r="I6" s="6" t="n">
        <v>200</v>
      </c>
      <c r="J6" s="6" t="n">
        <v>200</v>
      </c>
      <c r="K6" s="6" t="n">
        <v>100</v>
      </c>
    </row>
    <row r="7">
      <c r="A7" s="6" t="inlineStr">
        <is>
          <t>Market risk</t>
        </is>
      </c>
      <c r="B7" s="6" t="n"/>
      <c r="C7" s="6" t="n">
        <v>21275</v>
      </c>
      <c r="D7" s="6" t="n">
        <v>19460</v>
      </c>
      <c r="E7" s="6" t="n">
        <v>23073</v>
      </c>
      <c r="F7" s="6" t="n">
        <v>23750</v>
      </c>
      <c r="G7" s="6" t="n">
        <v>22500</v>
      </c>
      <c r="H7" s="6" t="n">
        <v>22100</v>
      </c>
      <c r="I7" s="6" t="n">
        <v>23300</v>
      </c>
      <c r="J7" s="6" t="n">
        <v>19800</v>
      </c>
      <c r="K7" s="6" t="n">
        <v>20700</v>
      </c>
    </row>
    <row r="8">
      <c r="A8" s="6" t="inlineStr">
        <is>
          <t>Operational risk</t>
        </is>
      </c>
      <c r="B8" s="6" t="n"/>
      <c r="C8" s="6" t="n">
        <v>30998</v>
      </c>
      <c r="D8" s="6" t="n">
        <v>25918</v>
      </c>
      <c r="E8" s="6" t="n">
        <v>23421</v>
      </c>
      <c r="F8" s="6" t="n">
        <v>22500</v>
      </c>
      <c r="G8" s="6" t="n">
        <v>22500</v>
      </c>
      <c r="H8" s="6" t="n">
        <v>23300</v>
      </c>
      <c r="I8" s="6" t="n">
        <v>24100</v>
      </c>
      <c r="J8" s="6" t="n">
        <v>24000</v>
      </c>
      <c r="K8" s="6" t="n">
        <v>20900</v>
      </c>
    </row>
    <row r="9">
      <c r="A9" s="6" t="inlineStr">
        <is>
          <t>Credit valuation adjustment (CVA)</t>
        </is>
      </c>
      <c r="B9" s="6" t="n"/>
      <c r="C9" s="6" t="n">
        <v>1078</v>
      </c>
      <c r="D9" s="6" t="n">
        <v>645</v>
      </c>
      <c r="E9" s="6" t="n"/>
      <c r="F9" s="6" t="n">
        <v>250</v>
      </c>
      <c r="G9" s="6" t="n"/>
      <c r="H9" s="6" t="n"/>
      <c r="I9" s="6" t="n">
        <v>100</v>
      </c>
      <c r="J9" s="6" t="n">
        <v>100</v>
      </c>
      <c r="K9" s="6" t="n">
        <v>100</v>
      </c>
    </row>
    <row r="10">
      <c r="A10" s="5" t="inlineStr">
        <is>
          <t>Total risk-weighted exposure amount</t>
        </is>
      </c>
      <c r="B10" s="5" t="n"/>
      <c r="C10" s="5" t="n">
        <v>473013</v>
      </c>
      <c r="D10" s="5" t="n">
        <v>448934</v>
      </c>
      <c r="E10" s="5" t="n">
        <v>435349</v>
      </c>
      <c r="F10" s="5" t="n">
        <v>407500</v>
      </c>
      <c r="G10" s="5" t="n">
        <v>401600</v>
      </c>
      <c r="H10" s="5" t="n">
        <v>397800</v>
      </c>
      <c r="I10" s="5" t="n">
        <v>383100</v>
      </c>
      <c r="J10" s="5" t="n">
        <v>392600</v>
      </c>
      <c r="K10" s="5" t="n">
        <v>391800</v>
      </c>
    </row>
    <row r="12" ht="340" customHeight="1">
      <c r="A12" s="8" t="inlineStr">
        <is>
          <t>Sources - Jordan International Bank Plc's own Pillar 3 Report, Section 3.3 'Minimum capital requirements' (a direct RWA-by-risk-type table FY2016-FY2019, a UK-OV1-style Pillar 1 capital allocation table FY2020 onward):
FY2024: Pillar 3 Report 2024, Section 3.3 - https://www.jordanbank.co.uk/media/n0xn5hx1/website-jib-pillar-3-2024-v24-clean.pdf
FY2023: Pillar 3 Report 2023, Section 3.3 - https://www.jordanbank.co.uk/media/1266/pw3949-jib-pillar-3-2023-final.pdf
FY2022: Pillar 3 Report 2022, Section 3.3 - https://www.jordanbank.co.uk/media/1245/jib-pillar-3-2022.pdf
FY2021: Pillar 3 Report 2021, Section 3.3 - https://www.jordanbank.co.uk/media/1239/pw3901-jib-pillar-3-2021-final.pdf
FY2020: Pillar 3 Report 2020, Section 3.3 'Minimum capital requirements' - https://www.jordanbank.co.uk/media/1215/jib-pillar-3-disclosures-2020.pdf
FY2019: Pillar 3 Report 2019, Section 4 'Capital resources, requirements and leverage' - https://www.jordanbank.co.uk/media/1208/jib-pillar-3-2019-revised-final-report.pdf
FY2018: Pillar 3 Report 2018, Section 4 - https://www.jordanbank.co.uk/media/1133/pillar-3-2018.pdf
FY2017: Pillar 3 Report 2017, Section 4 - https://www.jordanbank.co.uk/media/1127/pw3751-jib-pillar-3-2017-f-final.pdf
FY2016: Pillar 3 Report 2016, Section 4 - https://www.jordanbank.co.uk/media/1018/pillar-3.pdf
FY2025: no standalone Pillar 3 Report was published on the Bank's website as of this session (see p3_sources note) - genuinely not yet disclosed, left blank rather than guessed. FY2022's Counterparty credit risk (CCR) figure of £4.8k is reproduced exactly as printed in the Bank's own table (all other rows that year are in the many-thousands range) - it is not a transcription error: the Bank's own 'Total capital allocation' of £435,349k only reconciles if this row is taken as £4.8k, not a rounding-scaled £4,800k. FY2022's table has no separate CVA line (nil/immaterial that year, folded into the total). FY2021's Pillar 3 Report predates the UK OV1 template and instead discloses Pillar 1 capital requirements by risk type in £m (Credit risk £28.9m [including CCR, not broken out separately that year], Market risk £1.9m, Operational risk £1.8m, CVA £0.02m, Total £32.6m) - RWA-equivalent figures here are derived by multiplying each by 12.5 (i.e. dividing by the 8% minimum capital ratio), consistent with the rest of this project's convention for years lacking a direct RWA table; the derived Total (£407.5m) ties exactly to the Total RWAs metric sheet's own FY2021 figure, cross-validating the derivation. FY2020's own Section 3.3 similarly lacks a direct RWA table (it discloses a Pillar 1/Pillar 2A capital ALLOCATION table instead, in £m: Credit risk £28.5m, Market risk £1.8m, Operational risk £1.8m, Pillar 1 total £32.1m - the Pillar 2A-only add-ons for credit concentration risk, interest rate risk in the banking book and reputational risk are excluded here as they are not part of the Pillar 1 RWA base); the same x12.5 derivation gives a derived total of £401.25m against the Bank's own separately-disclosed Total RWA of £401.6m - a ~£0.35m gap attributable to rounding in the £m Pillar 1 inputs, not a transcription error. FY2016-FY2019 instead have a direct RWA-by-risk-type table (same template as FY2022/FY2023), so no derivation is needed for those years; FY2019's own table discloses nil/immaterial CCR and CVA that year (shown as '~' in the source, treated as blank here, consistent with how FY2022's nil CVA is also left blank).</t>
        </is>
      </c>
    </row>
  </sheetData>
  <mergeCells count="1">
    <mergeCell ref="A12:K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Basel III leverage ratio - including claims on central banks; the Bank's own reconciliation deducts none (see note)</t>
        </is>
      </c>
      <c r="B4" s="6" t="inlineStr">
        <is>
          <t>Not published - FY2025 Pillar 3 Report not issued as at 18 Sep 2026</t>
        </is>
      </c>
      <c r="C4" s="6" t="inlineStr">
        <is>
          <t>19.3%</t>
        </is>
      </c>
      <c r="D4" s="6" t="inlineStr">
        <is>
          <t>19.7%</t>
        </is>
      </c>
      <c r="E4" s="6" t="inlineStr">
        <is>
          <t>19.3%</t>
        </is>
      </c>
      <c r="F4" s="6" t="inlineStr">
        <is>
          <t>23.4%</t>
        </is>
      </c>
      <c r="G4" s="6" t="inlineStr">
        <is>
          <t>24.2%</t>
        </is>
      </c>
      <c r="H4" s="6" t="inlineStr">
        <is>
          <t>22.85%</t>
        </is>
      </c>
      <c r="I4" s="6" t="inlineStr">
        <is>
          <t>21.53%</t>
        </is>
      </c>
      <c r="J4" s="6" t="inlineStr">
        <is>
          <t>20.93%</t>
        </is>
      </c>
      <c r="K4" s="6" t="inlineStr">
        <is>
          <t>19.32%</t>
        </is>
      </c>
    </row>
    <row r="5" ht="130" customHeight="1">
      <c r="A5" s="7" t="inlineStr">
        <is>
          <t>Note: LEVERAGE BASIS: ONE RATIO IS PUBLISHED, AND IT IS THE INCLUDING-CENTRAL-BANK-CLAIMS BASIS - THE BANK'S OWN RECONCILIATION SHOWS NO DEDUCTION (GA-026, 2026-10-10). From 1 January 2022 template UK LR2 / LRCom prints the exposure measure on BOTH bases - row 24 including claims on central banks, row UK-24b excluding them, reconciling at UK-24a, with ratios at row 25 and UK-25c. JIB prints no UK LR2 table in any edition and still uses the older Basel III captions, which is why the row above is headed 'Basel III leverage ratio' rather than a UK-template name.
Unlike a bank that simply states a ratio, JIB prints the workings, and they settle the question. Section 3.4 of the FY2024 Pillar 3 Report carries a 'Summary reconciliation of accounting assets and leverage exposures' running from 'Total consolidated assets as per balance sheet' 484,970 through adjustments for derivative financial instruments 1,646, off-balance sheet items 2,067, a PVA adjustment (69) and an other adjustment (775), to a 'Leverage ratio total exposure measure' of 487,839 (GBP000s, 31 December 2024). There is NO line deducting claims on, or reserves placed with, central banks - the exposure measure starts from total consolidated assets and is only ever added to. The measure therefore INCLUDES claims on central banks, which is the row 24 basis, and the 19.3% above is the including-basis ratio.
The narrative agrees: 'Leverage ratio is measured as the ratio of the Bank's Tier 1 capital to its total assets including off balance sheet exposures.' No exclusion is mentioned anywhere in the document.
This is the mirror image of Bank of Ceylon UK, recorded under the same ticket, where an explicit 'Deduction: funds placed with the Bank of England' line fixes that bank on the EXCLUDING basis. The presence or absence of that one line is what makes a basis readable when no UK LR2 table is printed.</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Liquidity Coverage Ratio (LCR)</t>
        </is>
      </c>
      <c r="B4" s="6" t="inlineStr">
        <is>
          <t>Not published - FY2025 Pillar 3 Report not issued as at 18 Sep 2026</t>
        </is>
      </c>
      <c r="C4" s="6" t="inlineStr">
        <is>
          <t>490%</t>
        </is>
      </c>
      <c r="D4" s="6" t="inlineStr">
        <is>
          <t>343%</t>
        </is>
      </c>
      <c r="E4" s="6" t="inlineStr">
        <is>
          <t>330%</t>
        </is>
      </c>
      <c r="F4" s="6" t="inlineStr">
        <is>
          <t>428%</t>
        </is>
      </c>
      <c r="G4" s="6" t="inlineStr">
        <is>
          <t>509%</t>
        </is>
      </c>
      <c r="H4" s="6" t="inlineStr">
        <is>
          <t>373.86%</t>
        </is>
      </c>
      <c r="I4" s="6" t="inlineStr">
        <is>
          <t>223.56%</t>
        </is>
      </c>
      <c r="J4" s="6" t="inlineStr">
        <is>
          <t>525.38%</t>
        </is>
      </c>
      <c r="K4" s="6" t="inlineStr">
        <is>
          <t>660%</t>
        </is>
      </c>
    </row>
    <row r="6" ht="403" customHeight="1">
      <c r="A6"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1">
    <mergeCell ref="A6:K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Net Stable Funding Ratio (NSFR)</t>
        </is>
      </c>
      <c r="B4" s="6" t="inlineStr">
        <is>
          <t>Not published - FY2025 Pillar 3 Report not issued as at 18 Sep 2026</t>
        </is>
      </c>
      <c r="C4" s="6" t="inlineStr">
        <is>
          <t>129%</t>
        </is>
      </c>
      <c r="D4" s="6" t="inlineStr">
        <is>
          <t>125.1%</t>
        </is>
      </c>
      <c r="E4" s="6" t="inlineStr">
        <is>
          <t>129%</t>
        </is>
      </c>
      <c r="F4" s="6" t="inlineStr">
        <is>
          <t>Not disclosed - no NSFR row in that year's own Pillar 3; UK NSFR regime began 1 Jan 2022</t>
        </is>
      </c>
      <c r="G4" s="6" t="inlineStr">
        <is>
          <t>Not disclosed - no NSFR row in that year's own Pillar 3; UK NSFR regime began 1 Jan 2022</t>
        </is>
      </c>
      <c r="H4" s="6" t="inlineStr">
        <is>
          <t>Not disclosed - no NSFR row in that year's own Pillar 3; UK NSFR regime began 1 Jan 2022</t>
        </is>
      </c>
      <c r="I4" s="6" t="inlineStr">
        <is>
          <t>Not disclosed - no NSFR row in that year's own Pillar 3; UK NSFR regime began 1 Jan 2022</t>
        </is>
      </c>
      <c r="J4" s="6" t="inlineStr">
        <is>
          <t>Not disclosed - no NSFR row in that year's own Pillar 3; UK NSFR regime began 1 Jan 2022</t>
        </is>
      </c>
      <c r="K4" s="6" t="inlineStr">
        <is>
          <t>123%</t>
        </is>
      </c>
    </row>
    <row r="5" ht="91" customHeight="1">
      <c r="A5" s="7" t="inlineStr">
        <is>
          <t>Note: Not disclosed for FY2017-FY2021 - genuinely absent from every one of those years' own Pillar 3 Reports (checked directly, not assumed; the FY2021 report was re-read on 2026-09-15 and contains an LCR but no NSFR anywhere); disclosed once in FY2016's own summary infographic (123%) before dropping out of the Bank's disclosure until it reappears from the FY2022 KM1 template onward. This matches the UK regime: there was no NSFR requirement or NSFR disclosure template in the UK until PRA PS17/21 / PS22/21 took effect on 1 January 2022, so any FY2021-or-earlier NSFR - including this Bank's FY2016 one - was voluntary. PRIMARY SOURCE for that commencement date, added 2026-09-18, is the Bank's OWN words rather than a regulator page: Pillar 3 Report 2022, Section 7 'Liquidity risk (continued)', printed p.Thirty Two - 'Net Stable Funding Ratio (NSFR) is designed to measure the amount of longer term, stable sources of funding relative to assets funded... From 1st January 2022, the new UK Net Stable Funding Ratio (NSFR) was adopted as shown in the table below.' Each FY2017-FY2021 edition was re-downloaded on 2026-09-18 and searched in full: zero hits for 'NSFR' and zero for 'Net Stable Funding' in every one, against a richness control of 1,095 / 1,079 / 1,002 / 845 / 877 hits for the word 'the' in the FY2017 / FY2018 / FY2019 / FY2020 / FY2021 text layers respectively - so the absence is the Bank's, not the instrument's. Those five year cells now carry that statement in-column rather than only here. FY2025 likewise carries an in-column statement: no FY2025 Pillar 3 Report exists as at 18 September 2026.</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1" t="inlineStr">
        <is>
          <t>Jordan International Bank Plc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row>
    <row r="4">
      <c r="A4" s="6" t="inlineStr">
        <is>
          <t>MREL Ratio</t>
        </is>
      </c>
      <c r="B4" s="6" t="inlineStr">
        <is>
          <t>Not applicable – absent from BoE 'External MRELs' disclosures 2023-2026, which list every UK resolution entity with MREL above minimum capital (MCR); MREL = MCR</t>
        </is>
      </c>
      <c r="C4" s="6" t="inlineStr">
        <is>
          <t>Not applicable – absent from BoE 'External MRELs' disclosures 2023-2026, which list every UK resolution entity with MREL above minimum capital (MCR); MREL = MCR</t>
        </is>
      </c>
      <c r="D4" s="6" t="inlineStr">
        <is>
          <t>Not applicable – absent from BoE 'External MRELs' disclosures 2023-2026, which list every UK resolution entity with MREL above minimum capital (MCR); MREL = MCR</t>
        </is>
      </c>
      <c r="E4" s="6" t="inlineStr">
        <is>
          <t>Not published – no MREL figure or mention in this year's JIB Pillar 3 report (text-searched 2026-09-19)</t>
        </is>
      </c>
      <c r="F4" s="6" t="inlineStr">
        <is>
          <t>Not published – no MREL figure or mention in this year's JIB Pillar 3 report (text-searched 2026-09-19)</t>
        </is>
      </c>
      <c r="G4" s="6" t="inlineStr">
        <is>
          <t>Not published – no MREL figure or mention in this year's JIB Pillar 3 report (text-searched 2026-09-19)</t>
        </is>
      </c>
      <c r="H4" s="6" t="inlineStr">
        <is>
          <t>Not published – no MREL figure or mention in this year's JIB Pillar 3 report (text-searched 2026-09-19)</t>
        </is>
      </c>
      <c r="I4" s="6" t="inlineStr">
        <is>
          <t>Not published – no MREL figure or mention in this year's JIB Pillar 3 report (text-searched 2026-09-19)</t>
        </is>
      </c>
      <c r="J4" s="6" t="inlineStr">
        <is>
          <t>Not published – no MREL figure or mention in this year's JIB Pillar 3 report (text-searched 2026-09-19)</t>
        </is>
      </c>
      <c r="K4" s="6" t="inlineStr">
        <is>
          <t>Not published – no MREL figure or mention in this year's JIB Pillar 3 report (text-searched 2026-09-19)</t>
        </is>
      </c>
    </row>
    <row r="5" ht="78" customHeight="1">
      <c r="A5" s="7" t="inlineStr">
        <is>
          <t>Note: GA-020 (2026-09-19): all nine Pillar 3 reports FY2016-FY2024 (P3_20xx_URL) re-fetched and text-searched for 'MREL'/'eligible liabilities' - zero hits. FY2023-FY2025 cite the BoE record below as a 'Not applicable' reason; FY2016-FY2022 predate the first BoE edition checked and say only 'Not published'.
Not disclosed in any year - Jordan International Bank Plc is not identified as a UK resolution entity in these reports. POSITIVE RECORD ADDED 18 September 2026 (KM1-032): that was an inference from the reports' silence, unlike this bank's other, evidenced sheets. It is now sourced independently. The Bank of England's own 'External minimum requirements for own funds and eligible liabilities (MRELs)' disclosures (2023, 2024, 2025 and 2026 editions, at bankofengland.co.uk/financial-stability/resolution/mrels-&lt;year&gt;) contain 'all firms with a resolution entity incorporated in the UK for which an MREL above MCR has been communicated', in the BoE's own words. Jordan International Bank Plc appears in none of the four editions. The BoE publishes the requirement, not the ratio, so nothing from that table is transcribed here.</t>
        </is>
      </c>
    </row>
    <row r="7" ht="403" customHeight="1">
      <c r="A7" s="8" t="inlineStr">
        <is>
          <t>Sources - Jordan International Bank Plc's own Pillar 3 Report, published on the Bank's website:
FY2024: Pillar 3 Report 2024, Section 1 'Introduction', Key Prudential Metrics table (UK KM1 template, 31 December 2024) - https://www.jordanbank.co.uk/media/n0xn5hx1/website-jib-pillar-3-2024-v24-clean.pdf
FY2023: Pillar 3 Report 2023, Section 1 'Introduction', Key Prudential Metrics table (UK KM1 template, 31 December 2023) - https://www.jordanbank.co.uk/media/1266/pw3949-jib-pillar-3-2023-final.pdf
FY2022: Pillar 3 Report 2022, Section 1 'Introduction', Key Prudential Metrics table (UK KM1 template, 31 December 2022) - https://www.jordanbank.co.uk/media/1245/jib-pillar-3-2022.pdf
FY2021: Pillar 3 Report 2021, Section 1 'Introduction', Key Prudential Metrics table (31 December 2021). Corrected 2026-09-16 (KM1-018): this line previously described the FY2021 table as the 'UK KM1 template', which it is not - the FY2021 edition prints a shorter eleven-row bespoke summary, and only the FY2022 and later editions introduce their table as the 'UK KM1 - Key metrics template'. See the KM1 Key Metrics sheet - https://www.jordanbank.co.uk/media/1239/pw3901-jib-pillar-3-2021-final.pdf
FY2020: Pillar 3 Report 2020, Section 2 'Summary of key ratios' - https://www.jordanbank.co.uk/media/1215/jib-pillar-3-disclosures-2020.pdf
FY2019: Pillar 3 Report 2019, Section 3 'Summary of key ratios' table - https://www.jordanbank.co.uk/media/1208/jib-pillar-3-2019-revised-final-report.pdf
FY2018: Pillar 3 Report 2018, Section 3 'Summary of key ratios' table - https://www.jordanbank.co.uk/media/1133/pillar-3-2018.pdf
FY2017: Pillar 3 Report 2017, Section 3 'Summary of key ratios' table - https://www.jordanbank.co.uk/media/1127/pw3751-jib-pillar-3-2017-f-final.pdf
FY2016: Pillar 3 Report 2016, Section 3 'Summary of key capital ratios' infographic plus Section 4 'Capital resources, requirements and leverage' detail tables - https://www.jordanbank.co.uk/media/1018/pillar-3.pdf
FY2025: no standalone Pillar 3 Report has been published as at 15 September 2026. Re-checked that date: the Bank's own Annual Report and Accounts page (https://www.jordanbank.co.uk/annual-report-and-accounts/) lists Pillar 3 Reports for 2016-2024 only, while already carrying the FY2025 company accounts, and a Wayback CDX sweep of the whole jordanbank.co.uk domain for 'pillar' URLs returns nothing later than the FY2024 report (first archived 10 December 2025). JIB publishes its Pillar 3 around November/December, so the FY2025 edition is expected ~December 2026. RE-CHECKED 2026-09-18 (separate session, prior verdict treated as unproven) - UNCHANGED: the Annual Report and Accounts page was re-fetched and every document link parsed out of it, and it still carries JIB Pillar 3 2016 through 2024 and nothing later, beside a 'Company Accounts 2025' entry (/media/tlihy44n/company_accounts_2025.pdf, fetched and confirmed HTTP 200, application/pdf, first bytes '%PDF', 323,166 bytes) - so the index is demonstrably current for FY2025 and the Pillar 3 is simply behind it. Worth recording WHY no URL-probing was attempted here, because the usual fallback does not exist on this site: jordanbank.co.uk serves documents from opaque Umbraco media identifiers (/media/tlihy44n/, /media/n0xn5hx1/, /media/1266/) that carry no year and follow no derivable pattern, so a FY2025 filename cannot be constructed even in principle. This index is the only route to the document, and re-fetching it is the only check that can close this gap. The FY2025 accounts themselves state the detail 'will be provided in the Bank's Pillar 3 Report' and disclose no ratios, so CET1 Ratio, Tier 1 Ratio, Total Capital Ratio, Total RWAs, Leverage Ratio, LCR and NSFR are all genuinely undisclosed for FY2025 and are left blank rather than derived. The ONE FY2025 figure that is available is capital itself, and it is ANNUAL-REPORT-BASIS, not Pillar 3: Annual Report and Financial Statements 2025, Note 33 'Risk management - Capital risk - Capital management / Tier 1 capital', p.84 ('For the purposes of capital management, the Group considers equity as presented on the balance sheet to be its capital. Total equity at 31 December 2025 was GBP96m (2024: GBP94m)', and 'The Bank's regulatory capital base consists solely of Common Equity Tier 1 (CET1) instruments, and there are no instruments which would be eligible as regulatory capital under Additional Tier 1 or Tier 2') - https://find-and-update.company-information.service.gov.uk/company/01814093/filing-history/MzUyMzkyMzgzOGFkaXF6a2N4/document?format=pdf&amp;download=0 (also published by the Bank at https://www.jordanbank.co.uk/media/tlihy44n/company_accounts_2025.pdf). BASIS CHECK: that same sentence's own FY2024 comparative of GBP94m reproduces the FY2024 Pillar 3 CET1 of GBP94m exactly, and the FY2025 Balance Sheet (p.31) shows shareholders' funds of GBP95,728k (2024: GBP93,921k), consistent with both. Caveat: the Bank states this capital figure only to the nearest GBP1m, so the FY2025 entry of 96 is accurate only to +/-GBP0.5m and rests on the Bank's own stated equivalence of balance-sheet equity with regulatory capital rather than on a published CET1 line. That equivalence was independently tested across all nine Pillar 3-sourced years by comparing each year's own Balance Sheet shareholders' funds against that year's own published Pillar 3 CET1 figure, and it holds within +/-GBP0.15m every time (GBP'000 shareholders' funds vs GBP'm Pillar 3 CET1: FY2024 93,921 vs 94; FY2023 88,961 vs 89; FY2022 83,789 vs 83.8; FY2021 93,319 vs 93.3; FY2020 91,392 vs 91.3; FY2019 89,005 vs 88.9; FY2018 84,570 vs 84.5; FY2017 83,148 vs 83.0; FY2016 80,115 vs 80.1 fully loaded) - i.e. this Bank historically takes no material regulatory deduction against equity. ONE FORWARD-LOOKING CAVEAT on that: FY2025 is the first year in the whole series in which the Bank reports intangible assets (GBP193k, a new Balance Sheet line that year), and intangibles ARE deducted from regulatory CET1. If the FY2025 Pillar 3 Report applies that deduction, its published CET1 will be nearer GBP95.5m (shareholders' funds 95,728 less intangibles 193 = 95,535) than the GBP96m recorded here, so this cell should be revisited - and restated to the exact figure - once that report is published (expected ~December 2026). No Total Capital / Tier 2 capital is disclosed separately from CET1 in any year (Tier 1 = Total Capital = CET1 throughout, per the Bank's own table labelling) FY2016-FY2025. FY2016 discloses both a 'fully loaded' and a 'PRA transitional' CET1/Tier1/Total Capital and ratio basis (a Basel III/CRD IV phase-in distinction that had disappeared from the Bank's own disclosures by FY2017) - the 'fully loaded' figures are used here for continuity with every later year's single figure (FY2016 fully loaded CET1 £80.1m/20.44%; PRA transitional would instead read £79.7m/20.36%, both from the same source page). NSFR is disclosed only for FY2016 (123%, in that year's own summary infographic) and is genuinely absent from every other Pillar 3 Report checked in this project (FY2017-FY2021); it reappears from FY2022 onward. MREL Ratio is not disclosed in any year FY2016-FY2025 - Jordan International Bank Plc is not identified as a UK resolution entity in any of these reports.</t>
        </is>
      </c>
    </row>
  </sheetData>
  <mergeCells count="2">
    <mergeCell ref="A5:K5"/>
    <mergeCell ref="A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2026-10-26T09:36:07Z</dcterms:created>
  <dcterms:modified xmlns:dcterms="http://purl.org/dc/terms/" xmlns:xsi="http://www.w3.org/2001/XMLSchema-instance" xsi:type="dcterms:W3CDTF">2026-10-26T09:36:07Z</dcterms:modified>
</cp:coreProperties>
</file>