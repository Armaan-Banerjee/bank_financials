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13132.8</v>
      </c>
      <c r="C6" s="5" t="n">
        <v>13053.2</v>
      </c>
      <c r="D6" s="5" t="n">
        <v>12488.1</v>
      </c>
      <c r="E6" s="5" t="n">
        <v>11508.3</v>
      </c>
      <c r="F6" s="5" t="n">
        <v>10950.9</v>
      </c>
      <c r="I6" t="inlineStr">
        <is>
          <t>Total assets</t>
        </is>
      </c>
      <c r="J6" t="n">
        <v>10950.9</v>
      </c>
      <c r="K6" t="n">
        <v>11508.3</v>
      </c>
      <c r="L6" t="n">
        <v>12488.1</v>
      </c>
      <c r="M6" t="n">
        <v>13053.2</v>
      </c>
      <c r="N6" t="n">
        <v>13132.8</v>
      </c>
    </row>
    <row r="7">
      <c r="A7" s="5" t="inlineStr">
        <is>
          <t>Loans and advances to customers</t>
        </is>
      </c>
      <c r="B7" s="5" t="n">
        <v>9459.4</v>
      </c>
      <c r="C7" s="5" t="n">
        <v>9830.799999999999</v>
      </c>
      <c r="D7" s="5" t="n">
        <v>9255</v>
      </c>
      <c r="E7" s="5" t="n">
        <v>8858.9</v>
      </c>
      <c r="F7" s="5" t="n">
        <v>8444.5</v>
      </c>
      <c r="I7" t="inlineStr">
        <is>
          <t>Loans and advances to customers</t>
        </is>
      </c>
      <c r="J7" t="n">
        <v>8444.5</v>
      </c>
      <c r="K7" t="n">
        <v>8858.9</v>
      </c>
      <c r="L7" t="n">
        <v>9255</v>
      </c>
      <c r="M7" t="n">
        <v>9830.799999999999</v>
      </c>
      <c r="N7" t="n">
        <v>9459.4</v>
      </c>
    </row>
    <row r="8">
      <c r="A8" s="5" t="inlineStr">
        <is>
          <t>Deposits by customers</t>
        </is>
      </c>
      <c r="B8" s="5" t="n">
        <v>8799.299999999999</v>
      </c>
      <c r="C8" s="5" t="n">
        <v>8693.6</v>
      </c>
      <c r="D8" s="5" t="n">
        <v>7724.5</v>
      </c>
      <c r="E8" s="5" t="n">
        <v>6770.4</v>
      </c>
      <c r="F8" s="5" t="n">
        <v>6634.8</v>
      </c>
      <c r="I8" t="inlineStr">
        <is>
          <t>Deposits by customers</t>
        </is>
      </c>
      <c r="J8" t="n">
        <v>6634.8</v>
      </c>
      <c r="K8" t="n">
        <v>6770.4</v>
      </c>
      <c r="L8" t="n">
        <v>7724.5</v>
      </c>
      <c r="M8" t="n">
        <v>8693.6</v>
      </c>
      <c r="N8" t="n">
        <v>8799.299999999999</v>
      </c>
    </row>
    <row r="9">
      <c r="A9" s="5" t="inlineStr">
        <is>
          <t>Total equity</t>
        </is>
      </c>
      <c r="B9" s="5" t="n">
        <v>1576.8</v>
      </c>
      <c r="C9" s="5" t="n">
        <v>1695.1</v>
      </c>
      <c r="D9" s="5" t="n">
        <v>1336.4</v>
      </c>
      <c r="E9" s="5" t="n">
        <v>1326</v>
      </c>
      <c r="F9" s="5" t="n">
        <v>1272.4</v>
      </c>
      <c r="I9" t="inlineStr">
        <is>
          <t>Total equity</t>
        </is>
      </c>
      <c r="J9" t="n">
        <v>1272.4</v>
      </c>
      <c r="K9" t="n">
        <v>1326</v>
      </c>
      <c r="L9" t="n">
        <v>1336.4</v>
      </c>
      <c r="M9" t="n">
        <v>1695.1</v>
      </c>
      <c r="N9" t="n">
        <v>1576.8</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671.2</v>
      </c>
      <c r="C13" s="5" t="n">
        <v>724.9</v>
      </c>
      <c r="D13" s="5" t="n">
        <v>714.4</v>
      </c>
      <c r="E13" s="5" t="n">
        <v>695.4</v>
      </c>
      <c r="F13" s="5" t="n">
        <v>634</v>
      </c>
      <c r="Q13" t="inlineStr">
        <is>
          <t>Operating income</t>
        </is>
      </c>
      <c r="R13" t="n">
        <v>634</v>
      </c>
      <c r="S13" t="n">
        <v>695.4</v>
      </c>
      <c r="T13" t="n">
        <v>714.4</v>
      </c>
      <c r="U13" t="n">
        <v>724.9</v>
      </c>
      <c r="V13" t="n">
        <v>671.2</v>
      </c>
    </row>
    <row r="14">
      <c r="A14" s="5" t="inlineStr">
        <is>
          <t>Total operating expenses</t>
        </is>
      </c>
      <c r="B14" s="5" t="n">
        <v>-738.8</v>
      </c>
      <c r="C14" s="5" t="n">
        <v>-546.9</v>
      </c>
      <c r="D14" s="5" t="n">
        <v>-593.7</v>
      </c>
      <c r="E14" s="5" t="n">
        <v>-465.9</v>
      </c>
      <c r="F14" s="5" t="n">
        <v>-419.2</v>
      </c>
      <c r="Q14" t="inlineStr">
        <is>
          <t>Total operating expenses</t>
        </is>
      </c>
      <c r="R14" t="n">
        <v>-419.2</v>
      </c>
      <c r="S14" t="n">
        <v>-465.9</v>
      </c>
      <c r="T14" t="n">
        <v>-593.7</v>
      </c>
      <c r="U14" t="n">
        <v>-546.9</v>
      </c>
      <c r="V14" t="n">
        <v>-738.8</v>
      </c>
    </row>
    <row r="15">
      <c r="A15" s="5" t="inlineStr">
        <is>
          <t>(Loss)/profit after tax</t>
        </is>
      </c>
      <c r="B15" s="5" t="n">
        <v>-85.3</v>
      </c>
      <c r="C15" s="5" t="n">
        <v>130.4</v>
      </c>
      <c r="D15" s="5" t="n">
        <v>89.09999999999999</v>
      </c>
      <c r="E15" s="5" t="n">
        <v>163.1</v>
      </c>
      <c r="F15" s="5" t="n">
        <v>159.4</v>
      </c>
      <c r="Q15" t="inlineStr">
        <is>
          <t>(Loss)/profit after tax</t>
        </is>
      </c>
      <c r="R15" t="n">
        <v>159.4</v>
      </c>
      <c r="S15" t="n">
        <v>163.1</v>
      </c>
      <c r="T15" t="n">
        <v>89.09999999999999</v>
      </c>
      <c r="U15" t="n">
        <v>130.4</v>
      </c>
      <c r="V15" t="n">
        <v>-85.3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1695.1</v>
      </c>
      <c r="C19" s="5" t="n">
        <v>1336.4</v>
      </c>
      <c r="D19" s="5" t="n">
        <v>1326</v>
      </c>
      <c r="E19" s="5" t="n">
        <v>1272.4</v>
      </c>
      <c r="F19" s="5" t="n">
        <v>1198</v>
      </c>
      <c r="Y19" t="inlineStr">
        <is>
          <t>Opening equity</t>
        </is>
      </c>
      <c r="Z19" t="n">
        <v>1198</v>
      </c>
      <c r="AA19" t="n">
        <v>1272.4</v>
      </c>
      <c r="AB19" t="n">
        <v>1326</v>
      </c>
      <c r="AC19" t="n">
        <v>1336.4</v>
      </c>
      <c r="AD19" t="n">
        <v>1695.1</v>
      </c>
    </row>
    <row r="20">
      <c r="A20" s="5" t="inlineStr">
        <is>
          <t>Total comprehensive (loss)/income for the year</t>
        </is>
      </c>
      <c r="B20" s="5" t="n">
        <v>-97.3</v>
      </c>
      <c r="C20" s="5" t="n">
        <v>106.2</v>
      </c>
      <c r="D20" s="5" t="n">
        <v>99.3</v>
      </c>
      <c r="E20" s="5" t="n">
        <v>184.1</v>
      </c>
      <c r="F20" s="5" t="n">
        <v>165.4</v>
      </c>
      <c r="Y20" t="inlineStr">
        <is>
          <t>Total comprehensive (loss)/income for the year</t>
        </is>
      </c>
      <c r="Z20" t="n">
        <v>165.4</v>
      </c>
      <c r="AA20" t="n">
        <v>184.1</v>
      </c>
      <c r="AB20" t="n">
        <v>99.3</v>
      </c>
      <c r="AC20" t="n">
        <v>106.2</v>
      </c>
      <c r="AD20" t="n">
        <v>-97.3</v>
      </c>
    </row>
    <row r="21">
      <c r="A21" s="5" t="inlineStr">
        <is>
          <t>Other equity movements, net</t>
        </is>
      </c>
      <c r="B21" s="5" t="n">
        <v>-21</v>
      </c>
      <c r="C21" s="5" t="n">
        <v>252.5</v>
      </c>
      <c r="D21" s="5" t="n">
        <v>-88.90000000000001</v>
      </c>
      <c r="E21" s="5" t="n">
        <v>-130.5</v>
      </c>
      <c r="F21" s="5" t="n">
        <v>-91</v>
      </c>
      <c r="Y21" t="inlineStr">
        <is>
          <t>Other equity movements, net</t>
        </is>
      </c>
      <c r="Z21" t="n">
        <v>-91</v>
      </c>
      <c r="AA21" t="n">
        <v>-130.5</v>
      </c>
      <c r="AB21" t="n">
        <v>-88.90000000000001</v>
      </c>
      <c r="AC21" t="n">
        <v>252.5</v>
      </c>
      <c r="AD21" t="n">
        <v>-21</v>
      </c>
    </row>
    <row r="22">
      <c r="A22" s="5" t="inlineStr">
        <is>
          <t>Closing equity</t>
        </is>
      </c>
      <c r="B22" s="5" t="n">
        <v>1576.8</v>
      </c>
      <c r="C22" s="5" t="n">
        <v>1695.1</v>
      </c>
      <c r="D22" s="5" t="n">
        <v>1336.4</v>
      </c>
      <c r="E22" s="5" t="n">
        <v>1326</v>
      </c>
      <c r="F22" s="5" t="n">
        <v>1272.4</v>
      </c>
      <c r="Y22" t="inlineStr">
        <is>
          <t>Closing equity</t>
        </is>
      </c>
      <c r="Z22" t="n">
        <v>1272.4</v>
      </c>
      <c r="AA22" t="n">
        <v>1326</v>
      </c>
      <c r="AB22" t="n">
        <v>1336.4</v>
      </c>
      <c r="AC22" t="n">
        <v>1695.1</v>
      </c>
      <c r="AD22" t="n">
        <v>1576.8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283</v>
      </c>
      <c r="C26" s="5" t="n">
        <v>-441.3</v>
      </c>
      <c r="D26" s="5" t="n">
        <v>1017.4</v>
      </c>
      <c r="E26" s="5" t="n">
        <v>120.8</v>
      </c>
      <c r="F26" s="5" t="n">
        <v>89.2</v>
      </c>
      <c r="AG26" t="inlineStr">
        <is>
          <t>Net cash (outflow)/inflow from operating activities</t>
        </is>
      </c>
      <c r="AH26" t="n">
        <v>89.2</v>
      </c>
      <c r="AI26" t="n">
        <v>120.8</v>
      </c>
      <c r="AJ26" t="n">
        <v>1017.4</v>
      </c>
      <c r="AK26" t="n">
        <v>-441.3</v>
      </c>
      <c r="AL26" t="n">
        <v>283</v>
      </c>
    </row>
    <row r="27">
      <c r="A27" s="5" t="inlineStr">
        <is>
          <t>Net cash outflow from investing activities</t>
        </is>
      </c>
      <c r="B27" s="5" t="n">
        <v>-25.1</v>
      </c>
      <c r="C27" s="5" t="n">
        <v>-41</v>
      </c>
      <c r="D27" s="5" t="n">
        <v>-56.6</v>
      </c>
      <c r="E27" s="5" t="n">
        <v>-53.5</v>
      </c>
      <c r="F27" s="5" t="n">
        <v>-47.2</v>
      </c>
      <c r="AG27" t="inlineStr">
        <is>
          <t>Net cash outflow from investing activities</t>
        </is>
      </c>
      <c r="AH27" t="n">
        <v>-47.2</v>
      </c>
      <c r="AI27" t="n">
        <v>-53.5</v>
      </c>
      <c r="AJ27" t="n">
        <v>-56.6</v>
      </c>
      <c r="AK27" t="n">
        <v>-41</v>
      </c>
      <c r="AL27" t="n">
        <v>-25.1</v>
      </c>
    </row>
    <row r="28">
      <c r="A28" s="5" t="inlineStr">
        <is>
          <t>Net cash (outflow)/inflow from financing activities</t>
        </is>
      </c>
      <c r="B28" s="5" t="n">
        <v>56.2</v>
      </c>
      <c r="C28" s="5" t="n">
        <v>69.90000000000001</v>
      </c>
      <c r="D28" s="5" t="n">
        <v>-123.5</v>
      </c>
      <c r="E28" s="5" t="n">
        <v>-131.2</v>
      </c>
      <c r="F28" s="5" t="n">
        <v>-88.2</v>
      </c>
      <c r="AG28" t="inlineStr">
        <is>
          <t>Net cash (outflow)/inflow from financing activities</t>
        </is>
      </c>
      <c r="AH28" t="n">
        <v>-88.2</v>
      </c>
      <c r="AI28" t="n">
        <v>-131.2</v>
      </c>
      <c r="AJ28" t="n">
        <v>-123.5</v>
      </c>
      <c r="AK28" t="n">
        <v>69.90000000000001</v>
      </c>
      <c r="AL28" t="n">
        <v>56.2</v>
      </c>
    </row>
    <row r="29">
      <c r="A29" s="5" t="inlineStr">
        <is>
          <t>Cash and cash equivalents at end of year</t>
        </is>
      </c>
      <c r="B29" s="5" t="n">
        <v>2042.2</v>
      </c>
      <c r="C29" s="5" t="n">
        <v>1728.1</v>
      </c>
      <c r="D29" s="5" t="n">
        <v>2140.5</v>
      </c>
      <c r="E29" s="5" t="n">
        <v>1303.2</v>
      </c>
      <c r="F29" s="5" t="n">
        <v>1367.1</v>
      </c>
      <c r="AG29" t="inlineStr">
        <is>
          <t>Cash and cash equivalents at end of year</t>
        </is>
      </c>
      <c r="AH29" t="n">
        <v>1367.1</v>
      </c>
      <c r="AI29" t="n">
        <v>1303.2</v>
      </c>
      <c r="AJ29" t="n">
        <v>2140.5</v>
      </c>
      <c r="AK29" t="n">
        <v>1728.1</v>
      </c>
      <c r="AL29" t="n">
        <v>2042.2</v>
      </c>
    </row>
    <row r="31">
      <c r="A31" s="3" t="inlineStr">
        <is>
          <t>Pillar 3 Key Metrics: not applicable — no ratios are disclosed for this entity (see the individual Pillar 3 metric sheets).</t>
        </is>
      </c>
    </row>
    <row r="33" ht="45" customHeight="1">
      <c r="A33" s="6" t="inlineStr">
        <is>
          <t>Note: No Pillar 3 ratios chart shown - Close Brothers Limited (the PRA-regulated entity) does not publish its own Basel capital/liquidity disclosures; Pillar 3 exists only at the wider listed parent Close Brothers Group plc level. See the Cash Flow Statement sheet's source note and each Pillar 3 sheet for detail. Cash flow figures are duplicated from the detail sheet for at-a-glance trend viewing.</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1917</v>
      </c>
      <c r="C5" s="7" t="n">
        <v>1584</v>
      </c>
      <c r="D5" s="7" t="n">
        <v>1937</v>
      </c>
      <c r="E5" s="7" t="n">
        <v>1254.7</v>
      </c>
      <c r="F5" s="7" t="n">
        <v>1331</v>
      </c>
    </row>
    <row r="6">
      <c r="A6" s="7" t="inlineStr">
        <is>
          <t>Loans and advances to banks</t>
        </is>
      </c>
      <c r="B6" s="7" t="n">
        <v>156.9</v>
      </c>
      <c r="C6" s="7" t="n">
        <v>177.3</v>
      </c>
      <c r="D6" s="7" t="n">
        <v>261.5</v>
      </c>
      <c r="E6" s="7" t="n">
        <v>85.59999999999999</v>
      </c>
      <c r="F6" s="7" t="n">
        <v>66.8</v>
      </c>
    </row>
    <row r="7">
      <c r="A7" s="7" t="inlineStr">
        <is>
          <t>Loans and advances to customers</t>
        </is>
      </c>
      <c r="B7" s="7" t="n">
        <v>9459.4</v>
      </c>
      <c r="C7" s="7" t="n">
        <v>9830.799999999999</v>
      </c>
      <c r="D7" s="7" t="n">
        <v>9255</v>
      </c>
      <c r="E7" s="7" t="n">
        <v>8858.9</v>
      </c>
      <c r="F7" s="7" t="n">
        <v>8444.5</v>
      </c>
    </row>
    <row r="8">
      <c r="A8" s="7" t="inlineStr">
        <is>
          <t>Total debt securities</t>
        </is>
      </c>
      <c r="B8" s="7" t="n">
        <v>859.2</v>
      </c>
      <c r="C8" s="7" t="n">
        <v>724.5</v>
      </c>
      <c r="D8" s="7" t="n">
        <v>292.4</v>
      </c>
      <c r="E8" s="7" t="n">
        <v>600.4</v>
      </c>
      <c r="F8" s="7" t="n">
        <v>457.2</v>
      </c>
    </row>
    <row r="9">
      <c r="A9" s="7" t="inlineStr">
        <is>
          <t>Debt securities - Sovereign and central bank debt (sovereign debt, FVOCI)</t>
        </is>
      </c>
      <c r="B9" s="7" t="n">
        <v>601.6</v>
      </c>
      <c r="C9" s="7" t="n">
        <v>383.7</v>
      </c>
      <c r="D9" s="7" t="n">
        <v>186.1</v>
      </c>
      <c r="E9" s="7" t="n">
        <v>415.4</v>
      </c>
      <c r="F9" s="7" t="n">
        <v>192.5</v>
      </c>
    </row>
    <row r="10">
      <c r="A10" s="7" t="inlineStr">
        <is>
          <t>Debt securities - Supranational, sub-sovereign and agency (SSA) bonds (FVOCI)</t>
        </is>
      </c>
      <c r="B10" s="7" t="n">
        <v>146.2</v>
      </c>
      <c r="C10" s="7" t="n">
        <v>145.5</v>
      </c>
      <c r="D10" s="7" t="n"/>
      <c r="E10" s="7" t="n"/>
      <c r="F10" s="7" t="n"/>
    </row>
    <row r="11">
      <c r="A11" s="7" t="inlineStr">
        <is>
          <t>Debt securities - Covered bonds (FVOCI)</t>
        </is>
      </c>
      <c r="B11" s="7" t="n">
        <v>105.6</v>
      </c>
      <c r="C11" s="7" t="n">
        <v>187.7</v>
      </c>
      <c r="D11" s="7" t="n">
        <v>106.3</v>
      </c>
      <c r="E11" s="7" t="n"/>
      <c r="F11" s="7" t="n"/>
    </row>
    <row r="12">
      <c r="A12" s="7" t="inlineStr">
        <is>
          <t>Debt securities - Certificates of deposit (amortised cost)</t>
        </is>
      </c>
      <c r="B12" s="7" t="n"/>
      <c r="C12" s="7" t="n"/>
      <c r="D12" s="7" t="n"/>
      <c r="E12" s="7" t="n">
        <v>185</v>
      </c>
      <c r="F12" s="7" t="n">
        <v>264.7</v>
      </c>
    </row>
    <row r="13">
      <c r="A13" s="7" t="inlineStr">
        <is>
          <t>Debt securities - Other debt securities at fair value through profit or loss (FVTPL)</t>
        </is>
      </c>
      <c r="B13" s="7" t="n">
        <v>1.1</v>
      </c>
      <c r="C13" s="7" t="n">
        <v>0.8</v>
      </c>
      <c r="D13" s="7" t="n"/>
      <c r="E13" s="7" t="n"/>
      <c r="F13" s="7" t="n"/>
    </row>
    <row r="14">
      <c r="A14" s="7" t="inlineStr">
        <is>
          <t>Debt securities - Other debt securities at amortised cost</t>
        </is>
      </c>
      <c r="B14" s="7" t="n">
        <v>4.7</v>
      </c>
      <c r="C14" s="7" t="n">
        <v>6.8</v>
      </c>
      <c r="D14" s="7" t="n"/>
      <c r="E14" s="7" t="n"/>
      <c r="F14" s="7" t="n"/>
    </row>
    <row r="15">
      <c r="A15" s="7" t="inlineStr">
        <is>
          <t>Derivative financial instruments</t>
        </is>
      </c>
      <c r="B15" s="7" t="n">
        <v>103</v>
      </c>
      <c r="C15" s="7" t="n">
        <v>101.2</v>
      </c>
      <c r="D15" s="7" t="n">
        <v>88.5</v>
      </c>
      <c r="E15" s="7" t="n">
        <v>71.09999999999999</v>
      </c>
      <c r="F15" s="7" t="n">
        <v>18.3</v>
      </c>
    </row>
    <row r="16">
      <c r="A16" s="7" t="inlineStr">
        <is>
          <t>Intangible assets</t>
        </is>
      </c>
      <c r="B16" s="7" t="n">
        <v>151.6</v>
      </c>
      <c r="C16" s="7" t="n">
        <v>170.7</v>
      </c>
      <c r="D16" s="7" t="n">
        <v>175</v>
      </c>
      <c r="E16" s="7" t="n">
        <v>160.5</v>
      </c>
      <c r="F16" s="7" t="n">
        <v>138.7</v>
      </c>
    </row>
    <row r="17">
      <c r="A17" s="7" t="inlineStr">
        <is>
          <t>Property, plant and equipment</t>
        </is>
      </c>
      <c r="B17" s="7" t="n">
        <v>193.8</v>
      </c>
      <c r="C17" s="7" t="n">
        <v>297.7</v>
      </c>
      <c r="D17" s="7" t="n">
        <v>304.5</v>
      </c>
      <c r="E17" s="7" t="n">
        <v>279</v>
      </c>
      <c r="F17" s="7" t="n">
        <v>263.1</v>
      </c>
    </row>
    <row r="18">
      <c r="A18" s="7" t="inlineStr">
        <is>
          <t>Current tax assets</t>
        </is>
      </c>
      <c r="B18" s="7" t="n">
        <v>42.7</v>
      </c>
      <c r="C18" s="7" t="n">
        <v>24.1</v>
      </c>
      <c r="D18" s="7" t="n">
        <v>33.8</v>
      </c>
      <c r="E18" s="7" t="n">
        <v>40.8</v>
      </c>
      <c r="F18" s="7" t="n">
        <v>28.7</v>
      </c>
    </row>
    <row r="19">
      <c r="A19" s="7" t="inlineStr">
        <is>
          <t>Deferred tax assets</t>
        </is>
      </c>
      <c r="B19" s="7" t="n">
        <v>30.5</v>
      </c>
      <c r="C19" s="7" t="n">
        <v>12.5</v>
      </c>
      <c r="D19" s="7" t="n">
        <v>4.8</v>
      </c>
      <c r="E19" s="7" t="n">
        <v>24.8</v>
      </c>
      <c r="F19" s="7" t="n">
        <v>48</v>
      </c>
    </row>
    <row r="20">
      <c r="A20" s="7" t="inlineStr">
        <is>
          <t>Prepayments, accrued income and other assets</t>
        </is>
      </c>
      <c r="B20" s="7" t="n">
        <v>171.7</v>
      </c>
      <c r="C20" s="7" t="n">
        <v>130.4</v>
      </c>
      <c r="D20" s="7" t="n">
        <v>135.6</v>
      </c>
      <c r="E20" s="7" t="n">
        <v>132.5</v>
      </c>
      <c r="F20" s="7" t="n">
        <v>154.6</v>
      </c>
    </row>
    <row r="21">
      <c r="A21" s="7" t="inlineStr">
        <is>
          <t>Assets classified as held for sale</t>
        </is>
      </c>
      <c r="B21" s="7" t="n">
        <v>47</v>
      </c>
      <c r="C21" s="7" t="n"/>
      <c r="D21" s="7" t="n"/>
      <c r="E21" s="7" t="n"/>
      <c r="F21" s="7" t="n"/>
    </row>
    <row r="22">
      <c r="A22" s="5" t="inlineStr">
        <is>
          <t>Total assets</t>
        </is>
      </c>
      <c r="B22" s="5" t="n">
        <v>13132.8</v>
      </c>
      <c r="C22" s="5" t="n">
        <v>13053.2</v>
      </c>
      <c r="D22" s="5" t="n">
        <v>12488.1</v>
      </c>
      <c r="E22" s="5" t="n">
        <v>11508.3</v>
      </c>
      <c r="F22" s="5" t="n">
        <v>10950.9</v>
      </c>
    </row>
    <row r="23">
      <c r="A23" s="5" t="inlineStr">
        <is>
          <t>Liabilities</t>
        </is>
      </c>
      <c r="B23" s="7" t="n"/>
      <c r="C23" s="7" t="n"/>
      <c r="D23" s="7" t="n"/>
      <c r="E23" s="7" t="n"/>
      <c r="F23" s="7" t="n"/>
    </row>
    <row r="24">
      <c r="A24" s="7" t="inlineStr">
        <is>
          <t>Deposits by banks</t>
        </is>
      </c>
      <c r="B24" s="7" t="n">
        <v>88.09999999999999</v>
      </c>
      <c r="C24" s="7" t="n">
        <v>138.4</v>
      </c>
      <c r="D24" s="7" t="n">
        <v>141.9</v>
      </c>
      <c r="E24" s="7" t="n">
        <v>160.5</v>
      </c>
      <c r="F24" s="7" t="n">
        <v>150.6</v>
      </c>
    </row>
    <row r="25">
      <c r="A25" s="7" t="inlineStr">
        <is>
          <t>Deposits by customers</t>
        </is>
      </c>
      <c r="B25" s="7" t="n">
        <v>8799.299999999999</v>
      </c>
      <c r="C25" s="7" t="n">
        <v>8693.6</v>
      </c>
      <c r="D25" s="7" t="n">
        <v>7724.5</v>
      </c>
      <c r="E25" s="7" t="n">
        <v>6770.4</v>
      </c>
      <c r="F25" s="7" t="n">
        <v>6634.8</v>
      </c>
    </row>
    <row r="26">
      <c r="A26" s="7" t="inlineStr">
        <is>
          <t>Loans and overdrafts from banks</t>
        </is>
      </c>
      <c r="B26" s="7" t="n">
        <v>1.5</v>
      </c>
      <c r="C26" s="7" t="n">
        <v>113.5</v>
      </c>
      <c r="D26" s="7" t="n">
        <v>635.3</v>
      </c>
      <c r="E26" s="7" t="n">
        <v>610.8</v>
      </c>
      <c r="F26" s="7" t="n">
        <v>506.2</v>
      </c>
    </row>
    <row r="27">
      <c r="A27" s="7" t="inlineStr">
        <is>
          <t>Debt securities in issue</t>
        </is>
      </c>
      <c r="B27" s="7" t="n">
        <v>1740</v>
      </c>
      <c r="C27" s="7" t="n">
        <v>1735.6</v>
      </c>
      <c r="D27" s="7" t="n">
        <v>1762.1</v>
      </c>
      <c r="E27" s="7" t="n">
        <v>1810.5</v>
      </c>
      <c r="F27" s="7" t="n">
        <v>1611.8</v>
      </c>
    </row>
    <row r="28">
      <c r="A28" s="7" t="inlineStr">
        <is>
          <t>Derivative financial instruments</t>
        </is>
      </c>
      <c r="B28" s="7" t="n">
        <v>104.7</v>
      </c>
      <c r="C28" s="7" t="n">
        <v>128.9</v>
      </c>
      <c r="D28" s="7" t="n">
        <v>195.9</v>
      </c>
      <c r="E28" s="7" t="n">
        <v>89.2</v>
      </c>
      <c r="F28" s="7" t="n">
        <v>21.2</v>
      </c>
    </row>
    <row r="29">
      <c r="A29" s="7" t="inlineStr">
        <is>
          <t>Amounts due to group undertakings</t>
        </is>
      </c>
      <c r="B29" s="7" t="n">
        <v>256.2</v>
      </c>
      <c r="C29" s="7" t="n">
        <v>167</v>
      </c>
      <c r="D29" s="7" t="n">
        <v>334.2</v>
      </c>
      <c r="E29" s="7" t="n">
        <v>356.7</v>
      </c>
      <c r="F29" s="7" t="n">
        <v>347.2</v>
      </c>
    </row>
    <row r="30">
      <c r="A30" s="7" t="inlineStr">
        <is>
          <t>Subordinated loan capital</t>
        </is>
      </c>
      <c r="B30" s="7" t="n">
        <v>195.5</v>
      </c>
      <c r="C30" s="7" t="n">
        <v>187.2</v>
      </c>
      <c r="D30" s="7" t="n">
        <v>174.9</v>
      </c>
      <c r="E30" s="7" t="n">
        <v>186.5</v>
      </c>
      <c r="F30" s="7" t="n">
        <v>222.7</v>
      </c>
    </row>
    <row r="31">
      <c r="A31" s="7" t="inlineStr">
        <is>
          <t>Provisions</t>
        </is>
      </c>
      <c r="B31" s="7" t="n">
        <v>209.1</v>
      </c>
      <c r="C31" s="7" t="n">
        <v>24.9</v>
      </c>
      <c r="D31" s="7" t="n"/>
      <c r="E31" s="7" t="n"/>
      <c r="F31" s="7" t="n"/>
    </row>
    <row r="32">
      <c r="A32" s="7" t="inlineStr">
        <is>
          <t>Current tax liabilities</t>
        </is>
      </c>
      <c r="B32" s="7" t="n"/>
      <c r="C32" s="7" t="n"/>
      <c r="D32" s="7" t="n"/>
      <c r="E32" s="7" t="n"/>
      <c r="F32" s="7" t="n">
        <v>0</v>
      </c>
    </row>
    <row r="33">
      <c r="A33" s="7" t="inlineStr">
        <is>
          <t>Accruals, deferred income and other liabilities</t>
        </is>
      </c>
      <c r="B33" s="7" t="n">
        <v>155.6</v>
      </c>
      <c r="C33" s="7" t="n">
        <v>169</v>
      </c>
      <c r="D33" s="7" t="n">
        <v>182.9</v>
      </c>
      <c r="E33" s="7" t="n">
        <v>197.7</v>
      </c>
      <c r="F33" s="7" t="n">
        <v>184</v>
      </c>
    </row>
    <row r="34">
      <c r="A34" s="7" t="inlineStr">
        <is>
          <t>Liabilities classified as held for sale</t>
        </is>
      </c>
      <c r="B34" s="7" t="n">
        <v>6</v>
      </c>
      <c r="C34" s="7" t="n"/>
      <c r="D34" s="7" t="n"/>
      <c r="E34" s="7" t="n"/>
      <c r="F34" s="7" t="n"/>
    </row>
    <row r="35">
      <c r="A35" s="5" t="inlineStr">
        <is>
          <t>Total liabilities</t>
        </is>
      </c>
      <c r="B35" s="5" t="n">
        <v>11556</v>
      </c>
      <c r="C35" s="5" t="n">
        <v>11358.1</v>
      </c>
      <c r="D35" s="5" t="n">
        <v>11151.7</v>
      </c>
      <c r="E35" s="5" t="n">
        <v>10182.3</v>
      </c>
      <c r="F35" s="5" t="n">
        <v>9678.5</v>
      </c>
    </row>
    <row r="36">
      <c r="A36" s="5" t="inlineStr">
        <is>
          <t>Equity</t>
        </is>
      </c>
      <c r="B36" s="7" t="n"/>
      <c r="C36" s="7" t="n"/>
      <c r="D36" s="7" t="n"/>
      <c r="E36" s="7" t="n"/>
      <c r="F36" s="7" t="n"/>
    </row>
    <row r="37">
      <c r="A37" s="7" t="inlineStr">
        <is>
          <t>Called up share capital</t>
        </is>
      </c>
      <c r="B37" s="7" t="n">
        <v>187.5</v>
      </c>
      <c r="C37" s="7" t="n">
        <v>187.5</v>
      </c>
      <c r="D37" s="7" t="n">
        <v>122.5</v>
      </c>
      <c r="E37" s="7" t="n">
        <v>122.5</v>
      </c>
      <c r="F37" s="7" t="n">
        <v>122.5</v>
      </c>
    </row>
    <row r="38">
      <c r="A38" s="7" t="inlineStr">
        <is>
          <t>Retained earnings</t>
        </is>
      </c>
      <c r="B38" s="7" t="n">
        <v>1197.4</v>
      </c>
      <c r="C38" s="7" t="n">
        <v>1303.7</v>
      </c>
      <c r="D38" s="7" t="n">
        <v>1183.4</v>
      </c>
      <c r="E38" s="7" t="n">
        <v>1183.2</v>
      </c>
      <c r="F38" s="7" t="n">
        <v>1151.6</v>
      </c>
    </row>
    <row r="39">
      <c r="A39" s="7" t="inlineStr">
        <is>
          <t>Other reserves</t>
        </is>
      </c>
      <c r="B39" s="7" t="n">
        <v>-5.7</v>
      </c>
      <c r="C39" s="7" t="n">
        <v>6.3</v>
      </c>
      <c r="D39" s="7" t="n">
        <v>30.5</v>
      </c>
      <c r="E39" s="7" t="n">
        <v>20.3</v>
      </c>
      <c r="F39" s="7" t="n">
        <v>-0.7</v>
      </c>
    </row>
    <row r="40">
      <c r="A40" s="7" t="inlineStr">
        <is>
          <t>Other equity instrument</t>
        </is>
      </c>
      <c r="B40" s="7" t="n">
        <v>197.6</v>
      </c>
      <c r="C40" s="7" t="n">
        <v>197.6</v>
      </c>
      <c r="D40" s="7" t="n"/>
      <c r="E40" s="7" t="n"/>
      <c r="F40" s="7" t="n"/>
    </row>
    <row r="41">
      <c r="A41" s="7" t="inlineStr">
        <is>
          <t>Non-controlling interests</t>
        </is>
      </c>
      <c r="B41" s="7" t="n"/>
      <c r="C41" s="7" t="n"/>
      <c r="D41" s="7" t="n"/>
      <c r="E41" s="7" t="n"/>
      <c r="F41" s="7" t="n">
        <v>-1</v>
      </c>
    </row>
    <row r="42">
      <c r="A42" s="5" t="inlineStr">
        <is>
          <t>Total equity</t>
        </is>
      </c>
      <c r="B42" s="5" t="n">
        <v>1576.8</v>
      </c>
      <c r="C42" s="5" t="n">
        <v>1695.1</v>
      </c>
      <c r="D42" s="5" t="n">
        <v>1336.4</v>
      </c>
      <c r="E42" s="5" t="n">
        <v>1326</v>
      </c>
      <c r="F42" s="5" t="n">
        <v>1272.4</v>
      </c>
    </row>
    <row r="43">
      <c r="A43" s="5" t="inlineStr">
        <is>
          <t>Total liabilities and equity</t>
        </is>
      </c>
      <c r="B43" s="5" t="n">
        <v>13132.8</v>
      </c>
      <c r="C43" s="5" t="n">
        <v>13053.2</v>
      </c>
      <c r="D43" s="5" t="n">
        <v>12488.1</v>
      </c>
      <c r="E43" s="5" t="n">
        <v>11508.3</v>
      </c>
      <c r="F43" s="5" t="n">
        <v>10950.9</v>
      </c>
    </row>
    <row r="45" ht="400" customHeight="1">
      <c r="A45"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1112.5</v>
      </c>
      <c r="C5" s="7" t="n">
        <v>1134.9</v>
      </c>
      <c r="D5" s="7" t="n">
        <v>885.2</v>
      </c>
      <c r="E5" s="7" t="n">
        <v>689.7</v>
      </c>
      <c r="F5" s="7" t="n">
        <v>656.7</v>
      </c>
    </row>
    <row r="6">
      <c r="A6" s="7" t="inlineStr">
        <is>
          <t>Interest expense</t>
        </is>
      </c>
      <c r="B6" s="7" t="n">
        <v>-531.6</v>
      </c>
      <c r="C6" s="7" t="n">
        <v>-542.7</v>
      </c>
      <c r="D6" s="7" t="n">
        <v>-297.9</v>
      </c>
      <c r="E6" s="7" t="n">
        <v>-107.4</v>
      </c>
      <c r="F6" s="7" t="n">
        <v>-114.9</v>
      </c>
    </row>
    <row r="7">
      <c r="A7" s="5" t="inlineStr">
        <is>
          <t>Net interest income</t>
        </is>
      </c>
      <c r="B7" s="5" t="n">
        <v>580.9</v>
      </c>
      <c r="C7" s="5" t="n">
        <v>592.2</v>
      </c>
      <c r="D7" s="5" t="n">
        <v>587.3</v>
      </c>
      <c r="E7" s="5" t="n">
        <v>582.3</v>
      </c>
      <c r="F7" s="5" t="n">
        <v>541.8</v>
      </c>
    </row>
    <row r="8">
      <c r="A8" s="7" t="inlineStr">
        <is>
          <t>Fee and commission income</t>
        </is>
      </c>
      <c r="B8" s="7" t="n">
        <v>103.5</v>
      </c>
      <c r="C8" s="7" t="n">
        <v>104.2</v>
      </c>
      <c r="D8" s="7" t="n">
        <v>110.6</v>
      </c>
      <c r="E8" s="7" t="n">
        <v>98.09999999999999</v>
      </c>
      <c r="F8" s="7" t="n">
        <v>88.2</v>
      </c>
    </row>
    <row r="9">
      <c r="A9" s="7" t="inlineStr">
        <is>
          <t>Fee and commission expense</t>
        </is>
      </c>
      <c r="B9" s="7" t="n">
        <v>-16.7</v>
      </c>
      <c r="C9" s="7" t="n">
        <v>-19.8</v>
      </c>
      <c r="D9" s="7" t="n">
        <v>-15.1</v>
      </c>
      <c r="E9" s="7" t="n">
        <v>-14.7</v>
      </c>
      <c r="F9" s="7" t="n">
        <v>-13.5</v>
      </c>
    </row>
    <row r="10">
      <c r="A10" s="7" t="inlineStr">
        <is>
          <t>Other income</t>
        </is>
      </c>
      <c r="B10" s="7" t="n">
        <v>118.1</v>
      </c>
      <c r="C10" s="7" t="n">
        <v>129.7</v>
      </c>
      <c r="D10" s="7" t="n">
        <v>109.4</v>
      </c>
      <c r="E10" s="7" t="n">
        <v>101.6</v>
      </c>
      <c r="F10" s="7" t="n">
        <v>87</v>
      </c>
    </row>
    <row r="11">
      <c r="A11" s="7" t="inlineStr">
        <is>
          <t>Depreciation of operating lease assets and other direct costs</t>
        </is>
      </c>
      <c r="B11" s="7" t="n">
        <v>-84.59999999999999</v>
      </c>
      <c r="C11" s="7" t="n">
        <v>-81.40000000000001</v>
      </c>
      <c r="D11" s="7" t="n">
        <v>-77.8</v>
      </c>
      <c r="E11" s="7" t="n">
        <v>-71.90000000000001</v>
      </c>
      <c r="F11" s="7" t="n">
        <v>-69.5</v>
      </c>
    </row>
    <row r="12">
      <c r="A12" s="7" t="inlineStr">
        <is>
          <t>Impairment of operating lease assets</t>
        </is>
      </c>
      <c r="B12" s="7" t="n">
        <v>-30</v>
      </c>
      <c r="C12" s="7" t="n"/>
      <c r="D12" s="7" t="n"/>
      <c r="E12" s="7" t="n"/>
      <c r="F12" s="7" t="n"/>
    </row>
    <row r="13">
      <c r="A13" s="5" t="inlineStr">
        <is>
          <t>Non-interest income</t>
        </is>
      </c>
      <c r="B13" s="5" t="n">
        <v>90.3</v>
      </c>
      <c r="C13" s="5" t="n">
        <v>132.7</v>
      </c>
      <c r="D13" s="5" t="n">
        <v>127.1</v>
      </c>
      <c r="E13" s="5" t="n">
        <v>113.1</v>
      </c>
      <c r="F13" s="5" t="n">
        <v>92.2</v>
      </c>
    </row>
    <row r="14">
      <c r="A14" s="5" t="inlineStr">
        <is>
          <t>Operating income</t>
        </is>
      </c>
      <c r="B14" s="5" t="n">
        <v>671.2</v>
      </c>
      <c r="C14" s="5" t="n">
        <v>724.9</v>
      </c>
      <c r="D14" s="5" t="n">
        <v>714.4</v>
      </c>
      <c r="E14" s="5" t="n">
        <v>695.4</v>
      </c>
      <c r="F14" s="5" t="n">
        <v>634</v>
      </c>
    </row>
    <row r="15">
      <c r="A15" s="5" t="inlineStr">
        <is>
          <t>Expenses</t>
        </is>
      </c>
      <c r="B15" s="7" t="n"/>
      <c r="C15" s="7" t="n"/>
      <c r="D15" s="7" t="n"/>
      <c r="E15" s="7" t="n"/>
      <c r="F15" s="7" t="n"/>
    </row>
    <row r="16">
      <c r="A16" s="7" t="inlineStr">
        <is>
          <t>Provision in relation to motor finance commissions</t>
        </is>
      </c>
      <c r="B16" s="7" t="n">
        <v>-165</v>
      </c>
      <c r="C16" s="7" t="n"/>
      <c r="D16" s="7" t="n"/>
      <c r="E16" s="7" t="n"/>
      <c r="F16" s="7" t="n"/>
    </row>
    <row r="17">
      <c r="A17" s="7" t="inlineStr">
        <is>
          <t>Complaints handling and other operational/legal costs re. motor finance commissions</t>
        </is>
      </c>
      <c r="B17" s="7" t="n">
        <v>-18.7</v>
      </c>
      <c r="C17" s="7" t="n">
        <v>-6.9</v>
      </c>
      <c r="D17" s="7" t="n"/>
      <c r="E17" s="7" t="n"/>
      <c r="F17" s="7" t="n"/>
    </row>
    <row r="18">
      <c r="A18" s="7" t="inlineStr">
        <is>
          <t>Provision in relation to early settlements in Motor Finance</t>
        </is>
      </c>
      <c r="B18" s="7" t="n">
        <v>-33</v>
      </c>
      <c r="C18" s="7" t="n"/>
      <c r="D18" s="7" t="n"/>
      <c r="E18" s="7" t="n"/>
      <c r="F18" s="7" t="n"/>
    </row>
    <row r="19">
      <c r="A19" s="7" t="inlineStr">
        <is>
          <t>Provision in relation to the Borrowers in Financial Difficulty ("BiFD") review</t>
        </is>
      </c>
      <c r="B19" s="7" t="n"/>
      <c r="C19" s="7" t="n">
        <v>-17.2</v>
      </c>
      <c r="D19" s="7" t="n"/>
      <c r="E19" s="7" t="n"/>
      <c r="F19" s="7" t="n"/>
    </row>
    <row r="20">
      <c r="A20" s="7" t="inlineStr">
        <is>
          <t>Administrative expenses</t>
        </is>
      </c>
      <c r="B20" s="7" t="n">
        <v>-429.3</v>
      </c>
      <c r="C20" s="7" t="n">
        <v>-423.9</v>
      </c>
      <c r="D20" s="7" t="n">
        <v>-389.7</v>
      </c>
      <c r="E20" s="7" t="n">
        <v>-362.6</v>
      </c>
      <c r="F20" s="7" t="n">
        <v>-329.1</v>
      </c>
    </row>
    <row r="21">
      <c r="A21" s="5" t="inlineStr">
        <is>
          <t>Total administrative expenses</t>
        </is>
      </c>
      <c r="B21" s="5" t="n">
        <v>-646</v>
      </c>
      <c r="C21" s="5" t="n">
        <v>-448</v>
      </c>
      <c r="D21" s="5" t="n"/>
      <c r="E21" s="5" t="n"/>
      <c r="F21" s="5" t="n"/>
    </row>
    <row r="22">
      <c r="A22" s="7" t="inlineStr">
        <is>
          <t>Impairment losses on financial assets</t>
        </is>
      </c>
      <c r="B22" s="7" t="n">
        <v>-92.8</v>
      </c>
      <c r="C22" s="7" t="n">
        <v>-98.90000000000001</v>
      </c>
      <c r="D22" s="7" t="n">
        <v>-204</v>
      </c>
      <c r="E22" s="7" t="n">
        <v>-103.3</v>
      </c>
      <c r="F22" s="7" t="n">
        <v>-90.09999999999999</v>
      </c>
    </row>
    <row r="23">
      <c r="A23" s="5" t="inlineStr">
        <is>
          <t>Total operating expenses</t>
        </is>
      </c>
      <c r="B23" s="5" t="n">
        <v>-738.8</v>
      </c>
      <c r="C23" s="5" t="n">
        <v>-546.9</v>
      </c>
      <c r="D23" s="5" t="n"/>
      <c r="E23" s="5" t="n"/>
      <c r="F23" s="5" t="n"/>
    </row>
    <row r="24">
      <c r="A24" s="5" t="inlineStr">
        <is>
          <t>Total operating expenses before amortisation of intangible assets on acquisition</t>
        </is>
      </c>
      <c r="B24" s="5" t="n"/>
      <c r="C24" s="5" t="n"/>
      <c r="D24" s="5" t="n">
        <v>-593.7</v>
      </c>
      <c r="E24" s="5" t="n">
        <v>-465.9</v>
      </c>
      <c r="F24" s="5" t="n"/>
    </row>
    <row r="25">
      <c r="A25" s="5" t="inlineStr">
        <is>
          <t>Total operating expenses before amortisation/impairment of intangibles, goodwill impairment and exceptional item</t>
        </is>
      </c>
      <c r="B25" s="5" t="n"/>
      <c r="C25" s="5" t="n"/>
      <c r="D25" s="5" t="n"/>
      <c r="E25" s="5" t="n"/>
      <c r="F25" s="5" t="n">
        <v>-419.2</v>
      </c>
    </row>
    <row r="26">
      <c r="A26" s="5" t="inlineStr">
        <is>
          <t>Operating profit before amortisation of intangible assets on acquisition</t>
        </is>
      </c>
      <c r="B26" s="5" t="n"/>
      <c r="C26" s="5" t="n"/>
      <c r="D26" s="5" t="n">
        <v>120.7</v>
      </c>
      <c r="E26" s="5" t="n">
        <v>229.5</v>
      </c>
      <c r="F26" s="5" t="n"/>
    </row>
    <row r="27">
      <c r="A27" s="5" t="inlineStr">
        <is>
          <t>Operating profit before amortisation/impairment of intangibles, goodwill impairment and exceptional item</t>
        </is>
      </c>
      <c r="B27" s="5" t="n"/>
      <c r="C27" s="5" t="n"/>
      <c r="D27" s="5" t="n"/>
      <c r="E27" s="5" t="n"/>
      <c r="F27" s="5" t="n">
        <v>214.8</v>
      </c>
    </row>
    <row r="28">
      <c r="A28" s="7" t="inlineStr">
        <is>
          <t>Amortisation and impairment of intangible assets on acquisition</t>
        </is>
      </c>
      <c r="B28" s="7" t="n"/>
      <c r="C28" s="7" t="n"/>
      <c r="D28" s="7" t="n">
        <v>0</v>
      </c>
      <c r="E28" s="7" t="n">
        <v>-0.1</v>
      </c>
      <c r="F28" s="7" t="n">
        <v>-12.9</v>
      </c>
    </row>
    <row r="29">
      <c r="A29" s="7" t="inlineStr">
        <is>
          <t>Goodwill impairment</t>
        </is>
      </c>
      <c r="B29" s="7" t="n"/>
      <c r="C29" s="7" t="n"/>
      <c r="D29" s="7" t="n"/>
      <c r="E29" s="7" t="n"/>
      <c r="F29" s="7" t="n">
        <v>-12.1</v>
      </c>
    </row>
    <row r="30">
      <c r="A30" s="7" t="inlineStr">
        <is>
          <t>Exceptional item: HMRC VAT refund</t>
        </is>
      </c>
      <c r="B30" s="7" t="n"/>
      <c r="C30" s="7" t="n"/>
      <c r="D30" s="7" t="n"/>
      <c r="E30" s="7" t="n"/>
      <c r="F30" s="7" t="n">
        <v>19.7</v>
      </c>
    </row>
    <row r="31">
      <c r="A31" s="5" t="inlineStr">
        <is>
          <t>Operating (loss)/profit before tax</t>
        </is>
      </c>
      <c r="B31" s="5" t="n">
        <v>-67.59999999999999</v>
      </c>
      <c r="C31" s="5" t="n">
        <v>178</v>
      </c>
      <c r="D31" s="5" t="n">
        <v>120.7</v>
      </c>
      <c r="E31" s="5" t="n">
        <v>229.4</v>
      </c>
      <c r="F31" s="5" t="n">
        <v>209.5</v>
      </c>
    </row>
    <row r="32">
      <c r="A32" s="7" t="inlineStr">
        <is>
          <t>Tax</t>
        </is>
      </c>
      <c r="B32" s="7" t="n">
        <v>-17.7</v>
      </c>
      <c r="C32" s="7" t="n">
        <v>-47.6</v>
      </c>
      <c r="D32" s="7" t="n">
        <v>-31.6</v>
      </c>
      <c r="E32" s="7" t="n">
        <v>-66.3</v>
      </c>
      <c r="F32" s="7" t="n">
        <v>-50.1</v>
      </c>
    </row>
    <row r="33">
      <c r="A33" s="5" t="inlineStr">
        <is>
          <t>(Loss)/profit after tax</t>
        </is>
      </c>
      <c r="B33" s="5" t="n">
        <v>-85.3</v>
      </c>
      <c r="C33" s="5" t="n">
        <v>130.4</v>
      </c>
      <c r="D33" s="5" t="n">
        <v>89.09999999999999</v>
      </c>
      <c r="E33" s="5" t="n">
        <v>163.1</v>
      </c>
      <c r="F33" s="5" t="n">
        <v>159.4</v>
      </c>
    </row>
    <row r="34">
      <c r="A34" s="5" t="inlineStr">
        <is>
          <t>Other comprehensive income</t>
        </is>
      </c>
      <c r="B34" s="7" t="n"/>
      <c r="C34" s="7" t="n"/>
      <c r="D34" s="7" t="n"/>
      <c r="E34" s="7" t="n"/>
      <c r="F34" s="7" t="n"/>
    </row>
    <row r="35">
      <c r="A35" s="7" t="inlineStr">
        <is>
          <t>Other comprehensive (expense)/income, net of tax</t>
        </is>
      </c>
      <c r="B35" s="7" t="n">
        <v>-12</v>
      </c>
      <c r="C35" s="7" t="n">
        <v>-24.2</v>
      </c>
      <c r="D35" s="7" t="n">
        <v>10.2</v>
      </c>
      <c r="E35" s="7" t="n">
        <v>21</v>
      </c>
      <c r="F35" s="7" t="n">
        <v>6</v>
      </c>
    </row>
    <row r="36">
      <c r="A36" s="5" t="inlineStr">
        <is>
          <t>Total comprehensive (loss)/income for the year</t>
        </is>
      </c>
      <c r="B36" s="5" t="n">
        <v>-97.3</v>
      </c>
      <c r="C36" s="5" t="n">
        <v>106.2</v>
      </c>
      <c r="D36" s="5" t="n">
        <v>99.3</v>
      </c>
      <c r="E36" s="5" t="n">
        <v>184.1</v>
      </c>
      <c r="F36" s="5" t="n">
        <v>165.4</v>
      </c>
    </row>
    <row r="38" ht="340" customHeight="1">
      <c r="A38"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38:F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7" t="n"/>
      <c r="C4" s="7" t="n"/>
      <c r="D4" s="7" t="n"/>
      <c r="E4" s="7" t="n"/>
      <c r="F4" s="7" t="n"/>
    </row>
    <row r="5">
      <c r="A5" s="7" t="inlineStr">
        <is>
          <t>Operating profit before tax</t>
        </is>
      </c>
      <c r="B5" s="7" t="n">
        <v>-67.59999999999999</v>
      </c>
      <c r="C5" s="7" t="n">
        <v>178</v>
      </c>
      <c r="D5" s="7" t="n">
        <v>120.7</v>
      </c>
      <c r="E5" s="7" t="n">
        <v>229.4</v>
      </c>
      <c r="F5" s="7" t="n"/>
    </row>
    <row r="6">
      <c r="A6" s="7" t="inlineStr">
        <is>
          <t>Tax paid</t>
        </is>
      </c>
      <c r="B6" s="7" t="n">
        <v>-25.2</v>
      </c>
      <c r="C6" s="7" t="n">
        <v>-30.2</v>
      </c>
      <c r="D6" s="7" t="n">
        <v>-3.6</v>
      </c>
      <c r="E6" s="7" t="n">
        <v>-60.8</v>
      </c>
      <c r="F6" s="7" t="n"/>
    </row>
    <row r="7">
      <c r="A7" s="7" t="inlineStr">
        <is>
          <t>Depreciation, amortisation and impairment</t>
        </is>
      </c>
      <c r="B7" s="7" t="n">
        <v>132.9</v>
      </c>
      <c r="C7" s="7" t="n">
        <v>96.3</v>
      </c>
      <c r="D7" s="7" t="n">
        <v>94.40000000000001</v>
      </c>
      <c r="E7" s="7" t="n">
        <v>86.59999999999999</v>
      </c>
      <c r="F7" s="7" t="n"/>
    </row>
    <row r="8">
      <c r="A8" s="7" t="inlineStr">
        <is>
          <t>Impairment losses on financial assets</t>
        </is>
      </c>
      <c r="B8" s="7" t="n">
        <v>92.8</v>
      </c>
      <c r="C8" s="7" t="n">
        <v>98.90000000000001</v>
      </c>
      <c r="D8" s="7" t="n">
        <v>204</v>
      </c>
      <c r="E8" s="7" t="n">
        <v>103.3</v>
      </c>
      <c r="F8" s="7" t="n"/>
    </row>
    <row r="9">
      <c r="A9" s="7" t="inlineStr">
        <is>
          <t>Provision in relation to motor finance commissions excluding cash paid</t>
        </is>
      </c>
      <c r="B9" s="7" t="n">
        <v>161.4</v>
      </c>
      <c r="C9" s="7" t="n"/>
      <c r="D9" s="7" t="n"/>
      <c r="E9" s="7" t="n"/>
      <c r="F9" s="7" t="n"/>
    </row>
    <row r="10">
      <c r="A10" s="7" t="inlineStr">
        <is>
          <t>Complaints handling and other operational/legal costs re. motor finance commissions</t>
        </is>
      </c>
      <c r="B10" s="7" t="n">
        <v>5.6</v>
      </c>
      <c r="C10" s="7" t="n"/>
      <c r="D10" s="7" t="n"/>
      <c r="E10" s="7" t="n"/>
      <c r="F10" s="7" t="n"/>
    </row>
    <row r="11">
      <c r="A11" s="7" t="inlineStr">
        <is>
          <t>Provision in relation to early settlements in Motor Finance</t>
        </is>
      </c>
      <c r="B11" s="7" t="n">
        <v>33</v>
      </c>
      <c r="C11" s="7" t="n"/>
      <c r="D11" s="7" t="n"/>
      <c r="E11" s="7" t="n"/>
      <c r="F11" s="7" t="n"/>
    </row>
    <row r="12">
      <c r="A12" s="7" t="inlineStr">
        <is>
          <t>Amortisation of de-designated cash flow hedges</t>
        </is>
      </c>
      <c r="B12" s="7" t="n">
        <v>-11.4</v>
      </c>
      <c r="C12" s="7" t="n">
        <v>-27.9</v>
      </c>
      <c r="D12" s="7" t="n"/>
      <c r="E12" s="7" t="n"/>
      <c r="F12" s="7" t="n"/>
    </row>
    <row r="13">
      <c r="A13" s="7" t="inlineStr">
        <is>
          <t>Decrease/(increase) in interest receivable and prepaid expenses</t>
        </is>
      </c>
      <c r="B13" s="7" t="n">
        <v>11.6</v>
      </c>
      <c r="C13" s="7" t="n">
        <v>8.6</v>
      </c>
      <c r="D13" s="7" t="n">
        <v>-5.7</v>
      </c>
      <c r="E13" s="7" t="n">
        <v>19.9</v>
      </c>
      <c r="F13" s="7" t="n"/>
    </row>
    <row r="14">
      <c r="A14" s="7" t="inlineStr">
        <is>
          <t>Decrease in interest payable and accrued expenses</t>
        </is>
      </c>
      <c r="B14" s="7" t="n">
        <v>-2.6</v>
      </c>
      <c r="C14" s="7" t="n">
        <v>-10.7</v>
      </c>
      <c r="D14" s="7" t="n">
        <v>-0.2</v>
      </c>
      <c r="E14" s="7" t="n">
        <v>-1.7</v>
      </c>
      <c r="F14" s="7" t="n"/>
    </row>
    <row r="15">
      <c r="A15" s="5" t="inlineStr">
        <is>
          <t>Net cash inflow from trading activities</t>
        </is>
      </c>
      <c r="B15" s="5" t="n">
        <v>330.5</v>
      </c>
      <c r="C15" s="5" t="n">
        <v>313</v>
      </c>
      <c r="D15" s="5" t="n">
        <v>409.6</v>
      </c>
      <c r="E15" s="5" t="n">
        <v>376.7</v>
      </c>
      <c r="F15" s="5" t="n"/>
    </row>
    <row r="16">
      <c r="A16" s="7" t="inlineStr">
        <is>
          <t>Loans and advances to banks not repayable on demand</t>
        </is>
      </c>
      <c r="B16" s="7" t="n">
        <v>1.3</v>
      </c>
      <c r="C16" s="7" t="n">
        <v>24</v>
      </c>
      <c r="D16" s="7" t="n">
        <v>-21.1</v>
      </c>
      <c r="E16" s="7" t="n">
        <v>-5.9</v>
      </c>
      <c r="F16" s="7" t="n"/>
    </row>
    <row r="17">
      <c r="A17" s="7" t="inlineStr">
        <is>
          <t>Loans and advances to customers</t>
        </is>
      </c>
      <c r="B17" s="7" t="n">
        <v>196.8</v>
      </c>
      <c r="C17" s="7" t="n">
        <v>-699.4</v>
      </c>
      <c r="D17" s="7" t="n">
        <v>-584.3</v>
      </c>
      <c r="E17" s="7" t="n">
        <v>-515</v>
      </c>
      <c r="F17" s="7" t="n"/>
    </row>
    <row r="18">
      <c r="A18" s="7" t="inlineStr">
        <is>
          <t>Assets let under operating leases</t>
        </is>
      </c>
      <c r="B18" s="7" t="n">
        <v>-20.3</v>
      </c>
      <c r="C18" s="7" t="n">
        <v>-41.1</v>
      </c>
      <c r="D18" s="7" t="n">
        <v>-73.2</v>
      </c>
      <c r="E18" s="7" t="n">
        <v>-54.5</v>
      </c>
      <c r="F18" s="7" t="n"/>
    </row>
    <row r="19">
      <c r="A19" s="7" t="inlineStr">
        <is>
          <t>Certificates of deposit</t>
        </is>
      </c>
      <c r="B19" s="7" t="n"/>
      <c r="C19" s="7" t="n"/>
      <c r="D19" s="7" t="n">
        <v>185</v>
      </c>
      <c r="E19" s="7" t="n">
        <v>79.7</v>
      </c>
      <c r="F19" s="7" t="n"/>
    </row>
    <row r="20">
      <c r="A20" s="7" t="inlineStr">
        <is>
          <t>Sovereign and central bank debt</t>
        </is>
      </c>
      <c r="B20" s="7" t="n">
        <v>-213.3</v>
      </c>
      <c r="C20" s="7" t="n">
        <v>-194.2</v>
      </c>
      <c r="D20" s="7" t="n">
        <v>191.2</v>
      </c>
      <c r="E20" s="7" t="n">
        <v>-255.3</v>
      </c>
      <c r="F20" s="7" t="n"/>
    </row>
    <row r="21">
      <c r="A21" s="7" t="inlineStr">
        <is>
          <t>SSA bonds</t>
        </is>
      </c>
      <c r="B21" s="7" t="n"/>
      <c r="C21" s="7" t="n">
        <v>-140.2</v>
      </c>
      <c r="D21" s="7" t="n"/>
      <c r="E21" s="7" t="n"/>
      <c r="F21" s="7" t="n"/>
    </row>
    <row r="22">
      <c r="A22" s="7" t="inlineStr">
        <is>
          <t>Covered Bonds</t>
        </is>
      </c>
      <c r="B22" s="7" t="n">
        <v>81.90000000000001</v>
      </c>
      <c r="C22" s="7" t="n">
        <v>-80.7</v>
      </c>
      <c r="D22" s="7" t="n">
        <v>-105.4</v>
      </c>
      <c r="E22" s="7" t="n"/>
      <c r="F22" s="7" t="n"/>
    </row>
    <row r="23">
      <c r="A23" s="7" t="inlineStr">
        <is>
          <t>Deposits by banks</t>
        </is>
      </c>
      <c r="B23" s="7" t="n">
        <v>-52.1</v>
      </c>
      <c r="C23" s="7" t="n">
        <v>-1.3</v>
      </c>
      <c r="D23" s="7" t="n">
        <v>-22.1</v>
      </c>
      <c r="E23" s="7" t="n">
        <v>11.8</v>
      </c>
      <c r="F23" s="7" t="n"/>
    </row>
    <row r="24">
      <c r="A24" s="7" t="inlineStr">
        <is>
          <t>Deposits by customers</t>
        </is>
      </c>
      <c r="B24" s="7" t="n">
        <v>100.1</v>
      </c>
      <c r="C24" s="7" t="n">
        <v>975.1</v>
      </c>
      <c r="D24" s="7" t="n">
        <v>942.5</v>
      </c>
      <c r="E24" s="7" t="n">
        <v>142.7</v>
      </c>
      <c r="F24" s="7" t="n"/>
    </row>
    <row r="25">
      <c r="A25" s="7" t="inlineStr">
        <is>
          <t>Loans and overdrafts from banks</t>
        </is>
      </c>
      <c r="B25" s="7" t="n">
        <v>-112.1</v>
      </c>
      <c r="C25" s="7" t="n">
        <v>-527.7</v>
      </c>
      <c r="D25" s="7" t="n">
        <v>24.5</v>
      </c>
      <c r="E25" s="7" t="n">
        <v>104.6</v>
      </c>
      <c r="F25" s="7" t="n"/>
    </row>
    <row r="26">
      <c r="A26" s="7" t="inlineStr">
        <is>
          <t>Debt securities in issue (net)</t>
        </is>
      </c>
      <c r="B26" s="7" t="n">
        <v>-22.4</v>
      </c>
      <c r="C26" s="7" t="n">
        <v>-71.59999999999999</v>
      </c>
      <c r="D26" s="7" t="n">
        <v>10.4</v>
      </c>
      <c r="E26" s="7" t="n">
        <v>243.6</v>
      </c>
      <c r="F26" s="7" t="n"/>
    </row>
    <row r="27">
      <c r="A27" s="7" t="inlineStr">
        <is>
          <t>Derivative financial instruments (net)</t>
        </is>
      </c>
      <c r="B27" s="7" t="n">
        <v>1</v>
      </c>
      <c r="C27" s="7" t="n"/>
      <c r="D27" s="7" t="n">
        <v>70.40000000000001</v>
      </c>
      <c r="E27" s="7" t="n"/>
      <c r="F27" s="7" t="n"/>
    </row>
    <row r="28">
      <c r="A28" s="7" t="inlineStr">
        <is>
          <t>Other assets less other liabilities</t>
        </is>
      </c>
      <c r="B28" s="7" t="n">
        <v>-8.4</v>
      </c>
      <c r="C28" s="7" t="n">
        <v>2.8</v>
      </c>
      <c r="D28" s="7" t="n">
        <v>-10.1</v>
      </c>
      <c r="E28" s="7" t="n">
        <v>-7.6</v>
      </c>
      <c r="F28" s="7" t="n"/>
    </row>
    <row r="29">
      <c r="A29" s="5" t="inlineStr">
        <is>
          <t>Net cash (outflow)/inflow from operating activities</t>
        </is>
      </c>
      <c r="B29" s="5" t="n">
        <v>283</v>
      </c>
      <c r="C29" s="5" t="n">
        <v>-441.3</v>
      </c>
      <c r="D29" s="5" t="n">
        <v>1017.4</v>
      </c>
      <c r="E29" s="5" t="n">
        <v>120.8</v>
      </c>
      <c r="F29" s="5" t="n">
        <v>89.2</v>
      </c>
    </row>
    <row r="30">
      <c r="A30" s="5" t="inlineStr">
        <is>
          <t>Investing activities</t>
        </is>
      </c>
      <c r="B30" s="7" t="n"/>
      <c r="C30" s="7" t="n"/>
      <c r="D30" s="7" t="n"/>
      <c r="E30" s="7" t="n"/>
      <c r="F30" s="7" t="n"/>
    </row>
    <row r="31">
      <c r="A31" s="7" t="inlineStr">
        <is>
          <t>Purchase of property, plant and equipment</t>
        </is>
      </c>
      <c r="B31" s="7" t="n">
        <v>-4.5</v>
      </c>
      <c r="C31" s="7" t="n">
        <v>-4.5</v>
      </c>
      <c r="D31" s="7" t="n">
        <v>-4.5</v>
      </c>
      <c r="E31" s="7" t="n">
        <v>-4.6</v>
      </c>
      <c r="F31" s="7" t="n">
        <v>-3.7</v>
      </c>
    </row>
    <row r="32">
      <c r="A32" s="7" t="inlineStr">
        <is>
          <t>Purchase of intangible assets - software</t>
        </is>
      </c>
      <c r="B32" s="7" t="n">
        <v>-20.6</v>
      </c>
      <c r="C32" s="7" t="n">
        <v>-27.7</v>
      </c>
      <c r="D32" s="7" t="n">
        <v>-52.1</v>
      </c>
      <c r="E32" s="7" t="n">
        <v>-48.8</v>
      </c>
      <c r="F32" s="7" t="n">
        <v>-43.5</v>
      </c>
    </row>
    <row r="33">
      <c r="A33" s="7" t="inlineStr">
        <is>
          <t>Purchase of subsidiaries, net of cash acquired</t>
        </is>
      </c>
      <c r="B33" s="7" t="n"/>
      <c r="C33" s="7" t="n">
        <v>-8.800000000000001</v>
      </c>
      <c r="D33" s="7" t="n">
        <v>0</v>
      </c>
      <c r="E33" s="7" t="n">
        <v>-0.1</v>
      </c>
      <c r="F33" s="7" t="n"/>
    </row>
    <row r="34">
      <c r="A34" s="5" t="inlineStr">
        <is>
          <t>Net cash outflow from investing activities</t>
        </is>
      </c>
      <c r="B34" s="5" t="n">
        <v>-25.1</v>
      </c>
      <c r="C34" s="5" t="n">
        <v>-41</v>
      </c>
      <c r="D34" s="5" t="n">
        <v>-56.6</v>
      </c>
      <c r="E34" s="5" t="n">
        <v>-53.5</v>
      </c>
      <c r="F34" s="5" t="n">
        <v>-47.2</v>
      </c>
    </row>
    <row r="35">
      <c r="A35" s="5" t="inlineStr">
        <is>
          <t>Financing activities</t>
        </is>
      </c>
      <c r="B35" s="7" t="n"/>
      <c r="C35" s="7" t="n"/>
      <c r="D35" s="7" t="n"/>
      <c r="E35" s="7" t="n"/>
      <c r="F35" s="7" t="n"/>
    </row>
    <row r="36">
      <c r="A36" s="7" t="inlineStr">
        <is>
          <t>Equity dividends paid</t>
        </is>
      </c>
      <c r="B36" s="7" t="n"/>
      <c r="C36" s="7" t="n"/>
      <c r="D36" s="7" t="n">
        <v>-89.5</v>
      </c>
      <c r="E36" s="7" t="n">
        <v>-127.9</v>
      </c>
      <c r="F36" s="7" t="n">
        <v>-90</v>
      </c>
    </row>
    <row r="37">
      <c r="A37" s="7" t="inlineStr">
        <is>
          <t>Interest paid on debt financing</t>
        </is>
      </c>
      <c r="B37" s="7" t="n"/>
      <c r="C37" s="7" t="n"/>
      <c r="D37" s="7" t="n">
        <v>-6.9</v>
      </c>
      <c r="E37" s="7" t="n">
        <v>-6.9</v>
      </c>
      <c r="F37" s="7" t="n">
        <v>-6.9</v>
      </c>
    </row>
    <row r="38">
      <c r="A38" s="7" t="inlineStr">
        <is>
          <t>Issue of ordinary share capital</t>
        </is>
      </c>
      <c r="B38" s="7" t="n"/>
      <c r="C38" s="7" t="n">
        <v>65</v>
      </c>
      <c r="D38" s="7" t="n"/>
      <c r="E38" s="7" t="n"/>
      <c r="F38" s="7" t="n"/>
    </row>
    <row r="39">
      <c r="A39" s="7" t="inlineStr">
        <is>
          <t>Issuance of Additional Tier 1 ("AT1") capital securities</t>
        </is>
      </c>
      <c r="B39" s="7" t="n"/>
      <c r="C39" s="7" t="n">
        <v>200</v>
      </c>
      <c r="D39" s="7" t="n"/>
      <c r="E39" s="7" t="n"/>
      <c r="F39" s="7" t="n"/>
    </row>
    <row r="40">
      <c r="A40" s="7" t="inlineStr">
        <is>
          <t>Costs arising on issue of AT1</t>
        </is>
      </c>
      <c r="B40" s="7" t="n"/>
      <c r="C40" s="7" t="n">
        <v>-2.4</v>
      </c>
      <c r="D40" s="7" t="n"/>
      <c r="E40" s="7" t="n"/>
      <c r="F40" s="7" t="n"/>
    </row>
    <row r="41">
      <c r="A41" s="7" t="inlineStr">
        <is>
          <t>AT1 coupon payment</t>
        </is>
      </c>
      <c r="B41" s="7" t="n">
        <v>-22.3</v>
      </c>
      <c r="C41" s="7" t="n">
        <v>-11.1</v>
      </c>
      <c r="D41" s="7" t="n"/>
      <c r="E41" s="7" t="n"/>
      <c r="F41" s="7" t="n"/>
    </row>
    <row r="42">
      <c r="A42" s="7" t="inlineStr">
        <is>
          <t>Amounts (paid)/received from group undertakings</t>
        </is>
      </c>
      <c r="B42" s="7" t="n">
        <v>86.40000000000001</v>
      </c>
      <c r="C42" s="7" t="n">
        <v>-171.7</v>
      </c>
      <c r="D42" s="7" t="n">
        <v>-17.8</v>
      </c>
      <c r="E42" s="7" t="n">
        <v>12.8</v>
      </c>
      <c r="F42" s="7" t="n">
        <v>19.7</v>
      </c>
    </row>
    <row r="43">
      <c r="A43" s="7" t="inlineStr">
        <is>
          <t>Payment of lease liabilities</t>
        </is>
      </c>
      <c r="B43" s="7" t="n">
        <v>-7.9</v>
      </c>
      <c r="C43" s="7" t="n">
        <v>-9.9</v>
      </c>
      <c r="D43" s="7" t="n">
        <v>-9.300000000000001</v>
      </c>
      <c r="E43" s="7" t="n">
        <v>-9.199999999999999</v>
      </c>
      <c r="F43" s="7" t="n">
        <v>-11</v>
      </c>
    </row>
    <row r="44">
      <c r="A44" s="5" t="inlineStr">
        <is>
          <t>Net cash (outflow)/inflow from financing activities</t>
        </is>
      </c>
      <c r="B44" s="5" t="n">
        <v>56.2</v>
      </c>
      <c r="C44" s="5" t="n">
        <v>69.90000000000001</v>
      </c>
      <c r="D44" s="5" t="n">
        <v>-123.5</v>
      </c>
      <c r="E44" s="5" t="n">
        <v>-131.2</v>
      </c>
      <c r="F44" s="5" t="n">
        <v>-88.2</v>
      </c>
    </row>
    <row r="45">
      <c r="A45" s="5" t="inlineStr">
        <is>
          <t>Net (decrease)/increase in cash</t>
        </is>
      </c>
      <c r="B45" s="5" t="n">
        <v>314.1</v>
      </c>
      <c r="C45" s="5" t="n">
        <v>-412.4</v>
      </c>
      <c r="D45" s="5" t="n">
        <v>837.3</v>
      </c>
      <c r="E45" s="5" t="n">
        <v>-63.9</v>
      </c>
      <c r="F45" s="5" t="n">
        <v>-46.2</v>
      </c>
    </row>
    <row r="46">
      <c r="A46" s="7" t="inlineStr">
        <is>
          <t>Cash and cash equivalents at beginning of year</t>
        </is>
      </c>
      <c r="B46" s="7" t="n">
        <v>1728.1</v>
      </c>
      <c r="C46" s="7" t="n">
        <v>2140.5</v>
      </c>
      <c r="D46" s="7" t="n">
        <v>1303.2</v>
      </c>
      <c r="E46" s="7" t="n">
        <v>1367.1</v>
      </c>
      <c r="F46" s="7" t="n">
        <v>1413.3</v>
      </c>
    </row>
    <row r="47">
      <c r="A47" s="5" t="inlineStr">
        <is>
          <t>Cash and cash equivalents at end of year</t>
        </is>
      </c>
      <c r="B47" s="5" t="n">
        <v>2042.2</v>
      </c>
      <c r="C47" s="5" t="n">
        <v>1728.1</v>
      </c>
      <c r="D47" s="5" t="n">
        <v>2140.5</v>
      </c>
      <c r="E47" s="5" t="n">
        <v>1303.2</v>
      </c>
      <c r="F47" s="5" t="n">
        <v>1367.1</v>
      </c>
    </row>
    <row r="49" ht="320" customHeight="1">
      <c r="A49"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held at amortised cost, by IFRS 9 stage</t>
        </is>
      </c>
      <c r="B4" s="7" t="n"/>
      <c r="C4" s="7" t="n"/>
      <c r="D4" s="7" t="n"/>
      <c r="E4" s="7" t="n"/>
      <c r="F4" s="7" t="n"/>
    </row>
    <row r="5">
      <c r="A5" s="7" t="inlineStr">
        <is>
          <t>Stage 1</t>
        </is>
      </c>
      <c r="B5" s="7" t="n">
        <v>7914.2</v>
      </c>
      <c r="C5" s="7" t="n">
        <v>8410.5</v>
      </c>
      <c r="D5" s="7" t="n">
        <v>7990.2</v>
      </c>
      <c r="E5" s="7" t="n">
        <v>7627</v>
      </c>
      <c r="F5" s="7" t="n">
        <v>7434.3</v>
      </c>
    </row>
    <row r="6">
      <c r="A6" s="7" t="inlineStr">
        <is>
          <t>Stage 2</t>
        </is>
      </c>
      <c r="B6" s="7" t="n">
        <v>1291</v>
      </c>
      <c r="C6" s="7" t="n">
        <v>1128.8</v>
      </c>
      <c r="D6" s="7" t="n">
        <v>1062</v>
      </c>
      <c r="E6" s="7" t="n">
        <v>1158.9</v>
      </c>
      <c r="F6" s="7" t="n">
        <v>960.2</v>
      </c>
    </row>
    <row r="7">
      <c r="A7" s="7" t="inlineStr">
        <is>
          <t>Stage 3</t>
        </is>
      </c>
      <c r="B7" s="7" t="n">
        <v>492.1</v>
      </c>
      <c r="C7" s="7" t="n">
        <v>725.5</v>
      </c>
      <c r="D7" s="7" t="n">
        <v>583.4</v>
      </c>
      <c r="E7" s="7" t="n">
        <v>358.6</v>
      </c>
      <c r="F7" s="7" t="n">
        <v>330.4</v>
      </c>
    </row>
    <row r="8">
      <c r="A8" s="5" t="inlineStr">
        <is>
          <t>Total gross loans and advances to customers</t>
        </is>
      </c>
      <c r="B8" s="5" t="n">
        <v>9697.299999999999</v>
      </c>
      <c r="C8" s="5" t="n">
        <v>10264.8</v>
      </c>
      <c r="D8" s="5" t="n">
        <v>9635.6</v>
      </c>
      <c r="E8" s="5" t="n">
        <v>9144.5</v>
      </c>
      <c r="F8" s="5" t="n">
        <v>8724.9</v>
      </c>
    </row>
    <row r="9">
      <c r="A9" s="5" t="inlineStr">
        <is>
          <t>Impairment (ECL) provisions, by IFRS 9 stage</t>
        </is>
      </c>
      <c r="B9" s="7" t="n"/>
      <c r="C9" s="7" t="n"/>
      <c r="D9" s="7" t="n"/>
      <c r="E9" s="7" t="n"/>
      <c r="F9" s="7" t="n"/>
    </row>
    <row r="10">
      <c r="A10" s="7" t="inlineStr">
        <is>
          <t>Stage 1</t>
        </is>
      </c>
      <c r="B10" s="7" t="n">
        <v>-50.6</v>
      </c>
      <c r="C10" s="7" t="n">
        <v>-52.2</v>
      </c>
      <c r="D10" s="7" t="n">
        <v>-58.1</v>
      </c>
      <c r="E10" s="7" t="n">
        <v>-50.3</v>
      </c>
      <c r="F10" s="7" t="n">
        <v>-80</v>
      </c>
    </row>
    <row r="11">
      <c r="A11" s="7" t="inlineStr">
        <is>
          <t>Stage 2</t>
        </is>
      </c>
      <c r="B11" s="7" t="n">
        <v>-33.6</v>
      </c>
      <c r="C11" s="7" t="n">
        <v>-31.3</v>
      </c>
      <c r="D11" s="7" t="n">
        <v>-32.2</v>
      </c>
      <c r="E11" s="7" t="n">
        <v>-78.3</v>
      </c>
      <c r="F11" s="7" t="n">
        <v>-84.2</v>
      </c>
    </row>
    <row r="12">
      <c r="A12" s="7" t="inlineStr">
        <is>
          <t>Stage 3</t>
        </is>
      </c>
      <c r="B12" s="7" t="n">
        <v>-165.5</v>
      </c>
      <c r="C12" s="7" t="n">
        <v>-362.3</v>
      </c>
      <c r="D12" s="7" t="n">
        <v>-290.3</v>
      </c>
      <c r="E12" s="7" t="n">
        <v>-157</v>
      </c>
      <c r="F12" s="7" t="n">
        <v>-116.2</v>
      </c>
    </row>
    <row r="13">
      <c r="A13" s="5" t="inlineStr">
        <is>
          <t>Total impairment provisions</t>
        </is>
      </c>
      <c r="B13" s="5" t="n">
        <v>-249.7</v>
      </c>
      <c r="C13" s="5" t="n">
        <v>-445.8</v>
      </c>
      <c r="D13" s="5" t="n">
        <v>-380.6</v>
      </c>
      <c r="E13" s="5" t="n">
        <v>-285.6</v>
      </c>
      <c r="F13" s="5" t="n">
        <v>-280.4</v>
      </c>
    </row>
    <row r="14">
      <c r="A14" s="5" t="inlineStr">
        <is>
          <t>Net loans and advances to customers held at amortised cost (derived)</t>
        </is>
      </c>
      <c r="B14" s="5" t="n">
        <v>9447.6</v>
      </c>
      <c r="C14" s="5" t="n">
        <v>9819</v>
      </c>
      <c r="D14" s="5" t="n">
        <v>9255</v>
      </c>
      <c r="E14" s="5" t="n">
        <v>8858.9</v>
      </c>
      <c r="F14" s="5" t="n">
        <v>8444.5</v>
      </c>
    </row>
    <row r="15">
      <c r="A15" s="5" t="inlineStr">
        <is>
          <t>Derived ratios</t>
        </is>
      </c>
      <c r="B15" s="7" t="n"/>
      <c r="C15" s="7" t="n"/>
      <c r="D15" s="7" t="n"/>
      <c r="E15" s="7" t="n"/>
      <c r="F15" s="7" t="n"/>
    </row>
    <row r="16">
      <c r="A16" s="7" t="inlineStr">
        <is>
          <t>Stage 3 / gross loans (NPL ratio)</t>
        </is>
      </c>
      <c r="B16" s="7" t="inlineStr">
        <is>
          <t>5.07%</t>
        </is>
      </c>
      <c r="C16" s="7" t="inlineStr">
        <is>
          <t>7.07%</t>
        </is>
      </c>
      <c r="D16" s="7" t="inlineStr">
        <is>
          <t>6.05%</t>
        </is>
      </c>
      <c r="E16" s="7" t="inlineStr">
        <is>
          <t>3.92%</t>
        </is>
      </c>
      <c r="F16" s="7" t="inlineStr">
        <is>
          <t>3.79%</t>
        </is>
      </c>
    </row>
    <row r="17">
      <c r="A17" s="7" t="inlineStr">
        <is>
          <t>Stage 3 coverage (Stage 3 provision / Stage 3 gross)</t>
        </is>
      </c>
      <c r="B17" s="7" t="inlineStr">
        <is>
          <t>33.64%</t>
        </is>
      </c>
      <c r="C17" s="7" t="inlineStr">
        <is>
          <t>49.94%</t>
        </is>
      </c>
      <c r="D17" s="7" t="inlineStr">
        <is>
          <t>49.76%</t>
        </is>
      </c>
      <c r="E17" s="7" t="inlineStr">
        <is>
          <t>43.78%</t>
        </is>
      </c>
      <c r="F17" s="7" t="inlineStr">
        <is>
          <t>35.17%</t>
        </is>
      </c>
    </row>
    <row r="18">
      <c r="A18" s="7" t="inlineStr">
        <is>
          <t>Total ECL coverage (total provision / total gross)</t>
        </is>
      </c>
      <c r="B18" s="7" t="inlineStr">
        <is>
          <t>2.57%</t>
        </is>
      </c>
      <c r="C18" s="7" t="inlineStr">
        <is>
          <t>4.34%</t>
        </is>
      </c>
      <c r="D18" s="7" t="inlineStr">
        <is>
          <t>3.95%</t>
        </is>
      </c>
      <c r="E18" s="7" t="inlineStr">
        <is>
          <t>3.12%</t>
        </is>
      </c>
      <c r="F18" s="7" t="inlineStr">
        <is>
          <t>3.21%</t>
        </is>
      </c>
    </row>
    <row r="20" ht="280" customHeight="1">
      <c r="A20"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Close Brothers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Not publicly disclosed</t>
        </is>
      </c>
      <c r="B4" s="7" t="n"/>
      <c r="C4" s="7" t="n"/>
      <c r="D4" s="7" t="n"/>
      <c r="E4" s="7" t="n"/>
      <c r="F4" s="7" t="n"/>
    </row>
    <row r="6" ht="280" customHeight="1">
      <c r="A6"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Close Brothers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row r="7" ht="150" customHeight="1">
      <c r="A7" s="8" t="inlineStr">
        <is>
          <t>Sources - Close Brothers Limited Pillar 3 basis:
Close Brothers Limited (the PRA-regulated entity, FRN 124750) does not publish its own Pillar 3 disclosures or Basel capital/liquidity ratios - checked its full 'Group of companies' accounts' statutory filings (all 5 years) for a capital management/regulatory capital note and found none. Pillar 3 is published only at the wider listed parent 'Close Brothers Group plc' level (confirmed via closebrothers.com's investor relations Pillar 3 Disclosures page) - a different, non-PRA-regulated entity, so those figures are not used here rather than mixing entity levels.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2026-09-07T16:56:41Z</dcterms:created>
  <dcterms:modified xmlns:dcterms="http://purl.org/dc/terms/" xmlns:xsi="http://www.w3.org/2001/XMLSchema-instance" xsi:type="dcterms:W3CDTF">2026-09-07T16:56:41Z</dcterms:modified>
</cp:coreProperties>
</file>