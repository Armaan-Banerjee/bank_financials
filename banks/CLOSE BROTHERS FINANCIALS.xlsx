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F6324B"/>
        <bgColor rgb="00F6324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1" pivotButton="0" quotePrefix="0" xfId="0"/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Brothers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Close Brothers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</row>
    <row r="6">
      <c r="A6" s="5" t="inlineStr">
        <is>
          <t>Net cash (outflow)/inflow from operating activities</t>
        </is>
      </c>
      <c r="B6" s="5" t="n">
        <v>283</v>
      </c>
      <c r="C6" s="5" t="n">
        <v>-441.3</v>
      </c>
      <c r="D6" s="5" t="n">
        <v>1017.4</v>
      </c>
      <c r="E6" s="5" t="n">
        <v>120.8</v>
      </c>
      <c r="F6" s="5" t="n">
        <v>89.2</v>
      </c>
      <c r="I6" t="inlineStr">
        <is>
          <t>Net cash (outflow)/inflow from operating activities</t>
        </is>
      </c>
      <c r="J6" t="n">
        <v>89.2</v>
      </c>
      <c r="K6" t="n">
        <v>120.8</v>
      </c>
      <c r="L6" t="n">
        <v>1017.4</v>
      </c>
      <c r="M6" t="n">
        <v>-441.3</v>
      </c>
      <c r="N6" t="n">
        <v>283</v>
      </c>
    </row>
    <row r="7">
      <c r="A7" s="5" t="inlineStr">
        <is>
          <t>Net cash outflow from investing activities</t>
        </is>
      </c>
      <c r="B7" s="5" t="n">
        <v>-25.1</v>
      </c>
      <c r="C7" s="5" t="n">
        <v>-41</v>
      </c>
      <c r="D7" s="5" t="n">
        <v>-56.6</v>
      </c>
      <c r="E7" s="5" t="n">
        <v>-53.5</v>
      </c>
      <c r="F7" s="5" t="n">
        <v>-47.2</v>
      </c>
      <c r="I7" t="inlineStr">
        <is>
          <t>Net cash outflow from investing activities</t>
        </is>
      </c>
      <c r="J7" t="n">
        <v>-47.2</v>
      </c>
      <c r="K7" t="n">
        <v>-53.5</v>
      </c>
      <c r="L7" t="n">
        <v>-56.6</v>
      </c>
      <c r="M7" t="n">
        <v>-41</v>
      </c>
      <c r="N7" t="n">
        <v>-25.1</v>
      </c>
    </row>
    <row r="8">
      <c r="A8" s="5" t="inlineStr">
        <is>
          <t>Net cash (outflow)/inflow from financing activities</t>
        </is>
      </c>
      <c r="B8" s="5" t="n">
        <v>56.2</v>
      </c>
      <c r="C8" s="5" t="n">
        <v>69.90000000000001</v>
      </c>
      <c r="D8" s="5" t="n">
        <v>-123.5</v>
      </c>
      <c r="E8" s="5" t="n">
        <v>-131.2</v>
      </c>
      <c r="F8" s="5" t="n">
        <v>-88.2</v>
      </c>
      <c r="I8" t="inlineStr">
        <is>
          <t>Net cash (outflow)/inflow from financing activities</t>
        </is>
      </c>
      <c r="J8" t="n">
        <v>-88.2</v>
      </c>
      <c r="K8" t="n">
        <v>-131.2</v>
      </c>
      <c r="L8" t="n">
        <v>-123.5</v>
      </c>
      <c r="M8" t="n">
        <v>69.90000000000001</v>
      </c>
      <c r="N8" t="n">
        <v>56.2</v>
      </c>
    </row>
    <row r="9">
      <c r="A9" s="5" t="inlineStr">
        <is>
          <t>Cash and cash equivalents at end of year</t>
        </is>
      </c>
      <c r="B9" s="5" t="n">
        <v>2042.2</v>
      </c>
      <c r="C9" s="5" t="n">
        <v>1728.1</v>
      </c>
      <c r="D9" s="5" t="n">
        <v>2140.5</v>
      </c>
      <c r="E9" s="5" t="n">
        <v>1303.2</v>
      </c>
      <c r="F9" s="5" t="n">
        <v>1367.1</v>
      </c>
      <c r="I9" t="inlineStr">
        <is>
          <t>Cash and cash equivalents at end of year</t>
        </is>
      </c>
      <c r="J9" t="n">
        <v>1367.1</v>
      </c>
      <c r="K9" t="n">
        <v>1303.2</v>
      </c>
      <c r="L9" t="n">
        <v>2140.5</v>
      </c>
      <c r="M9" t="n">
        <v>1728.1</v>
      </c>
      <c r="N9" t="n">
        <v>2042.2</v>
      </c>
    </row>
    <row r="11">
      <c r="A11" s="3" t="inlineStr">
        <is>
          <t>Pillar 3 Key Metrics: not applicable — no ratios are disclosed for this entity (see the individual Pillar 3 metric sheets).</t>
        </is>
      </c>
    </row>
    <row r="13" ht="45" customHeight="1">
      <c r="A13" s="6" t="inlineStr">
        <is>
          <t>Note: No Pillar 3 ratios chart shown - Close Brothers Limited (the PRA-regulated entity) does not publish its own Basel capital/liquidity disclosures; Pillar 3 exists only at the wider listed parent Close Brothers Group plc level. See the Cash Flow Statement sheet's source note and each Pillar 3 sheet for detail. Cash flow figures are duplicated from the detail sheet for at-a-glance trend viewing.</t>
        </is>
      </c>
    </row>
  </sheetData>
  <mergeCells count="1">
    <mergeCell ref="A13:F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Consolidated Cash Flow Statement</t>
        </is>
      </c>
    </row>
    <row r="2">
      <c r="A2" s="2" t="inlineStr">
        <is>
          <t>Consolidated basis (Close Brothers Limited + subsidiaries), £m. See source note at bottom.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Operating activities</t>
        </is>
      </c>
      <c r="B4" s="7" t="n"/>
      <c r="C4" s="7" t="n"/>
      <c r="D4" s="7" t="n"/>
      <c r="E4" s="7" t="n"/>
      <c r="F4" s="7" t="n"/>
    </row>
    <row r="5">
      <c r="A5" s="7" t="inlineStr">
        <is>
          <t>Operating profit before tax</t>
        </is>
      </c>
      <c r="B5" s="7" t="n">
        <v>-67.59999999999999</v>
      </c>
      <c r="C5" s="7" t="n">
        <v>178</v>
      </c>
      <c r="D5" s="7" t="n">
        <v>120.7</v>
      </c>
      <c r="E5" s="7" t="n">
        <v>229.4</v>
      </c>
      <c r="F5" s="7" t="n"/>
    </row>
    <row r="6">
      <c r="A6" s="7" t="inlineStr">
        <is>
          <t>Tax paid</t>
        </is>
      </c>
      <c r="B6" s="7" t="n">
        <v>-25.2</v>
      </c>
      <c r="C6" s="7" t="n">
        <v>-30.2</v>
      </c>
      <c r="D6" s="7" t="n">
        <v>-3.6</v>
      </c>
      <c r="E6" s="7" t="n">
        <v>-60.8</v>
      </c>
      <c r="F6" s="7" t="n"/>
    </row>
    <row r="7">
      <c r="A7" s="7" t="inlineStr">
        <is>
          <t>Depreciation, amortisation and impairment</t>
        </is>
      </c>
      <c r="B7" s="7" t="n">
        <v>132.9</v>
      </c>
      <c r="C7" s="7" t="n">
        <v>96.3</v>
      </c>
      <c r="D7" s="7" t="n">
        <v>94.40000000000001</v>
      </c>
      <c r="E7" s="7" t="n">
        <v>86.59999999999999</v>
      </c>
      <c r="F7" s="7" t="n"/>
    </row>
    <row r="8">
      <c r="A8" s="7" t="inlineStr">
        <is>
          <t>Impairment losses on financial assets</t>
        </is>
      </c>
      <c r="B8" s="7" t="n">
        <v>92.8</v>
      </c>
      <c r="C8" s="7" t="n">
        <v>98.90000000000001</v>
      </c>
      <c r="D8" s="7" t="n">
        <v>204</v>
      </c>
      <c r="E8" s="7" t="n">
        <v>103.3</v>
      </c>
      <c r="F8" s="7" t="n"/>
    </row>
    <row r="9">
      <c r="A9" s="7" t="inlineStr">
        <is>
          <t>Provision in relation to motor finance commissions excluding cash paid</t>
        </is>
      </c>
      <c r="B9" s="7" t="n">
        <v>161.4</v>
      </c>
      <c r="C9" s="7" t="n"/>
      <c r="D9" s="7" t="n"/>
      <c r="E9" s="7" t="n"/>
      <c r="F9" s="7" t="n"/>
    </row>
    <row r="10">
      <c r="A10" s="7" t="inlineStr">
        <is>
          <t>Complaints handling and other operational/legal costs re. motor finance commissions</t>
        </is>
      </c>
      <c r="B10" s="7" t="n">
        <v>5.6</v>
      </c>
      <c r="C10" s="7" t="n"/>
      <c r="D10" s="7" t="n"/>
      <c r="E10" s="7" t="n"/>
      <c r="F10" s="7" t="n"/>
    </row>
    <row r="11">
      <c r="A11" s="7" t="inlineStr">
        <is>
          <t>Provision in relation to early settlements in Motor Finance</t>
        </is>
      </c>
      <c r="B11" s="7" t="n">
        <v>33</v>
      </c>
      <c r="C11" s="7" t="n"/>
      <c r="D11" s="7" t="n"/>
      <c r="E11" s="7" t="n"/>
      <c r="F11" s="7" t="n"/>
    </row>
    <row r="12">
      <c r="A12" s="7" t="inlineStr">
        <is>
          <t>Amortisation of de-designated cash flow hedges</t>
        </is>
      </c>
      <c r="B12" s="7" t="n">
        <v>-11.4</v>
      </c>
      <c r="C12" s="7" t="n">
        <v>-27.9</v>
      </c>
      <c r="D12" s="7" t="n"/>
      <c r="E12" s="7" t="n"/>
      <c r="F12" s="7" t="n"/>
    </row>
    <row r="13">
      <c r="A13" s="7" t="inlineStr">
        <is>
          <t>Decrease/(increase) in interest receivable and prepaid expenses</t>
        </is>
      </c>
      <c r="B13" s="7" t="n">
        <v>11.6</v>
      </c>
      <c r="C13" s="7" t="n">
        <v>8.6</v>
      </c>
      <c r="D13" s="7" t="n">
        <v>-5.7</v>
      </c>
      <c r="E13" s="7" t="n">
        <v>19.9</v>
      </c>
      <c r="F13" s="7" t="n"/>
    </row>
    <row r="14">
      <c r="A14" s="7" t="inlineStr">
        <is>
          <t>Decrease in interest payable and accrued expenses</t>
        </is>
      </c>
      <c r="B14" s="7" t="n">
        <v>-2.6</v>
      </c>
      <c r="C14" s="7" t="n">
        <v>-10.7</v>
      </c>
      <c r="D14" s="7" t="n">
        <v>-0.2</v>
      </c>
      <c r="E14" s="7" t="n">
        <v>-1.7</v>
      </c>
      <c r="F14" s="7" t="n"/>
    </row>
    <row r="15">
      <c r="A15" s="5" t="inlineStr">
        <is>
          <t>Net cash inflow from trading activities</t>
        </is>
      </c>
      <c r="B15" s="5" t="n">
        <v>330.5</v>
      </c>
      <c r="C15" s="5" t="n">
        <v>313</v>
      </c>
      <c r="D15" s="5" t="n">
        <v>409.6</v>
      </c>
      <c r="E15" s="5" t="n">
        <v>376.7</v>
      </c>
      <c r="F15" s="5" t="n"/>
    </row>
    <row r="16">
      <c r="A16" s="7" t="inlineStr">
        <is>
          <t>Loans and advances to banks not repayable on demand</t>
        </is>
      </c>
      <c r="B16" s="7" t="n">
        <v>1.3</v>
      </c>
      <c r="C16" s="7" t="n">
        <v>24</v>
      </c>
      <c r="D16" s="7" t="n">
        <v>-21.1</v>
      </c>
      <c r="E16" s="7" t="n">
        <v>-5.9</v>
      </c>
      <c r="F16" s="7" t="n"/>
    </row>
    <row r="17">
      <c r="A17" s="7" t="inlineStr">
        <is>
          <t>Loans and advances to customers</t>
        </is>
      </c>
      <c r="B17" s="7" t="n">
        <v>196.8</v>
      </c>
      <c r="C17" s="7" t="n">
        <v>-699.4</v>
      </c>
      <c r="D17" s="7" t="n">
        <v>-584.3</v>
      </c>
      <c r="E17" s="7" t="n">
        <v>-515</v>
      </c>
      <c r="F17" s="7" t="n"/>
    </row>
    <row r="18">
      <c r="A18" s="7" t="inlineStr">
        <is>
          <t>Assets let under operating leases</t>
        </is>
      </c>
      <c r="B18" s="7" t="n">
        <v>-20.3</v>
      </c>
      <c r="C18" s="7" t="n">
        <v>-41.1</v>
      </c>
      <c r="D18" s="7" t="n">
        <v>-73.2</v>
      </c>
      <c r="E18" s="7" t="n">
        <v>-54.5</v>
      </c>
      <c r="F18" s="7" t="n"/>
    </row>
    <row r="19">
      <c r="A19" s="7" t="inlineStr">
        <is>
          <t>Certificates of deposit</t>
        </is>
      </c>
      <c r="B19" s="7" t="n"/>
      <c r="C19" s="7" t="n"/>
      <c r="D19" s="7" t="n">
        <v>185</v>
      </c>
      <c r="E19" s="7" t="n">
        <v>79.7</v>
      </c>
      <c r="F19" s="7" t="n"/>
    </row>
    <row r="20">
      <c r="A20" s="7" t="inlineStr">
        <is>
          <t>Sovereign and central bank debt</t>
        </is>
      </c>
      <c r="B20" s="7" t="n">
        <v>-213.3</v>
      </c>
      <c r="C20" s="7" t="n">
        <v>-194.2</v>
      </c>
      <c r="D20" s="7" t="n">
        <v>191.2</v>
      </c>
      <c r="E20" s="7" t="n">
        <v>-255.3</v>
      </c>
      <c r="F20" s="7" t="n"/>
    </row>
    <row r="21">
      <c r="A21" s="7" t="inlineStr">
        <is>
          <t>SSA bonds</t>
        </is>
      </c>
      <c r="B21" s="7" t="n"/>
      <c r="C21" s="7" t="n">
        <v>-140.2</v>
      </c>
      <c r="D21" s="7" t="n"/>
      <c r="E21" s="7" t="n"/>
      <c r="F21" s="7" t="n"/>
    </row>
    <row r="22">
      <c r="A22" s="7" t="inlineStr">
        <is>
          <t>Covered Bonds</t>
        </is>
      </c>
      <c r="B22" s="7" t="n">
        <v>81.90000000000001</v>
      </c>
      <c r="C22" s="7" t="n">
        <v>-80.7</v>
      </c>
      <c r="D22" s="7" t="n">
        <v>-105.4</v>
      </c>
      <c r="E22" s="7" t="n"/>
      <c r="F22" s="7" t="n"/>
    </row>
    <row r="23">
      <c r="A23" s="7" t="inlineStr">
        <is>
          <t>Deposits by banks</t>
        </is>
      </c>
      <c r="B23" s="7" t="n">
        <v>-52.1</v>
      </c>
      <c r="C23" s="7" t="n">
        <v>-1.3</v>
      </c>
      <c r="D23" s="7" t="n">
        <v>-22.1</v>
      </c>
      <c r="E23" s="7" t="n">
        <v>11.8</v>
      </c>
      <c r="F23" s="7" t="n"/>
    </row>
    <row r="24">
      <c r="A24" s="7" t="inlineStr">
        <is>
          <t>Deposits by customers</t>
        </is>
      </c>
      <c r="B24" s="7" t="n">
        <v>100.1</v>
      </c>
      <c r="C24" s="7" t="n">
        <v>975.1</v>
      </c>
      <c r="D24" s="7" t="n">
        <v>942.5</v>
      </c>
      <c r="E24" s="7" t="n">
        <v>142.7</v>
      </c>
      <c r="F24" s="7" t="n"/>
    </row>
    <row r="25">
      <c r="A25" s="7" t="inlineStr">
        <is>
          <t>Loans and overdrafts from banks</t>
        </is>
      </c>
      <c r="B25" s="7" t="n">
        <v>-112.1</v>
      </c>
      <c r="C25" s="7" t="n">
        <v>-527.7</v>
      </c>
      <c r="D25" s="7" t="n">
        <v>24.5</v>
      </c>
      <c r="E25" s="7" t="n">
        <v>104.6</v>
      </c>
      <c r="F25" s="7" t="n"/>
    </row>
    <row r="26">
      <c r="A26" s="7" t="inlineStr">
        <is>
          <t>Debt securities in issue (net)</t>
        </is>
      </c>
      <c r="B26" s="7" t="n">
        <v>-22.4</v>
      </c>
      <c r="C26" s="7" t="n">
        <v>-71.59999999999999</v>
      </c>
      <c r="D26" s="7" t="n">
        <v>10.4</v>
      </c>
      <c r="E26" s="7" t="n">
        <v>243.6</v>
      </c>
      <c r="F26" s="7" t="n"/>
    </row>
    <row r="27">
      <c r="A27" s="7" t="inlineStr">
        <is>
          <t>Derivative financial instruments (net)</t>
        </is>
      </c>
      <c r="B27" s="7" t="n">
        <v>1</v>
      </c>
      <c r="C27" s="7" t="n"/>
      <c r="D27" s="7" t="n">
        <v>70.40000000000001</v>
      </c>
      <c r="E27" s="7" t="n"/>
      <c r="F27" s="7" t="n"/>
    </row>
    <row r="28">
      <c r="A28" s="7" t="inlineStr">
        <is>
          <t>Other assets less other liabilities</t>
        </is>
      </c>
      <c r="B28" s="7" t="n">
        <v>-8.4</v>
      </c>
      <c r="C28" s="7" t="n">
        <v>2.8</v>
      </c>
      <c r="D28" s="7" t="n">
        <v>-10.1</v>
      </c>
      <c r="E28" s="7" t="n">
        <v>-7.6</v>
      </c>
      <c r="F28" s="7" t="n"/>
    </row>
    <row r="29">
      <c r="A29" s="5" t="inlineStr">
        <is>
          <t>Net cash (outflow)/inflow from operating activities</t>
        </is>
      </c>
      <c r="B29" s="5" t="n">
        <v>283</v>
      </c>
      <c r="C29" s="5" t="n">
        <v>-441.3</v>
      </c>
      <c r="D29" s="5" t="n">
        <v>1017.4</v>
      </c>
      <c r="E29" s="5" t="n">
        <v>120.8</v>
      </c>
      <c r="F29" s="5" t="n">
        <v>89.2</v>
      </c>
    </row>
    <row r="30">
      <c r="A30" s="5" t="inlineStr">
        <is>
          <t>Investing activities</t>
        </is>
      </c>
      <c r="B30" s="7" t="n"/>
      <c r="C30" s="7" t="n"/>
      <c r="D30" s="7" t="n"/>
      <c r="E30" s="7" t="n"/>
      <c r="F30" s="7" t="n"/>
    </row>
    <row r="31">
      <c r="A31" s="7" t="inlineStr">
        <is>
          <t>Purchase of property, plant and equipment</t>
        </is>
      </c>
      <c r="B31" s="7" t="n">
        <v>-4.5</v>
      </c>
      <c r="C31" s="7" t="n">
        <v>-4.5</v>
      </c>
      <c r="D31" s="7" t="n">
        <v>-4.5</v>
      </c>
      <c r="E31" s="7" t="n">
        <v>-4.6</v>
      </c>
      <c r="F31" s="7" t="n">
        <v>-3.7</v>
      </c>
    </row>
    <row r="32">
      <c r="A32" s="7" t="inlineStr">
        <is>
          <t>Purchase of intangible assets - software</t>
        </is>
      </c>
      <c r="B32" s="7" t="n">
        <v>-20.6</v>
      </c>
      <c r="C32" s="7" t="n">
        <v>-27.7</v>
      </c>
      <c r="D32" s="7" t="n">
        <v>-52.1</v>
      </c>
      <c r="E32" s="7" t="n">
        <v>-48.8</v>
      </c>
      <c r="F32" s="7" t="n">
        <v>-43.5</v>
      </c>
    </row>
    <row r="33">
      <c r="A33" s="7" t="inlineStr">
        <is>
          <t>Purchase of subsidiaries, net of cash acquired</t>
        </is>
      </c>
      <c r="B33" s="7" t="n"/>
      <c r="C33" s="7" t="n">
        <v>-8.800000000000001</v>
      </c>
      <c r="D33" s="7" t="n">
        <v>0</v>
      </c>
      <c r="E33" s="7" t="n">
        <v>-0.1</v>
      </c>
      <c r="F33" s="7" t="n"/>
    </row>
    <row r="34">
      <c r="A34" s="5" t="inlineStr">
        <is>
          <t>Net cash outflow from investing activities</t>
        </is>
      </c>
      <c r="B34" s="5" t="n">
        <v>-25.1</v>
      </c>
      <c r="C34" s="5" t="n">
        <v>-41</v>
      </c>
      <c r="D34" s="5" t="n">
        <v>-56.6</v>
      </c>
      <c r="E34" s="5" t="n">
        <v>-53.5</v>
      </c>
      <c r="F34" s="5" t="n">
        <v>-47.2</v>
      </c>
    </row>
    <row r="35">
      <c r="A35" s="5" t="inlineStr">
        <is>
          <t>Financing activities</t>
        </is>
      </c>
      <c r="B35" s="7" t="n"/>
      <c r="C35" s="7" t="n"/>
      <c r="D35" s="7" t="n"/>
      <c r="E35" s="7" t="n"/>
      <c r="F35" s="7" t="n"/>
    </row>
    <row r="36">
      <c r="A36" s="7" t="inlineStr">
        <is>
          <t>Equity dividends paid</t>
        </is>
      </c>
      <c r="B36" s="7" t="n"/>
      <c r="C36" s="7" t="n"/>
      <c r="D36" s="7" t="n">
        <v>-89.5</v>
      </c>
      <c r="E36" s="7" t="n">
        <v>-127.9</v>
      </c>
      <c r="F36" s="7" t="n">
        <v>-90</v>
      </c>
    </row>
    <row r="37">
      <c r="A37" s="7" t="inlineStr">
        <is>
          <t>Interest paid on debt financing</t>
        </is>
      </c>
      <c r="B37" s="7" t="n"/>
      <c r="C37" s="7" t="n"/>
      <c r="D37" s="7" t="n">
        <v>-6.9</v>
      </c>
      <c r="E37" s="7" t="n">
        <v>-6.9</v>
      </c>
      <c r="F37" s="7" t="n">
        <v>-6.9</v>
      </c>
    </row>
    <row r="38">
      <c r="A38" s="7" t="inlineStr">
        <is>
          <t>Issue of ordinary share capital</t>
        </is>
      </c>
      <c r="B38" s="7" t="n"/>
      <c r="C38" s="7" t="n">
        <v>65</v>
      </c>
      <c r="D38" s="7" t="n"/>
      <c r="E38" s="7" t="n"/>
      <c r="F38" s="7" t="n"/>
    </row>
    <row r="39">
      <c r="A39" s="7" t="inlineStr">
        <is>
          <t>Issuance of Additional Tier 1 ("AT1") capital securities</t>
        </is>
      </c>
      <c r="B39" s="7" t="n"/>
      <c r="C39" s="7" t="n">
        <v>200</v>
      </c>
      <c r="D39" s="7" t="n"/>
      <c r="E39" s="7" t="n"/>
      <c r="F39" s="7" t="n"/>
    </row>
    <row r="40">
      <c r="A40" s="7" t="inlineStr">
        <is>
          <t>Costs arising on issue of AT1</t>
        </is>
      </c>
      <c r="B40" s="7" t="n"/>
      <c r="C40" s="7" t="n">
        <v>-2.4</v>
      </c>
      <c r="D40" s="7" t="n"/>
      <c r="E40" s="7" t="n"/>
      <c r="F40" s="7" t="n"/>
    </row>
    <row r="41">
      <c r="A41" s="7" t="inlineStr">
        <is>
          <t>AT1 coupon payment</t>
        </is>
      </c>
      <c r="B41" s="7" t="n">
        <v>-22.3</v>
      </c>
      <c r="C41" s="7" t="n">
        <v>-11.1</v>
      </c>
      <c r="D41" s="7" t="n"/>
      <c r="E41" s="7" t="n"/>
      <c r="F41" s="7" t="n"/>
    </row>
    <row r="42">
      <c r="A42" s="7" t="inlineStr">
        <is>
          <t>Amounts (paid)/received from group undertakings</t>
        </is>
      </c>
      <c r="B42" s="7" t="n">
        <v>86.40000000000001</v>
      </c>
      <c r="C42" s="7" t="n">
        <v>-171.7</v>
      </c>
      <c r="D42" s="7" t="n">
        <v>-17.8</v>
      </c>
      <c r="E42" s="7" t="n">
        <v>12.8</v>
      </c>
      <c r="F42" s="7" t="n">
        <v>19.7</v>
      </c>
    </row>
    <row r="43">
      <c r="A43" s="7" t="inlineStr">
        <is>
          <t>Payment of lease liabilities</t>
        </is>
      </c>
      <c r="B43" s="7" t="n">
        <v>-7.9</v>
      </c>
      <c r="C43" s="7" t="n">
        <v>-9.9</v>
      </c>
      <c r="D43" s="7" t="n">
        <v>-9.300000000000001</v>
      </c>
      <c r="E43" s="7" t="n">
        <v>-9.199999999999999</v>
      </c>
      <c r="F43" s="7" t="n">
        <v>-11</v>
      </c>
    </row>
    <row r="44">
      <c r="A44" s="5" t="inlineStr">
        <is>
          <t>Net cash (outflow)/inflow from financing activities</t>
        </is>
      </c>
      <c r="B44" s="5" t="n">
        <v>56.2</v>
      </c>
      <c r="C44" s="5" t="n">
        <v>69.90000000000001</v>
      </c>
      <c r="D44" s="5" t="n">
        <v>-123.5</v>
      </c>
      <c r="E44" s="5" t="n">
        <v>-131.2</v>
      </c>
      <c r="F44" s="5" t="n">
        <v>-88.2</v>
      </c>
    </row>
    <row r="45">
      <c r="A45" s="5" t="inlineStr">
        <is>
          <t>Net (decrease)/increase in cash</t>
        </is>
      </c>
      <c r="B45" s="5" t="n">
        <v>314.1</v>
      </c>
      <c r="C45" s="5" t="n">
        <v>-412.4</v>
      </c>
      <c r="D45" s="5" t="n">
        <v>837.3</v>
      </c>
      <c r="E45" s="5" t="n">
        <v>-63.9</v>
      </c>
      <c r="F45" s="5" t="n">
        <v>-46.2</v>
      </c>
    </row>
    <row r="46">
      <c r="A46" s="7" t="inlineStr">
        <is>
          <t>Cash and cash equivalents at beginning of year</t>
        </is>
      </c>
      <c r="B46" s="7" t="n">
        <v>1728.1</v>
      </c>
      <c r="C46" s="7" t="n">
        <v>2140.5</v>
      </c>
      <c r="D46" s="7" t="n">
        <v>1303.2</v>
      </c>
      <c r="E46" s="7" t="n">
        <v>1367.1</v>
      </c>
      <c r="F46" s="7" t="n">
        <v>1413.3</v>
      </c>
    </row>
    <row r="47">
      <c r="A47" s="5" t="inlineStr">
        <is>
          <t>Cash and cash equivalents at end of year</t>
        </is>
      </c>
      <c r="B47" s="5" t="n">
        <v>2042.2</v>
      </c>
      <c r="C47" s="5" t="n">
        <v>1728.1</v>
      </c>
      <c r="D47" s="5" t="n">
        <v>2140.5</v>
      </c>
      <c r="E47" s="5" t="n">
        <v>1303.2</v>
      </c>
      <c r="F47" s="5" t="n">
        <v>1367.1</v>
      </c>
    </row>
    <row r="49" ht="320" customHeight="1">
      <c r="A49" s="8" t="inlineStr">
        <is>
          <t>Sources - all figures are Close Brothers Limited's own Consolidated Cash Flow Statement (Close Brothers Limited + its subsidiaries, NOT the wider listed Close Brothers Group plc):
FY2025: Group of companies' accounts to 31 Jul 2025 (Companies House, filed 20 Dec 2025), Consolidated Cash Flow Statement p.101 + Note 24 reconciliation p.145 - https://find-and-update.company-information.service.gov.uk/company/00195626/filing-history/MzQ5NDAzMzc1NGFkaXF6a2N4/document?format=pdf&amp;download=0
FY2024: same FY2025 filing's own FY2024 comparative column, p.101 + p.145
FY2023: Group of companies' accounts to 31 Jul 2023 (Companies House, filed 20 Jan 2024), Consolidated Cash Flow Statement p.71 + Note 24 reconciliation p.112 - https://find-and-update.company-information.service.gov.uk/company/00195626/filing-history/MzQwNzQ2MzI3OWFkaXF6a2N4/document?format=pdf&amp;download=0
FY2022: same FY2023 filing's own FY2022 comparative column, p.71 + p.112
FY2021: Group of companies' accounts to 31 Jul 2021 (Companies House, filed ~Dec 2021), Consolidated Cash Flow Statement p.47 (headline total only - operating-activities note not located within budget)
Close Brothers Limited (company 00195626, FRN 124750) is the PRA-regulated bank subsidiary of the LSE-listed Close Brothers Group plc. Cash flow figures are the entity's own Consolidated (Close Brothers Limited + its subsidiaries) Statement of Cash Flows, from its statutory 'Group of companies' accounts' filings at Companies House - NOT the wider Close Brothers Group plc's own consolidated accounts (a separate filing). All 5 Companies House filings used were fully scanned/image-only.
FY2021 is shown as a single headline total only (no line-item breakdown) - the operating-activities reconciliation note for that year's own report could not be located within budget; the other 4 years have full breakdowns. FY2022's figures are FY2023's report's own comparative column (no separate FY2022 filing was sourced); FY2024's figures are similarly FY2025's report's own comparative column.
GENUINE MID-SERIES PRESENTATION BREAK in the Financing activities section: FY2021-FY2023 report 'Equity dividends paid' and 'Interest paid on debt financing' as distinct lines; FY2024-FY2025 drop both (no dividend was paid in either year, consistent with FY2025's substantial loss) and instead introduce 'Issue of ordinary share capital', 'Issuance/costs of AT1 capital securities', and 'AT1 coupon payment' lines (a $200m AT1 issuance occurred in FY2024). Each year kept on its own originally-published presentation - blank cells where a line item doesn't apply to that year, not a gap. Full chain of opening/closing cash balances ties exactly across all 5 years.
MOTOR FINANCE COMMISSION MIS-SELLING IMPACT: FY2025's Operating profit before tax swung to a loss of £(67.6)m (from £178.0m profit in FY2024), driven substantially by three new provision lines in the FY2025 operating-activities reconciliation: 'Provision in relation to motor finance commissions excluding cash paid' (£161.4m), 'Complaints handling and other operational and legal costs...in relation to motor finance commissions' (£5.6m), and 'Provision in relation to early settlements in Motor Finance' (£33.0m) - approximately £200m of provisions tied to the well-publicised FCA motor finance commission review. This is a real, disclosed business event, not a data anomaly.</t>
        </is>
      </c>
    </row>
  </sheetData>
  <mergeCells count="1">
    <mergeCell ref="A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CET1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CET1 Capital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CET1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CET1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Tier 1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Tier 1 Capital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Tier 1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Tier 1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Capital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Capital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Total RWAs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Total RWAs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Leverage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Leverage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LCR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LCR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NSFR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Close Brothers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7" t="inlineStr">
        <is>
          <t>MREL Ratio</t>
        </is>
      </c>
      <c r="B4" s="7" t="inlineStr">
        <is>
          <t>Not publicly disclosed</t>
        </is>
      </c>
      <c r="C4" s="7" t="inlineStr">
        <is>
          <t>Not publicly disclosed</t>
        </is>
      </c>
      <c r="D4" s="7" t="inlineStr">
        <is>
          <t>Not publicly disclosed</t>
        </is>
      </c>
      <c r="E4" s="7" t="inlineStr">
        <is>
          <t>Not publicly disclosed</t>
        </is>
      </c>
      <c r="F4" s="7" t="inlineStr">
        <is>
          <t>Not publicly disclosed</t>
        </is>
      </c>
    </row>
    <row r="5" ht="60" customHeight="1">
      <c r="A5" s="6" t="inlineStr">
        <is>
          <t>Note: 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  <row r="7" ht="150" customHeight="1">
      <c r="A7" s="8" t="inlineStr">
        <is>
          <t>Sources - Close Brothers Limited Pillar 3 basis:
Close Brothers Limited (the PRA-regulated entity, FRN 124750) does not publish its own Pillar 3 disclosures or Basel capital/liquidity ratios - checked its full 'Group of companies' accounts' statutory filings (all 5 years) for a capital management/regulatory capital note and found none. Pillar 3 is published only at the wider listed parent 'Close Brothers Group plc' level (confirmed via closebrothers.com's investor relations Pillar 3 Disclosures page) - a different, non-PRA-regulated entity, so those figures are not used here rather than mixing entity levels.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2026-08-28T03:50:12Z</dcterms:created>
  <dcterms:modified xsi:type="dcterms:W3CDTF">2026-08-28T03:50:12Z</dcterms:modified>
</cp:coreProperties>
</file>