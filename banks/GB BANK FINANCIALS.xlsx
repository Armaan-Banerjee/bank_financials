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205072"/>
        <bgColor rgb="0020507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GB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GB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GB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ser>
          <idx val="3"/>
          <order val="3"/>
          <tx>
            <strRef>
              <f>'Overview'!Y22</f>
            </strRef>
          </tx>
          <spPr>
            <a:ln xmlns:a="http://schemas.openxmlformats.org/drawingml/2006/main">
              <a:prstDash val="solid"/>
            </a:ln>
          </spPr>
          <cat>
            <numRef>
              <f>'Overview'!$Z$18:$AD$18</f>
            </numRef>
          </cat>
          <val>
            <numRef>
              <f>'Overview'!$Z$22:$AD$22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GB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'Overview'!AG26</f>
            </strRef>
          </tx>
          <spPr>
            <a:ln xmlns:a="http://schemas.openxmlformats.org/drawingml/2006/main">
              <a:prstDash val="solid"/>
            </a:ln>
          </spPr>
          <cat>
            <numRef>
              <f>'Overview'!$AH$25:$AL$25</f>
            </numRef>
          </cat>
          <val>
            <numRef>
              <f>'Overview'!$AH$26:$AL$26</f>
            </numRef>
          </val>
        </ser>
        <ser>
          <idx val="1"/>
          <order val="1"/>
          <tx>
            <strRef>
              <f>'Overview'!AG27</f>
            </strRef>
          </tx>
          <spPr>
            <a:ln xmlns:a="http://schemas.openxmlformats.org/drawingml/2006/main">
              <a:prstDash val="solid"/>
            </a:ln>
          </spPr>
          <cat>
            <numRef>
              <f>'Overview'!$AH$25:$AL$25</f>
            </numRef>
          </cat>
          <val>
            <numRef>
              <f>'Overview'!$AH$27:$AL$27</f>
            </numRef>
          </val>
        </ser>
        <ser>
          <idx val="2"/>
          <order val="2"/>
          <tx>
            <strRef>
              <f>'Overview'!AG28</f>
            </strRef>
          </tx>
          <spPr>
            <a:ln xmlns:a="http://schemas.openxmlformats.org/drawingml/2006/main">
              <a:prstDash val="solid"/>
            </a:ln>
          </spPr>
          <cat>
            <numRef>
              <f>'Overview'!$AH$25:$AL$25</f>
            </numRef>
          </cat>
          <val>
            <numRef>
              <f>'Overview'!$AH$28:$AL$28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GB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'Overview'!$AP$6:$AT$6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'Overview'!$AP$7:$AT$7</f>
            </numRef>
          </val>
          <smooth val="0"/>
        </ser>
        <ser>
          <idx val="2"/>
          <order val="2"/>
          <tx>
            <strRef>
              <f>'Overview'!AO8</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'Overview'!$AP$8:$AT$8</f>
            </numRef>
          </val>
          <smooth val="0"/>
        </ser>
        <ser>
          <idx val="3"/>
          <order val="3"/>
          <tx>
            <strRef>
              <f>'Overview'!AO9</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'Overview'!$AP$9:$AT$9</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39</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61</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83</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105</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127</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T37"/>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s>
  <sheetData>
    <row r="1">
      <c r="A1" s="1" t="inlineStr">
        <is>
          <t>GB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P5" t="inlineStr">
        <is>
          <t>FY2021</t>
        </is>
      </c>
      <c r="AQ5" t="inlineStr">
        <is>
          <t>FY2022</t>
        </is>
      </c>
      <c r="AR5" t="inlineStr">
        <is>
          <t>FY2023</t>
        </is>
      </c>
      <c r="AS5" t="inlineStr">
        <is>
          <t>FY2024</t>
        </is>
      </c>
      <c r="AT5" t="inlineStr">
        <is>
          <t>FY2025</t>
        </is>
      </c>
    </row>
    <row r="6">
      <c r="A6" s="5" t="inlineStr">
        <is>
          <t>Total assets</t>
        </is>
      </c>
      <c r="B6" s="5" t="n">
        <v>2589500</v>
      </c>
      <c r="C6" s="5" t="n">
        <v>1157740</v>
      </c>
      <c r="D6" s="5" t="n">
        <v>335490</v>
      </c>
      <c r="E6" s="5" t="n">
        <v>34969</v>
      </c>
      <c r="F6" s="5" t="n">
        <v>17606</v>
      </c>
      <c r="I6" t="inlineStr">
        <is>
          <t>Total assets</t>
        </is>
      </c>
      <c r="J6" t="n">
        <v>17606</v>
      </c>
      <c r="K6" t="n">
        <v>34969</v>
      </c>
      <c r="L6" t="n">
        <v>335490</v>
      </c>
      <c r="M6" t="n">
        <v>1157740</v>
      </c>
      <c r="N6" t="n">
        <v>2589500</v>
      </c>
      <c r="AO6" t="inlineStr">
        <is>
          <t>CET1 Ratio</t>
        </is>
      </c>
      <c r="AP6" t="n">
        <v>403.37</v>
      </c>
      <c r="AQ6" t="n">
        <v>234.21</v>
      </c>
      <c r="AR6" t="n">
        <v>56.46</v>
      </c>
      <c r="AS6" t="n">
        <v>45.71</v>
      </c>
      <c r="AT6" t="n">
        <v>19.14</v>
      </c>
    </row>
    <row r="7">
      <c r="A7" s="5" t="inlineStr">
        <is>
          <t>Loans and advances to customers</t>
        </is>
      </c>
      <c r="B7" s="5" t="n">
        <v>464042</v>
      </c>
      <c r="C7" s="5" t="n">
        <v>86293</v>
      </c>
      <c r="D7" s="5" t="n">
        <v>25388</v>
      </c>
      <c r="E7" s="5" t="n"/>
      <c r="F7" s="5" t="n"/>
      <c r="I7" t="inlineStr">
        <is>
          <t>Loans and advances to customers</t>
        </is>
      </c>
      <c r="L7" t="n">
        <v>25388</v>
      </c>
      <c r="M7" t="n">
        <v>86293</v>
      </c>
      <c r="N7" t="n">
        <v>464042</v>
      </c>
      <c r="AO7" t="inlineStr">
        <is>
          <t>Leverage Ratio</t>
        </is>
      </c>
      <c r="AP7" t="n">
        <v>94.20999999999999</v>
      </c>
      <c r="AQ7" t="n">
        <v>94.25</v>
      </c>
      <c r="AR7" t="n">
        <v>39.6</v>
      </c>
      <c r="AS7" t="n">
        <v>9.26</v>
      </c>
      <c r="AT7" t="n">
        <v>4.97</v>
      </c>
    </row>
    <row r="8">
      <c r="A8" s="5" t="inlineStr">
        <is>
          <t>Customer accounts</t>
        </is>
      </c>
      <c r="B8" s="5" t="n">
        <v>2326424</v>
      </c>
      <c r="C8" s="5" t="n">
        <v>1084365</v>
      </c>
      <c r="D8" s="5" t="n">
        <v>314374</v>
      </c>
      <c r="E8" s="5" t="n">
        <v>11473</v>
      </c>
      <c r="F8" s="5" t="n"/>
      <c r="I8" t="inlineStr">
        <is>
          <t>Customer accounts</t>
        </is>
      </c>
      <c r="K8" t="n">
        <v>11473</v>
      </c>
      <c r="L8" t="n">
        <v>314374</v>
      </c>
      <c r="M8" t="n">
        <v>1084365</v>
      </c>
      <c r="N8" t="n">
        <v>2326424</v>
      </c>
      <c r="AO8" t="inlineStr">
        <is>
          <t>LCR</t>
        </is>
      </c>
      <c r="AP8" t="n">
        <v>9999.99</v>
      </c>
      <c r="AQ8" t="n">
        <v>20091</v>
      </c>
      <c r="AR8" t="n">
        <v>416</v>
      </c>
      <c r="AS8" t="n">
        <v>306</v>
      </c>
      <c r="AT8" t="n">
        <v>210</v>
      </c>
    </row>
    <row r="9">
      <c r="A9" s="5" t="inlineStr">
        <is>
          <t>Total equity</t>
        </is>
      </c>
      <c r="B9" s="5" t="n">
        <v>110003</v>
      </c>
      <c r="C9" s="5" t="n">
        <v>69289</v>
      </c>
      <c r="D9" s="5" t="n">
        <v>19331</v>
      </c>
      <c r="E9" s="5" t="n">
        <v>22147</v>
      </c>
      <c r="F9" s="5" t="n">
        <v>16586</v>
      </c>
      <c r="I9" t="inlineStr">
        <is>
          <t>Total equity</t>
        </is>
      </c>
      <c r="J9" t="n">
        <v>16586</v>
      </c>
      <c r="K9" t="n">
        <v>22147</v>
      </c>
      <c r="L9" t="n">
        <v>19331</v>
      </c>
      <c r="M9" t="n">
        <v>69289</v>
      </c>
      <c r="N9" t="n">
        <v>110003</v>
      </c>
      <c r="AO9" t="inlineStr">
        <is>
          <t>NSFR</t>
        </is>
      </c>
      <c r="AP9" t="n">
        <v>978.24</v>
      </c>
      <c r="AQ9" t="n">
        <v>2061.89</v>
      </c>
      <c r="AR9" t="n">
        <v>3375</v>
      </c>
      <c r="AS9" t="n">
        <v>538</v>
      </c>
      <c r="AT9" t="n">
        <v>191</v>
      </c>
    </row>
    <row r="11">
      <c r="A11" s="3" t="inlineStr">
        <is>
          <t>Profit &amp; Loss Summary (£'000)</t>
        </is>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Net operating income</t>
        </is>
      </c>
      <c r="B13" s="5" t="n">
        <v>16841</v>
      </c>
      <c r="C13" s="5" t="n">
        <v>4795</v>
      </c>
      <c r="D13" s="5" t="n">
        <v>3156</v>
      </c>
      <c r="E13" s="5" t="n">
        <v>227</v>
      </c>
      <c r="F13" s="5" t="n">
        <v>81</v>
      </c>
      <c r="Q13" t="inlineStr">
        <is>
          <t>Net operating income</t>
        </is>
      </c>
      <c r="R13" t="n">
        <v>81</v>
      </c>
      <c r="S13" t="n">
        <v>227</v>
      </c>
      <c r="T13" t="n">
        <v>3156</v>
      </c>
      <c r="U13" t="n">
        <v>4795</v>
      </c>
      <c r="V13" t="n">
        <v>16841</v>
      </c>
    </row>
    <row r="14">
      <c r="A14" s="5" t="inlineStr">
        <is>
          <t>Administrative expenses</t>
        </is>
      </c>
      <c r="B14" s="5" t="n">
        <v>-16355</v>
      </c>
      <c r="C14" s="5" t="n">
        <v>-9501</v>
      </c>
      <c r="D14" s="5" t="n">
        <v>-10465</v>
      </c>
      <c r="E14" s="5" t="n">
        <v>-9588</v>
      </c>
      <c r="F14" s="5" t="n">
        <v>-8615</v>
      </c>
      <c r="Q14" t="inlineStr">
        <is>
          <t>Administrative expenses</t>
        </is>
      </c>
      <c r="R14" t="n">
        <v>-8615</v>
      </c>
      <c r="S14" t="n">
        <v>-9588</v>
      </c>
      <c r="T14" t="n">
        <v>-10465</v>
      </c>
      <c r="U14" t="n">
        <v>-9501</v>
      </c>
      <c r="V14" t="n">
        <v>-16355</v>
      </c>
    </row>
    <row r="15">
      <c r="A15" s="5" t="inlineStr">
        <is>
          <t>Profit/(loss) for the year/period</t>
        </is>
      </c>
      <c r="B15" s="5" t="n">
        <v>5424</v>
      </c>
      <c r="C15" s="5" t="n">
        <v>-5770</v>
      </c>
      <c r="D15" s="5" t="n">
        <v>-7040</v>
      </c>
      <c r="E15" s="5" t="n">
        <v>-8531</v>
      </c>
      <c r="F15" s="5" t="n">
        <v>-8186</v>
      </c>
      <c r="Q15" t="inlineStr">
        <is>
          <t>Profit/(loss) for the year/period</t>
        </is>
      </c>
      <c r="R15" t="n">
        <v>-8186</v>
      </c>
      <c r="S15" t="n">
        <v>-8531</v>
      </c>
      <c r="T15" t="n">
        <v>-7040</v>
      </c>
      <c r="U15" t="n">
        <v>-5770</v>
      </c>
      <c r="V15" t="n">
        <v>5424</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69289</v>
      </c>
      <c r="C19" s="5" t="n">
        <v>19331</v>
      </c>
      <c r="D19" s="5" t="n">
        <v>22147</v>
      </c>
      <c r="E19" s="5" t="n">
        <v>16586</v>
      </c>
      <c r="F19" s="5" t="n">
        <v>18302</v>
      </c>
      <c r="Y19" t="inlineStr">
        <is>
          <t>Opening equity</t>
        </is>
      </c>
      <c r="Z19" t="n">
        <v>18302</v>
      </c>
      <c r="AA19" t="n">
        <v>16586</v>
      </c>
      <c r="AB19" t="n">
        <v>22147</v>
      </c>
      <c r="AC19" t="n">
        <v>19331</v>
      </c>
      <c r="AD19" t="n">
        <v>69289</v>
      </c>
    </row>
    <row r="20">
      <c r="A20" s="5" t="inlineStr">
        <is>
          <t>Profit/(loss) for the year/period</t>
        </is>
      </c>
      <c r="B20" s="5" t="n">
        <v>5424</v>
      </c>
      <c r="C20" s="5" t="n">
        <v>-5770</v>
      </c>
      <c r="D20" s="5" t="n">
        <v>-7040</v>
      </c>
      <c r="E20" s="5" t="n">
        <v>-8531</v>
      </c>
      <c r="F20" s="5" t="n">
        <v>-8186</v>
      </c>
      <c r="Y20" t="inlineStr">
        <is>
          <t>Profit/(loss) for the year/period</t>
        </is>
      </c>
      <c r="Z20" t="n">
        <v>-8186</v>
      </c>
      <c r="AA20" t="n">
        <v>-8531</v>
      </c>
      <c r="AB20" t="n">
        <v>-7040</v>
      </c>
      <c r="AC20" t="n">
        <v>-5770</v>
      </c>
      <c r="AD20" t="n">
        <v>5424</v>
      </c>
    </row>
    <row r="21">
      <c r="A21" s="5" t="inlineStr">
        <is>
          <t>Other movements, net</t>
        </is>
      </c>
      <c r="B21" s="5" t="n">
        <v>35290</v>
      </c>
      <c r="C21" s="5" t="n">
        <v>55728</v>
      </c>
      <c r="D21" s="5" t="n">
        <v>4224</v>
      </c>
      <c r="E21" s="5" t="n">
        <v>14092</v>
      </c>
      <c r="F21" s="5" t="n">
        <v>6470</v>
      </c>
      <c r="Y21" t="inlineStr">
        <is>
          <t>Other movements, net</t>
        </is>
      </c>
      <c r="Z21" t="n">
        <v>6470</v>
      </c>
      <c r="AA21" t="n">
        <v>14092</v>
      </c>
      <c r="AB21" t="n">
        <v>4224</v>
      </c>
      <c r="AC21" t="n">
        <v>55728</v>
      </c>
      <c r="AD21" t="n">
        <v>35290</v>
      </c>
    </row>
    <row r="22">
      <c r="A22" s="5" t="inlineStr">
        <is>
          <t>Closing equity</t>
        </is>
      </c>
      <c r="B22" s="5" t="n">
        <v>110003</v>
      </c>
      <c r="C22" s="5" t="n">
        <v>69289</v>
      </c>
      <c r="D22" s="5" t="n">
        <v>19331</v>
      </c>
      <c r="E22" s="5" t="n">
        <v>22147</v>
      </c>
      <c r="F22" s="5" t="n">
        <v>16586</v>
      </c>
      <c r="Y22" t="inlineStr">
        <is>
          <t>Closing equity</t>
        </is>
      </c>
      <c r="Z22" t="n">
        <v>16586</v>
      </c>
      <c r="AA22" t="n">
        <v>22147</v>
      </c>
      <c r="AB22" t="n">
        <v>19331</v>
      </c>
      <c r="AC22" t="n">
        <v>69289</v>
      </c>
      <c r="AD22" t="n">
        <v>110003</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AH25" t="inlineStr">
        <is>
          <t>FY2021</t>
        </is>
      </c>
      <c r="AI25" t="inlineStr">
        <is>
          <t>FY2022</t>
        </is>
      </c>
      <c r="AJ25" t="inlineStr">
        <is>
          <t>FY2023</t>
        </is>
      </c>
      <c r="AK25" t="inlineStr">
        <is>
          <t>FY2024</t>
        </is>
      </c>
      <c r="AL25" t="inlineStr">
        <is>
          <t>FY2025</t>
        </is>
      </c>
    </row>
    <row r="26">
      <c r="A26" s="5" t="inlineStr">
        <is>
          <t>Net cash generated from operating activities</t>
        </is>
      </c>
      <c r="B26" s="5" t="n">
        <v>976894</v>
      </c>
      <c r="C26" s="5" t="n">
        <v>698982</v>
      </c>
      <c r="D26" s="5" t="n">
        <v>270483</v>
      </c>
      <c r="E26" s="5" t="n">
        <v>5154</v>
      </c>
      <c r="F26" s="5" t="n">
        <v>-8629</v>
      </c>
      <c r="AG26" t="inlineStr">
        <is>
          <t>Net cash generated from operating activities</t>
        </is>
      </c>
      <c r="AH26" t="n">
        <v>-8629</v>
      </c>
      <c r="AI26" t="n">
        <v>5154</v>
      </c>
      <c r="AJ26" t="n">
        <v>270483</v>
      </c>
      <c r="AK26" t="n">
        <v>698982</v>
      </c>
      <c r="AL26" t="n">
        <v>976894</v>
      </c>
    </row>
    <row r="27">
      <c r="A27" s="5" t="inlineStr">
        <is>
          <t>Net cash (used in)/generated from investing activities</t>
        </is>
      </c>
      <c r="B27" s="5" t="n">
        <v>-954135</v>
      </c>
      <c r="C27" s="5" t="n">
        <v>-622021</v>
      </c>
      <c r="D27" s="5" t="n">
        <v>-9168</v>
      </c>
      <c r="E27" s="5" t="n">
        <v>-1339</v>
      </c>
      <c r="F27" s="5" t="n">
        <v>-9581</v>
      </c>
      <c r="AG27" t="inlineStr">
        <is>
          <t>Net cash (used in)/generated from investing activities</t>
        </is>
      </c>
      <c r="AH27" t="n">
        <v>-9581</v>
      </c>
      <c r="AI27" t="n">
        <v>-1339</v>
      </c>
      <c r="AJ27" t="n">
        <v>-9168</v>
      </c>
      <c r="AK27" t="n">
        <v>-622021</v>
      </c>
      <c r="AL27" t="n">
        <v>-954135</v>
      </c>
    </row>
    <row r="28">
      <c r="A28" s="5" t="inlineStr">
        <is>
          <t>Net increase/(decrease) in cash and cash equivalents</t>
        </is>
      </c>
      <c r="B28" s="5" t="n">
        <v>58559</v>
      </c>
      <c r="C28" s="5" t="n">
        <v>132621</v>
      </c>
      <c r="D28" s="5" t="n">
        <v>265272</v>
      </c>
      <c r="E28" s="5" t="n">
        <v>17381</v>
      </c>
      <c r="F28" s="5" t="n">
        <v>-11672</v>
      </c>
      <c r="AG28" t="inlineStr">
        <is>
          <t>Net increase/(decrease) in cash and cash equivalents</t>
        </is>
      </c>
      <c r="AH28" t="n">
        <v>-11672</v>
      </c>
      <c r="AI28" t="n">
        <v>17381</v>
      </c>
      <c r="AJ28" t="n">
        <v>265272</v>
      </c>
      <c r="AK28" t="n">
        <v>132621</v>
      </c>
      <c r="AL28" t="n">
        <v>58559</v>
      </c>
    </row>
    <row r="30">
      <c r="A30" s="3" t="inlineStr">
        <is>
          <t>Pillar 3 Key Metrics</t>
        </is>
      </c>
    </row>
    <row r="31">
      <c r="A31" s="4" t="inlineStr">
        <is>
          <t>Line item</t>
        </is>
      </c>
      <c r="B31" s="4" t="inlineStr">
        <is>
          <t>FY2025</t>
        </is>
      </c>
      <c r="C31" s="4" t="inlineStr">
        <is>
          <t>FY2024</t>
        </is>
      </c>
      <c r="D31" s="4" t="inlineStr">
        <is>
          <t>FY2023</t>
        </is>
      </c>
      <c r="E31" s="4" t="inlineStr">
        <is>
          <t>FY2022</t>
        </is>
      </c>
      <c r="F31" s="4" t="inlineStr">
        <is>
          <t>FY2021</t>
        </is>
      </c>
    </row>
    <row r="32">
      <c r="A32" s="6" t="inlineStr">
        <is>
          <t>CET1 Ratio</t>
        </is>
      </c>
      <c r="B32" s="6" t="inlineStr">
        <is>
          <t>19.14%</t>
        </is>
      </c>
      <c r="C32" s="6" t="inlineStr">
        <is>
          <t>45.71%</t>
        </is>
      </c>
      <c r="D32" s="6" t="inlineStr">
        <is>
          <t>56.46%</t>
        </is>
      </c>
      <c r="E32" s="6" t="inlineStr">
        <is>
          <t>234.21%</t>
        </is>
      </c>
      <c r="F32" s="6" t="inlineStr">
        <is>
          <t>403.37%</t>
        </is>
      </c>
    </row>
    <row r="33">
      <c r="A33" s="6" t="inlineStr">
        <is>
          <t>Leverage Ratio</t>
        </is>
      </c>
      <c r="B33" s="6" t="inlineStr">
        <is>
          <t>4.97%</t>
        </is>
      </c>
      <c r="C33" s="6" t="inlineStr">
        <is>
          <t>9.26%</t>
        </is>
      </c>
      <c r="D33" s="6" t="inlineStr">
        <is>
          <t>39.60%</t>
        </is>
      </c>
      <c r="E33" s="6" t="inlineStr">
        <is>
          <t>94.25%</t>
        </is>
      </c>
      <c r="F33" s="6" t="inlineStr">
        <is>
          <t>94.21%</t>
        </is>
      </c>
    </row>
    <row r="34">
      <c r="A34" s="6" t="inlineStr">
        <is>
          <t>LCR</t>
        </is>
      </c>
      <c r="B34" s="6" t="inlineStr">
        <is>
          <t>210%</t>
        </is>
      </c>
      <c r="C34" s="6" t="inlineStr">
        <is>
          <t>306%</t>
        </is>
      </c>
      <c r="D34" s="6" t="inlineStr">
        <is>
          <t>416%</t>
        </is>
      </c>
      <c r="E34" s="6" t="inlineStr">
        <is>
          <t>20,091%</t>
        </is>
      </c>
      <c r="F34" s="6" t="inlineStr">
        <is>
          <t>9,999.99%</t>
        </is>
      </c>
    </row>
    <row r="35">
      <c r="A35" s="6" t="inlineStr">
        <is>
          <t>NSFR</t>
        </is>
      </c>
      <c r="B35" s="6" t="inlineStr">
        <is>
          <t>191%</t>
        </is>
      </c>
      <c r="C35" s="6" t="inlineStr">
        <is>
          <t>538%</t>
        </is>
      </c>
      <c r="D35" s="6" t="inlineStr">
        <is>
          <t>3,375%</t>
        </is>
      </c>
      <c r="E35" s="6" t="inlineStr">
        <is>
          <t>2,061.89%</t>
        </is>
      </c>
      <c r="F35" s="6" t="inlineStr">
        <is>
          <t>978.24%</t>
        </is>
      </c>
    </row>
    <row r="37" ht="78" customHeight="1">
      <c r="A37" s="7" t="inlineStr">
        <is>
          <t>Note: Cash Flow Statement backfilled 2026-09-03 (follow-up pass) from the same 5 Companies House filings used for the other statement sheets - see that sheet's own source note for the presentation changes across years and two genuine flagged discrepancies (a £2k FY2024/FY2025 opening-vs-closing cash mismatch, and a relabelled £29,291k FY2024 line). Balance Sheet, Profit &amp; Loss and Statement of Changes in Equity headline blocks are sourced from GB Bank Limited's own audited accounts (Company-only basis FY2021-FY2024, Group-consolidated FY2025 - see the Balance Sheet sheet's entity-basis note). Regulatory metrics are from GB Bank Limited's official annual solo-basis Pillar 3 disclosures. FY2024 covers nine months to 30 September 2024; FY2025 covers the year to 30 September 2025. See each detail sheet for source pages and the documented 2023 RWA inconsistency.</t>
        </is>
      </c>
    </row>
  </sheetData>
  <mergeCells count="1">
    <mergeCell ref="A37:F3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GB Bank Limited — Balance Sheet</t>
        </is>
      </c>
    </row>
    <row r="2">
      <c r="A2" s="2" t="inlineStr">
        <is>
          <t>Company-only basis FY2021-FY2024; Group-consolidated basis FY2025 (genuine entity-basis change - see source note). £'000.</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Assets</t>
        </is>
      </c>
      <c r="B4" s="6" t="n"/>
      <c r="C4" s="6" t="n"/>
      <c r="D4" s="6" t="n"/>
      <c r="E4" s="6" t="n"/>
      <c r="F4" s="6" t="n"/>
    </row>
    <row r="5">
      <c r="A5" s="6" t="inlineStr">
        <is>
          <t>Cash and cash equivalents / balances at central banks</t>
        </is>
      </c>
      <c r="B5" s="6" t="n">
        <v>475776</v>
      </c>
      <c r="C5" s="6" t="n">
        <v>419999</v>
      </c>
      <c r="D5" s="6" t="n">
        <v>287322</v>
      </c>
      <c r="E5" s="6" t="n">
        <v>22030</v>
      </c>
      <c r="F5" s="6" t="n">
        <v>4940</v>
      </c>
    </row>
    <row r="6">
      <c r="A6" s="6" t="inlineStr">
        <is>
          <t>Loans and advances to banks / credit institutions</t>
        </is>
      </c>
      <c r="B6" s="6" t="n">
        <v>29695</v>
      </c>
      <c r="C6" s="6" t="n">
        <v>3642</v>
      </c>
      <c r="D6" s="6" t="n">
        <v>390</v>
      </c>
      <c r="E6" s="6" t="n">
        <v>446</v>
      </c>
      <c r="F6" s="6" t="n">
        <v>2644</v>
      </c>
    </row>
    <row r="7">
      <c r="A7" s="6" t="inlineStr">
        <is>
          <t>Loans and advances to customers</t>
        </is>
      </c>
      <c r="B7" s="6" t="n">
        <v>464042</v>
      </c>
      <c r="C7" s="6" t="n">
        <v>86293</v>
      </c>
      <c r="D7" s="6" t="n">
        <v>25388</v>
      </c>
      <c r="E7" s="6" t="n"/>
      <c r="F7" s="6" t="n"/>
    </row>
    <row r="8">
      <c r="A8" s="6" t="inlineStr">
        <is>
          <t>Total debt securities</t>
        </is>
      </c>
      <c r="B8" s="6" t="n">
        <v>1595626</v>
      </c>
      <c r="C8" s="6" t="n">
        <v>645254</v>
      </c>
      <c r="D8" s="6" t="n">
        <v>19731</v>
      </c>
      <c r="E8" s="6" t="n">
        <v>10477</v>
      </c>
      <c r="F8" s="6" t="n">
        <v>9498</v>
      </c>
    </row>
    <row r="9">
      <c r="A9" s="6" t="inlineStr">
        <is>
          <t>Debt securities - Issued by public bodies (amortised cost)</t>
        </is>
      </c>
      <c r="B9" s="6" t="n">
        <v>129870</v>
      </c>
      <c r="C9" s="6" t="n">
        <v>80362</v>
      </c>
      <c r="D9" s="6" t="n">
        <v>19731</v>
      </c>
      <c r="E9" s="6" t="n">
        <v>10477</v>
      </c>
      <c r="F9" s="6" t="n">
        <v>9498</v>
      </c>
    </row>
    <row r="10">
      <c r="A10" s="6" t="inlineStr">
        <is>
          <t>Debt securities - Covered bonds (amortised cost)</t>
        </is>
      </c>
      <c r="B10" s="6" t="n">
        <v>378252</v>
      </c>
      <c r="C10" s="6" t="n">
        <v>256810</v>
      </c>
      <c r="D10" s="6" t="n"/>
      <c r="E10" s="6" t="n"/>
      <c r="F10" s="6" t="n"/>
    </row>
    <row r="11">
      <c r="A11" s="6" t="inlineStr">
        <is>
          <t>Debt securities - RMBS bonds (amortised cost)</t>
        </is>
      </c>
      <c r="B11" s="6" t="n">
        <v>837188</v>
      </c>
      <c r="C11" s="6" t="n">
        <v>287096</v>
      </c>
      <c r="D11" s="6" t="n"/>
      <c r="E11" s="6" t="n"/>
      <c r="F11" s="6" t="n"/>
    </row>
    <row r="12">
      <c r="A12" s="6" t="inlineStr">
        <is>
          <t>Debt securities - Other bonds (amortised cost)</t>
        </is>
      </c>
      <c r="B12" s="6" t="n">
        <v>44218</v>
      </c>
      <c r="C12" s="6" t="n">
        <v>20986</v>
      </c>
      <c r="D12" s="6" t="n"/>
      <c r="E12" s="6" t="n"/>
      <c r="F12" s="6" t="n"/>
    </row>
    <row r="13">
      <c r="A13" s="6" t="inlineStr">
        <is>
          <t>Debt securities - Hedged item (amortised cost)</t>
        </is>
      </c>
      <c r="B13" s="6" t="n">
        <v>191</v>
      </c>
      <c r="C13" s="6" t="n"/>
      <c r="D13" s="6" t="n"/>
      <c r="E13" s="6" t="n"/>
      <c r="F13" s="6" t="n"/>
    </row>
    <row r="14">
      <c r="A14" s="6" t="inlineStr">
        <is>
          <t>Debt securities - Other bonds (fair value through profit or loss)</t>
        </is>
      </c>
      <c r="B14" s="6" t="n">
        <v>205907</v>
      </c>
      <c r="C14" s="6" t="n"/>
      <c r="D14" s="6" t="n"/>
      <c r="E14" s="6" t="n"/>
      <c r="F14" s="6" t="n"/>
    </row>
    <row r="15">
      <c r="A15" s="6" t="inlineStr">
        <is>
          <t>Investments</t>
        </is>
      </c>
      <c r="B15" s="6" t="n">
        <v>3714</v>
      </c>
      <c r="C15" s="6" t="n"/>
      <c r="D15" s="6" t="n"/>
      <c r="E15" s="6" t="n"/>
      <c r="F15" s="6" t="n"/>
    </row>
    <row r="16">
      <c r="A16" s="6" t="inlineStr">
        <is>
          <t>Derivative financial instruments</t>
        </is>
      </c>
      <c r="B16" s="6" t="n">
        <v>5953</v>
      </c>
      <c r="C16" s="6" t="n">
        <v>1001</v>
      </c>
      <c r="D16" s="6" t="n"/>
      <c r="E16" s="6" t="n"/>
      <c r="F16" s="6" t="n"/>
    </row>
    <row r="17">
      <c r="A17" s="6" t="inlineStr">
        <is>
          <t>Goodwill</t>
        </is>
      </c>
      <c r="B17" s="6" t="n">
        <v>5497</v>
      </c>
      <c r="C17" s="6" t="n"/>
      <c r="D17" s="6" t="n"/>
      <c r="E17" s="6" t="n"/>
      <c r="F17" s="6" t="n"/>
    </row>
    <row r="18">
      <c r="A18" s="6" t="inlineStr">
        <is>
          <t>Tangible fixed assets</t>
        </is>
      </c>
      <c r="B18" s="6" t="n">
        <v>403</v>
      </c>
      <c r="C18" s="6" t="n">
        <v>128</v>
      </c>
      <c r="D18" s="6" t="n">
        <v>344</v>
      </c>
      <c r="E18" s="6" t="n">
        <v>415</v>
      </c>
      <c r="F18" s="6" t="n">
        <v>85</v>
      </c>
    </row>
    <row r="19">
      <c r="A19" s="6" t="inlineStr">
        <is>
          <t>Intangible assets</t>
        </is>
      </c>
      <c r="B19" s="6" t="n">
        <v>821</v>
      </c>
      <c r="C19" s="6" t="n">
        <v>19</v>
      </c>
      <c r="D19" s="6" t="n">
        <v>32</v>
      </c>
      <c r="E19" s="6" t="n">
        <v>51</v>
      </c>
      <c r="F19" s="6" t="n"/>
    </row>
    <row r="20">
      <c r="A20" s="6" t="inlineStr">
        <is>
          <t>Other assets</t>
        </is>
      </c>
      <c r="B20" s="6" t="n">
        <v>2569</v>
      </c>
      <c r="C20" s="6" t="n">
        <v>1072</v>
      </c>
      <c r="D20" s="6" t="n">
        <v>1469</v>
      </c>
      <c r="E20" s="6" t="n">
        <v>850</v>
      </c>
      <c r="F20" s="6" t="n">
        <v>439</v>
      </c>
    </row>
    <row r="21">
      <c r="A21" s="6" t="inlineStr">
        <is>
          <t>Prepayments and accrued income</t>
        </is>
      </c>
      <c r="B21" s="6" t="n"/>
      <c r="C21" s="6" t="n">
        <v>332</v>
      </c>
      <c r="D21" s="6" t="n">
        <v>814</v>
      </c>
      <c r="E21" s="6" t="n">
        <v>700</v>
      </c>
      <c r="F21" s="6" t="n"/>
    </row>
    <row r="22">
      <c r="A22" s="6" t="inlineStr">
        <is>
          <t>Taxation receivable</t>
        </is>
      </c>
      <c r="B22" s="6" t="n">
        <v>5404</v>
      </c>
      <c r="C22" s="6" t="n"/>
      <c r="D22" s="6" t="n"/>
      <c r="E22" s="6" t="n"/>
      <c r="F22" s="6" t="n"/>
    </row>
    <row r="23">
      <c r="A23" s="5" t="inlineStr">
        <is>
          <t>Total assets</t>
        </is>
      </c>
      <c r="B23" s="5" t="n">
        <v>2589500</v>
      </c>
      <c r="C23" s="5" t="n">
        <v>1157740</v>
      </c>
      <c r="D23" s="5" t="n">
        <v>335490</v>
      </c>
      <c r="E23" s="5" t="n">
        <v>34969</v>
      </c>
      <c r="F23" s="5" t="n">
        <v>17606</v>
      </c>
    </row>
    <row r="24">
      <c r="A24" s="5" t="inlineStr">
        <is>
          <t>Liabilities</t>
        </is>
      </c>
      <c r="B24" s="6" t="n"/>
      <c r="C24" s="6" t="n"/>
      <c r="D24" s="6" t="n"/>
      <c r="E24" s="6" t="n"/>
      <c r="F24" s="6" t="n"/>
    </row>
    <row r="25">
      <c r="A25" s="6" t="inlineStr">
        <is>
          <t>Customer accounts / deposit liabilities</t>
        </is>
      </c>
      <c r="B25" s="6" t="n">
        <v>2326424</v>
      </c>
      <c r="C25" s="6" t="n">
        <v>1084365</v>
      </c>
      <c r="D25" s="6" t="n">
        <v>314374</v>
      </c>
      <c r="E25" s="6" t="n">
        <v>11473</v>
      </c>
      <c r="F25" s="6" t="n"/>
    </row>
    <row r="26">
      <c r="A26" s="6" t="inlineStr">
        <is>
          <t>Amounts due to credit institutions</t>
        </is>
      </c>
      <c r="B26" s="6" t="n">
        <v>141942</v>
      </c>
      <c r="C26" s="6" t="n"/>
      <c r="D26" s="6" t="n"/>
      <c r="E26" s="6" t="n"/>
      <c r="F26" s="6" t="n"/>
    </row>
    <row r="27">
      <c r="A27" s="6" t="inlineStr">
        <is>
          <t>Derivative financial instruments</t>
        </is>
      </c>
      <c r="B27" s="6" t="n">
        <v>8316</v>
      </c>
      <c r="C27" s="6" t="n">
        <v>231</v>
      </c>
      <c r="D27" s="6" t="n"/>
      <c r="E27" s="6" t="n"/>
      <c r="F27" s="6" t="n"/>
    </row>
    <row r="28">
      <c r="A28" s="6" t="inlineStr">
        <is>
          <t>Other liabilities</t>
        </is>
      </c>
      <c r="B28" s="6" t="n">
        <v>599</v>
      </c>
      <c r="C28" s="6" t="n">
        <v>480</v>
      </c>
      <c r="D28" s="6" t="n">
        <v>685</v>
      </c>
      <c r="E28" s="6" t="n">
        <v>251</v>
      </c>
      <c r="F28" s="6" t="n">
        <v>1020</v>
      </c>
    </row>
    <row r="29">
      <c r="A29" s="6" t="inlineStr">
        <is>
          <t>Accruals and deferred income</t>
        </is>
      </c>
      <c r="B29" s="6" t="n">
        <v>2216</v>
      </c>
      <c r="C29" s="6" t="n">
        <v>3300</v>
      </c>
      <c r="D29" s="6" t="n">
        <v>1100</v>
      </c>
      <c r="E29" s="6" t="n">
        <v>1098</v>
      </c>
      <c r="F29" s="6" t="n"/>
    </row>
    <row r="30">
      <c r="A30" s="6" t="inlineStr">
        <is>
          <t>Provisions for liabilities</t>
        </is>
      </c>
      <c r="B30" s="6" t="n"/>
      <c r="C30" s="6" t="n">
        <v>75</v>
      </c>
      <c r="D30" s="6" t="n"/>
      <c r="E30" s="6" t="n"/>
      <c r="F30" s="6" t="n"/>
    </row>
    <row r="31">
      <c r="A31" s="5" t="inlineStr">
        <is>
          <t>Total liabilities</t>
        </is>
      </c>
      <c r="B31" s="5" t="n">
        <v>2479497</v>
      </c>
      <c r="C31" s="5" t="n">
        <v>1088451</v>
      </c>
      <c r="D31" s="5" t="n">
        <v>316159</v>
      </c>
      <c r="E31" s="5" t="n">
        <v>12822</v>
      </c>
      <c r="F31" s="5" t="n">
        <v>1020</v>
      </c>
    </row>
    <row r="32">
      <c r="A32" s="5" t="inlineStr">
        <is>
          <t>Capital and reserves</t>
        </is>
      </c>
      <c r="B32" s="6" t="n"/>
      <c r="C32" s="6" t="n"/>
      <c r="D32" s="6" t="n"/>
      <c r="E32" s="6" t="n"/>
      <c r="F32" s="6" t="n"/>
    </row>
    <row r="33">
      <c r="A33" s="6" t="inlineStr">
        <is>
          <t>Share capital</t>
        </is>
      </c>
      <c r="B33" s="6" t="n">
        <v>82</v>
      </c>
      <c r="C33" s="6" t="n">
        <v>55</v>
      </c>
      <c r="D33" s="6" t="n">
        <v>12</v>
      </c>
      <c r="E33" s="6" t="n">
        <v>11</v>
      </c>
      <c r="F33" s="6" t="n">
        <v>9</v>
      </c>
    </row>
    <row r="34">
      <c r="A34" s="6" t="inlineStr">
        <is>
          <t>Share premium</t>
        </is>
      </c>
      <c r="B34" s="6" t="n">
        <v>145725</v>
      </c>
      <c r="C34" s="6" t="n">
        <v>109952</v>
      </c>
      <c r="D34" s="6" t="n">
        <v>54336</v>
      </c>
      <c r="E34" s="6" t="n">
        <v>50380</v>
      </c>
      <c r="F34" s="6" t="n">
        <v>36816</v>
      </c>
    </row>
    <row r="35">
      <c r="A35" s="6" t="inlineStr">
        <is>
          <t>Other reserves</t>
        </is>
      </c>
      <c r="B35" s="6" t="n">
        <v>1994</v>
      </c>
      <c r="C35" s="6" t="n">
        <v>2503</v>
      </c>
      <c r="D35" s="6" t="n">
        <v>2434</v>
      </c>
      <c r="E35" s="6" t="n">
        <v>2167</v>
      </c>
      <c r="F35" s="6" t="n">
        <v>1641</v>
      </c>
    </row>
    <row r="36">
      <c r="A36" s="6" t="inlineStr">
        <is>
          <t>Accumulated losses</t>
        </is>
      </c>
      <c r="B36" s="6" t="n">
        <v>-37798</v>
      </c>
      <c r="C36" s="6" t="n">
        <v>-43221</v>
      </c>
      <c r="D36" s="6" t="n">
        <v>-37451</v>
      </c>
      <c r="E36" s="6" t="n">
        <v>-30411</v>
      </c>
      <c r="F36" s="6" t="n">
        <v>-21880</v>
      </c>
    </row>
    <row r="37">
      <c r="A37" s="5" t="inlineStr">
        <is>
          <t>Total equity</t>
        </is>
      </c>
      <c r="B37" s="5" t="n">
        <v>110003</v>
      </c>
      <c r="C37" s="5" t="n">
        <v>69289</v>
      </c>
      <c r="D37" s="5" t="n">
        <v>19331</v>
      </c>
      <c r="E37" s="5" t="n">
        <v>22147</v>
      </c>
      <c r="F37" s="5" t="n">
        <v>16586</v>
      </c>
    </row>
    <row r="38">
      <c r="A38" s="5" t="inlineStr">
        <is>
          <t>Total liabilities and equity</t>
        </is>
      </c>
      <c r="B38" s="5" t="n">
        <v>2589500</v>
      </c>
      <c r="C38" s="5" t="n">
        <v>1157740</v>
      </c>
      <c r="D38" s="5" t="n">
        <v>335490</v>
      </c>
      <c r="E38" s="5" t="n">
        <v>34969</v>
      </c>
      <c r="F38" s="5" t="n">
        <v>17606</v>
      </c>
    </row>
    <row r="40" ht="409" customHeight="1">
      <c r="A40" s="8" t="inlineStr">
        <is>
          <t>Sources - GB Bank Limited's own audited Companies House accounts (all 5 filings scanned/image-only, visually transcribed):
FY2021: Full accounts made up to 31 December 2021 (filed 6 Oct 2022), Statement of Financial Position p.21, Income Statement p.20, Statement of Changes in Equity p.22 - https://find-and-update.company-information.service.gov.uk/company/10702260/filing-history/MzM1Mzg0NjcwMWFkaXF6a2N4/document?format=pdf&amp;download=0
FY2022: Full accounts made up to 31 December 2022 (filed 7 Oct 2023), Statement of Financial Position p.25, Statement of Comprehensive Income p.24, Statement of Changes in Equity p.26 - https://find-and-update.company-information.service.gov.uk/company/10702260/filing-history/MzM5NTYwNDEwOWFkaXF6a2N4/document?format=pdf&amp;download=0
FY2023: Full accounts made up to 31 December 2023 (filed 9 Oct 2024), Statement of Financial Position p.26, Statement of Comprehensive Income p.25, Statement of Changes in Equity p.27, Note 11 Loans and advances to customers p.42 - https://find-and-update.company-information.service.gov.uk/company/10702260/filing-history/MzQzODI5NTI3M2FkaXF6a2N4/document?format=pdf&amp;download=0
FY2024: Full accounts for the 9-month period to 30 September 2024 (filed 28 Mar 2025), Statement of Financial Position p.26, Statement of Comprehensive Income p.25, Statement of Changes in Equity p.27, Note 12 Loans and advances to customers p.44 - https://find-and-update.company-information.service.gov.uk/company/10702260/filing-history/MzQ2MDE5MzkwMWFkaXF6a2N4/document?format=pdf&amp;download=0
FY2025: Full accounts for the year to 30 September 2025 (filed 6 Jan 2026), Consolidated statement of financial position p.43, Consolidated statement of comprehensive income p.42, Consolidated statement of changes in equity p.45, Note 13 Loans and advances to customers p.67-68 - https://find-and-update.company-information.service.gov.uk/company/10702260/filing-history/MzQ5Njg4NzE4MGFkaXF6a2N4/document?format=pdf&amp;download=0
PRESENTATION NOTE: no customer lending existed at all in FY2021/FY2022 (no Loans and advances to customers line in either year's own Balance Sheet) - genuinely nil, not a gap. FY2023's own report labelled the FY2022 comparative Total equity £22,147k; FY2024's own report restated the FY2023 comparative Accumulated losses to £(37,452)k, a £1k rounding difference from FY2023's own £(37,451)k - FY2023's own originally-published figure is used here per project convention.</t>
        </is>
      </c>
    </row>
    <row r="42" ht="409" customHeight="1">
      <c r="A42" s="8" t="inlineStr">
        <is>
          <t>(continued)
DEBT SECURITIES BREAKDOWN: the 'Debt securities - ...' sub-rows below the renamed 'Total debt securities' line are transcribed from each year's own 'Debt securities' note in its Companies House accounts, which splits the balance by issuer/instrument type (issued by public bodies / covered bonds / RMBS bonds / other bonds) and, from FY2025, by measurement basis (amortised cost vs fair value through profit or loss): FY2021 Note 11 p.30 - 'Debt securities represents UK Treasury Bills which are being held as high-quality liquid assets' - 100% Issued by public bodies, amortised cost - https://find-and-update.company-information.service.gov.uk/company/10702260/filing-history/MzM1Mzg0NjcwMWFkaXF6a2N4/document?format=pdf&amp;download=0; FY2022 Note 10 p.37 - 'UK Treasury Bills and UK Gilts' - 100% Issued by public bodies, amortised cost - https://find-and-update.company-information.service.gov.uk/company/10702260/filing-history/MzM5NTYwNDEwOWFkaXF6a2N4/document?format=pdf&amp;download=0; FY2023 Note 10 p.41 - 'UK Treasury Bills and UK Gilts' - 100% Issued by public bodies, amortised cost - https://find-and-update.company-information.service.gov.uk/company/10702260/filing-history/MzQzODI5NTI3M2FkaXF6a2N4/document?format=pdf&amp;download=0; FY2024 Note 11 p.43 - 'UK Treasury Bills, Supranational, Sovereign and Agency bonds (SSAs), Residential Mortgage Backed Securities (RMBS) and Covered Bonds' - split across all 4 categories, entirely amortised cost (no fair-value line disclosed that year) - https://find-and-update.company-information.service.gov.uk/company/10702260/filing-history/MzQ2MDE5MzkwMWFkaXF6a2N4/document?format=pdf&amp;download=0; FY2025 (Consolidated) Note 12 p.66 - same 4 categories plus a £191k 'Debt securities - hedged item' line, all measured at amortised cost, plus a separate £205,907k 'Other bonds' line newly measured at fair value through profit or loss - https://find-and-update.company-information.service.gov.uk/company/10702260/filing-history/MzQ5Njg4NzE4MGFkaXF6a2N4/document?format=pdf&amp;download=0. Each year's sub-rows sum exactly to that year's headline 'Total debt securities' line. ISSUER-TYPE CAVEAT: the 'Issued by public bodies' line is UK-government-only (UK Treasury Bills / UK Gilts) per FY2021-FY2023's own narrower note wording, but FY2024/FY2025's own note broadens the same line's composition to include Supranational, Sovereign and Agency (SSA) bonds - the note does not separately quantify the UK government vs supranational/agency split within that combined line in either year, so it is shown as one line as reported, matching each year's own disclosure.
ENTITY AND REPORTING BASIS: GB Bank Limited (Companies House 10702260; PRA FRN 850286) is the matched UK legal entity. The 2022-2025 Pillar 3 reports state that the reported figures are prepared on a solo basis. The 2025 report additionally records PRA permission, backdated to 1 October 2025, for an individual-consolidation method including SilverRock Financial Services Ltd going forward; the main 30 September 2025 table remains solo and is used here. GB Bank states that it publishes Pillar 3 annually under CRR Article 433b as a small and non-complex bank. FY2024 is a shortened nine-month period ended 30 September 2024 after the accounting period end changed; FY2021-FY2023 end on 31 December and FY2025 ends 30 September. STATEMENTS BASIS: the Balance Sheet, Profit &amp; Loss, Statement of Changes in Equity and Asset Quality sheets below are sourced from GB Bank Limited's own audited Companies House accounts (all 5 filings scanned/image-only, visually transcribed), not the Pillar 3 archive. FY2021-FY2024 are Company-only (GB Bank Limited had no subsidiaries in those years). FY2025 is a GENUINE ENTITY-BASIS CHANGE to Group-Consolidated: during the year GB Bank Limited acquired SilverRock Financial Services Ltd as a subsidiary (goodwill £5,497k recognised; Consolidated statement of cash flows shows 'Acquisition of subsidiary, net of cash acquired' £(12,753)k), and the Company took the Companies Act 2006 s.408 exemption from presenting its own individual profit and loss account - only Group P&amp;L is published for FY2025. The Group and Company Balance Sheets differ only modestly for FY2025 (Group Total equity £110,003k vs Company Total equity £111,194k, driven by consolidation adjustments); Balance Sheet/P&amp;L/Equity below use the GROUP basis for FY2025 for internal consistency (P&amp;L is only available on Group basis, and the Group Balance Sheet ties exactly to the Group equity roll-forward's own closing balance). The FY2024 opening equity balance is identical under both bases (no subsidiary existed yet), so no plug row is needed at the FY2024/FY2025 boundary despite the basis change. The Company's own FY2025 profit after tax (disclosed separately) was £6,614k vs the Group's £5,424k used here.</t>
        </is>
      </c>
    </row>
  </sheetData>
  <mergeCells count="2">
    <mergeCell ref="A40:F40"/>
    <mergeCell ref="A42:F4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s>
  <sheetData>
    <row r="1">
      <c r="A1" s="1" t="inlineStr">
        <is>
          <t>GB Bank Limited — Profit &amp; Loss</t>
        </is>
      </c>
    </row>
    <row r="2">
      <c r="A2" s="2" t="inlineStr">
        <is>
          <t>Company-only basis FY2021-FY2024; Group-consolidated basis FY2025 (only Group P&amp;L is published for FY2025 - Companies Act s.408 exemption). £'000.</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Income</t>
        </is>
      </c>
      <c r="B4" s="6" t="n"/>
      <c r="C4" s="6" t="n"/>
      <c r="D4" s="6" t="n"/>
      <c r="E4" s="6" t="n"/>
      <c r="F4" s="6" t="n"/>
    </row>
    <row r="5">
      <c r="A5" s="6" t="inlineStr">
        <is>
          <t>Interest receivable and similar income</t>
        </is>
      </c>
      <c r="B5" s="6" t="n">
        <v>105151</v>
      </c>
      <c r="C5" s="6" t="n">
        <v>20112</v>
      </c>
      <c r="D5" s="6" t="n">
        <v>12288</v>
      </c>
      <c r="E5" s="6" t="n">
        <v>259</v>
      </c>
      <c r="F5" s="6" t="n">
        <v>6</v>
      </c>
    </row>
    <row r="6">
      <c r="A6" s="6" t="inlineStr">
        <is>
          <t>Interest payable and similar expense</t>
        </is>
      </c>
      <c r="B6" s="6" t="n">
        <v>-87452</v>
      </c>
      <c r="C6" s="6" t="n">
        <v>-15656</v>
      </c>
      <c r="D6" s="6" t="n">
        <v>-9193</v>
      </c>
      <c r="E6" s="6" t="n">
        <v>-32</v>
      </c>
      <c r="F6" s="6" t="n"/>
    </row>
    <row r="7">
      <c r="A7" s="5" t="inlineStr">
        <is>
          <t>Net interest income</t>
        </is>
      </c>
      <c r="B7" s="5" t="n">
        <v>17699</v>
      </c>
      <c r="C7" s="5" t="n">
        <v>4456</v>
      </c>
      <c r="D7" s="5" t="n">
        <v>3095</v>
      </c>
      <c r="E7" s="5" t="n">
        <v>227</v>
      </c>
      <c r="F7" s="5" t="n">
        <v>6</v>
      </c>
    </row>
    <row r="8">
      <c r="A8" s="6" t="inlineStr">
        <is>
          <t>Other operating income / (expense)</t>
        </is>
      </c>
      <c r="B8" s="6" t="n">
        <v>-162</v>
      </c>
      <c r="C8" s="6" t="n">
        <v>4</v>
      </c>
      <c r="D8" s="6" t="n">
        <v>61</v>
      </c>
      <c r="E8" s="6" t="n"/>
      <c r="F8" s="6" t="n">
        <v>75</v>
      </c>
    </row>
    <row r="9">
      <c r="A9" s="6" t="inlineStr">
        <is>
          <t>Net gains on derivative financial instruments</t>
        </is>
      </c>
      <c r="B9" s="6" t="n"/>
      <c r="C9" s="6" t="n">
        <v>335</v>
      </c>
      <c r="D9" s="6" t="n"/>
      <c r="E9" s="6" t="n"/>
      <c r="F9" s="6" t="n"/>
    </row>
    <row r="10">
      <c r="A10" s="6" t="inlineStr">
        <is>
          <t>Gains or losses on financial instruments</t>
        </is>
      </c>
      <c r="B10" s="6" t="n">
        <v>-696</v>
      </c>
      <c r="C10" s="6" t="n"/>
      <c r="D10" s="6" t="n"/>
      <c r="E10" s="6" t="n"/>
      <c r="F10" s="6" t="n"/>
    </row>
    <row r="11">
      <c r="A11" s="5" t="inlineStr">
        <is>
          <t>Net operating income</t>
        </is>
      </c>
      <c r="B11" s="5" t="n">
        <v>16841</v>
      </c>
      <c r="C11" s="5" t="n">
        <v>4795</v>
      </c>
      <c r="D11" s="5" t="n">
        <v>3156</v>
      </c>
      <c r="E11" s="5" t="n">
        <v>227</v>
      </c>
      <c r="F11" s="5" t="n">
        <v>81</v>
      </c>
    </row>
    <row r="12">
      <c r="A12" s="5" t="inlineStr">
        <is>
          <t>Expenses</t>
        </is>
      </c>
      <c r="B12" s="6" t="n"/>
      <c r="C12" s="6" t="n"/>
      <c r="D12" s="6" t="n"/>
      <c r="E12" s="6" t="n"/>
      <c r="F12" s="6" t="n"/>
    </row>
    <row r="13">
      <c r="A13" s="6" t="inlineStr">
        <is>
          <t>Administrative expenses</t>
        </is>
      </c>
      <c r="B13" s="6" t="n">
        <v>-16355</v>
      </c>
      <c r="C13" s="6" t="n">
        <v>-9501</v>
      </c>
      <c r="D13" s="6" t="n">
        <v>-10465</v>
      </c>
      <c r="E13" s="6" t="n">
        <v>-9588</v>
      </c>
      <c r="F13" s="6" t="n">
        <v>-8615</v>
      </c>
    </row>
    <row r="14">
      <c r="A14" s="6" t="inlineStr">
        <is>
          <t>Impairment charge on loans and advances</t>
        </is>
      </c>
      <c r="B14" s="6" t="n">
        <v>-103</v>
      </c>
      <c r="C14" s="6" t="n">
        <v>-692</v>
      </c>
      <c r="D14" s="6" t="n"/>
      <c r="E14" s="6" t="n"/>
      <c r="F14" s="6" t="n"/>
    </row>
    <row r="15">
      <c r="A15" s="6" t="inlineStr">
        <is>
          <t>Depreciation, amortisation and impairment charge</t>
        </is>
      </c>
      <c r="B15" s="6" t="n">
        <v>-191</v>
      </c>
      <c r="C15" s="6" t="n">
        <v>-372</v>
      </c>
      <c r="D15" s="6" t="n">
        <v>-102</v>
      </c>
      <c r="E15" s="6" t="n"/>
      <c r="F15" s="6" t="n"/>
    </row>
    <row r="16">
      <c r="A16" s="5" t="inlineStr">
        <is>
          <t>Operating profit/(loss) before tax</t>
        </is>
      </c>
      <c r="B16" s="5" t="n">
        <v>192</v>
      </c>
      <c r="C16" s="5" t="n">
        <v>-5770</v>
      </c>
      <c r="D16" s="5" t="n">
        <v>-7411</v>
      </c>
      <c r="E16" s="5" t="n">
        <v>-9361</v>
      </c>
      <c r="F16" s="5" t="n">
        <v>-8534</v>
      </c>
    </row>
    <row r="17">
      <c r="A17" s="6" t="inlineStr">
        <is>
          <t>Tax credit for the year/period</t>
        </is>
      </c>
      <c r="B17" s="6" t="n">
        <v>5232</v>
      </c>
      <c r="C17" s="6" t="n"/>
      <c r="D17" s="6" t="n">
        <v>371</v>
      </c>
      <c r="E17" s="6" t="n">
        <v>830</v>
      </c>
      <c r="F17" s="6" t="n">
        <v>348</v>
      </c>
    </row>
    <row r="18">
      <c r="A18" s="5" t="inlineStr">
        <is>
          <t>Profit/(loss) for the year/period</t>
        </is>
      </c>
      <c r="B18" s="5" t="n">
        <v>5424</v>
      </c>
      <c r="C18" s="5" t="n">
        <v>-5770</v>
      </c>
      <c r="D18" s="5" t="n">
        <v>-7040</v>
      </c>
      <c r="E18" s="5" t="n">
        <v>-8531</v>
      </c>
      <c r="F18" s="5" t="n">
        <v>-8186</v>
      </c>
    </row>
    <row r="19">
      <c r="A19" s="5" t="inlineStr">
        <is>
          <t>Other comprehensive income/(expense)</t>
        </is>
      </c>
      <c r="B19" s="6" t="n"/>
      <c r="C19" s="6" t="n"/>
      <c r="D19" s="6" t="n"/>
      <c r="E19" s="6" t="n"/>
      <c r="F19" s="6" t="n"/>
    </row>
    <row r="20">
      <c r="A20" s="6" t="inlineStr">
        <is>
          <t>Fair value gains/(losses) recorded in cashflow hedge reserve</t>
        </is>
      </c>
      <c r="B20" s="6" t="n">
        <v>-682</v>
      </c>
      <c r="C20" s="6" t="n"/>
      <c r="D20" s="6" t="n"/>
      <c r="E20" s="6" t="n"/>
      <c r="F20" s="6" t="n"/>
    </row>
    <row r="21">
      <c r="A21" s="6" t="inlineStr">
        <is>
          <t>Gains previously recorded in cash flow hedge reserve amortised through P&amp;L</t>
        </is>
      </c>
      <c r="B21" s="6" t="n">
        <v>-6</v>
      </c>
      <c r="C21" s="6" t="n"/>
      <c r="D21" s="6" t="n"/>
      <c r="E21" s="6" t="n"/>
      <c r="F21" s="6" t="n"/>
    </row>
    <row r="22">
      <c r="A22" s="6" t="inlineStr">
        <is>
          <t>Tax relating to items that may subsequently be reclassified</t>
        </is>
      </c>
      <c r="B22" s="6" t="n">
        <v>172</v>
      </c>
      <c r="C22" s="6" t="n"/>
      <c r="D22" s="6" t="n"/>
      <c r="E22" s="6" t="n"/>
      <c r="F22" s="6" t="n"/>
    </row>
    <row r="23">
      <c r="A23" s="5" t="inlineStr">
        <is>
          <t>Total comprehensive income/(loss) for the year/period</t>
        </is>
      </c>
      <c r="B23" s="5" t="n">
        <v>4908</v>
      </c>
      <c r="C23" s="5" t="n">
        <v>-5770</v>
      </c>
      <c r="D23" s="5" t="n">
        <v>-7040</v>
      </c>
      <c r="E23" s="5" t="n">
        <v>-8531</v>
      </c>
      <c r="F23" s="5" t="n">
        <v>-8186</v>
      </c>
    </row>
    <row r="25" ht="409" customHeight="1">
      <c r="A25" s="8" t="inlineStr">
        <is>
          <t>Sources - GB Bank Limited's own audited Companies House accounts (all 5 filings scanned/image-only, visually transcribed):
FY2021: Full accounts made up to 31 December 2021 (filed 6 Oct 2022), Statement of Financial Position p.21, Income Statement p.20, Statement of Changes in Equity p.22 - https://find-and-update.company-information.service.gov.uk/company/10702260/filing-history/MzM1Mzg0NjcwMWFkaXF6a2N4/document?format=pdf&amp;download=0
FY2022: Full accounts made up to 31 December 2022 (filed 7 Oct 2023), Statement of Financial Position p.25, Statement of Comprehensive Income p.24, Statement of Changes in Equity p.26 - https://find-and-update.company-information.service.gov.uk/company/10702260/filing-history/MzM5NTYwNDEwOWFkaXF6a2N4/document?format=pdf&amp;download=0
FY2023: Full accounts made up to 31 December 2023 (filed 9 Oct 2024), Statement of Financial Position p.26, Statement of Comprehensive Income p.25, Statement of Changes in Equity p.27, Note 11 Loans and advances to customers p.42 - https://find-and-update.company-information.service.gov.uk/company/10702260/filing-history/MzQzODI5NTI3M2FkaXF6a2N4/document?format=pdf&amp;download=0
FY2024: Full accounts for the 9-month period to 30 September 2024 (filed 28 Mar 2025), Statement of Financial Position p.26, Statement of Comprehensive Income p.25, Statement of Changes in Equity p.27, Note 12 Loans and advances to customers p.44 - https://find-and-update.company-information.service.gov.uk/company/10702260/filing-history/MzQ2MDE5MzkwMWFkaXF6a2N4/document?format=pdf&amp;download=0
FY2025: Full accounts for the year to 30 September 2025 (filed 6 Jan 2026), Consolidated statement of financial position p.43, Consolidated statement of comprehensive income p.42, Consolidated statement of changes in equity p.45, Note 13 Loans and advances to customers p.67-68 - https://find-and-update.company-information.service.gov.uk/company/10702260/filing-history/MzQ5Njg4NzE4MGFkaXF6a2N4/document?format=pdf&amp;download=0
PRESENTATION NOTE: FY2021's report shows no tax credit/charge line separately (loss for the year is the same pre- and post-tax) - actually a £348k tax credit is shown in that year's own statement and is included above. FY2024's impairment charge on loans and advances first appears that year - FY2021-2023 had none (FY2021/FY2022 had no lending; FY2023 had loans but no incurred losses identified, £nil provision under the incurred-loss model - see Asset Quality sheet). No OCI detail is disclosed in any year except FY2025 (cash flow hedge reserve movements, following the Group's first use of derivative financial instruments) - blank cells in prior years mean genuinely nil OCI, confirmed by reading each year's own statement in full.
ENTITY AND REPORTING BASIS: GB Bank Limited (Companies House 10702260; PRA FRN 850286) is the matched UK legal entity. The 2022-2025 Pillar 3 reports state that the reported figures are prepared on a solo basis. The 2025 report additionally records PRA permission, backdated to 1 October 2025, for an individual-consolidation method including SilverRock Financial Services Ltd going forward; the main 30 September 2025 table remains solo and is used here. GB Bank states that it publishes Pillar 3 annually under CRR Article 433b as a small and non-complex bank. FY2024 is a shortened nine-month period ended 30 September 2024 after the accounting period end changed; FY2021-FY2023 end on 31 December and FY2025 ends 30 September. STATEMENTS BASIS: the Balance Sheet, Profit &amp; Loss, Statement of Changes in Equity and Asset Quality sheets below are sourced from GB Bank Limited's own audited Companies House accounts (all 5 filings scanned/image-only, visually transcribed), not the Pillar 3 archive. FY2021-FY2024 are Company-only (GB Bank Limited had no subsidiaries in those years). FY2025 is a GENUINE ENTITY-BASIS CHANGE to Group-Consolidated: during the year GB Bank Limited acquired SilverRock Financial Services Ltd as a subsidiary (goodwill £5,497k recognised; Consolidated statement of cash flows shows 'Acquisition of subsidiary, net of cash acquired' £(12,753)k), and the Company took the Companies Act 2006 s.408 exemption from presenting its own individual profit and loss account - only Group P&amp;L is published for FY2025. The Group and Company Balance Sheets differ only modestly for FY2025 (Group Total equity £110,003k vs Company Total equity £111,194k, driven by consolidation adjustments); Balance Sheet/P&amp;L/Equity below use the GROUP basis for FY2025 for internal consistency (P&amp;L is only available on Group basis, and the Group Balance Sheet ties exactly to the Group equity roll-forward's own closing balance). The FY2024 opening equity balance is identical under both bases (no subsidiary existed yet), so no plug row is needed at the FY2024/FY2025 boundary despite the basis change. The Company's own FY2025 profit after tax (disclosed separately) was £6,614k vs the Group's £5,424k used here.</t>
        </is>
      </c>
    </row>
  </sheetData>
  <mergeCells count="1">
    <mergeCell ref="A25:F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pane ySplit="4" topLeftCell="A5" activePane="bottomLeft" state="frozen"/>
      <selection pane="bottomLeft" activeCell="A1" sqref="A1"/>
    </sheetView>
  </sheetViews>
  <sheetFormatPr baseColWidth="8" defaultRowHeight="15"/>
  <cols>
    <col width="74" customWidth="1" min="1" max="1"/>
    <col width="15" customWidth="1" min="2" max="2"/>
    <col width="15" customWidth="1" min="3" max="3"/>
    <col width="15" customWidth="1" min="4" max="4"/>
    <col width="15" customWidth="1" min="5" max="5"/>
    <col width="15" customWidth="1" min="6" max="6"/>
  </cols>
  <sheetData>
    <row r="1">
      <c r="A1" s="1" t="inlineStr">
        <is>
          <t>GB Bank Limited — Statement of Changes in Equity</t>
        </is>
      </c>
    </row>
    <row r="2">
      <c r="A2" s="2" t="inlineStr">
        <is>
          <t>Company-only basis FY2021-FY2024; Group-consolidated basis FY2025 (see source note). £'000. Ties exactly to the Balance Sheet's own Total equity at every year-end.</t>
        </is>
      </c>
    </row>
    <row r="3">
      <c r="A3" s="4" t="inlineStr">
        <is>
          <t>Movement</t>
        </is>
      </c>
      <c r="B3" s="4" t="inlineStr">
        <is>
          <t>Share capital</t>
        </is>
      </c>
      <c r="C3" s="4" t="inlineStr">
        <is>
          <t>Share premium</t>
        </is>
      </c>
      <c r="D3" s="4" t="inlineStr">
        <is>
          <t>Other reserves</t>
        </is>
      </c>
      <c r="E3" s="4" t="inlineStr">
        <is>
          <t>Accumulated losses</t>
        </is>
      </c>
      <c r="F3" s="4" t="inlineStr">
        <is>
          <t>Total equity</t>
        </is>
      </c>
    </row>
    <row r="4">
      <c r="A4" s="5" t="inlineStr">
        <is>
          <t>At 1 January 2021</t>
        </is>
      </c>
      <c r="B4" s="5" t="n">
        <v>8</v>
      </c>
      <c r="C4" s="5" t="n">
        <v>30279</v>
      </c>
      <c r="D4" s="5" t="n">
        <v>1709</v>
      </c>
      <c r="E4" s="5" t="n">
        <v>-13694</v>
      </c>
      <c r="F4" s="5" t="n">
        <v>18302</v>
      </c>
    </row>
    <row r="5">
      <c r="A5" s="6" t="inlineStr">
        <is>
          <t>Loss for the year (FY2021)</t>
        </is>
      </c>
      <c r="B5" s="6" t="n"/>
      <c r="C5" s="6" t="n"/>
      <c r="D5" s="6" t="n"/>
      <c r="E5" s="6" t="n">
        <v>-8186</v>
      </c>
      <c r="F5" s="6" t="n">
        <v>-8186</v>
      </c>
    </row>
    <row r="6">
      <c r="A6" s="6" t="inlineStr">
        <is>
          <t>New share capital subscribed (FY2021)</t>
        </is>
      </c>
      <c r="B6" s="6" t="n">
        <v>1</v>
      </c>
      <c r="C6" s="6" t="n">
        <v>6537</v>
      </c>
      <c r="D6" s="6" t="n"/>
      <c r="E6" s="6" t="n"/>
      <c r="F6" s="6" t="n">
        <v>6538</v>
      </c>
    </row>
    <row r="7">
      <c r="A7" s="6" t="inlineStr">
        <is>
          <t>Share based payment transactions (FY2021)</t>
        </is>
      </c>
      <c r="B7" s="6" t="n"/>
      <c r="C7" s="6" t="n"/>
      <c r="D7" s="6" t="n">
        <v>-68</v>
      </c>
      <c r="E7" s="6" t="n"/>
      <c r="F7" s="6" t="n">
        <v>-68</v>
      </c>
    </row>
    <row r="8">
      <c r="A8" s="5" t="inlineStr">
        <is>
          <t>At 31 December 2021</t>
        </is>
      </c>
      <c r="B8" s="5" t="n">
        <v>9</v>
      </c>
      <c r="C8" s="5" t="n">
        <v>36816</v>
      </c>
      <c r="D8" s="5" t="n">
        <v>1641</v>
      </c>
      <c r="E8" s="5" t="n">
        <v>-21880</v>
      </c>
      <c r="F8" s="5" t="n">
        <v>16586</v>
      </c>
    </row>
    <row r="9">
      <c r="A9" s="6" t="inlineStr">
        <is>
          <t>Loss for the year (FY2022)</t>
        </is>
      </c>
      <c r="B9" s="6" t="n"/>
      <c r="C9" s="6" t="n"/>
      <c r="D9" s="6" t="n"/>
      <c r="E9" s="6" t="n">
        <v>-8531</v>
      </c>
      <c r="F9" s="6" t="n">
        <v>-8531</v>
      </c>
    </row>
    <row r="10">
      <c r="A10" s="6" t="inlineStr">
        <is>
          <t>New share capital subscribed (FY2022)</t>
        </is>
      </c>
      <c r="B10" s="6" t="n">
        <v>2</v>
      </c>
      <c r="C10" s="6" t="n">
        <v>13564</v>
      </c>
      <c r="D10" s="6" t="n"/>
      <c r="E10" s="6" t="n"/>
      <c r="F10" s="6" t="n">
        <v>13566</v>
      </c>
    </row>
    <row r="11">
      <c r="A11" s="6" t="inlineStr">
        <is>
          <t>Share based payment transactions (FY2022)</t>
        </is>
      </c>
      <c r="B11" s="6" t="n"/>
      <c r="C11" s="6" t="n"/>
      <c r="D11" s="6" t="n">
        <v>526</v>
      </c>
      <c r="E11" s="6" t="n"/>
      <c r="F11" s="6" t="n">
        <v>526</v>
      </c>
    </row>
    <row r="12">
      <c r="A12" s="5" t="inlineStr">
        <is>
          <t>At 31 December 2022</t>
        </is>
      </c>
      <c r="B12" s="5" t="n">
        <v>11</v>
      </c>
      <c r="C12" s="5" t="n">
        <v>50380</v>
      </c>
      <c r="D12" s="5" t="n">
        <v>2167</v>
      </c>
      <c r="E12" s="5" t="n">
        <v>-30411</v>
      </c>
      <c r="F12" s="5" t="n">
        <v>22147</v>
      </c>
    </row>
    <row r="13">
      <c r="A13" s="6" t="inlineStr">
        <is>
          <t>Loss for the year (FY2023)</t>
        </is>
      </c>
      <c r="B13" s="6" t="n"/>
      <c r="C13" s="6" t="n"/>
      <c r="D13" s="6" t="n"/>
      <c r="E13" s="6" t="n">
        <v>-7040</v>
      </c>
      <c r="F13" s="6" t="n">
        <v>-7040</v>
      </c>
    </row>
    <row r="14">
      <c r="A14" s="6" t="inlineStr">
        <is>
          <t>New share capital subscribed (FY2023)</t>
        </is>
      </c>
      <c r="B14" s="6" t="n">
        <v>1</v>
      </c>
      <c r="C14" s="6" t="n">
        <v>3956</v>
      </c>
      <c r="D14" s="6" t="n"/>
      <c r="E14" s="6" t="n"/>
      <c r="F14" s="6" t="n">
        <v>3957</v>
      </c>
    </row>
    <row r="15">
      <c r="A15" s="6" t="inlineStr">
        <is>
          <t>Share based payment transactions (FY2023)</t>
        </is>
      </c>
      <c r="B15" s="6" t="n"/>
      <c r="C15" s="6" t="n"/>
      <c r="D15" s="6" t="n">
        <v>267</v>
      </c>
      <c r="E15" s="6" t="n"/>
      <c r="F15" s="6" t="n">
        <v>267</v>
      </c>
    </row>
    <row r="16">
      <c r="A16" s="5" t="inlineStr">
        <is>
          <t>At 31 December 2023</t>
        </is>
      </c>
      <c r="B16" s="5" t="n">
        <v>12</v>
      </c>
      <c r="C16" s="5" t="n">
        <v>54336</v>
      </c>
      <c r="D16" s="5" t="n">
        <v>2434</v>
      </c>
      <c r="E16" s="5" t="n">
        <v>-37451</v>
      </c>
      <c r="F16" s="5" t="n">
        <v>19331</v>
      </c>
    </row>
    <row r="17">
      <c r="A17" s="6" t="inlineStr">
        <is>
          <t>Loss for the period (FY2024, 9 months)</t>
        </is>
      </c>
      <c r="B17" s="6" t="n"/>
      <c r="C17" s="6" t="n"/>
      <c r="D17" s="6" t="n"/>
      <c r="E17" s="6" t="n">
        <v>-5770</v>
      </c>
      <c r="F17" s="6" t="n">
        <v>-5770</v>
      </c>
    </row>
    <row r="18">
      <c r="A18" s="6" t="inlineStr">
        <is>
          <t>New share capital subscribed (FY2024)</t>
        </is>
      </c>
      <c r="B18" s="6" t="n">
        <v>43</v>
      </c>
      <c r="C18" s="6" t="n">
        <v>55616</v>
      </c>
      <c r="D18" s="6" t="n"/>
      <c r="E18" s="6" t="n"/>
      <c r="F18" s="6" t="n">
        <v>55659</v>
      </c>
    </row>
    <row r="19">
      <c r="A19" s="6" t="inlineStr">
        <is>
          <t>Share based payment transactions (FY2024)</t>
        </is>
      </c>
      <c r="B19" s="6" t="n"/>
      <c r="C19" s="6" t="n"/>
      <c r="D19" s="6" t="n">
        <v>69</v>
      </c>
      <c r="E19" s="6" t="n"/>
      <c r="F19" s="6" t="n">
        <v>69</v>
      </c>
    </row>
    <row r="20">
      <c r="A20" s="5" t="inlineStr">
        <is>
          <t>At 30 September 2024</t>
        </is>
      </c>
      <c r="B20" s="5" t="n">
        <v>55</v>
      </c>
      <c r="C20" s="5" t="n">
        <v>109952</v>
      </c>
      <c r="D20" s="5" t="n">
        <v>2503</v>
      </c>
      <c r="E20" s="5" t="n">
        <v>-43221</v>
      </c>
      <c r="F20" s="5" t="n">
        <v>69289</v>
      </c>
    </row>
    <row r="21">
      <c r="A21" s="6" t="inlineStr">
        <is>
          <t>Profit for the year (FY2025, Group)</t>
        </is>
      </c>
      <c r="B21" s="6" t="n"/>
      <c r="C21" s="6" t="n"/>
      <c r="D21" s="6" t="n"/>
      <c r="E21" s="6" t="n">
        <v>5424</v>
      </c>
      <c r="F21" s="6" t="n">
        <v>5424</v>
      </c>
    </row>
    <row r="22">
      <c r="A22" s="6" t="inlineStr">
        <is>
          <t>Fair value gains/(losses) recorded in cashflow hedge reserve (FY2025)</t>
        </is>
      </c>
      <c r="B22" s="6" t="n"/>
      <c r="C22" s="6" t="n"/>
      <c r="D22" s="6" t="n">
        <v>-682</v>
      </c>
      <c r="E22" s="6" t="n"/>
      <c r="F22" s="6" t="n">
        <v>-682</v>
      </c>
    </row>
    <row r="23">
      <c r="A23" s="6" t="inlineStr">
        <is>
          <t>Gains previously recorded in cash flow hedge reserve amortised through P&amp;L (FY2025)</t>
        </is>
      </c>
      <c r="B23" s="6" t="n"/>
      <c r="C23" s="6" t="n"/>
      <c r="D23" s="6" t="n">
        <v>-6</v>
      </c>
      <c r="E23" s="6" t="n"/>
      <c r="F23" s="6" t="n">
        <v>-6</v>
      </c>
    </row>
    <row r="24">
      <c r="A24" s="6" t="inlineStr">
        <is>
          <t>Tax relating to items that may subsequently be reclassified (FY2025)</t>
        </is>
      </c>
      <c r="B24" s="6" t="n"/>
      <c r="C24" s="6" t="n"/>
      <c r="D24" s="6" t="n">
        <v>172</v>
      </c>
      <c r="E24" s="6" t="n"/>
      <c r="F24" s="6" t="n">
        <v>172</v>
      </c>
    </row>
    <row r="25">
      <c r="A25" s="6" t="inlineStr">
        <is>
          <t>New share capital subscribed (FY2025)</t>
        </is>
      </c>
      <c r="B25" s="6" t="n">
        <v>27</v>
      </c>
      <c r="C25" s="6" t="n">
        <v>35773</v>
      </c>
      <c r="D25" s="6" t="n"/>
      <c r="E25" s="6" t="n"/>
      <c r="F25" s="6" t="n">
        <v>35800</v>
      </c>
    </row>
    <row r="26">
      <c r="A26" s="6" t="inlineStr">
        <is>
          <t>Share-based payment transactions (FY2025)</t>
        </is>
      </c>
      <c r="B26" s="6" t="n"/>
      <c r="C26" s="6" t="n"/>
      <c r="D26" s="6" t="n">
        <v>7</v>
      </c>
      <c r="E26" s="6" t="n"/>
      <c r="F26" s="6" t="n">
        <v>7</v>
      </c>
    </row>
    <row r="27">
      <c r="A27" s="5" t="inlineStr">
        <is>
          <t>At 30 September 2025 (Group)</t>
        </is>
      </c>
      <c r="B27" s="5" t="n">
        <v>82</v>
      </c>
      <c r="C27" s="5" t="n">
        <v>145725</v>
      </c>
      <c r="D27" s="5" t="n">
        <v>1994</v>
      </c>
      <c r="E27" s="5" t="n">
        <v>-37798</v>
      </c>
      <c r="F27" s="5" t="n">
        <v>110003</v>
      </c>
    </row>
    <row r="29" ht="409" customHeight="1">
      <c r="A29" s="8" t="inlineStr">
        <is>
          <t>Sources - GB Bank Limited's own audited Companies House accounts (all 5 filings scanned/image-only, visually transcribed):
FY2021: Full accounts made up to 31 December 2021 (filed 6 Oct 2022), Statement of Financial Position p.21, Income Statement p.20, Statement of Changes in Equity p.22 - https://find-and-update.company-information.service.gov.uk/company/10702260/filing-history/MzM1Mzg0NjcwMWFkaXF6a2N4/document?format=pdf&amp;download=0
FY2022: Full accounts made up to 31 December 2022 (filed 7 Oct 2023), Statement of Financial Position p.25, Statement of Comprehensive Income p.24, Statement of Changes in Equity p.26 - https://find-and-update.company-information.service.gov.uk/company/10702260/filing-history/MzM5NTYwNDEwOWFkaXF6a2N4/document?format=pdf&amp;download=0
FY2023: Full accounts made up to 31 December 2023 (filed 9 Oct 2024), Statement of Financial Position p.26, Statement of Comprehensive Income p.25, Statement of Changes in Equity p.27, Note 11 Loans and advances to customers p.42 - https://find-and-update.company-information.service.gov.uk/company/10702260/filing-history/MzQzODI5NTI3M2FkaXF6a2N4/document?format=pdf&amp;download=0
FY2024: Full accounts for the 9-month period to 30 September 2024 (filed 28 Mar 2025), Statement of Financial Position p.26, Statement of Comprehensive Income p.25, Statement of Changes in Equity p.27, Note 12 Loans and advances to customers p.44 - https://find-and-update.company-information.service.gov.uk/company/10702260/filing-history/MzQ2MDE5MzkwMWFkaXF6a2N4/document?format=pdf&amp;download=0
FY2025: Full accounts for the year to 30 September 2025 (filed 6 Jan 2026), Consolidated statement of financial position p.43, Consolidated statement of comprehensive income p.42, Consolidated statement of changes in equity p.45, Note 13 Loans and advances to customers p.67-68 - https://find-and-update.company-information.service.gov.uk/company/10702260/filing-history/MzQ5Njg4NzE4MGFkaXF6a2N4/document?format=pdf&amp;download=0
The FY2021 opening balance (At 1 January 2021: £18,302k) is that year's own report's opening figure, itself tying to the FY2020 closing balance shown as that report's comparative column (not itself a covered year in this workbook).
ENTITY AND REPORTING BASIS: GB Bank Limited (Companies House 10702260; PRA FRN 850286) is the matched UK legal entity. The 2022-2025 Pillar 3 reports state that the reported figures are prepared on a solo basis. The 2025 report additionally records PRA permission, backdated to 1 October 2025, for an individual-consolidation method including SilverRock Financial Services Ltd going forward; the main 30 September 2025 table remains solo and is used here. GB Bank states that it publishes Pillar 3 annually under CRR Article 433b as a small and non-complex bank. FY2024 is a shortened nine-month period ended 30 September 2024 after the accounting period end changed; FY2021-FY2023 end on 31 December and FY2025 ends 30 September. STATEMENTS BASIS: the Balance Sheet, Profit &amp; Loss, Statement of Changes in Equity and Asset Quality sheets below are sourced from GB Bank Limited's own audited Companies House accounts (all 5 filings scanned/image-only, visually transcribed), not the Pillar 3 archive. FY2021-FY2024 are Company-only (GB Bank Limited had no subsidiaries in those years). FY2025 is a GENUINE ENTITY-BASIS CHANGE to Group-Consolidated: during the year GB Bank Limited acquired SilverRock Financial Services Ltd as a subsidiary (goodwill £5,497k recognised; Consolidated statement of cash flows shows 'Acquisition of subsidiary, net of cash acquired' £(12,753)k), and the Company took the Companies Act 2006 s.408 exemption from presenting its own individual profit and loss account - only Group P&amp;L is published for FY2025. The Group and Company Balance Sheets differ only modestly for FY2025 (Group Total equity £110,003k vs Company Total equity £111,194k, driven by consolidation adjustments); Balance Sheet/P&amp;L/Equity below use the GROUP basis for FY2025 for internal consistency (P&amp;L is only available on Group basis, and the Group Balance Sheet ties exactly to the Group equity roll-forward's own closing balance). The FY2024 opening equity balance is identical under both bases (no subsidiary existed yet), so no plug row is needed at the FY2024/FY2025 boundary despite the basis change. The Company's own FY2025 profit after tax (disclosed separately) was £6,614k vs the Group's £5,424k used here.</t>
        </is>
      </c>
    </row>
  </sheetData>
  <mergeCells count="1">
    <mergeCell ref="A29:F2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s>
  <sheetData>
    <row r="1">
      <c r="A1" s="1" t="inlineStr">
        <is>
          <t>GB Bank Limited — Cash Flow Statement</t>
        </is>
      </c>
    </row>
    <row r="2">
      <c r="A2" s="2" t="inlineStr">
        <is>
          <t>Company-only basis FY2021-FY2024; Group-consolidated basis FY2025 (see Balance Sheet sheet's entity-basis note). £'000.</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Operating activities</t>
        </is>
      </c>
      <c r="B4" s="6" t="n"/>
      <c r="C4" s="6" t="n"/>
      <c r="D4" s="6" t="n"/>
      <c r="E4" s="6" t="n"/>
      <c r="F4" s="6" t="n"/>
    </row>
    <row r="5">
      <c r="A5" s="6" t="inlineStr">
        <is>
          <t>Profit/(loss) for the year/period after taxation</t>
        </is>
      </c>
      <c r="B5" s="6" t="n">
        <v>5424</v>
      </c>
      <c r="C5" s="6" t="n">
        <v>-5770</v>
      </c>
      <c r="D5" s="6" t="n">
        <v>-7040</v>
      </c>
      <c r="E5" s="6" t="n">
        <v>-8531</v>
      </c>
      <c r="F5" s="6" t="n">
        <v>-8186</v>
      </c>
    </row>
    <row r="6">
      <c r="A6" s="6" t="inlineStr">
        <is>
          <t>Tax credit (recognised in P&amp;L, added back)</t>
        </is>
      </c>
      <c r="B6" s="6" t="n"/>
      <c r="C6" s="6" t="n"/>
      <c r="D6" s="6" t="n"/>
      <c r="E6" s="6" t="n">
        <v>-830</v>
      </c>
      <c r="F6" s="6" t="n">
        <v>-348</v>
      </c>
    </row>
    <row r="7">
      <c r="A7" s="6" t="inlineStr">
        <is>
          <t>Tax credit received (cash)</t>
        </is>
      </c>
      <c r="B7" s="6" t="n"/>
      <c r="C7" s="6" t="n"/>
      <c r="D7" s="6" t="n"/>
      <c r="E7" s="6" t="n"/>
      <c r="F7" s="6" t="n">
        <v>348</v>
      </c>
    </row>
    <row r="8">
      <c r="A8" s="6" t="inlineStr">
        <is>
          <t>(Increase)/decrease in net corporation tax asset</t>
        </is>
      </c>
      <c r="B8" s="6" t="n"/>
      <c r="C8" s="6" t="n">
        <v>946</v>
      </c>
      <c r="D8" s="6" t="n">
        <v>-371</v>
      </c>
      <c r="E8" s="6" t="n"/>
      <c r="F8" s="6" t="n"/>
    </row>
    <row r="9">
      <c r="A9" s="6" t="inlineStr">
        <is>
          <t>(Increase)/decrease in net deferred tax asset</t>
        </is>
      </c>
      <c r="B9" s="6" t="n">
        <v>-5232</v>
      </c>
      <c r="C9" s="6" t="n"/>
      <c r="D9" s="6" t="n"/>
      <c r="E9" s="6" t="n"/>
      <c r="F9" s="6" t="n"/>
    </row>
    <row r="10">
      <c r="A10" s="6" t="inlineStr">
        <is>
          <t>Interest receivable and similar income</t>
        </is>
      </c>
      <c r="B10" s="6" t="n">
        <v>-105151</v>
      </c>
      <c r="C10" s="6" t="n">
        <v>-20112</v>
      </c>
      <c r="D10" s="6" t="n"/>
      <c r="E10" s="6" t="n"/>
      <c r="F10" s="6" t="n"/>
    </row>
    <row r="11">
      <c r="A11" s="6" t="inlineStr">
        <is>
          <t>Interest payable and similar expense</t>
        </is>
      </c>
      <c r="B11" s="6" t="n">
        <v>87452</v>
      </c>
      <c r="C11" s="6" t="n">
        <v>15656</v>
      </c>
      <c r="D11" s="6" t="n"/>
      <c r="E11" s="6" t="n"/>
      <c r="F11" s="6" t="n"/>
    </row>
    <row r="12">
      <c r="A12" s="6" t="inlineStr">
        <is>
          <t>Net (decrease)/increase in provisions</t>
        </is>
      </c>
      <c r="B12" s="6" t="n">
        <v>-75</v>
      </c>
      <c r="C12" s="6" t="n">
        <v>75</v>
      </c>
      <c r="D12" s="6" t="n"/>
      <c r="E12" s="6" t="n"/>
      <c r="F12" s="6" t="n"/>
    </row>
    <row r="13">
      <c r="A13" s="6" t="inlineStr">
        <is>
          <t>Depreciation and amortisation</t>
        </is>
      </c>
      <c r="B13" s="6" t="n">
        <v>191</v>
      </c>
      <c r="C13" s="6" t="n">
        <v>371</v>
      </c>
      <c r="D13" s="6" t="n">
        <v>102</v>
      </c>
      <c r="E13" s="6" t="n">
        <v>69</v>
      </c>
      <c r="F13" s="6" t="n">
        <v>13</v>
      </c>
    </row>
    <row r="14">
      <c r="A14" s="6" t="inlineStr">
        <is>
          <t>Share-based payment transactions</t>
        </is>
      </c>
      <c r="B14" s="6" t="n">
        <v>7</v>
      </c>
      <c r="C14" s="6" t="n">
        <v>68</v>
      </c>
      <c r="D14" s="6" t="n">
        <v>267</v>
      </c>
      <c r="E14" s="6" t="n">
        <v>526</v>
      </c>
      <c r="F14" s="6" t="n">
        <v>-68</v>
      </c>
    </row>
    <row r="15">
      <c r="A15" s="6" t="inlineStr">
        <is>
          <t>Net change in financial instruments/derivatives</t>
        </is>
      </c>
      <c r="B15" s="6" t="n">
        <v>696</v>
      </c>
      <c r="C15" s="6" t="n">
        <v>-517</v>
      </c>
      <c r="D15" s="6" t="n"/>
      <c r="E15" s="6" t="n"/>
      <c r="F15" s="6" t="n"/>
    </row>
    <row r="16">
      <c r="A16" s="6" t="inlineStr">
        <is>
          <t>Increase in deposit liabilities</t>
        </is>
      </c>
      <c r="B16" s="6" t="n">
        <v>1246157</v>
      </c>
      <c r="C16" s="6" t="n">
        <v>765353</v>
      </c>
      <c r="D16" s="6" t="n">
        <v>302901</v>
      </c>
      <c r="E16" s="6" t="n">
        <v>11473</v>
      </c>
      <c r="F16" s="6" t="n"/>
    </row>
    <row r="17">
      <c r="A17" s="6" t="inlineStr">
        <is>
          <t>Increase in amounts due to other/credit institutions</t>
        </is>
      </c>
      <c r="B17" s="6" t="n">
        <v>140000</v>
      </c>
      <c r="C17" s="6" t="n"/>
      <c r="D17" s="6" t="n"/>
      <c r="E17" s="6" t="n"/>
      <c r="F17" s="6" t="n"/>
    </row>
    <row r="18">
      <c r="A18" s="6" t="inlineStr">
        <is>
          <t>Increase in loans and advances to customers</t>
        </is>
      </c>
      <c r="B18" s="6" t="n">
        <v>-380763</v>
      </c>
      <c r="C18" s="6" t="n">
        <v>-59539</v>
      </c>
      <c r="D18" s="6" t="n">
        <v>-25388</v>
      </c>
      <c r="E18" s="6" t="n"/>
      <c r="F18" s="6" t="n"/>
    </row>
    <row r="19">
      <c r="A19" s="6" t="inlineStr">
        <is>
          <t>Net (increase)/decrease in loans and advances to banks/credit institutions</t>
        </is>
      </c>
      <c r="B19" s="6" t="n">
        <v>-23371</v>
      </c>
      <c r="C19" s="6" t="n">
        <v>-3309</v>
      </c>
      <c r="D19" s="6" t="n">
        <v>35</v>
      </c>
      <c r="E19" s="6" t="n">
        <v>2489</v>
      </c>
      <c r="F19" s="6" t="n">
        <v>-601</v>
      </c>
    </row>
    <row r="20">
      <c r="A20" s="6" t="inlineStr">
        <is>
          <t>(Increase) in accrued interest from loans and advances to banks/credit institutions</t>
        </is>
      </c>
      <c r="B20" s="6" t="n"/>
      <c r="C20" s="6" t="n"/>
      <c r="D20" s="6" t="n">
        <v>1</v>
      </c>
      <c r="E20" s="6" t="n"/>
      <c r="F20" s="6" t="n">
        <v>-3</v>
      </c>
    </row>
    <row r="21">
      <c r="A21" s="6" t="inlineStr">
        <is>
          <t>(Increase)/decrease in other assets</t>
        </is>
      </c>
      <c r="B21" s="6" t="n">
        <v>-493</v>
      </c>
      <c r="C21" s="6" t="n">
        <v>-804</v>
      </c>
      <c r="D21" s="6" t="n">
        <v>-107</v>
      </c>
      <c r="E21" s="6" t="n">
        <v>-281</v>
      </c>
      <c r="F21" s="6" t="n">
        <v>-223</v>
      </c>
    </row>
    <row r="22">
      <c r="A22" s="6" t="inlineStr">
        <is>
          <t>Increase/(decrease) in prepayments and accrued income</t>
        </is>
      </c>
      <c r="B22" s="6" t="n">
        <v>-671</v>
      </c>
      <c r="C22" s="6" t="n">
        <v>482</v>
      </c>
      <c r="D22" s="6" t="n"/>
      <c r="E22" s="6" t="n"/>
      <c r="F22" s="6" t="n"/>
    </row>
    <row r="23">
      <c r="A23" s="6" t="inlineStr">
        <is>
          <t>Net increase/(decrease) in other liabilities</t>
        </is>
      </c>
      <c r="B23" s="6" t="n">
        <v>1</v>
      </c>
      <c r="C23" s="6" t="n">
        <v>50</v>
      </c>
      <c r="D23" s="6" t="n">
        <v>179</v>
      </c>
      <c r="E23" s="6" t="n">
        <v>100</v>
      </c>
      <c r="F23" s="6" t="n">
        <v>-24</v>
      </c>
    </row>
    <row r="24">
      <c r="A24" s="6" t="inlineStr">
        <is>
          <t>(Decrease)/increase in accruals and deferred income</t>
        </is>
      </c>
      <c r="B24" s="6" t="n">
        <v>-1781</v>
      </c>
      <c r="C24" s="6" t="n">
        <v>2200</v>
      </c>
      <c r="D24" s="6" t="n">
        <v>-96</v>
      </c>
      <c r="E24" s="6" t="n">
        <v>139</v>
      </c>
      <c r="F24" s="6" t="n">
        <v>463</v>
      </c>
    </row>
    <row r="25">
      <c r="A25" s="6" t="inlineStr">
        <is>
          <t>Interest received</t>
        </is>
      </c>
      <c r="B25" s="6" t="n">
        <v>106600</v>
      </c>
      <c r="C25" s="6" t="n">
        <v>15330</v>
      </c>
      <c r="D25" s="6" t="n"/>
      <c r="E25" s="6" t="n"/>
      <c r="F25" s="6" t="n"/>
    </row>
    <row r="26">
      <c r="A26" s="6" t="inlineStr">
        <is>
          <t>Interest paid</t>
        </is>
      </c>
      <c r="B26" s="6" t="n">
        <v>-92097</v>
      </c>
      <c r="C26" s="6" t="n">
        <v>-11498</v>
      </c>
      <c r="D26" s="6" t="n"/>
      <c r="E26" s="6" t="n"/>
      <c r="F26" s="6" t="n"/>
    </row>
    <row r="27">
      <c r="A27" s="5" t="inlineStr">
        <is>
          <t>Net cash generated from operating activities</t>
        </is>
      </c>
      <c r="B27" s="5" t="n">
        <v>976894</v>
      </c>
      <c r="C27" s="5" t="n">
        <v>698982</v>
      </c>
      <c r="D27" s="5" t="n">
        <v>270483</v>
      </c>
      <c r="E27" s="5" t="n">
        <v>5154</v>
      </c>
      <c r="F27" s="5" t="n">
        <v>-8629</v>
      </c>
    </row>
    <row r="28">
      <c r="A28" s="5" t="inlineStr">
        <is>
          <t>Investing activities</t>
        </is>
      </c>
      <c r="B28" s="6" t="n"/>
      <c r="C28" s="6" t="n"/>
      <c r="D28" s="6" t="n"/>
      <c r="E28" s="6" t="n"/>
      <c r="F28" s="6" t="n"/>
    </row>
    <row r="29">
      <c r="A29" s="6" t="inlineStr">
        <is>
          <t>Purchases of tangible and intangible fixed assets</t>
        </is>
      </c>
      <c r="B29" s="6" t="n">
        <v>-987</v>
      </c>
      <c r="C29" s="6" t="n">
        <v>-142</v>
      </c>
      <c r="D29" s="6" t="n">
        <v>-12</v>
      </c>
      <c r="E29" s="6" t="n">
        <v>-450</v>
      </c>
      <c r="F29" s="6" t="n">
        <v>-83</v>
      </c>
    </row>
    <row r="30">
      <c r="A30" s="6" t="inlineStr">
        <is>
          <t>Purchase of debt securities</t>
        </is>
      </c>
      <c r="B30" s="6" t="n">
        <v>-1586315</v>
      </c>
      <c r="C30" s="6" t="n">
        <v>-651170</v>
      </c>
      <c r="D30" s="6" t="n">
        <v>-26422</v>
      </c>
      <c r="E30" s="6" t="n">
        <v>-45323</v>
      </c>
      <c r="F30" s="6" t="n">
        <v>-23451</v>
      </c>
    </row>
    <row r="31">
      <c r="A31" s="6" t="inlineStr">
        <is>
          <t>Proceeds from the maturity of debt securities</t>
        </is>
      </c>
      <c r="B31" s="6" t="n">
        <v>649634</v>
      </c>
      <c r="C31" s="6" t="n">
        <v>29291</v>
      </c>
      <c r="D31" s="6" t="n">
        <v>17266</v>
      </c>
      <c r="E31" s="6" t="n">
        <v>44434</v>
      </c>
      <c r="F31" s="6" t="n">
        <v>13953</v>
      </c>
    </row>
    <row r="32">
      <c r="A32" s="6" t="inlineStr">
        <is>
          <t>Acquisition of subsidiary, net of cash acquired</t>
        </is>
      </c>
      <c r="B32" s="6" t="n">
        <v>-12753</v>
      </c>
      <c r="C32" s="6" t="n"/>
      <c r="D32" s="6" t="n"/>
      <c r="E32" s="6" t="n"/>
      <c r="F32" s="6" t="n"/>
    </row>
    <row r="33">
      <c r="A33" s="6" t="inlineStr">
        <is>
          <t>Purchase of equity investment</t>
        </is>
      </c>
      <c r="B33" s="6" t="n">
        <v>-3714</v>
      </c>
      <c r="C33" s="6" t="n"/>
      <c r="D33" s="6" t="n"/>
      <c r="E33" s="6" t="n"/>
      <c r="F33" s="6" t="n"/>
    </row>
    <row r="34">
      <c r="A34" s="5" t="inlineStr">
        <is>
          <t>Net cash (used in)/generated from investing activities</t>
        </is>
      </c>
      <c r="B34" s="5" t="n">
        <v>-954135</v>
      </c>
      <c r="C34" s="5" t="n">
        <v>-622021</v>
      </c>
      <c r="D34" s="5" t="n">
        <v>-9168</v>
      </c>
      <c r="E34" s="5" t="n">
        <v>-1339</v>
      </c>
      <c r="F34" s="5" t="n">
        <v>-9581</v>
      </c>
    </row>
    <row r="35">
      <c r="A35" s="5" t="inlineStr">
        <is>
          <t>Financing activities</t>
        </is>
      </c>
      <c r="B35" s="6" t="n"/>
      <c r="C35" s="6" t="n"/>
      <c r="D35" s="6" t="n"/>
      <c r="E35" s="6" t="n"/>
      <c r="F35" s="6" t="n"/>
    </row>
    <row r="36">
      <c r="A36" s="6" t="inlineStr">
        <is>
          <t>Gross proceeds from the issue of ordinary shares</t>
        </is>
      </c>
      <c r="B36" s="6" t="n">
        <v>35800</v>
      </c>
      <c r="C36" s="6" t="n">
        <v>56004</v>
      </c>
      <c r="D36" s="6" t="n">
        <v>3957</v>
      </c>
      <c r="E36" s="6" t="n">
        <v>13566</v>
      </c>
      <c r="F36" s="6" t="n">
        <v>6538</v>
      </c>
    </row>
    <row r="37">
      <c r="A37" s="6" t="inlineStr">
        <is>
          <t>Costs of issuing ordinary shares</t>
        </is>
      </c>
      <c r="B37" s="6" t="n"/>
      <c r="C37" s="6" t="n">
        <v>-344</v>
      </c>
      <c r="D37" s="6" t="n"/>
      <c r="E37" s="6" t="n"/>
      <c r="F37" s="6" t="n"/>
    </row>
    <row r="38">
      <c r="A38" s="5" t="inlineStr">
        <is>
          <t>Net cash generated from financing activities</t>
        </is>
      </c>
      <c r="B38" s="5" t="n">
        <v>35800</v>
      </c>
      <c r="C38" s="5" t="n">
        <v>55660</v>
      </c>
      <c r="D38" s="5" t="n">
        <v>3957</v>
      </c>
      <c r="E38" s="5" t="n">
        <v>13566</v>
      </c>
      <c r="F38" s="5" t="n">
        <v>6538</v>
      </c>
    </row>
    <row r="39">
      <c r="A39" s="5" t="inlineStr">
        <is>
          <t>Net increase/(decrease) in cash and cash equivalents</t>
        </is>
      </c>
      <c r="B39" s="5" t="n">
        <v>58559</v>
      </c>
      <c r="C39" s="5" t="n">
        <v>132621</v>
      </c>
      <c r="D39" s="5" t="n">
        <v>265272</v>
      </c>
      <c r="E39" s="5" t="n">
        <v>17381</v>
      </c>
      <c r="F39" s="5" t="n">
        <v>-11672</v>
      </c>
    </row>
    <row r="40">
      <c r="A40" s="6" t="inlineStr">
        <is>
          <t>Cash and cash equivalents at beginning of period/year</t>
        </is>
      </c>
      <c r="B40" s="6" t="n">
        <v>420212</v>
      </c>
      <c r="C40" s="6" t="n">
        <v>287593</v>
      </c>
      <c r="D40" s="6" t="n">
        <v>22321</v>
      </c>
      <c r="E40" s="6" t="n">
        <v>4940</v>
      </c>
      <c r="F40" s="6" t="n">
        <v>16612</v>
      </c>
    </row>
    <row r="41">
      <c r="A41" s="5" t="inlineStr">
        <is>
          <t>Cash and cash equivalents at end of period/year</t>
        </is>
      </c>
      <c r="B41" s="5" t="n">
        <v>478771</v>
      </c>
      <c r="C41" s="5" t="n">
        <v>420214</v>
      </c>
      <c r="D41" s="5" t="n">
        <v>287593</v>
      </c>
      <c r="E41" s="5" t="n">
        <v>22321</v>
      </c>
      <c r="F41" s="5" t="n">
        <v>4940</v>
      </c>
    </row>
    <row r="42">
      <c r="A42" s="5" t="inlineStr">
        <is>
          <t>Cash and cash equivalents comprise</t>
        </is>
      </c>
      <c r="B42" s="6" t="n"/>
      <c r="C42" s="6" t="n"/>
      <c r="D42" s="6" t="n"/>
      <c r="E42" s="6" t="n"/>
      <c r="F42" s="6" t="n"/>
    </row>
    <row r="43">
      <c r="A43" s="6" t="inlineStr">
        <is>
          <t>Cash and balances at central banks</t>
        </is>
      </c>
      <c r="B43" s="6" t="n">
        <v>475776</v>
      </c>
      <c r="C43" s="6" t="n">
        <v>419999</v>
      </c>
      <c r="D43" s="6" t="n">
        <v>287322</v>
      </c>
      <c r="E43" s="6" t="n">
        <v>22030</v>
      </c>
      <c r="F43" s="6" t="n"/>
    </row>
    <row r="44">
      <c r="A44" s="6" t="inlineStr">
        <is>
          <t>Loans and advances to credit institutions repayable on demand and overnight</t>
        </is>
      </c>
      <c r="B44" s="6" t="n">
        <v>2995</v>
      </c>
      <c r="C44" s="6" t="n">
        <v>215</v>
      </c>
      <c r="D44" s="6" t="n">
        <v>271</v>
      </c>
      <c r="E44" s="6" t="n">
        <v>291</v>
      </c>
      <c r="F44" s="6" t="n"/>
    </row>
    <row r="45">
      <c r="A45" s="6" t="inlineStr">
        <is>
          <t>Cash at bank and in hand (FY2021 only - no central bank/credit institution split disclosed that year)</t>
        </is>
      </c>
      <c r="B45" s="6" t="n"/>
      <c r="C45" s="6" t="n"/>
      <c r="D45" s="6" t="n"/>
      <c r="E45" s="6" t="n"/>
      <c r="F45" s="6" t="n">
        <v>4940</v>
      </c>
    </row>
    <row r="47" ht="409" customHeight="1">
      <c r="A47" s="8" t="inlineStr">
        <is>
          <t>Sources - GB Bank Limited's own audited Companies House accounts (all 5 filings scanned/image-only, visually transcribed):
FY2021: Full accounts made up to 31 December 2021 (filed 6 Oct 2022), Statement of Financial Position p.21, Income Statement p.20, Statement of Changes in Equity p.22 - https://find-and-update.company-information.service.gov.uk/company/10702260/filing-history/MzM1Mzg0NjcwMWFkaXF6a2N4/document?format=pdf&amp;download=0
FY2022: Full accounts made up to 31 December 2022 (filed 7 Oct 2023), Statement of Financial Position p.25, Statement of Comprehensive Income p.24, Statement of Changes in Equity p.26 - https://find-and-update.company-information.service.gov.uk/company/10702260/filing-history/MzM5NTYwNDEwOWFkaXF6a2N4/document?format=pdf&amp;download=0
FY2023: Full accounts made up to 31 December 2023 (filed 9 Oct 2024), Statement of Financial Position p.26, Statement of Comprehensive Income p.25, Statement of Changes in Equity p.27, Note 11 Loans and advances to customers p.42 - https://find-and-update.company-information.service.gov.uk/company/10702260/filing-history/MzQzODI5NTI3M2FkaXF6a2N4/document?format=pdf&amp;download=0
FY2024: Full accounts for the 9-month period to 30 September 2024 (filed 28 Mar 2025), Statement of Financial Position p.26, Statement of Comprehensive Income p.25, Statement of Changes in Equity p.27, Note 12 Loans and advances to customers p.44 - https://find-and-update.company-information.service.gov.uk/company/10702260/filing-history/MzQ2MDE5MzkwMWFkaXF6a2N4/document?format=pdf&amp;download=0
FY2025: Full accounts for the year to 30 September 2025 (filed 6 Jan 2026), Consolidated statement of financial position p.43, Consolidated statement of comprehensive income p.42, Consolidated statement of changes in equity p.45, Note 13 Loans and advances to customers p.67-68 - https://find-and-update.company-information.service.gov.uk/company/10702260/filing-history/MzQ5Njg4NzE4MGFkaXF6a2N4/document?format=pdf&amp;download=0
CASH FLOW BACKFILL NOTE (2026-09-03 follow-up): transcribed from each year's own Statement of Cash Flows / Consolidated statement of cash flows in the same 5 Companies House filings used for the other statement sheets (all scanned/image-only, visually transcribed) - FY2021 p.23, FY2022 p.27, FY2023 p.28, FY2024 p.28 (9-month period), FY2025 p.47 (Consolidated). PRESENTATION NOTE: the operating-activities adjustment lines change structure over time - FY2021/FY2022 use a 'Tax credit'/'Tax credit received' pair; FY2023 switches to '(increase) in net corporation tax asset'; FY2024/FY2025 switch again to separate interest income/expense adjustment lines plus memo 'Interest received'/'Interest paid' cash lines - each year's own captions are used as-is, not forced into one template. GENUINE DISCREPANCY, not force-reconciled: FY2025's own report states its opening cash balance as £420,212k, £2k below FY2024's own report's closing balance of £420,214k - both figures reproduced as disclosed. GENUINE RELABELLING, not a data error: the £29,291k line in FY2024's own report is captioned 'Proceeds from the maturity of debt securities' (used here, per project convention of using each year's own originally-published label); the FY2025 report's own FY2024 comparative column re-labels the same £29,291k figure as 'Purchase of equity investment' - a presentation reclassification in the later filing, not reproduced here. The Balance Sheet sheet's single 'Cash and cash equivalents' line only ever captures the 'Cash and balances at central banks' sub-component shown here - the 'comprise' breakdown above explains the gap to this sheet's own closing cash total for FY2022-FY2025 (FY2021 had no such split, a single 'Cash at bank and in hand' line, which does tie exactly to the Balance Sheet).
ENTITY AND REPORTING BASIS: GB Bank Limited (Companies House 10702260; PRA FRN 850286) is the matched UK legal entity. The 2022-2025 Pillar 3 reports state that the reported figures are prepared on a solo basis. The 2025 report additionally records PRA permission, backdated to 1 October 2025, for an individual-consolidation method including SilverRock Financial Services Ltd going forward; the main 30 September 2025 table remains solo and is used here. GB Bank states that it publishes Pillar 3 annually under CRR Article 433b as a small and non-complex bank. FY2024 is a shortened nine-month period ended 30 September 2024 after the accounting period end changed; FY2021-FY2023 end on 31 December and FY2025 ends 30 September. STATEMENTS BASIS: the Balance Sheet, Profit &amp; Loss, Statement of Changes in Equity and Asset Quality sheets below are sourced from GB Bank Limited's own audited Companies House accounts (all 5 filings scanned/image-only, visually transcribed), not the Pillar 3 archive. FY2021-FY2024 are Company-only (GB Bank Limited had no subsidiaries in those years). FY2025 is a GENUINE ENTITY-BASIS CHANGE to Group-Consolidated: during the year GB Bank Limited acquired SilverRock Financial Services Ltd as a subsidiary (goodwill £5,497k recognised; Consolidated statement of cash flows shows 'Acquisition of subsidiary, net of cash acquired' £(12,753)k), and the Company took the Companies Act 2006 s.408 exemption from presenting its own individual profit and loss account - only Group P&amp;L is published for FY2025. The Group and Company Balance Sheets differ only modestly for FY2025 (Group Total equity £110,003k vs Company Total equity £111,194k, driven by consolidation adjustments); Balance Sheet/P&amp;L/Equity below use the GROUP basis for FY2025 for internal consistency (P&amp;L is only available on Group basis, and the Group Balance Sheet ties exactly to the Group equity roll-forward's own closing balance). The FY2024 opening equity balance is identical under both bases (no subsidiary existed yet), so no plug row is needed at the FY2024/FY2025 boundary despite the basis change. The Company's own FY2025 profit after tax (disclosed separately) was £6,614k vs the Group's £5,424k used here.</t>
        </is>
      </c>
    </row>
  </sheetData>
  <mergeCells count="1">
    <mergeCell ref="A47:F4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s>
  <sheetData>
    <row r="1">
      <c r="A1" s="1" t="inlineStr">
        <is>
          <t>GB Bank Limited — Asset Quality / Credit Risk Disclosures</t>
        </is>
      </c>
    </row>
    <row r="2">
      <c r="A2" s="2" t="inlineStr">
        <is>
          <t>Company-only basis FY2023-FY2024; Group-consolidated basis FY2025. FRS 102/IAS 39 incurred-loss impairment model, not IFRS 9 staged. £'000.</t>
        </is>
      </c>
    </row>
    <row r="3">
      <c r="A3" s="4" t="inlineStr">
        <is>
          <t>Line item</t>
        </is>
      </c>
      <c r="B3" s="4" t="inlineStr">
        <is>
          <t>FY2025 (£'000)</t>
        </is>
      </c>
      <c r="C3" s="4" t="inlineStr">
        <is>
          <t>FY2024 (£'000)</t>
        </is>
      </c>
      <c r="D3" s="4" t="inlineStr">
        <is>
          <t>FY2023 (£'000)</t>
        </is>
      </c>
    </row>
    <row r="4">
      <c r="A4" s="5" t="inlineStr">
        <is>
          <t>Loans and advances to customers, gross, by security type (FY2021/FY2022: no customer lending)</t>
        </is>
      </c>
      <c r="B4" s="6" t="n"/>
      <c r="C4" s="6" t="n"/>
      <c r="D4" s="6" t="n"/>
    </row>
    <row r="5">
      <c r="A5" s="6" t="inlineStr">
        <is>
          <t>Loans secured on property</t>
        </is>
      </c>
      <c r="B5" s="6" t="n">
        <v>462117</v>
      </c>
      <c r="C5" s="6" t="n">
        <v>80622</v>
      </c>
      <c r="D5" s="6" t="n">
        <v>22311</v>
      </c>
    </row>
    <row r="6">
      <c r="A6" s="6" t="inlineStr">
        <is>
          <t>Loans secured on land</t>
        </is>
      </c>
      <c r="B6" s="6" t="n">
        <v>2529</v>
      </c>
      <c r="C6" s="6" t="n">
        <v>6363</v>
      </c>
      <c r="D6" s="6" t="n">
        <v>3077</v>
      </c>
    </row>
    <row r="7">
      <c r="A7" s="5" t="inlineStr">
        <is>
          <t>Total gross loans and advances to customers</t>
        </is>
      </c>
      <c r="B7" s="5" t="n">
        <v>464646</v>
      </c>
      <c r="C7" s="5" t="n">
        <v>86985</v>
      </c>
      <c r="D7" s="5" t="n">
        <v>25388</v>
      </c>
    </row>
    <row r="8">
      <c r="A8" s="5" t="inlineStr">
        <is>
          <t>Impairment provision (FRS 102 / IAS 39 incurred-loss model - not IFRS 9 staged)</t>
        </is>
      </c>
      <c r="B8" s="6" t="n"/>
      <c r="C8" s="6" t="n"/>
      <c r="D8" s="6" t="n"/>
    </row>
    <row r="9">
      <c r="A9" s="6" t="inlineStr">
        <is>
          <t>Total impairment provision (collective + specific)</t>
        </is>
      </c>
      <c r="B9" s="6" t="n">
        <v>604</v>
      </c>
      <c r="C9" s="6" t="n">
        <v>692</v>
      </c>
      <c r="D9" s="6" t="n">
        <v>0</v>
      </c>
    </row>
    <row r="10">
      <c r="A10" s="5" t="inlineStr">
        <is>
          <t>Net loans and advances to customers</t>
        </is>
      </c>
      <c r="B10" s="5" t="n">
        <v>464042</v>
      </c>
      <c r="C10" s="5" t="n">
        <v>86293</v>
      </c>
      <c r="D10" s="5" t="n">
        <v>25388</v>
      </c>
    </row>
    <row r="11">
      <c r="A11" s="5" t="inlineStr">
        <is>
          <t>Ratios</t>
        </is>
      </c>
      <c r="B11" s="6" t="n"/>
      <c r="C11" s="6" t="n"/>
      <c r="D11" s="6" t="n"/>
    </row>
    <row r="12">
      <c r="A12" s="6" t="inlineStr">
        <is>
          <t>Impairment coverage ratio (provision / gross loans)</t>
        </is>
      </c>
      <c r="B12" s="6" t="inlineStr">
        <is>
          <t>0.13%</t>
        </is>
      </c>
      <c r="C12" s="6" t="inlineStr">
        <is>
          <t>0.80%</t>
        </is>
      </c>
      <c r="D12" s="6" t="inlineStr">
        <is>
          <t>0.00%</t>
        </is>
      </c>
    </row>
    <row r="14" ht="380" customHeight="1">
      <c r="A14" s="8" t="inlineStr">
        <is>
          <t>Sources - GB Bank Limited's own audited Companies House accounts (all 5 filings scanned/image-only, visually transcribed):
FY2021: Full accounts made up to 31 December 2021 (filed 6 Oct 2022), Statement of Financial Position p.21, Income Statement p.20, Statement of Changes in Equity p.22 - https://find-and-update.company-information.service.gov.uk/company/10702260/filing-history/MzM1Mzg0NjcwMWFkaXF6a2N4/document?format=pdf&amp;download=0
FY2022: Full accounts made up to 31 December 2022 (filed 7 Oct 2023), Statement of Financial Position p.25, Statement of Comprehensive Income p.24, Statement of Changes in Equity p.26 - https://find-and-update.company-information.service.gov.uk/company/10702260/filing-history/MzM5NTYwNDEwOWFkaXF6a2N4/document?format=pdf&amp;download=0
FY2023: Full accounts made up to 31 December 2023 (filed 9 Oct 2024), Statement of Financial Position p.26, Statement of Comprehensive Income p.25, Statement of Changes in Equity p.27, Note 11 Loans and advances to customers p.42 - https://find-and-update.company-information.service.gov.uk/company/10702260/filing-history/MzQzODI5NTI3M2FkaXF6a2N4/document?format=pdf&amp;download=0
FY2024: Full accounts for the 9-month period to 30 September 2024 (filed 28 Mar 2025), Statement of Financial Position p.26, Statement of Comprehensive Income p.25, Statement of Changes in Equity p.27, Note 12 Loans and advances to customers p.44 - https://find-and-update.company-information.service.gov.uk/company/10702260/filing-history/MzQ2MDE5MzkwMWFkaXF6a2N4/document?format=pdf&amp;download=0
FY2025: Full accounts for the year to 30 September 2025 (filed 6 Jan 2026), Consolidated statement of financial position p.43, Consolidated statement of comprehensive income p.42, Consolidated statement of changes in equity p.45, Note 13 Loans and advances to customers p.67-68 - https://find-and-update.company-information.service.gov.uk/company/10702260/filing-history/MzQ5Njg4NzE4MGFkaXF6a2N4/document?format=pdf&amp;download=0
Note 3 'Judgements in applying accounting policies...' (FY2024 accounts, p.36) confirms the Bank assesses impairment under FRS 102 + IAS 39's incurred-loss methodology (individual assessments for loans in default, collective assessments otherwise) - there is therefore no IFRS 9 Stage 1/2/3 split to disclose, unlike most other banks in this project. FY2023: the Bank 'has not identified any incurred losses in the year' (Note 11, FY2023 accounts) - £nil provision is a genuine finding, not a gap. FY2024: 3 loans in default at 30 September 2024, £0.4m loan loss provision recognised (Note 3, FY2024 accounts, p.36). FY2025 (Group): provision roll-forward from £692k opening to £604k closing (£348k specific charge on the property book, a £245k net release plus £191k written off on the land book) - Note 13, FY2025 accounts, p.68.</t>
        </is>
      </c>
    </row>
    <row r="16" ht="380" customHeight="1">
      <c r="A16" s="8" t="inlineStr">
        <is>
          <t>(continued)
ENTITY AND REPORTING BASIS: GB Bank Limited (Companies House 10702260; PRA FRN 850286) is the matched UK legal entity. The 2022-2025 Pillar 3 reports state that the reported figures are prepared on a solo basis. The 2025 report additionally records PRA permission, backdated to 1 October 2025, for an individual-consolidation method including SilverRock Financial Services Ltd going forward; the main 30 September 2025 table remains solo and is used here. GB Bank states that it publishes Pillar 3 annually under CRR Article 433b as a small and non-complex bank. FY2024 is a shortened nine-month period ended 30 September 2024 after the accounting period end changed; FY2021-FY2023 end on 31 December and FY2025 ends 30 September. STATEMENTS BASIS: the Balance Sheet, Profit &amp; Loss, Statement of Changes in Equity and Asset Quality sheets below are sourced from GB Bank Limited's own audited Companies House accounts (all 5 filings scanned/image-only, visually transcribed), not the Pillar 3 archive. FY2021-FY2024 are Company-only (GB Bank Limited had no subsidiaries in those years). FY2025 is a GENUINE ENTITY-BASIS CHANGE to Group-Consolidated: during the year GB Bank Limited acquired SilverRock Financial Services Ltd as a subsidiary (goodwill £5,497k recognised; Consolidated statement of cash flows shows 'Acquisition of subsidiary, net of cash acquired' £(12,753)k), and the Company took the Companies Act 2006 s.408 exemption from presenting its own individual profit and loss account - only Group P&amp;L is published for FY2025. The Group and Company Balance Sheets differ only modestly for FY2025 (Group Total equity £110,003k vs Company Total equity £111,194k, driven by consolidation adjustments); Balance Sheet/P&amp;L/Equity below use the GROUP basis for FY2025 for internal consistency (P&amp;L is only available on Group basis, and the Group Balance Sheet ties exactly to the Group equity roll-forward's own closing balance). The FY2024 opening equity balance is identical under both bases (no subsidiary existed yet), so no plug row is needed at the FY2024/FY2025 boundary despite the basis change. The Company's own FY2025 profit after tax (disclosed separately) was £6,614k vs the Group's £5,424k used here.</t>
        </is>
      </c>
    </row>
  </sheetData>
  <mergeCells count="2">
    <mergeCell ref="A16:D16"/>
    <mergeCell ref="A14:D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GB Bank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row>
    <row r="4">
      <c r="A4" s="6" t="inlineStr">
        <is>
          <t>Return on equity - average equity basis</t>
        </is>
      </c>
      <c r="B4" s="6" t="inlineStr">
        <is>
          <t>6.05%</t>
        </is>
      </c>
      <c r="C4" s="6" t="inlineStr">
        <is>
          <t>-13.02%</t>
        </is>
      </c>
      <c r="D4" s="6" t="inlineStr">
        <is>
          <t>-33.95%</t>
        </is>
      </c>
      <c r="E4" s="6" t="inlineStr">
        <is>
          <t>-44.05%</t>
        </is>
      </c>
      <c r="F4" s="6" t="n"/>
    </row>
    <row r="5">
      <c r="A5" s="6" t="inlineStr">
        <is>
          <t>Return on equity - year-end equity basis</t>
        </is>
      </c>
      <c r="B5" s="6" t="inlineStr">
        <is>
          <t>4.93%</t>
        </is>
      </c>
      <c r="C5" s="6" t="inlineStr">
        <is>
          <t>-8.33%</t>
        </is>
      </c>
      <c r="D5" s="6" t="inlineStr">
        <is>
          <t>-36.42%</t>
        </is>
      </c>
      <c r="E5" s="6" t="inlineStr">
        <is>
          <t>-38.52%</t>
        </is>
      </c>
      <c r="F5" s="6" t="inlineStr">
        <is>
          <t>-49.35%</t>
        </is>
      </c>
    </row>
    <row r="6">
      <c r="A6" s="6" t="inlineStr">
        <is>
          <t>Return on assets - average assets basis</t>
        </is>
      </c>
      <c r="B6" s="6" t="inlineStr">
        <is>
          <t>0.29%</t>
        </is>
      </c>
      <c r="C6" s="6" t="inlineStr">
        <is>
          <t>-0.77%</t>
        </is>
      </c>
      <c r="D6" s="6" t="inlineStr">
        <is>
          <t>-3.80%</t>
        </is>
      </c>
      <c r="E6" s="6" t="inlineStr">
        <is>
          <t>-32.45%</t>
        </is>
      </c>
      <c r="F6" s="6" t="n"/>
    </row>
    <row r="7">
      <c r="A7" s="6" t="inlineStr">
        <is>
          <t>Return on assets - year-end assets basis</t>
        </is>
      </c>
      <c r="B7" s="6" t="inlineStr">
        <is>
          <t>0.21%</t>
        </is>
      </c>
      <c r="C7" s="6" t="inlineStr">
        <is>
          <t>-0.50%</t>
        </is>
      </c>
      <c r="D7" s="6" t="inlineStr">
        <is>
          <t>-2.10%</t>
        </is>
      </c>
      <c r="E7" s="6" t="inlineStr">
        <is>
          <t>-24.40%</t>
        </is>
      </c>
      <c r="F7" s="6" t="inlineStr">
        <is>
          <t>-46.50%</t>
        </is>
      </c>
    </row>
    <row r="8">
      <c r="A8" s="6" t="inlineStr">
        <is>
          <t>GB Bank Limited's own published return</t>
        </is>
      </c>
      <c r="B8" s="6" t="inlineStr">
        <is>
          <t>Not published</t>
        </is>
      </c>
      <c r="C8" s="6" t="inlineStr">
        <is>
          <t>Not published</t>
        </is>
      </c>
      <c r="D8" s="6" t="inlineStr">
        <is>
          <t>Not published</t>
        </is>
      </c>
      <c r="E8" s="6" t="inlineStr">
        <is>
          <t>Not published</t>
        </is>
      </c>
      <c r="F8" s="6" t="inlineStr">
        <is>
          <t>Not published</t>
        </is>
      </c>
    </row>
    <row r="9" ht="299" customHeight="1">
      <c r="A9" s="7" t="inlineStr">
        <is>
          <t>Note: COMPUTED, NOT PUBLISHED. GB Bank Limited publishes NO ROE, ROA or RoTE in its Annual Report and Financial Statements for the 12 months ended 30 September 2025 (105 pages, Companies House 'Full accounts made up to 30 September 2025', filed 06 Jan 2026). The filing is a scan with no text layer (pdftotext returns 0 bytes), so all 105 pages were rendered at 130 dpi and OCR'd; searches for 'return on', '\bROE\b', '\bROA\b', 'RoTE|ROTE' returned ZERO hits across the whole document. The Strategic Report's 'Key Metrics' table (printed p.4, PDF p.6) carries eleven rows - Profit before tax, Profit after tax, Adjusted Operating Profit, Total Assets, Loans and advances to customers, Deposit liabilities, Total liquidity, Net interest income, Loan loss provisions, Total equity, CET1 - and the only APM defined is Adjusted Operating Profit. No profitability ratio.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FY2022, where return on equity is -44.05% on an average basis and -38.52% on a year-end basis.
FY2024 DOES NOT COVER TWELVE MONTHS, SO IT IS NOT AN ANNUAL RETURN. FY2024 is a shortened 9-month period ended 30 September 2024, after the accounting period end changed. The start date is not printed in the Bank's own accounts; the prior column ends 31 December 2023. A return divides a profit-and-loss FLOW by a balance-sheet STOCK, so where the flow covers more or less than a year the quotient is scaled by that period and cannot be read against the columns either side of it. The figures above are printed anyway, and deliberately: both inputs are figures the bank itself published, and the ratio of them is exact. What is wrong is only the interpretation, which this paragraph supplies. They are NOT annualised - a pro-rata adjustment would be this project's arithmetic on a period the bank never annualised, and would invent a figure with no published counterpart.
FY2021 HAS NO AVERAGE-BASIS RATIO, AND THAT IS CORRECT. An average denominator needs an opening balance, and FY2021 is the oldest column this workbook carries, so there is no prior year to open from. The blank is structural, not a missing figure. The year-end basis is shown for FY2021 because it needs only the closing balance.</t>
        </is>
      </c>
    </row>
    <row r="11" ht="170" customHeight="1">
      <c r="A11" s="8" t="inlineStr">
        <is>
          <t>Computed by this workbook's own build script from the Profit &amp; Loss and Balance Sheet sheets of this same workbook - the Profit &amp; Loss row “profit/(loss) for the year/period” and the Balance Sheet rows “total equity” and “total assets”, resolved BY LABEL at build time through the shared resolver scripts/profitability_rows.py, so this sheet cannot drift from the statements it summarises. Those rows are themselves transcribed from GB Bank Limited's Annual Report and Accounts for each year; see the source cells on the Balance Sheet and Profit &amp; Loss sheets for the exact document, page and table behind every input to every percentage above.
The finding that GB Bank Limited publishes no return of its own is recorded in research/profitability/published_returns.jsonl under ‘GB BANK’, verified against the bank's own annual report rendered at 300 dpi.</t>
        </is>
      </c>
    </row>
  </sheetData>
  <mergeCells count="2">
    <mergeCell ref="A11:F11"/>
    <mergeCell ref="A9:F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GB Bank Limited — KM1 Key Metrics</t>
        </is>
      </c>
    </row>
    <row r="2">
      <c r="A2" s="2" t="inlineStr">
        <is>
          <t>The Bank's own UK KM1 key-metrics template (solo basis), reproduced in its own row order, labels and precision. Amounts in £'000, ratios as printed. The template is printed unnumbered and is left unnumbered here. FY2025 and FY2024 are 30 September period-ends, FY2023 and earlier 31 December. FY2021 is the 2022 edition's comparative column (no FY2021 edition exists). Two printed source defects are reproduced rather than corrected - see the note.</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t>
        </is>
      </c>
      <c r="B4" s="6" t="n"/>
      <c r="C4" s="6" t="n"/>
      <c r="D4" s="6" t="n"/>
      <c r="E4" s="6" t="n"/>
      <c r="F4" s="6" t="n"/>
    </row>
    <row r="5">
      <c r="A5" s="6" t="inlineStr">
        <is>
          <t>Common Equity Tier 1 capital (CET1) (£'000)</t>
        </is>
      </c>
      <c r="B5" s="6" t="n">
        <v>104969</v>
      </c>
      <c r="C5" s="6" t="n">
        <v>69270</v>
      </c>
      <c r="D5" s="6" t="n">
        <v>19299</v>
      </c>
      <c r="E5" s="6" t="n">
        <v>22096</v>
      </c>
      <c r="F5" s="6" t="n">
        <v>16586</v>
      </c>
    </row>
    <row r="6">
      <c r="A6" s="6" t="inlineStr">
        <is>
          <t>Tier 1 capital (£'000)</t>
        </is>
      </c>
      <c r="B6" s="6" t="n">
        <v>104969</v>
      </c>
      <c r="C6" s="6" t="n">
        <v>69270</v>
      </c>
      <c r="D6" s="6" t="n">
        <v>19299</v>
      </c>
      <c r="E6" s="6" t="n">
        <v>22096</v>
      </c>
      <c r="F6" s="6" t="n">
        <v>16586</v>
      </c>
    </row>
    <row r="7">
      <c r="A7" s="6" t="inlineStr">
        <is>
          <t>Total capital (£'000)</t>
        </is>
      </c>
      <c r="B7" s="6" t="n">
        <v>104969</v>
      </c>
      <c r="C7" s="6" t="n">
        <v>69270</v>
      </c>
      <c r="D7" s="6" t="n">
        <v>19299</v>
      </c>
      <c r="E7" s="6" t="n">
        <v>22096</v>
      </c>
      <c r="F7" s="6" t="n">
        <v>16586</v>
      </c>
    </row>
    <row r="8">
      <c r="A8" s="5" t="inlineStr">
        <is>
          <t>Risk-weighted exposure amounts</t>
        </is>
      </c>
      <c r="B8" s="6" t="n"/>
      <c r="C8" s="6" t="n"/>
      <c r="D8" s="6" t="n"/>
      <c r="E8" s="6" t="n"/>
      <c r="F8" s="6" t="n"/>
    </row>
    <row r="9">
      <c r="A9" s="6" t="inlineStr">
        <is>
          <t>Total risk-weighted exposure amount (£'000)</t>
        </is>
      </c>
      <c r="B9" s="6" t="n">
        <v>548458</v>
      </c>
      <c r="C9" s="6" t="n">
        <v>151536</v>
      </c>
      <c r="D9" s="6" t="n">
        <v>2735</v>
      </c>
      <c r="E9" s="6" t="n">
        <v>2089</v>
      </c>
      <c r="F9" s="6" t="n">
        <v>4112</v>
      </c>
    </row>
    <row r="10">
      <c r="A10" s="5" t="inlineStr">
        <is>
          <t>Capital ratios (as a percentage of risk-weighted exposure amount)</t>
        </is>
      </c>
      <c r="B10" s="6" t="n"/>
      <c r="C10" s="6" t="n"/>
      <c r="D10" s="6" t="n"/>
      <c r="E10" s="6" t="n"/>
      <c r="F10" s="6" t="n"/>
    </row>
    <row r="11">
      <c r="A11" s="6" t="inlineStr">
        <is>
          <t>Common Equity Tier 1 ratio (%)</t>
        </is>
      </c>
      <c r="B11" s="6" t="inlineStr">
        <is>
          <t>19.14%</t>
        </is>
      </c>
      <c r="C11" s="6" t="inlineStr">
        <is>
          <t>45.71%</t>
        </is>
      </c>
      <c r="D11" s="6" t="inlineStr">
        <is>
          <t>56.46%</t>
        </is>
      </c>
      <c r="E11" s="6" t="inlineStr">
        <is>
          <t>234.21%</t>
        </is>
      </c>
      <c r="F11" s="6" t="inlineStr">
        <is>
          <t>403.37%</t>
        </is>
      </c>
    </row>
    <row r="12">
      <c r="A12" s="6" t="inlineStr">
        <is>
          <t>Tier 1 ratio (%)</t>
        </is>
      </c>
      <c r="B12" s="6" t="inlineStr">
        <is>
          <t>19.14%</t>
        </is>
      </c>
      <c r="C12" s="6" t="inlineStr">
        <is>
          <t>45.71%</t>
        </is>
      </c>
      <c r="D12" s="6" t="inlineStr">
        <is>
          <t>56.46%</t>
        </is>
      </c>
      <c r="E12" s="6" t="inlineStr">
        <is>
          <t>234.21%</t>
        </is>
      </c>
      <c r="F12" s="6" t="inlineStr">
        <is>
          <t>403.37%</t>
        </is>
      </c>
    </row>
    <row r="13">
      <c r="A13" s="6" t="inlineStr">
        <is>
          <t>Total capital ratio (%)</t>
        </is>
      </c>
      <c r="B13" s="6" t="inlineStr">
        <is>
          <t>19.14%</t>
        </is>
      </c>
      <c r="C13" s="6" t="inlineStr">
        <is>
          <t>45.71%</t>
        </is>
      </c>
      <c r="D13" s="6" t="inlineStr">
        <is>
          <t>56.46%</t>
        </is>
      </c>
      <c r="E13" s="6" t="inlineStr">
        <is>
          <t>234.21%</t>
        </is>
      </c>
      <c r="F13" s="6" t="inlineStr">
        <is>
          <t>403.37%</t>
        </is>
      </c>
    </row>
    <row r="14">
      <c r="A14" s="5" t="inlineStr">
        <is>
          <t>Additional own funds requirements based on SREP (as a percentage of risk-weighted exposure amount)</t>
        </is>
      </c>
      <c r="B14" s="6" t="n"/>
      <c r="C14" s="6" t="n"/>
      <c r="D14" s="6" t="n"/>
      <c r="E14" s="6" t="n"/>
      <c r="F14" s="6" t="n"/>
    </row>
    <row r="15">
      <c r="A15" s="6" t="inlineStr">
        <is>
          <t>Additional CET1 SREP requirements (%)</t>
        </is>
      </c>
      <c r="B15" s="6" t="inlineStr">
        <is>
          <t>2.17%</t>
        </is>
      </c>
      <c r="C15" s="6" t="inlineStr">
        <is>
          <t>4.16%</t>
        </is>
      </c>
      <c r="D15" s="6" t="inlineStr">
        <is>
          <t>4.16%</t>
        </is>
      </c>
      <c r="E15" s="6" t="inlineStr">
        <is>
          <t>4.16%</t>
        </is>
      </c>
      <c r="F15" s="6" t="inlineStr">
        <is>
          <t>80.94%</t>
        </is>
      </c>
    </row>
    <row r="16">
      <c r="A16" s="6" t="inlineStr">
        <is>
          <t>Additional AT1 SREP requirements (%)</t>
        </is>
      </c>
      <c r="B16" s="6" t="inlineStr">
        <is>
          <t>0.74%</t>
        </is>
      </c>
      <c r="C16" s="6" t="inlineStr">
        <is>
          <t>1.41%</t>
        </is>
      </c>
      <c r="D16" s="6" t="inlineStr">
        <is>
          <t>1.41%</t>
        </is>
      </c>
      <c r="E16" s="6" t="inlineStr">
        <is>
          <t>1.41%</t>
        </is>
      </c>
      <c r="F16" s="6" t="inlineStr">
        <is>
          <t>27.46%</t>
        </is>
      </c>
    </row>
    <row r="17">
      <c r="A17" s="6" t="inlineStr">
        <is>
          <t>Additional T2 SREP requirements (%)</t>
        </is>
      </c>
      <c r="B17" s="6" t="inlineStr">
        <is>
          <t>0.97%</t>
        </is>
      </c>
      <c r="C17" s="6" t="inlineStr">
        <is>
          <t>1.86%</t>
        </is>
      </c>
      <c r="D17" s="6" t="inlineStr">
        <is>
          <t>1.86%</t>
        </is>
      </c>
      <c r="E17" s="6" t="inlineStr">
        <is>
          <t>1.86%</t>
        </is>
      </c>
      <c r="F17" s="6" t="inlineStr">
        <is>
          <t>36.13%</t>
        </is>
      </c>
    </row>
    <row r="18">
      <c r="A18" s="6" t="inlineStr">
        <is>
          <t>Total SREP own funds requirements (%)</t>
        </is>
      </c>
      <c r="B18" s="6" t="inlineStr">
        <is>
          <t>11.88%</t>
        </is>
      </c>
      <c r="C18" s="6" t="inlineStr">
        <is>
          <t>15.43%</t>
        </is>
      </c>
      <c r="D18" s="6" t="inlineStr">
        <is>
          <t>15.43%</t>
        </is>
      </c>
      <c r="E18" s="6" t="inlineStr">
        <is>
          <t>15.43%</t>
        </is>
      </c>
      <c r="F18" s="6" t="inlineStr">
        <is>
          <t>152.53%</t>
        </is>
      </c>
    </row>
    <row r="19">
      <c r="A19" s="5" t="inlineStr">
        <is>
          <t>Combined buffer requirement (as a percentage of risk-weighted exposure amount)</t>
        </is>
      </c>
      <c r="B19" s="6" t="n"/>
      <c r="C19" s="6" t="n"/>
      <c r="D19" s="6" t="n"/>
      <c r="E19" s="6" t="n"/>
      <c r="F19" s="6" t="n"/>
    </row>
    <row r="20">
      <c r="A20" s="6" t="inlineStr">
        <is>
          <t>Capital conservation buffer (%)</t>
        </is>
      </c>
      <c r="B20" s="6" t="inlineStr">
        <is>
          <t>2.50%</t>
        </is>
      </c>
      <c r="C20" s="6" t="inlineStr">
        <is>
          <t>2.50%</t>
        </is>
      </c>
      <c r="D20" s="6" t="inlineStr">
        <is>
          <t>2.50%</t>
        </is>
      </c>
      <c r="E20" s="6" t="inlineStr">
        <is>
          <t>2.50%</t>
        </is>
      </c>
      <c r="F20" s="6" t="inlineStr">
        <is>
          <t>2.50%</t>
        </is>
      </c>
    </row>
    <row r="21">
      <c r="A21" s="6" t="inlineStr">
        <is>
          <t>Institution specific countercyclical capital buffer (%)</t>
        </is>
      </c>
      <c r="B21" s="6" t="inlineStr">
        <is>
          <t>1.78%</t>
        </is>
      </c>
      <c r="C21" s="6" t="inlineStr">
        <is>
          <t>2.00%</t>
        </is>
      </c>
      <c r="D21" s="6" t="inlineStr">
        <is>
          <t>2.00%</t>
        </is>
      </c>
      <c r="E21" s="6" t="inlineStr">
        <is>
          <t>1%</t>
        </is>
      </c>
      <c r="F21" s="6" t="inlineStr">
        <is>
          <t>0%</t>
        </is>
      </c>
    </row>
    <row r="22">
      <c r="A22" s="6" t="inlineStr">
        <is>
          <t>Global Systemically Important Institution buffer (%)</t>
        </is>
      </c>
      <c r="B22" s="6" t="inlineStr">
        <is>
          <t>0.00%</t>
        </is>
      </c>
      <c r="C22" s="6" t="inlineStr">
        <is>
          <t>0.00%</t>
        </is>
      </c>
      <c r="D22" s="6" t="inlineStr">
        <is>
          <t>0.00%</t>
        </is>
      </c>
      <c r="E22" s="6" t="inlineStr">
        <is>
          <t>0%</t>
        </is>
      </c>
      <c r="F22" s="6" t="inlineStr">
        <is>
          <t>0%</t>
        </is>
      </c>
    </row>
    <row r="23">
      <c r="A23" s="6" t="inlineStr">
        <is>
          <t>Combined buffer requirement (%)</t>
        </is>
      </c>
      <c r="B23" s="6" t="inlineStr">
        <is>
          <t>4.28%</t>
        </is>
      </c>
      <c r="C23" s="6" t="inlineStr">
        <is>
          <t>4.50%</t>
        </is>
      </c>
      <c r="D23" s="6" t="inlineStr">
        <is>
          <t>4.50%</t>
        </is>
      </c>
      <c r="E23" s="6" t="inlineStr">
        <is>
          <t>3.50%</t>
        </is>
      </c>
      <c r="F23" s="6" t="inlineStr">
        <is>
          <t>2.50%</t>
        </is>
      </c>
    </row>
    <row r="24">
      <c r="A24" s="6" t="inlineStr">
        <is>
          <t>Overall capital requirements (%)</t>
        </is>
      </c>
      <c r="B24" s="6" t="inlineStr">
        <is>
          <t>16.16%</t>
        </is>
      </c>
      <c r="C24" s="6" t="inlineStr">
        <is>
          <t>19.93%</t>
        </is>
      </c>
      <c r="D24" s="6" t="inlineStr">
        <is>
          <t>19.93%</t>
        </is>
      </c>
      <c r="E24" s="6" t="inlineStr">
        <is>
          <t>18.93%</t>
        </is>
      </c>
      <c r="F24" s="6" t="inlineStr">
        <is>
          <t>155.03%</t>
        </is>
      </c>
    </row>
    <row r="25">
      <c r="A25" s="6" t="inlineStr">
        <is>
          <t>CET1 available after meeting the total SREP own funds requirements (%)</t>
        </is>
      </c>
      <c r="B25" s="6" t="inlineStr">
        <is>
          <t>37.93%</t>
        </is>
      </c>
      <c r="C25" s="6" t="inlineStr">
        <is>
          <t>25.78%</t>
        </is>
      </c>
      <c r="D25" s="6" t="inlineStr">
        <is>
          <t>36.53%</t>
        </is>
      </c>
      <c r="E25" s="6" t="inlineStr">
        <is>
          <t>218.78%</t>
        </is>
      </c>
      <c r="F25" s="6" t="inlineStr">
        <is>
          <t>250.84%</t>
        </is>
      </c>
    </row>
    <row r="26">
      <c r="A26" s="5" t="inlineStr">
        <is>
          <t>Leverage ratio</t>
        </is>
      </c>
      <c r="B26" s="6" t="n"/>
      <c r="C26" s="6" t="n"/>
      <c r="D26" s="6" t="n"/>
      <c r="E26" s="6" t="n"/>
      <c r="F26" s="6" t="n"/>
    </row>
    <row r="27">
      <c r="A27" s="6" t="inlineStr">
        <is>
          <t>Total exposure measure excluding claims on central banks (£'000)</t>
        </is>
      </c>
      <c r="B27" s="6" t="n">
        <v>2114122</v>
      </c>
      <c r="C27" s="6" t="n">
        <v>747677</v>
      </c>
      <c r="D27" s="6" t="n">
        <v>48734</v>
      </c>
      <c r="E27" s="6" t="n">
        <v>23445</v>
      </c>
      <c r="F27" s="6" t="n">
        <v>17606</v>
      </c>
    </row>
    <row r="28">
      <c r="A28" s="6" t="inlineStr">
        <is>
          <t>Leverage ratio excluding claims on central banks (%)</t>
        </is>
      </c>
      <c r="B28" s="6" t="inlineStr">
        <is>
          <t>4.97%</t>
        </is>
      </c>
      <c r="C28" s="6" t="inlineStr">
        <is>
          <t>9.26%</t>
        </is>
      </c>
      <c r="D28" s="6" t="inlineStr">
        <is>
          <t>39.60%</t>
        </is>
      </c>
      <c r="E28" s="6" t="inlineStr">
        <is>
          <t>94.25%</t>
        </is>
      </c>
      <c r="F28" s="6" t="inlineStr">
        <is>
          <t>94.21%</t>
        </is>
      </c>
    </row>
    <row r="29">
      <c r="A29" s="5" t="inlineStr">
        <is>
          <t>Liquidity Coverage Ratio</t>
        </is>
      </c>
      <c r="B29" s="6" t="n"/>
      <c r="C29" s="6" t="n"/>
      <c r="D29" s="6" t="n"/>
      <c r="E29" s="6" t="n"/>
      <c r="F29" s="6" t="n"/>
    </row>
    <row r="30">
      <c r="A30" s="6" t="inlineStr">
        <is>
          <t>Total high-quality liquid assets (HQLA) (Weighted value -average) (£'000)</t>
        </is>
      </c>
      <c r="B30" s="6" t="n">
        <v>1095636</v>
      </c>
      <c r="C30" s="6" t="n">
        <v>427498</v>
      </c>
      <c r="D30" s="6" t="n">
        <v>209812</v>
      </c>
      <c r="E30" s="6" t="n">
        <v>18436</v>
      </c>
      <c r="F30" s="6" t="n">
        <v>8698</v>
      </c>
    </row>
    <row r="31">
      <c r="A31" s="6" t="inlineStr">
        <is>
          <t>Cash outflows - Total weighted value (£'000)</t>
        </is>
      </c>
      <c r="B31" s="6" t="n">
        <v>524088</v>
      </c>
      <c r="C31" s="6" t="n">
        <v>142416</v>
      </c>
      <c r="D31" s="6" t="n">
        <v>50957</v>
      </c>
      <c r="E31" s="6" t="n">
        <v>153</v>
      </c>
      <c r="F31" s="6" t="n"/>
    </row>
    <row r="32">
      <c r="A32" s="6" t="inlineStr">
        <is>
          <t>Cash inflows - Total weighted value (£'000)</t>
        </is>
      </c>
      <c r="B32" s="6" t="n">
        <v>1908</v>
      </c>
      <c r="C32" s="6" t="n">
        <v>2593</v>
      </c>
      <c r="D32" s="6" t="n">
        <v>542</v>
      </c>
      <c r="E32" s="6" t="n">
        <v>61</v>
      </c>
      <c r="F32" s="6" t="n"/>
    </row>
    <row r="33">
      <c r="A33" s="6" t="inlineStr">
        <is>
          <t>Total net cash outflows (adjusted value) (£'000)</t>
        </is>
      </c>
      <c r="B33" s="6" t="n">
        <v>522180</v>
      </c>
      <c r="C33" s="6" t="n">
        <v>139823</v>
      </c>
      <c r="D33" s="6" t="n">
        <v>50415</v>
      </c>
      <c r="E33" s="6" t="n">
        <v>92</v>
      </c>
      <c r="F33" s="6" t="n">
        <v>0</v>
      </c>
    </row>
    <row r="34">
      <c r="A34" s="6" t="inlineStr">
        <is>
          <t>Liquidity coverage ratio (%)</t>
        </is>
      </c>
      <c r="B34" s="6" t="inlineStr">
        <is>
          <t>210%</t>
        </is>
      </c>
      <c r="C34" s="6" t="inlineStr">
        <is>
          <t>306%</t>
        </is>
      </c>
      <c r="D34" s="6" t="inlineStr">
        <is>
          <t>416%</t>
        </is>
      </c>
      <c r="E34" s="6" t="inlineStr">
        <is>
          <t>20,091%</t>
        </is>
      </c>
      <c r="F34" s="6" t="inlineStr">
        <is>
          <t>9999.99%</t>
        </is>
      </c>
    </row>
    <row r="35">
      <c r="A35" s="5" t="inlineStr">
        <is>
          <t>Net Stable Funding Ratio</t>
        </is>
      </c>
      <c r="B35" s="6" t="n"/>
      <c r="C35" s="6" t="n"/>
      <c r="D35" s="6" t="n"/>
      <c r="E35" s="6" t="n"/>
      <c r="F35" s="6" t="n"/>
    </row>
    <row r="36">
      <c r="A36" s="6" t="inlineStr">
        <is>
          <t>Total available stable funding (£'000)</t>
        </is>
      </c>
      <c r="B36" s="6" t="n">
        <v>2224154</v>
      </c>
      <c r="C36" s="6" t="n">
        <v>510589</v>
      </c>
      <c r="D36" s="6" t="n">
        <v>203914</v>
      </c>
      <c r="E36" s="6" t="n">
        <v>20742</v>
      </c>
      <c r="F36" s="6" t="n">
        <v>16546</v>
      </c>
    </row>
    <row r="37">
      <c r="A37" s="6" t="inlineStr">
        <is>
          <t>Total required stable funding (£'000)</t>
        </is>
      </c>
      <c r="B37" s="6" t="n">
        <v>1162308</v>
      </c>
      <c r="C37" s="6" t="n">
        <v>94820</v>
      </c>
      <c r="D37" s="6" t="n">
        <v>6041</v>
      </c>
      <c r="E37" s="6" t="n">
        <v>1006</v>
      </c>
      <c r="F37" s="6" t="n">
        <v>1696</v>
      </c>
    </row>
    <row r="38">
      <c r="A38" s="6" t="inlineStr">
        <is>
          <t>NSFR ratio (%)</t>
        </is>
      </c>
      <c r="B38" s="6" t="inlineStr">
        <is>
          <t>191%</t>
        </is>
      </c>
      <c r="C38" s="6" t="inlineStr">
        <is>
          <t>538%</t>
        </is>
      </c>
      <c r="D38" s="6" t="inlineStr">
        <is>
          <t>3,375%</t>
        </is>
      </c>
      <c r="E38" s="6" t="inlineStr">
        <is>
          <t>2061.89%</t>
        </is>
      </c>
      <c r="F38" s="6" t="inlineStr">
        <is>
          <t>978.24%</t>
        </is>
      </c>
    </row>
    <row r="40" ht="409" customHeight="1">
      <c r="A40" s="8" t="inlineStr">
        <is>
          <t>Sources - GB Bank Limited official annual Pillar 3 disclosures, solo basis:
FY2025: Pillar 3 Disclosures 2025, UK KM1 p.13 - https://www.gbbank.co.uk/download/5065/?tmstv=1766062359
FY2024: Pillar 3 Disclosures 2024, UK KM1 p.12 - https://www.gbbank.co.uk/download/4423/?tmstv=1760374514
FY2023: Pillar 3 Disclosures 2023, UK KM1 p.11 - https://www.gbbank.co.uk/download/4420/?tmstv=1760374863
FY2022 and FY2021: Pillar 3 Disclosures 2022, UK KM1 p.11 - https://www.gbbank.co.uk/download/4416/?tmstv=1760374739
Companies House entity record and filing history: https://find-and-update.company-information.service.gov.uk/company/10702260/filing-history
ENTITY AND REPORTING BASIS: GB Bank Limited (Companies House 10702260; PRA FRN 850286) is the matched UK legal entity. The 2022-2025 Pillar 3 reports state that the reported figures are prepared on a solo basis. The 2025 report additionally records PRA permission, backdated to 1 October 2025, for an individual-consolidation method including SilverRock Financial Services Ltd going forward; the main 30 September 2025 table remains solo and is used here. GB Bank states that it publishes Pillar 3 annually under CRR Article 433b as a small and non-complex bank. FY2024 is a shortened nine-month period ended 30 September 2024 after the accounting period end changed; FY2021-FY2023 end on 31 December and FY2025 ends 30 September.
KM1 key-metrics table, section 5 'Key Metrics', by edition (printed folios, not PDF sheet indices): FY2025 = Pillar 3 Disclosures 2025, folio 13 (solo table; a second, individual-consolidation table appears at folio 23, Appendix 3, and is NOT used here). FY2024 = Pillar 3 Disclosures 2024, folio 12. FY2023 = Pillar 3 Disclosures 2023, folio 11. FY2022 = Pillar 3 Disclosures 2022, folio 11. FY2021 = the 31 December 2021 comparative column of that same 2022 edition, folio 11.
KM1 KEY METRICS SHEET - WHAT THIS IS AND HOW IT WAS BUILT
GB Bank prints the UK KM1 key-metrics template UNNUMBERED. It is still the template: it carries the template's row set in the template's order (available own funds -&gt; risk-weighted exposure amounts -&gt; capital ratios -&gt; SREP add-ons -&gt; combined buffer -&gt; leverage -&gt; LCR -&gt; NSFR), which is the test that matters, not the presence of row numbers. Row numbers are NOT added here - the rows appear exactly as the Bank prints them.
EACH YEAR IS TAKEN FROM ITS OWN EDITION'S CURRENT-PERIOD COLUMN, not from a later edition's comparative, with one deliberate exception noted below. Where an edition's own figure differs from a later edition's restatement of the same year, the figure printed at the time is the one reproduced here and the divergence is recorded rather than reconciled away.
REPORTING-PERIOD CHANGE. The Bank moved its year-end from 31 December to 30 September. FY2023 and earlier columns are 31 December year-ends; FY2024 is the 30 September 2024 period and FY2025 the 30 September 2025 period. The columns are the Bank's own reporting periods and are NOT restated onto a common 12-month basis.
FY2021 IS A COMPARATIVE COLUMN, NOT AN OWN EDITION. No FY2021 Pillar 3 disclosure exists - the 2022 edition is the Bank's first - so the FY2021 column here is that edition's own 31 December 2021 comparative column, reproduced in the 2022 edition's row structure. This is disclosed rather than left blank because the Bank itself published these figures; it is flagged so the column is never mistaken for a FY2021-edition disclosure.</t>
        </is>
      </c>
    </row>
    <row r="42" ht="409" customHeight="1">
      <c r="A42" s="8" t="inlineStr">
        <is>
          <t>(continued)
TWO PRINTED SOURCE DEFECTS ARE REPRODUCED, NOT CORRECTED:
1. Total risk-weighted exposure amount. The 2023 edition prints 2,735 for FY2023 and the 2022 edition prints 2,089 for FY2022. Neither reconciles to its own edition's capital ratio (19,299/2,735 = 705%, not the 56.46% printed alongside it; 22,096/2,089 = 1,058%, not the 234.21% printed alongside it), whereas the later editions' restated 34,184 and 9,434 do reconcile exactly. The Total RWAs metric sheet in this workbook therefore carries 34,184 and 9,434, while THIS sheet carries 2,735 and 2,089 as printed. The resulting cross-check disagreement is expected and is the point: it preserves the difference between what was published at the time and what was published later.
2. NSFR block of the 2023 edition. Its FY2022 comparative column prints available stable funding 16,546 and required stable funding 1,696 - which are the 2022 edition's FY2021 figures, not its FY2022 figures (20,742 and 1,006) - while carrying a FY2022 NSFR ratio of 2,062%. That block is column-shifted. It does not affect this sheet, because FY2022 is taken from its own 2022 edition, but it is recorded here as a defect in the source.
BLANK, ZERO AND A CAPPED RATIO ARE THREE DIFFERENT THINGS in the FY2021 column and are reproduced as three different things: cash outflows and cash inflows are genuinely absent (blank); total net cash outflows prints a real 0; and the liquidity coverage ratio prints 9999.99%, a capped/placeholder value that is reproduced verbatim rather than recomputed from a zero denominator.
BASIS: SOLO. The 2025 edition prints the key-metrics template TWICE - once on a solo basis in section 5 (folio 13) and again in Appendix 3 'Individual Consolidated Reporting' (folio 23), the latter reflecting the PRA permission received 23 October 2025 to report on an individual consolidation basis (CRR Article 9) backdated to 1 October 2025, bringing SilverRock Financial Services Ltd into scope. The 2025 edition states expressly that all figures in the document are on a solo basis as at 30 September 2025 unless stated otherwise. THIS SHEET REPRODUCES THE SOLO TABLE, which is the basis the rest of this workbook is built on. The Appendix 3 individual-consolidation table is a different basis and is deliberately NOT merged into this column.</t>
        </is>
      </c>
    </row>
  </sheetData>
  <mergeCells count="2">
    <mergeCell ref="A40:F40"/>
    <mergeCell ref="A42:F4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GB Bank Limited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n">
        <v>104969</v>
      </c>
      <c r="C4" s="6" t="n">
        <v>69270</v>
      </c>
      <c r="D4" s="6" t="n">
        <v>19299</v>
      </c>
      <c r="E4" s="6" t="n">
        <v>22096</v>
      </c>
      <c r="F4" s="6" t="n">
        <v>16586</v>
      </c>
    </row>
    <row r="6" ht="210" customHeight="1">
      <c r="A6" s="8" t="inlineStr">
        <is>
          <t>Sources - GB Bank Limited official annual Pillar 3 disclosures, solo basis:
FY2025: Pillar 3 Disclosures 2025, UK KM1 p.13 - https://www.gbbank.co.uk/download/5065/?tmstv=1766062359
FY2024: Pillar 3 Disclosures 2024, UK KM1 p.12 - https://www.gbbank.co.uk/download/4423/?tmstv=1760374514
FY2023: Pillar 3 Disclosures 2023, UK KM1 p.11 - https://www.gbbank.co.uk/download/4420/?tmstv=1760374863
FY2022 and FY2021: Pillar 3 Disclosures 2022, UK KM1 p.11 - https://www.gbbank.co.uk/download/4416/?tmstv=1760374739
Companies House entity record and filing history: https://find-and-update.company-information.service.gov.uk/company/10702260/filing-history
ENTITY AND REPORTING BASIS: GB Bank Limited (Companies House 10702260; PRA FRN 850286) is the matched UK legal entity. The 2022-2025 Pillar 3 reports state that the reported figures are prepared on a solo basis. The 2025 report additionally records PRA permission, backdated to 1 October 2025, for an individual-consolidation method including SilverRock Financial Services Ltd going forward; the main 30 September 2025 table remains solo and is used here. GB Bank states that it publishes Pillar 3 annually under CRR Article 433b as a small and non-complex bank. FY2024 is a shortened nine-month period ended 30 September 2024 after the accounting period end changed; FY2021-FY2023 end on 31 December and FY2025 ends 30 September.</t>
        </is>
      </c>
    </row>
  </sheetData>
  <mergeCells count="1">
    <mergeCell ref="A6:F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GB Bank Limited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ratio</t>
        </is>
      </c>
      <c r="B4" s="6" t="inlineStr">
        <is>
          <t>19.14%</t>
        </is>
      </c>
      <c r="C4" s="6" t="inlineStr">
        <is>
          <t>45.71%</t>
        </is>
      </c>
      <c r="D4" s="6" t="inlineStr">
        <is>
          <t>56.46%</t>
        </is>
      </c>
      <c r="E4" s="6" t="inlineStr">
        <is>
          <t>234.21%</t>
        </is>
      </c>
      <c r="F4" s="6" t="inlineStr">
        <is>
          <t>403.37%</t>
        </is>
      </c>
    </row>
    <row r="6" ht="210" customHeight="1">
      <c r="A6" s="8" t="inlineStr">
        <is>
          <t>Sources - GB Bank Limited official annual Pillar 3 disclosures, solo basis:
FY2025: Pillar 3 Disclosures 2025, UK KM1 p.13 - https://www.gbbank.co.uk/download/5065/?tmstv=1766062359
FY2024: Pillar 3 Disclosures 2024, UK KM1 p.12 - https://www.gbbank.co.uk/download/4423/?tmstv=1760374514
FY2023: Pillar 3 Disclosures 2023, UK KM1 p.11 - https://www.gbbank.co.uk/download/4420/?tmstv=1760374863
FY2022 and FY2021: Pillar 3 Disclosures 2022, UK KM1 p.11 - https://www.gbbank.co.uk/download/4416/?tmstv=1760374739
Companies House entity record and filing history: https://find-and-update.company-information.service.gov.uk/company/10702260/filing-history
ENTITY AND REPORTING BASIS: GB Bank Limited (Companies House 10702260; PRA FRN 850286) is the matched UK legal entity. The 2022-2025 Pillar 3 reports state that the reported figures are prepared on a solo basis. The 2025 report additionally records PRA permission, backdated to 1 October 2025, for an individual-consolidation method including SilverRock Financial Services Ltd going forward; the main 30 September 2025 table remains solo and is used here. GB Bank states that it publishes Pillar 3 annually under CRR Article 433b as a small and non-complex bank. FY2024 is a shortened nine-month period ended 30 September 2024 after the accounting period end changed; FY2021-FY2023 end on 31 December and FY2025 ends 30 September.</t>
        </is>
      </c>
    </row>
  </sheetData>
  <mergeCells count="1">
    <mergeCell ref="A6:F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GB Bank Limited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n">
        <v>104969</v>
      </c>
      <c r="C4" s="6" t="n">
        <v>69270</v>
      </c>
      <c r="D4" s="6" t="n">
        <v>19299</v>
      </c>
      <c r="E4" s="6" t="n">
        <v>22096</v>
      </c>
      <c r="F4" s="6" t="n">
        <v>16586</v>
      </c>
    </row>
    <row r="5" ht="30" customHeight="1">
      <c r="A5" s="7" t="inlineStr">
        <is>
          <t>Note: No AT1 instruments are disclosed in the annual KM1 tables; Tier 1 equals CET1 throughout.</t>
        </is>
      </c>
    </row>
    <row r="7" ht="210" customHeight="1">
      <c r="A7" s="8" t="inlineStr">
        <is>
          <t>Sources - GB Bank Limited official annual Pillar 3 disclosures, solo basis:
FY2025: Pillar 3 Disclosures 2025, UK KM1 p.13 - https://www.gbbank.co.uk/download/5065/?tmstv=1766062359
FY2024: Pillar 3 Disclosures 2024, UK KM1 p.12 - https://www.gbbank.co.uk/download/4423/?tmstv=1760374514
FY2023: Pillar 3 Disclosures 2023, UK KM1 p.11 - https://www.gbbank.co.uk/download/4420/?tmstv=1760374863
FY2022 and FY2021: Pillar 3 Disclosures 2022, UK KM1 p.11 - https://www.gbbank.co.uk/download/4416/?tmstv=1760374739
Companies House entity record and filing history: https://find-and-update.company-information.service.gov.uk/company/10702260/filing-history
ENTITY AND REPORTING BASIS: GB Bank Limited (Companies House 10702260; PRA FRN 850286) is the matched UK legal entity. The 2022-2025 Pillar 3 reports state that the reported figures are prepared on a solo basis. The 2025 report additionally records PRA permission, backdated to 1 October 2025, for an individual-consolidation method including SilverRock Financial Services Ltd going forward; the main 30 September 2025 table remains solo and is used here. GB Bank states that it publishes Pillar 3 annually under CRR Article 433b as a small and non-complex bank. FY2024 is a shortened nine-month period ended 30 September 2024 after the accounting period end changed; FY2021-FY2023 end on 31 December and FY2025 ends 30 September.</t>
        </is>
      </c>
    </row>
  </sheetData>
  <mergeCells count="2">
    <mergeCell ref="A5:F5"/>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GB Bank Limited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19.14%</t>
        </is>
      </c>
      <c r="C4" s="6" t="inlineStr">
        <is>
          <t>45.71%</t>
        </is>
      </c>
      <c r="D4" s="6" t="inlineStr">
        <is>
          <t>56.46%</t>
        </is>
      </c>
      <c r="E4" s="6" t="inlineStr">
        <is>
          <t>234.21%</t>
        </is>
      </c>
      <c r="F4" s="6" t="inlineStr">
        <is>
          <t>403.37%</t>
        </is>
      </c>
    </row>
    <row r="6" ht="210" customHeight="1">
      <c r="A6" s="8" t="inlineStr">
        <is>
          <t>Sources - GB Bank Limited official annual Pillar 3 disclosures, solo basis:
FY2025: Pillar 3 Disclosures 2025, UK KM1 p.13 - https://www.gbbank.co.uk/download/5065/?tmstv=1766062359
FY2024: Pillar 3 Disclosures 2024, UK KM1 p.12 - https://www.gbbank.co.uk/download/4423/?tmstv=1760374514
FY2023: Pillar 3 Disclosures 2023, UK KM1 p.11 - https://www.gbbank.co.uk/download/4420/?tmstv=1760374863
FY2022 and FY2021: Pillar 3 Disclosures 2022, UK KM1 p.11 - https://www.gbbank.co.uk/download/4416/?tmstv=1760374739
Companies House entity record and filing history: https://find-and-update.company-information.service.gov.uk/company/10702260/filing-history
ENTITY AND REPORTING BASIS: GB Bank Limited (Companies House 10702260; PRA FRN 850286) is the matched UK legal entity. The 2022-2025 Pillar 3 reports state that the reported figures are prepared on a solo basis. The 2025 report additionally records PRA permission, backdated to 1 October 2025, for an individual-consolidation method including SilverRock Financial Services Ltd going forward; the main 30 September 2025 table remains solo and is used here. GB Bank states that it publishes Pillar 3 annually under CRR Article 433b as a small and non-complex bank. FY2024 is a shortened nine-month period ended 30 September 2024 after the accounting period end changed; FY2021-FY2023 end on 31 December and FY2025 ends 30 September.</t>
        </is>
      </c>
    </row>
  </sheetData>
  <mergeCells count="1">
    <mergeCell ref="A6:F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GB Bank Limited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t>
        </is>
      </c>
      <c r="B4" s="6" t="n">
        <v>104969</v>
      </c>
      <c r="C4" s="6" t="n">
        <v>69270</v>
      </c>
      <c r="D4" s="6" t="n">
        <v>19299</v>
      </c>
      <c r="E4" s="6" t="n">
        <v>22096</v>
      </c>
      <c r="F4" s="6" t="n">
        <v>16586</v>
      </c>
    </row>
    <row r="5" ht="30" customHeight="1">
      <c r="A5" s="7" t="inlineStr">
        <is>
          <t>Note: No AT1 or Tier 2 instruments are disclosed in the annual KM1 tables; total capital equals CET1 throughout.</t>
        </is>
      </c>
    </row>
    <row r="7" ht="210" customHeight="1">
      <c r="A7" s="8" t="inlineStr">
        <is>
          <t>Sources - GB Bank Limited official annual Pillar 3 disclosures, solo basis:
FY2025: Pillar 3 Disclosures 2025, UK KM1 p.13 - https://www.gbbank.co.uk/download/5065/?tmstv=1766062359
FY2024: Pillar 3 Disclosures 2024, UK KM1 p.12 - https://www.gbbank.co.uk/download/4423/?tmstv=1760374514
FY2023: Pillar 3 Disclosures 2023, UK KM1 p.11 - https://www.gbbank.co.uk/download/4420/?tmstv=1760374863
FY2022 and FY2021: Pillar 3 Disclosures 2022, UK KM1 p.11 - https://www.gbbank.co.uk/download/4416/?tmstv=1760374739
Companies House entity record and filing history: https://find-and-update.company-information.service.gov.uk/company/10702260/filing-history
ENTITY AND REPORTING BASIS: GB Bank Limited (Companies House 10702260; PRA FRN 850286) is the matched UK legal entity. The 2022-2025 Pillar 3 reports state that the reported figures are prepared on a solo basis. The 2025 report additionally records PRA permission, backdated to 1 October 2025, for an individual-consolidation method including SilverRock Financial Services Ltd going forward; the main 30 September 2025 table remains solo and is used here. GB Bank states that it publishes Pillar 3 annually under CRR Article 433b as a small and non-complex bank. FY2024 is a shortened nine-month period ended 30 September 2024 after the accounting period end changed; FY2021-FY2023 end on 31 December and FY2025 ends 30 September.</t>
        </is>
      </c>
    </row>
  </sheetData>
  <mergeCells count="2">
    <mergeCell ref="A5:F5"/>
    <mergeCell ref="A7:F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GB Bank Limited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19.14%</t>
        </is>
      </c>
      <c r="C4" s="6" t="inlineStr">
        <is>
          <t>45.71%</t>
        </is>
      </c>
      <c r="D4" s="6" t="inlineStr">
        <is>
          <t>56.46%</t>
        </is>
      </c>
      <c r="E4" s="6" t="inlineStr">
        <is>
          <t>234.21%</t>
        </is>
      </c>
      <c r="F4" s="6" t="inlineStr">
        <is>
          <t>403.37%</t>
        </is>
      </c>
    </row>
    <row r="6" ht="210" customHeight="1">
      <c r="A6" s="8" t="inlineStr">
        <is>
          <t>Sources - GB Bank Limited official annual Pillar 3 disclosures, solo basis:
FY2025: Pillar 3 Disclosures 2025, UK KM1 p.13 - https://www.gbbank.co.uk/download/5065/?tmstv=1766062359
FY2024: Pillar 3 Disclosures 2024, UK KM1 p.12 - https://www.gbbank.co.uk/download/4423/?tmstv=1760374514
FY2023: Pillar 3 Disclosures 2023, UK KM1 p.11 - https://www.gbbank.co.uk/download/4420/?tmstv=1760374863
FY2022 and FY2021: Pillar 3 Disclosures 2022, UK KM1 p.11 - https://www.gbbank.co.uk/download/4416/?tmstv=1760374739
Companies House entity record and filing history: https://find-and-update.company-information.service.gov.uk/company/10702260/filing-history
ENTITY AND REPORTING BASIS: GB Bank Limited (Companies House 10702260; PRA FRN 850286) is the matched UK legal entity. The 2022-2025 Pillar 3 reports state that the reported figures are prepared on a solo basis. The 2025 report additionally records PRA permission, backdated to 1 October 2025, for an individual-consolidation method including SilverRock Financial Services Ltd going forward; the main 30 September 2025 table remains solo and is used here. GB Bank states that it publishes Pillar 3 annually under CRR Article 433b as a small and non-complex bank. FY2024 is a shortened nine-month period ended 30 September 2024 after the accounting period end changed; FY2021-FY2023 end on 31 December and FY2025 ends 30 September.</t>
        </is>
      </c>
    </row>
  </sheetData>
  <mergeCells count="1">
    <mergeCell ref="A6:F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GB Bank Limited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exposure amount</t>
        </is>
      </c>
      <c r="B4" s="6" t="n">
        <v>548458</v>
      </c>
      <c r="C4" s="6" t="n">
        <v>151536</v>
      </c>
      <c r="D4" s="6" t="n">
        <v>34184</v>
      </c>
      <c r="E4" s="6" t="n">
        <v>9434</v>
      </c>
      <c r="F4" s="6" t="n">
        <v>4112</v>
      </c>
    </row>
    <row r="5" ht="30" customHeight="1">
      <c r="A5" s="7" t="inlineStr">
        <is>
          <t>Note: The 2023 Pillar 3 report prints £2,735k for 2023 RWA, which is inconsistent with its own 56.46% capital ratio. The 2024 report's 2023 comparative prints £34,184k, which reconciles to the reported capital and ratio; £34,184k is used here.</t>
        </is>
      </c>
    </row>
    <row r="7" ht="210" customHeight="1">
      <c r="A7" s="8" t="inlineStr">
        <is>
          <t>Sources - GB Bank Limited official annual Pillar 3 disclosures, solo basis:
FY2025: Pillar 3 Disclosures 2025, UK KM1 p.13 - https://www.gbbank.co.uk/download/5065/?tmstv=1766062359
FY2024: Pillar 3 Disclosures 2024, UK KM1 p.12 - https://www.gbbank.co.uk/download/4423/?tmstv=1760374514
FY2023: Pillar 3 Disclosures 2023, UK KM1 p.11 - https://www.gbbank.co.uk/download/4420/?tmstv=1760374863
FY2022 and FY2021: Pillar 3 Disclosures 2022, UK KM1 p.11 - https://www.gbbank.co.uk/download/4416/?tmstv=1760374739
Companies House entity record and filing history: https://find-and-update.company-information.service.gov.uk/company/10702260/filing-history
ENTITY AND REPORTING BASIS: GB Bank Limited (Companies House 10702260; PRA FRN 850286) is the matched UK legal entity. The 2022-2025 Pillar 3 reports state that the reported figures are prepared on a solo basis. The 2025 report additionally records PRA permission, backdated to 1 October 2025, for an individual-consolidation method including SilverRock Financial Services Ltd going forward; the main 30 September 2025 table remains solo and is used here. GB Bank states that it publishes Pillar 3 annually under CRR Article 433b as a small and non-complex bank. FY2024 is a shortened nine-month period ended 30 September 2024 after the accounting period end changed; FY2021-FY2023 end on 31 December and FY2025 ends 30 September.</t>
        </is>
      </c>
    </row>
  </sheetData>
  <mergeCells count="2">
    <mergeCell ref="A5:F5"/>
    <mergeCell ref="A7:F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s>
  <sheetData>
    <row r="1">
      <c r="A1" s="1" t="inlineStr">
        <is>
          <t>GB Bank Limited — RWA Breakdown</t>
        </is>
      </c>
    </row>
    <row r="2">
      <c r="A2" s="2" t="inlineStr">
        <is>
          <t>Solo basis throughout (per Pillar 3 disclosures). £'000.</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6" t="inlineStr">
        <is>
          <t>Credit risk (excluding CCR)</t>
        </is>
      </c>
      <c r="B4" s="6" t="n">
        <v>522406</v>
      </c>
      <c r="C4" s="6" t="n">
        <v>138351</v>
      </c>
      <c r="D4" s="6" t="n">
        <v>26262</v>
      </c>
      <c r="E4" s="6" t="n">
        <v>2089</v>
      </c>
      <c r="F4" s="6" t="n">
        <v>4112</v>
      </c>
    </row>
    <row r="5">
      <c r="A5" s="6" t="inlineStr">
        <is>
          <t>Counterparty credit risk (CCR)</t>
        </is>
      </c>
      <c r="B5" s="6" t="n">
        <v>8730</v>
      </c>
      <c r="C5" s="6" t="n">
        <v>2868</v>
      </c>
      <c r="D5" s="6" t="n"/>
      <c r="E5" s="6" t="n"/>
      <c r="F5" s="6" t="n"/>
    </row>
    <row r="6">
      <c r="A6" s="6" t="inlineStr">
        <is>
          <t>Credit valuation adjustment (CVA)</t>
        </is>
      </c>
      <c r="B6" s="6" t="n">
        <v>1743</v>
      </c>
      <c r="C6" s="6" t="n">
        <v>2079</v>
      </c>
      <c r="D6" s="6" t="n"/>
      <c r="E6" s="6" t="n"/>
      <c r="F6" s="6" t="n"/>
    </row>
    <row r="7">
      <c r="A7" s="6" t="inlineStr">
        <is>
          <t>Market risk</t>
        </is>
      </c>
      <c r="B7" s="6" t="n">
        <v>0</v>
      </c>
      <c r="C7" s="6" t="n">
        <v>0</v>
      </c>
      <c r="D7" s="6" t="n">
        <v>0</v>
      </c>
      <c r="E7" s="6" t="n">
        <v>0</v>
      </c>
      <c r="F7" s="6" t="n">
        <v>0</v>
      </c>
    </row>
    <row r="8">
      <c r="A8" s="6" t="inlineStr">
        <is>
          <t>Operational risk</t>
        </is>
      </c>
      <c r="B8" s="6" t="n">
        <v>15579</v>
      </c>
      <c r="C8" s="6" t="n">
        <v>8217</v>
      </c>
      <c r="D8" s="6" t="n">
        <v>7922</v>
      </c>
      <c r="E8" s="6" t="n">
        <v>7345</v>
      </c>
      <c r="F8" s="6" t="n">
        <v>0</v>
      </c>
    </row>
    <row r="9">
      <c r="A9" s="5" t="inlineStr">
        <is>
          <t>Total risk-weighted exposure amount</t>
        </is>
      </c>
      <c r="B9" s="5" t="n">
        <v>548458</v>
      </c>
      <c r="C9" s="5" t="n">
        <v>151536</v>
      </c>
      <c r="D9" s="5" t="n">
        <v>34184</v>
      </c>
      <c r="E9" s="5" t="n">
        <v>9434</v>
      </c>
      <c r="F9" s="5" t="n">
        <v>4112</v>
      </c>
    </row>
    <row r="11" ht="220" customHeight="1">
      <c r="A11" s="8" t="inlineStr">
        <is>
          <t>Sources - GB Bank Limited official annual Pillar 3 disclosures, solo basis:
FY2025: Pillar 3 Disclosures 2025, UK KM1 p.13 - https://www.gbbank.co.uk/download/5065/?tmstv=1766062359
FY2024: Pillar 3 Disclosures 2024, UK KM1 p.12 - https://www.gbbank.co.uk/download/4423/?tmstv=1760374514
FY2023: Pillar 3 Disclosures 2023, UK KM1 p.11 - https://www.gbbank.co.uk/download/4420/?tmstv=1760374863
FY2022 and FY2021: Pillar 3 Disclosures 2022, UK KM1 p.11 - https://www.gbbank.co.uk/download/4416/?tmstv=1760374739
Companies House entity record and filing history: https://find-and-update.company-information.service.gov.uk/company/10702260/filing-history
ENTITY AND REPORTING BASIS: GB Bank Limited (Companies House 10702260; PRA FRN 850286) is the matched UK legal entity. The 2022-2025 Pillar 3 reports state that the reported figures are prepared on a solo basis. The 2025 report additionally records PRA permission, backdated to 1 October 2025, for an individual-consolidation method including SilverRock Financial Services Ltd going forward; the main 30 September 2025 table remains solo and is used here. GB Bank states that it publishes Pillar 3 annually under CRR Article 433b as a small and non-complex bank. FY2024 is a shortened nine-month period ended 30 September 2024 after the accounting period end changed; FY2021-FY2023 end on 31 December and FY2025 ends 30 September.
CCR and CVA first appear as separate categories from FY2024 (the Bank had none in FY2021-FY2023 - genuinely nil, confirmed by reading each year's own Capital Requirements table in full, apart from FY2021's own table which shows Operational Risk RWA as £0 too, since the Bank had no 3-year historical average revenue base yet to apply the multiplier to).</t>
        </is>
      </c>
    </row>
  </sheetData>
  <mergeCells count="1">
    <mergeCell ref="A11:F1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GB Bank Limited — Leverage Ratio</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exposure measure excluding claims on central banks</t>
        </is>
      </c>
      <c r="B4" s="6" t="n">
        <v>2114122</v>
      </c>
      <c r="C4" s="6" t="n">
        <v>747677</v>
      </c>
      <c r="D4" s="6" t="n">
        <v>48734</v>
      </c>
      <c r="E4" s="6" t="n">
        <v>23445</v>
      </c>
      <c r="F4" s="6" t="n">
        <v>17606</v>
      </c>
    </row>
    <row r="5">
      <c r="A5" s="6" t="inlineStr">
        <is>
          <t>Leverage ratio excluding claims on central banks (%)</t>
        </is>
      </c>
      <c r="B5" s="6" t="inlineStr">
        <is>
          <t>4.97%</t>
        </is>
      </c>
      <c r="C5" s="6" t="inlineStr">
        <is>
          <t>9.26%</t>
        </is>
      </c>
      <c r="D5" s="6" t="inlineStr">
        <is>
          <t>39.60%</t>
        </is>
      </c>
      <c r="E5" s="6" t="inlineStr">
        <is>
          <t>94.25%</t>
        </is>
      </c>
      <c r="F5" s="6" t="inlineStr">
        <is>
          <t>94.21%</t>
        </is>
      </c>
    </row>
    <row r="6" ht="130" customHeight="1">
      <c r="A6" s="7" t="inlineStr">
        <is>
          <t xml:space="preserve">Note: 
ONE LEVERAGE BASIS ONLY - CHECKED AND RECORDED 2026-10-09 (GA-026). Template UK LR2 (LRCom) asks for BOTH leverage measures - rows 24 and UK-25c on the including-claims-on-central-banks basis, UK-24b and 25 on the excluding basis, with the reconciling deduction at UK-24a - and 47 workbooks in this corpus carry both. This sheet carries the excluding side alone because that is all this bank publishes, not because the including side was missed.
HOW THAT WAS ESTABLISHED: all 5 source URLs cited on this sheet and its KM1 sheet were re-fetched on 2026-10-09 (4 returned a real PDF, %PDF magic bytes checked), and each document's full text was searched for an LR2/LRCom template and for the 'including claims on central banks' wording. No edition contained either. The bank files UK KM1, whose leverage block (rows 13 and 14) asks only for the excluding measure; a KM1 filer that publishes no LR2 therefore discloses one basis.
THIS IS A RECORDED FINDING, NOT AN UNCHECKED GAP. Do not reopen it on the sheet's shape alone. It should be reopened when a NEW edition appears, since a bank can begin printing LR2 at any time - Aldermore's FY2026 report is the first of its eight editions to do so. And note the method's own limit: the text search is defeated by a figure wrapping into the middle of a label (UBP's KM1 renders as '...excluding claims  4,407,957  on central banks'), so a hit was always read by hand and only a clean zero across every edition supports this finding. </t>
        </is>
      </c>
    </row>
    <row r="8" ht="210" customHeight="1">
      <c r="A8" s="8" t="inlineStr">
        <is>
          <t>Sources - GB Bank Limited official annual Pillar 3 disclosures, solo basis:
FY2025: Pillar 3 Disclosures 2025, UK KM1 p.13 - https://www.gbbank.co.uk/download/5065/?tmstv=1766062359
FY2024: Pillar 3 Disclosures 2024, UK KM1 p.12 - https://www.gbbank.co.uk/download/4423/?tmstv=1760374514
FY2023: Pillar 3 Disclosures 2023, UK KM1 p.11 - https://www.gbbank.co.uk/download/4420/?tmstv=1760374863
FY2022 and FY2021: Pillar 3 Disclosures 2022, UK KM1 p.11 - https://www.gbbank.co.uk/download/4416/?tmstv=1760374739
Companies House entity record and filing history: https://find-and-update.company-information.service.gov.uk/company/10702260/filing-history
ENTITY AND REPORTING BASIS: GB Bank Limited (Companies House 10702260; PRA FRN 850286) is the matched UK legal entity. The 2022-2025 Pillar 3 reports state that the reported figures are prepared on a solo basis. The 2025 report additionally records PRA permission, backdated to 1 October 2025, for an individual-consolidation method including SilverRock Financial Services Ltd going forward; the main 30 September 2025 table remains solo and is used here. GB Bank states that it publishes Pillar 3 annually under CRR Article 433b as a small and non-complex bank. FY2024 is a shortened nine-month period ended 30 September 2024 after the accounting period end changed; FY2021-FY2023 end on 31 December and FY2025 ends 30 September.</t>
        </is>
      </c>
    </row>
  </sheetData>
  <mergeCells count="2">
    <mergeCell ref="A8:F8"/>
    <mergeCell ref="A6:F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GB Bank Limited — LCR</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high-quality liquid assets (HQLA), weighted value - average</t>
        </is>
      </c>
      <c r="B4" s="6" t="n">
        <v>1095636</v>
      </c>
      <c r="C4" s="6" t="n">
        <v>427498</v>
      </c>
      <c r="D4" s="6" t="n">
        <v>209812</v>
      </c>
      <c r="E4" s="6" t="n">
        <v>18436</v>
      </c>
      <c r="F4" s="6" t="n">
        <v>8698</v>
      </c>
    </row>
    <row r="5">
      <c r="A5" s="6" t="inlineStr">
        <is>
          <t>Total net cash outflows, adjusted value</t>
        </is>
      </c>
      <c r="B5" s="6" t="n">
        <v>522180</v>
      </c>
      <c r="C5" s="6" t="n">
        <v>139823</v>
      </c>
      <c r="D5" s="6" t="n">
        <v>50415</v>
      </c>
      <c r="E5" s="6" t="n">
        <v>92</v>
      </c>
      <c r="F5" s="6" t="n">
        <v>0</v>
      </c>
    </row>
    <row r="6">
      <c r="A6" s="6" t="inlineStr">
        <is>
          <t>Liquidity coverage ratio (%)</t>
        </is>
      </c>
      <c r="B6" s="6" t="inlineStr">
        <is>
          <t>210%</t>
        </is>
      </c>
      <c r="C6" s="6" t="inlineStr">
        <is>
          <t>306%</t>
        </is>
      </c>
      <c r="D6" s="6" t="inlineStr">
        <is>
          <t>416%</t>
        </is>
      </c>
      <c r="E6" s="6" t="inlineStr">
        <is>
          <t>20,091%</t>
        </is>
      </c>
      <c r="F6" s="6" t="inlineStr">
        <is>
          <t>9,999.99%</t>
        </is>
      </c>
    </row>
    <row r="8" ht="210" customHeight="1">
      <c r="A8" s="8" t="inlineStr">
        <is>
          <t>Sources - GB Bank Limited official annual Pillar 3 disclosures, solo basis:
FY2025: Pillar 3 Disclosures 2025, UK KM1 p.13 - https://www.gbbank.co.uk/download/5065/?tmstv=1766062359
FY2024: Pillar 3 Disclosures 2024, UK KM1 p.12 - https://www.gbbank.co.uk/download/4423/?tmstv=1760374514
FY2023: Pillar 3 Disclosures 2023, UK KM1 p.11 - https://www.gbbank.co.uk/download/4420/?tmstv=1760374863
FY2022 and FY2021: Pillar 3 Disclosures 2022, UK KM1 p.11 - https://www.gbbank.co.uk/download/4416/?tmstv=1760374739
Companies House entity record and filing history: https://find-and-update.company-information.service.gov.uk/company/10702260/filing-history
ENTITY AND REPORTING BASIS: GB Bank Limited (Companies House 10702260; PRA FRN 850286) is the matched UK legal entity. The 2022-2025 Pillar 3 reports state that the reported figures are prepared on a solo basis. The 2025 report additionally records PRA permission, backdated to 1 October 2025, for an individual-consolidation method including SilverRock Financial Services Ltd going forward; the main 30 September 2025 table remains solo and is used here. GB Bank states that it publishes Pillar 3 annually under CRR Article 433b as a small and non-complex bank. FY2024 is a shortened nine-month period ended 30 September 2024 after the accounting period end changed; FY2021-FY2023 end on 31 December and FY2025 ends 30 September.</t>
        </is>
      </c>
    </row>
  </sheetData>
  <mergeCells count="1">
    <mergeCell ref="A8:F8"/>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GB Bank Limited — NSFR</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available stable funding</t>
        </is>
      </c>
      <c r="B4" s="6" t="n">
        <v>2224154</v>
      </c>
      <c r="C4" s="6" t="n">
        <v>510589</v>
      </c>
      <c r="D4" s="6" t="n">
        <v>203914</v>
      </c>
      <c r="E4" s="6" t="n">
        <v>20742</v>
      </c>
      <c r="F4" s="6" t="n">
        <v>16546</v>
      </c>
    </row>
    <row r="5">
      <c r="A5" s="6" t="inlineStr">
        <is>
          <t>Total required stable funding</t>
        </is>
      </c>
      <c r="B5" s="6" t="n">
        <v>1162308</v>
      </c>
      <c r="C5" s="6" t="n">
        <v>94820</v>
      </c>
      <c r="D5" s="6" t="n">
        <v>6041</v>
      </c>
      <c r="E5" s="6" t="n">
        <v>1006</v>
      </c>
      <c r="F5" s="6" t="n">
        <v>1696</v>
      </c>
    </row>
    <row r="6">
      <c r="A6" s="6" t="inlineStr">
        <is>
          <t>Net stable funding ratio (%)</t>
        </is>
      </c>
      <c r="B6" s="6" t="inlineStr">
        <is>
          <t>191%</t>
        </is>
      </c>
      <c r="C6" s="6" t="inlineStr">
        <is>
          <t>538%</t>
        </is>
      </c>
      <c r="D6" s="6" t="inlineStr">
        <is>
          <t>3,375%</t>
        </is>
      </c>
      <c r="E6" s="6" t="inlineStr">
        <is>
          <t>2,061.89%</t>
        </is>
      </c>
      <c r="F6" s="6" t="inlineStr">
        <is>
          <t>978.24%</t>
        </is>
      </c>
    </row>
    <row r="8" ht="210" customHeight="1">
      <c r="A8" s="8" t="inlineStr">
        <is>
          <t>Sources - GB Bank Limited official annual Pillar 3 disclosures, solo basis:
FY2025: Pillar 3 Disclosures 2025, UK KM1 p.13 - https://www.gbbank.co.uk/download/5065/?tmstv=1766062359
FY2024: Pillar 3 Disclosures 2024, UK KM1 p.12 - https://www.gbbank.co.uk/download/4423/?tmstv=1760374514
FY2023: Pillar 3 Disclosures 2023, UK KM1 p.11 - https://www.gbbank.co.uk/download/4420/?tmstv=1760374863
FY2022 and FY2021: Pillar 3 Disclosures 2022, UK KM1 p.11 - https://www.gbbank.co.uk/download/4416/?tmstv=1760374739
Companies House entity record and filing history: https://find-and-update.company-information.service.gov.uk/company/10702260/filing-history
ENTITY AND REPORTING BASIS: GB Bank Limited (Companies House 10702260; PRA FRN 850286) is the matched UK legal entity. The 2022-2025 Pillar 3 reports state that the reported figures are prepared on a solo basis. The 2025 report additionally records PRA permission, backdated to 1 October 2025, for an individual-consolidation method including SilverRock Financial Services Ltd going forward; the main 30 September 2025 table remains solo and is used here. GB Bank states that it publishes Pillar 3 annually under CRR Article 433b as a small and non-complex bank. FY2024 is a shortened nine-month period ended 30 September 2024 after the accounting period end changed; FY2021-FY2023 end on 31 December and FY2025 ends 30 September.</t>
        </is>
      </c>
    </row>
  </sheetData>
  <mergeCells count="1">
    <mergeCell ref="A8:F8"/>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GB Bank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no MREL figure or mention in this year's GB Bank Pillar 3 report (text-searched 2026-09-19)</t>
        </is>
      </c>
      <c r="C4" s="6" t="inlineStr">
        <is>
          <t>Not published – no MREL figure or mention in this year's GB Bank Pillar 3 report (text-searched 2026-09-19)</t>
        </is>
      </c>
      <c r="D4" s="6" t="inlineStr">
        <is>
          <t>Not published – no MREL figure or mention in this year's GB Bank Pillar 3 report (text-searched 2026-09-19)</t>
        </is>
      </c>
      <c r="E4" s="6" t="inlineStr">
        <is>
          <t>Not published – no MREL figure or mention in this year's GB Bank Pillar 3 report (text-searched 2026-09-19)</t>
        </is>
      </c>
      <c r="F4" s="6" t="inlineStr">
        <is>
          <t>Not published – no FY2021 Pillar 3 exists (2022 edition is the first); its Dec-21 comparative has no MREL (text-searched 2026-09-19)</t>
        </is>
      </c>
    </row>
    <row r="5" ht="30" customHeight="1">
      <c r="A5" s="7" t="inlineStr">
        <is>
          <t>Note: No quantitative MREL figure was located in the official 2022-2025 Pillar 3 reports reviewed. GA-020 (2026-09-19): all four editions (P3_2022-2025_URL) re-fetched and searched for 'MREL'/'eligible liabilities' - zero hits.</t>
        </is>
      </c>
    </row>
    <row r="7" ht="156" customHeight="1">
      <c r="A7" s="8" t="inlineStr">
        <is>
          <t>Sources - GB Bank Limited official annual Pillar 3 disclosures, solo basis:
FY2025: Pillar 3 Disclosures 2025, UK KM1 p.13 - https://www.gbbank.co.uk/download/5065/?tmstv=1766062359
FY2024: Pillar 3 Disclosures 2024, UK KM1 p.12 - https://www.gbbank.co.uk/download/4423/?tmstv=1760374514
FY2023: Pillar 3 Disclosures 2023, UK KM1 p.11 - https://www.gbbank.co.uk/download/4420/?tmstv=1760374863
FY2022 and FY2021: Pillar 3 Disclosures 2022, UK KM1 p.11 - https://www.gbbank.co.uk/download/4416/?tmstv=1760374739
Companies House entity record and filing history: https://find-and-update.company-information.service.gov.uk/company/10702260/filing-history
ENTITY AND REPORTING BASIS: GB Bank Limited (Companies House 10702260; PRA FRN 850286) is the matched UK legal entity. The 2022-2025 Pillar 3 reports state that the reported figures are prepared on a solo basis. The 2025 report additionally records PRA permission, backdated to 1 October 2025, for an individual-consolidation method including SilverRock Financial Services Ltd going forward; the main 30 September 2025 table remains solo and is used here. GB Bank states that it publishes Pillar 3 annually under CRR Article 433b as a small and non-complex bank. FY2024 is a shortened nine-month period ended 30 September 2024 after the accounting period end changed; FY2021-FY2023 end on 31 December and FY2025 ends 30 September.</t>
        </is>
      </c>
    </row>
  </sheetData>
  <mergeCells count="2">
    <mergeCell ref="A5:F5"/>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2026-10-26T09:36:03Z</dcterms:created>
  <dcterms:modified xmlns:dcterms="http://purl.org/dc/terms/" xmlns:xsi="http://www.w3.org/2001/XMLSchema-instance" xsi:type="dcterms:W3CDTF">2026-10-26T09:36:03Z</dcterms:modified>
</cp:coreProperties>
</file>