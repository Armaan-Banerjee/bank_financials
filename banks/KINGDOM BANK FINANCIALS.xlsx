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1F2B"/>
        <bgColor rgb="007A1F2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Kingdom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'Overview'!Z6</f>
            </strRef>
          </tx>
          <spPr>
            <a:ln xmlns:a="http://schemas.openxmlformats.org/drawingml/2006/main">
              <a:prstDash val="solid"/>
            </a:ln>
          </spPr>
          <cat>
            <numRef>
              <f>'Overview'!$AA$5:$AV$5</f>
            </numRef>
          </cat>
          <val>
            <numRef>
              <f>'Overview'!$AA$6:$AV$6</f>
            </numRef>
          </val>
        </ser>
        <ser>
          <idx val="1"/>
          <order val="1"/>
          <tx>
            <strRef>
              <f>'Overview'!Z7</f>
            </strRef>
          </tx>
          <spPr>
            <a:ln xmlns:a="http://schemas.openxmlformats.org/drawingml/2006/main">
              <a:prstDash val="solid"/>
            </a:ln>
          </spPr>
          <cat>
            <numRef>
              <f>'Overview'!$AA$5:$AV$5</f>
            </numRef>
          </cat>
          <val>
            <numRef>
              <f>'Overview'!$AA$7:$AV$7</f>
            </numRef>
          </val>
        </ser>
        <ser>
          <idx val="2"/>
          <order val="2"/>
          <tx>
            <strRef>
              <f>'Overview'!Z8</f>
            </strRef>
          </tx>
          <spPr>
            <a:ln xmlns:a="http://schemas.openxmlformats.org/drawingml/2006/main">
              <a:prstDash val="solid"/>
            </a:ln>
          </spPr>
          <cat>
            <numRef>
              <f>'Overview'!$AA$5:$AV$5</f>
            </numRef>
          </cat>
          <val>
            <numRef>
              <f>'Overview'!$AA$8:$AV$8</f>
            </numRef>
          </val>
        </ser>
        <ser>
          <idx val="3"/>
          <order val="3"/>
          <tx>
            <strRef>
              <f>'Overview'!Z9</f>
            </strRef>
          </tx>
          <spPr>
            <a:ln xmlns:a="http://schemas.openxmlformats.org/drawingml/2006/main">
              <a:prstDash val="solid"/>
            </a:ln>
          </spPr>
          <cat>
            <numRef>
              <f>'Overview'!$AA$5:$AV$5</f>
            </numRef>
          </cat>
          <val>
            <numRef>
              <f>'Overview'!$AA$9:$AV$9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Kingdom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'Overview'!AY13</f>
            </strRef>
          </tx>
          <spPr>
            <a:ln xmlns:a="http://schemas.openxmlformats.org/drawingml/2006/main">
              <a:prstDash val="solid"/>
            </a:ln>
          </spPr>
          <cat>
            <numRef>
              <f>'Overview'!$AZ$12:$BU$12</f>
            </numRef>
          </cat>
          <val>
            <numRef>
              <f>'Overview'!$AZ$13:$BU$13</f>
            </numRef>
          </val>
        </ser>
        <ser>
          <idx val="1"/>
          <order val="1"/>
          <tx>
            <strRef>
              <f>'Overview'!AY14</f>
            </strRef>
          </tx>
          <spPr>
            <a:ln xmlns:a="http://schemas.openxmlformats.org/drawingml/2006/main">
              <a:prstDash val="solid"/>
            </a:ln>
          </spPr>
          <cat>
            <numRef>
              <f>'Overview'!$AZ$12:$BU$12</f>
            </numRef>
          </cat>
          <val>
            <numRef>
              <f>'Overview'!$AZ$14:$BU$14</f>
            </numRef>
          </val>
        </ser>
        <ser>
          <idx val="2"/>
          <order val="2"/>
          <tx>
            <strRef>
              <f>'Overview'!AY15</f>
            </strRef>
          </tx>
          <spPr>
            <a:ln xmlns:a="http://schemas.openxmlformats.org/drawingml/2006/main">
              <a:prstDash val="solid"/>
            </a:ln>
          </spPr>
          <cat>
            <numRef>
              <f>'Overview'!$AZ$12:$BU$12</f>
            </numRef>
          </cat>
          <val>
            <numRef>
              <f>'Overview'!$AZ$15:$BU$15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Kingdom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'Overview'!BX19</f>
            </strRef>
          </tx>
          <spPr>
            <a:ln xmlns:a="http://schemas.openxmlformats.org/drawingml/2006/main">
              <a:prstDash val="solid"/>
            </a:ln>
          </spPr>
          <cat>
            <numRef>
              <f>'Overview'!$BY$18:$CT$18</f>
            </numRef>
          </cat>
          <val>
            <numRef>
              <f>'Overview'!$BY$19:$CT$19</f>
            </numRef>
          </val>
        </ser>
        <ser>
          <idx val="1"/>
          <order val="1"/>
          <tx>
            <strRef>
              <f>'Overview'!BX20</f>
            </strRef>
          </tx>
          <spPr>
            <a:ln xmlns:a="http://schemas.openxmlformats.org/drawingml/2006/main">
              <a:prstDash val="solid"/>
            </a:ln>
          </spPr>
          <cat>
            <numRef>
              <f>'Overview'!$BY$18:$CT$18</f>
            </numRef>
          </cat>
          <val>
            <numRef>
              <f>'Overview'!$BY$20:$CT$20</f>
            </numRef>
          </val>
        </ser>
        <ser>
          <idx val="2"/>
          <order val="2"/>
          <tx>
            <strRef>
              <f>'Overview'!BX21</f>
            </strRef>
          </tx>
          <spPr>
            <a:ln xmlns:a="http://schemas.openxmlformats.org/drawingml/2006/main">
              <a:prstDash val="solid"/>
            </a:ln>
          </spPr>
          <cat>
            <numRef>
              <f>'Overview'!$BY$18:$CT$18</f>
            </numRef>
          </cat>
          <val>
            <numRef>
              <f>'Overview'!$BY$21:$CT$21</f>
            </numRef>
          </val>
        </ser>
        <ser>
          <idx val="3"/>
          <order val="3"/>
          <tx>
            <strRef>
              <f>'Overview'!BX22</f>
            </strRef>
          </tx>
          <spPr>
            <a:ln xmlns:a="http://schemas.openxmlformats.org/drawingml/2006/main">
              <a:prstDash val="solid"/>
            </a:ln>
          </spPr>
          <cat>
            <numRef>
              <f>'Overview'!$BY$18:$CT$18</f>
            </numRef>
          </cat>
          <val>
            <numRef>
              <f>'Overview'!$BY$22:$CT$22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Kingdom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'Overview'!CW26</f>
            </strRef>
          </tx>
          <spPr>
            <a:ln xmlns:a="http://schemas.openxmlformats.org/drawingml/2006/main">
              <a:prstDash val="solid"/>
            </a:ln>
          </spPr>
          <cat>
            <numRef>
              <f>'Overview'!$CX$25:$DS$25</f>
            </numRef>
          </cat>
          <val>
            <numRef>
              <f>'Overview'!$CX$26:$DS$26</f>
            </numRef>
          </val>
        </ser>
        <ser>
          <idx val="1"/>
          <order val="1"/>
          <tx>
            <strRef>
              <f>'Overview'!CW27</f>
            </strRef>
          </tx>
          <spPr>
            <a:ln xmlns:a="http://schemas.openxmlformats.org/drawingml/2006/main">
              <a:prstDash val="solid"/>
            </a:ln>
          </spPr>
          <cat>
            <numRef>
              <f>'Overview'!$CX$25:$DS$25</f>
            </numRef>
          </cat>
          <val>
            <numRef>
              <f>'Overview'!$CX$27:$DS$27</f>
            </numRef>
          </val>
        </ser>
        <ser>
          <idx val="2"/>
          <order val="2"/>
          <tx>
            <strRef>
              <f>'Overview'!CW28</f>
            </strRef>
          </tx>
          <spPr>
            <a:ln xmlns:a="http://schemas.openxmlformats.org/drawingml/2006/main">
              <a:prstDash val="solid"/>
            </a:ln>
          </spPr>
          <cat>
            <numRef>
              <f>'Overview'!$CX$25:$DS$25</f>
            </numRef>
          </cat>
          <val>
            <numRef>
              <f>'Overview'!$CX$28:$DS$28</f>
            </numRef>
          </val>
        </ser>
        <ser>
          <idx val="3"/>
          <order val="3"/>
          <tx>
            <strRef>
              <f>'Overview'!CW29</f>
            </strRef>
          </tx>
          <spPr>
            <a:ln xmlns:a="http://schemas.openxmlformats.org/drawingml/2006/main">
              <a:prstDash val="solid"/>
            </a:ln>
          </spPr>
          <cat>
            <numRef>
              <f>'Overview'!$CX$25:$DS$25</f>
            </numRef>
          </cat>
          <val>
            <numRef>
              <f>'Overview'!$CX$29:$DS$29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Kingdom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'Overview'!DV6</f>
            </strRef>
          </tx>
          <spPr>
            <a:ln xmlns:a="http://schemas.openxmlformats.org/drawingml/2006/main">
              <a:prstDash val="solid"/>
            </a:ln>
          </spPr>
          <marker>
            <symbol val="none"/>
            <spPr>
              <a:ln xmlns:a="http://schemas.openxmlformats.org/drawingml/2006/main">
                <a:prstDash val="solid"/>
              </a:ln>
            </spPr>
          </marker>
          <cat>
            <numRef>
              <f>'Overview'!$DW$5:$ER$5</f>
            </numRef>
          </cat>
          <val>
            <numRef>
              <f>'Overview'!$DW$6:$ER$6</f>
            </numRef>
          </val>
          <smooth val="0"/>
        </ser>
        <ser>
          <idx val="1"/>
          <order val="1"/>
          <tx>
            <strRef>
              <f>'Overview'!DV7</f>
            </strRef>
          </tx>
          <spPr>
            <a:ln xmlns:a="http://schemas.openxmlformats.org/drawingml/2006/main">
              <a:prstDash val="solid"/>
            </a:ln>
          </spPr>
          <marker>
            <symbol val="none"/>
            <spPr>
              <a:ln xmlns:a="http://schemas.openxmlformats.org/drawingml/2006/main">
                <a:prstDash val="solid"/>
              </a:ln>
            </spPr>
          </marker>
          <cat>
            <numRef>
              <f>'Overview'!$DW$5:$ER$5</f>
            </numRef>
          </cat>
          <val>
            <numRef>
              <f>'Overview'!$DW$7:$ER$7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ER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 hidden="1" width="13" customWidth="1" min="119" max="119"/>
    <col hidden="1" width="13" customWidth="1" min="120" max="120"/>
    <col hidden="1" width="13" customWidth="1" min="121" max="121"/>
    <col hidden="1" width="13" customWidth="1" min="122" max="122"/>
    <col hidden="1" width="13" customWidth="1" min="123" max="123"/>
    <col hidden="1" width="13" customWidth="1" min="124" max="124"/>
    <col hidden="1" width="13" customWidth="1" min="125" max="125"/>
    <col hidden="1" width="13" customWidth="1" min="126" max="126"/>
    <col hidden="1" width="13" customWidth="1" min="127" max="127"/>
    <col hidden="1" width="13" customWidth="1" min="128" max="128"/>
    <col hidden="1" width="13" customWidth="1" min="129" max="129"/>
    <col hidden="1" width="13" customWidth="1" min="130" max="130"/>
    <col hidden="1" width="13" customWidth="1" min="131" max="131"/>
    <col hidden="1" width="13" customWidth="1" min="132" max="132"/>
    <col hidden="1" width="13" customWidth="1" min="133" max="133"/>
    <col hidden="1" width="13" customWidth="1" min="134" max="134"/>
    <col hidden="1" width="13" customWidth="1" min="135" max="135"/>
    <col hidden="1" width="13" customWidth="1" min="136" max="136"/>
    <col hidden="1" width="13" customWidth="1" min="137" max="137"/>
    <col hidden="1" width="13" customWidth="1" min="138" max="138"/>
    <col hidden="1" width="13" customWidth="1" min="139" max="139"/>
    <col hidden="1" width="13" customWidth="1" min="140" max="140"/>
    <col hidden="1" width="13" customWidth="1" min="141" max="141"/>
    <col hidden="1" width="13" customWidth="1" min="142" max="142"/>
    <col hidden="1" width="13" customWidth="1" min="143" max="143"/>
    <col hidden="1" width="13" customWidth="1" min="144" max="144"/>
    <col hidden="1" width="13" customWidth="1" min="145" max="145"/>
    <col hidden="1" width="13" customWidth="1" min="146" max="146"/>
    <col hidden="1" width="13" customWidth="1" min="147" max="147"/>
    <col hidden="1" width="13" customWidth="1" min="148" max="148"/>
  </cols>
  <sheetData>
    <row r="1">
      <c r="A1" s="1" t="inlineStr">
        <is>
          <t>Kingdom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S5" s="4" t="inlineStr">
        <is>
          <t>FY2008</t>
        </is>
      </c>
      <c r="T5" s="4" t="inlineStr">
        <is>
          <t>FY2007</t>
        </is>
      </c>
      <c r="U5" s="4" t="inlineStr">
        <is>
          <t>FY2006</t>
        </is>
      </c>
      <c r="V5" s="4" t="inlineStr">
        <is>
          <t>FY2005</t>
        </is>
      </c>
      <c r="W5" s="4" t="inlineStr">
        <is>
          <t>FY2004</t>
        </is>
      </c>
      <c r="AA5" t="inlineStr">
        <is>
          <t>FY2004</t>
        </is>
      </c>
      <c r="AB5" t="inlineStr">
        <is>
          <t>FY2005</t>
        </is>
      </c>
      <c r="AC5" t="inlineStr">
        <is>
          <t>FY2006</t>
        </is>
      </c>
      <c r="AD5" t="inlineStr">
        <is>
          <t>FY2007</t>
        </is>
      </c>
      <c r="AE5" t="inlineStr">
        <is>
          <t>FY2008</t>
        </is>
      </c>
      <c r="AF5" t="inlineStr">
        <is>
          <t>FY2009</t>
        </is>
      </c>
      <c r="AG5" t="inlineStr">
        <is>
          <t>FY2010</t>
        </is>
      </c>
      <c r="AH5" t="inlineStr">
        <is>
          <t>FY2011</t>
        </is>
      </c>
      <c r="AI5" t="inlineStr">
        <is>
          <t>FY2012</t>
        </is>
      </c>
      <c r="AJ5" t="inlineStr">
        <is>
          <t>FY2013</t>
        </is>
      </c>
      <c r="AK5" t="inlineStr">
        <is>
          <t>FY2014</t>
        </is>
      </c>
      <c r="AL5" t="inlineStr">
        <is>
          <t>FY2015</t>
        </is>
      </c>
      <c r="AM5" t="inlineStr">
        <is>
          <t>FY2016</t>
        </is>
      </c>
      <c r="AN5" t="inlineStr">
        <is>
          <t>FY2017</t>
        </is>
      </c>
      <c r="AO5" t="inlineStr">
        <is>
          <t>FY2018</t>
        </is>
      </c>
      <c r="AP5" t="inlineStr">
        <is>
          <t>FY2019</t>
        </is>
      </c>
      <c r="AQ5" t="inlineStr">
        <is>
          <t>FY2020</t>
        </is>
      </c>
      <c r="AR5" t="inlineStr">
        <is>
          <t>FY2021</t>
        </is>
      </c>
      <c r="AS5" t="inlineStr">
        <is>
          <t>FY2022</t>
        </is>
      </c>
      <c r="AT5" t="inlineStr">
        <is>
          <t>FY2023</t>
        </is>
      </c>
      <c r="AU5" t="inlineStr">
        <is>
          <t>FY2024</t>
        </is>
      </c>
      <c r="AV5" t="inlineStr">
        <is>
          <t>FY2025</t>
        </is>
      </c>
      <c r="DW5" t="inlineStr">
        <is>
          <t>FY2004</t>
        </is>
      </c>
      <c r="DX5" t="inlineStr">
        <is>
          <t>FY2005</t>
        </is>
      </c>
      <c r="DY5" t="inlineStr">
        <is>
          <t>FY2006</t>
        </is>
      </c>
      <c r="DZ5" t="inlineStr">
        <is>
          <t>FY2007</t>
        </is>
      </c>
      <c r="EA5" t="inlineStr">
        <is>
          <t>FY2008</t>
        </is>
      </c>
      <c r="EB5" t="inlineStr">
        <is>
          <t>FY2009</t>
        </is>
      </c>
      <c r="EC5" t="inlineStr">
        <is>
          <t>FY2010</t>
        </is>
      </c>
      <c r="ED5" t="inlineStr">
        <is>
          <t>FY2011</t>
        </is>
      </c>
      <c r="EE5" t="inlineStr">
        <is>
          <t>FY2012</t>
        </is>
      </c>
      <c r="EF5" t="inlineStr">
        <is>
          <t>FY2013</t>
        </is>
      </c>
      <c r="EG5" t="inlineStr">
        <is>
          <t>FY2014</t>
        </is>
      </c>
      <c r="EH5" t="inlineStr">
        <is>
          <t>FY2015</t>
        </is>
      </c>
      <c r="EI5" t="inlineStr">
        <is>
          <t>FY2016</t>
        </is>
      </c>
      <c r="EJ5" t="inlineStr">
        <is>
          <t>FY2017</t>
        </is>
      </c>
      <c r="EK5" t="inlineStr">
        <is>
          <t>FY2018</t>
        </is>
      </c>
      <c r="EL5" t="inlineStr">
        <is>
          <t>FY2019</t>
        </is>
      </c>
      <c r="EM5" t="inlineStr">
        <is>
          <t>FY2020</t>
        </is>
      </c>
      <c r="EN5" t="inlineStr">
        <is>
          <t>FY2021</t>
        </is>
      </c>
      <c r="EO5" t="inlineStr">
        <is>
          <t>FY2022</t>
        </is>
      </c>
      <c r="EP5" t="inlineStr">
        <is>
          <t>FY2023</t>
        </is>
      </c>
      <c r="EQ5" t="inlineStr">
        <is>
          <t>FY2024</t>
        </is>
      </c>
      <c r="ER5" t="inlineStr">
        <is>
          <t>FY2025</t>
        </is>
      </c>
    </row>
    <row r="6">
      <c r="A6" s="5" t="inlineStr">
        <is>
          <t>Total assets</t>
        </is>
      </c>
      <c r="B6" s="5" t="n">
        <v>160171</v>
      </c>
      <c r="C6" s="5" t="n">
        <v>138492</v>
      </c>
      <c r="D6" s="5" t="n">
        <v>113509</v>
      </c>
      <c r="E6" s="5" t="n">
        <v>89022</v>
      </c>
      <c r="F6" s="5" t="n">
        <v>75541</v>
      </c>
      <c r="G6" s="5" t="n">
        <v>69781</v>
      </c>
      <c r="H6" s="5" t="n">
        <v>59310</v>
      </c>
      <c r="I6" s="5" t="n">
        <v>53803</v>
      </c>
      <c r="J6" s="5" t="n">
        <v>56250</v>
      </c>
      <c r="K6" s="5" t="n">
        <v>51449</v>
      </c>
      <c r="L6" s="5" t="n">
        <v>49809</v>
      </c>
      <c r="M6" s="5" t="n">
        <v>49843</v>
      </c>
      <c r="N6" s="5" t="n"/>
      <c r="O6" s="5" t="n"/>
      <c r="P6" s="5" t="n"/>
      <c r="Q6" s="5" t="n"/>
      <c r="R6" s="5" t="n"/>
      <c r="S6" s="5" t="n"/>
      <c r="T6" s="5" t="n"/>
      <c r="U6" s="5" t="n"/>
      <c r="V6" s="5" t="n"/>
      <c r="W6" s="5" t="n"/>
      <c r="Z6" t="inlineStr">
        <is>
          <t>Total assets</t>
        </is>
      </c>
      <c r="AK6" t="n">
        <v>49843</v>
      </c>
      <c r="AL6" t="n">
        <v>49809</v>
      </c>
      <c r="AM6" t="n">
        <v>51449</v>
      </c>
      <c r="AN6" t="n">
        <v>56250</v>
      </c>
      <c r="AO6" t="n">
        <v>53803</v>
      </c>
      <c r="AP6" t="n">
        <v>59310</v>
      </c>
      <c r="AQ6" t="n">
        <v>69781</v>
      </c>
      <c r="AR6" t="n">
        <v>75541</v>
      </c>
      <c r="AS6" t="n">
        <v>89022</v>
      </c>
      <c r="AT6" t="n">
        <v>113509</v>
      </c>
      <c r="AU6" t="n">
        <v>138492</v>
      </c>
      <c r="AV6" t="n">
        <v>160171</v>
      </c>
      <c r="DV6" t="inlineStr">
        <is>
          <t>CET1 ratio</t>
        </is>
      </c>
      <c r="EH6" t="n">
        <v>14.45</v>
      </c>
      <c r="EI6" t="n">
        <v>16.25</v>
      </c>
      <c r="EJ6" t="n">
        <v>14.41</v>
      </c>
      <c r="EK6" t="n">
        <v>14.57</v>
      </c>
      <c r="EL6" t="n">
        <v>15.27</v>
      </c>
      <c r="EM6" t="n">
        <v>17.13</v>
      </c>
      <c r="EN6" t="n">
        <v>16.97</v>
      </c>
      <c r="EO6" t="n">
        <v>20.84</v>
      </c>
      <c r="EP6" t="n">
        <v>17.37</v>
      </c>
      <c r="EQ6" t="n">
        <v>22.2</v>
      </c>
      <c r="ER6" t="n">
        <v>18.8</v>
      </c>
    </row>
    <row r="7">
      <c r="A7" s="5" t="inlineStr">
        <is>
          <t>Loans and advances to customers</t>
        </is>
      </c>
      <c r="B7" s="5" t="n">
        <v>118242</v>
      </c>
      <c r="C7" s="5" t="n">
        <v>97733</v>
      </c>
      <c r="D7" s="5" t="n">
        <v>77532</v>
      </c>
      <c r="E7" s="5" t="n">
        <v>63291</v>
      </c>
      <c r="F7" s="5" t="n">
        <v>53795</v>
      </c>
      <c r="G7" s="5" t="n">
        <v>47114</v>
      </c>
      <c r="H7" s="5" t="n">
        <v>45339</v>
      </c>
      <c r="I7" s="5" t="n">
        <v>41404</v>
      </c>
      <c r="J7" s="5" t="n">
        <v>38438</v>
      </c>
      <c r="K7" s="5" t="n">
        <v>35336</v>
      </c>
      <c r="L7" s="5" t="n">
        <v>33028</v>
      </c>
      <c r="M7" s="5" t="n">
        <v>29724</v>
      </c>
      <c r="N7" s="5" t="n"/>
      <c r="O7" s="5" t="n"/>
      <c r="P7" s="5" t="n"/>
      <c r="Q7" s="5" t="n"/>
      <c r="R7" s="5" t="n"/>
      <c r="S7" s="5" t="n"/>
      <c r="T7" s="5" t="n"/>
      <c r="U7" s="5" t="n"/>
      <c r="V7" s="5" t="n"/>
      <c r="W7" s="5" t="n"/>
      <c r="Z7" t="inlineStr">
        <is>
          <t>Loans and advances to customers</t>
        </is>
      </c>
      <c r="AK7" t="n">
        <v>29724</v>
      </c>
      <c r="AL7" t="n">
        <v>33028</v>
      </c>
      <c r="AM7" t="n">
        <v>35336</v>
      </c>
      <c r="AN7" t="n">
        <v>38438</v>
      </c>
      <c r="AO7" t="n">
        <v>41404</v>
      </c>
      <c r="AP7" t="n">
        <v>45339</v>
      </c>
      <c r="AQ7" t="n">
        <v>47114</v>
      </c>
      <c r="AR7" t="n">
        <v>53795</v>
      </c>
      <c r="AS7" t="n">
        <v>63291</v>
      </c>
      <c r="AT7" t="n">
        <v>77532</v>
      </c>
      <c r="AU7" t="n">
        <v>97733</v>
      </c>
      <c r="AV7" t="n">
        <v>118242</v>
      </c>
      <c r="DV7" t="inlineStr">
        <is>
          <t>Leverage ratio</t>
        </is>
      </c>
      <c r="EH7" t="n">
        <v>8.960000000000001</v>
      </c>
      <c r="EI7" t="n">
        <v>10.09</v>
      </c>
      <c r="EJ7" t="n">
        <v>9.380000000000001</v>
      </c>
      <c r="EK7" t="n">
        <v>10.1</v>
      </c>
      <c r="EL7" t="n">
        <v>9.4</v>
      </c>
      <c r="EM7" t="n">
        <v>9.369999999999999</v>
      </c>
      <c r="EN7" t="n">
        <v>9.029999999999999</v>
      </c>
      <c r="EO7" t="n">
        <v>10.02</v>
      </c>
      <c r="EP7" t="n">
        <v>7.96</v>
      </c>
      <c r="EQ7" t="n">
        <v>10.8</v>
      </c>
      <c r="ER7" t="n">
        <v>12.4</v>
      </c>
    </row>
    <row r="8">
      <c r="A8" s="5" t="inlineStr">
        <is>
          <t>Customer accounts</t>
        </is>
      </c>
      <c r="B8" s="5" t="n">
        <v>141758</v>
      </c>
      <c r="C8" s="5" t="n">
        <v>121269</v>
      </c>
      <c r="D8" s="5" t="n">
        <v>102091</v>
      </c>
      <c r="E8" s="5" t="n">
        <v>78452</v>
      </c>
      <c r="F8" s="5" t="n">
        <v>66668</v>
      </c>
      <c r="G8" s="5" t="n">
        <v>61287</v>
      </c>
      <c r="H8" s="5" t="n">
        <v>51378</v>
      </c>
      <c r="I8" s="5" t="n">
        <v>46112</v>
      </c>
      <c r="J8" s="5" t="n">
        <v>48656</v>
      </c>
      <c r="K8" s="5" t="n">
        <v>43885</v>
      </c>
      <c r="L8" s="5" t="n">
        <v>41906</v>
      </c>
      <c r="M8" s="5" t="n">
        <v>42935</v>
      </c>
      <c r="N8" s="5" t="n"/>
      <c r="O8" s="5" t="n"/>
      <c r="P8" s="5" t="n"/>
      <c r="Q8" s="5" t="n"/>
      <c r="R8" s="5" t="n"/>
      <c r="S8" s="5" t="n"/>
      <c r="T8" s="5" t="n"/>
      <c r="U8" s="5" t="n"/>
      <c r="V8" s="5" t="n"/>
      <c r="W8" s="5" t="n"/>
      <c r="Z8" t="inlineStr">
        <is>
          <t>Customer accounts</t>
        </is>
      </c>
      <c r="AK8" t="n">
        <v>42935</v>
      </c>
      <c r="AL8" t="n">
        <v>41906</v>
      </c>
      <c r="AM8" t="n">
        <v>43885</v>
      </c>
      <c r="AN8" t="n">
        <v>48656</v>
      </c>
      <c r="AO8" t="n">
        <v>46112</v>
      </c>
      <c r="AP8" t="n">
        <v>51378</v>
      </c>
      <c r="AQ8" t="n">
        <v>61287</v>
      </c>
      <c r="AR8" t="n">
        <v>66668</v>
      </c>
      <c r="AS8" t="n">
        <v>78452</v>
      </c>
      <c r="AT8" t="n">
        <v>102091</v>
      </c>
      <c r="AU8" t="n">
        <v>121269</v>
      </c>
      <c r="AV8" t="n">
        <v>141758</v>
      </c>
    </row>
    <row r="9">
      <c r="A9" s="5" t="inlineStr">
        <is>
          <t>Total shareholders' funds</t>
        </is>
      </c>
      <c r="B9" s="5" t="n">
        <v>15808</v>
      </c>
      <c r="C9" s="5" t="n">
        <v>15512</v>
      </c>
      <c r="D9" s="5" t="n">
        <v>9876</v>
      </c>
      <c r="E9" s="5" t="n">
        <v>9353</v>
      </c>
      <c r="F9" s="5" t="n">
        <v>7451</v>
      </c>
      <c r="G9" s="5" t="n">
        <v>6771</v>
      </c>
      <c r="H9" s="5" t="n">
        <v>6145</v>
      </c>
      <c r="I9" s="5" t="n">
        <v>5908</v>
      </c>
      <c r="J9" s="5" t="n">
        <v>5778</v>
      </c>
      <c r="K9" s="5" t="n">
        <v>5667</v>
      </c>
      <c r="L9" s="5" t="n">
        <v>5631</v>
      </c>
      <c r="M9" s="5" t="n">
        <v>4960</v>
      </c>
      <c r="N9" s="5" t="n"/>
      <c r="O9" s="5" t="n"/>
      <c r="P9" s="5" t="n"/>
      <c r="Q9" s="5" t="n"/>
      <c r="R9" s="5" t="n"/>
      <c r="S9" s="5" t="n"/>
      <c r="T9" s="5" t="n"/>
      <c r="U9" s="5" t="n"/>
      <c r="V9" s="5" t="n"/>
      <c r="W9" s="5" t="n"/>
      <c r="Z9" t="inlineStr">
        <is>
          <t>Total shareholders' funds</t>
        </is>
      </c>
      <c r="AK9" t="n">
        <v>4960</v>
      </c>
      <c r="AL9" t="n">
        <v>5631</v>
      </c>
      <c r="AM9" t="n">
        <v>5667</v>
      </c>
      <c r="AN9" t="n">
        <v>5778</v>
      </c>
      <c r="AO9" t="n">
        <v>5908</v>
      </c>
      <c r="AP9" t="n">
        <v>6145</v>
      </c>
      <c r="AQ9" t="n">
        <v>6771</v>
      </c>
      <c r="AR9" t="n">
        <v>7451</v>
      </c>
      <c r="AS9" t="n">
        <v>9353</v>
      </c>
      <c r="AT9" t="n">
        <v>9876</v>
      </c>
      <c r="AU9" t="n">
        <v>15512</v>
      </c>
      <c r="AV9" t="n">
        <v>15808</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S12" s="4" t="inlineStr">
        <is>
          <t>FY2008</t>
        </is>
      </c>
      <c r="T12" s="4" t="inlineStr">
        <is>
          <t>FY2007</t>
        </is>
      </c>
      <c r="U12" s="4" t="inlineStr">
        <is>
          <t>FY2006</t>
        </is>
      </c>
      <c r="V12" s="4" t="inlineStr">
        <is>
          <t>FY2005</t>
        </is>
      </c>
      <c r="W12" s="4" t="inlineStr">
        <is>
          <t>FY2004</t>
        </is>
      </c>
      <c r="AZ12" t="inlineStr">
        <is>
          <t>FY2004</t>
        </is>
      </c>
      <c r="BA12" t="inlineStr">
        <is>
          <t>FY2005</t>
        </is>
      </c>
      <c r="BB12" t="inlineStr">
        <is>
          <t>FY2006</t>
        </is>
      </c>
      <c r="BC12" t="inlineStr">
        <is>
          <t>FY2007</t>
        </is>
      </c>
      <c r="BD12" t="inlineStr">
        <is>
          <t>FY2008</t>
        </is>
      </c>
      <c r="BE12" t="inlineStr">
        <is>
          <t>FY2009</t>
        </is>
      </c>
      <c r="BF12" t="inlineStr">
        <is>
          <t>FY2010</t>
        </is>
      </c>
      <c r="BG12" t="inlineStr">
        <is>
          <t>FY2011</t>
        </is>
      </c>
      <c r="BH12" t="inlineStr">
        <is>
          <t>FY2012</t>
        </is>
      </c>
      <c r="BI12" t="inlineStr">
        <is>
          <t>FY2013</t>
        </is>
      </c>
      <c r="BJ12" t="inlineStr">
        <is>
          <t>FY2014</t>
        </is>
      </c>
      <c r="BK12" t="inlineStr">
        <is>
          <t>FY2015</t>
        </is>
      </c>
      <c r="BL12" t="inlineStr">
        <is>
          <t>FY2016</t>
        </is>
      </c>
      <c r="BM12" t="inlineStr">
        <is>
          <t>FY2017</t>
        </is>
      </c>
      <c r="BN12" t="inlineStr">
        <is>
          <t>FY2018</t>
        </is>
      </c>
      <c r="BO12" t="inlineStr">
        <is>
          <t>FY2019</t>
        </is>
      </c>
      <c r="BP12" t="inlineStr">
        <is>
          <t>FY2020</t>
        </is>
      </c>
      <c r="BQ12" t="inlineStr">
        <is>
          <t>FY2021</t>
        </is>
      </c>
      <c r="BR12" t="inlineStr">
        <is>
          <t>FY2022</t>
        </is>
      </c>
      <c r="BS12" t="inlineStr">
        <is>
          <t>FY2023</t>
        </is>
      </c>
      <c r="BT12" t="inlineStr">
        <is>
          <t>FY2024</t>
        </is>
      </c>
      <c r="BU12" t="inlineStr">
        <is>
          <t>FY2025</t>
        </is>
      </c>
    </row>
    <row r="13">
      <c r="A13" s="5" t="inlineStr">
        <is>
          <t>Total net income</t>
        </is>
      </c>
      <c r="B13" s="5" t="n">
        <v>6404</v>
      </c>
      <c r="C13" s="5" t="n">
        <v>5205</v>
      </c>
      <c r="D13" s="5" t="n">
        <v>4360</v>
      </c>
      <c r="E13" s="5" t="n">
        <v>3175</v>
      </c>
      <c r="F13" s="5" t="n">
        <v>2610</v>
      </c>
      <c r="G13" s="5" t="n">
        <v>2287</v>
      </c>
      <c r="H13" s="5" t="n">
        <v>2242</v>
      </c>
      <c r="I13" s="5" t="n">
        <v>2106</v>
      </c>
      <c r="J13" s="5" t="n">
        <v>1875</v>
      </c>
      <c r="K13" s="5" t="n">
        <v>1755</v>
      </c>
      <c r="L13" s="5" t="n">
        <v>1637</v>
      </c>
      <c r="M13" s="5" t="n">
        <v>1548</v>
      </c>
      <c r="N13" s="5" t="n"/>
      <c r="O13" s="5" t="n"/>
      <c r="P13" s="5" t="n"/>
      <c r="Q13" s="5" t="n"/>
      <c r="R13" s="5" t="n"/>
      <c r="S13" s="5" t="n"/>
      <c r="T13" s="5" t="n"/>
      <c r="U13" s="5" t="n"/>
      <c r="V13" s="5" t="n"/>
      <c r="W13" s="5" t="n"/>
      <c r="AY13" t="inlineStr">
        <is>
          <t>Total net income</t>
        </is>
      </c>
      <c r="BJ13" t="n">
        <v>1548</v>
      </c>
      <c r="BK13" t="n">
        <v>1637</v>
      </c>
      <c r="BL13" t="n">
        <v>1755</v>
      </c>
      <c r="BM13" t="n">
        <v>1875</v>
      </c>
      <c r="BN13" t="n">
        <v>2106</v>
      </c>
      <c r="BO13" t="n">
        <v>2242</v>
      </c>
      <c r="BP13" t="n">
        <v>2287</v>
      </c>
      <c r="BQ13" t="n">
        <v>2610</v>
      </c>
      <c r="BR13" t="n">
        <v>3175</v>
      </c>
      <c r="BS13" t="n">
        <v>4360</v>
      </c>
      <c r="BT13" t="n">
        <v>5205</v>
      </c>
      <c r="BU13" t="n">
        <v>6404</v>
      </c>
    </row>
    <row r="14">
      <c r="A14" s="5" t="inlineStr">
        <is>
          <t>Administrative expenses</t>
        </is>
      </c>
      <c r="B14" s="5" t="n">
        <v>-7241</v>
      </c>
      <c r="C14" s="5" t="n">
        <v>-4776</v>
      </c>
      <c r="D14" s="5" t="n">
        <v>-3597</v>
      </c>
      <c r="E14" s="5" t="n">
        <v>-2953</v>
      </c>
      <c r="F14" s="5" t="n">
        <v>-2437</v>
      </c>
      <c r="G14" s="5" t="n">
        <v>-2167</v>
      </c>
      <c r="H14" s="5" t="n">
        <v>-1780</v>
      </c>
      <c r="I14" s="5" t="n">
        <v>-1776</v>
      </c>
      <c r="J14" s="5" t="n">
        <v>-1538</v>
      </c>
      <c r="K14" s="5" t="n">
        <v>-1554</v>
      </c>
      <c r="L14" s="5" t="n">
        <v>-1487</v>
      </c>
      <c r="M14" s="5" t="n">
        <v>-1413</v>
      </c>
      <c r="N14" s="5" t="n"/>
      <c r="O14" s="5" t="n"/>
      <c r="P14" s="5" t="n"/>
      <c r="Q14" s="5" t="n"/>
      <c r="R14" s="5" t="n"/>
      <c r="S14" s="5" t="n"/>
      <c r="T14" s="5" t="n"/>
      <c r="U14" s="5" t="n"/>
      <c r="V14" s="5" t="n"/>
      <c r="W14" s="5" t="n"/>
      <c r="AY14" t="inlineStr">
        <is>
          <t>Administrative expenses</t>
        </is>
      </c>
      <c r="BJ14" t="n">
        <v>-1413</v>
      </c>
      <c r="BK14" t="n">
        <v>-1487</v>
      </c>
      <c r="BL14" t="n">
        <v>-1554</v>
      </c>
      <c r="BM14" t="n">
        <v>-1538</v>
      </c>
      <c r="BN14" t="n">
        <v>-1776</v>
      </c>
      <c r="BO14" t="n">
        <v>-1780</v>
      </c>
      <c r="BP14" t="n">
        <v>-2167</v>
      </c>
      <c r="BQ14" t="n">
        <v>-2437</v>
      </c>
      <c r="BR14" t="n">
        <v>-2953</v>
      </c>
      <c r="BS14" t="n">
        <v>-3597</v>
      </c>
      <c r="BT14" t="n">
        <v>-4776</v>
      </c>
      <c r="BU14" t="n">
        <v>-7241</v>
      </c>
    </row>
    <row r="15">
      <c r="A15" s="5" t="inlineStr">
        <is>
          <t>(Loss)/profit for the financial year</t>
        </is>
      </c>
      <c r="B15" s="5" t="n">
        <v>-804</v>
      </c>
      <c r="C15" s="5" t="n">
        <v>279</v>
      </c>
      <c r="D15" s="5" t="n">
        <v>523</v>
      </c>
      <c r="E15" s="5" t="n">
        <v>102</v>
      </c>
      <c r="F15" s="5" t="n">
        <v>680</v>
      </c>
      <c r="G15" s="5" t="n">
        <v>-24</v>
      </c>
      <c r="H15" s="5" t="n">
        <v>257</v>
      </c>
      <c r="I15" s="5" t="n">
        <v>146</v>
      </c>
      <c r="J15" s="5" t="n">
        <v>105</v>
      </c>
      <c r="K15" s="5" t="n">
        <v>34</v>
      </c>
      <c r="L15" s="5" t="n">
        <v>720</v>
      </c>
      <c r="M15" s="5" t="n">
        <v>69</v>
      </c>
      <c r="N15" s="5" t="n"/>
      <c r="O15" s="5" t="n"/>
      <c r="P15" s="5" t="n"/>
      <c r="Q15" s="5" t="n"/>
      <c r="R15" s="5" t="n"/>
      <c r="S15" s="5" t="n"/>
      <c r="T15" s="5" t="n"/>
      <c r="U15" s="5" t="n"/>
      <c r="V15" s="5" t="n"/>
      <c r="W15" s="5" t="n"/>
      <c r="AY15" t="inlineStr">
        <is>
          <t>(Loss)/profit for the financial year</t>
        </is>
      </c>
      <c r="BJ15" t="n">
        <v>69</v>
      </c>
      <c r="BK15" t="n">
        <v>720</v>
      </c>
      <c r="BL15" t="n">
        <v>34</v>
      </c>
      <c r="BM15" t="n">
        <v>105</v>
      </c>
      <c r="BN15" t="n">
        <v>146</v>
      </c>
      <c r="BO15" t="n">
        <v>257</v>
      </c>
      <c r="BP15" t="n">
        <v>-24</v>
      </c>
      <c r="BQ15" t="n">
        <v>680</v>
      </c>
      <c r="BR15" t="n">
        <v>102</v>
      </c>
      <c r="BS15" t="n">
        <v>523</v>
      </c>
      <c r="BT15" t="n">
        <v>279</v>
      </c>
      <c r="BU15" t="n">
        <v>-804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S18" s="4" t="inlineStr">
        <is>
          <t>FY2008</t>
        </is>
      </c>
      <c r="T18" s="4" t="inlineStr">
        <is>
          <t>FY2007</t>
        </is>
      </c>
      <c r="U18" s="4" t="inlineStr">
        <is>
          <t>FY2006</t>
        </is>
      </c>
      <c r="V18" s="4" t="inlineStr">
        <is>
          <t>FY2005</t>
        </is>
      </c>
      <c r="W18" s="4" t="inlineStr">
        <is>
          <t>FY2004</t>
        </is>
      </c>
      <c r="BY18" t="inlineStr">
        <is>
          <t>FY2004</t>
        </is>
      </c>
      <c r="BZ18" t="inlineStr">
        <is>
          <t>FY2005</t>
        </is>
      </c>
      <c r="CA18" t="inlineStr">
        <is>
          <t>FY2006</t>
        </is>
      </c>
      <c r="CB18" t="inlineStr">
        <is>
          <t>FY2007</t>
        </is>
      </c>
      <c r="CC18" t="inlineStr">
        <is>
          <t>FY2008</t>
        </is>
      </c>
      <c r="CD18" t="inlineStr">
        <is>
          <t>FY2009</t>
        </is>
      </c>
      <c r="CE18" t="inlineStr">
        <is>
          <t>FY2010</t>
        </is>
      </c>
      <c r="CF18" t="inlineStr">
        <is>
          <t>FY2011</t>
        </is>
      </c>
      <c r="CG18" t="inlineStr">
        <is>
          <t>FY2012</t>
        </is>
      </c>
      <c r="CH18" t="inlineStr">
        <is>
          <t>FY2013</t>
        </is>
      </c>
      <c r="CI18" t="inlineStr">
        <is>
          <t>FY2014</t>
        </is>
      </c>
      <c r="CJ18" t="inlineStr">
        <is>
          <t>FY2015</t>
        </is>
      </c>
      <c r="CK18" t="inlineStr">
        <is>
          <t>FY2016</t>
        </is>
      </c>
      <c r="CL18" t="inlineStr">
        <is>
          <t>FY2017</t>
        </is>
      </c>
      <c r="CM18" t="inlineStr">
        <is>
          <t>FY2018</t>
        </is>
      </c>
      <c r="CN18" t="inlineStr">
        <is>
          <t>FY2019</t>
        </is>
      </c>
      <c r="CO18" t="inlineStr">
        <is>
          <t>FY2020</t>
        </is>
      </c>
      <c r="CP18" t="inlineStr">
        <is>
          <t>FY2021</t>
        </is>
      </c>
      <c r="CQ18" t="inlineStr">
        <is>
          <t>FY2022</t>
        </is>
      </c>
      <c r="CR18" t="inlineStr">
        <is>
          <t>FY2023</t>
        </is>
      </c>
      <c r="CS18" t="inlineStr">
        <is>
          <t>FY2024</t>
        </is>
      </c>
      <c r="CT18" t="inlineStr">
        <is>
          <t>FY2025</t>
        </is>
      </c>
    </row>
    <row r="19">
      <c r="A19" s="5" t="inlineStr">
        <is>
          <t>Opening total shareholders' funds</t>
        </is>
      </c>
      <c r="B19" s="5" t="n">
        <v>15512</v>
      </c>
      <c r="C19" s="5" t="n">
        <v>9876</v>
      </c>
      <c r="D19" s="5" t="n">
        <v>9353</v>
      </c>
      <c r="E19" s="5" t="n">
        <v>7451</v>
      </c>
      <c r="F19" s="5" t="n">
        <v>6771</v>
      </c>
      <c r="G19" s="5" t="n">
        <v>6145</v>
      </c>
      <c r="H19" s="5" t="n">
        <v>5908</v>
      </c>
      <c r="I19" s="5" t="n">
        <v>5778</v>
      </c>
      <c r="J19" s="5" t="n">
        <v>5667</v>
      </c>
      <c r="K19" s="5" t="n">
        <v>5631</v>
      </c>
      <c r="L19" s="5" t="n">
        <v>4847</v>
      </c>
      <c r="M19" s="5" t="n">
        <v>4646</v>
      </c>
      <c r="N19" s="5" t="n"/>
      <c r="O19" s="5" t="n"/>
      <c r="P19" s="5" t="n"/>
      <c r="Q19" s="5" t="n"/>
      <c r="R19" s="5" t="n"/>
      <c r="S19" s="5" t="n"/>
      <c r="T19" s="5" t="n"/>
      <c r="U19" s="5" t="n"/>
      <c r="V19" s="5" t="n"/>
      <c r="W19" s="5" t="n"/>
      <c r="BX19" t="inlineStr">
        <is>
          <t>Opening total shareholders' funds</t>
        </is>
      </c>
      <c r="CI19" t="n">
        <v>4646</v>
      </c>
      <c r="CJ19" t="n">
        <v>4847</v>
      </c>
      <c r="CK19" t="n">
        <v>5631</v>
      </c>
      <c r="CL19" t="n">
        <v>5667</v>
      </c>
      <c r="CM19" t="n">
        <v>5778</v>
      </c>
      <c r="CN19" t="n">
        <v>5908</v>
      </c>
      <c r="CO19" t="n">
        <v>6145</v>
      </c>
      <c r="CP19" t="n">
        <v>6771</v>
      </c>
      <c r="CQ19" t="n">
        <v>7451</v>
      </c>
      <c r="CR19" t="n">
        <v>9353</v>
      </c>
      <c r="CS19" t="n">
        <v>9876</v>
      </c>
      <c r="CT19" t="n">
        <v>15512</v>
      </c>
    </row>
    <row r="20">
      <c r="A20" s="5" t="inlineStr">
        <is>
          <t>(Loss)/profit for the financial year</t>
        </is>
      </c>
      <c r="B20" s="5" t="n">
        <v>-804</v>
      </c>
      <c r="C20" s="5" t="n">
        <v>279</v>
      </c>
      <c r="D20" s="5" t="n">
        <v>523</v>
      </c>
      <c r="E20" s="5" t="n">
        <v>102</v>
      </c>
      <c r="F20" s="5" t="n">
        <v>680</v>
      </c>
      <c r="G20" s="5" t="n">
        <v>-24</v>
      </c>
      <c r="H20" s="5" t="n">
        <v>257</v>
      </c>
      <c r="I20" s="5" t="n">
        <v>146</v>
      </c>
      <c r="J20" s="5" t="n">
        <v>105</v>
      </c>
      <c r="K20" s="5" t="n">
        <v>34</v>
      </c>
      <c r="L20" s="5" t="n">
        <v>720</v>
      </c>
      <c r="M20" s="5" t="n">
        <v>69</v>
      </c>
      <c r="N20" s="5" t="n"/>
      <c r="O20" s="5" t="n"/>
      <c r="P20" s="5" t="n"/>
      <c r="Q20" s="5" t="n"/>
      <c r="R20" s="5" t="n"/>
      <c r="S20" s="5" t="n"/>
      <c r="T20" s="5" t="n"/>
      <c r="U20" s="5" t="n"/>
      <c r="V20" s="5" t="n"/>
      <c r="W20" s="5" t="n"/>
      <c r="BX20" t="inlineStr">
        <is>
          <t>(Loss)/profit for the financial year</t>
        </is>
      </c>
      <c r="CI20" t="n">
        <v>69</v>
      </c>
      <c r="CJ20" t="n">
        <v>720</v>
      </c>
      <c r="CK20" t="n">
        <v>34</v>
      </c>
      <c r="CL20" t="n">
        <v>105</v>
      </c>
      <c r="CM20" t="n">
        <v>146</v>
      </c>
      <c r="CN20" t="n">
        <v>257</v>
      </c>
      <c r="CO20" t="n">
        <v>-24</v>
      </c>
      <c r="CP20" t="n">
        <v>680</v>
      </c>
      <c r="CQ20" t="n">
        <v>102</v>
      </c>
      <c r="CR20" t="n">
        <v>523</v>
      </c>
      <c r="CS20" t="n">
        <v>279</v>
      </c>
      <c r="CT20" t="n">
        <v>-804</v>
      </c>
    </row>
    <row r="21">
      <c r="A21" s="5" t="inlineStr">
        <is>
          <t>Other equity movements, net</t>
        </is>
      </c>
      <c r="B21" s="5" t="n">
        <v>1100</v>
      </c>
      <c r="C21" s="5" t="n">
        <v>5357</v>
      </c>
      <c r="D21" s="5" t="n">
        <v>0</v>
      </c>
      <c r="E21" s="5" t="n">
        <v>1800</v>
      </c>
      <c r="F21" s="5" t="n">
        <v>0</v>
      </c>
      <c r="G21" s="5" t="n">
        <v>650</v>
      </c>
      <c r="H21" s="5" t="n">
        <v>0</v>
      </c>
      <c r="I21" s="5" t="n">
        <v>-16</v>
      </c>
      <c r="J21" s="5" t="n">
        <v>6</v>
      </c>
      <c r="K21" s="5" t="n">
        <v>2</v>
      </c>
      <c r="L21" s="5" t="n">
        <v>64</v>
      </c>
      <c r="M21" s="5" t="n">
        <v>245</v>
      </c>
      <c r="N21" s="5" t="n"/>
      <c r="O21" s="5" t="n"/>
      <c r="P21" s="5" t="n"/>
      <c r="Q21" s="5" t="n"/>
      <c r="R21" s="5" t="n"/>
      <c r="S21" s="5" t="n"/>
      <c r="T21" s="5" t="n"/>
      <c r="U21" s="5" t="n"/>
      <c r="V21" s="5" t="n"/>
      <c r="W21" s="5" t="n"/>
      <c r="BX21" t="inlineStr">
        <is>
          <t>Other equity movements, net</t>
        </is>
      </c>
      <c r="CI21" t="n">
        <v>245</v>
      </c>
      <c r="CJ21" t="n">
        <v>64</v>
      </c>
      <c r="CK21" t="n">
        <v>2</v>
      </c>
      <c r="CL21" t="n">
        <v>6</v>
      </c>
      <c r="CM21" t="n">
        <v>-16</v>
      </c>
      <c r="CN21" t="n">
        <v>0</v>
      </c>
      <c r="CO21" t="n">
        <v>650</v>
      </c>
      <c r="CP21" t="n">
        <v>0</v>
      </c>
      <c r="CQ21" t="n">
        <v>1800</v>
      </c>
      <c r="CR21" t="n">
        <v>0</v>
      </c>
      <c r="CS21" t="n">
        <v>5357</v>
      </c>
      <c r="CT21" t="n">
        <v>1100</v>
      </c>
    </row>
    <row r="22">
      <c r="A22" s="5" t="inlineStr">
        <is>
          <t>Closing total shareholders' funds</t>
        </is>
      </c>
      <c r="B22" s="5" t="n">
        <v>15808</v>
      </c>
      <c r="C22" s="5" t="n">
        <v>15512</v>
      </c>
      <c r="D22" s="5" t="n">
        <v>9876</v>
      </c>
      <c r="E22" s="5" t="n">
        <v>9353</v>
      </c>
      <c r="F22" s="5" t="n">
        <v>7451</v>
      </c>
      <c r="G22" s="5" t="n">
        <v>6771</v>
      </c>
      <c r="H22" s="5" t="n">
        <v>6145</v>
      </c>
      <c r="I22" s="5" t="n">
        <v>5908</v>
      </c>
      <c r="J22" s="5" t="n">
        <v>5778</v>
      </c>
      <c r="K22" s="5" t="n">
        <v>5667</v>
      </c>
      <c r="L22" s="5" t="n">
        <v>5631</v>
      </c>
      <c r="M22" s="5" t="n">
        <v>4960</v>
      </c>
      <c r="N22" s="5" t="n"/>
      <c r="O22" s="5" t="n"/>
      <c r="P22" s="5" t="n"/>
      <c r="Q22" s="5" t="n"/>
      <c r="R22" s="5" t="n"/>
      <c r="S22" s="5" t="n"/>
      <c r="T22" s="5" t="n"/>
      <c r="U22" s="5" t="n"/>
      <c r="V22" s="5" t="n"/>
      <c r="W22" s="5" t="n"/>
      <c r="BX22" t="inlineStr">
        <is>
          <t>Closing total shareholders' funds</t>
        </is>
      </c>
      <c r="CI22" t="n">
        <v>4960</v>
      </c>
      <c r="CJ22" t="n">
        <v>5631</v>
      </c>
      <c r="CK22" t="n">
        <v>5667</v>
      </c>
      <c r="CL22" t="n">
        <v>5778</v>
      </c>
      <c r="CM22" t="n">
        <v>5908</v>
      </c>
      <c r="CN22" t="n">
        <v>6145</v>
      </c>
      <c r="CO22" t="n">
        <v>6771</v>
      </c>
      <c r="CP22" t="n">
        <v>7451</v>
      </c>
      <c r="CQ22" t="n">
        <v>9353</v>
      </c>
      <c r="CR22" t="n">
        <v>9876</v>
      </c>
      <c r="CS22" t="n">
        <v>15512</v>
      </c>
      <c r="CT22" t="n">
        <v>15808</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N25" s="4" t="inlineStr">
        <is>
          <t>FY2013</t>
        </is>
      </c>
      <c r="O25" s="4" t="inlineStr">
        <is>
          <t>FY2012</t>
        </is>
      </c>
      <c r="P25" s="4" t="inlineStr">
        <is>
          <t>FY2011</t>
        </is>
      </c>
      <c r="Q25" s="4" t="inlineStr">
        <is>
          <t>FY2010</t>
        </is>
      </c>
      <c r="R25" s="4" t="inlineStr">
        <is>
          <t>FY2009</t>
        </is>
      </c>
      <c r="S25" s="4" t="inlineStr">
        <is>
          <t>FY2008</t>
        </is>
      </c>
      <c r="T25" s="4" t="inlineStr">
        <is>
          <t>FY2007</t>
        </is>
      </c>
      <c r="U25" s="4" t="inlineStr">
        <is>
          <t>FY2006</t>
        </is>
      </c>
      <c r="V25" s="4" t="inlineStr">
        <is>
          <t>FY2005</t>
        </is>
      </c>
      <c r="W25" s="4" t="inlineStr">
        <is>
          <t>FY2004</t>
        </is>
      </c>
      <c r="CX25" t="inlineStr">
        <is>
          <t>FY2004</t>
        </is>
      </c>
      <c r="CY25" t="inlineStr">
        <is>
          <t>FY2005</t>
        </is>
      </c>
      <c r="CZ25" t="inlineStr">
        <is>
          <t>FY2006</t>
        </is>
      </c>
      <c r="DA25" t="inlineStr">
        <is>
          <t>FY2007</t>
        </is>
      </c>
      <c r="DB25" t="inlineStr">
        <is>
          <t>FY2008</t>
        </is>
      </c>
      <c r="DC25" t="inlineStr">
        <is>
          <t>FY2009</t>
        </is>
      </c>
      <c r="DD25" t="inlineStr">
        <is>
          <t>FY2010</t>
        </is>
      </c>
      <c r="DE25" t="inlineStr">
        <is>
          <t>FY2011</t>
        </is>
      </c>
      <c r="DF25" t="inlineStr">
        <is>
          <t>FY2012</t>
        </is>
      </c>
      <c r="DG25" t="inlineStr">
        <is>
          <t>FY2013</t>
        </is>
      </c>
      <c r="DH25" t="inlineStr">
        <is>
          <t>FY2014</t>
        </is>
      </c>
      <c r="DI25" t="inlineStr">
        <is>
          <t>FY2015</t>
        </is>
      </c>
      <c r="DJ25" t="inlineStr">
        <is>
          <t>FY2016</t>
        </is>
      </c>
      <c r="DK25" t="inlineStr">
        <is>
          <t>FY2017</t>
        </is>
      </c>
      <c r="DL25" t="inlineStr">
        <is>
          <t>FY2018</t>
        </is>
      </c>
      <c r="DM25" t="inlineStr">
        <is>
          <t>FY2019</t>
        </is>
      </c>
      <c r="DN25" t="inlineStr">
        <is>
          <t>FY2020</t>
        </is>
      </c>
      <c r="DO25" t="inlineStr">
        <is>
          <t>FY2021</t>
        </is>
      </c>
      <c r="DP25" t="inlineStr">
        <is>
          <t>FY2022</t>
        </is>
      </c>
      <c r="DQ25" t="inlineStr">
        <is>
          <t>FY2023</t>
        </is>
      </c>
      <c r="DR25" t="inlineStr">
        <is>
          <t>FY2024</t>
        </is>
      </c>
      <c r="DS25" t="inlineStr">
        <is>
          <t>FY2025</t>
        </is>
      </c>
    </row>
    <row r="26">
      <c r="A26" s="5" t="inlineStr">
        <is>
          <t>Net cash flow from/(used in) operating activities</t>
        </is>
      </c>
      <c r="B26" s="5" t="n">
        <v>-1134</v>
      </c>
      <c r="C26" s="5" t="n">
        <v>-583</v>
      </c>
      <c r="D26" s="5" t="n">
        <v>10244</v>
      </c>
      <c r="E26" s="5" t="n">
        <v>3132</v>
      </c>
      <c r="F26" s="5" t="n">
        <v>-630</v>
      </c>
      <c r="G26" s="5" t="n">
        <v>6970</v>
      </c>
      <c r="H26" s="5" t="n">
        <v>1938</v>
      </c>
      <c r="I26" s="5" t="n">
        <v>-4121</v>
      </c>
      <c r="J26" s="5" t="n">
        <v>1102</v>
      </c>
      <c r="K26" s="5" t="n">
        <v>485</v>
      </c>
      <c r="L26" s="5" t="n">
        <v>-5612</v>
      </c>
      <c r="M26" s="5" t="n"/>
      <c r="N26" s="5" t="n"/>
      <c r="O26" s="5" t="n"/>
      <c r="P26" s="5" t="n"/>
      <c r="Q26" s="5" t="n"/>
      <c r="R26" s="5" t="n"/>
      <c r="S26" s="5" t="n"/>
      <c r="T26" s="5" t="n"/>
      <c r="U26" s="5" t="n"/>
      <c r="V26" s="5" t="n"/>
      <c r="W26" s="5" t="n"/>
      <c r="CW26" t="inlineStr">
        <is>
          <t>Net cash flow from/(used in) operating activities</t>
        </is>
      </c>
      <c r="DI26" t="n">
        <v>-5612</v>
      </c>
      <c r="DJ26" t="n">
        <v>485</v>
      </c>
      <c r="DK26" t="n">
        <v>1102</v>
      </c>
      <c r="DL26" t="n">
        <v>-4121</v>
      </c>
      <c r="DM26" t="n">
        <v>1938</v>
      </c>
      <c r="DN26" t="n">
        <v>6970</v>
      </c>
      <c r="DO26" t="n">
        <v>-630</v>
      </c>
      <c r="DP26" t="n">
        <v>3132</v>
      </c>
      <c r="DQ26" t="n">
        <v>10244</v>
      </c>
      <c r="DR26" t="n">
        <v>-583</v>
      </c>
      <c r="DS26" t="n">
        <v>-1134</v>
      </c>
    </row>
    <row r="27">
      <c r="A27" s="5" t="inlineStr">
        <is>
          <t>Net cash flow from/(used in) investing activities</t>
        </is>
      </c>
      <c r="B27" s="5" t="n">
        <v>-43</v>
      </c>
      <c r="C27" s="5" t="n">
        <v>-41</v>
      </c>
      <c r="D27" s="5" t="n">
        <v>-47</v>
      </c>
      <c r="E27" s="5" t="n">
        <v>-40</v>
      </c>
      <c r="F27" s="5" t="n">
        <v>1769</v>
      </c>
      <c r="G27" s="5" t="n">
        <v>-69</v>
      </c>
      <c r="H27" s="5" t="n">
        <v>-97</v>
      </c>
      <c r="I27" s="5" t="n">
        <v>-52</v>
      </c>
      <c r="J27" s="5" t="n">
        <v>-31</v>
      </c>
      <c r="K27" s="5" t="n">
        <v>-191</v>
      </c>
      <c r="L27" s="5" t="n">
        <v>3325</v>
      </c>
      <c r="M27" s="5" t="n"/>
      <c r="N27" s="5" t="n"/>
      <c r="O27" s="5" t="n"/>
      <c r="P27" s="5" t="n"/>
      <c r="Q27" s="5" t="n"/>
      <c r="R27" s="5" t="n"/>
      <c r="S27" s="5" t="n"/>
      <c r="T27" s="5" t="n"/>
      <c r="U27" s="5" t="n"/>
      <c r="V27" s="5" t="n"/>
      <c r="W27" s="5" t="n"/>
      <c r="CW27" t="inlineStr">
        <is>
          <t>Net cash flow from/(used in) investing activities</t>
        </is>
      </c>
      <c r="DI27" t="n">
        <v>3325</v>
      </c>
      <c r="DJ27" t="n">
        <v>-191</v>
      </c>
      <c r="DK27" t="n">
        <v>-31</v>
      </c>
      <c r="DL27" t="n">
        <v>-52</v>
      </c>
      <c r="DM27" t="n">
        <v>-97</v>
      </c>
      <c r="DN27" t="n">
        <v>-69</v>
      </c>
      <c r="DO27" t="n">
        <v>1769</v>
      </c>
      <c r="DP27" t="n">
        <v>-40</v>
      </c>
      <c r="DQ27" t="n">
        <v>-47</v>
      </c>
      <c r="DR27" t="n">
        <v>-41</v>
      </c>
      <c r="DS27" t="n">
        <v>-43</v>
      </c>
    </row>
    <row r="28">
      <c r="A28" s="5" t="inlineStr">
        <is>
          <t>Net cash flow from/(used in) financing activities</t>
        </is>
      </c>
      <c r="B28" s="5" t="n">
        <v>1100</v>
      </c>
      <c r="C28" s="5" t="n">
        <v>5357</v>
      </c>
      <c r="D28" s="5" t="n">
        <v>0</v>
      </c>
      <c r="E28" s="5" t="n">
        <v>1739</v>
      </c>
      <c r="F28" s="5" t="n">
        <v>-670</v>
      </c>
      <c r="G28" s="5" t="n">
        <v>650</v>
      </c>
      <c r="H28" s="5" t="n">
        <v>-20</v>
      </c>
      <c r="I28" s="5" t="n">
        <v>-166</v>
      </c>
      <c r="J28" s="5" t="n">
        <v>0</v>
      </c>
      <c r="K28" s="5" t="n">
        <v>-100</v>
      </c>
      <c r="L28" s="5" t="n">
        <v>0</v>
      </c>
      <c r="M28" s="5" t="n"/>
      <c r="N28" s="5" t="n"/>
      <c r="O28" s="5" t="n"/>
      <c r="P28" s="5" t="n"/>
      <c r="Q28" s="5" t="n"/>
      <c r="R28" s="5" t="n"/>
      <c r="S28" s="5" t="n"/>
      <c r="T28" s="5" t="n"/>
      <c r="U28" s="5" t="n"/>
      <c r="V28" s="5" t="n"/>
      <c r="W28" s="5" t="n"/>
      <c r="CW28" t="inlineStr">
        <is>
          <t>Net cash flow from/(used in) financing activities</t>
        </is>
      </c>
      <c r="DI28" t="n">
        <v>0</v>
      </c>
      <c r="DJ28" t="n">
        <v>-100</v>
      </c>
      <c r="DK28" t="n">
        <v>0</v>
      </c>
      <c r="DL28" t="n">
        <v>-166</v>
      </c>
      <c r="DM28" t="n">
        <v>-20</v>
      </c>
      <c r="DN28" t="n">
        <v>650</v>
      </c>
      <c r="DO28" t="n">
        <v>-670</v>
      </c>
      <c r="DP28" t="n">
        <v>1739</v>
      </c>
      <c r="DQ28" t="n">
        <v>0</v>
      </c>
      <c r="DR28" t="n">
        <v>5357</v>
      </c>
      <c r="DS28" t="n">
        <v>1100</v>
      </c>
    </row>
    <row r="29">
      <c r="A29" s="5" t="inlineStr">
        <is>
          <t>Cash and cash equivalents at end of year</t>
        </is>
      </c>
      <c r="B29" s="5" t="n">
        <v>39714</v>
      </c>
      <c r="C29" s="5" t="n">
        <v>39791</v>
      </c>
      <c r="D29" s="5" t="n">
        <v>35058</v>
      </c>
      <c r="E29" s="5" t="n">
        <v>24861</v>
      </c>
      <c r="F29" s="5" t="n">
        <v>20030</v>
      </c>
      <c r="G29" s="5" t="n">
        <v>19561</v>
      </c>
      <c r="H29" s="5" t="n">
        <v>12010</v>
      </c>
      <c r="I29" s="5" t="n">
        <v>10189</v>
      </c>
      <c r="J29" s="5" t="n">
        <v>14528</v>
      </c>
      <c r="K29" s="5" t="n">
        <v>13457</v>
      </c>
      <c r="L29" s="5" t="n">
        <v>13263</v>
      </c>
      <c r="M29" s="5" t="n"/>
      <c r="N29" s="5" t="n"/>
      <c r="O29" s="5" t="n"/>
      <c r="P29" s="5" t="n"/>
      <c r="Q29" s="5" t="n"/>
      <c r="R29" s="5" t="n"/>
      <c r="S29" s="5" t="n"/>
      <c r="T29" s="5" t="n"/>
      <c r="U29" s="5" t="n"/>
      <c r="V29" s="5" t="n"/>
      <c r="W29" s="5" t="n"/>
      <c r="CW29" t="inlineStr">
        <is>
          <t>Cash and cash equivalents at end of year</t>
        </is>
      </c>
      <c r="DI29" t="n">
        <v>13263</v>
      </c>
      <c r="DJ29" t="n">
        <v>13457</v>
      </c>
      <c r="DK29" t="n">
        <v>14528</v>
      </c>
      <c r="DL29" t="n">
        <v>10189</v>
      </c>
      <c r="DM29" t="n">
        <v>12010</v>
      </c>
      <c r="DN29" t="n">
        <v>19561</v>
      </c>
      <c r="DO29" t="n">
        <v>20030</v>
      </c>
      <c r="DP29" t="n">
        <v>24861</v>
      </c>
      <c r="DQ29" t="n">
        <v>35058</v>
      </c>
      <c r="DR29" t="n">
        <v>39791</v>
      </c>
      <c r="DS29" t="n">
        <v>39714</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c r="N32" s="4" t="inlineStr">
        <is>
          <t>FY2013</t>
        </is>
      </c>
      <c r="O32" s="4" t="inlineStr">
        <is>
          <t>FY2012</t>
        </is>
      </c>
      <c r="P32" s="4" t="inlineStr">
        <is>
          <t>FY2011</t>
        </is>
      </c>
      <c r="Q32" s="4" t="inlineStr">
        <is>
          <t>FY2010</t>
        </is>
      </c>
      <c r="R32" s="4" t="inlineStr">
        <is>
          <t>FY2009</t>
        </is>
      </c>
      <c r="S32" s="4" t="inlineStr">
        <is>
          <t>FY2008</t>
        </is>
      </c>
      <c r="T32" s="4" t="inlineStr">
        <is>
          <t>FY2007</t>
        </is>
      </c>
      <c r="U32" s="4" t="inlineStr">
        <is>
          <t>FY2006</t>
        </is>
      </c>
      <c r="V32" s="4" t="inlineStr">
        <is>
          <t>FY2005</t>
        </is>
      </c>
      <c r="W32" s="4" t="inlineStr">
        <is>
          <t>FY2004</t>
        </is>
      </c>
    </row>
    <row r="33">
      <c r="A33" s="6" t="inlineStr">
        <is>
          <t>CET1 ratio</t>
        </is>
      </c>
      <c r="B33" s="6" t="inlineStr">
        <is>
          <t>18.8%</t>
        </is>
      </c>
      <c r="C33" s="6" t="inlineStr">
        <is>
          <t>22.2%</t>
        </is>
      </c>
      <c r="D33" s="6" t="inlineStr">
        <is>
          <t>17.37%</t>
        </is>
      </c>
      <c r="E33" s="6" t="inlineStr">
        <is>
          <t>20.84%</t>
        </is>
      </c>
      <c r="F33" s="6" t="inlineStr">
        <is>
          <t>16.97%</t>
        </is>
      </c>
      <c r="G33" s="6" t="inlineStr">
        <is>
          <t>17.13%</t>
        </is>
      </c>
      <c r="H33" s="6" t="inlineStr">
        <is>
          <t>15.27%</t>
        </is>
      </c>
      <c r="I33" s="6" t="inlineStr">
        <is>
          <t>14.57%</t>
        </is>
      </c>
      <c r="J33" s="6" t="inlineStr">
        <is>
          <t>14.41%</t>
        </is>
      </c>
      <c r="K33" s="6" t="inlineStr">
        <is>
          <t>16.25%</t>
        </is>
      </c>
      <c r="L33" s="6" t="inlineStr">
        <is>
          <t>14.45%</t>
        </is>
      </c>
      <c r="M33" s="6" t="n"/>
      <c r="N33" s="6" t="n"/>
      <c r="O33" s="6" t="n"/>
      <c r="P33" s="6" t="n"/>
      <c r="Q33" s="6" t="n"/>
      <c r="R33" s="6" t="n"/>
      <c r="S33" s="6" t="n"/>
      <c r="T33" s="6" t="n"/>
      <c r="U33" s="6" t="n"/>
      <c r="V33" s="6" t="n"/>
      <c r="W33" s="6" t="n"/>
    </row>
    <row r="34">
      <c r="A34" s="6" t="inlineStr">
        <is>
          <t>Leverage ratio</t>
        </is>
      </c>
      <c r="B34" s="6" t="inlineStr">
        <is>
          <t>12.4%</t>
        </is>
      </c>
      <c r="C34" s="6" t="inlineStr">
        <is>
          <t>10.8%</t>
        </is>
      </c>
      <c r="D34" s="6" t="inlineStr">
        <is>
          <t>7.96%</t>
        </is>
      </c>
      <c r="E34" s="6" t="inlineStr">
        <is>
          <t>10.02%</t>
        </is>
      </c>
      <c r="F34" s="6" t="inlineStr">
        <is>
          <t>9.03%</t>
        </is>
      </c>
      <c r="G34" s="6" t="inlineStr">
        <is>
          <t>9.37%</t>
        </is>
      </c>
      <c r="H34" s="6" t="inlineStr">
        <is>
          <t>9.40%</t>
        </is>
      </c>
      <c r="I34" s="6" t="inlineStr">
        <is>
          <t>10.10%</t>
        </is>
      </c>
      <c r="J34" s="6" t="inlineStr">
        <is>
          <t>9.38%</t>
        </is>
      </c>
      <c r="K34" s="6" t="inlineStr">
        <is>
          <t>10.09%</t>
        </is>
      </c>
      <c r="L34" s="6" t="inlineStr">
        <is>
          <t>8.96%</t>
        </is>
      </c>
      <c r="M34" s="6" t="n"/>
      <c r="N34" s="6" t="n"/>
      <c r="O34" s="6" t="n"/>
      <c r="P34" s="6" t="n"/>
      <c r="Q34" s="6" t="n"/>
      <c r="R34" s="6" t="n"/>
      <c r="S34" s="6" t="n"/>
      <c r="T34" s="6" t="n"/>
      <c r="U34" s="6" t="n"/>
      <c r="V34" s="6" t="n"/>
      <c r="W34" s="6" t="n"/>
    </row>
    <row r="36" ht="45" customHeight="1">
      <c r="A36" s="7" t="inlineStr">
        <is>
          <t>Note: No Pillar 3 ratio-type metrics (CET1/Tier 1/Total Capital Ratio, Leverage Ratio, LCR, NSFR, MREL Ratio) or Total RWAs are disclosed by Kingdom Bank via a standalone Pillar 3 document in any of the 12 years reviewed, but a CET1 ratio and Leverage ratio (both charted above) plus an LCR ratio are disclosed as Key Performance Indicators in each year's Strategic Report from FY2015 onward (LCR is omitted from the chart above only because its scale, running into four figures in most years, dwarfs the other two - see the LCR sheet directly). FY2014 predates this KPI table and has no ratio data. Total Capital ratio, Total RWAs, NSFR and MREL ratio remain genuinely undisclosed in every year. CET1 Capital, Tier 1 Capital and Total Capital (£'000) are disclosed for all 12 years on their own sheets. Balance Sheet, Profit &amp; Loss, Statement of Changes in Equity and Cash Flow figures are duplicated from their own sheets for at-a-glance trend viewing - how the bank is using its money (steady growth in loans and advances to churches/charities/individuals, funded by customer deposits) and the risk it is taking with it (a small, consistently sub-1%-of-gross-advances loan loss provision throughout). FY2014 has no cash flow figures (see the Cash Flow Statement sheet's source note).</t>
        </is>
      </c>
    </row>
  </sheetData>
  <mergeCells count="1">
    <mergeCell ref="A36:W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W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Kingdom Bank Limited — Balance Sheet</t>
        </is>
      </c>
    </row>
    <row r="2">
      <c r="A2" s="2" t="inlineStr">
        <is>
          <t>Statement of financial position, Bank/solo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inlineStr">
        <is>
          <t>Cash and balances at central banks (no such line existed before FY2010 - see source note)</t>
        </is>
      </c>
      <c r="B5" s="6" t="n">
        <v>38497</v>
      </c>
      <c r="C5" s="6" t="n">
        <v>38548</v>
      </c>
      <c r="D5" s="6" t="n">
        <v>34064</v>
      </c>
      <c r="E5" s="6" t="n">
        <v>23032</v>
      </c>
      <c r="F5" s="6" t="n">
        <v>10087</v>
      </c>
      <c r="G5" s="6" t="n">
        <v>6678</v>
      </c>
      <c r="H5" s="6" t="n">
        <v>6502</v>
      </c>
      <c r="I5" s="6" t="n">
        <v>4502</v>
      </c>
      <c r="J5" s="6" t="n">
        <v>4523</v>
      </c>
      <c r="K5" s="6" t="n">
        <v>4261</v>
      </c>
      <c r="L5" s="6" t="n">
        <v>3993</v>
      </c>
      <c r="M5" s="6" t="n">
        <v>3973</v>
      </c>
      <c r="N5" s="6" t="n">
        <v>3703</v>
      </c>
      <c r="O5" s="6" t="n">
        <v>4033</v>
      </c>
      <c r="P5" s="6" t="n">
        <v>2014</v>
      </c>
      <c r="Q5" s="6" t="n">
        <v>3001</v>
      </c>
      <c r="R5" s="6" t="n"/>
      <c r="S5" s="6" t="n"/>
      <c r="T5" s="6" t="n"/>
      <c r="U5" s="6" t="n"/>
      <c r="V5" s="6" t="n"/>
      <c r="W5" s="6" t="n"/>
    </row>
    <row r="6">
      <c r="A6" s="6" t="inlineStr">
        <is>
          <t>Loans and advances to banks (FY2014's own label: 'Loans and advances to credit institutions'; FY2004 combines that year's separate banks/building-societies lines - see source note)</t>
        </is>
      </c>
      <c r="B6" s="6" t="n">
        <v>1217</v>
      </c>
      <c r="C6" s="6" t="n">
        <v>1243</v>
      </c>
      <c r="D6" s="6" t="n">
        <v>994</v>
      </c>
      <c r="E6" s="6" t="n">
        <v>1829</v>
      </c>
      <c r="F6" s="6" t="n">
        <v>10795</v>
      </c>
      <c r="G6" s="6" t="n">
        <v>14135</v>
      </c>
      <c r="H6" s="6" t="n">
        <v>5509</v>
      </c>
      <c r="I6" s="6" t="n">
        <v>5939</v>
      </c>
      <c r="J6" s="6" t="n">
        <v>11311</v>
      </c>
      <c r="K6" s="6" t="n">
        <v>9864</v>
      </c>
      <c r="L6" s="6" t="n">
        <v>10981</v>
      </c>
      <c r="M6" s="6" t="n">
        <v>11905</v>
      </c>
      <c r="N6" s="6" t="n">
        <v>17724</v>
      </c>
      <c r="O6" s="6" t="n">
        <v>13663</v>
      </c>
      <c r="P6" s="6" t="n">
        <v>16043</v>
      </c>
      <c r="Q6" s="6" t="n">
        <v>16236</v>
      </c>
      <c r="R6" s="6" t="n">
        <v>15052</v>
      </c>
      <c r="S6" s="6" t="n">
        <v>23823</v>
      </c>
      <c r="T6" s="6" t="n">
        <v>23472</v>
      </c>
      <c r="U6" s="6" t="n">
        <v>11711</v>
      </c>
      <c r="V6" s="6" t="n">
        <v>10925</v>
      </c>
      <c r="W6" s="6" t="n">
        <v>9858</v>
      </c>
    </row>
    <row r="7">
      <c r="A7" s="6" t="inlineStr">
        <is>
          <t>Loans and advances to customers</t>
        </is>
      </c>
      <c r="B7" s="6" t="n">
        <v>118242</v>
      </c>
      <c r="C7" s="6" t="n">
        <v>97733</v>
      </c>
      <c r="D7" s="6" t="n">
        <v>77532</v>
      </c>
      <c r="E7" s="6" t="n">
        <v>63291</v>
      </c>
      <c r="F7" s="6" t="n">
        <v>53795</v>
      </c>
      <c r="G7" s="6" t="n">
        <v>47114</v>
      </c>
      <c r="H7" s="6" t="n">
        <v>45339</v>
      </c>
      <c r="I7" s="6" t="n">
        <v>41404</v>
      </c>
      <c r="J7" s="6" t="n">
        <v>38438</v>
      </c>
      <c r="K7" s="6" t="n">
        <v>35336</v>
      </c>
      <c r="L7" s="6" t="n">
        <v>33028</v>
      </c>
      <c r="M7" s="6" t="n">
        <v>29724</v>
      </c>
      <c r="N7" s="6" t="n">
        <v>28355</v>
      </c>
      <c r="O7" s="6" t="n">
        <v>27886</v>
      </c>
      <c r="P7" s="6" t="n">
        <v>28238</v>
      </c>
      <c r="Q7" s="6" t="n">
        <v>32538</v>
      </c>
      <c r="R7" s="6" t="n">
        <v>33073</v>
      </c>
      <c r="S7" s="6" t="n">
        <v>26860</v>
      </c>
      <c r="T7" s="6" t="n">
        <v>20322</v>
      </c>
      <c r="U7" s="6" t="n">
        <v>21208</v>
      </c>
      <c r="V7" s="6" t="n">
        <v>17900</v>
      </c>
      <c r="W7" s="6" t="n">
        <v>16680</v>
      </c>
    </row>
    <row r="8">
      <c r="A8" s="6" t="inlineStr">
        <is>
          <t>Debt securities (not disclosed before FY2009, nil FY2010)</t>
        </is>
      </c>
      <c r="B8" s="6" t="n"/>
      <c r="C8" s="6" t="n"/>
      <c r="D8" s="6" t="n"/>
      <c r="E8" s="6" t="n"/>
      <c r="F8" s="6" t="n"/>
      <c r="G8" s="6" t="n"/>
      <c r="H8" s="6" t="n"/>
      <c r="I8" s="6" t="n"/>
      <c r="J8" s="6" t="n"/>
      <c r="K8" s="6" t="n"/>
      <c r="L8" s="6" t="n"/>
      <c r="M8" s="6" t="n">
        <v>0</v>
      </c>
      <c r="N8" s="6" t="n">
        <v>24</v>
      </c>
      <c r="O8" s="6" t="n">
        <v>25</v>
      </c>
      <c r="P8" s="6" t="n">
        <v>25</v>
      </c>
      <c r="Q8" s="6" t="n">
        <v>0</v>
      </c>
      <c r="R8" s="6" t="n">
        <v>1692</v>
      </c>
      <c r="S8" s="6" t="n"/>
      <c r="T8" s="6" t="n"/>
      <c r="U8" s="6" t="n"/>
      <c r="V8" s="6" t="n"/>
      <c r="W8" s="6" t="n"/>
    </row>
    <row r="9">
      <c r="A9" s="6" t="inlineStr">
        <is>
          <t>Investment property</t>
        </is>
      </c>
      <c r="B9" s="6" t="n">
        <v>650</v>
      </c>
      <c r="C9" s="6" t="n"/>
      <c r="D9" s="6" t="n"/>
      <c r="E9" s="6" t="n"/>
      <c r="F9" s="6" t="n"/>
      <c r="G9" s="6" t="n">
        <v>667</v>
      </c>
      <c r="H9" s="6" t="n">
        <v>667</v>
      </c>
      <c r="I9" s="6" t="n">
        <v>667</v>
      </c>
      <c r="J9" s="6" t="n">
        <v>500</v>
      </c>
      <c r="K9" s="6" t="n">
        <v>498</v>
      </c>
      <c r="L9" s="6" t="n"/>
      <c r="M9" s="6" t="n"/>
      <c r="N9" s="6" t="n"/>
      <c r="O9" s="6" t="n"/>
      <c r="P9" s="6" t="n"/>
      <c r="Q9" s="6" t="n"/>
      <c r="R9" s="6" t="n"/>
      <c r="S9" s="6" t="n"/>
      <c r="T9" s="6" t="n"/>
      <c r="U9" s="6" t="n"/>
      <c r="V9" s="6" t="n"/>
      <c r="W9" s="6" t="n"/>
    </row>
    <row r="10">
      <c r="A10" s="6" t="inlineStr">
        <is>
          <t>Intangible fixed assets (nil/absent before FY2008 - see source note)</t>
        </is>
      </c>
      <c r="B10" s="6" t="n">
        <v>18</v>
      </c>
      <c r="C10" s="6" t="n">
        <v>39</v>
      </c>
      <c r="D10" s="6" t="n">
        <v>75</v>
      </c>
      <c r="E10" s="6" t="n">
        <v>76</v>
      </c>
      <c r="F10" s="6" t="n">
        <v>83</v>
      </c>
      <c r="G10" s="6" t="n">
        <v>69</v>
      </c>
      <c r="H10" s="6" t="n">
        <v>69</v>
      </c>
      <c r="I10" s="6" t="n">
        <v>122</v>
      </c>
      <c r="J10" s="6" t="n">
        <v>189</v>
      </c>
      <c r="K10" s="6" t="n">
        <v>255</v>
      </c>
      <c r="L10" s="6" t="n">
        <v>168</v>
      </c>
      <c r="M10" s="6" t="n">
        <v>131</v>
      </c>
      <c r="N10" s="6" t="n">
        <v>162</v>
      </c>
      <c r="O10" s="6" t="n">
        <v>192</v>
      </c>
      <c r="P10" s="6" t="n">
        <v>222</v>
      </c>
      <c r="Q10" s="6" t="n">
        <v>252</v>
      </c>
      <c r="R10" s="6" t="n">
        <v>283</v>
      </c>
      <c r="S10" s="6" t="n">
        <v>0</v>
      </c>
      <c r="T10" s="6" t="n"/>
      <c r="U10" s="6" t="n"/>
      <c r="V10" s="6" t="n"/>
      <c r="W10" s="6" t="n"/>
    </row>
    <row r="11">
      <c r="A11" s="6" t="inlineStr">
        <is>
          <t>Tangible fixed assets (FY2014 figure includes freehold investment property, not separately disclosed that year)</t>
        </is>
      </c>
      <c r="B11" s="6" t="n">
        <v>171</v>
      </c>
      <c r="C11" s="6" t="n">
        <v>174</v>
      </c>
      <c r="D11" s="6" t="n">
        <v>192</v>
      </c>
      <c r="E11" s="6" t="n">
        <v>230</v>
      </c>
      <c r="F11" s="6" t="n">
        <v>268</v>
      </c>
      <c r="G11" s="6" t="n">
        <v>730</v>
      </c>
      <c r="H11" s="6" t="n">
        <v>742</v>
      </c>
      <c r="I11" s="6" t="n">
        <v>685</v>
      </c>
      <c r="J11" s="6" t="n">
        <v>842</v>
      </c>
      <c r="K11" s="6" t="n">
        <v>845</v>
      </c>
      <c r="L11" s="6" t="n">
        <v>1369</v>
      </c>
      <c r="M11" s="6" t="n">
        <v>3883</v>
      </c>
      <c r="N11" s="6" t="n">
        <v>3599</v>
      </c>
      <c r="O11" s="6" t="n">
        <v>3399</v>
      </c>
      <c r="P11" s="6" t="n">
        <v>1289</v>
      </c>
      <c r="Q11" s="6" t="n">
        <v>1355</v>
      </c>
      <c r="R11" s="6" t="n">
        <v>1384</v>
      </c>
      <c r="S11" s="6" t="n">
        <v>2235</v>
      </c>
      <c r="T11" s="6" t="n">
        <v>2171</v>
      </c>
      <c r="U11" s="6" t="n">
        <v>2035</v>
      </c>
      <c r="V11" s="6" t="n">
        <v>2110</v>
      </c>
      <c r="W11" s="6" t="n">
        <v>2146</v>
      </c>
    </row>
    <row r="12">
      <c r="A12" s="6" t="inlineStr">
        <is>
          <t>Fixed asset investment / Participating interests (49% of SALT Insurance Services Ltd, acquired 2 June 2008, sold during FY2012)</t>
        </is>
      </c>
      <c r="B12" s="6" t="n"/>
      <c r="C12" s="6" t="n"/>
      <c r="D12" s="6" t="n"/>
      <c r="E12" s="6" t="n"/>
      <c r="F12" s="6" t="n"/>
      <c r="G12" s="6" t="n"/>
      <c r="H12" s="6" t="n"/>
      <c r="I12" s="6" t="n"/>
      <c r="J12" s="6" t="n"/>
      <c r="K12" s="6" t="n"/>
      <c r="L12" s="6" t="n"/>
      <c r="M12" s="6" t="n"/>
      <c r="N12" s="6" t="n"/>
      <c r="O12" s="6" t="n"/>
      <c r="P12" s="6" t="n">
        <v>15</v>
      </c>
      <c r="Q12" s="6" t="n">
        <v>15</v>
      </c>
      <c r="R12" s="6" t="n">
        <v>15</v>
      </c>
      <c r="S12" s="6" t="n">
        <v>15</v>
      </c>
      <c r="T12" s="6" t="n"/>
      <c r="U12" s="6" t="n"/>
      <c r="V12" s="6" t="n"/>
      <c r="W12" s="6" t="n"/>
    </row>
    <row r="13">
      <c r="A13" s="6" t="inlineStr">
        <is>
          <t>Other assets</t>
        </is>
      </c>
      <c r="B13" s="6" t="n">
        <v>23</v>
      </c>
      <c r="C13" s="6" t="n">
        <v>63</v>
      </c>
      <c r="D13" s="6" t="n">
        <v>37</v>
      </c>
      <c r="E13" s="6" t="n">
        <v>481</v>
      </c>
      <c r="F13" s="6" t="n">
        <v>347</v>
      </c>
      <c r="G13" s="6" t="n">
        <v>388</v>
      </c>
      <c r="H13" s="6" t="n">
        <v>482</v>
      </c>
      <c r="I13" s="6" t="n">
        <v>484</v>
      </c>
      <c r="J13" s="6" t="n">
        <v>447</v>
      </c>
      <c r="K13" s="6" t="n">
        <v>390</v>
      </c>
      <c r="L13" s="6" t="n">
        <v>270</v>
      </c>
      <c r="M13" s="6" t="n"/>
      <c r="N13" s="6" t="n"/>
      <c r="O13" s="6" t="n"/>
      <c r="P13" s="6" t="n"/>
      <c r="Q13" s="6" t="n"/>
      <c r="R13" s="6" t="n"/>
      <c r="S13" s="6" t="n"/>
      <c r="T13" s="6" t="n"/>
      <c r="U13" s="6" t="n"/>
      <c r="V13" s="6" t="n"/>
      <c r="W13" s="6" t="n"/>
    </row>
    <row r="14">
      <c r="A14" s="6" t="inlineStr">
        <is>
          <t>Prepayments and accrued income</t>
        </is>
      </c>
      <c r="B14" s="6" t="n">
        <v>1056</v>
      </c>
      <c r="C14" s="6" t="n">
        <v>662</v>
      </c>
      <c r="D14" s="6" t="n">
        <v>571</v>
      </c>
      <c r="E14" s="6" t="n"/>
      <c r="F14" s="6" t="n"/>
      <c r="G14" s="6" t="n"/>
      <c r="H14" s="6" t="n"/>
      <c r="I14" s="6" t="n"/>
      <c r="J14" s="6" t="n"/>
      <c r="K14" s="6" t="n"/>
      <c r="L14" s="6" t="n"/>
      <c r="M14" s="6" t="n"/>
      <c r="N14" s="6" t="n"/>
      <c r="O14" s="6" t="n"/>
      <c r="P14" s="6" t="n"/>
      <c r="Q14" s="6" t="n"/>
      <c r="R14" s="6" t="n"/>
      <c r="S14" s="6" t="n"/>
      <c r="T14" s="6" t="n"/>
      <c r="U14" s="6" t="n"/>
      <c r="V14" s="6" t="n"/>
      <c r="W14" s="6" t="n"/>
    </row>
    <row r="15">
      <c r="A15" s="6" t="inlineStr">
        <is>
          <t>Prepayments, accrued income and other assets (combined line every year before FY2015 - see source note)</t>
        </is>
      </c>
      <c r="B15" s="6" t="n"/>
      <c r="C15" s="6" t="n"/>
      <c r="D15" s="6" t="n"/>
      <c r="E15" s="6" t="n"/>
      <c r="F15" s="6" t="n"/>
      <c r="G15" s="6" t="n"/>
      <c r="H15" s="6" t="n"/>
      <c r="I15" s="6" t="n"/>
      <c r="J15" s="6" t="n"/>
      <c r="K15" s="6" t="n"/>
      <c r="L15" s="6" t="n"/>
      <c r="M15" s="6" t="n">
        <v>227</v>
      </c>
      <c r="N15" s="6" t="n">
        <v>251</v>
      </c>
      <c r="O15" s="6" t="n">
        <v>309</v>
      </c>
      <c r="P15" s="6" t="n">
        <v>296</v>
      </c>
      <c r="Q15" s="6" t="n">
        <v>162</v>
      </c>
      <c r="R15" s="6" t="n">
        <v>75</v>
      </c>
      <c r="S15" s="6" t="n">
        <v>26</v>
      </c>
      <c r="T15" s="6" t="n">
        <v>13</v>
      </c>
      <c r="U15" s="6" t="n">
        <v>30</v>
      </c>
      <c r="V15" s="6" t="n">
        <v>20</v>
      </c>
      <c r="W15" s="6" t="n">
        <v>10</v>
      </c>
    </row>
    <row r="16">
      <c r="A16" s="6" t="inlineStr">
        <is>
          <t>Deferred tax assets</t>
        </is>
      </c>
      <c r="B16" s="6" t="n">
        <v>297</v>
      </c>
      <c r="C16" s="6" t="n">
        <v>30</v>
      </c>
      <c r="D16" s="6" t="n">
        <v>44</v>
      </c>
      <c r="E16" s="6" t="n">
        <v>83</v>
      </c>
      <c r="F16" s="6" t="n">
        <v>166</v>
      </c>
      <c r="G16" s="6" t="n"/>
      <c r="H16" s="6" t="n"/>
      <c r="I16" s="6" t="n"/>
      <c r="J16" s="6" t="n"/>
      <c r="K16" s="6" t="n"/>
      <c r="L16" s="6" t="n"/>
      <c r="M16" s="6" t="n"/>
      <c r="N16" s="6" t="n"/>
      <c r="O16" s="6" t="n"/>
      <c r="P16" s="6" t="n"/>
      <c r="Q16" s="6" t="n"/>
      <c r="R16" s="6" t="n"/>
      <c r="S16" s="6" t="n"/>
      <c r="T16" s="6" t="n"/>
      <c r="U16" s="6" t="n"/>
      <c r="V16" s="6" t="n"/>
      <c r="W16" s="6" t="n"/>
    </row>
    <row r="17">
      <c r="A17" s="5" t="inlineStr">
        <is>
          <t>Total assets</t>
        </is>
      </c>
      <c r="B17" s="5" t="n">
        <v>160171</v>
      </c>
      <c r="C17" s="5" t="n">
        <v>138492</v>
      </c>
      <c r="D17" s="5" t="n">
        <v>113509</v>
      </c>
      <c r="E17" s="5" t="n">
        <v>89022</v>
      </c>
      <c r="F17" s="5" t="n">
        <v>75541</v>
      </c>
      <c r="G17" s="5" t="n">
        <v>69781</v>
      </c>
      <c r="H17" s="5" t="n">
        <v>59310</v>
      </c>
      <c r="I17" s="5" t="n">
        <v>53803</v>
      </c>
      <c r="J17" s="5" t="n">
        <v>56250</v>
      </c>
      <c r="K17" s="5" t="n">
        <v>51449</v>
      </c>
      <c r="L17" s="5" t="n">
        <v>49809</v>
      </c>
      <c r="M17" s="5" t="n">
        <v>49843</v>
      </c>
      <c r="N17" s="5" t="n"/>
      <c r="O17" s="5" t="n"/>
      <c r="P17" s="5" t="n"/>
      <c r="Q17" s="5" t="n"/>
      <c r="R17" s="5" t="n"/>
      <c r="S17" s="5" t="n"/>
      <c r="T17" s="5" t="n"/>
      <c r="U17" s="5" t="n"/>
      <c r="V17" s="5" t="n"/>
      <c r="W17" s="5" t="n"/>
    </row>
    <row r="18">
      <c r="A18" s="5" t="inlineStr">
        <is>
          <t>Liabilities</t>
        </is>
      </c>
      <c r="B18" s="6" t="n"/>
      <c r="C18" s="6" t="n"/>
      <c r="D18" s="6" t="n"/>
      <c r="E18" s="6" t="n"/>
      <c r="F18" s="6" t="n"/>
      <c r="G18" s="6" t="n"/>
      <c r="H18" s="6" t="n"/>
      <c r="I18" s="6" t="n"/>
      <c r="J18" s="6" t="n"/>
      <c r="K18" s="6" t="n"/>
      <c r="L18" s="6" t="n"/>
      <c r="M18" s="6" t="n"/>
      <c r="N18" s="6" t="n"/>
      <c r="O18" s="6" t="n"/>
      <c r="P18" s="6" t="n"/>
      <c r="Q18" s="6" t="n"/>
      <c r="R18" s="6" t="n"/>
      <c r="S18" s="6" t="n"/>
      <c r="T18" s="6" t="n"/>
      <c r="U18" s="6" t="n"/>
      <c r="V18" s="6" t="n"/>
      <c r="W18" s="6" t="n"/>
    </row>
    <row r="19">
      <c r="A19" s="6" t="inlineStr">
        <is>
          <t>Loans and advances from credit institutions due within 3 months (existed FY2006-FY2009 only - see source note)</t>
        </is>
      </c>
      <c r="B19" s="6" t="n"/>
      <c r="C19" s="6" t="n"/>
      <c r="D19" s="6" t="n"/>
      <c r="E19" s="6" t="n"/>
      <c r="F19" s="6" t="n"/>
      <c r="G19" s="6" t="n"/>
      <c r="H19" s="6" t="n"/>
      <c r="I19" s="6" t="n"/>
      <c r="J19" s="6" t="n"/>
      <c r="K19" s="6" t="n"/>
      <c r="L19" s="6" t="n"/>
      <c r="M19" s="6" t="n"/>
      <c r="N19" s="6" t="n"/>
      <c r="O19" s="6" t="n"/>
      <c r="P19" s="6" t="n"/>
      <c r="Q19" s="6" t="n"/>
      <c r="R19" s="6" t="n">
        <v>0</v>
      </c>
      <c r="S19" s="6" t="n">
        <v>507</v>
      </c>
      <c r="T19" s="6" t="n">
        <v>510</v>
      </c>
      <c r="U19" s="6" t="n">
        <v>503</v>
      </c>
      <c r="V19" s="6" t="n"/>
      <c r="W19" s="6" t="n"/>
    </row>
    <row r="20">
      <c r="A20" s="6" t="inlineStr">
        <is>
          <t>Customer accounts</t>
        </is>
      </c>
      <c r="B20" s="6" t="n">
        <v>141758</v>
      </c>
      <c r="C20" s="6" t="n">
        <v>121269</v>
      </c>
      <c r="D20" s="6" t="n">
        <v>102091</v>
      </c>
      <c r="E20" s="6" t="n">
        <v>78452</v>
      </c>
      <c r="F20" s="6" t="n">
        <v>66668</v>
      </c>
      <c r="G20" s="6" t="n">
        <v>61287</v>
      </c>
      <c r="H20" s="6" t="n">
        <v>51378</v>
      </c>
      <c r="I20" s="6" t="n">
        <v>46112</v>
      </c>
      <c r="J20" s="6" t="n">
        <v>48656</v>
      </c>
      <c r="K20" s="6" t="n">
        <v>43885</v>
      </c>
      <c r="L20" s="6" t="n">
        <v>41906</v>
      </c>
      <c r="M20" s="6" t="n">
        <v>42935</v>
      </c>
      <c r="N20" s="6" t="n">
        <v>47013</v>
      </c>
      <c r="O20" s="6" t="n">
        <v>42546</v>
      </c>
      <c r="P20" s="6" t="n">
        <v>41638</v>
      </c>
      <c r="Q20" s="6" t="n">
        <v>47247</v>
      </c>
      <c r="R20" s="6" t="n">
        <v>45168</v>
      </c>
      <c r="S20" s="6" t="n">
        <v>46737</v>
      </c>
      <c r="T20" s="6" t="n">
        <v>39931</v>
      </c>
      <c r="U20" s="6" t="n">
        <v>29520</v>
      </c>
      <c r="V20" s="6" t="n">
        <v>26294</v>
      </c>
      <c r="W20" s="6" t="n">
        <v>24187</v>
      </c>
    </row>
    <row r="21">
      <c r="A21" s="6" t="inlineStr">
        <is>
          <t>Other liabilities</t>
        </is>
      </c>
      <c r="B21" s="6" t="n">
        <v>616</v>
      </c>
      <c r="C21" s="6" t="n">
        <v>448</v>
      </c>
      <c r="D21" s="6" t="n">
        <v>438</v>
      </c>
      <c r="E21" s="6" t="n">
        <v>517</v>
      </c>
      <c r="F21" s="6" t="n">
        <v>661</v>
      </c>
      <c r="G21" s="6" t="n">
        <v>292</v>
      </c>
      <c r="H21" s="6" t="n">
        <v>356</v>
      </c>
      <c r="I21" s="6" t="n">
        <v>352</v>
      </c>
      <c r="J21" s="6" t="n">
        <v>235</v>
      </c>
      <c r="K21" s="6" t="n">
        <v>316</v>
      </c>
      <c r="L21" s="6" t="n">
        <v>591</v>
      </c>
      <c r="M21" s="6" t="n">
        <v>267</v>
      </c>
      <c r="N21" s="6" t="n">
        <v>267</v>
      </c>
      <c r="O21" s="6" t="n">
        <v>412</v>
      </c>
      <c r="P21" s="6" t="n">
        <v>346</v>
      </c>
      <c r="Q21" s="6" t="n">
        <v>341</v>
      </c>
      <c r="R21" s="6" t="n">
        <v>296</v>
      </c>
      <c r="S21" s="6" t="n">
        <v>322</v>
      </c>
      <c r="T21" s="6" t="n">
        <v>274</v>
      </c>
      <c r="U21" s="6" t="n">
        <v>231</v>
      </c>
      <c r="V21" s="6" t="n">
        <v>176</v>
      </c>
      <c r="W21" s="6" t="n">
        <v>290</v>
      </c>
    </row>
    <row r="22">
      <c r="A22" s="6" t="inlineStr">
        <is>
          <t>Accruals and deferred income</t>
        </is>
      </c>
      <c r="B22" s="6" t="n">
        <v>1289</v>
      </c>
      <c r="C22" s="6" t="n">
        <v>563</v>
      </c>
      <c r="D22" s="6" t="n">
        <v>404</v>
      </c>
      <c r="E22" s="6" t="n"/>
      <c r="F22" s="6" t="n"/>
      <c r="G22" s="6" t="n"/>
      <c r="H22" s="6" t="n"/>
      <c r="I22" s="6" t="n"/>
      <c r="J22" s="6" t="n"/>
      <c r="K22" s="6" t="n"/>
      <c r="L22" s="6" t="n"/>
      <c r="M22" s="6" t="n"/>
      <c r="N22" s="6" t="n"/>
      <c r="O22" s="6" t="n"/>
      <c r="P22" s="6" t="n"/>
      <c r="Q22" s="6" t="n"/>
      <c r="R22" s="6" t="n"/>
      <c r="S22" s="6" t="n"/>
      <c r="T22" s="6" t="n"/>
      <c r="U22" s="6" t="n"/>
      <c r="V22" s="6" t="n"/>
      <c r="W22" s="6" t="n"/>
    </row>
    <row r="23">
      <c r="A23" s="6" t="inlineStr">
        <is>
          <t>Subordinated liabilities (FY2014's own label: 'Subordinated deposits'; nil/absent before FY2007 - see source note)</t>
        </is>
      </c>
      <c r="B23" s="6" t="n">
        <v>700</v>
      </c>
      <c r="C23" s="6" t="n">
        <v>700</v>
      </c>
      <c r="D23" s="6" t="n">
        <v>700</v>
      </c>
      <c r="E23" s="6" t="n">
        <v>700</v>
      </c>
      <c r="F23" s="6" t="n">
        <v>761</v>
      </c>
      <c r="G23" s="6" t="n">
        <v>1431</v>
      </c>
      <c r="H23" s="6" t="n">
        <v>1431</v>
      </c>
      <c r="I23" s="6" t="n">
        <v>1431</v>
      </c>
      <c r="J23" s="6" t="n">
        <v>1581</v>
      </c>
      <c r="K23" s="6" t="n">
        <v>1581</v>
      </c>
      <c r="L23" s="6" t="n">
        <v>1681</v>
      </c>
      <c r="M23" s="6" t="n">
        <v>1681</v>
      </c>
      <c r="N23" s="6" t="n">
        <v>1892</v>
      </c>
      <c r="O23" s="6" t="n">
        <v>1892</v>
      </c>
      <c r="P23" s="6" t="n">
        <v>1892</v>
      </c>
      <c r="Q23" s="6" t="n">
        <v>1322</v>
      </c>
      <c r="R23" s="6" t="n">
        <v>1322</v>
      </c>
      <c r="S23" s="6" t="n">
        <v>172</v>
      </c>
      <c r="T23" s="6" t="n">
        <v>172</v>
      </c>
      <c r="U23" s="6" t="n"/>
      <c r="V23" s="6" t="n"/>
      <c r="W23" s="6" t="n"/>
    </row>
    <row r="24">
      <c r="A24" s="5" t="inlineStr">
        <is>
          <t>Total liabilities</t>
        </is>
      </c>
      <c r="B24" s="5" t="n">
        <v>144363</v>
      </c>
      <c r="C24" s="5" t="n">
        <v>122980</v>
      </c>
      <c r="D24" s="5" t="n">
        <v>103633</v>
      </c>
      <c r="E24" s="5" t="n">
        <v>79669</v>
      </c>
      <c r="F24" s="5" t="n">
        <v>68090</v>
      </c>
      <c r="G24" s="5" t="n">
        <v>63010</v>
      </c>
      <c r="H24" s="5" t="n">
        <v>53165</v>
      </c>
      <c r="I24" s="5" t="n">
        <v>47895</v>
      </c>
      <c r="J24" s="5" t="n">
        <v>50472</v>
      </c>
      <c r="K24" s="5" t="n">
        <v>45782</v>
      </c>
      <c r="L24" s="5" t="n">
        <v>44178</v>
      </c>
      <c r="M24" s="5" t="n">
        <v>44883</v>
      </c>
      <c r="N24" s="5" t="n">
        <v>49172</v>
      </c>
      <c r="O24" s="5" t="n">
        <v>44850</v>
      </c>
      <c r="P24" s="5" t="n">
        <v>43876</v>
      </c>
      <c r="Q24" s="5" t="n">
        <v>48910</v>
      </c>
      <c r="R24" s="5" t="n">
        <v>46786</v>
      </c>
      <c r="S24" s="5" t="n">
        <v>47738</v>
      </c>
      <c r="T24" s="5" t="n">
        <v>40887</v>
      </c>
      <c r="U24" s="5" t="n">
        <v>30426</v>
      </c>
      <c r="V24" s="5" t="n">
        <v>26643</v>
      </c>
      <c r="W24" s="5" t="n">
        <v>24477</v>
      </c>
    </row>
    <row r="25">
      <c r="A25" s="5" t="inlineStr">
        <is>
          <t>Equity</t>
        </is>
      </c>
      <c r="B25" s="6" t="n"/>
      <c r="C25" s="6" t="n"/>
      <c r="D25" s="6" t="n"/>
      <c r="E25" s="6" t="n"/>
      <c r="F25" s="6" t="n"/>
      <c r="G25" s="6" t="n"/>
      <c r="H25" s="6" t="n"/>
      <c r="I25" s="6" t="n"/>
      <c r="J25" s="6" t="n"/>
      <c r="K25" s="6" t="n"/>
      <c r="L25" s="6" t="n"/>
      <c r="M25" s="6" t="n"/>
      <c r="N25" s="6" t="n"/>
      <c r="O25" s="6" t="n"/>
      <c r="P25" s="6" t="n"/>
      <c r="Q25" s="6" t="n"/>
      <c r="R25" s="6" t="n"/>
      <c r="S25" s="6" t="n"/>
      <c r="T25" s="6" t="n"/>
      <c r="U25" s="6" t="n"/>
      <c r="V25" s="6" t="n"/>
      <c r="W25" s="6" t="n"/>
    </row>
    <row r="26">
      <c r="A26" s="6" t="inlineStr">
        <is>
          <t>Called up share capital (FY2004 combines that year's separate 'called up' and 'unpaid' share capital lines, both fully paid by FY2005 - see source note)</t>
        </is>
      </c>
      <c r="B26" s="6" t="n">
        <v>13237</v>
      </c>
      <c r="C26" s="6" t="n">
        <v>12067</v>
      </c>
      <c r="D26" s="6" t="n">
        <v>6667</v>
      </c>
      <c r="E26" s="6" t="n">
        <v>6667</v>
      </c>
      <c r="F26" s="6" t="n">
        <v>4867</v>
      </c>
      <c r="G26" s="6" t="n">
        <v>4867</v>
      </c>
      <c r="H26" s="6" t="n">
        <v>4217</v>
      </c>
      <c r="I26" s="6" t="n">
        <v>4217</v>
      </c>
      <c r="J26" s="6" t="n">
        <v>4217</v>
      </c>
      <c r="K26" s="6" t="n">
        <v>4217</v>
      </c>
      <c r="L26" s="6" t="n">
        <v>4217</v>
      </c>
      <c r="M26" s="6" t="n">
        <v>4217</v>
      </c>
      <c r="N26" s="6" t="n">
        <v>4217</v>
      </c>
      <c r="O26" s="6" t="n">
        <v>4217</v>
      </c>
      <c r="P26" s="6" t="n">
        <v>4217</v>
      </c>
      <c r="Q26" s="6" t="n">
        <v>4217</v>
      </c>
      <c r="R26" s="6" t="n">
        <v>4217</v>
      </c>
      <c r="S26" s="6" t="n">
        <v>4217</v>
      </c>
      <c r="T26" s="6" t="n">
        <v>4217</v>
      </c>
      <c r="U26" s="6" t="n">
        <v>4217</v>
      </c>
      <c r="V26" s="6" t="n">
        <v>4217</v>
      </c>
      <c r="W26" s="6" t="n">
        <v>4217</v>
      </c>
    </row>
    <row r="27">
      <c r="A27" s="6" t="inlineStr">
        <is>
          <t>Revaluation reserve (fully extinguished during FY2021 - see Statement of Changes in Equity sheet; nil/absent before FY2007, when the Bank's freehold properties were first professionally revalued)</t>
        </is>
      </c>
      <c r="B27" s="6" t="n"/>
      <c r="C27" s="6" t="n"/>
      <c r="D27" s="6" t="n"/>
      <c r="E27" s="6" t="n"/>
      <c r="F27" s="6" t="n"/>
      <c r="G27" s="6" t="n">
        <v>172</v>
      </c>
      <c r="H27" s="6" t="n">
        <v>172</v>
      </c>
      <c r="I27" s="6" t="n">
        <v>172</v>
      </c>
      <c r="J27" s="6" t="n">
        <v>172</v>
      </c>
      <c r="K27" s="6" t="n">
        <v>166</v>
      </c>
      <c r="L27" s="6" t="n">
        <v>164</v>
      </c>
      <c r="M27" s="6" t="n">
        <v>578</v>
      </c>
      <c r="N27" s="6" t="n">
        <v>333</v>
      </c>
      <c r="O27" s="6" t="n">
        <v>416</v>
      </c>
      <c r="P27" s="6" t="n">
        <v>71</v>
      </c>
      <c r="Q27" s="6" t="n">
        <v>71</v>
      </c>
      <c r="R27" s="6" t="n">
        <v>65</v>
      </c>
      <c r="S27" s="6" t="n">
        <v>406</v>
      </c>
      <c r="T27" s="6" t="n">
        <v>406</v>
      </c>
      <c r="U27" s="6" t="n"/>
      <c r="V27" s="6" t="n"/>
      <c r="W27" s="6" t="n"/>
    </row>
    <row r="28">
      <c r="A28" s="6" t="inlineStr">
        <is>
          <t>Profit and loss account</t>
        </is>
      </c>
      <c r="B28" s="6" t="n">
        <v>2571</v>
      </c>
      <c r="C28" s="6" t="n">
        <v>3445</v>
      </c>
      <c r="D28" s="6" t="n">
        <v>3209</v>
      </c>
      <c r="E28" s="6" t="n">
        <v>2686</v>
      </c>
      <c r="F28" s="6" t="n">
        <v>2584</v>
      </c>
      <c r="G28" s="6" t="n">
        <v>1732</v>
      </c>
      <c r="H28" s="6" t="n">
        <v>1756</v>
      </c>
      <c r="I28" s="6" t="n">
        <v>1519</v>
      </c>
      <c r="J28" s="6" t="n">
        <v>1389</v>
      </c>
      <c r="K28" s="6" t="n">
        <v>1284</v>
      </c>
      <c r="L28" s="6" t="n">
        <v>1250</v>
      </c>
      <c r="M28" s="6" t="n">
        <v>165</v>
      </c>
      <c r="N28" s="6" t="n">
        <v>96</v>
      </c>
      <c r="O28" s="6" t="n">
        <v>24</v>
      </c>
      <c r="P28" s="6" t="n">
        <v>-22</v>
      </c>
      <c r="Q28" s="6" t="n">
        <v>361</v>
      </c>
      <c r="R28" s="6" t="n">
        <v>506</v>
      </c>
      <c r="S28" s="6" t="n">
        <v>598</v>
      </c>
      <c r="T28" s="6" t="n">
        <v>468</v>
      </c>
      <c r="U28" s="6" t="n">
        <v>341</v>
      </c>
      <c r="V28" s="6" t="n">
        <v>95</v>
      </c>
      <c r="W28" s="6" t="n">
        <v>0</v>
      </c>
    </row>
    <row r="29">
      <c r="A29" s="5" t="inlineStr">
        <is>
          <t>Total shareholders' funds</t>
        </is>
      </c>
      <c r="B29" s="5" t="n">
        <v>15808</v>
      </c>
      <c r="C29" s="5" t="n">
        <v>15512</v>
      </c>
      <c r="D29" s="5" t="n">
        <v>9876</v>
      </c>
      <c r="E29" s="5" t="n">
        <v>9353</v>
      </c>
      <c r="F29" s="5" t="n">
        <v>7451</v>
      </c>
      <c r="G29" s="5" t="n">
        <v>6771</v>
      </c>
      <c r="H29" s="5" t="n">
        <v>6145</v>
      </c>
      <c r="I29" s="5" t="n">
        <v>5908</v>
      </c>
      <c r="J29" s="5" t="n">
        <v>5778</v>
      </c>
      <c r="K29" s="5" t="n">
        <v>5667</v>
      </c>
      <c r="L29" s="5" t="n">
        <v>5631</v>
      </c>
      <c r="M29" s="5" t="n">
        <v>4960</v>
      </c>
      <c r="N29" s="5" t="n">
        <v>4646</v>
      </c>
      <c r="O29" s="5" t="n">
        <v>4657</v>
      </c>
      <c r="P29" s="5" t="n">
        <v>4266</v>
      </c>
      <c r="Q29" s="5" t="n">
        <v>4649</v>
      </c>
      <c r="R29" s="5" t="n">
        <v>4788</v>
      </c>
      <c r="S29" s="5" t="n">
        <v>5221</v>
      </c>
      <c r="T29" s="5" t="n">
        <v>5091</v>
      </c>
      <c r="U29" s="5" t="n">
        <v>4558</v>
      </c>
      <c r="V29" s="5" t="n">
        <v>4312</v>
      </c>
      <c r="W29" s="5" t="n">
        <v>4217</v>
      </c>
    </row>
    <row r="30">
      <c r="A30" s="5" t="inlineStr">
        <is>
          <t>Total liabilities and total shareholders' funds</t>
        </is>
      </c>
      <c r="B30" s="5" t="n">
        <v>160171</v>
      </c>
      <c r="C30" s="5" t="n">
        <v>138492</v>
      </c>
      <c r="D30" s="5" t="n">
        <v>113509</v>
      </c>
      <c r="E30" s="5" t="n">
        <v>89022</v>
      </c>
      <c r="F30" s="5" t="n">
        <v>75541</v>
      </c>
      <c r="G30" s="5" t="n">
        <v>69781</v>
      </c>
      <c r="H30" s="5" t="n">
        <v>59310</v>
      </c>
      <c r="I30" s="5" t="n">
        <v>53803</v>
      </c>
      <c r="J30" s="5" t="n">
        <v>56250</v>
      </c>
      <c r="K30" s="5" t="n">
        <v>51449</v>
      </c>
      <c r="L30" s="5" t="n">
        <v>49809</v>
      </c>
      <c r="M30" s="5" t="n">
        <v>49843</v>
      </c>
      <c r="N30" s="5" t="n">
        <v>53818</v>
      </c>
      <c r="O30" s="5" t="n">
        <v>49507</v>
      </c>
      <c r="P30" s="5" t="n">
        <v>48142</v>
      </c>
      <c r="Q30" s="5" t="n">
        <v>53559</v>
      </c>
      <c r="R30" s="5" t="n">
        <v>51574</v>
      </c>
      <c r="S30" s="5" t="n">
        <v>52959</v>
      </c>
      <c r="T30" s="5" t="n">
        <v>45978</v>
      </c>
      <c r="U30" s="5" t="n">
        <v>34984</v>
      </c>
      <c r="V30" s="5" t="n">
        <v>30955</v>
      </c>
      <c r="W30" s="5" t="n">
        <v>28695</v>
      </c>
    </row>
    <row r="32" ht="460" customHeight="1">
      <c r="A32"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bank's registered-looking domain www.kingdombank.co.uk is an unrelated expired/parked domain (a GoDaddy-style parking page) - its real site is www.kingdom.bank.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t>
        </is>
      </c>
    </row>
  </sheetData>
  <mergeCells count="1">
    <mergeCell ref="A32:W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Kingdom Bank Limited — Profit &amp; Loss</t>
        </is>
      </c>
    </row>
    <row r="2">
      <c r="A2" s="2" t="inlineStr">
        <is>
          <t>Income statement, Bank/solo basis, £'000. All results arise from continuing operations, attributable to the owners of the Bank, every year.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row>
    <row r="4">
      <c r="A4" s="5" t="inlineStr">
        <is>
          <t>Income</t>
        </is>
      </c>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inlineStr">
        <is>
          <t>Interest receivable</t>
        </is>
      </c>
      <c r="B5" s="6" t="n">
        <v>8637</v>
      </c>
      <c r="C5" s="6" t="n">
        <v>7828</v>
      </c>
      <c r="D5" s="6" t="n">
        <v>6003</v>
      </c>
      <c r="E5" s="6" t="n">
        <v>3144</v>
      </c>
      <c r="F5" s="6" t="n">
        <v>2419</v>
      </c>
      <c r="G5" s="6" t="n">
        <v>2297</v>
      </c>
      <c r="H5" s="6" t="n">
        <v>2330</v>
      </c>
      <c r="I5" s="6" t="n">
        <v>2168</v>
      </c>
      <c r="J5" s="6" t="n">
        <v>1955</v>
      </c>
      <c r="K5" s="6" t="n">
        <v>1904</v>
      </c>
      <c r="L5" s="6" t="n">
        <v>1744</v>
      </c>
      <c r="M5" s="6" t="n">
        <v>1699</v>
      </c>
      <c r="N5" s="6" t="n">
        <v>1776</v>
      </c>
      <c r="O5" s="6" t="n">
        <v>1755</v>
      </c>
      <c r="P5" s="6" t="n">
        <v>1843</v>
      </c>
      <c r="Q5" s="6" t="n">
        <v>1794</v>
      </c>
      <c r="R5" s="6" t="n">
        <v>1646</v>
      </c>
      <c r="S5" s="6" t="n">
        <v>2959</v>
      </c>
      <c r="T5" s="6" t="n">
        <v>2678</v>
      </c>
      <c r="U5" s="6" t="n">
        <v>1920</v>
      </c>
      <c r="V5" s="6" t="n">
        <v>1703</v>
      </c>
      <c r="W5" s="6" t="n"/>
    </row>
    <row r="6">
      <c r="A6" s="6" t="inlineStr">
        <is>
          <t>Interest payable</t>
        </is>
      </c>
      <c r="B6" s="6" t="n">
        <v>-2942</v>
      </c>
      <c r="C6" s="6" t="n">
        <v>-3207</v>
      </c>
      <c r="D6" s="6" t="n">
        <v>-2193</v>
      </c>
      <c r="E6" s="6" t="n">
        <v>-454</v>
      </c>
      <c r="F6" s="6" t="n">
        <v>-345</v>
      </c>
      <c r="G6" s="6" t="n">
        <v>-523</v>
      </c>
      <c r="H6" s="6" t="n">
        <v>-552</v>
      </c>
      <c r="I6" s="6" t="n">
        <v>-495</v>
      </c>
      <c r="J6" s="6" t="n">
        <v>-478</v>
      </c>
      <c r="K6" s="6" t="n">
        <v>-527</v>
      </c>
      <c r="L6" s="6" t="n">
        <v>-511</v>
      </c>
      <c r="M6" s="6" t="n">
        <v>-650</v>
      </c>
      <c r="N6" s="6" t="n">
        <v>-915</v>
      </c>
      <c r="O6" s="6" t="n">
        <v>-877</v>
      </c>
      <c r="P6" s="6" t="n">
        <v>-755</v>
      </c>
      <c r="Q6" s="6" t="n">
        <v>-811</v>
      </c>
      <c r="R6" s="6" t="n">
        <v>-859</v>
      </c>
      <c r="S6" s="6" t="n">
        <v>-2004</v>
      </c>
      <c r="T6" s="6" t="n">
        <v>-1827</v>
      </c>
      <c r="U6" s="6" t="n">
        <v>-1161</v>
      </c>
      <c r="V6" s="6" t="n">
        <v>-1051</v>
      </c>
      <c r="W6" s="6" t="n"/>
    </row>
    <row r="7">
      <c r="A7" s="5" t="inlineStr">
        <is>
          <t>Net interest income</t>
        </is>
      </c>
      <c r="B7" s="5" t="n">
        <v>5695</v>
      </c>
      <c r="C7" s="5" t="n">
        <v>4621</v>
      </c>
      <c r="D7" s="5" t="n">
        <v>3810</v>
      </c>
      <c r="E7" s="5" t="n">
        <v>2690</v>
      </c>
      <c r="F7" s="5" t="n">
        <v>2074</v>
      </c>
      <c r="G7" s="5" t="n">
        <v>1774</v>
      </c>
      <c r="H7" s="5" t="n">
        <v>1778</v>
      </c>
      <c r="I7" s="5" t="n">
        <v>1673</v>
      </c>
      <c r="J7" s="5" t="n">
        <v>1477</v>
      </c>
      <c r="K7" s="5" t="n">
        <v>1377</v>
      </c>
      <c r="L7" s="5" t="n">
        <v>1233</v>
      </c>
      <c r="M7" s="5" t="n">
        <v>1049</v>
      </c>
      <c r="N7" s="5" t="n">
        <v>861</v>
      </c>
      <c r="O7" s="5" t="n">
        <v>878</v>
      </c>
      <c r="P7" s="5" t="n">
        <v>1088</v>
      </c>
      <c r="Q7" s="5" t="n">
        <v>983</v>
      </c>
      <c r="R7" s="5" t="n">
        <v>787</v>
      </c>
      <c r="S7" s="5" t="n">
        <v>955</v>
      </c>
      <c r="T7" s="5" t="n">
        <v>851</v>
      </c>
      <c r="U7" s="5" t="n">
        <v>759</v>
      </c>
      <c r="V7" s="5" t="n">
        <v>652</v>
      </c>
      <c r="W7" s="5" t="n"/>
    </row>
    <row r="8">
      <c r="A8" s="6" t="inlineStr">
        <is>
          <t>Insurance commission income (FY2014's own label: 'Fees and commission receivable/(payable), net'; FY2004-FY2013 own presentation combines fees receivable and payable into one net figure - see source note)</t>
        </is>
      </c>
      <c r="B8" s="6" t="n">
        <v>666</v>
      </c>
      <c r="C8" s="6" t="n">
        <v>576</v>
      </c>
      <c r="D8" s="6" t="n">
        <v>543</v>
      </c>
      <c r="E8" s="6" t="n">
        <v>482</v>
      </c>
      <c r="F8" s="6" t="n">
        <v>419</v>
      </c>
      <c r="G8" s="6" t="n">
        <v>433</v>
      </c>
      <c r="H8" s="6" t="n">
        <v>388</v>
      </c>
      <c r="I8" s="6" t="n">
        <v>369</v>
      </c>
      <c r="J8" s="6" t="n">
        <v>335</v>
      </c>
      <c r="K8" s="6" t="n">
        <v>319</v>
      </c>
      <c r="L8" s="6" t="n">
        <v>315</v>
      </c>
      <c r="M8" s="6" t="n">
        <v>361</v>
      </c>
      <c r="N8" s="6" t="n">
        <v>362</v>
      </c>
      <c r="O8" s="6" t="n">
        <v>313</v>
      </c>
      <c r="P8" s="6" t="n">
        <v>258</v>
      </c>
      <c r="Q8" s="6" t="n">
        <v>248</v>
      </c>
      <c r="R8" s="6" t="n">
        <v>265</v>
      </c>
      <c r="S8" s="6" t="n">
        <v>168</v>
      </c>
      <c r="T8" s="6" t="n">
        <v>86</v>
      </c>
      <c r="U8" s="6" t="n">
        <v>129</v>
      </c>
      <c r="V8" s="6" t="n">
        <v>96</v>
      </c>
      <c r="W8" s="6" t="n"/>
    </row>
    <row r="9">
      <c r="A9" s="6" t="inlineStr">
        <is>
          <t>Other operating income</t>
        </is>
      </c>
      <c r="B9" s="6" t="n">
        <v>43</v>
      </c>
      <c r="C9" s="6" t="n">
        <v>8</v>
      </c>
      <c r="D9" s="6" t="n">
        <v>7</v>
      </c>
      <c r="E9" s="6" t="n">
        <v>3</v>
      </c>
      <c r="F9" s="6" t="n">
        <v>117</v>
      </c>
      <c r="G9" s="6" t="n">
        <v>80</v>
      </c>
      <c r="H9" s="6" t="n">
        <v>76</v>
      </c>
      <c r="I9" s="6" t="n">
        <v>64</v>
      </c>
      <c r="J9" s="6" t="n">
        <v>63</v>
      </c>
      <c r="K9" s="6" t="n">
        <v>59</v>
      </c>
      <c r="L9" s="6" t="n">
        <v>89</v>
      </c>
      <c r="M9" s="6" t="n">
        <v>138</v>
      </c>
      <c r="N9" s="6" t="n">
        <v>149</v>
      </c>
      <c r="O9" s="6" t="n">
        <v>43</v>
      </c>
      <c r="P9" s="6" t="n">
        <v>53</v>
      </c>
      <c r="Q9" s="6" t="n">
        <v>35</v>
      </c>
      <c r="R9" s="6" t="n">
        <v>31</v>
      </c>
      <c r="S9" s="6" t="n">
        <v>26</v>
      </c>
      <c r="T9" s="6" t="n">
        <v>16</v>
      </c>
      <c r="U9" s="6" t="n">
        <v>12</v>
      </c>
      <c r="V9" s="6" t="n">
        <v>13</v>
      </c>
      <c r="W9" s="6" t="n"/>
    </row>
    <row r="10">
      <c r="A10" s="5" t="inlineStr">
        <is>
          <t>Total net income (FY2014-FY2022's own equivalent subtotal is labelled 'Operating income' - same calculation)</t>
        </is>
      </c>
      <c r="B10" s="5" t="n">
        <v>6404</v>
      </c>
      <c r="C10" s="5" t="n">
        <v>5205</v>
      </c>
      <c r="D10" s="5" t="n">
        <v>4360</v>
      </c>
      <c r="E10" s="5" t="n">
        <v>3175</v>
      </c>
      <c r="F10" s="5" t="n">
        <v>2610</v>
      </c>
      <c r="G10" s="5" t="n">
        <v>2287</v>
      </c>
      <c r="H10" s="5" t="n">
        <v>2242</v>
      </c>
      <c r="I10" s="5" t="n">
        <v>2106</v>
      </c>
      <c r="J10" s="5" t="n">
        <v>1875</v>
      </c>
      <c r="K10" s="5" t="n">
        <v>1755</v>
      </c>
      <c r="L10" s="5" t="n">
        <v>1637</v>
      </c>
      <c r="M10" s="5" t="n">
        <v>1548</v>
      </c>
      <c r="N10" s="5" t="n">
        <v>1372</v>
      </c>
      <c r="O10" s="5" t="n">
        <v>1234</v>
      </c>
      <c r="P10" s="5" t="n">
        <v>1399</v>
      </c>
      <c r="Q10" s="5" t="n">
        <v>1266</v>
      </c>
      <c r="R10" s="5" t="n">
        <v>1083</v>
      </c>
      <c r="S10" s="5" t="n">
        <v>1149</v>
      </c>
      <c r="T10" s="5" t="n">
        <v>953</v>
      </c>
      <c r="U10" s="5" t="n">
        <v>900</v>
      </c>
      <c r="V10" s="5" t="n">
        <v>761</v>
      </c>
      <c r="W10" s="5" t="n"/>
    </row>
    <row r="11">
      <c r="A11" s="6" t="inlineStr">
        <is>
          <t>Administrative expenses</t>
        </is>
      </c>
      <c r="B11" s="6" t="n">
        <v>-7241</v>
      </c>
      <c r="C11" s="6" t="n">
        <v>-4776</v>
      </c>
      <c r="D11" s="6" t="n">
        <v>-3597</v>
      </c>
      <c r="E11" s="6" t="n">
        <v>-2953</v>
      </c>
      <c r="F11" s="6" t="n">
        <v>-2437</v>
      </c>
      <c r="G11" s="6" t="n">
        <v>-2167</v>
      </c>
      <c r="H11" s="6" t="n">
        <v>-1780</v>
      </c>
      <c r="I11" s="6" t="n">
        <v>-1776</v>
      </c>
      <c r="J11" s="6" t="n">
        <v>-1538</v>
      </c>
      <c r="K11" s="6" t="n">
        <v>-1554</v>
      </c>
      <c r="L11" s="6" t="n">
        <v>-1487</v>
      </c>
      <c r="M11" s="6" t="n">
        <v>-1413</v>
      </c>
      <c r="N11" s="6" t="n">
        <v>-1241</v>
      </c>
      <c r="O11" s="6" t="n">
        <v>-1201</v>
      </c>
      <c r="P11" s="6" t="n">
        <v>-1185</v>
      </c>
      <c r="Q11" s="6" t="n">
        <v>-1194</v>
      </c>
      <c r="R11" s="6" t="n">
        <v>-1082</v>
      </c>
      <c r="S11" s="6" t="n">
        <v>-838</v>
      </c>
      <c r="T11" s="6" t="n">
        <v>-726</v>
      </c>
      <c r="U11" s="6" t="n">
        <v>-548</v>
      </c>
      <c r="V11" s="6" t="n">
        <v>-568</v>
      </c>
      <c r="W11" s="6" t="n"/>
    </row>
    <row r="12">
      <c r="A12" s="6" t="inlineStr">
        <is>
          <t>Depreciation and amortisation</t>
        </is>
      </c>
      <c r="B12" s="6" t="n">
        <v>-67</v>
      </c>
      <c r="C12" s="6" t="n">
        <v>-79</v>
      </c>
      <c r="D12" s="6" t="n">
        <v>-86</v>
      </c>
      <c r="E12" s="6" t="n">
        <v>-85</v>
      </c>
      <c r="F12" s="6" t="n">
        <v>-80</v>
      </c>
      <c r="G12" s="6" t="n">
        <v>-81</v>
      </c>
      <c r="H12" s="6" t="n">
        <v>-93</v>
      </c>
      <c r="I12" s="6" t="n">
        <v>-109</v>
      </c>
      <c r="J12" s="6" t="n">
        <v>-111</v>
      </c>
      <c r="K12" s="6" t="n">
        <v>-130</v>
      </c>
      <c r="L12" s="6" t="n">
        <v>-124</v>
      </c>
      <c r="M12" s="6" t="n">
        <v>-113</v>
      </c>
      <c r="N12" s="6" t="n">
        <v>-117</v>
      </c>
      <c r="O12" s="6" t="n">
        <v>-126</v>
      </c>
      <c r="P12" s="6" t="n">
        <v>-116</v>
      </c>
      <c r="Q12" s="6" t="n">
        <v>-117</v>
      </c>
      <c r="R12" s="6" t="n">
        <v>-102</v>
      </c>
      <c r="S12" s="6" t="n">
        <v>-66</v>
      </c>
      <c r="T12" s="6" t="n">
        <v>-37</v>
      </c>
      <c r="U12" s="6" t="n">
        <v>-47</v>
      </c>
      <c r="V12" s="6" t="n">
        <v>-44</v>
      </c>
      <c r="W12" s="6" t="n"/>
    </row>
    <row r="13">
      <c r="A13" s="6" t="inlineStr">
        <is>
          <t>Profit on sale / unrealised surplus on revaluation of investment property (FY2004-FY2012 own equivalents: profit on sale of participating interests/fixed assets, net of loss on revaluation of property - see source note)</t>
        </is>
      </c>
      <c r="B13" s="6" t="n"/>
      <c r="C13" s="6" t="n"/>
      <c r="D13" s="6" t="n"/>
      <c r="E13" s="6" t="n">
        <v>0</v>
      </c>
      <c r="F13" s="6" t="n">
        <v>634</v>
      </c>
      <c r="G13" s="6" t="n"/>
      <c r="H13" s="6" t="n"/>
      <c r="I13" s="6" t="n">
        <v>0</v>
      </c>
      <c r="J13" s="6" t="n">
        <v>2</v>
      </c>
      <c r="K13" s="6" t="n"/>
      <c r="L13" s="6" t="n">
        <v>898</v>
      </c>
      <c r="M13" s="6" t="n"/>
      <c r="N13" s="6" t="n"/>
      <c r="O13" s="6" t="n">
        <v>40</v>
      </c>
      <c r="P13" s="6" t="n"/>
      <c r="Q13" s="6" t="n"/>
      <c r="R13" s="6" t="n">
        <v>-30</v>
      </c>
      <c r="S13" s="6" t="n"/>
      <c r="T13" s="6" t="n">
        <v>22</v>
      </c>
      <c r="U13" s="6" t="n">
        <v>43</v>
      </c>
      <c r="V13" s="6" t="n"/>
      <c r="W13" s="6" t="n"/>
    </row>
    <row r="14">
      <c r="A14" s="6" t="inlineStr">
        <is>
          <t>Movement in loan loss provision (FY2014's own label: 'Provision for bad and doubtful debts')</t>
        </is>
      </c>
      <c r="B14" s="6" t="n">
        <v>-158</v>
      </c>
      <c r="C14" s="6" t="n">
        <v>-9</v>
      </c>
      <c r="D14" s="6" t="n">
        <v>-12</v>
      </c>
      <c r="E14" s="6" t="n">
        <v>-9</v>
      </c>
      <c r="F14" s="6" t="n">
        <v>-24</v>
      </c>
      <c r="G14" s="6" t="n">
        <v>-77</v>
      </c>
      <c r="H14" s="6" t="n">
        <v>-43</v>
      </c>
      <c r="I14" s="6" t="n">
        <v>-43</v>
      </c>
      <c r="J14" s="6" t="n">
        <v>-88</v>
      </c>
      <c r="K14" s="6" t="n">
        <v>-16</v>
      </c>
      <c r="L14" s="6" t="n">
        <v>-21</v>
      </c>
      <c r="M14" s="6" t="n">
        <v>70</v>
      </c>
      <c r="N14" s="6" t="n">
        <v>92</v>
      </c>
      <c r="O14" s="6" t="n">
        <v>111</v>
      </c>
      <c r="P14" s="6" t="n">
        <v>-576</v>
      </c>
      <c r="Q14" s="6" t="n">
        <v>-127</v>
      </c>
      <c r="R14" s="6" t="n">
        <v>-74</v>
      </c>
      <c r="S14" s="6" t="n">
        <v>-66</v>
      </c>
      <c r="T14" s="6" t="n">
        <v>10</v>
      </c>
      <c r="U14" s="6" t="n">
        <v>-38</v>
      </c>
      <c r="V14" s="6" t="n">
        <v>-13</v>
      </c>
      <c r="W14" s="6" t="n"/>
    </row>
    <row r="15">
      <c r="A15" s="5" t="inlineStr">
        <is>
          <t>(Loss)/profit on ordinary activities before taxation</t>
        </is>
      </c>
      <c r="B15" s="5" t="n">
        <v>-1062</v>
      </c>
      <c r="C15" s="5" t="n">
        <v>341</v>
      </c>
      <c r="D15" s="5" t="n">
        <v>665</v>
      </c>
      <c r="E15" s="5" t="n">
        <v>128</v>
      </c>
      <c r="F15" s="5" t="n">
        <v>703</v>
      </c>
      <c r="G15" s="5" t="n">
        <v>-38</v>
      </c>
      <c r="H15" s="5" t="n">
        <v>326</v>
      </c>
      <c r="I15" s="5" t="n">
        <v>178</v>
      </c>
      <c r="J15" s="5" t="n">
        <v>140</v>
      </c>
      <c r="K15" s="5" t="n">
        <v>55</v>
      </c>
      <c r="L15" s="5" t="n">
        <v>903</v>
      </c>
      <c r="M15" s="5" t="n">
        <v>92</v>
      </c>
      <c r="N15" s="5" t="n">
        <v>106</v>
      </c>
      <c r="O15" s="5" t="n">
        <v>58</v>
      </c>
      <c r="P15" s="5" t="n">
        <v>-478</v>
      </c>
      <c r="Q15" s="5" t="n">
        <v>-172</v>
      </c>
      <c r="R15" s="5" t="n">
        <v>-205</v>
      </c>
      <c r="S15" s="5" t="n">
        <v>179</v>
      </c>
      <c r="T15" s="5" t="n">
        <v>222</v>
      </c>
      <c r="U15" s="5" t="n">
        <v>310</v>
      </c>
      <c r="V15" s="5" t="n">
        <v>136</v>
      </c>
      <c r="W15" s="5" t="n"/>
    </row>
    <row r="16">
      <c r="A16" s="6" t="inlineStr">
        <is>
          <t>Tax credit/(charge) on (loss)/profit</t>
        </is>
      </c>
      <c r="B16" s="6" t="n">
        <v>258</v>
      </c>
      <c r="C16" s="6" t="n">
        <v>-62</v>
      </c>
      <c r="D16" s="6" t="n">
        <v>-142</v>
      </c>
      <c r="E16" s="6" t="n">
        <v>-26</v>
      </c>
      <c r="F16" s="6" t="n">
        <v>-23</v>
      </c>
      <c r="G16" s="6" t="n">
        <v>14</v>
      </c>
      <c r="H16" s="6" t="n">
        <v>-69</v>
      </c>
      <c r="I16" s="6" t="n">
        <v>-32</v>
      </c>
      <c r="J16" s="6" t="n">
        <v>-35</v>
      </c>
      <c r="K16" s="6" t="n">
        <v>-21</v>
      </c>
      <c r="L16" s="6" t="n">
        <v>-183</v>
      </c>
      <c r="M16" s="6" t="n">
        <v>-23</v>
      </c>
      <c r="N16" s="6" t="n">
        <v>-34</v>
      </c>
      <c r="O16" s="6" t="n">
        <v>-12</v>
      </c>
      <c r="P16" s="6" t="n">
        <v>95</v>
      </c>
      <c r="Q16" s="6" t="n">
        <v>27</v>
      </c>
      <c r="R16" s="6" t="n">
        <v>113</v>
      </c>
      <c r="S16" s="6" t="n">
        <v>-49</v>
      </c>
      <c r="T16" s="6" t="n">
        <v>-95</v>
      </c>
      <c r="U16" s="6" t="n">
        <v>-64</v>
      </c>
      <c r="V16" s="6" t="n">
        <v>-41</v>
      </c>
      <c r="W16" s="6" t="n"/>
    </row>
    <row r="17">
      <c r="A17" s="5" t="inlineStr">
        <is>
          <t>(Loss)/profit and total comprehensive income for the financial year</t>
        </is>
      </c>
      <c r="B17" s="5" t="n">
        <v>-804</v>
      </c>
      <c r="C17" s="5" t="n">
        <v>279</v>
      </c>
      <c r="D17" s="5" t="n">
        <v>523</v>
      </c>
      <c r="E17" s="5" t="n">
        <v>102</v>
      </c>
      <c r="F17" s="5" t="n">
        <v>680</v>
      </c>
      <c r="G17" s="5" t="n">
        <v>-24</v>
      </c>
      <c r="H17" s="5" t="n">
        <v>257</v>
      </c>
      <c r="I17" s="5" t="n">
        <v>146</v>
      </c>
      <c r="J17" s="5" t="n">
        <v>105</v>
      </c>
      <c r="K17" s="5" t="n">
        <v>34</v>
      </c>
      <c r="L17" s="5" t="n">
        <v>720</v>
      </c>
      <c r="M17" s="5" t="n">
        <v>69</v>
      </c>
      <c r="N17" s="5" t="n">
        <v>72</v>
      </c>
      <c r="O17" s="5" t="n">
        <v>46</v>
      </c>
      <c r="P17" s="5" t="n">
        <v>-383</v>
      </c>
      <c r="Q17" s="5" t="n">
        <v>-145</v>
      </c>
      <c r="R17" s="5" t="n">
        <v>-92</v>
      </c>
      <c r="S17" s="5" t="n">
        <v>130</v>
      </c>
      <c r="T17" s="5" t="n">
        <v>127</v>
      </c>
      <c r="U17" s="5" t="n">
        <v>246</v>
      </c>
      <c r="V17" s="5" t="n">
        <v>95</v>
      </c>
      <c r="W17" s="5" t="n"/>
    </row>
    <row r="19" ht="460" customHeight="1">
      <c r="A19"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bank's registered-looking domain www.kingdombank.co.uk is an unrelated expired/parked domain (a GoDaddy-style parking page) - its real site is www.kingdom.bank.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t>
        </is>
      </c>
    </row>
  </sheetData>
  <mergeCells count="1">
    <mergeCell ref="A19:W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9"/>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Kingdom Bank Limited — Statement of Changes in Equity</t>
        </is>
      </c>
    </row>
    <row r="2">
      <c r="A2" s="2" t="inlineStr">
        <is>
          <t>Chronological roll-forward, oldest to newest, from FY2004 (first trading period) onward. Equity reconciliation ladder confirmed: every year's own closing balance ties exactly to both the next year's own opening balance and that year's own Balance Sheet Total shareholders' funds - zero plug rows needed anywhere, including across the FY2004-FY2013 extension. £'000. FY2014 is shown as originally filed under old UK GAAP/the BBA SORP (no SOCE was published that year - built here from Notes 16-19 of the FY2014 Annual Report); FRS 102 was first adopted for FY2015 and its Annual Report separately discloses a restated 1 January 2015 opening position (£4,847k total shareholders' funds) that differs from the £4,960k shown here as FY2014's own closing figure - both are shown, with the reconciling FRS 102 transition adjustment on its own row, so the ladder still ties exactly on both sides of the GAAP change. The Revaluation reserve column runs down from £578k (FY2014) to a flat £172k (FY2017-FY2020) as historical property revaluations were realised, and is fully extinguished from FY2021 onward (see FY2021's transfer row) and shown as 0, not blank, for FY2022-FY2025 to make the reconciliation explicit.</t>
        </is>
      </c>
    </row>
    <row r="3">
      <c r="A3" s="4" t="inlineStr">
        <is>
          <t>Movement</t>
        </is>
      </c>
      <c r="B3" s="4" t="inlineStr">
        <is>
          <t>Called up share capital</t>
        </is>
      </c>
      <c r="C3" s="4" t="inlineStr">
        <is>
          <t>Profit and loss account</t>
        </is>
      </c>
      <c r="D3" s="4" t="inlineStr">
        <is>
          <t>Revaluation reserve</t>
        </is>
      </c>
      <c r="E3" s="4" t="inlineStr">
        <is>
          <t>Total shareholders' funds</t>
        </is>
      </c>
    </row>
    <row r="4">
      <c r="A4" s="5" t="inlineStr">
        <is>
          <t>Balance as at 31 December 2004 (FY2004 closing - first trading period, 1 Feb-31 Dec 2004; no profit and loss account was prepared for this period, see source note, so no opening balance/movement row precedes this one)</t>
        </is>
      </c>
      <c r="B4" s="5" t="n">
        <v>4217</v>
      </c>
      <c r="C4" s="5" t="n">
        <v>0</v>
      </c>
      <c r="D4" s="5" t="n"/>
      <c r="E4" s="5" t="n">
        <v>4217</v>
      </c>
    </row>
    <row r="5">
      <c r="A5" s="6" t="inlineStr">
        <is>
          <t>Profit for the financial year</t>
        </is>
      </c>
      <c r="B5" s="6" t="n"/>
      <c r="C5" s="6" t="n">
        <v>95</v>
      </c>
      <c r="D5" s="6" t="n"/>
      <c r="E5" s="6" t="n">
        <v>95</v>
      </c>
    </row>
    <row r="6">
      <c r="A6" s="5" t="inlineStr">
        <is>
          <t>Balance as at 31 December 2005 (FY2005 closing)</t>
        </is>
      </c>
      <c r="B6" s="5" t="n">
        <v>4217</v>
      </c>
      <c r="C6" s="5" t="n">
        <v>95</v>
      </c>
      <c r="D6" s="5" t="n"/>
      <c r="E6" s="5" t="n">
        <v>4312</v>
      </c>
    </row>
    <row r="7">
      <c r="A7" s="6" t="inlineStr">
        <is>
          <t>Profit for the financial year</t>
        </is>
      </c>
      <c r="B7" s="6" t="n"/>
      <c r="C7" s="6" t="n">
        <v>246</v>
      </c>
      <c r="D7" s="6" t="n"/>
      <c r="E7" s="6" t="n">
        <v>246</v>
      </c>
    </row>
    <row r="8">
      <c r="A8" s="5" t="inlineStr">
        <is>
          <t>Balance as at 31 December 2006 (FY2006 closing)</t>
        </is>
      </c>
      <c r="B8" s="5" t="n">
        <v>4217</v>
      </c>
      <c r="C8" s="5" t="n">
        <v>341</v>
      </c>
      <c r="D8" s="5" t="n"/>
      <c r="E8" s="5" t="n">
        <v>4558</v>
      </c>
    </row>
    <row r="9">
      <c r="A9" s="6" t="inlineStr">
        <is>
          <t>Profit for the financial year</t>
        </is>
      </c>
      <c r="B9" s="6" t="n"/>
      <c r="C9" s="6" t="n">
        <v>127</v>
      </c>
      <c r="D9" s="6" t="n"/>
      <c r="E9" s="6" t="n">
        <v>127</v>
      </c>
    </row>
    <row r="10">
      <c r="A10" s="6" t="inlineStr">
        <is>
          <t>Revaluation surplus during the year on freehold properties</t>
        </is>
      </c>
      <c r="B10" s="6" t="n"/>
      <c r="C10" s="6" t="n"/>
      <c r="D10" s="6" t="n">
        <v>406</v>
      </c>
      <c r="E10" s="6" t="n">
        <v>406</v>
      </c>
    </row>
    <row r="11">
      <c r="A11" s="5" t="inlineStr">
        <is>
          <t>Balance as at 31 December 2007 (FY2007 closing)</t>
        </is>
      </c>
      <c r="B11" s="5" t="n">
        <v>4217</v>
      </c>
      <c r="C11" s="5" t="n">
        <v>468</v>
      </c>
      <c r="D11" s="5" t="n">
        <v>406</v>
      </c>
      <c r="E11" s="5" t="n">
        <v>5091</v>
      </c>
    </row>
    <row r="12">
      <c r="A12" s="6" t="inlineStr">
        <is>
          <t>Profit for the financial year</t>
        </is>
      </c>
      <c r="B12" s="6" t="n"/>
      <c r="C12" s="6" t="n">
        <v>130</v>
      </c>
      <c r="D12" s="6" t="n"/>
      <c r="E12" s="6" t="n">
        <v>130</v>
      </c>
    </row>
    <row r="13">
      <c r="A13" s="5" t="inlineStr">
        <is>
          <t>Balance as at 31 December 2008 (FY2008 closing)</t>
        </is>
      </c>
      <c r="B13" s="5" t="n">
        <v>4217</v>
      </c>
      <c r="C13" s="5" t="n">
        <v>598</v>
      </c>
      <c r="D13" s="5" t="n">
        <v>406</v>
      </c>
      <c r="E13" s="5" t="n">
        <v>5221</v>
      </c>
    </row>
    <row r="14">
      <c r="A14" s="6" t="inlineStr">
        <is>
          <t>Loss for the financial year</t>
        </is>
      </c>
      <c r="B14" s="6" t="n"/>
      <c r="C14" s="6" t="n">
        <v>-92</v>
      </c>
      <c r="D14" s="6" t="n"/>
      <c r="E14" s="6" t="n">
        <v>-92</v>
      </c>
    </row>
    <row r="15">
      <c r="A15" s="6" t="inlineStr">
        <is>
          <t>Revaluation deficit during the year on freehold properties (see PRESENTATION NOTE (9))</t>
        </is>
      </c>
      <c r="B15" s="6" t="n"/>
      <c r="C15" s="6" t="n"/>
      <c r="D15" s="6" t="n">
        <v>-341</v>
      </c>
      <c r="E15" s="6" t="n">
        <v>-341</v>
      </c>
    </row>
    <row r="16">
      <c r="A16" s="5" t="inlineStr">
        <is>
          <t>Balance as at 31 December 2009 (FY2009 closing, own as-filed figures - see PRESENTATION NOTE (9) on the FY2010 restatement of the FY2009 comparative)</t>
        </is>
      </c>
      <c r="B16" s="5" t="n">
        <v>4217</v>
      </c>
      <c r="C16" s="5" t="n">
        <v>506</v>
      </c>
      <c r="D16" s="5" t="n">
        <v>65</v>
      </c>
      <c r="E16" s="5" t="n">
        <v>4788</v>
      </c>
    </row>
    <row r="17">
      <c r="A17" s="6" t="inlineStr">
        <is>
          <t>Loss for the financial year</t>
        </is>
      </c>
      <c r="B17" s="6" t="n"/>
      <c r="C17" s="6" t="n">
        <v>-145</v>
      </c>
      <c r="D17" s="6" t="n"/>
      <c r="E17" s="6" t="n">
        <v>-145</v>
      </c>
    </row>
    <row r="18">
      <c r="A18" s="6" t="inlineStr">
        <is>
          <t>Reversal of previously recognised revaluation losses on freehold properties</t>
        </is>
      </c>
      <c r="B18" s="6" t="n"/>
      <c r="C18" s="6" t="n"/>
      <c r="D18" s="6" t="n">
        <v>6</v>
      </c>
      <c r="E18" s="6" t="n">
        <v>6</v>
      </c>
    </row>
    <row r="19">
      <c r="A19" s="5" t="inlineStr">
        <is>
          <t>Balance as at 31 December 2010 (FY2010 closing)</t>
        </is>
      </c>
      <c r="B19" s="5" t="n">
        <v>4217</v>
      </c>
      <c r="C19" s="5" t="n">
        <v>361</v>
      </c>
      <c r="D19" s="5" t="n">
        <v>71</v>
      </c>
      <c r="E19" s="5" t="n">
        <v>4649</v>
      </c>
    </row>
    <row r="20">
      <c r="A20" s="6" t="inlineStr">
        <is>
          <t>Loss for the financial year</t>
        </is>
      </c>
      <c r="B20" s="6" t="n"/>
      <c r="C20" s="6" t="n">
        <v>-383</v>
      </c>
      <c r="D20" s="6" t="n"/>
      <c r="E20" s="6" t="n">
        <v>-383</v>
      </c>
    </row>
    <row r="21">
      <c r="A21" s="5" t="inlineStr">
        <is>
          <t>Balance as at 31 December 2011 (FY2011 closing)</t>
        </is>
      </c>
      <c r="B21" s="5" t="n">
        <v>4217</v>
      </c>
      <c r="C21" s="5" t="n">
        <v>-22</v>
      </c>
      <c r="D21" s="5" t="n">
        <v>71</v>
      </c>
      <c r="E21" s="5" t="n">
        <v>4266</v>
      </c>
    </row>
    <row r="22">
      <c r="A22" s="6" t="inlineStr">
        <is>
          <t>Profit for the financial year</t>
        </is>
      </c>
      <c r="B22" s="6" t="n"/>
      <c r="C22" s="6" t="n">
        <v>46</v>
      </c>
      <c r="D22" s="6" t="n"/>
      <c r="E22" s="6" t="n">
        <v>46</v>
      </c>
    </row>
    <row r="23">
      <c r="A23" s="6" t="inlineStr">
        <is>
          <t>Revaluation surplus during the year on freehold properties</t>
        </is>
      </c>
      <c r="B23" s="6" t="n"/>
      <c r="C23" s="6" t="n"/>
      <c r="D23" s="6" t="n">
        <v>345</v>
      </c>
      <c r="E23" s="6" t="n">
        <v>345</v>
      </c>
    </row>
    <row r="24">
      <c r="A24" s="5" t="inlineStr">
        <is>
          <t>Balance as at 31 December 2012 (FY2012 closing)</t>
        </is>
      </c>
      <c r="B24" s="5" t="n">
        <v>4217</v>
      </c>
      <c r="C24" s="5" t="n">
        <v>24</v>
      </c>
      <c r="D24" s="5" t="n">
        <v>416</v>
      </c>
      <c r="E24" s="5" t="n">
        <v>4657</v>
      </c>
    </row>
    <row r="25">
      <c r="A25" s="6" t="inlineStr">
        <is>
          <t>Profit for the financial year</t>
        </is>
      </c>
      <c r="B25" s="6" t="n"/>
      <c r="C25" s="6" t="n">
        <v>72</v>
      </c>
      <c r="D25" s="6" t="n"/>
      <c r="E25" s="6" t="n">
        <v>72</v>
      </c>
    </row>
    <row r="26">
      <c r="A26" s="6" t="inlineStr">
        <is>
          <t>Revaluation deficit during the year on freehold properties</t>
        </is>
      </c>
      <c r="B26" s="6" t="n"/>
      <c r="C26" s="6" t="n"/>
      <c r="D26" s="6" t="n">
        <v>-83</v>
      </c>
      <c r="E26" s="6" t="n">
        <v>-83</v>
      </c>
    </row>
    <row r="27">
      <c r="A27" s="5" t="inlineStr">
        <is>
          <t>Balance as at 1 January 2014 (own report, old UK GAAP/BBA SORP)</t>
        </is>
      </c>
      <c r="B27" s="5" t="n">
        <v>4217</v>
      </c>
      <c r="C27" s="5" t="n">
        <v>96</v>
      </c>
      <c r="D27" s="5" t="n">
        <v>333</v>
      </c>
      <c r="E27" s="5" t="n">
        <v>4646</v>
      </c>
    </row>
    <row r="28">
      <c r="A28" s="6" t="inlineStr">
        <is>
          <t>Profit for the financial year</t>
        </is>
      </c>
      <c r="B28" s="6" t="n"/>
      <c r="C28" s="6" t="n">
        <v>69</v>
      </c>
      <c r="D28" s="6" t="n"/>
      <c r="E28" s="6" t="n">
        <v>69</v>
      </c>
    </row>
    <row r="29">
      <c r="A29" s="6" t="inlineStr">
        <is>
          <t>Revaluation surplus during the year on investment properties</t>
        </is>
      </c>
      <c r="B29" s="6" t="n"/>
      <c r="C29" s="6" t="n"/>
      <c r="D29" s="6" t="n">
        <v>167</v>
      </c>
      <c r="E29" s="6" t="n">
        <v>167</v>
      </c>
    </row>
    <row r="30">
      <c r="A30" s="6" t="inlineStr">
        <is>
          <t>Revaluation deficit during the year on investment properties</t>
        </is>
      </c>
      <c r="B30" s="6" t="n"/>
      <c r="C30" s="6" t="n"/>
      <c r="D30" s="6" t="n">
        <v>-10</v>
      </c>
      <c r="E30" s="6" t="n">
        <v>-10</v>
      </c>
    </row>
    <row r="31">
      <c r="A31" s="6" t="inlineStr">
        <is>
          <t>Revaluation surplus during the year on freehold buildings</t>
        </is>
      </c>
      <c r="B31" s="6" t="n"/>
      <c r="C31" s="6" t="n"/>
      <c r="D31" s="6" t="n">
        <v>88</v>
      </c>
      <c r="E31" s="6" t="n">
        <v>88</v>
      </c>
    </row>
    <row r="32">
      <c r="A32" s="5" t="inlineStr">
        <is>
          <t>Balance as at 31 December 2014 (FY2014 closing, own report)</t>
        </is>
      </c>
      <c r="B32" s="5" t="n">
        <v>4217</v>
      </c>
      <c r="C32" s="5" t="n">
        <v>165</v>
      </c>
      <c r="D32" s="5" t="n">
        <v>578</v>
      </c>
      <c r="E32" s="5" t="n">
        <v>4960</v>
      </c>
    </row>
    <row r="33">
      <c r="A33" s="6" t="inlineStr">
        <is>
          <t>FRS 102 first-time-adoption restatement (see source note - not a FY2014 or FY2015 P&amp;L movement)</t>
        </is>
      </c>
      <c r="B33" s="6" t="n"/>
      <c r="C33" s="6" t="n">
        <v>365</v>
      </c>
      <c r="D33" s="6" t="n">
        <v>-478</v>
      </c>
      <c r="E33" s="6" t="n">
        <v>-113</v>
      </c>
    </row>
    <row r="34">
      <c r="A34" s="5" t="inlineStr">
        <is>
          <t>Balance as at 1 January 2015 (FRS 102-restated, per FY2015 Annual Report SOCE)</t>
        </is>
      </c>
      <c r="B34" s="5" t="n">
        <v>4217</v>
      </c>
      <c r="C34" s="5" t="n">
        <v>530</v>
      </c>
      <c r="D34" s="5" t="n">
        <v>100</v>
      </c>
      <c r="E34" s="5" t="n">
        <v>4847</v>
      </c>
    </row>
    <row r="35">
      <c r="A35" s="6" t="inlineStr">
        <is>
          <t>Profit for the financial year</t>
        </is>
      </c>
      <c r="B35" s="6" t="n"/>
      <c r="C35" s="6" t="n">
        <v>720</v>
      </c>
      <c r="D35" s="6" t="n"/>
      <c r="E35" s="6" t="n">
        <v>720</v>
      </c>
    </row>
    <row r="36">
      <c r="A36" s="6" t="inlineStr">
        <is>
          <t>Unrealised surplus on revaluation of operating properties, net of deferred tax</t>
        </is>
      </c>
      <c r="B36" s="6" t="n"/>
      <c r="C36" s="6" t="n"/>
      <c r="D36" s="6" t="n">
        <v>64</v>
      </c>
      <c r="E36" s="6" t="n">
        <v>64</v>
      </c>
    </row>
    <row r="37">
      <c r="A37" s="5" t="inlineStr">
        <is>
          <t>Balance as at 31 December 2015 (FY2015 closing)</t>
        </is>
      </c>
      <c r="B37" s="5" t="n">
        <v>4217</v>
      </c>
      <c r="C37" s="5" t="n">
        <v>1250</v>
      </c>
      <c r="D37" s="5" t="n">
        <v>164</v>
      </c>
      <c r="E37" s="5" t="n">
        <v>5631</v>
      </c>
    </row>
    <row r="38">
      <c r="A38" s="6" t="inlineStr">
        <is>
          <t>Profit for the financial year</t>
        </is>
      </c>
      <c r="B38" s="6" t="n"/>
      <c r="C38" s="6" t="n">
        <v>34</v>
      </c>
      <c r="D38" s="6" t="n"/>
      <c r="E38" s="6" t="n">
        <v>34</v>
      </c>
    </row>
    <row r="39">
      <c r="A39" s="6" t="inlineStr">
        <is>
          <t>Unrealised surplus on revaluation of operating properties, net of deferred tax</t>
        </is>
      </c>
      <c r="B39" s="6" t="n"/>
      <c r="C39" s="6" t="n"/>
      <c r="D39" s="6" t="n">
        <v>2</v>
      </c>
      <c r="E39" s="6" t="n">
        <v>2</v>
      </c>
    </row>
    <row r="40">
      <c r="A40" s="5" t="inlineStr">
        <is>
          <t>Balance as at 31 December 2016 (FY2016 closing)</t>
        </is>
      </c>
      <c r="B40" s="5" t="n">
        <v>4217</v>
      </c>
      <c r="C40" s="5" t="n">
        <v>1284</v>
      </c>
      <c r="D40" s="5" t="n">
        <v>166</v>
      </c>
      <c r="E40" s="5" t="n">
        <v>5667</v>
      </c>
    </row>
    <row r="41">
      <c r="A41" s="6" t="inlineStr">
        <is>
          <t>Profit for the financial year</t>
        </is>
      </c>
      <c r="B41" s="6" t="n"/>
      <c r="C41" s="6" t="n">
        <v>105</v>
      </c>
      <c r="D41" s="6" t="n"/>
      <c r="E41" s="6" t="n">
        <v>105</v>
      </c>
    </row>
    <row r="42">
      <c r="A42" s="6" t="inlineStr">
        <is>
          <t>Unrealised surplus on revaluation of operating property, net of deferred tax</t>
        </is>
      </c>
      <c r="B42" s="6" t="n"/>
      <c r="C42" s="6" t="n"/>
      <c r="D42" s="6" t="n">
        <v>6</v>
      </c>
      <c r="E42" s="6" t="n">
        <v>6</v>
      </c>
    </row>
    <row r="43">
      <c r="A43" s="5" t="inlineStr">
        <is>
          <t>Balance as at 31 December 2017 (FY2017 closing)</t>
        </is>
      </c>
      <c r="B43" s="5" t="n">
        <v>4217</v>
      </c>
      <c r="C43" s="5" t="n">
        <v>1389</v>
      </c>
      <c r="D43" s="5" t="n">
        <v>172</v>
      </c>
      <c r="E43" s="5" t="n">
        <v>5778</v>
      </c>
    </row>
    <row r="44">
      <c r="A44" s="6" t="inlineStr">
        <is>
          <t>Profit for the financial year</t>
        </is>
      </c>
      <c r="B44" s="6" t="n"/>
      <c r="C44" s="6" t="n">
        <v>146</v>
      </c>
      <c r="D44" s="6" t="n"/>
      <c r="E44" s="6" t="n">
        <v>146</v>
      </c>
    </row>
    <row r="45">
      <c r="A45" s="6" t="inlineStr">
        <is>
          <t>Dividends paid</t>
        </is>
      </c>
      <c r="B45" s="6" t="n"/>
      <c r="C45" s="6" t="n">
        <v>-16</v>
      </c>
      <c r="D45" s="6" t="n"/>
      <c r="E45" s="6" t="n">
        <v>-16</v>
      </c>
    </row>
    <row r="46">
      <c r="A46" s="5" t="inlineStr">
        <is>
          <t>Balance as at 31 December 2018 (FY2018 closing)</t>
        </is>
      </c>
      <c r="B46" s="5" t="n">
        <v>4217</v>
      </c>
      <c r="C46" s="5" t="n">
        <v>1519</v>
      </c>
      <c r="D46" s="5" t="n">
        <v>172</v>
      </c>
      <c r="E46" s="5" t="n">
        <v>5908</v>
      </c>
    </row>
    <row r="47">
      <c r="A47" s="6" t="inlineStr">
        <is>
          <t>Profit for the financial year</t>
        </is>
      </c>
      <c r="B47" s="6" t="n"/>
      <c r="C47" s="6" t="n">
        <v>257</v>
      </c>
      <c r="D47" s="6" t="n"/>
      <c r="E47" s="6" t="n">
        <v>257</v>
      </c>
    </row>
    <row r="48">
      <c r="A48" s="5" t="inlineStr">
        <is>
          <t>Balance as at 31 December 2019 (FY2019 closing)</t>
        </is>
      </c>
      <c r="B48" s="5" t="n">
        <v>4217</v>
      </c>
      <c r="C48" s="5" t="n">
        <v>1756</v>
      </c>
      <c r="D48" s="5" t="n">
        <v>172</v>
      </c>
      <c r="E48" s="5" t="n">
        <v>6145</v>
      </c>
    </row>
    <row r="49">
      <c r="A49" s="6" t="inlineStr">
        <is>
          <t>Loss for the financial year</t>
        </is>
      </c>
      <c r="B49" s="6" t="n"/>
      <c r="C49" s="6" t="n">
        <v>-24</v>
      </c>
      <c r="D49" s="6" t="n"/>
      <c r="E49" s="6" t="n">
        <v>-24</v>
      </c>
    </row>
    <row r="50">
      <c r="A50" s="6" t="inlineStr">
        <is>
          <t>Share allotment</t>
        </is>
      </c>
      <c r="B50" s="6" t="n">
        <v>650</v>
      </c>
      <c r="C50" s="6" t="n"/>
      <c r="D50" s="6" t="n"/>
      <c r="E50" s="6" t="n">
        <v>650</v>
      </c>
    </row>
    <row r="51">
      <c r="A51" s="5" t="inlineStr">
        <is>
          <t>Balance as at 31 December 2020 (FY2020 closing)</t>
        </is>
      </c>
      <c r="B51" s="5" t="n">
        <v>4867</v>
      </c>
      <c r="C51" s="5" t="n">
        <v>1732</v>
      </c>
      <c r="D51" s="5" t="n">
        <v>172</v>
      </c>
      <c r="E51" s="5" t="n">
        <v>6771</v>
      </c>
    </row>
    <row r="52">
      <c r="A52" s="6" t="inlineStr">
        <is>
          <t>Profit for the financial year</t>
        </is>
      </c>
      <c r="B52" s="6" t="n"/>
      <c r="C52" s="6" t="n">
        <v>680</v>
      </c>
      <c r="D52" s="6" t="n"/>
      <c r="E52" s="6" t="n">
        <v>680</v>
      </c>
    </row>
    <row r="53">
      <c r="A53" s="6" t="inlineStr">
        <is>
          <t>Transfer of revaluation reserve to profit and loss reserve upon reclassification of operating property</t>
        </is>
      </c>
      <c r="B53" s="6" t="n"/>
      <c r="C53" s="6" t="n">
        <v>172</v>
      </c>
      <c r="D53" s="6" t="n">
        <v>-172</v>
      </c>
      <c r="E53" s="6" t="n"/>
    </row>
    <row r="54">
      <c r="A54" s="5" t="inlineStr">
        <is>
          <t>Balance as at 31 December 2021 (FY2021 closing)</t>
        </is>
      </c>
      <c r="B54" s="5" t="n">
        <v>4867</v>
      </c>
      <c r="C54" s="5" t="n">
        <v>2584</v>
      </c>
      <c r="D54" s="5" t="n">
        <v>0</v>
      </c>
      <c r="E54" s="5" t="n">
        <v>7451</v>
      </c>
    </row>
    <row r="55">
      <c r="A55" s="6" t="inlineStr">
        <is>
          <t>Profit for the financial year</t>
        </is>
      </c>
      <c r="B55" s="6" t="n"/>
      <c r="C55" s="6" t="n">
        <v>102</v>
      </c>
      <c r="D55" s="6" t="n"/>
      <c r="E55" s="6" t="n">
        <v>102</v>
      </c>
    </row>
    <row r="56">
      <c r="A56" s="6" t="inlineStr">
        <is>
          <t>Share allotment</t>
        </is>
      </c>
      <c r="B56" s="6" t="n">
        <v>1800</v>
      </c>
      <c r="C56" s="6" t="n"/>
      <c r="D56" s="6" t="n"/>
      <c r="E56" s="6" t="n">
        <v>1800</v>
      </c>
    </row>
    <row r="57">
      <c r="A57" s="5" t="inlineStr">
        <is>
          <t>Balance as at 31 December 2022 (FY2022 closing)</t>
        </is>
      </c>
      <c r="B57" s="5" t="n">
        <v>6667</v>
      </c>
      <c r="C57" s="5" t="n">
        <v>2686</v>
      </c>
      <c r="D57" s="5" t="n">
        <v>0</v>
      </c>
      <c r="E57" s="5" t="n">
        <v>9353</v>
      </c>
    </row>
    <row r="58">
      <c r="A58" s="6" t="inlineStr">
        <is>
          <t>Profit for the financial year</t>
        </is>
      </c>
      <c r="B58" s="6" t="n"/>
      <c r="C58" s="6" t="n">
        <v>523</v>
      </c>
      <c r="D58" s="6" t="n"/>
      <c r="E58" s="6" t="n">
        <v>523</v>
      </c>
    </row>
    <row r="59">
      <c r="A59" s="5" t="inlineStr">
        <is>
          <t>Balance as at 31 December 2023 (FY2023 closing)</t>
        </is>
      </c>
      <c r="B59" s="5" t="n">
        <v>6667</v>
      </c>
      <c r="C59" s="5" t="n">
        <v>3209</v>
      </c>
      <c r="D59" s="5" t="n">
        <v>0</v>
      </c>
      <c r="E59" s="5" t="n">
        <v>9876</v>
      </c>
    </row>
    <row r="60">
      <c r="A60" s="6" t="inlineStr">
        <is>
          <t>Profit for the financial year</t>
        </is>
      </c>
      <c r="B60" s="6" t="n"/>
      <c r="C60" s="6" t="n">
        <v>279</v>
      </c>
      <c r="D60" s="6" t="n"/>
      <c r="E60" s="6" t="n">
        <v>279</v>
      </c>
    </row>
    <row r="61">
      <c r="A61" s="6" t="inlineStr">
        <is>
          <t>Share allotment</t>
        </is>
      </c>
      <c r="B61" s="6" t="n">
        <v>5400</v>
      </c>
      <c r="C61" s="6" t="n"/>
      <c r="D61" s="6" t="n"/>
      <c r="E61" s="6" t="n">
        <v>5400</v>
      </c>
    </row>
    <row r="62">
      <c r="A62" s="6" t="inlineStr">
        <is>
          <t>Dividends paid</t>
        </is>
      </c>
      <c r="B62" s="6" t="n"/>
      <c r="C62" s="6" t="n">
        <v>-43</v>
      </c>
      <c r="D62" s="6" t="n"/>
      <c r="E62" s="6" t="n">
        <v>-43</v>
      </c>
    </row>
    <row r="63">
      <c r="A63" s="5" t="inlineStr">
        <is>
          <t>Balance as at 31 December 2024 (FY2024 closing)</t>
        </is>
      </c>
      <c r="B63" s="5" t="n">
        <v>12067</v>
      </c>
      <c r="C63" s="5" t="n">
        <v>3445</v>
      </c>
      <c r="D63" s="5" t="n">
        <v>0</v>
      </c>
      <c r="E63" s="5" t="n">
        <v>15512</v>
      </c>
    </row>
    <row r="64">
      <c r="A64" s="6" t="inlineStr">
        <is>
          <t>Loss for the financial year</t>
        </is>
      </c>
      <c r="B64" s="6" t="n"/>
      <c r="C64" s="6" t="n">
        <v>-804</v>
      </c>
      <c r="D64" s="6" t="n"/>
      <c r="E64" s="6" t="n">
        <v>-804</v>
      </c>
    </row>
    <row r="65">
      <c r="A65" s="6" t="inlineStr">
        <is>
          <t>Share allotment</t>
        </is>
      </c>
      <c r="B65" s="6" t="n">
        <v>1170</v>
      </c>
      <c r="C65" s="6" t="n"/>
      <c r="D65" s="6" t="n"/>
      <c r="E65" s="6" t="n">
        <v>1170</v>
      </c>
    </row>
    <row r="66">
      <c r="A66" s="6" t="inlineStr">
        <is>
          <t>Dividends paid</t>
        </is>
      </c>
      <c r="B66" s="6" t="n"/>
      <c r="C66" s="6" t="n">
        <v>-70</v>
      </c>
      <c r="D66" s="6" t="n"/>
      <c r="E66" s="6" t="n">
        <v>-70</v>
      </c>
    </row>
    <row r="67">
      <c r="A67" s="5" t="inlineStr">
        <is>
          <t>Balance as at 31 December 2025 (FY2025 closing)</t>
        </is>
      </c>
      <c r="B67" s="5" t="n">
        <v>13237</v>
      </c>
      <c r="C67" s="5" t="n">
        <v>2571</v>
      </c>
      <c r="D67" s="5" t="n">
        <v>0</v>
      </c>
      <c r="E67" s="5" t="n">
        <v>15808</v>
      </c>
    </row>
    <row r="69" ht="150" customHeight="1">
      <c r="A69" s="8" t="inlineStr">
        <is>
          <t>Sources - Kingdom Bank Limited's own Statement of financial position / Income statement / Statement of changes in equity, £'000, Bank/solo basis (Companies House filings, all fully scanned/image-only):
FY2025 &amp; FY2024: Annual Report &amp; Accounts 2025, p.35 (Income statement), p.36 (Statement of financial position), p.37 (Statement of changes in equity)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p.36 (Income statement), p.37 (Statement of financial position), p.38 (Statement of changes in equity) - https://find-and-update.company-information.service.gov.uk/company/04346834/filing-history/MzQyNzk5NjY3OGFkaXF6a2N4/document?format=pdf&amp;download=0
FY2022 (own): Annual Report &amp; Accounts 2022, p.40 (Income statement), p.42 (Statement of financial position) - https://find-and-update.company-information.service.gov.uk/company/04346834/filing-history/MzM3Nzc1Mzk0NWFkaXF6a2N4/document?format=pdf&amp;download=0
FY2021 &amp; FY2020: Annual Report &amp; Accounts 2021, p.27 (P&amp;L), p.29 (Balance sheet), p.30 (Statement of changes in equity) - https://find-and-update.company-information.service.gov.uk/company/04346834/filing-history/MzM0MzYxNTEyM2FkaXF6a2N4/document?format=pdf&amp;download=0
FY2020 &amp; FY2019: Annual Report &amp; Accounts 2020, p.27 (P&amp;L), p.29 (Balance sheet), p.30 (Statement of changes in equity) - https://find-and-update.company-information.service.gov.uk/company/04346834/filing-history/MzMwMDE2MzUyN2FkaXF6a2N4/document?format=pdf&amp;download=0
FY2019 (own): Annual Report &amp; Accounts 2019, p.22 (P&amp;L), p.24 (Balance sheet), p.25 (SOCE) - https://find-and-update.company-information.service.gov.uk/company/04346834/filing-history/MzI2Mzg1MTA4OWFkaXF6a2N4/document?format=pdf&amp;download=0
FY2018 &amp; FY2017: Annual Report &amp; Accounts 2018, p.19 (P&amp;L), p.21 (Balance sheet), p.22 (Statement of changes in equity)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p.12 (P&amp;L), p.14 (Balance sheet), p.15 (Statement of changes in equity) - https://find-and-update.company-information.service.gov.uk/company/04346834/filing-history/MzE3Mjc3MDQyOGFkaXF6a2N4/document?format=pdf&amp;download=0
FY2015 (own, incl. FRS 102 first-time-adoption SOCE at p.15): Annual Report &amp; Accounts 2015 - https://find-and-update.company-information.service.gov.uk/company/04346834/filing-history/MzE1NzU2NjI4N2FkaXF6a2N4/document?format=pdf&amp;download=0
FY2014 (own, old UK GAAP/BBA SORP - profit and loss account p.10, Statement of total recognised gains and losses p.11, balance sheet p.12; no SOCE or cash flow statement prepared that year - see the Statement of Changes in Equity and Cash Flow Statement sheets): Annual Report &amp; Accounts 2014 - https://find-and-update.company-information.service.gov.uk/company/04346834/filing-history/MzEyMTIyNDc5OGFkaXF6a2N4/document?format=pdf&amp;download=0
FY2013 &amp; FY2012: Annual Report &amp; Accounts 2013, p.10 (P&amp;L), p.11 (STRGL), p.12 (Balance sheet), p.25 (reserves reconciliation notes) - https://find-and-update.company-information.service.gov.uk/company/04346834/filing-history/MzEwODM5MTg2OWFkaXF6a2N4/document?format=pdf&amp;download=0
FY2012 (own) &amp; FY2011 (comparative): Annual Report &amp; Accounts 2012, p.9 (P&amp;L), p.10 (STRGL), p.11 (Balance sheet), p.24 (reserves reconciliation notes) - https://find-and-update.company-information.service.gov.uk/company/04346834/filing-history/MzA3NTk1OTAyMWFkaXF6a2N4/document?format=pdf&amp;download=0
FY2011 (own) &amp; FY2010 (comparative): Annual Report &amp; Accounts 2011, p.8 (P&amp;L), p.9 (STRGL), p.10 (Balance sheet), p.22-23 (reserves reconciliation notes) - https://find-and-update.company-information.service.gov.uk/company/04346834/filing-history/MzA1NjkzNzEwMWFkaXF6a2N4/document?format=pdf&amp;download=0
FY2010 (own) &amp; FY2009 restated (comparative - see PRESENTATION NOTE (9) below): Annual Report &amp; Accounts 2010, p.9 (P&amp;L), p.10 (STRGL), p.11 (Balance sheet), p.22 (reserves reconciliation notes), p.14 (Note 1(n), restatement of 2009 comparatives) - https://find-and-update.company-information.service.gov.uk/company/04346834/filing-history/MzAzNjQzNTIyMWFkaXF6a2N4/document?format=pdf&amp;download=0
FY2009 (own, as originally filed - used here in preference to FY2010's restated comparative, per this workbook's standing convention of showing each year's own figures as filed): Annual Report &amp; Accounts 2009, p.8 (P&amp;L), p.9 (STRGL), p.10 (Balance sheet), p.20 (reserves reconciliation notes) - https://find-and-update.company-information.service.gov.uk/company/04346834/filing-history/MzAxMzc0NDMwNmFkaXF6a2N4/document?format=pdf&amp;download=0
FY2008 &amp; FY2007: Annual Report &amp; Accounts 2008, p.8 (P&amp;L), p.9 (STRGL), p.10 (Balance sheet), p.19 (reserves reconciliation notes) - https://find-and-update.company-information.service.gov.uk/company/04346834/filing-history/MjAzMDM3NTQ0OWFkaXF6a2N4/document?format=pdf&amp;download=0
FY2007 (own) &amp; FY2006 (comparative): Annual Report &amp; Accounts 2007, p.7 (P&amp;L, no STRGL that year), p.8 (Balance sheet), p.16 (reserves reconciliation notes) - https://find-and-update.company-information.service.gov.uk/company/04346834/filing-history/MjAwOTc4MTY0NmFkaXF6a2N4/document?format=pdf&amp;download=0
FY2006 (own) &amp; FY2005 (comparative): Annual Report &amp; Accounts 2006, p.7 (P&amp;L, no STRGL), p.8 (Balance sheet) - https://find-and-update.company-information.service.gov.uk/company/04346834/filing-history/MTg2OTAwNzEyYWRpcXprY3g/document?format=pdf&amp;download=0
FY2005 (own, prepared in whole £, converted to £'000 here) &amp; FY2004 (comparative): Annual Report &amp; Accounts 2005, p.7 (P&amp;L and STRGL), p.8 (Balance sheet) - https://find-and-update.company-information.service.gov.uk/company/04346834/filing-history/MTY0MjI5OTU5YWRpcXprY3g/document?format=pdf&amp;download=0
FY2004 (own, Balance Sheet only - see PRESENTATION NOTE (10) below): Report and Financial Statements for the period ended 31 December 2004, p.6 (Balance sheet), p.7 (Note 1, accounting policies) - https://find-and-update.company-information.service.gov.uk/company/04346834/filing-history/NzIzMTc1NDBhZGlxemtjeA/document?format=pdf&amp;download=0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bank's registered-looking domain www.kingdombank.co.uk is an unrelated expired/parked domain (a GoDaddy-style parking page) - its real site is www.kingdom.bank.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PRESENTATION NOTES: (1) FY2021-FY2022 do not disclose separate 'Prepayments and accrued income' or 'Accruals and deferred income' lines - FY2021/FY2022's own 'Other assets' and 'Other liabilities' totals bundle what FY2023 onward splits into two lines each; each year's own labelling is followed as published, not forced into a common template. (2) FY2021's income statement includes a one-off 'Profit on sale of investment property' line (£634k) and used the subtotal label 'Operating income' rather than 'Total net income' (introduced from FY2023) - same calculation, different label. (3) FY2021's own equity statement carried a £172k Revaluation reserve (from a historical operating-property revaluation) that was transferred to the Profit and loss account and fully extinguished during FY2021 upon reclassification of that property - a genuine one-off equity movement, not a plug. (4) FY2021's loan-book note used the label 'Charity mortgages' where FY2022 onward uses 'Organisational mortgages' for the same category, and FY2021/FY2020 additionally had a small 'Fully secured lending to other group companies' sub-category (nil in FY2021, £269k in FY2020) not present from FY2022 onward. (5) FY2014-FY2018 additionally disclosed small 'Charity loans'/'Personal loans' unsecured sub-categories (a few £'000 each) that disappear from FY2019 onward - each year's own labelling is followed, not forced into a common template. (6) FY2014's balance sheet used its own old-GAAP line structure: 'Loans and advances to credit institutions' (economically the same line as later years' 'Loans and advances to banks'), no separately disclosed Investment property (bundled into Tangible fixed assets, which also included freehold investment property that year), and a single combined 'Prepayments, accrued income and other assets' line rather than the later three-way split into Other assets / Prepayments and accrued income / Deferred tax assets - see the dedicated 'Prepayments, accrued income and other assets (FY2014 combined line)' row below. (7) FY2014-FY2016 carried a materially larger Revaluation reserve (£578k/£164k/£166k) than FY2017-FY2020 (a flat £172k) from historical property revaluations that were gradually run down; this reserve is shown as its own Balance Sheet equity line for FY2014-FY2020 and is blank (not zero) for FY2021-FY2025 once fully extinguished (see the Statement of Changes in Equity sheet). (8) FRS 102 was first adopted for FY2015, with a restated 1 January 2014 opening balance sheet shown only in the FY2015 Annual Report's Statement of changes in equity; the FY2014 column on every sheet here uses the figures as originally filed under old UK GAAP/the BBA SORP (per the FY2014 Annual Report itself), not the FRS 102-restated comparatives - this creates a one-off, disclosed reconciling difference between the FY2014 closing position shown here (£4,960k total shareholders' funds) and the FY2015 Annual Report's restated opening position for 1 January 2015 (£4,847k), driven mainly by a £77k lower Revaluation reserve and a £365k higher Profit and loss account balance under the restated basis - not an error. (9) The FY2010 Annual Report's Note 1(n) discloses a change of accounting policy adopted during FY2010, to recognise commission earned by the Bank's authorised representative SALT Insurance Services Ltd gross rather than net - the 2009 comparatives shown in the FY2010 Annual Report were restated for this (fees receivable grossed up £131k, a matching fees payable line added, and a £65k other-debtor/other-creditor gross-up on the Balance Sheet), but the Report states explicitly 'There is no impact on the reported losses', and the restatement nets to zero on every equity total (FY2009's own closing shareholders' funds of £4,788k is identical either way). This workbook therefore shows FY2009 exactly as filed in the FY2009 Annual Report itself (net presentation, £265k combined fees receivable, no separate fees payable line, £75k Prepayments/other assets) rather than the FY2010 Annual Report's restated comparative (£396k/£131k gross, £140k Prepayments/other assets) - consistent with this workbook's standing principle of using each year's own figures as originally filed, per PRESENTATION NOTE (8) above for the equivalent FY2014/FY2015 FRS 102 transition. (10) FY2004 is the bank's first trading period (1 February-31 December 2004, an 11-month period, not a full year - see the FY2004 Annual Report's own Note 1(a)) and its Note 1(d) states explicitly that no profit and loss account was prepared for it, since the Bank did not commence trading until 1 January 2005 - so the Profit &amp; Loss, Statement of Changes in Equity (movement rows) and Cash Flow Statement sheets are all blank for FY2004, a genuine and explicitly documented absence, not a sourcing gap; only the Balance Sheet exists for that year. FY2004's own Balance Sheet additionally used a more granular structure than every later year - a separate 'Cash' line (£76, immaterial) and separate 'Loans and advances to banks'/'Loans and advances to building societies' lines - which the FY2005 Annual Report's own FY2004 comparative column already collapses into the single 'Loans and advances to credit institutions' and 'Prepayments, accrued income and other assets' lines used here (cross-checked exactly: £7,424,652 + £2,320,638 + £113,101 = £9,858,391 loans; £76 + £10,364 = £10,440 prepayments/other assets), consistent with this workbook's practice elsewhere of following each year's own line structure but not inventing new rows for a single immaterial one-off split. FY2004's Called up share capital of £4,217k combines both the £4,208k called-up and £9k unpaid share capital shown as separate lines that year only - both were fully paid by FY2005, when a single 'Called up share capital' line resumes. No 'Cash and balances at central banks' line existed at all before FY2010 (it was bundled within 'Loans and advances to banks' throughout FY2004-FY2009 - confirmed absent, not merely blank, in each of those years' own Balance Sheets); no Revaluation reserve existed before FY2007 (the Bank's freehold properties were first professionally revalued that year); a 'Loans and advances from credit institutions due within 3 months' liability line existed only FY2006-FY2009 (nil from FY2010 onward) - see the dedicated row below.</t>
        </is>
      </c>
    </row>
  </sheetData>
  <mergeCells count="1">
    <mergeCell ref="A69:E6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Kingdom Bank Limited — Statement of Cash Flows</t>
        </is>
      </c>
    </row>
    <row r="2">
      <c r="A2" s="2" t="inlineStr">
        <is>
          <t>Bank/solo basis, £'000. FY2004-FY2014 (11 years) have no cash flow statement (FRS 1 wholly-owned-subsidiary exemption - columns intentionally blank, not zero).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c r="T3" s="4" t="inlineStr">
        <is>
          <t>FY2007 (£'000)</t>
        </is>
      </c>
      <c r="U3" s="4" t="inlineStr">
        <is>
          <t>FY2006 (£'000)</t>
        </is>
      </c>
      <c r="V3" s="4" t="inlineStr">
        <is>
          <t>FY2005 (£'000)</t>
        </is>
      </c>
      <c r="W3" s="4" t="inlineStr">
        <is>
          <t>FY2004 (£'000)</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c r="T4" s="6" t="n"/>
      <c r="U4" s="6" t="n"/>
      <c r="V4" s="6" t="n"/>
      <c r="W4" s="6" t="n"/>
    </row>
    <row r="5">
      <c r="A5" s="6" t="inlineStr">
        <is>
          <t>Net cash (used in)/generated from operating activities excluding tax</t>
        </is>
      </c>
      <c r="B5" s="6" t="n">
        <v>-1079</v>
      </c>
      <c r="C5" s="6" t="n">
        <v>-481</v>
      </c>
      <c r="D5" s="6" t="n">
        <v>10255</v>
      </c>
      <c r="E5" s="6" t="n">
        <v>3157</v>
      </c>
      <c r="F5" s="6" t="n">
        <v>-630</v>
      </c>
      <c r="G5" s="6" t="n">
        <v>7026</v>
      </c>
      <c r="H5" s="6" t="n">
        <v>1978</v>
      </c>
      <c r="I5" s="6" t="n">
        <v>-4088</v>
      </c>
      <c r="J5" s="6" t="n">
        <v>1125</v>
      </c>
      <c r="K5" s="6" t="n">
        <v>718</v>
      </c>
      <c r="L5" s="6" t="n">
        <v>-5610</v>
      </c>
      <c r="M5" s="6" t="n"/>
      <c r="N5" s="6" t="n"/>
      <c r="O5" s="6" t="n"/>
      <c r="P5" s="6" t="n"/>
      <c r="Q5" s="6" t="n"/>
      <c r="R5" s="6" t="n"/>
      <c r="S5" s="6" t="n"/>
      <c r="T5" s="6" t="n"/>
      <c r="U5" s="6" t="n"/>
      <c r="V5" s="6" t="n"/>
      <c r="W5" s="6" t="n"/>
    </row>
    <row r="6">
      <c r="A6" s="6" t="inlineStr">
        <is>
          <t>Taxation paid</t>
        </is>
      </c>
      <c r="B6" s="6" t="n">
        <v>-55</v>
      </c>
      <c r="C6" s="6" t="n">
        <v>-102</v>
      </c>
      <c r="D6" s="6" t="n">
        <v>-11</v>
      </c>
      <c r="E6" s="6" t="n">
        <v>-25</v>
      </c>
      <c r="F6" s="6" t="n"/>
      <c r="G6" s="6" t="n">
        <v>-56</v>
      </c>
      <c r="H6" s="6" t="n">
        <v>-40</v>
      </c>
      <c r="I6" s="6" t="n">
        <v>-33</v>
      </c>
      <c r="J6" s="6" t="n">
        <v>-23</v>
      </c>
      <c r="K6" s="6" t="n">
        <v>-233</v>
      </c>
      <c r="L6" s="6" t="n">
        <v>-2</v>
      </c>
      <c r="M6" s="6" t="n"/>
      <c r="N6" s="6" t="n"/>
      <c r="O6" s="6" t="n"/>
      <c r="P6" s="6" t="n"/>
      <c r="Q6" s="6" t="n"/>
      <c r="R6" s="6" t="n"/>
      <c r="S6" s="6" t="n"/>
      <c r="T6" s="6" t="n"/>
      <c r="U6" s="6" t="n"/>
      <c r="V6" s="6" t="n"/>
      <c r="W6" s="6" t="n"/>
    </row>
    <row r="7">
      <c r="A7" s="5" t="inlineStr">
        <is>
          <t>Net cash (used in)/generated from operating activities</t>
        </is>
      </c>
      <c r="B7" s="5" t="n">
        <v>-1134</v>
      </c>
      <c r="C7" s="5" t="n">
        <v>-583</v>
      </c>
      <c r="D7" s="5" t="n">
        <v>10244</v>
      </c>
      <c r="E7" s="5" t="n">
        <v>3132</v>
      </c>
      <c r="F7" s="5" t="n">
        <v>-630</v>
      </c>
      <c r="G7" s="5" t="n">
        <v>6970</v>
      </c>
      <c r="H7" s="5" t="n">
        <v>1938</v>
      </c>
      <c r="I7" s="5" t="n">
        <v>-4121</v>
      </c>
      <c r="J7" s="5" t="n">
        <v>1102</v>
      </c>
      <c r="K7" s="5" t="n">
        <v>485</v>
      </c>
      <c r="L7" s="5" t="n">
        <v>-5612</v>
      </c>
      <c r="M7" s="5" t="n"/>
      <c r="N7" s="5" t="n"/>
      <c r="O7" s="5" t="n"/>
      <c r="P7" s="5" t="n"/>
      <c r="Q7" s="5" t="n"/>
      <c r="R7" s="5" t="n"/>
      <c r="S7" s="5" t="n"/>
      <c r="T7" s="5" t="n"/>
      <c r="U7" s="5" t="n"/>
      <c r="V7" s="5" t="n"/>
      <c r="W7" s="5" t="n"/>
    </row>
    <row r="8">
      <c r="A8" s="5" t="inlineStr">
        <is>
          <t>Investing activities</t>
        </is>
      </c>
      <c r="B8" s="6" t="n"/>
      <c r="C8" s="6" t="n"/>
      <c r="D8" s="6" t="n"/>
      <c r="E8" s="6" t="n"/>
      <c r="F8" s="6" t="n"/>
      <c r="G8" s="6" t="n"/>
      <c r="H8" s="6" t="n"/>
      <c r="I8" s="6" t="n"/>
      <c r="J8" s="6" t="n"/>
      <c r="K8" s="6" t="n"/>
      <c r="L8" s="6" t="n"/>
      <c r="M8" s="6" t="n"/>
      <c r="N8" s="6" t="n"/>
      <c r="O8" s="6" t="n"/>
      <c r="P8" s="6" t="n"/>
      <c r="Q8" s="6" t="n"/>
      <c r="R8" s="6" t="n"/>
      <c r="S8" s="6" t="n"/>
      <c r="T8" s="6" t="n"/>
      <c r="U8" s="6" t="n"/>
      <c r="V8" s="6" t="n"/>
      <c r="W8" s="6" t="n"/>
    </row>
    <row r="9">
      <c r="A9" s="6" t="inlineStr">
        <is>
          <t>Purchase of intangible assets</t>
        </is>
      </c>
      <c r="B9" s="6" t="n">
        <v>0</v>
      </c>
      <c r="C9" s="6" t="n">
        <v>0</v>
      </c>
      <c r="D9" s="6" t="n">
        <v>-23</v>
      </c>
      <c r="E9" s="6" t="n">
        <v>-16</v>
      </c>
      <c r="F9" s="6" t="n">
        <v>-47</v>
      </c>
      <c r="G9" s="6" t="n">
        <v>-39</v>
      </c>
      <c r="H9" s="6" t="n">
        <v>-8</v>
      </c>
      <c r="I9" s="6" t="n">
        <v>-12</v>
      </c>
      <c r="J9" s="6" t="n">
        <v>-16</v>
      </c>
      <c r="K9" s="6" t="n">
        <v>-170</v>
      </c>
      <c r="L9" s="6" t="n">
        <v>-33</v>
      </c>
      <c r="M9" s="6" t="n"/>
      <c r="N9" s="6" t="n"/>
      <c r="O9" s="6" t="n"/>
      <c r="P9" s="6" t="n"/>
      <c r="Q9" s="6" t="n"/>
      <c r="R9" s="6" t="n"/>
      <c r="S9" s="6" t="n"/>
      <c r="T9" s="6" t="n"/>
      <c r="U9" s="6" t="n"/>
      <c r="V9" s="6" t="n"/>
      <c r="W9" s="6" t="n"/>
    </row>
    <row r="10">
      <c r="A10" s="6" t="inlineStr">
        <is>
          <t>Capital expenditure on investment property</t>
        </is>
      </c>
      <c r="B10" s="6" t="n"/>
      <c r="C10" s="6" t="n"/>
      <c r="D10" s="6" t="n"/>
      <c r="E10" s="6" t="n"/>
      <c r="F10" s="6" t="n"/>
      <c r="G10" s="6" t="n"/>
      <c r="H10" s="6" t="n"/>
      <c r="I10" s="6" t="n"/>
      <c r="J10" s="6" t="n"/>
      <c r="K10" s="6" t="n"/>
      <c r="L10" s="6" t="n">
        <v>-13</v>
      </c>
      <c r="M10" s="6" t="n"/>
      <c r="N10" s="6" t="n"/>
      <c r="O10" s="6" t="n"/>
      <c r="P10" s="6" t="n"/>
      <c r="Q10" s="6" t="n"/>
      <c r="R10" s="6" t="n"/>
      <c r="S10" s="6" t="n"/>
      <c r="T10" s="6" t="n"/>
      <c r="U10" s="6" t="n"/>
      <c r="V10" s="6" t="n"/>
      <c r="W10" s="6" t="n"/>
    </row>
    <row r="11">
      <c r="A11" s="6" t="inlineStr">
        <is>
          <t>Purchase of tangible assets</t>
        </is>
      </c>
      <c r="B11" s="6" t="n">
        <v>-43</v>
      </c>
      <c r="C11" s="6" t="n">
        <v>-41</v>
      </c>
      <c r="D11" s="6" t="n">
        <v>-24</v>
      </c>
      <c r="E11" s="6" t="n">
        <v>-24</v>
      </c>
      <c r="F11" s="6" t="n">
        <v>-197</v>
      </c>
      <c r="G11" s="6" t="n">
        <v>-30</v>
      </c>
      <c r="H11" s="6" t="n">
        <v>-89</v>
      </c>
      <c r="I11" s="6" t="n">
        <v>-40</v>
      </c>
      <c r="J11" s="6" t="n">
        <v>-15</v>
      </c>
      <c r="K11" s="6" t="n">
        <v>-21</v>
      </c>
      <c r="L11" s="6" t="n">
        <v>-23</v>
      </c>
      <c r="M11" s="6" t="n"/>
      <c r="N11" s="6" t="n"/>
      <c r="O11" s="6" t="n"/>
      <c r="P11" s="6" t="n"/>
      <c r="Q11" s="6" t="n"/>
      <c r="R11" s="6" t="n"/>
      <c r="S11" s="6" t="n"/>
      <c r="T11" s="6" t="n"/>
      <c r="U11" s="6" t="n"/>
      <c r="V11" s="6" t="n"/>
      <c r="W11" s="6" t="n"/>
    </row>
    <row r="12">
      <c r="A12" s="6" t="inlineStr">
        <is>
          <t>Sale of investment property / proceeds from disposals of investment property</t>
        </is>
      </c>
      <c r="B12" s="6" t="n"/>
      <c r="C12" s="6" t="n"/>
      <c r="D12" s="6" t="n"/>
      <c r="E12" s="6" t="n"/>
      <c r="F12" s="6" t="n">
        <v>2013</v>
      </c>
      <c r="G12" s="6" t="n"/>
      <c r="H12" s="6" t="n"/>
      <c r="I12" s="6" t="n"/>
      <c r="J12" s="6" t="n"/>
      <c r="K12" s="6" t="n"/>
      <c r="L12" s="6" t="n">
        <v>3394</v>
      </c>
      <c r="M12" s="6" t="n"/>
      <c r="N12" s="6" t="n"/>
      <c r="O12" s="6" t="n"/>
      <c r="P12" s="6" t="n"/>
      <c r="Q12" s="6" t="n"/>
      <c r="R12" s="6" t="n"/>
      <c r="S12" s="6" t="n"/>
      <c r="T12" s="6" t="n"/>
      <c r="U12" s="6" t="n"/>
      <c r="V12" s="6" t="n"/>
      <c r="W12" s="6" t="n"/>
    </row>
    <row r="13">
      <c r="A13" s="5" t="inlineStr">
        <is>
          <t>Net cash (used in)/generated from investing activities</t>
        </is>
      </c>
      <c r="B13" s="5" t="n">
        <v>-43</v>
      </c>
      <c r="C13" s="5" t="n">
        <v>-41</v>
      </c>
      <c r="D13" s="5" t="n">
        <v>-47</v>
      </c>
      <c r="E13" s="5" t="n">
        <v>-40</v>
      </c>
      <c r="F13" s="5" t="n">
        <v>1769</v>
      </c>
      <c r="G13" s="5" t="n">
        <v>-69</v>
      </c>
      <c r="H13" s="5" t="n">
        <v>-97</v>
      </c>
      <c r="I13" s="5" t="n">
        <v>-52</v>
      </c>
      <c r="J13" s="5" t="n">
        <v>-31</v>
      </c>
      <c r="K13" s="5" t="n">
        <v>-191</v>
      </c>
      <c r="L13" s="5" t="n">
        <v>3325</v>
      </c>
      <c r="M13" s="5" t="n"/>
      <c r="N13" s="5" t="n"/>
      <c r="O13" s="5" t="n"/>
      <c r="P13" s="5" t="n"/>
      <c r="Q13" s="5" t="n"/>
      <c r="R13" s="5" t="n"/>
      <c r="S13" s="5" t="n"/>
      <c r="T13" s="5" t="n"/>
      <c r="U13" s="5" t="n"/>
      <c r="V13" s="5" t="n"/>
      <c r="W13" s="5" t="n"/>
    </row>
    <row r="14">
      <c r="A14" s="5" t="inlineStr">
        <is>
          <t>Financing activities</t>
        </is>
      </c>
      <c r="B14" s="6" t="n"/>
      <c r="C14" s="6" t="n"/>
      <c r="D14" s="6" t="n"/>
      <c r="E14" s="6" t="n"/>
      <c r="F14" s="6" t="n"/>
      <c r="G14" s="6" t="n"/>
      <c r="H14" s="6" t="n"/>
      <c r="I14" s="6" t="n"/>
      <c r="J14" s="6" t="n"/>
      <c r="K14" s="6" t="n"/>
      <c r="L14" s="6" t="n"/>
      <c r="M14" s="6" t="n"/>
      <c r="N14" s="6" t="n"/>
      <c r="O14" s="6" t="n"/>
      <c r="P14" s="6" t="n"/>
      <c r="Q14" s="6" t="n"/>
      <c r="R14" s="6" t="n"/>
      <c r="S14" s="6" t="n"/>
      <c r="T14" s="6" t="n"/>
      <c r="U14" s="6" t="n"/>
      <c r="V14" s="6" t="n"/>
      <c r="W14" s="6" t="n"/>
    </row>
    <row r="15">
      <c r="A15" s="6" t="inlineStr">
        <is>
          <t>Repayment of subordinated liabilities</t>
        </is>
      </c>
      <c r="B15" s="6" t="n">
        <v>0</v>
      </c>
      <c r="C15" s="6" t="n">
        <v>0</v>
      </c>
      <c r="D15" s="6" t="n">
        <v>0</v>
      </c>
      <c r="E15" s="6" t="n">
        <v>-61</v>
      </c>
      <c r="F15" s="6" t="n">
        <v>-670</v>
      </c>
      <c r="G15" s="6" t="n"/>
      <c r="H15" s="6" t="n"/>
      <c r="I15" s="6" t="n">
        <v>-150</v>
      </c>
      <c r="J15" s="6" t="n"/>
      <c r="K15" s="6" t="n">
        <v>-800</v>
      </c>
      <c r="L15" s="6" t="n"/>
      <c r="M15" s="6" t="n"/>
      <c r="N15" s="6" t="n"/>
      <c r="O15" s="6" t="n"/>
      <c r="P15" s="6" t="n"/>
      <c r="Q15" s="6" t="n"/>
      <c r="R15" s="6" t="n"/>
      <c r="S15" s="6" t="n"/>
      <c r="T15" s="6" t="n"/>
      <c r="U15" s="6" t="n"/>
      <c r="V15" s="6" t="n"/>
      <c r="W15" s="6" t="n"/>
    </row>
    <row r="16">
      <c r="A16" s="6" t="inlineStr">
        <is>
          <t>Issue of subordinated liabilities</t>
        </is>
      </c>
      <c r="B16" s="6" t="n"/>
      <c r="C16" s="6" t="n"/>
      <c r="D16" s="6" t="n"/>
      <c r="E16" s="6" t="n"/>
      <c r="F16" s="6" t="n"/>
      <c r="G16" s="6" t="n"/>
      <c r="H16" s="6" t="n"/>
      <c r="I16" s="6" t="n"/>
      <c r="J16" s="6" t="n"/>
      <c r="K16" s="6" t="n">
        <v>700</v>
      </c>
      <c r="L16" s="6" t="n"/>
      <c r="M16" s="6" t="n"/>
      <c r="N16" s="6" t="n"/>
      <c r="O16" s="6" t="n"/>
      <c r="P16" s="6" t="n"/>
      <c r="Q16" s="6" t="n"/>
      <c r="R16" s="6" t="n"/>
      <c r="S16" s="6" t="n"/>
      <c r="T16" s="6" t="n"/>
      <c r="U16" s="6" t="n"/>
      <c r="V16" s="6" t="n"/>
      <c r="W16" s="6" t="n"/>
    </row>
    <row r="17">
      <c r="A17" s="6" t="inlineStr">
        <is>
          <t>Share allotment</t>
        </is>
      </c>
      <c r="B17" s="6" t="n">
        <v>1170</v>
      </c>
      <c r="C17" s="6" t="n">
        <v>5400</v>
      </c>
      <c r="D17" s="6" t="n">
        <v>0</v>
      </c>
      <c r="E17" s="6" t="n">
        <v>1800</v>
      </c>
      <c r="F17" s="6" t="n">
        <v>0</v>
      </c>
      <c r="G17" s="6" t="n">
        <v>650</v>
      </c>
      <c r="H17" s="6" t="n"/>
      <c r="I17" s="6" t="n"/>
      <c r="J17" s="6" t="n"/>
      <c r="K17" s="6" t="n"/>
      <c r="L17" s="6" t="n"/>
      <c r="M17" s="6" t="n"/>
      <c r="N17" s="6" t="n"/>
      <c r="O17" s="6" t="n"/>
      <c r="P17" s="6" t="n"/>
      <c r="Q17" s="6" t="n"/>
      <c r="R17" s="6" t="n"/>
      <c r="S17" s="6" t="n"/>
      <c r="T17" s="6" t="n"/>
      <c r="U17" s="6" t="n"/>
      <c r="V17" s="6" t="n"/>
      <c r="W17" s="6" t="n"/>
    </row>
    <row r="18">
      <c r="A18" s="6" t="inlineStr">
        <is>
          <t>Dividends paid</t>
        </is>
      </c>
      <c r="B18" s="6" t="n">
        <v>-70</v>
      </c>
      <c r="C18" s="6" t="n">
        <v>-43</v>
      </c>
      <c r="D18" s="6" t="n"/>
      <c r="E18" s="6" t="n"/>
      <c r="F18" s="6" t="n"/>
      <c r="G18" s="6" t="n"/>
      <c r="H18" s="6" t="n">
        <v>-20</v>
      </c>
      <c r="I18" s="6" t="n">
        <v>-16</v>
      </c>
      <c r="J18" s="6" t="n"/>
      <c r="K18" s="6" t="n"/>
      <c r="L18" s="6" t="n"/>
      <c r="M18" s="6" t="n"/>
      <c r="N18" s="6" t="n"/>
      <c r="O18" s="6" t="n"/>
      <c r="P18" s="6" t="n"/>
      <c r="Q18" s="6" t="n"/>
      <c r="R18" s="6" t="n"/>
      <c r="S18" s="6" t="n"/>
      <c r="T18" s="6" t="n"/>
      <c r="U18" s="6" t="n"/>
      <c r="V18" s="6" t="n"/>
      <c r="W18" s="6" t="n"/>
    </row>
    <row r="19">
      <c r="A19" s="5" t="inlineStr">
        <is>
          <t>Net cash generated from/(used in) financing activities</t>
        </is>
      </c>
      <c r="B19" s="5" t="n">
        <v>1100</v>
      </c>
      <c r="C19" s="5" t="n">
        <v>5357</v>
      </c>
      <c r="D19" s="5" t="n">
        <v>0</v>
      </c>
      <c r="E19" s="5" t="n">
        <v>1739</v>
      </c>
      <c r="F19" s="5" t="n">
        <v>-670</v>
      </c>
      <c r="G19" s="5" t="n">
        <v>650</v>
      </c>
      <c r="H19" s="5" t="n">
        <v>-20</v>
      </c>
      <c r="I19" s="5" t="n">
        <v>-166</v>
      </c>
      <c r="J19" s="5" t="n">
        <v>0</v>
      </c>
      <c r="K19" s="5" t="n">
        <v>-100</v>
      </c>
      <c r="L19" s="5" t="n">
        <v>0</v>
      </c>
      <c r="M19" s="5" t="n"/>
      <c r="N19" s="5" t="n"/>
      <c r="O19" s="5" t="n"/>
      <c r="P19" s="5" t="n"/>
      <c r="Q19" s="5" t="n"/>
      <c r="R19" s="5" t="n"/>
      <c r="S19" s="5" t="n"/>
      <c r="T19" s="5" t="n"/>
      <c r="U19" s="5" t="n"/>
      <c r="V19" s="5" t="n"/>
      <c r="W19" s="5" t="n"/>
    </row>
    <row r="20">
      <c r="A20" s="5" t="inlineStr">
        <is>
          <t>Net movement in cash and cash equivalents</t>
        </is>
      </c>
      <c r="B20" s="5" t="n">
        <v>-77</v>
      </c>
      <c r="C20" s="5" t="n">
        <v>4733</v>
      </c>
      <c r="D20" s="5" t="n">
        <v>10197</v>
      </c>
      <c r="E20" s="5" t="n">
        <v>4831</v>
      </c>
      <c r="F20" s="5" t="n">
        <v>469</v>
      </c>
      <c r="G20" s="5" t="n">
        <v>7551</v>
      </c>
      <c r="H20" s="5" t="n">
        <v>1821</v>
      </c>
      <c r="I20" s="5" t="n">
        <v>-4339</v>
      </c>
      <c r="J20" s="5" t="n">
        <v>1071</v>
      </c>
      <c r="K20" s="5" t="n">
        <v>194</v>
      </c>
      <c r="L20" s="5" t="n">
        <v>-2287</v>
      </c>
      <c r="M20" s="5" t="n"/>
      <c r="N20" s="5" t="n"/>
      <c r="O20" s="5" t="n"/>
      <c r="P20" s="5" t="n"/>
      <c r="Q20" s="5" t="n"/>
      <c r="R20" s="5" t="n"/>
      <c r="S20" s="5" t="n"/>
      <c r="T20" s="5" t="n"/>
      <c r="U20" s="5" t="n"/>
      <c r="V20" s="5" t="n"/>
      <c r="W20" s="5" t="n"/>
    </row>
    <row r="21">
      <c r="A21" s="6" t="inlineStr">
        <is>
          <t>Cash and cash equivalents at the beginning of the year</t>
        </is>
      </c>
      <c r="B21" s="6" t="n">
        <v>39791</v>
      </c>
      <c r="C21" s="6" t="n">
        <v>35058</v>
      </c>
      <c r="D21" s="6" t="n">
        <v>24861</v>
      </c>
      <c r="E21" s="6" t="n">
        <v>20030</v>
      </c>
      <c r="F21" s="6" t="n">
        <v>19561</v>
      </c>
      <c r="G21" s="6" t="n">
        <v>12010</v>
      </c>
      <c r="H21" s="6" t="n">
        <v>10189</v>
      </c>
      <c r="I21" s="6" t="n">
        <v>14528</v>
      </c>
      <c r="J21" s="6" t="n">
        <v>13457</v>
      </c>
      <c r="K21" s="6" t="n">
        <v>13263</v>
      </c>
      <c r="L21" s="6" t="n">
        <v>15550</v>
      </c>
      <c r="M21" s="6" t="n"/>
      <c r="N21" s="6" t="n"/>
      <c r="O21" s="6" t="n"/>
      <c r="P21" s="6" t="n"/>
      <c r="Q21" s="6" t="n"/>
      <c r="R21" s="6" t="n"/>
      <c r="S21" s="6" t="n"/>
      <c r="T21" s="6" t="n"/>
      <c r="U21" s="6" t="n"/>
      <c r="V21" s="6" t="n"/>
      <c r="W21" s="6" t="n"/>
    </row>
    <row r="22">
      <c r="A22" s="5" t="inlineStr">
        <is>
          <t>Cash and cash equivalents at the end of the year</t>
        </is>
      </c>
      <c r="B22" s="5" t="n">
        <v>39714</v>
      </c>
      <c r="C22" s="5" t="n">
        <v>39791</v>
      </c>
      <c r="D22" s="5" t="n">
        <v>35058</v>
      </c>
      <c r="E22" s="5" t="n">
        <v>24861</v>
      </c>
      <c r="F22" s="5" t="n">
        <v>20030</v>
      </c>
      <c r="G22" s="5" t="n">
        <v>19561</v>
      </c>
      <c r="H22" s="5" t="n">
        <v>12010</v>
      </c>
      <c r="I22" s="5" t="n">
        <v>10189</v>
      </c>
      <c r="J22" s="5" t="n">
        <v>14528</v>
      </c>
      <c r="K22" s="5" t="n">
        <v>13457</v>
      </c>
      <c r="L22" s="5" t="n">
        <v>13263</v>
      </c>
      <c r="M22" s="5" t="n"/>
      <c r="N22" s="5" t="n"/>
      <c r="O22" s="5" t="n"/>
      <c r="P22" s="5" t="n"/>
      <c r="Q22" s="5" t="n"/>
      <c r="R22" s="5" t="n"/>
      <c r="S22" s="5" t="n"/>
      <c r="T22" s="5" t="n"/>
      <c r="U22" s="5" t="n"/>
      <c r="V22" s="5" t="n"/>
      <c r="W22" s="5" t="n"/>
    </row>
    <row r="24" ht="260" customHeight="1">
      <c r="A24" s="8" t="inlineStr">
        <is>
          <t>Sources - all figures are Kingdom Bank Limited's own Statement of cash flows, £'000, Bank/solo basis (Companies House filings, all fully scanned):
FY2025 (own) &amp; FY2024 (comparative, cross-checked against FY2024's own report): Annual Report &amp; Accounts 2025, p.38 (Statement of cash flows)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(own) &amp; FY2022 (comparative): Annual Report &amp; Accounts 2023, p.39 (Statement of cash flows) - https://find-and-update.company-information.service.gov.uk/company/04346834/filing-history/MzQyNzk5NjY3OGFkaXF6a2N4/document?format=pdf&amp;download=0
FY2022 (own): Annual Report &amp; Accounts 2022 - https://find-and-update.company-information.service.gov.uk/company/04346834/filing-history/MzM3Nzc1Mzk0NWFkaXF6a2N4/document?format=pdf&amp;download=0
FY2021 (own) &amp; FY2020 (comparative, cross-checked against FY2020's own report): Annual Report &amp; Accounts 2021, p.33 (Statement of cash flows) - https://find-and-update.company-information.service.gov.uk/company/04346834/filing-history/MzM0MzYxNTEyM2FkaXF6a2N4/document?format=pdf&amp;download=0
FY2020 (own) &amp; FY2019 (comparative): Annual Report &amp; Accounts 2020, p.31 (Statement of cash flows) - https://find-and-update.company-information.service.gov.uk/company/04346834/filing-history/MzMwMDE2MzUyN2FkaXF6a2N4/document?format=pdf&amp;download=0
FY2019 (own): Annual Report &amp; Accounts 2019, p.26 - https://find-and-update.company-information.service.gov.uk/company/04346834/filing-history/MzI2Mzg1MTA4OWFkaXF6a2N4/document?format=pdf&amp;download=0
FY2018 (own) &amp; FY2017 (comparative): Annual Report &amp; Accounts 2018, p.23 (Statement of cash flows)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(own) &amp; FY2015 (comparative): Annual Report &amp; Accounts 2016, p.16 (Statement of cash flows) - https://find-and-update.company-information.service.gov.uk/company/04346834/filing-history/MzE3Mjc3MDQyOGFkaXF6a2N4/document?format=pdf&amp;download=0
FY2015 (own): Annual Report &amp; Accounts 2015, p.16 - https://find-and-update.company-information.service.gov.uk/company/04346834/filing-history/MzE1NzU2NjI4N2FkaXF6a2N4/document?format=pdf&amp;download=0
FY2004-FY2014: no cash flow statement was prepared in any of these 11 years - the Bank took the FRS 1 (revised 1996) 'Cash flow statements' exemption available to a wholly-owned subsidiary whose parent (Assemblies of God Property Trust) publishes consolidated accounts, re-confirmed directly in each year's own Note 1 accounting policies back to the FY2004 Annual Report's Note 1(a) (the bank's very first trading period) - https://find-and-update.company-information.service.gov.uk/company/04346834/filing-history/MzEyMTIyNDc5OGFkaXF6a2N4/document?format=pdf&amp;download=0 (FY2014); https://find-and-update.company-information.service.gov.uk/company/04346834/filing-history/MzEwODM5MTg2OWFkaXF6a2N4/document?format=pdf&amp;download=0 (FY2013); https://find-and-update.company-information.service.gov.uk/company/04346834/filing-history/MzA3NTk1OTAyMWFkaXF6a2N4/document?format=pdf&amp;download=0 (FY2012); https://find-and-update.company-information.service.gov.uk/company/04346834/filing-history/MzA1NjkzNzEwMWFkaXF6a2N4/document?format=pdf&amp;download=0 (FY2011); https://find-and-update.company-information.service.gov.uk/company/04346834/filing-history/MzAzNjQzNTIyMWFkaXF6a2N4/document?format=pdf&amp;download=0 (FY2010); https://find-and-update.company-information.service.gov.uk/company/04346834/filing-history/MzAxMzc0NDMwNmFkaXF6a2N4/document?format=pdf&amp;download=0 (FY2009); https://find-and-update.company-information.service.gov.uk/company/04346834/filing-history/MjAzMDM3NTQ0OWFkaXF6a2N4/document?format=pdf&amp;download=0 (FY2008); https://find-and-update.company-information.service.gov.uk/company/04346834/filing-history/MjAwOTc4MTY0NmFkaXF6a2N4/document?format=pdf&amp;download=0 (FY2007); https://find-and-update.company-information.service.gov.uk/company/04346834/filing-history/MTg2OTAwNzEyYWRpcXprY3g/document?format=pdf&amp;download=0 (FY2006); https://find-and-update.company-information.service.gov.uk/company/04346834/filing-history/MTY0MjI5OTU5YWRpcXprY3g/document?format=pdf&amp;download=0 (FY2005); https://find-and-update.company-information.service.gov.uk/company/04346834/filing-history/NzIzMTc1NDBhZGlxemtjeA/document?format=pdf&amp;download=0 (FY2004)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FY2004-FY2019 the ultimate parent was instead Assemblies of God Property Trust throughout (confirmed directly in each year's own accounting policies note, back to FY2004). Solo/Bank basis throughout - no group consolidation applies. All 22 years' filings on Companies House are fully scanned/image-only (0 extractable text on every page); the bank's registered-looking domain www.kingdombank.co.uk is an unrelated expired/parked domain (a GoDaddy-style parking page) - its real site is www.kingdom.bank. FY2004-FY2014 were prepared under old UK GAAP/the BBA SORP (pre FRS 102) and, as a wholly-owned subsidiary whose parent's consolidated accounts are publicly available, took the FRS 1 (revised 1996) exemption from preparing a cash flow statement in every one of those years (confirmed directly in each year's own accounting policies note, not assumed) - none of FY2004-FY2014 has a cash flow statement, and none of this is a sourcing gap (see Note 1(b) of the FY2014 Annual Report, and Note 1(a) of the FY2004 Annual Report for the same exemption stated in the bank's very first trading period). FY2004 additionally has no profit and loss account, statement of total recognised gains and losses, or cash flow statement at all: the FY2004 Annual Report is an 11-month period (1 February-31 December 2004, following a dormant shell period back to incorporation - see the two 'Accounts for a dormant company' filings that precede it on Companies House) and states explicitly, in its own Note 1(d): 'No profit and loss account has been prepared for the period ended 31 December 2004, as Kingdom Bank Limited did not commence trading until 1 January 2005.' Only a Balance Sheet exists for FY2004, and it is shown here on that basis - not a sourcing gap.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Every year-end closing balance ties exactly to the following year's opening balance across all 11 years for which a cash flow statement exists (FY2015 closing £13,263k = FY2016 opening; FY2016 closing £13,457k = FY2017 opening; FY2017 closing £14,528k = FY2018 opening; FY2018 closing £10,189k = FY2019 opening; FY2019 closing £12,010k = FY2020 opening; FY2020 closing £19,561k = FY2021 opening; FY2021 closing £20,030k = FY2022 opening; FY2022 closing £24,861k = FY2023 opening; FY2023 closing £35,058k = FY2024 opening; FY2024 closing £39,791k = FY2025 opening) - no restatements found. FY2004-FY2014 (11 years) genuinely have no cash flow statement at all - not a sourcing gap.</t>
        </is>
      </c>
    </row>
  </sheetData>
  <mergeCells count="1">
    <mergeCell ref="A24:W2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Asset Quality</t>
        </is>
      </c>
    </row>
    <row r="2">
      <c r="A2" s="2" t="inlineStr">
        <is>
          <t>Loan book by product (Note 12a/9a) and loan loss provision movement (Note 12c/9c), Bank/solo basis, £'000. No IFRS 9 stage 1/2/3 split is disclosed in any year - this entity applies FRS 102 (old UK GAAP for FY2014), not IFRS 9.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Loans and advances to customers, gross</t>
        </is>
      </c>
      <c r="B4" s="6" t="n"/>
      <c r="C4" s="6" t="n"/>
      <c r="D4" s="6" t="n"/>
      <c r="E4" s="6" t="n"/>
      <c r="F4" s="6" t="n"/>
      <c r="G4" s="6" t="n"/>
      <c r="H4" s="6" t="n"/>
      <c r="I4" s="6" t="n"/>
      <c r="J4" s="6" t="n"/>
      <c r="K4" s="6" t="n"/>
      <c r="L4" s="6" t="n"/>
      <c r="M4" s="6" t="n"/>
    </row>
    <row r="5">
      <c r="A5" s="6" t="inlineStr">
        <is>
          <t>Organisational/Charity mortgages (FY2014-FY2021's own label: 'Charity mortgages')</t>
        </is>
      </c>
      <c r="B5" s="6" t="n">
        <v>98455</v>
      </c>
      <c r="C5" s="6" t="n">
        <v>79806</v>
      </c>
      <c r="D5" s="6" t="n">
        <v>60628</v>
      </c>
      <c r="E5" s="6" t="n">
        <v>48320</v>
      </c>
      <c r="F5" s="6" t="n">
        <v>42846</v>
      </c>
      <c r="G5" s="6" t="n">
        <v>40095</v>
      </c>
      <c r="H5" s="6" t="n">
        <v>40653</v>
      </c>
      <c r="I5" s="6" t="n">
        <v>40390</v>
      </c>
      <c r="J5" s="6" t="n">
        <v>37417</v>
      </c>
      <c r="K5" s="6" t="n">
        <v>34479</v>
      </c>
      <c r="L5" s="6" t="n">
        <v>31898</v>
      </c>
      <c r="M5" s="6" t="n">
        <v>29039</v>
      </c>
    </row>
    <row r="6">
      <c r="A6" s="6" t="inlineStr">
        <is>
          <t>Personal mortgages</t>
        </is>
      </c>
      <c r="B6" s="6" t="n">
        <v>19897</v>
      </c>
      <c r="C6" s="6" t="n">
        <v>18049</v>
      </c>
      <c r="D6" s="6" t="n">
        <v>17017</v>
      </c>
      <c r="E6" s="6" t="n">
        <v>15086</v>
      </c>
      <c r="F6" s="6" t="n">
        <v>11063</v>
      </c>
      <c r="G6" s="6" t="n">
        <v>7074</v>
      </c>
      <c r="H6" s="6" t="n">
        <v>4659</v>
      </c>
      <c r="I6" s="6" t="n">
        <v>1008</v>
      </c>
      <c r="J6" s="6" t="n">
        <v>1027</v>
      </c>
      <c r="K6" s="6" t="n">
        <v>764</v>
      </c>
      <c r="L6" s="6" t="n">
        <v>993</v>
      </c>
      <c r="M6" s="6" t="n">
        <v>538</v>
      </c>
    </row>
    <row r="7">
      <c r="A7" s="6" t="inlineStr">
        <is>
          <t>Charity loans, unsecured (FY2014-FY2018 only - discontinued as a separate category from FY2019)</t>
        </is>
      </c>
      <c r="B7" s="6" t="n"/>
      <c r="C7" s="6" t="n"/>
      <c r="D7" s="6" t="n"/>
      <c r="E7" s="6" t="n"/>
      <c r="F7" s="6" t="n"/>
      <c r="G7" s="6" t="n"/>
      <c r="H7" s="6" t="n"/>
      <c r="I7" s="6" t="n">
        <v>6</v>
      </c>
      <c r="J7" s="6" t="n">
        <v>20</v>
      </c>
      <c r="K7" s="6" t="n">
        <v>34</v>
      </c>
      <c r="L7" s="6" t="n">
        <v>46</v>
      </c>
      <c r="M7" s="6" t="n">
        <v>56</v>
      </c>
    </row>
    <row r="8">
      <c r="A8" s="6" t="inlineStr">
        <is>
          <t>Personal loans, unsecured (FY2014-FY2018 only - discontinued as a separate category from FY2019)</t>
        </is>
      </c>
      <c r="B8" s="6" t="n"/>
      <c r="C8" s="6" t="n"/>
      <c r="D8" s="6" t="n"/>
      <c r="E8" s="6" t="n"/>
      <c r="F8" s="6" t="n"/>
      <c r="G8" s="6" t="n"/>
      <c r="H8" s="6" t="n"/>
      <c r="I8" s="6" t="n">
        <v>4</v>
      </c>
      <c r="J8" s="6" t="n">
        <v>9</v>
      </c>
      <c r="K8" s="6" t="n">
        <v>4</v>
      </c>
      <c r="L8" s="6" t="n">
        <v>18</v>
      </c>
      <c r="M8" s="6" t="n">
        <v>10</v>
      </c>
    </row>
    <row r="9">
      <c r="A9" s="6" t="inlineStr">
        <is>
          <t>Fully secured lending to other group companies (FY2014-FY2021 only)</t>
        </is>
      </c>
      <c r="B9" s="6" t="n"/>
      <c r="C9" s="6" t="n"/>
      <c r="D9" s="6" t="n"/>
      <c r="E9" s="6" t="n"/>
      <c r="F9" s="6" t="n">
        <v>0</v>
      </c>
      <c r="G9" s="6" t="n">
        <v>269</v>
      </c>
      <c r="H9" s="6" t="n">
        <v>274</v>
      </c>
      <c r="I9" s="6" t="n">
        <v>279</v>
      </c>
      <c r="J9" s="6" t="n">
        <v>282</v>
      </c>
      <c r="K9" s="6" t="n">
        <v>284</v>
      </c>
      <c r="L9" s="6" t="n">
        <v>286</v>
      </c>
      <c r="M9" s="6" t="n">
        <v>289</v>
      </c>
    </row>
    <row r="10">
      <c r="A10" s="6" t="inlineStr">
        <is>
          <t>Unsecured lending to other group companies (FY2014 only - nil that year)</t>
        </is>
      </c>
      <c r="B10" s="6" t="n"/>
      <c r="C10" s="6" t="n"/>
      <c r="D10" s="6" t="n"/>
      <c r="E10" s="6" t="n"/>
      <c r="F10" s="6" t="n"/>
      <c r="G10" s="6" t="n"/>
      <c r="H10" s="6" t="n"/>
      <c r="I10" s="6" t="n"/>
      <c r="J10" s="6" t="n"/>
      <c r="K10" s="6" t="n"/>
      <c r="L10" s="6" t="n"/>
      <c r="M10" s="6" t="n">
        <v>0</v>
      </c>
    </row>
    <row r="11">
      <c r="A11" s="6" t="inlineStr">
        <is>
          <t>Unsecured personal loans</t>
        </is>
      </c>
      <c r="B11" s="6" t="n">
        <v>89</v>
      </c>
      <c r="C11" s="6" t="n">
        <v>72</v>
      </c>
      <c r="D11" s="6" t="n">
        <v>72</v>
      </c>
      <c r="E11" s="6" t="n">
        <v>58</v>
      </c>
      <c r="F11" s="6" t="n">
        <v>50</v>
      </c>
      <c r="G11" s="6" t="n"/>
      <c r="H11" s="6" t="n"/>
      <c r="I11" s="6" t="n"/>
      <c r="J11" s="6" t="n"/>
      <c r="K11" s="6" t="n"/>
      <c r="L11" s="6" t="n"/>
      <c r="M11" s="6" t="n"/>
    </row>
    <row r="12">
      <c r="A12" s="5" t="inlineStr">
        <is>
          <t>Gross advances to customers</t>
        </is>
      </c>
      <c r="B12" s="5" t="n">
        <v>118441</v>
      </c>
      <c r="C12" s="5" t="n">
        <v>97927</v>
      </c>
      <c r="D12" s="5" t="n">
        <v>77717</v>
      </c>
      <c r="E12" s="5" t="n">
        <v>63464</v>
      </c>
      <c r="F12" s="5" t="n">
        <v>53959</v>
      </c>
      <c r="G12" s="5" t="n">
        <v>47438</v>
      </c>
      <c r="H12" s="5" t="n">
        <v>45586</v>
      </c>
      <c r="I12" s="5" t="n">
        <v>41687</v>
      </c>
      <c r="J12" s="5" t="n">
        <v>38755</v>
      </c>
      <c r="K12" s="5" t="n">
        <v>35565</v>
      </c>
      <c r="L12" s="5" t="n">
        <v>33241</v>
      </c>
      <c r="M12" s="5" t="n">
        <v>29932</v>
      </c>
    </row>
    <row r="13">
      <c r="A13" s="6" t="inlineStr">
        <is>
          <t>Less: loan loss provision</t>
        </is>
      </c>
      <c r="B13" s="6" t="n">
        <v>-199</v>
      </c>
      <c r="C13" s="6" t="n">
        <v>-194</v>
      </c>
      <c r="D13" s="6" t="n">
        <v>-185</v>
      </c>
      <c r="E13" s="6" t="n">
        <v>-173</v>
      </c>
      <c r="F13" s="6" t="n">
        <v>-164</v>
      </c>
      <c r="G13" s="6" t="n">
        <v>-324</v>
      </c>
      <c r="H13" s="6" t="n">
        <v>-247</v>
      </c>
      <c r="I13" s="6" t="n">
        <v>-283</v>
      </c>
      <c r="J13" s="6" t="n">
        <v>-317</v>
      </c>
      <c r="K13" s="6" t="n">
        <v>-229</v>
      </c>
      <c r="L13" s="6" t="n">
        <v>-213</v>
      </c>
      <c r="M13" s="6" t="n">
        <v>-192</v>
      </c>
    </row>
    <row r="14">
      <c r="A14" s="6" t="inlineStr">
        <is>
          <t>Less: provision for suspended interest (FY2014 only - old-GAAP structure, deducted separately from the main loan loss provision)</t>
        </is>
      </c>
      <c r="B14" s="6" t="n"/>
      <c r="C14" s="6" t="n"/>
      <c r="D14" s="6" t="n"/>
      <c r="E14" s="6" t="n"/>
      <c r="F14" s="6" t="n"/>
      <c r="G14" s="6" t="n"/>
      <c r="H14" s="6" t="n"/>
      <c r="I14" s="6" t="n"/>
      <c r="J14" s="6" t="n"/>
      <c r="K14" s="6" t="n"/>
      <c r="L14" s="6" t="n"/>
      <c r="M14" s="6" t="n">
        <v>-16</v>
      </c>
    </row>
    <row r="15">
      <c r="A15" s="5" t="inlineStr">
        <is>
          <t>Net advances to customers</t>
        </is>
      </c>
      <c r="B15" s="5" t="n">
        <v>118242</v>
      </c>
      <c r="C15" s="5" t="n">
        <v>97733</v>
      </c>
      <c r="D15" s="5" t="n">
        <v>77532</v>
      </c>
      <c r="E15" s="5" t="n">
        <v>63291</v>
      </c>
      <c r="F15" s="5" t="n">
        <v>53795</v>
      </c>
      <c r="G15" s="5" t="n">
        <v>47114</v>
      </c>
      <c r="H15" s="5" t="n">
        <v>45339</v>
      </c>
      <c r="I15" s="5" t="n">
        <v>41404</v>
      </c>
      <c r="J15" s="5" t="n">
        <v>38438</v>
      </c>
      <c r="K15" s="5" t="n">
        <v>35336</v>
      </c>
      <c r="L15" s="5" t="n">
        <v>33028</v>
      </c>
      <c r="M15" s="5" t="n">
        <v>29724</v>
      </c>
    </row>
    <row r="16">
      <c r="A16" s="6" t="inlineStr">
        <is>
          <t>Loan loss provision coverage (% of gross advances)</t>
        </is>
      </c>
      <c r="B16" s="6" t="inlineStr">
        <is>
          <t>0.17%</t>
        </is>
      </c>
      <c r="C16" s="6" t="inlineStr">
        <is>
          <t>0.20%</t>
        </is>
      </c>
      <c r="D16" s="6" t="inlineStr">
        <is>
          <t>0.24%</t>
        </is>
      </c>
      <c r="E16" s="6" t="inlineStr">
        <is>
          <t>0.27%</t>
        </is>
      </c>
      <c r="F16" s="6" t="inlineStr">
        <is>
          <t>0.30%</t>
        </is>
      </c>
      <c r="G16" s="6" t="inlineStr">
        <is>
          <t>0.68%</t>
        </is>
      </c>
      <c r="H16" s="6" t="inlineStr">
        <is>
          <t>0.54%</t>
        </is>
      </c>
      <c r="I16" s="6" t="inlineStr">
        <is>
          <t>0.68%</t>
        </is>
      </c>
      <c r="J16" s="6" t="inlineStr">
        <is>
          <t>0.82%</t>
        </is>
      </c>
      <c r="K16" s="6" t="inlineStr">
        <is>
          <t>0.64%</t>
        </is>
      </c>
      <c r="L16" s="6" t="inlineStr">
        <is>
          <t>0.64%</t>
        </is>
      </c>
      <c r="M16" s="6" t="inlineStr">
        <is>
          <t>0.64%</t>
        </is>
      </c>
    </row>
    <row r="17">
      <c r="A17" s="5" t="inlineStr">
        <is>
          <t>Loan loss provision movement (Note 12c/9c)</t>
        </is>
      </c>
      <c r="B17" s="6" t="n"/>
      <c r="C17" s="6" t="n"/>
      <c r="D17" s="6" t="n"/>
      <c r="E17" s="6" t="n"/>
      <c r="F17" s="6" t="n"/>
      <c r="G17" s="6" t="n"/>
      <c r="H17" s="6" t="n"/>
      <c r="I17" s="6" t="n"/>
      <c r="J17" s="6" t="n"/>
      <c r="K17" s="6" t="n"/>
      <c r="L17" s="6" t="n"/>
      <c r="M17" s="6" t="n"/>
    </row>
    <row r="18">
      <c r="A18" s="6" t="inlineStr">
        <is>
          <t>Balance at 1 January</t>
        </is>
      </c>
      <c r="B18" s="6" t="n">
        <v>194</v>
      </c>
      <c r="C18" s="6" t="n">
        <v>185</v>
      </c>
      <c r="D18" s="6" t="n">
        <v>173</v>
      </c>
      <c r="E18" s="6" t="n">
        <v>164</v>
      </c>
      <c r="F18" s="6" t="n">
        <v>324</v>
      </c>
      <c r="G18" s="6" t="n">
        <v>247</v>
      </c>
      <c r="H18" s="6" t="n">
        <v>283</v>
      </c>
      <c r="I18" s="6" t="n">
        <v>317</v>
      </c>
      <c r="J18" s="6" t="n">
        <v>229</v>
      </c>
      <c r="K18" s="6" t="n">
        <v>213</v>
      </c>
      <c r="L18" s="6" t="n">
        <v>192</v>
      </c>
      <c r="M18" s="6" t="n"/>
    </row>
    <row r="19">
      <c r="A19" s="6" t="inlineStr">
        <is>
          <t>Charge for the year</t>
        </is>
      </c>
      <c r="B19" s="6" t="n">
        <v>160</v>
      </c>
      <c r="C19" s="6" t="n">
        <v>11</v>
      </c>
      <c r="D19" s="6" t="n">
        <v>13</v>
      </c>
      <c r="E19" s="6" t="n">
        <v>10</v>
      </c>
      <c r="F19" s="6" t="n">
        <v>26</v>
      </c>
      <c r="G19" s="6" t="n">
        <v>89</v>
      </c>
      <c r="H19" s="6" t="n">
        <v>44</v>
      </c>
      <c r="I19" s="6" t="n">
        <v>60</v>
      </c>
      <c r="J19" s="6" t="n">
        <v>113</v>
      </c>
      <c r="K19" s="6" t="n">
        <v>34</v>
      </c>
      <c r="L19" s="6" t="n">
        <v>46</v>
      </c>
      <c r="M19" s="6" t="n"/>
    </row>
    <row r="20">
      <c r="A20" s="6" t="inlineStr">
        <is>
          <t>Utilised during the year</t>
        </is>
      </c>
      <c r="B20" s="6" t="n">
        <v>-153</v>
      </c>
      <c r="C20" s="6" t="n">
        <v>0</v>
      </c>
      <c r="D20" s="6" t="n">
        <v>0</v>
      </c>
      <c r="E20" s="6" t="n">
        <v>0</v>
      </c>
      <c r="F20" s="6" t="n">
        <v>-184</v>
      </c>
      <c r="G20" s="6" t="n">
        <v>0</v>
      </c>
      <c r="H20" s="6" t="n">
        <v>-79</v>
      </c>
      <c r="I20" s="6" t="n">
        <v>-77</v>
      </c>
      <c r="J20" s="6" t="n"/>
      <c r="K20" s="6" t="n"/>
      <c r="L20" s="6" t="n"/>
      <c r="M20" s="6" t="n"/>
    </row>
    <row r="21">
      <c r="A21" s="6" t="inlineStr">
        <is>
          <t>Released during the year</t>
        </is>
      </c>
      <c r="B21" s="6" t="n">
        <v>-2</v>
      </c>
      <c r="C21" s="6" t="n">
        <v>-2</v>
      </c>
      <c r="D21" s="6" t="n">
        <v>-1</v>
      </c>
      <c r="E21" s="6" t="n">
        <v>-1</v>
      </c>
      <c r="F21" s="6" t="n">
        <v>-2</v>
      </c>
      <c r="G21" s="6" t="n">
        <v>-12</v>
      </c>
      <c r="H21" s="6" t="n">
        <v>-1</v>
      </c>
      <c r="I21" s="6" t="n">
        <v>-17</v>
      </c>
      <c r="J21" s="6" t="n">
        <v>-25</v>
      </c>
      <c r="K21" s="6" t="n">
        <v>-18</v>
      </c>
      <c r="L21" s="6" t="n">
        <v>-25</v>
      </c>
      <c r="M21" s="6" t="n"/>
    </row>
    <row r="22">
      <c r="A22" s="5" t="inlineStr">
        <is>
          <t>Balance at 31 December</t>
        </is>
      </c>
      <c r="B22" s="5" t="n">
        <v>199</v>
      </c>
      <c r="C22" s="5" t="n">
        <v>194</v>
      </c>
      <c r="D22" s="5" t="n">
        <v>185</v>
      </c>
      <c r="E22" s="5" t="n">
        <v>173</v>
      </c>
      <c r="F22" s="5" t="n">
        <v>164</v>
      </c>
      <c r="G22" s="5" t="n">
        <v>324</v>
      </c>
      <c r="H22" s="5" t="n">
        <v>247</v>
      </c>
      <c r="I22" s="5" t="n">
        <v>283</v>
      </c>
      <c r="J22" s="5" t="n">
        <v>317</v>
      </c>
      <c r="K22" s="5" t="n">
        <v>229</v>
      </c>
      <c r="L22" s="5" t="n">
        <v>213</v>
      </c>
      <c r="M22" s="5" t="n">
        <v>192</v>
      </c>
    </row>
    <row r="23">
      <c r="A23" s="6" t="inlineStr">
        <is>
          <t>Of which: collective/IBNR provision (not disclosed for FY2014-FY2021 - sub-split introduced FY2022 onward)</t>
        </is>
      </c>
      <c r="B23" s="6" t="n">
        <v>156</v>
      </c>
      <c r="C23" s="6" t="n">
        <v>148</v>
      </c>
      <c r="D23" s="6" t="n">
        <v>137</v>
      </c>
      <c r="E23" s="6" t="n">
        <v>124</v>
      </c>
      <c r="F23" s="6" t="n"/>
      <c r="G23" s="6" t="n"/>
      <c r="H23" s="6" t="n"/>
      <c r="I23" s="6" t="n"/>
      <c r="J23" s="6" t="n"/>
      <c r="K23" s="6" t="n"/>
      <c r="L23" s="6" t="n"/>
      <c r="M23" s="6" t="n"/>
    </row>
    <row r="24">
      <c r="A24" s="5" t="inlineStr">
        <is>
          <t>FY2014-only provision structure (old UK GAAP/BBA SORP - see source note)</t>
        </is>
      </c>
      <c r="B24" s="6" t="n"/>
      <c r="C24" s="6" t="n"/>
      <c r="D24" s="6" t="n"/>
      <c r="E24" s="6" t="n"/>
      <c r="F24" s="6" t="n"/>
      <c r="G24" s="6" t="n"/>
      <c r="H24" s="6" t="n"/>
      <c r="I24" s="6" t="n"/>
      <c r="J24" s="6" t="n"/>
      <c r="K24" s="6" t="n"/>
      <c r="L24" s="6" t="n"/>
      <c r="M24" s="6" t="n"/>
    </row>
    <row r="25">
      <c r="A25" s="6" t="inlineStr">
        <is>
          <t>General provision (IBNR-based): balance at 1 January</t>
        </is>
      </c>
      <c r="B25" s="6" t="n"/>
      <c r="C25" s="6" t="n"/>
      <c r="D25" s="6" t="n"/>
      <c r="E25" s="6" t="n"/>
      <c r="F25" s="6" t="n"/>
      <c r="G25" s="6" t="n"/>
      <c r="H25" s="6" t="n"/>
      <c r="I25" s="6" t="n"/>
      <c r="J25" s="6" t="n"/>
      <c r="K25" s="6" t="n"/>
      <c r="L25" s="6" t="n"/>
      <c r="M25" s="6" t="n">
        <v>163</v>
      </c>
    </row>
    <row r="26">
      <c r="A26" s="6" t="inlineStr">
        <is>
          <t>General provision (IBNR-based): released during the year</t>
        </is>
      </c>
      <c r="B26" s="6" t="n"/>
      <c r="C26" s="6" t="n"/>
      <c r="D26" s="6" t="n"/>
      <c r="E26" s="6" t="n"/>
      <c r="F26" s="6" t="n"/>
      <c r="G26" s="6" t="n"/>
      <c r="H26" s="6" t="n"/>
      <c r="I26" s="6" t="n"/>
      <c r="J26" s="6" t="n"/>
      <c r="K26" s="6" t="n"/>
      <c r="L26" s="6" t="n"/>
      <c r="M26" s="6" t="n">
        <v>-30</v>
      </c>
    </row>
    <row r="27">
      <c r="A27" s="6" t="inlineStr">
        <is>
          <t>General provision (IBNR-based): balance at 31 December</t>
        </is>
      </c>
      <c r="B27" s="6" t="n"/>
      <c r="C27" s="6" t="n"/>
      <c r="D27" s="6" t="n"/>
      <c r="E27" s="6" t="n"/>
      <c r="F27" s="6" t="n"/>
      <c r="G27" s="6" t="n"/>
      <c r="H27" s="6" t="n"/>
      <c r="I27" s="6" t="n"/>
      <c r="J27" s="6" t="n"/>
      <c r="K27" s="6" t="n"/>
      <c r="L27" s="6" t="n"/>
      <c r="M27" s="6" t="n">
        <v>133</v>
      </c>
    </row>
    <row r="28">
      <c r="A28" s="6" t="inlineStr">
        <is>
          <t>Specific provision: balance at 1 January</t>
        </is>
      </c>
      <c r="B28" s="6" t="n"/>
      <c r="C28" s="6" t="n"/>
      <c r="D28" s="6" t="n"/>
      <c r="E28" s="6" t="n"/>
      <c r="F28" s="6" t="n"/>
      <c r="G28" s="6" t="n"/>
      <c r="H28" s="6" t="n"/>
      <c r="I28" s="6" t="n"/>
      <c r="J28" s="6" t="n"/>
      <c r="K28" s="6" t="n"/>
      <c r="L28" s="6" t="n"/>
      <c r="M28" s="6" t="n">
        <v>99</v>
      </c>
    </row>
    <row r="29">
      <c r="A29" s="6" t="inlineStr">
        <is>
          <t>Specific provision: charge for the year</t>
        </is>
      </c>
      <c r="B29" s="6" t="n"/>
      <c r="C29" s="6" t="n"/>
      <c r="D29" s="6" t="n"/>
      <c r="E29" s="6" t="n"/>
      <c r="F29" s="6" t="n"/>
      <c r="G29" s="6" t="n"/>
      <c r="H29" s="6" t="n"/>
      <c r="I29" s="6" t="n"/>
      <c r="J29" s="6" t="n"/>
      <c r="K29" s="6" t="n"/>
      <c r="L29" s="6" t="n"/>
      <c r="M29" s="6" t="n">
        <v>22</v>
      </c>
    </row>
    <row r="30">
      <c r="A30" s="6" t="inlineStr">
        <is>
          <t>Specific provision: released during the year</t>
        </is>
      </c>
      <c r="B30" s="6" t="n"/>
      <c r="C30" s="6" t="n"/>
      <c r="D30" s="6" t="n"/>
      <c r="E30" s="6" t="n"/>
      <c r="F30" s="6" t="n"/>
      <c r="G30" s="6" t="n"/>
      <c r="H30" s="6" t="n"/>
      <c r="I30" s="6" t="n"/>
      <c r="J30" s="6" t="n"/>
      <c r="K30" s="6" t="n"/>
      <c r="L30" s="6" t="n"/>
      <c r="M30" s="6" t="n">
        <v>-62</v>
      </c>
    </row>
    <row r="31">
      <c r="A31" s="6" t="inlineStr">
        <is>
          <t>Specific provision: balance at 31 December</t>
        </is>
      </c>
      <c r="B31" s="6" t="n"/>
      <c r="C31" s="6" t="n"/>
      <c r="D31" s="6" t="n"/>
      <c r="E31" s="6" t="n"/>
      <c r="F31" s="6" t="n"/>
      <c r="G31" s="6" t="n"/>
      <c r="H31" s="6" t="n"/>
      <c r="I31" s="6" t="n"/>
      <c r="J31" s="6" t="n"/>
      <c r="K31" s="6" t="n"/>
      <c r="L31" s="6" t="n"/>
      <c r="M31" s="6" t="n">
        <v>59</v>
      </c>
    </row>
    <row r="32">
      <c r="A32" s="6" t="inlineStr">
        <is>
          <t>Provision for suspended interest: balance at 1 January</t>
        </is>
      </c>
      <c r="B32" s="6" t="n"/>
      <c r="C32" s="6" t="n"/>
      <c r="D32" s="6" t="n"/>
      <c r="E32" s="6" t="n"/>
      <c r="F32" s="6" t="n"/>
      <c r="G32" s="6" t="n"/>
      <c r="H32" s="6" t="n"/>
      <c r="I32" s="6" t="n"/>
      <c r="J32" s="6" t="n"/>
      <c r="K32" s="6" t="n"/>
      <c r="L32" s="6" t="n"/>
      <c r="M32" s="6" t="n">
        <v>25</v>
      </c>
    </row>
    <row r="33">
      <c r="A33" s="6" t="inlineStr">
        <is>
          <t>Provision for suspended interest: decrease during the year</t>
        </is>
      </c>
      <c r="B33" s="6" t="n"/>
      <c r="C33" s="6" t="n"/>
      <c r="D33" s="6" t="n"/>
      <c r="E33" s="6" t="n"/>
      <c r="F33" s="6" t="n"/>
      <c r="G33" s="6" t="n"/>
      <c r="H33" s="6" t="n"/>
      <c r="I33" s="6" t="n"/>
      <c r="J33" s="6" t="n"/>
      <c r="K33" s="6" t="n"/>
      <c r="L33" s="6" t="n"/>
      <c r="M33" s="6" t="n">
        <v>-9</v>
      </c>
    </row>
    <row r="34">
      <c r="A34" s="6" t="inlineStr">
        <is>
          <t>Provision for suspended interest: balance at 31 December</t>
        </is>
      </c>
      <c r="B34" s="6" t="n"/>
      <c r="C34" s="6" t="n"/>
      <c r="D34" s="6" t="n"/>
      <c r="E34" s="6" t="n"/>
      <c r="F34" s="6" t="n"/>
      <c r="G34" s="6" t="n"/>
      <c r="H34" s="6" t="n"/>
      <c r="I34" s="6" t="n"/>
      <c r="J34" s="6" t="n"/>
      <c r="K34" s="6" t="n"/>
      <c r="L34" s="6" t="n"/>
      <c r="M34" s="6" t="n">
        <v>16</v>
      </c>
    </row>
    <row r="36" ht="340" customHeight="1">
      <c r="A36" s="8" t="inlineStr">
        <is>
          <t>Sources - Kingdom Bank Limited's own Note 12/9 'Loans and advances to customers' (Advances to customers by product, part a; Loan loss provision movement, part c), £'000, Bank/solo basis (Companies House filings, all fully scanned/image-only):
FY2025 &amp; FY2024: Annual Report &amp; Accounts 2025, p.51-52 - https://find-and-update.company-information.service.gov.uk/company/04346834/filing-history/MzUzMjA2MDkzOWFkaXF6a2N4/document?format=pdf&amp;download=0
FY2024 (own): Annual Report &amp; Accounts 2024 - https://find-and-update.company-information.service.gov.uk/company/04346834/filing-history/MzQ3Mjc3MDk4N2FkaXF6a2N4/document?format=pdf&amp;download=0
FY2023 &amp; FY2022: Annual Report &amp; Accounts 2023, p.53-54 - https://find-and-update.company-information.service.gov.uk/company/04346834/filing-history/MzQyNzk5NjY3OGFkaXF6a2N4/document?format=pdf&amp;download=0
FY2022 (own): Annual Report &amp; Accounts 2022 - https://find-and-update.company-information.service.gov.uk/company/04346834/filing-history/MzM3Nzc1Mzk0NWFkaXF6a2N4/document?format=pdf&amp;download=0
FY2021 &amp; FY2020: Annual Report &amp; Accounts 2021, p.45-46 (Note 12) - https://find-and-update.company-information.service.gov.uk/company/04346834/filing-history/MzM0MzYxNTEyM2FkaXF6a2N4/document?format=pdf&amp;download=0
FY2020 &amp; FY2019: Annual Report &amp; Accounts 2020, p.45-46 (Note 12) - https://find-and-update.company-information.service.gov.uk/company/04346834/filing-history/MzMwMDE2MzUyN2FkaXF6a2N4/document?format=pdf&amp;download=0
FY2019 (own): Annual Report &amp; Accounts 2019, p.36-37 (Note 12) - https://find-and-update.company-information.service.gov.uk/company/04346834/filing-history/MzI2Mzg1MTA4OWFkaXF6a2N4/document?format=pdf&amp;download=0
FY2018 &amp; FY2017: Annual Report &amp; Accounts 2018, p.37-38 (Note 12) - https://find-and-update.company-information.service.gov.uk/company/04346834/filing-history/MzI0NDM5NDgzMGFkaXF6a2N4/document?format=pdf&amp;download=0
FY2017 (own): Annual Report &amp; Accounts 2017 - https://find-and-update.company-information.service.gov.uk/company/04346834/filing-history/MzIwMTY1OTMwOWFkaXF6a2N4/document?format=pdf&amp;download=0
FY2016 &amp; FY2015: Annual Report &amp; Accounts 2016, p.29-31 (Note 12) - https://find-and-update.company-information.service.gov.uk/company/04346834/filing-history/MzE3Mjc3MDQyOGFkaXF6a2N4/document?format=pdf&amp;download=0
FY2015 (own): Annual Report &amp; Accounts 2015 - https://find-and-update.company-information.service.gov.uk/company/04346834/filing-history/MzE1NzU2NjI4N2FkaXF6a2N4/document?format=pdf&amp;download=0
FY2014 (own, Note 9 'Loans and advances to customers', old UK GAAP/BBA SORP): Annual Report &amp; Accounts 2014, p.20-21 - https://find-and-update.company-information.service.gov.uk/company/04346834/filing-history/MzEyMTIyNDc5OGFkaXF6a2N4/document?format=pdf&amp;download=0
Entity: Kingdom Bank Limited, company 04346834 (formerly Kingdom Banking Limited), FRN 400972 - confirmed via Banks List 2608.xlsx and Companies House, no identity ambiguity. A small specialist bank providing mortgages, savings and insurance broking to UK churches, Christian charities and individuals in Christian ministry; parent/ultimate controlling party is Lamb's Passage Holding Limited (LPHL) from 31 March 2020 onward (whose investor group includes Stewardship Services (UKET) Limited); for FY2014-FY2019 the ultimate parent was instead Assemblies of God Property Trust. Solo/Bank basis throughout - no group consolidation applies. All 12 years' filings on Companies House are fully scanned/image-only (0 extractable text on every page); the bank's registered-looking domain www.kingdombank.co.uk is an unrelated expired/parked domain (a GoDaddy-style parking page) - its real site is www.kingdom.bank. FY2014 was prepared under old UK GAAP/the BBA SORP (pre FRS 102) and, as a wholly-owned subsidiary whose parent's consolidated accounts are publicly available, took the FRS 1 (revised 1996) exemption from preparing a cash flow statement - FY2014 genuinely has no cash flow statement, not a sourcing gap (see Note 1(b) of the FY2014 Annual Report). FRS 102 was first adopted for FY2015, with a restated opening balance sheet at the 1 January 2014 transition date; the FY2014 figures used on every sheet here are as originally filed (old GAAP), not the FRS 102-restated comparatives shown in the FY2015 Annual Report's Statement of changes in equity (see the Statement of Changes in Equity sheet's source note for the one reconciling break this creates).
No IFRS 9 stage (1/2/3) split is disclosed in any year - this entity applies FRS 102 (FRS 102/old UK GAAP for FY2014), not IFRS 9, and reports a single collective/IBNR loan loss provision instead; the 'Of which collective/IBNR provision' split shown here (where disclosed) is the closest equivalent breakdown and is only disclosed from FY2022 onward - left blank for FY2014-FY2021, not assumed zero. FY2014's own Note 9 used a materially different, more granular structure than every later year: its loan loss provision was split into a 'General provision' (IBNR-based, split further between incorporated and unincorporated borrowers) and a 'Specific provision', plus a wholly separate 'Provision for suspended interest' deducted from gross advances alongside the main provision - see the dedicated FY2014 rows below for this one-off structure, which is not comparable line-for-line with FY2015 onward's single combined provision.</t>
        </is>
      </c>
    </row>
  </sheetData>
  <mergeCells count="1">
    <mergeCell ref="A36:M3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CET1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t>
        </is>
      </c>
      <c r="B4" s="6" t="n">
        <v>15808</v>
      </c>
      <c r="C4" s="6" t="n">
        <v>15512</v>
      </c>
      <c r="D4" s="6" t="n">
        <v>9876</v>
      </c>
      <c r="E4" s="6" t="n">
        <v>9353</v>
      </c>
      <c r="F4" s="6" t="n">
        <v>7451</v>
      </c>
      <c r="G4" s="6" t="n">
        <v>6771</v>
      </c>
      <c r="H4" s="6" t="n">
        <v>6145</v>
      </c>
      <c r="I4" s="6" t="n">
        <v>5908</v>
      </c>
      <c r="J4" s="6" t="n">
        <v>5778</v>
      </c>
      <c r="K4" s="6" t="n">
        <v>5667</v>
      </c>
      <c r="L4" s="6" t="n">
        <v>5631</v>
      </c>
      <c r="M4" s="6" t="n">
        <v>4960</v>
      </c>
    </row>
    <row r="6" ht="230" customHeight="1">
      <c r="A6"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CET1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18.8%</t>
        </is>
      </c>
      <c r="C4" s="6" t="inlineStr">
        <is>
          <t>22.2%</t>
        </is>
      </c>
      <c r="D4" s="6" t="inlineStr">
        <is>
          <t>17.37%</t>
        </is>
      </c>
      <c r="E4" s="6" t="inlineStr">
        <is>
          <t>20.84%</t>
        </is>
      </c>
      <c r="F4" s="6" t="inlineStr">
        <is>
          <t>16.97%</t>
        </is>
      </c>
      <c r="G4" s="6" t="inlineStr">
        <is>
          <t>17.13%</t>
        </is>
      </c>
      <c r="H4" s="6" t="inlineStr">
        <is>
          <t>15.27%</t>
        </is>
      </c>
      <c r="I4" s="6" t="inlineStr">
        <is>
          <t>14.57%</t>
        </is>
      </c>
      <c r="J4" s="6" t="inlineStr">
        <is>
          <t>14.41%</t>
        </is>
      </c>
      <c r="K4" s="6" t="inlineStr">
        <is>
          <t>16.25%</t>
        </is>
      </c>
      <c r="L4" s="6" t="inlineStr">
        <is>
          <t>14.45%</t>
        </is>
      </c>
      <c r="M4" s="6" t="n"/>
    </row>
    <row r="5" ht="60" customHeight="1">
      <c r="A5" s="7" t="inlineStr">
        <is>
          <t>Note: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7" ht="23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Tier 1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t>
        </is>
      </c>
      <c r="B4" s="6" t="n">
        <v>15808</v>
      </c>
      <c r="C4" s="6" t="n">
        <v>15512</v>
      </c>
      <c r="D4" s="6" t="n">
        <v>9876</v>
      </c>
      <c r="E4" s="6" t="n">
        <v>9353</v>
      </c>
      <c r="F4" s="6" t="n">
        <v>7451</v>
      </c>
      <c r="G4" s="6" t="n">
        <v>6771</v>
      </c>
      <c r="H4" s="6" t="n">
        <v>6145</v>
      </c>
      <c r="I4" s="6" t="n">
        <v>5908</v>
      </c>
      <c r="J4" s="6" t="n">
        <v>5778</v>
      </c>
      <c r="K4" s="6" t="n">
        <v>5667</v>
      </c>
      <c r="L4" s="6" t="n">
        <v>5631</v>
      </c>
      <c r="M4" s="6" t="n">
        <v>4960</v>
      </c>
    </row>
    <row r="5" ht="60" customHeight="1">
      <c r="A5" s="7" t="inlineStr">
        <is>
          <t>Note: Kingdom Bank's own Annual Reports state regulatory capital consists only of shareholders' funds ("Core Equity Tier 1") and subordinated liabilities ("Tier 2") - no Additional Tier 1 instruments are in issue in any year reviewed, so Tier 1 Capital equals CET1 Capital exactly. See the CET1 Capital sheet for the same figures and source.</t>
        </is>
      </c>
    </row>
    <row r="7" ht="23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Tier 1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 (= CET1 ratio - see note)</t>
        </is>
      </c>
      <c r="B4" s="6" t="inlineStr">
        <is>
          <t>18.8%</t>
        </is>
      </c>
      <c r="C4" s="6" t="inlineStr">
        <is>
          <t>22.2%</t>
        </is>
      </c>
      <c r="D4" s="6" t="inlineStr">
        <is>
          <t>17.37%</t>
        </is>
      </c>
      <c r="E4" s="6" t="inlineStr">
        <is>
          <t>20.84%</t>
        </is>
      </c>
      <c r="F4" s="6" t="inlineStr">
        <is>
          <t>16.97%</t>
        </is>
      </c>
      <c r="G4" s="6" t="inlineStr">
        <is>
          <t>17.13%</t>
        </is>
      </c>
      <c r="H4" s="6" t="inlineStr">
        <is>
          <t>15.27%</t>
        </is>
      </c>
      <c r="I4" s="6" t="inlineStr">
        <is>
          <t>14.57%</t>
        </is>
      </c>
      <c r="J4" s="6" t="inlineStr">
        <is>
          <t>14.41%</t>
        </is>
      </c>
      <c r="K4" s="6" t="inlineStr">
        <is>
          <t>16.25%</t>
        </is>
      </c>
      <c r="L4" s="6" t="inlineStr">
        <is>
          <t>14.45%</t>
        </is>
      </c>
      <c r="M4" s="6" t="n"/>
    </row>
    <row r="5" ht="60" customHeight="1">
      <c r="A5" s="7" t="inlineStr">
        <is>
          <t>Note: Tier 1 Ratio equals the CET1 Ratio exactly in every year - Kingdom Bank has never had any Additional Tier 1 capital in issue (see the Tier 1 Capital sheet), so Tier 1 Capital = CET1 Capital and therefore Tier 1 Capital / RWA = CET1 Capital / RWA. See the CET1 Ratio sheet for the same figures and source.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7" ht="23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Total Capital</t>
        </is>
      </c>
    </row>
    <row r="2">
      <c r="A2" s="2" t="inlineStr">
        <is>
          <t>Bank/solo basis, £'000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Shareholders' funds (Core Equity Tier 1)</t>
        </is>
      </c>
      <c r="B4" s="6" t="n">
        <v>15808</v>
      </c>
      <c r="C4" s="6" t="n">
        <v>15512</v>
      </c>
      <c r="D4" s="6" t="n">
        <v>9876</v>
      </c>
      <c r="E4" s="6" t="n">
        <v>9353</v>
      </c>
      <c r="F4" s="6" t="n">
        <v>7451</v>
      </c>
      <c r="G4" s="6" t="n">
        <v>6771</v>
      </c>
      <c r="H4" s="6" t="n">
        <v>6145</v>
      </c>
      <c r="I4" s="6" t="n">
        <v>5908</v>
      </c>
      <c r="J4" s="6" t="n">
        <v>5778</v>
      </c>
      <c r="K4" s="6" t="n">
        <v>5667</v>
      </c>
      <c r="L4" s="6" t="n">
        <v>5631</v>
      </c>
      <c r="M4" s="6" t="n">
        <v>4960</v>
      </c>
    </row>
    <row r="5">
      <c r="A5" s="6" t="inlineStr">
        <is>
          <t>Subordinated liabilities (Tier 2)</t>
        </is>
      </c>
      <c r="B5" s="6" t="n">
        <v>700</v>
      </c>
      <c r="C5" s="6" t="n">
        <v>700</v>
      </c>
      <c r="D5" s="6" t="n">
        <v>700</v>
      </c>
      <c r="E5" s="6" t="n">
        <v>700</v>
      </c>
      <c r="F5" s="6" t="n">
        <v>761</v>
      </c>
      <c r="G5" s="6" t="n">
        <v>1431</v>
      </c>
      <c r="H5" s="6" t="n">
        <v>1431</v>
      </c>
      <c r="I5" s="6" t="n">
        <v>1431</v>
      </c>
      <c r="J5" s="6" t="n">
        <v>1581</v>
      </c>
      <c r="K5" s="6" t="n">
        <v>1581</v>
      </c>
      <c r="L5" s="6" t="n">
        <v>1681</v>
      </c>
      <c r="M5" s="6" t="n">
        <v>1681</v>
      </c>
    </row>
    <row r="6">
      <c r="A6" s="6" t="inlineStr">
        <is>
          <t>Total regulatory capital (CET1 + Tier 2)</t>
        </is>
      </c>
      <c r="B6" s="6" t="n">
        <v>16508</v>
      </c>
      <c r="C6" s="6" t="n">
        <v>16212</v>
      </c>
      <c r="D6" s="6" t="n">
        <v>10576</v>
      </c>
      <c r="E6" s="6" t="n">
        <v>10053</v>
      </c>
      <c r="F6" s="6" t="n">
        <v>8212</v>
      </c>
      <c r="G6" s="6" t="n">
        <v>8202</v>
      </c>
      <c r="H6" s="6" t="n">
        <v>7576</v>
      </c>
      <c r="I6" s="6" t="n">
        <v>7339</v>
      </c>
      <c r="J6" s="6" t="n">
        <v>7359</v>
      </c>
      <c r="K6" s="6" t="n">
        <v>7248</v>
      </c>
      <c r="L6" s="6" t="n">
        <v>7312</v>
      </c>
      <c r="M6" s="6" t="n">
        <v>6641</v>
      </c>
    </row>
    <row r="8" ht="230" customHeight="1">
      <c r="A8"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1">
    <mergeCell ref="A8:M8"/>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in any of the 12 years reviewed (FY2014-FY2025). Kingdom Bank's Annual Reports disclose a CET1 ratio, Leverage ratio and LCR ratio (see those sheets) via each year's Strategic Report 'Key performance indicators' table (from FY2015 onward), but never a Total Capital ratio, a Total RWAs figure, an NSFR or an MREL ratio in any year, and no standalone Pillar 3 document exists on the bank's own site or via Companies House. See the CET1 Capital/CET1 Ratio sheets' source note for the SDDT-regime context that plausibly explains this.</t>
        </is>
      </c>
    </row>
    <row r="7" ht="15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RWAs</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in any of the 12 years reviewed (FY2014-FY2025). Kingdom Bank's Annual Reports disclose a CET1 ratio, Leverage ratio and LCR ratio (see those sheets) via each year's Strategic Report 'Key performance indicators' table (from FY2015 onward), but never a Total Capital ratio, a Total RWAs figure, an NSFR or an MREL ratio in any year, and no standalone Pillar 3 document exists on the bank's own site or via Companies House. See the CET1 Capital/CET1 Ratio sheets' source note for the SDDT-regime context that plausibly explains this.</t>
        </is>
      </c>
    </row>
    <row r="7" ht="15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RWA Breakdown</t>
        </is>
      </c>
    </row>
    <row r="2">
      <c r="A2" s="2" t="inlineStr">
        <is>
          <t>Bank/solo basis. Not publicly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Not publicly disclosed</t>
        </is>
      </c>
      <c r="B4" s="6" t="n"/>
      <c r="C4" s="6" t="n"/>
      <c r="D4" s="6" t="n"/>
      <c r="E4" s="6" t="n"/>
      <c r="F4" s="6" t="n"/>
      <c r="G4" s="6" t="n"/>
      <c r="H4" s="6" t="n"/>
      <c r="I4" s="6" t="n"/>
      <c r="J4" s="6" t="n"/>
      <c r="K4" s="6" t="n"/>
      <c r="L4" s="6" t="n"/>
      <c r="M4" s="6" t="n"/>
    </row>
    <row r="6" ht="230" customHeight="1">
      <c r="A6"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
Not publicly disclosed. No Total RWAs figure is disclosed by Kingdom Bank in any of the 12 years reviewed (see the Total RWAs sheet's source note), so no RWA-by-risk-category breakdown exists either - no standalone Pillar 3 document was located on the bank's own site or via Companies House.</t>
        </is>
      </c>
    </row>
  </sheetData>
  <mergeCells count="1">
    <mergeCell ref="A6:M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Leverage Ratio</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12.4%</t>
        </is>
      </c>
      <c r="C4" s="6" t="inlineStr">
        <is>
          <t>10.8%</t>
        </is>
      </c>
      <c r="D4" s="6" t="inlineStr">
        <is>
          <t>7.96%</t>
        </is>
      </c>
      <c r="E4" s="6" t="inlineStr">
        <is>
          <t>10.02%</t>
        </is>
      </c>
      <c r="F4" s="6" t="inlineStr">
        <is>
          <t>9.03%</t>
        </is>
      </c>
      <c r="G4" s="6" t="inlineStr">
        <is>
          <t>9.37%</t>
        </is>
      </c>
      <c r="H4" s="6" t="inlineStr">
        <is>
          <t>9.40%</t>
        </is>
      </c>
      <c r="I4" s="6" t="inlineStr">
        <is>
          <t>10.10%</t>
        </is>
      </c>
      <c r="J4" s="6" t="inlineStr">
        <is>
          <t>9.38%</t>
        </is>
      </c>
      <c r="K4" s="6" t="inlineStr">
        <is>
          <t>10.09%</t>
        </is>
      </c>
      <c r="L4" s="6" t="inlineStr">
        <is>
          <t>8.96%</t>
        </is>
      </c>
      <c r="M4" s="6" t="n"/>
    </row>
    <row r="5" ht="60" customHeight="1">
      <c r="A5" s="7" t="inlineStr">
        <is>
          <t>Note: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7" ht="23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LCR</t>
        </is>
      </c>
    </row>
    <row r="2">
      <c r="A2" s="2" t="inlineStr">
        <is>
          <t>Bank/solo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Requirement (LCR) ratio</t>
        </is>
      </c>
      <c r="B4" s="6" t="inlineStr">
        <is>
          <t>332.1%</t>
        </is>
      </c>
      <c r="C4" s="6" t="inlineStr">
        <is>
          <t>429.0%</t>
        </is>
      </c>
      <c r="D4" s="6" t="inlineStr">
        <is>
          <t>766.7%</t>
        </is>
      </c>
      <c r="E4" s="6" t="inlineStr">
        <is>
          <t>681.04%</t>
        </is>
      </c>
      <c r="F4" s="6" t="inlineStr">
        <is>
          <t>1,475.9%</t>
        </is>
      </c>
      <c r="G4" s="6" t="inlineStr">
        <is>
          <t>1,304.6%</t>
        </is>
      </c>
      <c r="H4" s="6" t="inlineStr">
        <is>
          <t>861.0%</t>
        </is>
      </c>
      <c r="I4" s="6" t="inlineStr">
        <is>
          <t>556.3%</t>
        </is>
      </c>
      <c r="J4" s="6" t="inlineStr">
        <is>
          <t>520.3%</t>
        </is>
      </c>
      <c r="K4" s="6" t="inlineStr">
        <is>
          <t>648.1%</t>
        </is>
      </c>
      <c r="L4" s="6" t="inlineStr">
        <is>
          <t>900.9%</t>
        </is>
      </c>
      <c r="M4" s="6" t="n"/>
    </row>
    <row r="5" ht="60" customHeight="1">
      <c r="A5" s="7" t="inlineStr">
        <is>
          <t>Note: FY2014 predates this KPI table: the FY2014 Annual Report's Strategic Report 'Capital' section is narrative-only (£m totals for shareholders' funds and subordinated deposits, no ratio) - the Bank first began disclosing a CET1/Leverage/LCR KPI table from FY2015 onward (see the FY2016 Annual Report, which is this metric's earliest-available source, showing both FY2016 and FY2015). This is a genuine 'not yet introduced' gap, not a sourcing failure.</t>
        </is>
      </c>
    </row>
    <row r="7" ht="23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in any of the 12 years reviewed (FY2014-FY2025). Kingdom Bank's Annual Reports disclose a CET1 ratio, Leverage ratio and LCR ratio (see those sheets) via each year's Strategic Report 'Key performance indicators' table (from FY2015 onward), but never a Total Capital ratio, a Total RWAs figure, an NSFR or an MREL ratio in any year, and no standalone Pillar 3 document exists on the bank's own site or via Companies House. See the CET1 Capital/CET1 Ratio sheets' source note for the SDDT-regime context that plausibly explains this.</t>
        </is>
      </c>
    </row>
    <row r="7" ht="15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Kingdom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Not publicly disclosed in any of the 12 years reviewed (FY2014-FY2025). Kingdom Bank's Annual Reports disclose a CET1 ratio, Leverage ratio and LCR ratio (see those sheets) via each year's Strategic Report 'Key performance indicators' table (from FY2015 onward), but never a Total Capital ratio, a Total RWAs figure, an NSFR or an MREL ratio in any year, and no standalone Pillar 3 document exists on the bank's own site or via Companies House. See the CET1 Capital/CET1 Ratio sheets' source note for the SDDT-regime context that plausibly explains this.</t>
        </is>
      </c>
    </row>
    <row r="7" ht="150" customHeight="1">
      <c r="A7" s="8" t="inlineStr">
        <is>
          <t>Sources - Kingdom Bank Limited, Bank/solo basis, £'000 unless stated as a % (from each year's own audited Statement of financial position and Strategic Report 'Key performance indicators' table):
FY2025 &amp; FY2024: Annual Report &amp; Accounts 2025, p.10 (Capital), p.15 (KPI table), p.36 (Statement of financial position) - https://find-and-update.company-information.service.gov.uk/company/04346834/filing-history/MzUzMjA2MDkzOWFkaXF6a2N4/document?format=pdf&amp;download=0
FY2023 &amp; FY2022: Annual Report &amp; Accounts 2023, p.10 (Capital), p.15 (KPI table), p.37 (Statement of financial position) - https://find-and-update.company-information.service.gov.uk/company/04346834/filing-history/MzQyNzk5NjY3OGFkaXF6a2N4/document?format=pdf&amp;download=0
FY2021 &amp; FY2020: Annual Report &amp; Accounts 2021, p.5 (Capital), p.8 (KPI table), p.31 (Statement of financial position) - https://find-and-update.company-information.service.gov.uk/company/04346834/filing-history/MzM0MzYxNTEyM2FkaXF6a2N4/document?format=pdf&amp;download=0
FY2020 &amp; FY2019: Annual Report &amp; Accounts 2020, p.3 (Capital), p.7 (KPI table) - https://find-and-update.company-information.service.gov.uk/company/04346834/filing-history/MzMwMDE2MzUyN2FkaXF6a2N4/document?format=pdf&amp;download=0
FY2019 (own) &amp; FY2018 (comparative): Annual Report &amp; Accounts 2019, p.3 (Capital), p.6 (KPI table) - https://find-and-update.company-information.service.gov.uk/company/04346834/filing-history/MzI2Mzg1MTA4OWFkaXF6a2N4/document?format=pdf&amp;download=0
FY2018 (own) &amp; FY2017 (comparative): Annual Report &amp; Accounts 2018, p.3-4 (Capital and KPI table) - https://find-and-update.company-information.service.gov.uk/company/04346834/filing-history/MzI0NDM5NDgzMGFkaXF6a2N4/document?format=pdf&amp;download=0
FY2016 (own) &amp; FY2015 (comparative): Annual Report &amp; Accounts 2016, p.3-4 (Capital and KPI table) - https://find-and-update.company-information.service.gov.uk/company/04346834/filing-history/MzE3Mjc3MDQyOGFkaXF6a2N4/document?format=pdf&amp;download=0
FY2014: Annual Report &amp; Accounts 2014, p.2 (Capital, narrative only - no KPI table) - https://find-and-update.company-information.service.gov.uk/company/04346834/filing-history/MzEyMTIyNDc5OGFkaXF6a2N4/document?format=pdf&amp;download=0
No standalone Pillar 3/KM1 disclosure document was found on the bank's own site (www.kingdom.bank) or via Companies House in any year. However, correction to an earlier assumption in this workbook: each Annual Report from FY2015 onward DOES disclose a Core Equity Tier 1 ('CET1') ratio, a Leverage ratio and a Liquidity Coverage Requirement ('LCR') ratio as three of several 'Key performance indicators' in the Strategic Report (a KPI table, not a Pillar 3/KM1 document) - re-verified directly against seven of this bank's own primary-source PDFs during HD-045 (2026-09-05), which also confirmed the KPI table did not yet exist in FY2014 (narrative-only Capital paragraph that year, consistent with the pre-KPI-table pattern). No year, including FY2014, discloses a Total Capital ratio, Total RWAs figure, NSFR or MREL ratio in any form - see those sheets' own notes. This is otherwise consistent with the PRA's Small Domestic Deposit Taker (SDDT) thin-disclosure pattern already seen at Cynergy Bank Plc/DF Capital Bank Limited in this project.</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2026-09-06T20:47:58Z</dcterms:created>
  <dcterms:modified xmlns:dcterms="http://purl.org/dc/terms/" xmlns:xsi="http://www.w3.org/2001/XMLSchema-instance" xsi:type="dcterms:W3CDTF">2026-09-06T20:47:58Z</dcterms:modified>
</cp:coreProperties>
</file>