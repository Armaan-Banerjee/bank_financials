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'Overview'!$AZ$12:$BT$12</f>
            </numRef>
          </cat>
          <val>
            <numRef>
              <f>'Overview'!$AZ$13:$BT$13</f>
            </numRef>
          </val>
        </ser>
        <ser>
          <idx val="1"/>
          <order val="1"/>
          <tx>
            <strRef>
              <f>'Overview'!AY14</f>
            </strRef>
          </tx>
          <spPr>
            <a:ln xmlns:a="http://schemas.openxmlformats.org/drawingml/2006/main">
              <a:prstDash val="solid"/>
            </a:ln>
          </spPr>
          <cat>
            <numRef>
              <f>'Overview'!$AZ$12:$BT$12</f>
            </numRef>
          </cat>
          <val>
            <numRef>
              <f>'Overview'!$AZ$14:$BT$14</f>
            </numRef>
          </val>
        </ser>
        <ser>
          <idx val="2"/>
          <order val="2"/>
          <tx>
            <strRef>
              <f>'Overview'!AY15</f>
            </strRef>
          </tx>
          <spPr>
            <a:ln xmlns:a="http://schemas.openxmlformats.org/drawingml/2006/main">
              <a:prstDash val="solid"/>
            </a:ln>
          </spPr>
          <cat>
            <numRef>
              <f>'Overview'!$AZ$12:$BT$12</f>
            </numRef>
          </cat>
          <val>
            <numRef>
              <f>'Overview'!$AZ$15:$BT$15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'Overview'!BW19</f>
            </strRef>
          </tx>
          <spPr>
            <a:ln xmlns:a="http://schemas.openxmlformats.org/drawingml/2006/main">
              <a:prstDash val="solid"/>
            </a:ln>
          </spPr>
          <cat>
            <numRef>
              <f>'Overview'!$BX$18:$CI$18</f>
            </numRef>
          </cat>
          <val>
            <numRef>
              <f>'Overview'!$BX$19:$CI$19</f>
            </numRef>
          </val>
        </ser>
        <ser>
          <idx val="1"/>
          <order val="1"/>
          <tx>
            <strRef>
              <f>'Overview'!BW20</f>
            </strRef>
          </tx>
          <spPr>
            <a:ln xmlns:a="http://schemas.openxmlformats.org/drawingml/2006/main">
              <a:prstDash val="solid"/>
            </a:ln>
          </spPr>
          <cat>
            <numRef>
              <f>'Overview'!$BX$18:$CI$18</f>
            </numRef>
          </cat>
          <val>
            <numRef>
              <f>'Overview'!$BX$20:$CI$20</f>
            </numRef>
          </val>
        </ser>
        <ser>
          <idx val="2"/>
          <order val="2"/>
          <tx>
            <strRef>
              <f>'Overview'!BW21</f>
            </strRef>
          </tx>
          <spPr>
            <a:ln xmlns:a="http://schemas.openxmlformats.org/drawingml/2006/main">
              <a:prstDash val="solid"/>
            </a:ln>
          </spPr>
          <cat>
            <numRef>
              <f>'Overview'!$BX$18:$CI$18</f>
            </numRef>
          </cat>
          <val>
            <numRef>
              <f>'Overview'!$BX$21:$CI$21</f>
            </numRef>
          </val>
        </ser>
        <ser>
          <idx val="3"/>
          <order val="3"/>
          <tx>
            <strRef>
              <f>'Overview'!BW22</f>
            </strRef>
          </tx>
          <spPr>
            <a:ln xmlns:a="http://schemas.openxmlformats.org/drawingml/2006/main">
              <a:prstDash val="solid"/>
            </a:ln>
          </spPr>
          <cat>
            <numRef>
              <f>'Overview'!$BX$18:$CI$18</f>
            </numRef>
          </cat>
          <val>
            <numRef>
              <f>'Overview'!$BX$22:$CI$22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'Overview'!CL26</f>
            </strRef>
          </tx>
          <spPr>
            <a:ln xmlns:a="http://schemas.openxmlformats.org/drawingml/2006/main">
              <a:prstDash val="solid"/>
            </a:ln>
          </spPr>
          <cat>
            <numRef>
              <f>'Overview'!$CM$25:$CW$25</f>
            </numRef>
          </cat>
          <val>
            <numRef>
              <f>'Overview'!$CM$26:$CW$26</f>
            </numRef>
          </val>
        </ser>
        <ser>
          <idx val="1"/>
          <order val="1"/>
          <tx>
            <strRef>
              <f>'Overview'!CL27</f>
            </strRef>
          </tx>
          <spPr>
            <a:ln xmlns:a="http://schemas.openxmlformats.org/drawingml/2006/main">
              <a:prstDash val="solid"/>
            </a:ln>
          </spPr>
          <cat>
            <numRef>
              <f>'Overview'!$CM$25:$CW$25</f>
            </numRef>
          </cat>
          <val>
            <numRef>
              <f>'Overview'!$CM$27:$CW$27</f>
            </numRef>
          </val>
        </ser>
        <ser>
          <idx val="2"/>
          <order val="2"/>
          <tx>
            <strRef>
              <f>'Overview'!CL28</f>
            </strRef>
          </tx>
          <spPr>
            <a:ln xmlns:a="http://schemas.openxmlformats.org/drawingml/2006/main">
              <a:prstDash val="solid"/>
            </a:ln>
          </spPr>
          <cat>
            <numRef>
              <f>'Overview'!$CM$25:$CW$25</f>
            </numRef>
          </cat>
          <val>
            <numRef>
              <f>'Overview'!$CM$28:$CW$28</f>
            </numRef>
          </val>
        </ser>
        <ser>
          <idx val="3"/>
          <order val="3"/>
          <tx>
            <strRef>
              <f>'Overview'!CL29</f>
            </strRef>
          </tx>
          <spPr>
            <a:ln xmlns:a="http://schemas.openxmlformats.org/drawingml/2006/main">
              <a:prstDash val="solid"/>
            </a:ln>
          </spPr>
          <cat>
            <numRef>
              <f>'Overview'!$CM$25:$CW$25</f>
            </numRef>
          </cat>
          <val>
            <numRef>
              <f>'Overview'!$CM$29:$CW$29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'Overview'!CZ6</f>
            </strRef>
          </tx>
          <spPr>
            <a:ln xmlns:a="http://schemas.openxmlformats.org/drawingml/2006/main">
              <a:prstDash val="solid"/>
            </a:ln>
          </spPr>
          <marker>
            <symbol val="none"/>
            <spPr>
              <a:ln xmlns:a="http://schemas.openxmlformats.org/drawingml/2006/main">
                <a:prstDash val="solid"/>
              </a:ln>
            </spPr>
          </marker>
          <cat>
            <numRef>
              <f>'Overview'!$DA$5:$DK$5</f>
            </numRef>
          </cat>
          <val>
            <numRef>
              <f>'Overview'!$DA$6:$DK$6</f>
            </numRef>
          </val>
          <smooth val="0"/>
        </ser>
        <ser>
          <idx val="1"/>
          <order val="1"/>
          <tx>
            <strRef>
              <f>'Overview'!CZ7</f>
            </strRef>
          </tx>
          <spPr>
            <a:ln xmlns:a="http://schemas.openxmlformats.org/drawingml/2006/main">
              <a:prstDash val="solid"/>
            </a:ln>
          </spPr>
          <marker>
            <symbol val="none"/>
            <spPr>
              <a:ln xmlns:a="http://schemas.openxmlformats.org/drawingml/2006/main">
                <a:prstDash val="solid"/>
              </a:ln>
            </spPr>
          </marker>
          <cat>
            <numRef>
              <f>'Overview'!$DA$5:$DK$5</f>
            </numRef>
          </cat>
          <val>
            <numRef>
              <f>'Overview'!$DA$7:$DK$7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K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A5" t="inlineStr">
        <is>
          <t>FY2015</t>
        </is>
      </c>
      <c r="DB5" t="inlineStr">
        <is>
          <t>FY2016</t>
        </is>
      </c>
      <c r="DC5" t="inlineStr">
        <is>
          <t>FY2017</t>
        </is>
      </c>
      <c r="DD5" t="inlineStr">
        <is>
          <t>FY2018</t>
        </is>
      </c>
      <c r="DE5" t="inlineStr">
        <is>
          <t>FY2019</t>
        </is>
      </c>
      <c r="DF5" t="inlineStr">
        <is>
          <t>FY2020</t>
        </is>
      </c>
      <c r="DG5" t="inlineStr">
        <is>
          <t>FY2021</t>
        </is>
      </c>
      <c r="DH5" t="inlineStr">
        <is>
          <t>FY2022</t>
        </is>
      </c>
      <c r="DI5" t="inlineStr">
        <is>
          <t>FY2023</t>
        </is>
      </c>
      <c r="DJ5" t="inlineStr">
        <is>
          <t>FY2024</t>
        </is>
      </c>
      <c r="DK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CZ6" t="inlineStr">
        <is>
          <t>CET1 ratio</t>
        </is>
      </c>
      <c r="DA6" t="n">
        <v>14.45</v>
      </c>
      <c r="DB6" t="n">
        <v>16.25</v>
      </c>
      <c r="DC6" t="n">
        <v>14.41</v>
      </c>
      <c r="DD6" t="n">
        <v>14.57</v>
      </c>
      <c r="DE6" t="n">
        <v>15.27</v>
      </c>
      <c r="DF6" t="n">
        <v>17.13</v>
      </c>
      <c r="DG6" t="n">
        <v>16.97</v>
      </c>
      <c r="DH6" t="n">
        <v>20.84</v>
      </c>
      <c r="DI6" t="n">
        <v>17.37</v>
      </c>
      <c r="DJ6" t="n">
        <v>22.2</v>
      </c>
      <c r="DK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v>28355</v>
      </c>
      <c r="O7" s="5" t="n">
        <v>27886</v>
      </c>
      <c r="P7" s="5" t="n">
        <v>28238</v>
      </c>
      <c r="Q7" s="5" t="n">
        <v>32538</v>
      </c>
      <c r="R7" s="5" t="n">
        <v>33073</v>
      </c>
      <c r="S7" s="5" t="n">
        <v>26860</v>
      </c>
      <c r="T7" s="5" t="n">
        <v>20322</v>
      </c>
      <c r="U7" s="5" t="n">
        <v>21208</v>
      </c>
      <c r="V7" s="5" t="n">
        <v>17900</v>
      </c>
      <c r="W7" s="5" t="n">
        <v>16680</v>
      </c>
      <c r="Z7" t="inlineStr">
        <is>
          <t>Loans and advances to customers</t>
        </is>
      </c>
      <c r="AA7" t="n">
        <v>16680</v>
      </c>
      <c r="AB7" t="n">
        <v>17900</v>
      </c>
      <c r="AC7" t="n">
        <v>21208</v>
      </c>
      <c r="AD7" t="n">
        <v>20322</v>
      </c>
      <c r="AE7" t="n">
        <v>26860</v>
      </c>
      <c r="AF7" t="n">
        <v>33073</v>
      </c>
      <c r="AG7" t="n">
        <v>32538</v>
      </c>
      <c r="AH7" t="n">
        <v>28238</v>
      </c>
      <c r="AI7" t="n">
        <v>27886</v>
      </c>
      <c r="AJ7" t="n">
        <v>28355</v>
      </c>
      <c r="AK7" t="n">
        <v>29724</v>
      </c>
      <c r="AL7" t="n">
        <v>33028</v>
      </c>
      <c r="AM7" t="n">
        <v>35336</v>
      </c>
      <c r="AN7" t="n">
        <v>38438</v>
      </c>
      <c r="AO7" t="n">
        <v>41404</v>
      </c>
      <c r="AP7" t="n">
        <v>45339</v>
      </c>
      <c r="AQ7" t="n">
        <v>47114</v>
      </c>
      <c r="AR7" t="n">
        <v>53795</v>
      </c>
      <c r="AS7" t="n">
        <v>63291</v>
      </c>
      <c r="AT7" t="n">
        <v>77532</v>
      </c>
      <c r="AU7" t="n">
        <v>97733</v>
      </c>
      <c r="AV7" t="n">
        <v>118242</v>
      </c>
      <c r="CZ7" t="inlineStr">
        <is>
          <t>Leverage ratio</t>
        </is>
      </c>
      <c r="DA7" t="n">
        <v>8.960000000000001</v>
      </c>
      <c r="DB7" t="n">
        <v>10.09</v>
      </c>
      <c r="DC7" t="n">
        <v>9.380000000000001</v>
      </c>
      <c r="DD7" t="n">
        <v>10.1</v>
      </c>
      <c r="DE7" t="n">
        <v>9.4</v>
      </c>
      <c r="DF7" t="n">
        <v>9.369999999999999</v>
      </c>
      <c r="DG7" t="n">
        <v>9.029999999999999</v>
      </c>
      <c r="DH7" t="n">
        <v>10.02</v>
      </c>
      <c r="DI7" t="n">
        <v>7.96</v>
      </c>
      <c r="DJ7" t="n">
        <v>10.8</v>
      </c>
      <c r="DK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v>47013</v>
      </c>
      <c r="O8" s="5" t="n">
        <v>42546</v>
      </c>
      <c r="P8" s="5" t="n">
        <v>41638</v>
      </c>
      <c r="Q8" s="5" t="n">
        <v>47247</v>
      </c>
      <c r="R8" s="5" t="n">
        <v>45168</v>
      </c>
      <c r="S8" s="5" t="n">
        <v>46737</v>
      </c>
      <c r="T8" s="5" t="n">
        <v>39931</v>
      </c>
      <c r="U8" s="5" t="n">
        <v>29520</v>
      </c>
      <c r="V8" s="5" t="n">
        <v>26294</v>
      </c>
      <c r="W8" s="5" t="n">
        <v>24187</v>
      </c>
      <c r="Z8" t="inlineStr">
        <is>
          <t>Customer accounts</t>
        </is>
      </c>
      <c r="AA8" t="n">
        <v>24187</v>
      </c>
      <c r="AB8" t="n">
        <v>26294</v>
      </c>
      <c r="AC8" t="n">
        <v>29520</v>
      </c>
      <c r="AD8" t="n">
        <v>39931</v>
      </c>
      <c r="AE8" t="n">
        <v>46737</v>
      </c>
      <c r="AF8" t="n">
        <v>45168</v>
      </c>
      <c r="AG8" t="n">
        <v>47247</v>
      </c>
      <c r="AH8" t="n">
        <v>41638</v>
      </c>
      <c r="AI8" t="n">
        <v>42546</v>
      </c>
      <c r="AJ8" t="n">
        <v>47013</v>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v>4646</v>
      </c>
      <c r="O9" s="5" t="n">
        <v>4657</v>
      </c>
      <c r="P9" s="5" t="n">
        <v>4266</v>
      </c>
      <c r="Q9" s="5" t="n">
        <v>4649</v>
      </c>
      <c r="R9" s="5" t="n">
        <v>4788</v>
      </c>
      <c r="S9" s="5" t="n">
        <v>5221</v>
      </c>
      <c r="T9" s="5" t="n">
        <v>5091</v>
      </c>
      <c r="U9" s="5" t="n">
        <v>4558</v>
      </c>
      <c r="V9" s="5" t="n">
        <v>4312</v>
      </c>
      <c r="W9" s="5" t="n">
        <v>4217</v>
      </c>
      <c r="Z9" t="inlineStr">
        <is>
          <t>Total shareholders' funds</t>
        </is>
      </c>
      <c r="AA9" t="n">
        <v>4217</v>
      </c>
      <c r="AB9" t="n">
        <v>4312</v>
      </c>
      <c r="AC9" t="n">
        <v>4558</v>
      </c>
      <c r="AD9" t="n">
        <v>5091</v>
      </c>
      <c r="AE9" t="n">
        <v>5221</v>
      </c>
      <c r="AF9" t="n">
        <v>4788</v>
      </c>
      <c r="AG9" t="n">
        <v>4649</v>
      </c>
      <c r="AH9" t="n">
        <v>4266</v>
      </c>
      <c r="AI9" t="n">
        <v>4657</v>
      </c>
      <c r="AJ9" t="n">
        <v>4646</v>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AZ12" t="inlineStr">
        <is>
          <t>FY2005</t>
        </is>
      </c>
      <c r="BA12" t="inlineStr">
        <is>
          <t>FY2006</t>
        </is>
      </c>
      <c r="BB12" t="inlineStr">
        <is>
          <t>FY2007</t>
        </is>
      </c>
      <c r="BC12" t="inlineStr">
        <is>
          <t>FY2008</t>
        </is>
      </c>
      <c r="BD12" t="inlineStr">
        <is>
          <t>FY2009</t>
        </is>
      </c>
      <c r="BE12" t="inlineStr">
        <is>
          <t>FY2010</t>
        </is>
      </c>
      <c r="BF12" t="inlineStr">
        <is>
          <t>FY2011</t>
        </is>
      </c>
      <c r="BG12" t="inlineStr">
        <is>
          <t>FY2012</t>
        </is>
      </c>
      <c r="BH12" t="inlineStr">
        <is>
          <t>FY2013</t>
        </is>
      </c>
      <c r="BI12" t="inlineStr">
        <is>
          <t>FY2014</t>
        </is>
      </c>
      <c r="BJ12" t="inlineStr">
        <is>
          <t>FY2015</t>
        </is>
      </c>
      <c r="BK12" t="inlineStr">
        <is>
          <t>FY2016</t>
        </is>
      </c>
      <c r="BL12" t="inlineStr">
        <is>
          <t>FY2017</t>
        </is>
      </c>
      <c r="BM12" t="inlineStr">
        <is>
          <t>FY2018</t>
        </is>
      </c>
      <c r="BN12" t="inlineStr">
        <is>
          <t>FY2019</t>
        </is>
      </c>
      <c r="BO12" t="inlineStr">
        <is>
          <t>FY2020</t>
        </is>
      </c>
      <c r="BP12" t="inlineStr">
        <is>
          <t>FY2021</t>
        </is>
      </c>
      <c r="BQ12" t="inlineStr">
        <is>
          <t>FY2022</t>
        </is>
      </c>
      <c r="BR12" t="inlineStr">
        <is>
          <t>FY2023</t>
        </is>
      </c>
      <c r="BS12" t="inlineStr">
        <is>
          <t>FY2024</t>
        </is>
      </c>
      <c r="BT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AY13" t="inlineStr">
        <is>
          <t>Total net income</t>
        </is>
      </c>
      <c r="BI13" t="n">
        <v>1548</v>
      </c>
      <c r="BJ13" t="n">
        <v>1637</v>
      </c>
      <c r="BK13" t="n">
        <v>1755</v>
      </c>
      <c r="BL13" t="n">
        <v>1875</v>
      </c>
      <c r="BM13" t="n">
        <v>2106</v>
      </c>
      <c r="BN13" t="n">
        <v>2242</v>
      </c>
      <c r="BO13" t="n">
        <v>2287</v>
      </c>
      <c r="BP13" t="n">
        <v>2610</v>
      </c>
      <c r="BQ13" t="n">
        <v>3175</v>
      </c>
      <c r="BR13" t="n">
        <v>4360</v>
      </c>
      <c r="BS13" t="n">
        <v>5205</v>
      </c>
      <c r="BT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v>-1241</v>
      </c>
      <c r="O14" s="5" t="n">
        <v>-1201</v>
      </c>
      <c r="P14" s="5" t="n">
        <v>-1185</v>
      </c>
      <c r="Q14" s="5" t="n">
        <v>-1194</v>
      </c>
      <c r="R14" s="5" t="n">
        <v>-1082</v>
      </c>
      <c r="S14" s="5" t="n">
        <v>-838</v>
      </c>
      <c r="T14" s="5" t="n">
        <v>-726</v>
      </c>
      <c r="U14" s="5" t="n">
        <v>-548</v>
      </c>
      <c r="V14" s="5" t="n">
        <v>-568</v>
      </c>
      <c r="AY14" t="inlineStr">
        <is>
          <t>Administrative expenses</t>
        </is>
      </c>
      <c r="AZ14" t="n">
        <v>-568</v>
      </c>
      <c r="BA14" t="n">
        <v>-548</v>
      </c>
      <c r="BB14" t="n">
        <v>-726</v>
      </c>
      <c r="BC14" t="n">
        <v>-838</v>
      </c>
      <c r="BD14" t="n">
        <v>-1082</v>
      </c>
      <c r="BE14" t="n">
        <v>-1194</v>
      </c>
      <c r="BF14" t="n">
        <v>-1185</v>
      </c>
      <c r="BG14" t="n">
        <v>-1201</v>
      </c>
      <c r="BH14" t="n">
        <v>-1241</v>
      </c>
      <c r="BI14" t="n">
        <v>-1413</v>
      </c>
      <c r="BJ14" t="n">
        <v>-1487</v>
      </c>
      <c r="BK14" t="n">
        <v>-1554</v>
      </c>
      <c r="BL14" t="n">
        <v>-1538</v>
      </c>
      <c r="BM14" t="n">
        <v>-1776</v>
      </c>
      <c r="BN14" t="n">
        <v>-1780</v>
      </c>
      <c r="BO14" t="n">
        <v>-2167</v>
      </c>
      <c r="BP14" t="n">
        <v>-2437</v>
      </c>
      <c r="BQ14" t="n">
        <v>-2953</v>
      </c>
      <c r="BR14" t="n">
        <v>-3597</v>
      </c>
      <c r="BS14" t="n">
        <v>-4776</v>
      </c>
      <c r="BT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AY15" t="inlineStr">
        <is>
          <t>(Loss)/profit for the financial year</t>
        </is>
      </c>
      <c r="BI15" t="n">
        <v>69</v>
      </c>
      <c r="BJ15" t="n">
        <v>720</v>
      </c>
      <c r="BK15" t="n">
        <v>34</v>
      </c>
      <c r="BL15" t="n">
        <v>105</v>
      </c>
      <c r="BM15" t="n">
        <v>146</v>
      </c>
      <c r="BN15" t="n">
        <v>257</v>
      </c>
      <c r="BO15" t="n">
        <v>-24</v>
      </c>
      <c r="BP15" t="n">
        <v>680</v>
      </c>
      <c r="BQ15" t="n">
        <v>102</v>
      </c>
      <c r="BR15" t="n">
        <v>523</v>
      </c>
      <c r="BS15" t="n">
        <v>279</v>
      </c>
      <c r="BT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X18" t="inlineStr">
        <is>
          <t>FY2014</t>
        </is>
      </c>
      <c r="BY18" t="inlineStr">
        <is>
          <t>FY2015</t>
        </is>
      </c>
      <c r="BZ18" t="inlineStr">
        <is>
          <t>FY2016</t>
        </is>
      </c>
      <c r="CA18" t="inlineStr">
        <is>
          <t>FY2017</t>
        </is>
      </c>
      <c r="CB18" t="inlineStr">
        <is>
          <t>FY2018</t>
        </is>
      </c>
      <c r="CC18" t="inlineStr">
        <is>
          <t>FY2019</t>
        </is>
      </c>
      <c r="CD18" t="inlineStr">
        <is>
          <t>FY2020</t>
        </is>
      </c>
      <c r="CE18" t="inlineStr">
        <is>
          <t>FY2021</t>
        </is>
      </c>
      <c r="CF18" t="inlineStr">
        <is>
          <t>FY2022</t>
        </is>
      </c>
      <c r="CG18" t="inlineStr">
        <is>
          <t>FY2023</t>
        </is>
      </c>
      <c r="CH18" t="inlineStr">
        <is>
          <t>FY2024</t>
        </is>
      </c>
      <c r="CI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BW19" t="inlineStr">
        <is>
          <t>Opening total shareholders' funds</t>
        </is>
      </c>
      <c r="BX19" t="n">
        <v>4646</v>
      </c>
      <c r="BY19" t="n">
        <v>4847</v>
      </c>
      <c r="BZ19" t="n">
        <v>5631</v>
      </c>
      <c r="CA19" t="n">
        <v>5667</v>
      </c>
      <c r="CB19" t="n">
        <v>5778</v>
      </c>
      <c r="CC19" t="n">
        <v>5908</v>
      </c>
      <c r="CD19" t="n">
        <v>6145</v>
      </c>
      <c r="CE19" t="n">
        <v>6771</v>
      </c>
      <c r="CF19" t="n">
        <v>7451</v>
      </c>
      <c r="CG19" t="n">
        <v>9353</v>
      </c>
      <c r="CH19" t="n">
        <v>9876</v>
      </c>
      <c r="CI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BW20" t="inlineStr">
        <is>
          <t>(Loss)/profit for the financial year</t>
        </is>
      </c>
      <c r="BX20" t="n">
        <v>69</v>
      </c>
      <c r="BY20" t="n">
        <v>720</v>
      </c>
      <c r="BZ20" t="n">
        <v>34</v>
      </c>
      <c r="CA20" t="n">
        <v>105</v>
      </c>
      <c r="CB20" t="n">
        <v>146</v>
      </c>
      <c r="CC20" t="n">
        <v>257</v>
      </c>
      <c r="CD20" t="n">
        <v>-24</v>
      </c>
      <c r="CE20" t="n">
        <v>680</v>
      </c>
      <c r="CF20" t="n">
        <v>102</v>
      </c>
      <c r="CG20" t="n">
        <v>523</v>
      </c>
      <c r="CH20" t="n">
        <v>279</v>
      </c>
      <c r="CI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BW21" t="inlineStr">
        <is>
          <t>Other equity movements, net</t>
        </is>
      </c>
      <c r="BX21" t="n">
        <v>245</v>
      </c>
      <c r="BY21" t="n">
        <v>64</v>
      </c>
      <c r="BZ21" t="n">
        <v>2</v>
      </c>
      <c r="CA21" t="n">
        <v>6</v>
      </c>
      <c r="CB21" t="n">
        <v>-16</v>
      </c>
      <c r="CC21" t="n">
        <v>0</v>
      </c>
      <c r="CD21" t="n">
        <v>650</v>
      </c>
      <c r="CE21" t="n">
        <v>0</v>
      </c>
      <c r="CF21" t="n">
        <v>1800</v>
      </c>
      <c r="CG21" t="n">
        <v>0</v>
      </c>
      <c r="CH21" t="n">
        <v>5357</v>
      </c>
      <c r="CI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BW22" t="inlineStr">
        <is>
          <t>Closing total shareholders' funds</t>
        </is>
      </c>
      <c r="BX22" t="n">
        <v>4960</v>
      </c>
      <c r="BY22" t="n">
        <v>5631</v>
      </c>
      <c r="BZ22" t="n">
        <v>5667</v>
      </c>
      <c r="CA22" t="n">
        <v>5778</v>
      </c>
      <c r="CB22" t="n">
        <v>5908</v>
      </c>
      <c r="CC22" t="n">
        <v>6145</v>
      </c>
      <c r="CD22" t="n">
        <v>6771</v>
      </c>
      <c r="CE22" t="n">
        <v>7451</v>
      </c>
      <c r="CF22" t="n">
        <v>9353</v>
      </c>
      <c r="CG22" t="n">
        <v>9876</v>
      </c>
      <c r="CH22" t="n">
        <v>15512</v>
      </c>
      <c r="CI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CM25" t="inlineStr">
        <is>
          <t>FY2015</t>
        </is>
      </c>
      <c r="CN25" t="inlineStr">
        <is>
          <t>FY2016</t>
        </is>
      </c>
      <c r="CO25" t="inlineStr">
        <is>
          <t>FY2017</t>
        </is>
      </c>
      <c r="CP25" t="inlineStr">
        <is>
          <t>FY2018</t>
        </is>
      </c>
      <c r="CQ25" t="inlineStr">
        <is>
          <t>FY2019</t>
        </is>
      </c>
      <c r="CR25" t="inlineStr">
        <is>
          <t>FY2020</t>
        </is>
      </c>
      <c r="CS25" t="inlineStr">
        <is>
          <t>FY2021</t>
        </is>
      </c>
      <c r="CT25" t="inlineStr">
        <is>
          <t>FY2022</t>
        </is>
      </c>
      <c r="CU25" t="inlineStr">
        <is>
          <t>FY2023</t>
        </is>
      </c>
      <c r="CV25" t="inlineStr">
        <is>
          <t>FY2024</t>
        </is>
      </c>
      <c r="CW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CL26" t="inlineStr">
        <is>
          <t>Net cash flow from/(used in) operating activities</t>
        </is>
      </c>
      <c r="CM26" t="n">
        <v>-5612</v>
      </c>
      <c r="CN26" t="n">
        <v>485</v>
      </c>
      <c r="CO26" t="n">
        <v>1102</v>
      </c>
      <c r="CP26" t="n">
        <v>-4121</v>
      </c>
      <c r="CQ26" t="n">
        <v>1938</v>
      </c>
      <c r="CR26" t="n">
        <v>6970</v>
      </c>
      <c r="CS26" t="n">
        <v>-630</v>
      </c>
      <c r="CT26" t="n">
        <v>3132</v>
      </c>
      <c r="CU26" t="n">
        <v>10244</v>
      </c>
      <c r="CV26" t="n">
        <v>-583</v>
      </c>
      <c r="CW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CL27" t="inlineStr">
        <is>
          <t>Net cash flow from/(used in) investing activities</t>
        </is>
      </c>
      <c r="CM27" t="n">
        <v>3325</v>
      </c>
      <c r="CN27" t="n">
        <v>-191</v>
      </c>
      <c r="CO27" t="n">
        <v>-31</v>
      </c>
      <c r="CP27" t="n">
        <v>-52</v>
      </c>
      <c r="CQ27" t="n">
        <v>-97</v>
      </c>
      <c r="CR27" t="n">
        <v>-69</v>
      </c>
      <c r="CS27" t="n">
        <v>1769</v>
      </c>
      <c r="CT27" t="n">
        <v>-40</v>
      </c>
      <c r="CU27" t="n">
        <v>-47</v>
      </c>
      <c r="CV27" t="n">
        <v>-41</v>
      </c>
      <c r="CW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CL28" t="inlineStr">
        <is>
          <t>Net cash flow from/(used in) financing activities</t>
        </is>
      </c>
      <c r="CM28" t="n">
        <v>0</v>
      </c>
      <c r="CN28" t="n">
        <v>-100</v>
      </c>
      <c r="CO28" t="n">
        <v>0</v>
      </c>
      <c r="CP28" t="n">
        <v>-166</v>
      </c>
      <c r="CQ28" t="n">
        <v>-20</v>
      </c>
      <c r="CR28" t="n">
        <v>650</v>
      </c>
      <c r="CS28" t="n">
        <v>-670</v>
      </c>
      <c r="CT28" t="n">
        <v>1739</v>
      </c>
      <c r="CU28" t="n">
        <v>0</v>
      </c>
      <c r="CV28" t="n">
        <v>5357</v>
      </c>
      <c r="CW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CL29" t="inlineStr">
        <is>
          <t>Cash and cash equivalents at end of year</t>
        </is>
      </c>
      <c r="CM29" t="n">
        <v>13263</v>
      </c>
      <c r="CN29" t="n">
        <v>13457</v>
      </c>
      <c r="CO29" t="n">
        <v>14528</v>
      </c>
      <c r="CP29" t="n">
        <v>10189</v>
      </c>
      <c r="CQ29" t="n">
        <v>12010</v>
      </c>
      <c r="CR29" t="n">
        <v>19561</v>
      </c>
      <c r="CS29" t="n">
        <v>20030</v>
      </c>
      <c r="CT29" t="n">
        <v>24861</v>
      </c>
      <c r="CU29" t="n">
        <v>35058</v>
      </c>
      <c r="CV29" t="n">
        <v>39791</v>
      </c>
      <c r="CW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FY2011-FY2023 - the FY2011-FY2015, FY2022 and FY2023 editions are not reachable today); the FY2019, FY2020 and FY2021 editions have been retrieved (every one of the bank's own live URLs now 404s, so the citations point at Wayback `id_` snapshots with the dead originals kept alongside them), and the FY2016-FY2018 editions (live on the bank's former Webflow asset host, transcribed 2026-09-19) add £m-precision own funds, credit-risk RWA components and a leverage ratio for those years; together they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V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row>
    <row r="6">
      <c r="A6" s="6" t="inlineStr">
        <is>
          <t>Taxation paid</t>
        </is>
      </c>
      <c r="B6" s="6" t="n">
        <v>-55</v>
      </c>
      <c r="C6" s="6" t="n">
        <v>-102</v>
      </c>
      <c r="D6" s="6" t="n">
        <v>-11</v>
      </c>
      <c r="E6" s="6" t="n">
        <v>-25</v>
      </c>
      <c r="F6" s="6" t="n"/>
      <c r="G6" s="6" t="n">
        <v>-56</v>
      </c>
      <c r="H6" s="6" t="n">
        <v>-40</v>
      </c>
      <c r="I6" s="6" t="n">
        <v>-33</v>
      </c>
      <c r="J6" s="6" t="n">
        <v>-23</v>
      </c>
      <c r="K6" s="6" t="n">
        <v>-233</v>
      </c>
      <c r="L6" s="6" t="n">
        <v>-2</v>
      </c>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row>
    <row r="8">
      <c r="A8" s="5" t="inlineStr">
        <is>
          <t>Investing activities</t>
        </is>
      </c>
      <c r="B8" s="6" t="n"/>
      <c r="C8" s="6" t="n"/>
      <c r="D8" s="6" t="n"/>
      <c r="E8" s="6" t="n"/>
      <c r="F8" s="6" t="n"/>
      <c r="G8" s="6" t="n"/>
      <c r="H8" s="6" t="n"/>
      <c r="I8" s="6" t="n"/>
      <c r="J8" s="6" t="n"/>
      <c r="K8" s="6" t="n"/>
      <c r="L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row>
    <row r="10">
      <c r="A10" s="6" t="inlineStr">
        <is>
          <t>Capital expenditure on investment property</t>
        </is>
      </c>
      <c r="B10" s="6" t="n"/>
      <c r="C10" s="6" t="n"/>
      <c r="D10" s="6" t="n"/>
      <c r="E10" s="6" t="n"/>
      <c r="F10" s="6" t="n"/>
      <c r="G10" s="6" t="n"/>
      <c r="H10" s="6" t="n"/>
      <c r="I10" s="6" t="n"/>
      <c r="J10" s="6" t="n"/>
      <c r="K10" s="6" t="n"/>
      <c r="L10" s="6" t="n">
        <v>-13</v>
      </c>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row>
    <row r="14">
      <c r="A14" s="5" t="inlineStr">
        <is>
          <t>Financing activities</t>
        </is>
      </c>
      <c r="B14" s="6" t="n"/>
      <c r="C14" s="6" t="n"/>
      <c r="D14" s="6" t="n"/>
      <c r="E14" s="6" t="n"/>
      <c r="F14" s="6" t="n"/>
      <c r="G14" s="6" t="n"/>
      <c r="H14" s="6" t="n"/>
      <c r="I14" s="6" t="n"/>
      <c r="J14" s="6" t="n"/>
      <c r="K14" s="6" t="n"/>
      <c r="L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row>
    <row r="16">
      <c r="A16" s="6" t="inlineStr">
        <is>
          <t>Issue of subordinated liabilities</t>
        </is>
      </c>
      <c r="B16" s="6" t="n"/>
      <c r="C16" s="6" t="n"/>
      <c r="D16" s="6" t="n"/>
      <c r="E16" s="6" t="n"/>
      <c r="F16" s="6" t="n"/>
      <c r="G16" s="6" t="n"/>
      <c r="H16" s="6" t="n"/>
      <c r="I16" s="6" t="n"/>
      <c r="J16" s="6" t="n"/>
      <c r="K16" s="6" t="n">
        <v>700</v>
      </c>
      <c r="L16" s="6" t="n"/>
    </row>
    <row r="17">
      <c r="A17" s="6" t="inlineStr">
        <is>
          <t>Share allotment</t>
        </is>
      </c>
      <c r="B17" s="6" t="n">
        <v>1170</v>
      </c>
      <c r="C17" s="6" t="n">
        <v>5400</v>
      </c>
      <c r="D17" s="6" t="n">
        <v>0</v>
      </c>
      <c r="E17" s="6" t="n">
        <v>1800</v>
      </c>
      <c r="F17" s="6" t="n">
        <v>0</v>
      </c>
      <c r="G17" s="6" t="n">
        <v>650</v>
      </c>
      <c r="H17" s="6" t="n"/>
      <c r="I17" s="6" t="n"/>
      <c r="J17" s="6" t="n"/>
      <c r="K17" s="6" t="n"/>
      <c r="L17" s="6" t="n"/>
    </row>
    <row r="18">
      <c r="A18" s="6" t="inlineStr">
        <is>
          <t>Dividends paid</t>
        </is>
      </c>
      <c r="B18" s="6" t="n">
        <v>-70</v>
      </c>
      <c r="C18" s="6" t="n">
        <v>-43</v>
      </c>
      <c r="D18" s="6" t="n"/>
      <c r="E18" s="6" t="n"/>
      <c r="F18" s="6" t="n"/>
      <c r="G18" s="6" t="n"/>
      <c r="H18" s="6" t="n">
        <v>-20</v>
      </c>
      <c r="I18" s="6" t="n">
        <v>-16</v>
      </c>
      <c r="J18" s="6" t="n"/>
      <c r="K18" s="6" t="n"/>
      <c r="L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L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FY2022-FY2025 now carry a STATED status rather than a blank, and the four are NOT one finding: FY2022 and FY2023 were published by the Bank and are simply not obtainable today (link rot), whereas FY2024 and FY2025 were not published at all - the Bank says so in its own words and FY2025 is additionally covered by the dated SDDT Rule 3.1 modification. Do not read the waiver back onto FY2022-FY2024.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row>
    <row r="5">
      <c r="A5" s="5" t="inlineStr">
        <is>
          <t>Available own funds (£'000)</t>
        </is>
      </c>
      <c r="B5" s="6" t="n"/>
      <c r="C5" s="6" t="n"/>
      <c r="D5" s="6" t="n"/>
      <c r="E5" s="6" t="n"/>
      <c r="F5" s="6" t="n"/>
      <c r="G5" s="6" t="n"/>
    </row>
    <row r="6">
      <c r="A6" s="6" t="inlineStr">
        <is>
          <t>1    Common Equity Tier 1 (CET1) capital (£'000)</t>
        </is>
      </c>
      <c r="B6" s="6" t="n"/>
      <c r="C6" s="6" t="n"/>
      <c r="D6" s="6" t="n"/>
      <c r="E6" s="6" t="n"/>
      <c r="F6" s="6" t="n">
        <v>6892</v>
      </c>
      <c r="G6" s="6" t="n">
        <v>6594</v>
      </c>
    </row>
    <row r="7">
      <c r="A7" s="6" t="inlineStr">
        <is>
          <t>2    Tier 1 capital (£'000)</t>
        </is>
      </c>
      <c r="B7" s="6" t="n"/>
      <c r="C7" s="6" t="n"/>
      <c r="D7" s="6" t="n"/>
      <c r="E7" s="6" t="n"/>
      <c r="F7" s="6" t="n">
        <v>6892</v>
      </c>
      <c r="G7" s="6" t="n">
        <v>6594</v>
      </c>
    </row>
    <row r="8">
      <c r="A8" s="6" t="inlineStr">
        <is>
          <t>3    Total capital (£'000)</t>
        </is>
      </c>
      <c r="B8" s="6" t="n"/>
      <c r="C8" s="6" t="n"/>
      <c r="D8" s="6" t="n"/>
      <c r="E8" s="6" t="n"/>
      <c r="F8" s="6" t="n">
        <v>7653</v>
      </c>
      <c r="G8" s="6" t="n">
        <v>7448</v>
      </c>
    </row>
    <row r="9">
      <c r="A9" s="5" t="inlineStr">
        <is>
          <t>Risk-weighted exposure amounts (£'000)</t>
        </is>
      </c>
      <c r="B9" s="6" t="n"/>
      <c r="C9" s="6" t="n"/>
      <c r="D9" s="6" t="n"/>
      <c r="E9" s="6" t="n"/>
      <c r="F9" s="6" t="n"/>
      <c r="G9" s="6" t="n"/>
    </row>
    <row r="10">
      <c r="A10" s="6" t="inlineStr">
        <is>
          <t>4    Total risk-weighted exposure amount (£'000)</t>
        </is>
      </c>
      <c r="B10" s="6" t="n"/>
      <c r="C10" s="6" t="n"/>
      <c r="D10" s="6" t="n"/>
      <c r="E10" s="6" t="n"/>
      <c r="F10" s="6" t="n">
        <v>40617</v>
      </c>
      <c r="G10" s="6" t="n">
        <v>39632</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n"/>
      <c r="E12" s="6" t="n"/>
      <c r="F12" s="6" t="inlineStr">
        <is>
          <t>16.97%</t>
        </is>
      </c>
      <c r="G12" s="6" t="inlineStr">
        <is>
          <t>16.64%</t>
        </is>
      </c>
    </row>
    <row r="13">
      <c r="A13" s="6" t="inlineStr">
        <is>
          <t>6    Tier 1 ratio (%)</t>
        </is>
      </c>
      <c r="B13" s="6" t="n"/>
      <c r="C13" s="6" t="n"/>
      <c r="D13" s="6" t="n"/>
      <c r="E13" s="6" t="n"/>
      <c r="F13" s="6" t="inlineStr">
        <is>
          <t>16.97%</t>
        </is>
      </c>
      <c r="G13" s="6" t="inlineStr">
        <is>
          <t>16.64%</t>
        </is>
      </c>
    </row>
    <row r="14">
      <c r="A14" s="6" t="inlineStr">
        <is>
          <t>7    Total capital ratio (%)</t>
        </is>
      </c>
      <c r="B14" s="6" t="n"/>
      <c r="C14" s="6" t="n"/>
      <c r="D14" s="6" t="n"/>
      <c r="E14" s="6" t="n"/>
      <c r="F14" s="6" t="inlineStr">
        <is>
          <t>18.84%</t>
        </is>
      </c>
      <c r="G14" s="6" t="inlineStr">
        <is>
          <t>18.79%</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n"/>
      <c r="E16" s="6" t="n"/>
      <c r="F16" s="6" t="inlineStr">
        <is>
          <t>2.50%</t>
        </is>
      </c>
      <c r="G16" s="6" t="inlineStr">
        <is>
          <t>2.22%</t>
        </is>
      </c>
    </row>
    <row r="17">
      <c r="A17" s="6" t="inlineStr">
        <is>
          <t>UK 7b    Additional AT1 SREP requirements (%)</t>
        </is>
      </c>
      <c r="B17" s="6" t="n"/>
      <c r="C17" s="6" t="n"/>
      <c r="D17" s="6" t="n"/>
      <c r="E17" s="6" t="n"/>
      <c r="F17" s="6" t="inlineStr">
        <is>
          <t>0.84%</t>
        </is>
      </c>
      <c r="G17" s="6" t="inlineStr">
        <is>
          <t>0.78%</t>
        </is>
      </c>
    </row>
    <row r="18">
      <c r="A18" s="6" t="inlineStr">
        <is>
          <t>UK 7c    Additional T2 SREP requirements (%)</t>
        </is>
      </c>
      <c r="B18" s="6" t="n"/>
      <c r="C18" s="6" t="n"/>
      <c r="D18" s="6" t="n"/>
      <c r="E18" s="6" t="n"/>
      <c r="F18" s="6" t="inlineStr">
        <is>
          <t>1.11%</t>
        </is>
      </c>
      <c r="G18" s="6" t="inlineStr">
        <is>
          <t>1.00%</t>
        </is>
      </c>
    </row>
    <row r="19">
      <c r="A19" s="6" t="inlineStr">
        <is>
          <t>UK 7d    Total SREP own funds requirements (%)</t>
        </is>
      </c>
      <c r="B19" s="6" t="n"/>
      <c r="C19" s="6" t="n"/>
      <c r="D19" s="6" t="n"/>
      <c r="E19" s="6" t="n"/>
      <c r="F19" s="6" t="inlineStr">
        <is>
          <t>12.45%</t>
        </is>
      </c>
      <c r="G19" s="6" t="inlineStr">
        <is>
          <t>12.00%</t>
        </is>
      </c>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n"/>
      <c r="D21" s="6" t="n"/>
      <c r="E21" s="6" t="n"/>
      <c r="F21" s="6" t="inlineStr">
        <is>
          <t>2.50%</t>
        </is>
      </c>
      <c r="G21" s="6" t="inlineStr">
        <is>
          <t>2.50%</t>
        </is>
      </c>
    </row>
    <row r="22">
      <c r="A22" s="6" t="inlineStr">
        <is>
          <t>UK 8a    Conservation buffer due to macro-prudential or systemic risk identified at the level of a Member State (%)</t>
        </is>
      </c>
      <c r="B22" s="6" t="n"/>
      <c r="C22" s="6" t="n"/>
      <c r="D22" s="6" t="n"/>
      <c r="E22" s="6" t="n"/>
      <c r="F22" s="6" t="inlineStr">
        <is>
          <t>0.56%</t>
        </is>
      </c>
      <c r="G22" s="6" t="inlineStr">
        <is>
          <t>0.56%</t>
        </is>
      </c>
    </row>
    <row r="23">
      <c r="A23" s="6" t="inlineStr">
        <is>
          <t>9    Institution specific countercyclical capital buffer (%)</t>
        </is>
      </c>
      <c r="B23" s="6" t="n"/>
      <c r="C23" s="6" t="n"/>
      <c r="D23" s="6" t="n"/>
      <c r="E23" s="6" t="n"/>
      <c r="F23" s="6" t="inlineStr">
        <is>
          <t>-</t>
        </is>
      </c>
      <c r="G23" s="6" t="inlineStr">
        <is>
          <t>-</t>
        </is>
      </c>
    </row>
    <row r="24">
      <c r="A24" s="6" t="inlineStr">
        <is>
          <t>UK 9a    Systemic risk buffer (%)</t>
        </is>
      </c>
      <c r="B24" s="6" t="n"/>
      <c r="C24" s="6" t="n"/>
      <c r="D24" s="6" t="n"/>
      <c r="E24" s="6" t="n"/>
      <c r="F24" s="6" t="inlineStr">
        <is>
          <t>-</t>
        </is>
      </c>
      <c r="G24" s="6" t="inlineStr">
        <is>
          <t>-</t>
        </is>
      </c>
    </row>
    <row r="25">
      <c r="A25" s="6" t="inlineStr">
        <is>
          <t>10    Global Systemically Important Institution buffer (%)</t>
        </is>
      </c>
      <c r="B25" s="6" t="n"/>
      <c r="C25" s="6" t="n"/>
      <c r="D25" s="6" t="n"/>
      <c r="E25" s="6" t="n"/>
      <c r="F25" s="6" t="inlineStr">
        <is>
          <t>-</t>
        </is>
      </c>
      <c r="G25" s="6" t="inlineStr">
        <is>
          <t>-</t>
        </is>
      </c>
    </row>
    <row r="26">
      <c r="A26" s="6" t="inlineStr">
        <is>
          <t>UK 10a    Other Systemically Important Institution buffer (%)</t>
        </is>
      </c>
      <c r="B26" s="6" t="n"/>
      <c r="C26" s="6" t="n"/>
      <c r="D26" s="6" t="n"/>
      <c r="E26" s="6" t="n"/>
      <c r="F26" s="6" t="inlineStr">
        <is>
          <t>-</t>
        </is>
      </c>
      <c r="G26" s="6" t="inlineStr">
        <is>
          <t>-</t>
        </is>
      </c>
    </row>
    <row r="27">
      <c r="A27" s="6" t="inlineStr">
        <is>
          <t>11    Combined buffer requirement (%)</t>
        </is>
      </c>
      <c r="B27" s="6" t="n"/>
      <c r="C27" s="6" t="n"/>
      <c r="D27" s="6" t="n"/>
      <c r="E27" s="6" t="n"/>
      <c r="F27" s="6" t="inlineStr">
        <is>
          <t>3.06%</t>
        </is>
      </c>
      <c r="G27" s="6" t="inlineStr">
        <is>
          <t>3.06%</t>
        </is>
      </c>
    </row>
    <row r="28">
      <c r="A28" s="6" t="inlineStr">
        <is>
          <t>UK 11a    Overall capital requirements (%)</t>
        </is>
      </c>
      <c r="B28" s="6" t="n"/>
      <c r="C28" s="6" t="n"/>
      <c r="D28" s="6" t="n"/>
      <c r="E28" s="6" t="n"/>
      <c r="F28" s="6" t="inlineStr">
        <is>
          <t>15.51%</t>
        </is>
      </c>
      <c r="G28" s="6" t="inlineStr">
        <is>
          <t>15.06%</t>
        </is>
      </c>
    </row>
    <row r="29">
      <c r="A29" s="6" t="inlineStr">
        <is>
          <t>12    CET1 available after meeting the total SREP own funds requirements (%)</t>
        </is>
      </c>
      <c r="B29" s="6" t="n"/>
      <c r="C29" s="6" t="n"/>
      <c r="D29" s="6" t="n"/>
      <c r="E29" s="6" t="n"/>
      <c r="F29" s="6" t="inlineStr">
        <is>
          <t>4.52%</t>
        </is>
      </c>
      <c r="G29" s="6" t="inlineStr">
        <is>
          <t>4.64%</t>
        </is>
      </c>
    </row>
    <row r="30">
      <c r="A30" s="5" t="inlineStr">
        <is>
          <t>Leverage ratio</t>
        </is>
      </c>
      <c r="B30" s="6" t="n"/>
      <c r="C30" s="6" t="n"/>
      <c r="D30" s="6" t="n"/>
      <c r="E30" s="6" t="n"/>
      <c r="F30" s="6" t="n"/>
      <c r="G30" s="6" t="n"/>
    </row>
    <row r="31">
      <c r="A31" s="6" t="inlineStr">
        <is>
          <t>13    Total exposure measure excluding claims on central banks (£'000)</t>
        </is>
      </c>
      <c r="B31" s="6" t="n"/>
      <c r="C31" s="6" t="n"/>
      <c r="D31" s="6" t="n"/>
      <c r="E31" s="6" t="n"/>
      <c r="F31" s="6" t="n">
        <v>66250</v>
      </c>
      <c r="G31" s="6" t="n">
        <v>63697</v>
      </c>
    </row>
    <row r="32">
      <c r="A32" s="6" t="inlineStr">
        <is>
          <t>14    Leverage ratio excluding claims on central banks (%)</t>
        </is>
      </c>
      <c r="B32" s="6" t="n"/>
      <c r="C32" s="6" t="n"/>
      <c r="D32" s="6" t="n"/>
      <c r="E32" s="6" t="n"/>
      <c r="F32" s="6" t="inlineStr">
        <is>
          <t>10.40%</t>
        </is>
      </c>
      <c r="G32" s="6" t="inlineStr">
        <is>
          <t>10.35%</t>
        </is>
      </c>
    </row>
    <row r="33">
      <c r="A33" s="5" t="inlineStr">
        <is>
          <t>Liquidity Coverage Ratio — average based on end-of-the-month observations over the preceding 12 months, for each year shown (printed by the Bank as a separate table below the capital table)</t>
        </is>
      </c>
      <c r="B33" s="6" t="n"/>
      <c r="C33" s="6" t="n"/>
      <c r="D33" s="6" t="n"/>
      <c r="E33" s="6" t="n"/>
      <c r="F33" s="6" t="n"/>
      <c r="G33" s="6" t="n"/>
    </row>
    <row r="34">
      <c r="A34" s="6" t="inlineStr">
        <is>
          <t>15    Total high-quality liquid assets (HQLA) (Weighted value-average) (£'000)</t>
        </is>
      </c>
      <c r="B34" s="6" t="n"/>
      <c r="C34" s="6" t="n"/>
      <c r="D34" s="6" t="n"/>
      <c r="E34" s="6" t="n"/>
      <c r="F34" s="6" t="n">
        <v>8840</v>
      </c>
      <c r="G34" s="6" t="n">
        <v>6580</v>
      </c>
    </row>
    <row r="35">
      <c r="A35" s="6" t="inlineStr">
        <is>
          <t>UK 16a    Cash outflows - Total weighted value (£'000)</t>
        </is>
      </c>
      <c r="B35" s="6" t="n"/>
      <c r="C35" s="6" t="n"/>
      <c r="D35" s="6" t="n"/>
      <c r="E35" s="6" t="n"/>
      <c r="F35" s="6" t="n">
        <v>2558</v>
      </c>
      <c r="G35" s="6" t="n">
        <v>2637</v>
      </c>
    </row>
    <row r="36">
      <c r="A36" s="6" t="inlineStr">
        <is>
          <t>UK 16b    Cash inflows - Total weighted value (£'000)</t>
        </is>
      </c>
      <c r="B36" s="6" t="n"/>
      <c r="C36" s="6" t="n"/>
      <c r="D36" s="6" t="n"/>
      <c r="E36" s="6" t="n"/>
      <c r="F36" s="6" t="n">
        <v>8241</v>
      </c>
      <c r="G36" s="6" t="n">
        <v>7799</v>
      </c>
    </row>
    <row r="37">
      <c r="A37" s="6" t="inlineStr">
        <is>
          <t>16    Total net cash outflows (adjusted value) (£'000)</t>
        </is>
      </c>
      <c r="B37" s="6" t="n"/>
      <c r="C37" s="6" t="n"/>
      <c r="D37" s="6" t="n"/>
      <c r="E37" s="6" t="n"/>
      <c r="F37" s="6" t="n">
        <v>640</v>
      </c>
      <c r="G37" s="6" t="n">
        <v>659</v>
      </c>
    </row>
    <row r="38">
      <c r="A38" s="6" t="inlineStr">
        <is>
          <t>17    Liquidity coverage ratio (%)</t>
        </is>
      </c>
      <c r="B38" s="6" t="n"/>
      <c r="C38" s="6" t="n"/>
      <c r="D38" s="6" t="n"/>
      <c r="E38" s="6" t="n"/>
      <c r="F38" s="6" t="inlineStr">
        <is>
          <t>1,382.23%</t>
        </is>
      </c>
      <c r="G38" s="6" t="inlineStr">
        <is>
          <t>998.00%</t>
        </is>
      </c>
    </row>
    <row r="39">
      <c r="A39"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9" s="6" t="n"/>
      <c r="C39" s="6" t="n"/>
      <c r="D39" s="6" t="n"/>
      <c r="E39" s="6" t="n"/>
      <c r="F39" s="6" t="n"/>
      <c r="G39" s="6" t="n"/>
    </row>
    <row r="40">
      <c r="A40" s="6" t="inlineStr">
        <is>
          <t>18    Total available stable funding (£'000)</t>
        </is>
      </c>
      <c r="B40" s="6" t="n"/>
      <c r="C40" s="6" t="n"/>
      <c r="D40" s="6" t="n"/>
      <c r="E40" s="6" t="n"/>
      <c r="F40" s="6" t="n">
        <v>68868</v>
      </c>
      <c r="G40" s="6" t="n">
        <v>60757</v>
      </c>
    </row>
    <row r="41">
      <c r="A41" s="6" t="inlineStr">
        <is>
          <t>19    Total required stable funding (£'000)</t>
        </is>
      </c>
      <c r="B41" s="6" t="n"/>
      <c r="C41" s="6" t="n"/>
      <c r="D41" s="6" t="n"/>
      <c r="E41" s="6" t="n"/>
      <c r="F41" s="6" t="n">
        <v>42862</v>
      </c>
      <c r="G41" s="6" t="n">
        <v>40085</v>
      </c>
    </row>
    <row r="42">
      <c r="A42" s="6" t="inlineStr">
        <is>
          <t>20    NSFR ratio (%)</t>
        </is>
      </c>
      <c r="B42" s="6" t="n"/>
      <c r="C42" s="6" t="n"/>
      <c r="D42" s="6" t="n"/>
      <c r="E42" s="6" t="n"/>
      <c r="F42" s="6" t="inlineStr">
        <is>
          <t>160.67%</t>
        </is>
      </c>
      <c r="G42" s="6" t="inlineStr">
        <is>
          <t>151.57%</t>
        </is>
      </c>
    </row>
    <row r="44" ht="560" customHeight="1">
      <c r="A44"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domain www.kingdombank.co.uk was the bank's own website until May 2016 and now serves only a parking-style redirect (CORRECTED 2026-09-19: this note previously called it 'an unrelated parked domain'); none of its archived Pillar 3 links (2011-2014 editions) is a KM1-era document.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FY2016-FY2019 editions, which state £m to 1 d.p. (Tier 1 capital after deductions)</t>
        </is>
      </c>
      <c r="B6" s="6" t="n"/>
      <c r="C6" s="6" t="n"/>
      <c r="D6" s="6" t="n"/>
      <c r="E6" s="6" t="n"/>
      <c r="F6" s="6" t="n"/>
      <c r="G6" s="6" t="n"/>
      <c r="H6" s="6" t="n">
        <v>5700</v>
      </c>
      <c r="I6" s="6" t="n">
        <v>5600</v>
      </c>
      <c r="J6" s="6" t="n">
        <v>5400</v>
      </c>
      <c r="K6" s="6" t="n">
        <v>5300</v>
      </c>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c r="A9" s="6" t="inlineStr">
        <is>
          <t>Of which: Core Tier 1 capital before deductions - per Pillar 3 FY2016-FY2019 editions (£m to 1 d.p.)</t>
        </is>
      </c>
      <c r="B9" s="6" t="n"/>
      <c r="C9" s="6" t="n"/>
      <c r="D9" s="6" t="n"/>
      <c r="E9" s="6" t="n"/>
      <c r="F9" s="6" t="n"/>
      <c r="G9" s="6" t="n"/>
      <c r="H9" s="6" t="n">
        <v>5900</v>
      </c>
      <c r="I9" s="6" t="n">
        <v>5800</v>
      </c>
      <c r="J9" s="6" t="n">
        <v>5700</v>
      </c>
      <c r="K9" s="6" t="n">
        <v>5600</v>
      </c>
      <c r="L9" s="6" t="n"/>
      <c r="M9" s="6" t="n"/>
    </row>
    <row r="10">
      <c r="A10" s="6" t="inlineStr">
        <is>
          <t>Of which: deductions (intangible assets, DTAs relying on future profits) - per Pillar 3 FY2016-FY2019 editions (£m to 1 d.p.)</t>
        </is>
      </c>
      <c r="B10" s="6" t="n"/>
      <c r="C10" s="6" t="n"/>
      <c r="D10" s="6" t="n"/>
      <c r="E10" s="6" t="n"/>
      <c r="F10" s="6" t="n"/>
      <c r="G10" s="6" t="n"/>
      <c r="H10" s="6" t="n">
        <v>-200</v>
      </c>
      <c r="I10" s="6" t="n">
        <v>-200</v>
      </c>
      <c r="J10" s="6" t="n">
        <v>-300</v>
      </c>
      <c r="K10" s="6" t="n">
        <v>-300</v>
      </c>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
FY2016-FY2018 (added 2026-09-19 from each year's own Pillar 3 edition, section 4 'Total Own Funds' table - FY2016 p.11, FY2017 p.11, FY2018 p.12; URLs in the source note). The Annual Report balance sheet remains the primary row and is unchanged; the Pillar 3 figures sit on their own £m-precision rows and DISAGREE with it in all three years, for the reasons above: FY2016 Pillar 3 £5.3m against shareholders' funds £5,667k; FY2017 £5.4m against £5,778k; FY2018 £5.6m against £5,908k. Each edition footnotes its profit and loss account line as excluding that year's audited profits (approved 22 March 2017, 21 March 2018 and 20 March 2019 respectively), and deducts intangible assets and DTAs relying on future profits (£0.3m, £0.3m, £0.2m). Each edition's own build-up foots as printed: 5.6 - 0.3 = 5.3; 5.7 - 0.3 = 5.4; 5.8 - 0.2 = 5.6. FY2019 foots the same way: 5.9 - 0.2 = 5.7.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CET1 ratio - per Pillar 3 (Template UK KM1 row 5)</t>
        </is>
      </c>
      <c r="B5" s="6" t="n"/>
      <c r="C5" s="6" t="n"/>
      <c r="D5" s="6" t="n"/>
      <c r="E5" s="6" t="n"/>
      <c r="F5" s="6" t="inlineStr">
        <is>
          <t>16.97%</t>
        </is>
      </c>
      <c r="G5" s="6" t="inlineStr">
        <is>
          <t>16.64%</t>
        </is>
      </c>
      <c r="H5" s="6" t="n"/>
      <c r="I5" s="6" t="n"/>
      <c r="J5" s="6" t="n"/>
      <c r="K5" s="6" t="n"/>
      <c r="L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FY2016-FY2019 editions, which state £m to 1 d.p.</t>
        </is>
      </c>
      <c r="B6" s="6" t="n"/>
      <c r="C6" s="6" t="n"/>
      <c r="D6" s="6" t="n"/>
      <c r="E6" s="6" t="n"/>
      <c r="F6" s="6" t="n"/>
      <c r="G6" s="6" t="n"/>
      <c r="H6" s="6" t="n">
        <v>5700</v>
      </c>
      <c r="I6" s="6" t="n">
        <v>5600</v>
      </c>
      <c r="J6" s="6" t="n">
        <v>5400</v>
      </c>
      <c r="K6" s="6" t="n">
        <v>5300</v>
      </c>
      <c r="L6" s="6" t="n"/>
      <c r="M6" s="6" t="n"/>
    </row>
    <row r="7" ht="60" customHeight="1">
      <c r="A7"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The FY2016-FY2018 editions (added 2026-09-19) print the same Tier 1-only structure, with no Additional Tier 1 line: Tier 1 capital after deductions £5.3m (FY2016, p.11), £5.4m (FY2017, p.11) and £5.6m (FY2018, p.12), against Annual Report shareholders' funds of £5,667k, £5,778k and £5,908k - a disagreement of basis explained on the CET1 Capital sheet, not reconciled here.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Tier 1 ratio - per Pillar 3 (Template UK KM1 row 6)</t>
        </is>
      </c>
      <c r="B5" s="6" t="n"/>
      <c r="C5" s="6" t="n"/>
      <c r="D5" s="6" t="n"/>
      <c r="E5" s="6" t="n"/>
      <c r="F5" s="6" t="inlineStr">
        <is>
          <t>16.97%</t>
        </is>
      </c>
      <c r="G5" s="6" t="inlineStr">
        <is>
          <t>16.64%</t>
        </is>
      </c>
      <c r="H5" s="6" t="n"/>
      <c r="I5" s="6" t="n"/>
      <c r="J5" s="6" t="n"/>
      <c r="K5" s="6" t="n"/>
      <c r="L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Tier 2 capital (no deductions) - per Pillar 3 FY2016-FY2019 editions, which state £m to 1 d.p.</t>
        </is>
      </c>
      <c r="B10" s="6" t="n"/>
      <c r="C10" s="6" t="n"/>
      <c r="D10" s="6" t="n"/>
      <c r="E10" s="6" t="n"/>
      <c r="F10" s="6" t="n"/>
      <c r="G10" s="6" t="n"/>
      <c r="H10" s="6" t="n">
        <v>1000</v>
      </c>
      <c r="I10" s="6" t="n">
        <v>1100</v>
      </c>
      <c r="J10" s="6" t="n">
        <v>1300</v>
      </c>
      <c r="K10" s="6" t="n">
        <v>1400</v>
      </c>
      <c r="L10" s="6" t="n"/>
      <c r="M10" s="6" t="n"/>
    </row>
    <row r="11">
      <c r="A11" s="6" t="inlineStr">
        <is>
          <t>Total own funds after deductions - per Pillar 3 FY2016-FY2019 editions, which state £m to 1 d.p. (Total Capital after deductions)</t>
        </is>
      </c>
      <c r="B11" s="6" t="n"/>
      <c r="C11" s="6" t="n"/>
      <c r="D11" s="6" t="n"/>
      <c r="E11" s="6" t="n"/>
      <c r="F11" s="6" t="n"/>
      <c r="G11" s="6" t="n"/>
      <c r="H11" s="6" t="n">
        <v>6700</v>
      </c>
      <c r="I11" s="6" t="n">
        <v>6700</v>
      </c>
      <c r="J11" s="6" t="n">
        <v>6700</v>
      </c>
      <c r="K11" s="6" t="n">
        <v>6700</v>
      </c>
      <c r="L11" s="6" t="n"/>
      <c r="M11" s="6" t="n"/>
    </row>
    <row r="12" ht="60" customHeight="1">
      <c r="A12"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
FY2016-FY2018 (added 2026-09-19, each from its own Pillar 3 edition's section 4 'Total Own Funds' table: FY2016 p.11, FY2017 p.11, FY2018 p.12). All three print Total Capital after deductions of £6.7m (as does FY2019), made up of Tier 1 £5.3m + Tier 2 £1.4m (FY2016), £5.4m + £1.3m (FY2017) and £5.6m + £1.1m (FY2018) - each foots as printed. The Annual Report rows are unchanged and DISAGREE: shareholders' funds plus the full nominal subordinated liabilities give £7,248k (FY2016), £7,359k (FY2017) and £7,339k (FY2018), against £6.7m per Pillar 3. The Tier 2 gap is the eligibility amortisation described above (nominal £1,581k/£1,581k/£1,431k against eligible £1.4m/£1.3m/£1.1m); the Tier 1 gap is explained on the CET1 Capital sheet.
FY2019 TIER 2 IS NOW CARRIED - CORRECTED 2026-10-07. This note previously ended 'The FY2019 Tier 2 figure (£1.0m) was transcribed by an earlier session but is not carried on this sheet; it was not re-read 2026-09-19.' That was accurate and is now superseded: the figure was re-read off the page image and placed on the FY2016-FY2019 Tier 2 row above. FY2019 is therefore the fourth consecutive year printing Total Capital after deductions of £6.7m, here as £5.7m Tier 1 + £1.0m Tier 2. The Annual Report rows for FY2019 continue to disagree and are unchanged: shareholders' funds £6,145k plus nominal subordinated liabilities £1,431k = £7,576k, against £6.7m per Pillar 3, the Tier 2 half of the gap again being eligibility amortisation (nominal £1,431k against eligible £1.0m).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4" ht="230" customHeight="1">
      <c r="A14"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4:M14"/>
    <mergeCell ref="A12:M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 - per Annual Report note 29(j) Capital management</t>
        </is>
      </c>
      <c r="B4" s="6" t="inlineStr">
        <is>
          <t>18.96%</t>
        </is>
      </c>
      <c r="C4" s="6" t="inlineStr">
        <is>
          <t>22.70%</t>
        </is>
      </c>
      <c r="D4" s="6" t="inlineStr">
        <is>
          <t>18.16%</t>
        </is>
      </c>
      <c r="E4" s="6" t="inlineStr">
        <is>
          <t>22.12%</t>
        </is>
      </c>
      <c r="F4" s="6" t="n"/>
      <c r="G4" s="6" t="n"/>
    </row>
    <row r="5">
      <c r="A5" s="6" t="inlineStr">
        <is>
          <t>Total capital ratio - per Pillar 3 (Template UK KM1 row 7)</t>
        </is>
      </c>
      <c r="B5" s="6" t="n"/>
      <c r="C5" s="6" t="n"/>
      <c r="D5" s="6" t="n"/>
      <c r="E5" s="6" t="n"/>
      <c r="F5" s="6" t="inlineStr">
        <is>
          <t>18.84%</t>
        </is>
      </c>
      <c r="G5" s="6" t="inlineStr">
        <is>
          <t>18.79%</t>
        </is>
      </c>
    </row>
    <row r="6" ht="60" customHeight="1">
      <c r="A6" s="7" t="inlineStr">
        <is>
          <t>Note: CORRECTED 2026-09-18 (GA-006). This sheet previously said the Annual Report 'has never carried a Total Capital ratio in any year' and left FY2022-FY2025 blank. That was true of the Strategic Report's KPI table, which is where the other sheets' Annual Report series comes from, and false of the Annual Report itself: note 29 'Financial instruments', sub-note (j) 'Capital management', prints the ratio every year. FY2022-FY2025 are now filled from each year's OWN edition.
THE TWO SERIES ARE ON DIFFERENT BASES AND ARE NOT MERGED. At FY2021, the one year both sources cover, they DISAGREE: the Pillar 3 UK KM1 gives 18.84% and the Annual Report note 29(j) gives 17.93%. The cause is the numerator, not the denominator - both put total risk exposure at 40,617, but Pillar 3 total capital is 7,653 against the Annual Report's 7,283, the Annual Report excluding current-year profits until the audit completes (its own reconciliation carries an explicit 'Less: current year profits (included after audit is completed)' line). 7,653/40,617 = 18.84% and 7,283/40,617 = 17.93%, so each ratio is internally consistent with its own source. Neither overwrites the other.
CONTROL: every adjacent edition's comparative agrees exactly with the own-edition figure used here - FY2022 22.12% appears in both the FY2022 and FY2023 editions, FY2023 18.16% in both the FY2023 and FY2024 editions, FY2024 22.70% in both the FY2024 and FY2025 editions.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Exposure amount - per Annual Report note 29(j) Capital management</t>
        </is>
      </c>
      <c r="B4" s="6" t="n">
        <v>82630</v>
      </c>
      <c r="C4" s="6" t="n">
        <v>68191</v>
      </c>
      <c r="D4" s="6" t="n">
        <v>53182</v>
      </c>
      <c r="E4" s="6" t="n">
        <v>43648</v>
      </c>
      <c r="F4" s="6" t="n"/>
      <c r="G4" s="6" t="n"/>
    </row>
    <row r="5">
      <c r="A5" s="6" t="inlineStr">
        <is>
          <t>Total risk-weighted exposure amount - per Pillar 3 (UK KM1 row 4 / UK OV1 row 29)</t>
        </is>
      </c>
      <c r="B5" s="6" t="n"/>
      <c r="C5" s="6" t="n"/>
      <c r="D5" s="6" t="n"/>
      <c r="E5" s="6" t="n"/>
      <c r="F5" s="6" t="n">
        <v>40617</v>
      </c>
      <c r="G5" s="6" t="n">
        <v>39632</v>
      </c>
    </row>
    <row r="6" ht="60" customHeight="1">
      <c r="A6" s="7" t="inlineStr">
        <is>
          <t>Note: CORRECTED 2026-09-18 (GA-006). FY2022-FY2025 were blank here because this sheet looked only at the Strategic Report's KPI table, which indeed carries no RWA figure in any year. The Annual Report does: note 29 'Financial instruments', sub-note (j) 'Capital management', ends its regulatory-capital reconciliation with a 'Total Risk Exposure amount (unaudited)' line every year. Each of the four years is taken from its own edition.
UNLIKE THE TOTAL CAPITAL RATIO SHEET, THE TWO SERIES HERE COINCIDE. At FY2021, the one year both sources cover, the Pillar 3 UK KM1 row 4 and the Annual Report note 29(j) both give 40,617 - the bases differ on regulatory own funds (see the Total Capital Ratio sheet) but not on the risk exposure denominator. The rows are still kept separate rather than run together, because a reader should be able to see which document each cell came from. 'Total Risk Exposure amount' is the bank's own caption and is the CRR term for the same quantity the Pillar 3 row calls total risk-weighted exposure amount.
CONTROL: FY2022 43,648, FY2023 53,182 and FY2024 68,191 each appear identically in their own edition and in the following year's comparative column.
On the Pillar 3 series: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Kingdom Bank Limited — RWA Breakdown</t>
        </is>
      </c>
    </row>
    <row r="2">
      <c r="A2" s="2" t="inlineStr">
        <is>
          <t>Risk weighted exposure amounts, Bank/solo basis, £'000. Disclosed FY2016-FY2021 only, in three different structures (FY2016-FY2019 at £m precision)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c r="H4" s="6" t="n"/>
      <c r="I4" s="6" t="n"/>
      <c r="J4" s="6" t="n"/>
      <c r="K4" s="6" t="n"/>
    </row>
    <row r="5">
      <c r="A5" s="5" t="inlineStr">
        <is>
          <t>Template UK OV1 - Overview of risk weighted exposure amounts</t>
        </is>
      </c>
      <c r="B5" s="6" t="n"/>
      <c r="C5" s="6" t="n"/>
      <c r="D5" s="6" t="n"/>
      <c r="E5" s="6" t="n"/>
      <c r="F5" s="6" t="n"/>
      <c r="G5" s="6" t="n"/>
      <c r="H5" s="6" t="n"/>
      <c r="I5" s="6" t="n"/>
      <c r="J5" s="6" t="n"/>
      <c r="K5" s="6" t="n"/>
    </row>
    <row r="6">
      <c r="A6" s="6" t="inlineStr">
        <is>
          <t>Credit risk (excluding CCR)</t>
        </is>
      </c>
      <c r="B6" s="6" t="n"/>
      <c r="C6" s="6" t="n"/>
      <c r="D6" s="6" t="n"/>
      <c r="E6" s="6" t="n"/>
      <c r="F6" s="6" t="n">
        <v>36472</v>
      </c>
      <c r="G6" s="6" t="n">
        <v>35487</v>
      </c>
      <c r="H6" s="6" t="n"/>
      <c r="I6" s="6" t="n"/>
      <c r="J6" s="6" t="n"/>
      <c r="K6" s="6" t="n"/>
    </row>
    <row r="7">
      <c r="A7" s="6" t="inlineStr">
        <is>
          <t>Of which: the standardised approach</t>
        </is>
      </c>
      <c r="B7" s="6" t="n"/>
      <c r="C7" s="6" t="n"/>
      <c r="D7" s="6" t="n"/>
      <c r="E7" s="6" t="n"/>
      <c r="F7" s="6" t="n">
        <v>36472</v>
      </c>
      <c r="G7" s="6" t="n">
        <v>35487</v>
      </c>
      <c r="H7" s="6" t="n"/>
      <c r="I7" s="6" t="n"/>
      <c r="J7" s="6" t="n"/>
      <c r="K7" s="6" t="n"/>
    </row>
    <row r="8">
      <c r="A8" s="6" t="inlineStr">
        <is>
          <t>Operational risk</t>
        </is>
      </c>
      <c r="B8" s="6" t="n"/>
      <c r="C8" s="6" t="n"/>
      <c r="D8" s="6" t="n"/>
      <c r="E8" s="6" t="n"/>
      <c r="F8" s="6" t="n">
        <v>4145</v>
      </c>
      <c r="G8" s="6" t="n">
        <v>4145</v>
      </c>
      <c r="H8" s="6" t="n"/>
      <c r="I8" s="6" t="n"/>
      <c r="J8" s="6" t="n"/>
      <c r="K8" s="6" t="n"/>
    </row>
    <row r="9">
      <c r="A9" s="6" t="inlineStr">
        <is>
          <t>Of which: basic indicator approach</t>
        </is>
      </c>
      <c r="B9" s="6" t="n"/>
      <c r="C9" s="6" t="n"/>
      <c r="D9" s="6" t="n"/>
      <c r="E9" s="6" t="n"/>
      <c r="F9" s="6" t="n">
        <v>4145</v>
      </c>
      <c r="G9" s="6" t="n">
        <v>4145</v>
      </c>
      <c r="H9" s="6" t="n"/>
      <c r="I9" s="6" t="n"/>
      <c r="J9" s="6" t="n"/>
      <c r="K9" s="6" t="n"/>
    </row>
    <row r="10">
      <c r="A10" s="6" t="inlineStr">
        <is>
          <t>Amounts below the thresholds for deduction (subject to 250% risk weight) - disclosed by the template 'For information' only and NOT included in the total below</t>
        </is>
      </c>
      <c r="B10" s="6" t="n"/>
      <c r="C10" s="6" t="n"/>
      <c r="D10" s="6" t="n"/>
      <c r="E10" s="6" t="n"/>
      <c r="F10" s="6" t="n">
        <v>214</v>
      </c>
      <c r="G10" s="6" t="n">
        <v>48</v>
      </c>
      <c r="H10" s="6" t="n"/>
      <c r="I10" s="6" t="n"/>
      <c r="J10" s="6" t="n"/>
      <c r="K10" s="6" t="n"/>
    </row>
    <row r="11">
      <c r="A11" s="5" t="inlineStr">
        <is>
          <t>Total risk weighted exposure amount</t>
        </is>
      </c>
      <c r="B11" s="5" t="n"/>
      <c r="C11" s="5" t="n"/>
      <c r="D11" s="5" t="n"/>
      <c r="E11" s="5" t="n"/>
      <c r="F11" s="5" t="n">
        <v>40617</v>
      </c>
      <c r="G11" s="5" t="n">
        <v>39632</v>
      </c>
      <c r="H11" s="5" t="n"/>
      <c r="I11" s="5" t="n"/>
      <c r="J11" s="5" t="n"/>
      <c r="K11" s="5" t="n"/>
    </row>
    <row r="12">
      <c r="A12" s="5" t="inlineStr">
        <is>
          <t>Credit risk by standardised exposure class (FY2021 edition's own analysis)</t>
        </is>
      </c>
      <c r="B12" s="6" t="n"/>
      <c r="C12" s="6" t="n"/>
      <c r="D12" s="6" t="n"/>
      <c r="E12" s="6" t="n"/>
      <c r="F12" s="6" t="n"/>
      <c r="G12" s="6" t="n"/>
      <c r="H12" s="6" t="n"/>
      <c r="I12" s="6" t="n"/>
      <c r="J12" s="6" t="n"/>
      <c r="K12" s="6" t="n"/>
    </row>
    <row r="13">
      <c r="A13" s="6" t="inlineStr">
        <is>
          <t>Central governments or central banks</t>
        </is>
      </c>
      <c r="B13" s="6" t="n"/>
      <c r="C13" s="6" t="n"/>
      <c r="D13" s="6" t="n"/>
      <c r="E13" s="6" t="n"/>
      <c r="F13" s="6" t="n">
        <v>0</v>
      </c>
      <c r="G13" s="6" t="n"/>
      <c r="H13" s="6" t="n"/>
      <c r="I13" s="6" t="n"/>
      <c r="J13" s="6" t="n"/>
      <c r="K13" s="6" t="n"/>
    </row>
    <row r="14">
      <c r="A14" s="6" t="inlineStr">
        <is>
          <t>Institutions</t>
        </is>
      </c>
      <c r="B14" s="6" t="n"/>
      <c r="C14" s="6" t="n"/>
      <c r="D14" s="6" t="n"/>
      <c r="E14" s="6" t="n"/>
      <c r="F14" s="6" t="n">
        <v>1715</v>
      </c>
      <c r="G14" s="6" t="n"/>
      <c r="H14" s="6" t="n"/>
      <c r="I14" s="6" t="n"/>
      <c r="J14" s="6" t="n"/>
      <c r="K14" s="6" t="n"/>
    </row>
    <row r="15">
      <c r="A15" s="6" t="inlineStr">
        <is>
          <t>Retail</t>
        </is>
      </c>
      <c r="B15" s="6" t="n"/>
      <c r="C15" s="6" t="n"/>
      <c r="D15" s="6" t="n"/>
      <c r="E15" s="6" t="n"/>
      <c r="F15" s="6" t="n">
        <v>53</v>
      </c>
      <c r="G15" s="6" t="n"/>
      <c r="H15" s="6" t="n"/>
      <c r="I15" s="6" t="n"/>
      <c r="J15" s="6" t="n"/>
      <c r="K15" s="6" t="n"/>
    </row>
    <row r="16">
      <c r="A16" s="6" t="inlineStr">
        <is>
          <t>Secured by mortgages on immovable property</t>
        </is>
      </c>
      <c r="B16" s="6" t="n"/>
      <c r="C16" s="6" t="n"/>
      <c r="D16" s="6" t="n"/>
      <c r="E16" s="6" t="n"/>
      <c r="F16" s="6" t="n">
        <v>33472</v>
      </c>
      <c r="G16" s="6" t="n"/>
      <c r="H16" s="6" t="n"/>
      <c r="I16" s="6" t="n"/>
      <c r="J16" s="6" t="n"/>
      <c r="K16" s="6" t="n"/>
    </row>
    <row r="17">
      <c r="A17" s="6" t="inlineStr">
        <is>
          <t>Exposures in default</t>
        </is>
      </c>
      <c r="B17" s="6" t="n"/>
      <c r="C17" s="6" t="n"/>
      <c r="D17" s="6" t="n"/>
      <c r="E17" s="6" t="n"/>
      <c r="F17" s="6" t="n">
        <v>67</v>
      </c>
      <c r="G17" s="6" t="n"/>
      <c r="H17" s="6" t="n"/>
      <c r="I17" s="6" t="n"/>
      <c r="J17" s="6" t="n"/>
      <c r="K17" s="6" t="n"/>
    </row>
    <row r="18">
      <c r="A18" s="6" t="inlineStr">
        <is>
          <t>Claims on institutions and corporates with a short-term credit assessment</t>
        </is>
      </c>
      <c r="B18" s="6" t="n"/>
      <c r="C18" s="6" t="n"/>
      <c r="D18" s="6" t="n"/>
      <c r="E18" s="6" t="n"/>
      <c r="F18" s="6" t="n">
        <v>444</v>
      </c>
      <c r="G18" s="6" t="n"/>
      <c r="H18" s="6" t="n"/>
      <c r="I18" s="6" t="n"/>
      <c r="J18" s="6" t="n"/>
      <c r="K18" s="6" t="n"/>
    </row>
    <row r="19">
      <c r="A19" s="6" t="inlineStr">
        <is>
          <t>Other items</t>
        </is>
      </c>
      <c r="B19" s="6" t="n"/>
      <c r="C19" s="6" t="n"/>
      <c r="D19" s="6" t="n"/>
      <c r="E19" s="6" t="n"/>
      <c r="F19" s="6" t="n">
        <v>721</v>
      </c>
      <c r="G19" s="6" t="n"/>
      <c r="H19" s="6" t="n"/>
      <c r="I19" s="6" t="n"/>
      <c r="J19" s="6" t="n"/>
      <c r="K19" s="6" t="n"/>
    </row>
    <row r="20">
      <c r="A20" s="5" t="inlineStr">
        <is>
          <t>SA exposure classes excluding securitisation positions</t>
        </is>
      </c>
      <c r="B20" s="5" t="n"/>
      <c r="C20" s="5" t="n"/>
      <c r="D20" s="5" t="n"/>
      <c r="E20" s="5" t="n"/>
      <c r="F20" s="5" t="n">
        <v>36472</v>
      </c>
      <c r="G20" s="5" t="n"/>
      <c r="H20" s="5" t="n"/>
      <c r="I20" s="5" t="n"/>
      <c r="J20" s="5" t="n"/>
      <c r="K20" s="5" t="n"/>
    </row>
    <row r="21">
      <c r="A21" s="5" t="inlineStr">
        <is>
          <t>Credit risk by CRR Article 112 exposure category (FY2016-FY2020 editions' own, differently-structured analysis - see source note)</t>
        </is>
      </c>
      <c r="B21" s="6" t="n"/>
      <c r="C21" s="6" t="n"/>
      <c r="D21" s="6" t="n"/>
      <c r="E21" s="6" t="n"/>
      <c r="F21" s="6" t="n"/>
      <c r="G21" s="6" t="n"/>
      <c r="H21" s="6" t="n"/>
      <c r="I21" s="6" t="n"/>
      <c r="J21" s="6" t="n"/>
      <c r="K21" s="6" t="n"/>
    </row>
    <row r="22">
      <c r="A22" s="6" t="inlineStr">
        <is>
          <t>Exposures to central governments or central banks (Bank of England Reserve Account)</t>
        </is>
      </c>
      <c r="B22" s="6" t="n"/>
      <c r="C22" s="6" t="n"/>
      <c r="D22" s="6" t="n"/>
      <c r="E22" s="6" t="n"/>
      <c r="F22" s="6" t="n"/>
      <c r="G22" s="6" t="inlineStr">
        <is>
          <t>-</t>
        </is>
      </c>
      <c r="H22" s="6" t="inlineStr">
        <is>
          <t>-</t>
        </is>
      </c>
      <c r="I22" s="6" t="inlineStr">
        <is>
          <t>-</t>
        </is>
      </c>
      <c r="J22" s="6" t="inlineStr">
        <is>
          <t>-</t>
        </is>
      </c>
      <c r="K22" s="6" t="inlineStr">
        <is>
          <t>-</t>
        </is>
      </c>
    </row>
    <row r="23">
      <c r="A23" s="6" t="inlineStr">
        <is>
          <t>Retail exposures (unsecured loans)</t>
        </is>
      </c>
      <c r="B23" s="6" t="n"/>
      <c r="C23" s="6" t="n"/>
      <c r="D23" s="6" t="n"/>
      <c r="E23" s="6" t="n"/>
      <c r="F23" s="6" t="n"/>
      <c r="G23" s="6" t="n">
        <v>657</v>
      </c>
      <c r="H23" s="6" t="n">
        <v>200</v>
      </c>
      <c r="I23" s="6" t="n">
        <v>100</v>
      </c>
      <c r="J23" s="6" t="n">
        <v>200</v>
      </c>
      <c r="K23" s="6" t="n">
        <v>200</v>
      </c>
    </row>
    <row r="24">
      <c r="A24" s="6" t="inlineStr">
        <is>
          <t>Exposures secured by mortgages on immovable property (non-residential loans performing)</t>
        </is>
      </c>
      <c r="B24" s="6" t="n"/>
      <c r="C24" s="6" t="n"/>
      <c r="D24" s="6" t="n"/>
      <c r="E24" s="6" t="n"/>
      <c r="F24" s="6" t="n"/>
      <c r="G24" s="6" t="n">
        <v>26073</v>
      </c>
      <c r="H24" s="6" t="n">
        <v>27200</v>
      </c>
      <c r="I24" s="6" t="n">
        <v>28300</v>
      </c>
      <c r="J24" s="6" t="n">
        <v>25000</v>
      </c>
      <c r="K24" s="6" t="n">
        <v>23200</v>
      </c>
    </row>
    <row r="25">
      <c r="A25" s="6" t="inlineStr">
        <is>
          <t>Exposures secured by mortgages on immovable property (residential loans performing)</t>
        </is>
      </c>
      <c r="B25" s="6" t="n"/>
      <c r="C25" s="6" t="n"/>
      <c r="D25" s="6" t="n"/>
      <c r="E25" s="6" t="n"/>
      <c r="F25" s="6" t="n"/>
      <c r="G25" s="6" t="n">
        <v>3937</v>
      </c>
      <c r="H25" s="6" t="n">
        <v>3300</v>
      </c>
      <c r="I25" s="6" t="n">
        <v>2800</v>
      </c>
      <c r="J25" s="6" t="n">
        <v>2500</v>
      </c>
      <c r="K25" s="6" t="n">
        <v>2000</v>
      </c>
    </row>
    <row r="26">
      <c r="A26" s="6" t="inlineStr">
        <is>
          <t>Exposures in default (non-residential loans)</t>
        </is>
      </c>
      <c r="B26" s="6" t="n"/>
      <c r="C26" s="6" t="n"/>
      <c r="D26" s="6" t="n"/>
      <c r="E26" s="6" t="n"/>
      <c r="F26" s="6" t="n"/>
      <c r="G26" s="6" t="n">
        <v>266</v>
      </c>
      <c r="H26" s="6" t="n">
        <v>300</v>
      </c>
      <c r="I26" s="6" t="n">
        <v>400</v>
      </c>
      <c r="J26" s="6" t="n">
        <v>400</v>
      </c>
      <c r="K26" s="6" t="n">
        <v>400</v>
      </c>
    </row>
    <row r="27">
      <c r="A27" s="6" t="inlineStr">
        <is>
          <t>Exposures in default (residential loans)</t>
        </is>
      </c>
      <c r="B27" s="6" t="n"/>
      <c r="C27" s="6" t="n"/>
      <c r="D27" s="6" t="n"/>
      <c r="E27" s="6" t="n"/>
      <c r="F27" s="6" t="n"/>
      <c r="G27" s="6" t="n">
        <v>0</v>
      </c>
      <c r="H27" s="6" t="n">
        <v>0</v>
      </c>
      <c r="I27" s="6" t="n">
        <v>0</v>
      </c>
      <c r="J27" s="6" t="n">
        <v>0</v>
      </c>
      <c r="K27" s="6" t="n">
        <v>0</v>
      </c>
    </row>
    <row r="28">
      <c r="A28" s="6" t="inlineStr">
        <is>
          <t>Exposures in default (unsecured loans)</t>
        </is>
      </c>
      <c r="B28" s="6" t="n"/>
      <c r="C28" s="6" t="n"/>
      <c r="D28" s="6" t="n"/>
      <c r="E28" s="6" t="n"/>
      <c r="F28" s="6" t="n"/>
      <c r="G28" s="6" t="n">
        <v>0</v>
      </c>
      <c r="H28" s="6" t="n">
        <v>0</v>
      </c>
      <c r="I28" s="6" t="n">
        <v>0</v>
      </c>
      <c r="J28" s="6" t="n">
        <v>0</v>
      </c>
      <c r="K28" s="6" t="n">
        <v>0</v>
      </c>
    </row>
    <row r="29">
      <c r="A29" s="6" t="inlineStr">
        <is>
          <t>Exposures to institutions</t>
        </is>
      </c>
      <c r="B29" s="6" t="n"/>
      <c r="C29" s="6" t="n"/>
      <c r="D29" s="6" t="n"/>
      <c r="E29" s="6" t="n"/>
      <c r="F29" s="6" t="n"/>
      <c r="G29" s="6" t="n">
        <v>2827</v>
      </c>
      <c r="H29" s="6" t="n">
        <v>1100</v>
      </c>
      <c r="I29" s="6" t="n">
        <v>1200</v>
      </c>
      <c r="J29" s="6" t="n">
        <v>2400</v>
      </c>
      <c r="K29" s="6" t="n">
        <v>2100</v>
      </c>
    </row>
    <row r="30">
      <c r="A30" s="6" t="inlineStr">
        <is>
          <t>Other items (fixed and other assets)</t>
        </is>
      </c>
      <c r="B30" s="6" t="n"/>
      <c r="C30" s="6" t="n"/>
      <c r="D30" s="6" t="n"/>
      <c r="E30" s="6" t="n"/>
      <c r="F30" s="6" t="n"/>
      <c r="G30" s="6" t="n">
        <v>1728</v>
      </c>
      <c r="H30" s="6" t="n">
        <v>1900</v>
      </c>
      <c r="I30" s="6" t="n">
        <v>1800</v>
      </c>
      <c r="J30" s="6" t="n">
        <v>1800</v>
      </c>
      <c r="K30" s="6" t="n">
        <v>1700</v>
      </c>
    </row>
    <row r="31">
      <c r="A31" s="5" t="inlineStr">
        <is>
          <t>Credit Risk - risk weighted exposure amounts</t>
        </is>
      </c>
      <c r="B31" s="5" t="n"/>
      <c r="C31" s="5" t="n"/>
      <c r="D31" s="5" t="n"/>
      <c r="E31" s="5" t="n"/>
      <c r="F31" s="5" t="n"/>
      <c r="G31" s="5" t="n">
        <v>35488</v>
      </c>
      <c r="H31" s="5" t="n">
        <v>34000</v>
      </c>
      <c r="I31" s="5" t="n">
        <v>34600</v>
      </c>
      <c r="J31" s="5" t="n">
        <v>32300</v>
      </c>
      <c r="K31" s="5" t="n">
        <v>29600</v>
      </c>
    </row>
    <row r="32">
      <c r="A32" s="5" t="inlineStr">
        <is>
          <t>Own funds requirement (8% of the risk weighted exposure amounts above)</t>
        </is>
      </c>
      <c r="B32" s="6" t="n"/>
      <c r="C32" s="6" t="n"/>
      <c r="D32" s="6" t="n"/>
      <c r="E32" s="6" t="n"/>
      <c r="F32" s="6" t="n"/>
      <c r="G32" s="6" t="n"/>
      <c r="H32" s="6" t="n"/>
      <c r="I32" s="6" t="n"/>
      <c r="J32" s="6" t="n"/>
      <c r="K32" s="6" t="n"/>
    </row>
    <row r="33">
      <c r="A33" s="6" t="inlineStr">
        <is>
          <t>Credit risk - capital resources required</t>
        </is>
      </c>
      <c r="B33" s="6" t="n"/>
      <c r="C33" s="6" t="n"/>
      <c r="D33" s="6" t="n"/>
      <c r="E33" s="6" t="n"/>
      <c r="F33" s="6" t="n">
        <v>2917</v>
      </c>
      <c r="G33" s="6" t="n">
        <v>2839</v>
      </c>
      <c r="H33" s="6" t="n">
        <v>2700</v>
      </c>
      <c r="I33" s="6" t="n">
        <v>2800</v>
      </c>
      <c r="J33" s="6" t="n">
        <v>2600</v>
      </c>
      <c r="K33" s="6" t="n">
        <v>2400</v>
      </c>
    </row>
    <row r="34">
      <c r="A34" s="6" t="inlineStr">
        <is>
          <t>Operational risk - capital resources required</t>
        </is>
      </c>
      <c r="B34" s="6" t="n"/>
      <c r="C34" s="6" t="n"/>
      <c r="D34" s="6" t="n"/>
      <c r="E34" s="6" t="n"/>
      <c r="F34" s="6" t="n">
        <v>332</v>
      </c>
      <c r="G34" s="6" t="n">
        <v>332</v>
      </c>
      <c r="H34" s="6" t="n">
        <v>300</v>
      </c>
      <c r="I34" s="6" t="n">
        <v>300</v>
      </c>
      <c r="J34" s="6" t="n">
        <v>200</v>
      </c>
      <c r="K34" s="6" t="n">
        <v>200</v>
      </c>
    </row>
    <row r="35">
      <c r="A35" s="5" t="inlineStr">
        <is>
          <t>Pillar 1 capital resources required</t>
        </is>
      </c>
      <c r="B35" s="5" t="n"/>
      <c r="C35" s="5" t="n"/>
      <c r="D35" s="5" t="n"/>
      <c r="E35" s="5" t="n"/>
      <c r="F35" s="5" t="n">
        <v>3249</v>
      </c>
      <c r="G35" s="5" t="n">
        <v>3171</v>
      </c>
      <c r="H35" s="5" t="n">
        <v>3000</v>
      </c>
      <c r="I35" s="5" t="n">
        <v>3100</v>
      </c>
      <c r="J35" s="5" t="n">
        <v>2800</v>
      </c>
      <c r="K35" s="5" t="n">
        <v>2600</v>
      </c>
    </row>
    <row r="37" ht="460" customHeight="1">
      <c r="A3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The residential and unsecured default classes are printed '0.0' and are carried as 0: a measured nil, not a dash. The central government/central bank row is printed as a DASH and is carried as one - see the DASHES paragraph below.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FY2016-FY2018 ADDED 2026-09-19, each from its OWN Pillar 3 edition (section 5.1 'Exposure category under CRR Article 112' table: FY2016 printed p.12, FY2017 p.12, FY2018 p.13; URLs in the source citation), in the same Article 112 structure as FY2019-FY2020 and at the same £m-to-1-d.p. precision. Only the 'Risk weighted exposure £m' column and the three capital-requirement totals are carried; the editions also print an 'Exposure £m' column and a per-line 'Capital required' column, which this sheet has never carried for any year. Each year's own table foots as printed: FY2016 0.2 + 23.2 + 2.0 + 0.4 + 0.0 + 0.0 + 2.1 + 1.7 = 29.6, with 2.4 + 0.2 = 2.6 capital required; FY2017 0.2 + 25.0 + 2.5 + 0.4 + 2.4 + 1.8 = 32.3, with 2.6 + 0.2 = 2.8; FY2018 0.1 + 28.3 + 2.8 + 0.4 + 1.2 + 1.8 = 34.6, with 2.8 + 0.3 = 3.1. As in FY2019-FY2020, no edition states a total risk-weighted exposure amount - operational risk appears only as a capital requirement - so no total is shown for these years.
DASHES. The central-government row prints a dash in both the risk-weighted-exposure and the capital-required columns of EVERY edition that carries this table - FY2016, FY2017, FY2018, FY2019 and FY2020 - while printing the exposure itself (£4.2m, £4.5m, £4.5m, £6.5m and £6,677k respectively: the Bank of England Reserve Account at a 0% risk weight). All five cells carry a literal '-', because a dash is the bank saying the row does not apply and that is a different statement from a measured nought.
FY2019 AND FY2020 WERE CONVERTED ON 2026-10-07; THEY HAD HELD 0. The earlier pass left them for the corpus-wide dash conversion (GA-008) rather than converting one bank at a time, and recorded that the FY2020 edition's glyph had never been re-read at all. Both have now been read off 300 dpi page images of the editions' own pages - FY2019 printed p.14 and FY2020 printed p.17, in each case the page footer confirming the folio - and both print a dash. THE GLYPHS DIFFER BETWEEN EDITIONS AND THE CELL DOES NOT: FY2016-FY2019 print a short hyphen-style dash and FY2020 prints an en dash; every cell carries the plain ASCII '-'. Rows on those same two tables that print a real '0' or '0.0' (the residential and unsecured default classes) are untouched and remain 0.
The paragraph below describes the UK OV1 / total rows; the Article 112 rows are covered above.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sheetData>
  <mergeCells count="1">
    <mergeCell ref="A37:K3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EACH YEAR'S OWN PILLAR 3 EDITION NOW CONFIRMS FY2016-FY2018 TOO (read 2026-09-19, section 5.2 Leverage Ratio): FY2016 edition p.13 'The Bank's calculated leverage ratio at 31 December 2016 was 10.1% (2015: 8.96%)'; FY2017 edition p.13 '...at 31 December 2017 was 9.4% (2016: 10.1%)'; FY2018 edition p.14 '...at 31 December 2018 was 10.1% (2017: 9.4%)'. The Annual Report KPI table gives 10.09%, 9.38% and 10.10%, so the two documents AGREE at the one decimal place the Pillar 3 editions print; the KPI table's two-decimal figures are kept as the row's values and are not rounded to the Pillar 3 precision. The FY2016 edition's comparative also confirms the FY2015 KPI figure of 8.96% exactly (FY2015's own Pillar 3 edition is unreachable - see below). No FY2016-FY2018 edition prints a leverage exposure measure.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row>
    <row r="7">
      <c r="A7" s="6" t="inlineStr">
        <is>
          <t>Cash outflows, total weighted value (£'000) - per Pillar 3 (row UK 16a)</t>
        </is>
      </c>
      <c r="B7" s="6" t="n"/>
      <c r="C7" s="6" t="n"/>
      <c r="D7" s="6" t="n"/>
      <c r="E7" s="6" t="n"/>
      <c r="F7" s="6" t="n">
        <v>2558</v>
      </c>
      <c r="G7" s="6" t="n">
        <v>2637</v>
      </c>
      <c r="H7" s="6" t="n"/>
      <c r="I7" s="6" t="n"/>
      <c r="J7" s="6" t="n"/>
      <c r="K7" s="6" t="n"/>
      <c r="L7" s="6" t="n"/>
    </row>
    <row r="8">
      <c r="A8" s="6" t="inlineStr">
        <is>
          <t>Cash inflows, total weighted value (£'000) - per Pillar 3 (row UK 16b)</t>
        </is>
      </c>
      <c r="B8" s="6" t="n"/>
      <c r="C8" s="6" t="n"/>
      <c r="D8" s="6" t="n"/>
      <c r="E8" s="6" t="n"/>
      <c r="F8" s="6" t="n">
        <v>8241</v>
      </c>
      <c r="G8" s="6" t="n">
        <v>7799</v>
      </c>
      <c r="H8" s="6" t="n"/>
      <c r="I8" s="6" t="n"/>
      <c r="J8" s="6" t="n"/>
      <c r="K8" s="6" t="n"/>
      <c r="L8" s="6" t="n"/>
    </row>
    <row r="9">
      <c r="A9" s="6" t="inlineStr">
        <is>
          <t>Total net cash outflows, adjusted value (£'000) - per Pillar 3 (row 16)</t>
        </is>
      </c>
      <c r="B9" s="6" t="n"/>
      <c r="C9" s="6" t="n"/>
      <c r="D9" s="6" t="n"/>
      <c r="E9" s="6" t="n"/>
      <c r="F9" s="6" t="n">
        <v>640</v>
      </c>
      <c r="G9" s="6" t="n">
        <v>659</v>
      </c>
      <c r="H9" s="6" t="n"/>
      <c r="I9" s="6" t="n"/>
      <c r="J9" s="6" t="n"/>
      <c r="K9" s="6" t="n"/>
      <c r="L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L10"/>
    <mergeCell ref="A12:L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 ratio, 4-quarter average of end-of-quarter observations - per Pillar 3 (UK KM1 row 20)</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inlineStr">
        <is>
          <t>160.67%</t>
        </is>
      </c>
      <c r="G4" s="6" t="inlineStr">
        <is>
          <t>151.57%</t>
        </is>
      </c>
    </row>
    <row r="5">
      <c r="A5" s="6" t="inlineStr">
        <is>
          <t>Total available stable funding (£'000) - per Pillar 3 (UK KM1 row 18)</t>
        </is>
      </c>
      <c r="B5" s="6" t="n"/>
      <c r="C5" s="6" t="n"/>
      <c r="D5" s="6" t="n"/>
      <c r="E5" s="6" t="n"/>
      <c r="F5" s="6" t="n">
        <v>68868</v>
      </c>
      <c r="G5" s="6" t="n">
        <v>60757</v>
      </c>
    </row>
    <row r="6">
      <c r="A6" s="6" t="inlineStr">
        <is>
          <t>Total required stable funding (£'000) - per Pillar 3 (UK KM1 row 19)</t>
        </is>
      </c>
      <c r="B6" s="6" t="n"/>
      <c r="C6" s="6" t="n"/>
      <c r="D6" s="6" t="n"/>
      <c r="E6" s="6" t="n"/>
      <c r="F6" s="6" t="n">
        <v>42862</v>
      </c>
      <c r="G6" s="6" t="n">
        <v>40085</v>
      </c>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FY2022-FY2025 CHECKED AND CONFIRMED ABSENT FROM THE ANNUAL REPORTS (GA-006, 2026-09-18). The FY2022-FY2025 blanks here are NOT the same kind of blank as the ones on the Total RWAs and Total Capital Ratio sheets, which were filled on this date from Annual Report note 29(j). That note carries capital only; the Annual Report discloses no NSFR anywhere. Searched whole-document on the text-native FY2024 and FY2025 editions for 'NSFR', 'net stable' and 'stable funding': zero hits each, against a richness control of 30 hits for 'liquidity' and 121/126 for 'capital' in the same extraction, so the zero is a fact about the documents and not about the search. The FY2023 edition is a scan and was checked the same way over its Strategic Report and KPI-table pages via OCR - again zero for all three terms, against 12 'liquidity' and 23 'ratio' hits. In every edition the only liquidity metric the bank publishes is the Liquidity Coverage Requirement ratio, which is why the LCR sheet has a continuous series and this one does not. These four years are therefore not a sourcing gap in the Annual Reports; they are a gap that only a Pillar 3 document could close, and the Pillar 3 position for those years is below.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(SDDT Rule 3.1 from 20/02/2025, BoE register A00009930P); 2025 statutory accounts text-searched 2026-09-19: no MREL</t>
        </is>
      </c>
      <c r="C4" s="6" t="inlineStr">
        <is>
          <t>Not published – bank states no Pillar 3 required after FY2023; 2024 statutory accounts text-searched 2026-09-19: no MREL</t>
        </is>
      </c>
      <c r="D4" s="6" t="inlineStr">
        <is>
          <t>Unreached today – this year's Pillar 3 is not retrievable (live URL 404; Wayback: WAF page or no capture; archive.ph none; WP media purged; Common Crawl 2023-14..2026-39; 2026-09-19); accounts' KPI table has no MREL</t>
        </is>
      </c>
      <c r="E4" s="6" t="inlineStr">
        <is>
          <t>Unreached today – this year's Pillar 3 is not retrievable (live URL 404; Wayback: WAF page or no capture; archive.ph none; WP media purged; Common Crawl 2023-14..2026-39; 2026-09-19); accounts' KPI table has no MREL</t>
        </is>
      </c>
      <c r="F4" s="6" t="inlineStr">
        <is>
          <t>Not published – Pillar 3 FY2021 (Wayback copy, read in full; text-searched 2026-09-19) has no MREL</t>
        </is>
      </c>
      <c r="G4" s="6" t="inlineStr">
        <is>
          <t>Not published – Pillar 3 FY2020 (Wayback copy, read in full; text-searched 2026-09-19) has no MREL</t>
        </is>
      </c>
      <c r="H4" s="6" t="inlineStr">
        <is>
          <t>Not published – Pillar 3 FY2019 (Wayback copy, read in full; text-searched 2026-09-19) has no MREL</t>
        </is>
      </c>
      <c r="I4" s="6" t="inlineStr">
        <is>
          <t>Not published – Pillar 3 FY2018 (approved 22 May 2019, 20pp, Webflow copy) has no MREL: contents p.2 has no such section; text 0 hits vs 79 'capital'</t>
        </is>
      </c>
      <c r="J4" s="6" t="inlineStr">
        <is>
          <t>Not published – Pillar 3 FY2017 (approved 23 May 2018, 19pp, Webflow copy) has no MREL: contents p.2 has no such section; text 0 hits vs 79 'capital'</t>
        </is>
      </c>
      <c r="K4" s="6" t="inlineStr">
        <is>
          <t>Not published – Pillar 3 FY2016 (approved 17 May 2017, 19pp, Webflow copy) has no MREL: contents p.2 has no such section; text 0 hits vs 76 'capital'</t>
        </is>
      </c>
      <c r="L4" s="6" t="inlineStr">
        <is>
          <t>Not applicable – the UK MREL framework (BoE Statement of Policy, Nov 2016) postdates this 31 December year-end</t>
        </is>
      </c>
      <c r="M4" s="6" t="inlineStr">
        <is>
          <t>Not applicable – the UK MREL framework (BoE Statement of Policy, Nov 2016) postdates this 31 December year-end</t>
        </is>
      </c>
    </row>
    <row r="5" ht="60" customHeight="1">
      <c r="A5" s="7" t="inlineStr">
        <is>
          <t>Note: No MREL figure appears in any document READ: the six Pillar 3 editions in hand (FY2016, FY2017, FY2018 - located 2026-09-19 - and FY2019, FY2020, FY2021) or any Annual Report's Strategic Report 'Key performance indicators' table. The FY2022 and FY2023 editions exist but could not be reached, so those two years are recorded as UNREACHED rather than 'not published'. (CORRECTED 2026-09-19: this sentence previously said the metric was absent from 'the five annual Pillar 3 disclosure documents it published (FY2019-FY2023)', two of which have never been read.)
FY2016-FY2018 CHECK (2026-09-19): each edition's text layer, pdftotext -layout, case-insensitive - 0 hits for 'MREL', 'eligible liabilities', 'loss absorbing'/'loss-absorbing' and 'resolution', against 76-79 hits for 'capital' and 6 for 'own funds' in each (positive control); the contents page (p.2, read on the page image) has no MREL or resolution section.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