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P6" t="inlineStr">
        <is>
          <t>Total assets</t>
        </is>
      </c>
      <c r="Q6" t="n">
        <v>49843</v>
      </c>
      <c r="R6" t="n">
        <v>49809</v>
      </c>
      <c r="S6" t="n">
        <v>51449</v>
      </c>
      <c r="T6" t="n">
        <v>56250</v>
      </c>
      <c r="U6" t="n">
        <v>53803</v>
      </c>
      <c r="V6" t="n">
        <v>59310</v>
      </c>
      <c r="W6" t="n">
        <v>69781</v>
      </c>
      <c r="X6" t="n">
        <v>75541</v>
      </c>
      <c r="Y6" t="n">
        <v>89022</v>
      </c>
      <c r="Z6" t="n">
        <v>113509</v>
      </c>
      <c r="AA6" t="n">
        <v>138492</v>
      </c>
      <c r="AB6" t="n">
        <v>160171</v>
      </c>
      <c r="BX6" t="inlineStr">
        <is>
          <t>CET1 ratio</t>
        </is>
      </c>
      <c r="BZ6" t="n">
        <v>14.45</v>
      </c>
      <c r="CA6" t="n">
        <v>16.25</v>
      </c>
      <c r="CB6" t="n">
        <v>14.41</v>
      </c>
      <c r="CC6" t="n">
        <v>14.57</v>
      </c>
      <c r="CD6" t="n">
        <v>15.27</v>
      </c>
      <c r="CE6" t="n">
        <v>17.13</v>
      </c>
      <c r="CF6" t="n">
        <v>16.97</v>
      </c>
      <c r="CG6" t="n">
        <v>20.84</v>
      </c>
      <c r="CH6" t="n">
        <v>17.37</v>
      </c>
      <c r="CI6" t="n">
        <v>22.2</v>
      </c>
      <c r="CJ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P7" t="inlineStr">
        <is>
          <t>Loans and advances to customers</t>
        </is>
      </c>
      <c r="Q7" t="n">
        <v>29724</v>
      </c>
      <c r="R7" t="n">
        <v>33028</v>
      </c>
      <c r="S7" t="n">
        <v>35336</v>
      </c>
      <c r="T7" t="n">
        <v>38438</v>
      </c>
      <c r="U7" t="n">
        <v>41404</v>
      </c>
      <c r="V7" t="n">
        <v>45339</v>
      </c>
      <c r="W7" t="n">
        <v>47114</v>
      </c>
      <c r="X7" t="n">
        <v>53795</v>
      </c>
      <c r="Y7" t="n">
        <v>63291</v>
      </c>
      <c r="Z7" t="n">
        <v>77532</v>
      </c>
      <c r="AA7" t="n">
        <v>97733</v>
      </c>
      <c r="AB7" t="n">
        <v>118242</v>
      </c>
      <c r="BX7" t="inlineStr">
        <is>
          <t>Leverage ratio</t>
        </is>
      </c>
      <c r="BZ7" t="n">
        <v>8.960000000000001</v>
      </c>
      <c r="CA7" t="n">
        <v>10.09</v>
      </c>
      <c r="CB7" t="n">
        <v>9.380000000000001</v>
      </c>
      <c r="CC7" t="n">
        <v>10.1</v>
      </c>
      <c r="CD7" t="n">
        <v>9.4</v>
      </c>
      <c r="CE7" t="n">
        <v>9.369999999999999</v>
      </c>
      <c r="CF7" t="n">
        <v>9.029999999999999</v>
      </c>
      <c r="CG7" t="n">
        <v>10.02</v>
      </c>
      <c r="CH7" t="n">
        <v>7.96</v>
      </c>
      <c r="CI7" t="n">
        <v>10.8</v>
      </c>
      <c r="CJ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P8" t="inlineStr">
        <is>
          <t>Customer accounts</t>
        </is>
      </c>
      <c r="Q8" t="n">
        <v>42935</v>
      </c>
      <c r="R8" t="n">
        <v>41906</v>
      </c>
      <c r="S8" t="n">
        <v>43885</v>
      </c>
      <c r="T8" t="n">
        <v>48656</v>
      </c>
      <c r="U8" t="n">
        <v>46112</v>
      </c>
      <c r="V8" t="n">
        <v>51378</v>
      </c>
      <c r="W8" t="n">
        <v>61287</v>
      </c>
      <c r="X8" t="n">
        <v>66668</v>
      </c>
      <c r="Y8" t="n">
        <v>78452</v>
      </c>
      <c r="Z8" t="n">
        <v>102091</v>
      </c>
      <c r="AA8" t="n">
        <v>121269</v>
      </c>
      <c r="AB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P9" t="inlineStr">
        <is>
          <t>Total shareholders' funds</t>
        </is>
      </c>
      <c r="Q9" t="n">
        <v>4960</v>
      </c>
      <c r="R9" t="n">
        <v>5631</v>
      </c>
      <c r="S9" t="n">
        <v>5667</v>
      </c>
      <c r="T9" t="n">
        <v>5778</v>
      </c>
      <c r="U9" t="n">
        <v>5908</v>
      </c>
      <c r="V9" t="n">
        <v>6145</v>
      </c>
      <c r="W9" t="n">
        <v>6771</v>
      </c>
      <c r="X9" t="n">
        <v>7451</v>
      </c>
      <c r="Y9" t="n">
        <v>9353</v>
      </c>
      <c r="Z9" t="n">
        <v>9876</v>
      </c>
      <c r="AA9" t="n">
        <v>15512</v>
      </c>
      <c r="AB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AE13" t="inlineStr">
        <is>
          <t>Total net income</t>
        </is>
      </c>
      <c r="AF13" t="n">
        <v>1548</v>
      </c>
      <c r="AG13" t="n">
        <v>1637</v>
      </c>
      <c r="AH13" t="n">
        <v>1755</v>
      </c>
      <c r="AI13" t="n">
        <v>1875</v>
      </c>
      <c r="AJ13" t="n">
        <v>2106</v>
      </c>
      <c r="AK13" t="n">
        <v>2242</v>
      </c>
      <c r="AL13" t="n">
        <v>2287</v>
      </c>
      <c r="AM13" t="n">
        <v>2610</v>
      </c>
      <c r="AN13" t="n">
        <v>3175</v>
      </c>
      <c r="AO13" t="n">
        <v>4360</v>
      </c>
      <c r="AP13" t="n">
        <v>5205</v>
      </c>
      <c r="AQ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AE14" t="inlineStr">
        <is>
          <t>Administrative expenses</t>
        </is>
      </c>
      <c r="AF14" t="n">
        <v>-1413</v>
      </c>
      <c r="AG14" t="n">
        <v>-1487</v>
      </c>
      <c r="AH14" t="n">
        <v>-1554</v>
      </c>
      <c r="AI14" t="n">
        <v>-1538</v>
      </c>
      <c r="AJ14" t="n">
        <v>-1776</v>
      </c>
      <c r="AK14" t="n">
        <v>-1780</v>
      </c>
      <c r="AL14" t="n">
        <v>-2167</v>
      </c>
      <c r="AM14" t="n">
        <v>-2437</v>
      </c>
      <c r="AN14" t="n">
        <v>-2953</v>
      </c>
      <c r="AO14" t="n">
        <v>-3597</v>
      </c>
      <c r="AP14" t="n">
        <v>-4776</v>
      </c>
      <c r="AQ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AE15" t="inlineStr">
        <is>
          <t>(Loss)/profit for the financial year</t>
        </is>
      </c>
      <c r="AF15" t="n">
        <v>69</v>
      </c>
      <c r="AG15" t="n">
        <v>720</v>
      </c>
      <c r="AH15" t="n">
        <v>34</v>
      </c>
      <c r="AI15" t="n">
        <v>105</v>
      </c>
      <c r="AJ15" t="n">
        <v>146</v>
      </c>
      <c r="AK15" t="n">
        <v>257</v>
      </c>
      <c r="AL15" t="n">
        <v>-24</v>
      </c>
      <c r="AM15" t="n">
        <v>680</v>
      </c>
      <c r="AN15" t="n">
        <v>102</v>
      </c>
      <c r="AO15" t="n">
        <v>523</v>
      </c>
      <c r="AP15" t="n">
        <v>279</v>
      </c>
      <c r="AQ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AT19" t="inlineStr">
        <is>
          <t>Opening total shareholders' funds</t>
        </is>
      </c>
      <c r="AU19" t="n">
        <v>4646</v>
      </c>
      <c r="AV19" t="n">
        <v>4847</v>
      </c>
      <c r="AW19" t="n">
        <v>5631</v>
      </c>
      <c r="AX19" t="n">
        <v>5667</v>
      </c>
      <c r="AY19" t="n">
        <v>5778</v>
      </c>
      <c r="AZ19" t="n">
        <v>5908</v>
      </c>
      <c r="BA19" t="n">
        <v>6145</v>
      </c>
      <c r="BB19" t="n">
        <v>6771</v>
      </c>
      <c r="BC19" t="n">
        <v>7451</v>
      </c>
      <c r="BD19" t="n">
        <v>9353</v>
      </c>
      <c r="BE19" t="n">
        <v>9876</v>
      </c>
      <c r="BF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AT20" t="inlineStr">
        <is>
          <t>(Loss)/profit for the financial year</t>
        </is>
      </c>
      <c r="AU20" t="n">
        <v>69</v>
      </c>
      <c r="AV20" t="n">
        <v>720</v>
      </c>
      <c r="AW20" t="n">
        <v>34</v>
      </c>
      <c r="AX20" t="n">
        <v>105</v>
      </c>
      <c r="AY20" t="n">
        <v>146</v>
      </c>
      <c r="AZ20" t="n">
        <v>257</v>
      </c>
      <c r="BA20" t="n">
        <v>-24</v>
      </c>
      <c r="BB20" t="n">
        <v>680</v>
      </c>
      <c r="BC20" t="n">
        <v>102</v>
      </c>
      <c r="BD20" t="n">
        <v>523</v>
      </c>
      <c r="BE20" t="n">
        <v>279</v>
      </c>
      <c r="BF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AT21" t="inlineStr">
        <is>
          <t>Other equity movements, net</t>
        </is>
      </c>
      <c r="AU21" t="n">
        <v>245</v>
      </c>
      <c r="AV21" t="n">
        <v>64</v>
      </c>
      <c r="AW21" t="n">
        <v>2</v>
      </c>
      <c r="AX21" t="n">
        <v>6</v>
      </c>
      <c r="AY21" t="n">
        <v>-16</v>
      </c>
      <c r="AZ21" t="n">
        <v>0</v>
      </c>
      <c r="BA21" t="n">
        <v>650</v>
      </c>
      <c r="BB21" t="n">
        <v>0</v>
      </c>
      <c r="BC21" t="n">
        <v>1800</v>
      </c>
      <c r="BD21" t="n">
        <v>0</v>
      </c>
      <c r="BE21" t="n">
        <v>5357</v>
      </c>
      <c r="BF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AT22" t="inlineStr">
        <is>
          <t>Closing total shareholders' funds</t>
        </is>
      </c>
      <c r="AU22" t="n">
        <v>4960</v>
      </c>
      <c r="AV22" t="n">
        <v>5631</v>
      </c>
      <c r="AW22" t="n">
        <v>5667</v>
      </c>
      <c r="AX22" t="n">
        <v>5778</v>
      </c>
      <c r="AY22" t="n">
        <v>5908</v>
      </c>
      <c r="AZ22" t="n">
        <v>6145</v>
      </c>
      <c r="BA22" t="n">
        <v>6771</v>
      </c>
      <c r="BB22" t="n">
        <v>7451</v>
      </c>
      <c r="BC22" t="n">
        <v>9353</v>
      </c>
      <c r="BD22" t="n">
        <v>9876</v>
      </c>
      <c r="BE22" t="n">
        <v>15512</v>
      </c>
      <c r="BF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M26" s="5" t="n"/>
      <c r="BI26" t="inlineStr">
        <is>
          <t>Net cash flow from/(used in) operating activities</t>
        </is>
      </c>
      <c r="BK26" t="n">
        <v>-5612</v>
      </c>
      <c r="BL26" t="n">
        <v>485</v>
      </c>
      <c r="BM26" t="n">
        <v>1102</v>
      </c>
      <c r="BN26" t="n">
        <v>-4121</v>
      </c>
      <c r="BO26" t="n">
        <v>1938</v>
      </c>
      <c r="BP26" t="n">
        <v>6970</v>
      </c>
      <c r="BQ26" t="n">
        <v>-630</v>
      </c>
      <c r="BR26" t="n">
        <v>3132</v>
      </c>
      <c r="BS26" t="n">
        <v>10244</v>
      </c>
      <c r="BT26" t="n">
        <v>-583</v>
      </c>
      <c r="BU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M27" s="5" t="n"/>
      <c r="BI27" t="inlineStr">
        <is>
          <t>Net cash flow from/(used in) investing activities</t>
        </is>
      </c>
      <c r="BK27" t="n">
        <v>3325</v>
      </c>
      <c r="BL27" t="n">
        <v>-191</v>
      </c>
      <c r="BM27" t="n">
        <v>-31</v>
      </c>
      <c r="BN27" t="n">
        <v>-52</v>
      </c>
      <c r="BO27" t="n">
        <v>-97</v>
      </c>
      <c r="BP27" t="n">
        <v>-69</v>
      </c>
      <c r="BQ27" t="n">
        <v>1769</v>
      </c>
      <c r="BR27" t="n">
        <v>-40</v>
      </c>
      <c r="BS27" t="n">
        <v>-47</v>
      </c>
      <c r="BT27" t="n">
        <v>-41</v>
      </c>
      <c r="BU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M28" s="5" t="n"/>
      <c r="BI28" t="inlineStr">
        <is>
          <t>Net cash flow from/(used in) financing activities</t>
        </is>
      </c>
      <c r="BK28" t="n">
        <v>0</v>
      </c>
      <c r="BL28" t="n">
        <v>-100</v>
      </c>
      <c r="BM28" t="n">
        <v>0</v>
      </c>
      <c r="BN28" t="n">
        <v>-166</v>
      </c>
      <c r="BO28" t="n">
        <v>-20</v>
      </c>
      <c r="BP28" t="n">
        <v>650</v>
      </c>
      <c r="BQ28" t="n">
        <v>-670</v>
      </c>
      <c r="BR28" t="n">
        <v>1739</v>
      </c>
      <c r="BS28" t="n">
        <v>0</v>
      </c>
      <c r="BT28" t="n">
        <v>5357</v>
      </c>
      <c r="BU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M29" s="5" t="n"/>
      <c r="BI29" t="inlineStr">
        <is>
          <t>Cash and cash equivalents at end of year</t>
        </is>
      </c>
      <c r="BK29" t="n">
        <v>13263</v>
      </c>
      <c r="BL29" t="n">
        <v>13457</v>
      </c>
      <c r="BM29" t="n">
        <v>14528</v>
      </c>
      <c r="BN29" t="n">
        <v>10189</v>
      </c>
      <c r="BO29" t="n">
        <v>12010</v>
      </c>
      <c r="BP29" t="n">
        <v>19561</v>
      </c>
      <c r="BQ29" t="n">
        <v>20030</v>
      </c>
      <c r="BR29" t="n">
        <v>24861</v>
      </c>
      <c r="BS29" t="n">
        <v>35058</v>
      </c>
      <c r="BT29" t="n">
        <v>39791</v>
      </c>
      <c r="BU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c r="M33" s="6" t="n"/>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c r="M34" s="6" t="n"/>
    </row>
    <row r="36" ht="45" customHeight="1">
      <c r="A36" s="7" t="inlineStr">
        <is>
          <t>Note: No Pillar 3 ratio-type metrics (CET1/Tier 1/Total Capital Ratio, Leverage Ratio, LCR, NSFR, MREL Ratio) or Total RWAs are disclosed by Kingdom Bank via a standalone Pillar 3 document in any of the 12 years reviewed, but a CET1 ratio and Leverage ratio (both charted above) plus an LCR ratio are disclosed as Key Performance Indicators in each year's Strategic Report from FY2015 onward (LCR is omitted from the chart above only because its scale, running into four figures in most years, dwarfs the other two - see the LCR sheet directly). FY2014 predates this KPI table and has no ratio data. Total Capital ratio, Total RWAs, NSFR and MREL ratio remain genuinely undisclosed in every year. CET1 Capital, Tier 1 Capital and Total Capital (£'000) are disclosed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38497</v>
      </c>
      <c r="C5" s="6" t="n">
        <v>38548</v>
      </c>
      <c r="D5" s="6" t="n">
        <v>34064</v>
      </c>
      <c r="E5" s="6" t="n">
        <v>23032</v>
      </c>
      <c r="F5" s="6" t="n">
        <v>10087</v>
      </c>
      <c r="G5" s="6" t="n">
        <v>6678</v>
      </c>
      <c r="H5" s="6" t="n">
        <v>6502</v>
      </c>
      <c r="I5" s="6" t="n">
        <v>4502</v>
      </c>
      <c r="J5" s="6" t="n">
        <v>4523</v>
      </c>
      <c r="K5" s="6" t="n">
        <v>4261</v>
      </c>
      <c r="L5" s="6" t="n">
        <v>3993</v>
      </c>
      <c r="M5" s="6" t="n">
        <v>3973</v>
      </c>
    </row>
    <row r="6">
      <c r="A6" s="6" t="inlineStr">
        <is>
          <t>Loans and advances to banks (FY2014's own label: 'Loans and advances to credit institutions')</t>
        </is>
      </c>
      <c r="B6" s="6" t="n">
        <v>1217</v>
      </c>
      <c r="C6" s="6" t="n">
        <v>1243</v>
      </c>
      <c r="D6" s="6" t="n">
        <v>994</v>
      </c>
      <c r="E6" s="6" t="n">
        <v>1829</v>
      </c>
      <c r="F6" s="6" t="n">
        <v>10795</v>
      </c>
      <c r="G6" s="6" t="n">
        <v>14135</v>
      </c>
      <c r="H6" s="6" t="n">
        <v>5509</v>
      </c>
      <c r="I6" s="6" t="n">
        <v>5939</v>
      </c>
      <c r="J6" s="6" t="n">
        <v>11311</v>
      </c>
      <c r="K6" s="6" t="n">
        <v>9864</v>
      </c>
      <c r="L6" s="6" t="n">
        <v>10981</v>
      </c>
      <c r="M6" s="6" t="n">
        <v>11905</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row>
    <row r="8">
      <c r="A8" s="6" t="inlineStr">
        <is>
          <t>Debt securities (FY2014 only)</t>
        </is>
      </c>
      <c r="B8" s="6" t="n"/>
      <c r="C8" s="6" t="n"/>
      <c r="D8" s="6" t="n"/>
      <c r="E8" s="6" t="n"/>
      <c r="F8" s="6" t="n"/>
      <c r="G8" s="6" t="n"/>
      <c r="H8" s="6" t="n"/>
      <c r="I8" s="6" t="n"/>
      <c r="J8" s="6" t="n"/>
      <c r="K8" s="6" t="n"/>
      <c r="L8" s="6" t="n"/>
      <c r="M8" s="6" t="n">
        <v>0</v>
      </c>
    </row>
    <row r="9">
      <c r="A9" s="6" t="inlineStr">
        <is>
          <t>Investment property</t>
        </is>
      </c>
      <c r="B9" s="6" t="n">
        <v>650</v>
      </c>
      <c r="C9" s="6" t="n"/>
      <c r="D9" s="6" t="n"/>
      <c r="E9" s="6" t="n"/>
      <c r="F9" s="6" t="n"/>
      <c r="G9" s="6" t="n">
        <v>667</v>
      </c>
      <c r="H9" s="6" t="n">
        <v>667</v>
      </c>
      <c r="I9" s="6" t="n">
        <v>667</v>
      </c>
      <c r="J9" s="6" t="n">
        <v>500</v>
      </c>
      <c r="K9" s="6" t="n">
        <v>498</v>
      </c>
      <c r="L9" s="6" t="n"/>
      <c r="M9" s="6" t="n"/>
    </row>
    <row r="10">
      <c r="A10" s="6" t="inlineStr">
        <is>
          <t>Intangible fixed assets</t>
        </is>
      </c>
      <c r="B10" s="6" t="n">
        <v>18</v>
      </c>
      <c r="C10" s="6" t="n">
        <v>39</v>
      </c>
      <c r="D10" s="6" t="n">
        <v>75</v>
      </c>
      <c r="E10" s="6" t="n">
        <v>76</v>
      </c>
      <c r="F10" s="6" t="n">
        <v>83</v>
      </c>
      <c r="G10" s="6" t="n">
        <v>69</v>
      </c>
      <c r="H10" s="6" t="n">
        <v>69</v>
      </c>
      <c r="I10" s="6" t="n">
        <v>122</v>
      </c>
      <c r="J10" s="6" t="n">
        <v>189</v>
      </c>
      <c r="K10" s="6" t="n">
        <v>255</v>
      </c>
      <c r="L10" s="6" t="n">
        <v>168</v>
      </c>
      <c r="M10" s="6" t="n">
        <v>131</v>
      </c>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row>
    <row r="12">
      <c r="A12" s="6" t="inlineStr">
        <is>
          <t>Other assets</t>
        </is>
      </c>
      <c r="B12" s="6" t="n">
        <v>23</v>
      </c>
      <c r="C12" s="6" t="n">
        <v>63</v>
      </c>
      <c r="D12" s="6" t="n">
        <v>37</v>
      </c>
      <c r="E12" s="6" t="n">
        <v>481</v>
      </c>
      <c r="F12" s="6" t="n">
        <v>347</v>
      </c>
      <c r="G12" s="6" t="n">
        <v>388</v>
      </c>
      <c r="H12" s="6" t="n">
        <v>482</v>
      </c>
      <c r="I12" s="6" t="n">
        <v>484</v>
      </c>
      <c r="J12" s="6" t="n">
        <v>447</v>
      </c>
      <c r="K12" s="6" t="n">
        <v>390</v>
      </c>
      <c r="L12" s="6" t="n">
        <v>270</v>
      </c>
      <c r="M12" s="6" t="n"/>
    </row>
    <row r="13">
      <c r="A13" s="6" t="inlineStr">
        <is>
          <t>Prepayments and accrued income</t>
        </is>
      </c>
      <c r="B13" s="6" t="n">
        <v>1056</v>
      </c>
      <c r="C13" s="6" t="n">
        <v>662</v>
      </c>
      <c r="D13" s="6" t="n">
        <v>571</v>
      </c>
      <c r="E13" s="6" t="n"/>
      <c r="F13" s="6" t="n"/>
      <c r="G13" s="6" t="n"/>
      <c r="H13" s="6" t="n"/>
      <c r="I13" s="6" t="n"/>
      <c r="J13" s="6" t="n"/>
      <c r="K13" s="6" t="n"/>
      <c r="L13" s="6" t="n"/>
      <c r="M13" s="6" t="n"/>
    </row>
    <row r="14">
      <c r="A14" s="6" t="inlineStr">
        <is>
          <t>Prepayments, accrued income and other assets (FY2014 combined line - see note)</t>
        </is>
      </c>
      <c r="B14" s="6" t="n"/>
      <c r="C14" s="6" t="n"/>
      <c r="D14" s="6" t="n"/>
      <c r="E14" s="6" t="n"/>
      <c r="F14" s="6" t="n"/>
      <c r="G14" s="6" t="n"/>
      <c r="H14" s="6" t="n"/>
      <c r="I14" s="6" t="n"/>
      <c r="J14" s="6" t="n"/>
      <c r="K14" s="6" t="n"/>
      <c r="L14" s="6" t="n"/>
      <c r="M14" s="6" t="n">
        <v>227</v>
      </c>
    </row>
    <row r="15">
      <c r="A15" s="6" t="inlineStr">
        <is>
          <t>Deferred tax assets</t>
        </is>
      </c>
      <c r="B15" s="6" t="n">
        <v>297</v>
      </c>
      <c r="C15" s="6" t="n">
        <v>30</v>
      </c>
      <c r="D15" s="6" t="n">
        <v>44</v>
      </c>
      <c r="E15" s="6" t="n">
        <v>83</v>
      </c>
      <c r="F15" s="6" t="n">
        <v>166</v>
      </c>
      <c r="G15" s="6" t="n"/>
      <c r="H15" s="6" t="n"/>
      <c r="I15" s="6" t="n"/>
      <c r="J15" s="6" t="n"/>
      <c r="K15" s="6" t="n"/>
      <c r="L15" s="6" t="n"/>
      <c r="M15" s="6" t="n"/>
    </row>
    <row r="16">
      <c r="A16" s="5" t="inlineStr">
        <is>
          <t>Total assets</t>
        </is>
      </c>
      <c r="B16" s="5" t="n">
        <v>160171</v>
      </c>
      <c r="C16" s="5" t="n">
        <v>138492</v>
      </c>
      <c r="D16" s="5" t="n">
        <v>113509</v>
      </c>
      <c r="E16" s="5" t="n">
        <v>89022</v>
      </c>
      <c r="F16" s="5" t="n">
        <v>75541</v>
      </c>
      <c r="G16" s="5" t="n">
        <v>69781</v>
      </c>
      <c r="H16" s="5" t="n">
        <v>59310</v>
      </c>
      <c r="I16" s="5" t="n">
        <v>53803</v>
      </c>
      <c r="J16" s="5" t="n">
        <v>56250</v>
      </c>
      <c r="K16" s="5" t="n">
        <v>51449</v>
      </c>
      <c r="L16" s="5" t="n">
        <v>49809</v>
      </c>
      <c r="M16" s="5" t="n">
        <v>49843</v>
      </c>
    </row>
    <row r="17">
      <c r="A17" s="5" t="inlineStr">
        <is>
          <t>Liabilities</t>
        </is>
      </c>
      <c r="B17" s="6" t="n"/>
      <c r="C17" s="6" t="n"/>
      <c r="D17" s="6" t="n"/>
      <c r="E17" s="6" t="n"/>
      <c r="F17" s="6" t="n"/>
      <c r="G17" s="6" t="n"/>
      <c r="H17" s="6" t="n"/>
      <c r="I17" s="6" t="n"/>
      <c r="J17" s="6" t="n"/>
      <c r="K17" s="6" t="n"/>
      <c r="L17" s="6" t="n"/>
      <c r="M17" s="6" t="n"/>
    </row>
    <row r="18">
      <c r="A18" s="6" t="inlineStr">
        <is>
          <t>Customer accounts</t>
        </is>
      </c>
      <c r="B18" s="6" t="n">
        <v>141758</v>
      </c>
      <c r="C18" s="6" t="n">
        <v>121269</v>
      </c>
      <c r="D18" s="6" t="n">
        <v>102091</v>
      </c>
      <c r="E18" s="6" t="n">
        <v>78452</v>
      </c>
      <c r="F18" s="6" t="n">
        <v>66668</v>
      </c>
      <c r="G18" s="6" t="n">
        <v>61287</v>
      </c>
      <c r="H18" s="6" t="n">
        <v>51378</v>
      </c>
      <c r="I18" s="6" t="n">
        <v>46112</v>
      </c>
      <c r="J18" s="6" t="n">
        <v>48656</v>
      </c>
      <c r="K18" s="6" t="n">
        <v>43885</v>
      </c>
      <c r="L18" s="6" t="n">
        <v>41906</v>
      </c>
      <c r="M18" s="6" t="n">
        <v>42935</v>
      </c>
    </row>
    <row r="19">
      <c r="A19" s="6" t="inlineStr">
        <is>
          <t>Other liabilities</t>
        </is>
      </c>
      <c r="B19" s="6" t="n">
        <v>616</v>
      </c>
      <c r="C19" s="6" t="n">
        <v>448</v>
      </c>
      <c r="D19" s="6" t="n">
        <v>438</v>
      </c>
      <c r="E19" s="6" t="n">
        <v>517</v>
      </c>
      <c r="F19" s="6" t="n">
        <v>661</v>
      </c>
      <c r="G19" s="6" t="n">
        <v>292</v>
      </c>
      <c r="H19" s="6" t="n">
        <v>356</v>
      </c>
      <c r="I19" s="6" t="n">
        <v>352</v>
      </c>
      <c r="J19" s="6" t="n">
        <v>235</v>
      </c>
      <c r="K19" s="6" t="n">
        <v>316</v>
      </c>
      <c r="L19" s="6" t="n">
        <v>591</v>
      </c>
      <c r="M19" s="6" t="n">
        <v>267</v>
      </c>
    </row>
    <row r="20">
      <c r="A20" s="6" t="inlineStr">
        <is>
          <t>Accruals and deferred income</t>
        </is>
      </c>
      <c r="B20" s="6" t="n">
        <v>1289</v>
      </c>
      <c r="C20" s="6" t="n">
        <v>563</v>
      </c>
      <c r="D20" s="6" t="n">
        <v>404</v>
      </c>
      <c r="E20" s="6" t="n"/>
      <c r="F20" s="6" t="n"/>
      <c r="G20" s="6" t="n"/>
      <c r="H20" s="6" t="n"/>
      <c r="I20" s="6" t="n"/>
      <c r="J20" s="6" t="n"/>
      <c r="K20" s="6" t="n"/>
      <c r="L20" s="6" t="n"/>
      <c r="M20" s="6" t="n"/>
    </row>
    <row r="21">
      <c r="A21" s="6" t="inlineStr">
        <is>
          <t>Subordinated liabilities (FY2014's own label: 'Subordinated deposits')</t>
        </is>
      </c>
      <c r="B21" s="6" t="n">
        <v>700</v>
      </c>
      <c r="C21" s="6" t="n">
        <v>700</v>
      </c>
      <c r="D21" s="6" t="n">
        <v>700</v>
      </c>
      <c r="E21" s="6" t="n">
        <v>700</v>
      </c>
      <c r="F21" s="6" t="n">
        <v>761</v>
      </c>
      <c r="G21" s="6" t="n">
        <v>1431</v>
      </c>
      <c r="H21" s="6" t="n">
        <v>1431</v>
      </c>
      <c r="I21" s="6" t="n">
        <v>1431</v>
      </c>
      <c r="J21" s="6" t="n">
        <v>1581</v>
      </c>
      <c r="K21" s="6" t="n">
        <v>1581</v>
      </c>
      <c r="L21" s="6" t="n">
        <v>1681</v>
      </c>
      <c r="M21" s="6" t="n">
        <v>1681</v>
      </c>
    </row>
    <row r="22">
      <c r="A22" s="5" t="inlineStr">
        <is>
          <t>Total liabilities</t>
        </is>
      </c>
      <c r="B22" s="5" t="n">
        <v>144363</v>
      </c>
      <c r="C22" s="5" t="n">
        <v>122980</v>
      </c>
      <c r="D22" s="5" t="n">
        <v>103633</v>
      </c>
      <c r="E22" s="5" t="n">
        <v>79669</v>
      </c>
      <c r="F22" s="5" t="n">
        <v>68090</v>
      </c>
      <c r="G22" s="5" t="n">
        <v>63010</v>
      </c>
      <c r="H22" s="5" t="n">
        <v>53165</v>
      </c>
      <c r="I22" s="5" t="n">
        <v>47895</v>
      </c>
      <c r="J22" s="5" t="n">
        <v>50472</v>
      </c>
      <c r="K22" s="5" t="n">
        <v>45782</v>
      </c>
      <c r="L22" s="5" t="n">
        <v>44178</v>
      </c>
      <c r="M22" s="5" t="n">
        <v>44883</v>
      </c>
    </row>
    <row r="23">
      <c r="A23" s="5" t="inlineStr">
        <is>
          <t>Equity</t>
        </is>
      </c>
      <c r="B23" s="6" t="n"/>
      <c r="C23" s="6" t="n"/>
      <c r="D23" s="6" t="n"/>
      <c r="E23" s="6" t="n"/>
      <c r="F23" s="6" t="n"/>
      <c r="G23" s="6" t="n"/>
      <c r="H23" s="6" t="n"/>
      <c r="I23" s="6" t="n"/>
      <c r="J23" s="6" t="n"/>
      <c r="K23" s="6" t="n"/>
      <c r="L23" s="6" t="n"/>
      <c r="M23" s="6" t="n"/>
    </row>
    <row r="24">
      <c r="A24" s="6" t="inlineStr">
        <is>
          <t>Called up share capital</t>
        </is>
      </c>
      <c r="B24" s="6" t="n">
        <v>13237</v>
      </c>
      <c r="C24" s="6" t="n">
        <v>12067</v>
      </c>
      <c r="D24" s="6" t="n">
        <v>6667</v>
      </c>
      <c r="E24" s="6" t="n">
        <v>6667</v>
      </c>
      <c r="F24" s="6" t="n">
        <v>4867</v>
      </c>
      <c r="G24" s="6" t="n">
        <v>4867</v>
      </c>
      <c r="H24" s="6" t="n">
        <v>4217</v>
      </c>
      <c r="I24" s="6" t="n">
        <v>4217</v>
      </c>
      <c r="J24" s="6" t="n">
        <v>4217</v>
      </c>
      <c r="K24" s="6" t="n">
        <v>4217</v>
      </c>
      <c r="L24" s="6" t="n">
        <v>4217</v>
      </c>
      <c r="M24" s="6" t="n">
        <v>4217</v>
      </c>
    </row>
    <row r="25">
      <c r="A25" s="6" t="inlineStr">
        <is>
          <t>Revaluation reserve (fully extinguished during FY2021 - see Statement of Changes in Equity sheet)</t>
        </is>
      </c>
      <c r="B25" s="6" t="n"/>
      <c r="C25" s="6" t="n"/>
      <c r="D25" s="6" t="n"/>
      <c r="E25" s="6" t="n"/>
      <c r="F25" s="6" t="n"/>
      <c r="G25" s="6" t="n">
        <v>172</v>
      </c>
      <c r="H25" s="6" t="n">
        <v>172</v>
      </c>
      <c r="I25" s="6" t="n">
        <v>172</v>
      </c>
      <c r="J25" s="6" t="n">
        <v>172</v>
      </c>
      <c r="K25" s="6" t="n">
        <v>166</v>
      </c>
      <c r="L25" s="6" t="n">
        <v>164</v>
      </c>
      <c r="M25" s="6" t="n">
        <v>578</v>
      </c>
    </row>
    <row r="26">
      <c r="A26" s="6" t="inlineStr">
        <is>
          <t>Profit and loss account</t>
        </is>
      </c>
      <c r="B26" s="6" t="n">
        <v>2571</v>
      </c>
      <c r="C26" s="6" t="n">
        <v>3445</v>
      </c>
      <c r="D26" s="6" t="n">
        <v>3209</v>
      </c>
      <c r="E26" s="6" t="n">
        <v>2686</v>
      </c>
      <c r="F26" s="6" t="n">
        <v>2584</v>
      </c>
      <c r="G26" s="6" t="n">
        <v>1732</v>
      </c>
      <c r="H26" s="6" t="n">
        <v>1756</v>
      </c>
      <c r="I26" s="6" t="n">
        <v>1519</v>
      </c>
      <c r="J26" s="6" t="n">
        <v>1389</v>
      </c>
      <c r="K26" s="6" t="n">
        <v>1284</v>
      </c>
      <c r="L26" s="6" t="n">
        <v>1250</v>
      </c>
      <c r="M26" s="6" t="n">
        <v>165</v>
      </c>
    </row>
    <row r="27">
      <c r="A27" s="5" t="inlineStr">
        <is>
          <t>Total shareholders' funds</t>
        </is>
      </c>
      <c r="B27" s="5" t="n">
        <v>15808</v>
      </c>
      <c r="C27" s="5" t="n">
        <v>15512</v>
      </c>
      <c r="D27" s="5" t="n">
        <v>9876</v>
      </c>
      <c r="E27" s="5" t="n">
        <v>9353</v>
      </c>
      <c r="F27" s="5" t="n">
        <v>7451</v>
      </c>
      <c r="G27" s="5" t="n">
        <v>6771</v>
      </c>
      <c r="H27" s="5" t="n">
        <v>6145</v>
      </c>
      <c r="I27" s="5" t="n">
        <v>5908</v>
      </c>
      <c r="J27" s="5" t="n">
        <v>5778</v>
      </c>
      <c r="K27" s="5" t="n">
        <v>5667</v>
      </c>
      <c r="L27" s="5" t="n">
        <v>5631</v>
      </c>
      <c r="M27" s="5" t="n">
        <v>4960</v>
      </c>
    </row>
    <row r="28">
      <c r="A28" s="5" t="inlineStr">
        <is>
          <t>Total liabilities and total shareholders' funds</t>
        </is>
      </c>
      <c r="B28" s="5" t="n">
        <v>160171</v>
      </c>
      <c r="C28" s="5" t="n">
        <v>138492</v>
      </c>
      <c r="D28" s="5" t="n">
        <v>113509</v>
      </c>
      <c r="E28" s="5" t="n">
        <v>89022</v>
      </c>
      <c r="F28" s="5" t="n">
        <v>75541</v>
      </c>
      <c r="G28" s="5" t="n">
        <v>69781</v>
      </c>
      <c r="H28" s="5" t="n">
        <v>59310</v>
      </c>
      <c r="I28" s="5" t="n">
        <v>53803</v>
      </c>
      <c r="J28" s="5" t="n">
        <v>56250</v>
      </c>
      <c r="K28" s="5" t="n">
        <v>51449</v>
      </c>
      <c r="L28" s="5" t="n">
        <v>49809</v>
      </c>
      <c r="M28" s="5" t="n">
        <v>49843</v>
      </c>
    </row>
    <row r="30" ht="460" customHeight="1">
      <c r="A30"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t>
        </is>
      </c>
    </row>
  </sheetData>
  <mergeCells count="1">
    <mergeCell ref="A30:M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row>
    <row r="8">
      <c r="A8" s="6" t="inlineStr">
        <is>
          <t>Insurance commission income (FY2014's own label: 'Fees and commission receivable/(payable), net')</t>
        </is>
      </c>
      <c r="B8" s="6" t="n">
        <v>666</v>
      </c>
      <c r="C8" s="6" t="n">
        <v>576</v>
      </c>
      <c r="D8" s="6" t="n">
        <v>543</v>
      </c>
      <c r="E8" s="6" t="n">
        <v>482</v>
      </c>
      <c r="F8" s="6" t="n">
        <v>419</v>
      </c>
      <c r="G8" s="6" t="n">
        <v>433</v>
      </c>
      <c r="H8" s="6" t="n">
        <v>388</v>
      </c>
      <c r="I8" s="6" t="n">
        <v>369</v>
      </c>
      <c r="J8" s="6" t="n">
        <v>335</v>
      </c>
      <c r="K8" s="6" t="n">
        <v>319</v>
      </c>
      <c r="L8" s="6" t="n">
        <v>315</v>
      </c>
      <c r="M8" s="6" t="n">
        <v>361</v>
      </c>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row>
    <row r="11">
      <c r="A11" s="6" t="inlineStr">
        <is>
          <t>Administrative expenses</t>
        </is>
      </c>
      <c r="B11" s="6" t="n">
        <v>-7241</v>
      </c>
      <c r="C11" s="6" t="n">
        <v>-4776</v>
      </c>
      <c r="D11" s="6" t="n">
        <v>-3597</v>
      </c>
      <c r="E11" s="6" t="n">
        <v>-2953</v>
      </c>
      <c r="F11" s="6" t="n">
        <v>-2437</v>
      </c>
      <c r="G11" s="6" t="n">
        <v>-2167</v>
      </c>
      <c r="H11" s="6" t="n">
        <v>-1780</v>
      </c>
      <c r="I11" s="6" t="n">
        <v>-1776</v>
      </c>
      <c r="J11" s="6" t="n">
        <v>-1538</v>
      </c>
      <c r="K11" s="6" t="n">
        <v>-1554</v>
      </c>
      <c r="L11" s="6" t="n">
        <v>-1487</v>
      </c>
      <c r="M11" s="6" t="n">
        <v>-1413</v>
      </c>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row>
    <row r="13">
      <c r="A13" s="6" t="inlineStr">
        <is>
          <t>Profit on sale / unrealised surplus on revaluation of investment property</t>
        </is>
      </c>
      <c r="B13" s="6" t="n"/>
      <c r="C13" s="6" t="n"/>
      <c r="D13" s="6" t="n"/>
      <c r="E13" s="6" t="n">
        <v>0</v>
      </c>
      <c r="F13" s="6" t="n">
        <v>634</v>
      </c>
      <c r="G13" s="6" t="n"/>
      <c r="H13" s="6" t="n"/>
      <c r="I13" s="6" t="n">
        <v>0</v>
      </c>
      <c r="J13" s="6" t="n">
        <v>2</v>
      </c>
      <c r="K13" s="6" t="n"/>
      <c r="L13" s="6" t="n">
        <v>898</v>
      </c>
      <c r="M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row>
    <row r="19" ht="460"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t>
        </is>
      </c>
    </row>
  </sheetData>
  <mergeCells count="1">
    <mergeCell ref="A19:M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Equity reconciliation ladder confirmed: every year's own closing balance ties exactly to both the next year's own opening balance and that year's own Balance Sheet Total shareholders' funds - zero plug rows needed anywhere, FY2014 onward.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1 January 2014 (own report, old UK GAAP/BBA SORP)</t>
        </is>
      </c>
      <c r="B4" s="5" t="n">
        <v>4217</v>
      </c>
      <c r="C4" s="5" t="n">
        <v>96</v>
      </c>
      <c r="D4" s="5" t="n">
        <v>333</v>
      </c>
      <c r="E4" s="5" t="n">
        <v>4646</v>
      </c>
    </row>
    <row r="5">
      <c r="A5" s="6" t="inlineStr">
        <is>
          <t>Profit for the financial year</t>
        </is>
      </c>
      <c r="B5" s="6" t="n"/>
      <c r="C5" s="6" t="n">
        <v>69</v>
      </c>
      <c r="D5" s="6" t="n"/>
      <c r="E5" s="6" t="n">
        <v>69</v>
      </c>
    </row>
    <row r="6">
      <c r="A6" s="6" t="inlineStr">
        <is>
          <t>Revaluation surplus during the year on investment properties</t>
        </is>
      </c>
      <c r="B6" s="6" t="n"/>
      <c r="C6" s="6" t="n"/>
      <c r="D6" s="6" t="n">
        <v>167</v>
      </c>
      <c r="E6" s="6" t="n">
        <v>167</v>
      </c>
    </row>
    <row r="7">
      <c r="A7" s="6" t="inlineStr">
        <is>
          <t>Revaluation deficit during the year on investment properties</t>
        </is>
      </c>
      <c r="B7" s="6" t="n"/>
      <c r="C7" s="6" t="n"/>
      <c r="D7" s="6" t="n">
        <v>-10</v>
      </c>
      <c r="E7" s="6" t="n">
        <v>-10</v>
      </c>
    </row>
    <row r="8">
      <c r="A8" s="6" t="inlineStr">
        <is>
          <t>Revaluation surplus during the year on freehold buildings</t>
        </is>
      </c>
      <c r="B8" s="6" t="n"/>
      <c r="C8" s="6" t="n"/>
      <c r="D8" s="6" t="n">
        <v>88</v>
      </c>
      <c r="E8" s="6" t="n">
        <v>88</v>
      </c>
    </row>
    <row r="9">
      <c r="A9" s="5" t="inlineStr">
        <is>
          <t>Balance as at 31 December 2014 (FY2014 closing, own report)</t>
        </is>
      </c>
      <c r="B9" s="5" t="n">
        <v>4217</v>
      </c>
      <c r="C9" s="5" t="n">
        <v>165</v>
      </c>
      <c r="D9" s="5" t="n">
        <v>578</v>
      </c>
      <c r="E9" s="5" t="n">
        <v>4960</v>
      </c>
    </row>
    <row r="10">
      <c r="A10" s="6" t="inlineStr">
        <is>
          <t>FRS 102 first-time-adoption restatement (see source note - not a FY2014 or FY2015 P&amp;L movement)</t>
        </is>
      </c>
      <c r="B10" s="6" t="n"/>
      <c r="C10" s="6" t="n">
        <v>365</v>
      </c>
      <c r="D10" s="6" t="n">
        <v>-478</v>
      </c>
      <c r="E10" s="6" t="n">
        <v>-113</v>
      </c>
    </row>
    <row r="11">
      <c r="A11" s="5" t="inlineStr">
        <is>
          <t>Balance as at 1 January 2015 (FRS 102-restated, per FY2015 Annual Report SOCE)</t>
        </is>
      </c>
      <c r="B11" s="5" t="n">
        <v>4217</v>
      </c>
      <c r="C11" s="5" t="n">
        <v>530</v>
      </c>
      <c r="D11" s="5" t="n">
        <v>100</v>
      </c>
      <c r="E11" s="5" t="n">
        <v>4847</v>
      </c>
    </row>
    <row r="12">
      <c r="A12" s="6" t="inlineStr">
        <is>
          <t>Profit for the financial year</t>
        </is>
      </c>
      <c r="B12" s="6" t="n"/>
      <c r="C12" s="6" t="n">
        <v>720</v>
      </c>
      <c r="D12" s="6" t="n"/>
      <c r="E12" s="6" t="n">
        <v>720</v>
      </c>
    </row>
    <row r="13">
      <c r="A13" s="6" t="inlineStr">
        <is>
          <t>Unrealised surplus on revaluation of operating properties, net of deferred tax</t>
        </is>
      </c>
      <c r="B13" s="6" t="n"/>
      <c r="C13" s="6" t="n"/>
      <c r="D13" s="6" t="n">
        <v>64</v>
      </c>
      <c r="E13" s="6" t="n">
        <v>64</v>
      </c>
    </row>
    <row r="14">
      <c r="A14" s="5" t="inlineStr">
        <is>
          <t>Balance as at 31 December 2015 (FY2015 closing)</t>
        </is>
      </c>
      <c r="B14" s="5" t="n">
        <v>4217</v>
      </c>
      <c r="C14" s="5" t="n">
        <v>1250</v>
      </c>
      <c r="D14" s="5" t="n">
        <v>164</v>
      </c>
      <c r="E14" s="5" t="n">
        <v>5631</v>
      </c>
    </row>
    <row r="15">
      <c r="A15" s="6" t="inlineStr">
        <is>
          <t>Profit for the financial year</t>
        </is>
      </c>
      <c r="B15" s="6" t="n"/>
      <c r="C15" s="6" t="n">
        <v>34</v>
      </c>
      <c r="D15" s="6" t="n"/>
      <c r="E15" s="6" t="n">
        <v>34</v>
      </c>
    </row>
    <row r="16">
      <c r="A16" s="6" t="inlineStr">
        <is>
          <t>Unrealised surplus on revaluation of operating properties, net of deferred tax</t>
        </is>
      </c>
      <c r="B16" s="6" t="n"/>
      <c r="C16" s="6" t="n"/>
      <c r="D16" s="6" t="n">
        <v>2</v>
      </c>
      <c r="E16" s="6" t="n">
        <v>2</v>
      </c>
    </row>
    <row r="17">
      <c r="A17" s="5" t="inlineStr">
        <is>
          <t>Balance as at 31 December 2016 (FY2016 closing)</t>
        </is>
      </c>
      <c r="B17" s="5" t="n">
        <v>4217</v>
      </c>
      <c r="C17" s="5" t="n">
        <v>1284</v>
      </c>
      <c r="D17" s="5" t="n">
        <v>166</v>
      </c>
      <c r="E17" s="5" t="n">
        <v>5667</v>
      </c>
    </row>
    <row r="18">
      <c r="A18" s="6" t="inlineStr">
        <is>
          <t>Profit for the financial year</t>
        </is>
      </c>
      <c r="B18" s="6" t="n"/>
      <c r="C18" s="6" t="n">
        <v>105</v>
      </c>
      <c r="D18" s="6" t="n"/>
      <c r="E18" s="6" t="n">
        <v>105</v>
      </c>
    </row>
    <row r="19">
      <c r="A19" s="6" t="inlineStr">
        <is>
          <t>Unrealised surplus on revaluation of operating property, net of deferred tax</t>
        </is>
      </c>
      <c r="B19" s="6" t="n"/>
      <c r="C19" s="6" t="n"/>
      <c r="D19" s="6" t="n">
        <v>6</v>
      </c>
      <c r="E19" s="6" t="n">
        <v>6</v>
      </c>
    </row>
    <row r="20">
      <c r="A20" s="5" t="inlineStr">
        <is>
          <t>Balance as at 31 December 2017 (FY2017 closing)</t>
        </is>
      </c>
      <c r="B20" s="5" t="n">
        <v>4217</v>
      </c>
      <c r="C20" s="5" t="n">
        <v>1389</v>
      </c>
      <c r="D20" s="5" t="n">
        <v>172</v>
      </c>
      <c r="E20" s="5" t="n">
        <v>5778</v>
      </c>
    </row>
    <row r="21">
      <c r="A21" s="6" t="inlineStr">
        <is>
          <t>Profit for the financial year</t>
        </is>
      </c>
      <c r="B21" s="6" t="n"/>
      <c r="C21" s="6" t="n">
        <v>146</v>
      </c>
      <c r="D21" s="6" t="n"/>
      <c r="E21" s="6" t="n">
        <v>146</v>
      </c>
    </row>
    <row r="22">
      <c r="A22" s="6" t="inlineStr">
        <is>
          <t>Dividends paid</t>
        </is>
      </c>
      <c r="B22" s="6" t="n"/>
      <c r="C22" s="6" t="n">
        <v>-16</v>
      </c>
      <c r="D22" s="6" t="n"/>
      <c r="E22" s="6" t="n">
        <v>-16</v>
      </c>
    </row>
    <row r="23">
      <c r="A23" s="5" t="inlineStr">
        <is>
          <t>Balance as at 31 December 2018 (FY2018 closing)</t>
        </is>
      </c>
      <c r="B23" s="5" t="n">
        <v>4217</v>
      </c>
      <c r="C23" s="5" t="n">
        <v>1519</v>
      </c>
      <c r="D23" s="5" t="n">
        <v>172</v>
      </c>
      <c r="E23" s="5" t="n">
        <v>5908</v>
      </c>
    </row>
    <row r="24">
      <c r="A24" s="6" t="inlineStr">
        <is>
          <t>Profit for the financial year</t>
        </is>
      </c>
      <c r="B24" s="6" t="n"/>
      <c r="C24" s="6" t="n">
        <v>257</v>
      </c>
      <c r="D24" s="6" t="n"/>
      <c r="E24" s="6" t="n">
        <v>257</v>
      </c>
    </row>
    <row r="25">
      <c r="A25" s="5" t="inlineStr">
        <is>
          <t>Balance as at 31 December 2019 (FY2019 closing)</t>
        </is>
      </c>
      <c r="B25" s="5" t="n">
        <v>4217</v>
      </c>
      <c r="C25" s="5" t="n">
        <v>1756</v>
      </c>
      <c r="D25" s="5" t="n">
        <v>172</v>
      </c>
      <c r="E25" s="5" t="n">
        <v>6145</v>
      </c>
    </row>
    <row r="26">
      <c r="A26" s="6" t="inlineStr">
        <is>
          <t>Loss for the financial year</t>
        </is>
      </c>
      <c r="B26" s="6" t="n"/>
      <c r="C26" s="6" t="n">
        <v>-24</v>
      </c>
      <c r="D26" s="6" t="n"/>
      <c r="E26" s="6" t="n">
        <v>-24</v>
      </c>
    </row>
    <row r="27">
      <c r="A27" s="6" t="inlineStr">
        <is>
          <t>Share allotment</t>
        </is>
      </c>
      <c r="B27" s="6" t="n">
        <v>650</v>
      </c>
      <c r="C27" s="6" t="n"/>
      <c r="D27" s="6" t="n"/>
      <c r="E27" s="6" t="n">
        <v>650</v>
      </c>
    </row>
    <row r="28">
      <c r="A28" s="5" t="inlineStr">
        <is>
          <t>Balance as at 31 December 2020 (FY2020 closing)</t>
        </is>
      </c>
      <c r="B28" s="5" t="n">
        <v>4867</v>
      </c>
      <c r="C28" s="5" t="n">
        <v>1732</v>
      </c>
      <c r="D28" s="5" t="n">
        <v>172</v>
      </c>
      <c r="E28" s="5" t="n">
        <v>6771</v>
      </c>
    </row>
    <row r="29">
      <c r="A29" s="6" t="inlineStr">
        <is>
          <t>Profit for the financial year</t>
        </is>
      </c>
      <c r="B29" s="6" t="n"/>
      <c r="C29" s="6" t="n">
        <v>680</v>
      </c>
      <c r="D29" s="6" t="n"/>
      <c r="E29" s="6" t="n">
        <v>680</v>
      </c>
    </row>
    <row r="30">
      <c r="A30" s="6" t="inlineStr">
        <is>
          <t>Transfer of revaluation reserve to profit and loss reserve upon reclassification of operating property</t>
        </is>
      </c>
      <c r="B30" s="6" t="n"/>
      <c r="C30" s="6" t="n">
        <v>172</v>
      </c>
      <c r="D30" s="6" t="n">
        <v>-172</v>
      </c>
      <c r="E30" s="6" t="n"/>
    </row>
    <row r="31">
      <c r="A31" s="5" t="inlineStr">
        <is>
          <t>Balance as at 31 December 2021 (FY2021 closing)</t>
        </is>
      </c>
      <c r="B31" s="5" t="n">
        <v>4867</v>
      </c>
      <c r="C31" s="5" t="n">
        <v>2584</v>
      </c>
      <c r="D31" s="5" t="n">
        <v>0</v>
      </c>
      <c r="E31" s="5" t="n">
        <v>7451</v>
      </c>
    </row>
    <row r="32">
      <c r="A32" s="6" t="inlineStr">
        <is>
          <t>Profit for the financial year</t>
        </is>
      </c>
      <c r="B32" s="6" t="n"/>
      <c r="C32" s="6" t="n">
        <v>102</v>
      </c>
      <c r="D32" s="6" t="n"/>
      <c r="E32" s="6" t="n">
        <v>102</v>
      </c>
    </row>
    <row r="33">
      <c r="A33" s="6" t="inlineStr">
        <is>
          <t>Share allotment</t>
        </is>
      </c>
      <c r="B33" s="6" t="n">
        <v>1800</v>
      </c>
      <c r="C33" s="6" t="n"/>
      <c r="D33" s="6" t="n"/>
      <c r="E33" s="6" t="n">
        <v>1800</v>
      </c>
    </row>
    <row r="34">
      <c r="A34" s="5" t="inlineStr">
        <is>
          <t>Balance as at 31 December 2022 (FY2022 closing)</t>
        </is>
      </c>
      <c r="B34" s="5" t="n">
        <v>6667</v>
      </c>
      <c r="C34" s="5" t="n">
        <v>2686</v>
      </c>
      <c r="D34" s="5" t="n">
        <v>0</v>
      </c>
      <c r="E34" s="5" t="n">
        <v>9353</v>
      </c>
    </row>
    <row r="35">
      <c r="A35" s="6" t="inlineStr">
        <is>
          <t>Profit for the financial year</t>
        </is>
      </c>
      <c r="B35" s="6" t="n"/>
      <c r="C35" s="6" t="n">
        <v>523</v>
      </c>
      <c r="D35" s="6" t="n"/>
      <c r="E35" s="6" t="n">
        <v>523</v>
      </c>
    </row>
    <row r="36">
      <c r="A36" s="5" t="inlineStr">
        <is>
          <t>Balance as at 31 December 2023 (FY2023 closing)</t>
        </is>
      </c>
      <c r="B36" s="5" t="n">
        <v>6667</v>
      </c>
      <c r="C36" s="5" t="n">
        <v>3209</v>
      </c>
      <c r="D36" s="5" t="n">
        <v>0</v>
      </c>
      <c r="E36" s="5" t="n">
        <v>9876</v>
      </c>
    </row>
    <row r="37">
      <c r="A37" s="6" t="inlineStr">
        <is>
          <t>Profit for the financial year</t>
        </is>
      </c>
      <c r="B37" s="6" t="n"/>
      <c r="C37" s="6" t="n">
        <v>279</v>
      </c>
      <c r="D37" s="6" t="n"/>
      <c r="E37" s="6" t="n">
        <v>279</v>
      </c>
    </row>
    <row r="38">
      <c r="A38" s="6" t="inlineStr">
        <is>
          <t>Share allotment</t>
        </is>
      </c>
      <c r="B38" s="6" t="n">
        <v>5400</v>
      </c>
      <c r="C38" s="6" t="n"/>
      <c r="D38" s="6" t="n"/>
      <c r="E38" s="6" t="n">
        <v>5400</v>
      </c>
    </row>
    <row r="39">
      <c r="A39" s="6" t="inlineStr">
        <is>
          <t>Dividends paid</t>
        </is>
      </c>
      <c r="B39" s="6" t="n"/>
      <c r="C39" s="6" t="n">
        <v>-43</v>
      </c>
      <c r="D39" s="6" t="n"/>
      <c r="E39" s="6" t="n">
        <v>-43</v>
      </c>
    </row>
    <row r="40">
      <c r="A40" s="5" t="inlineStr">
        <is>
          <t>Balance as at 31 December 2024 (FY2024 closing)</t>
        </is>
      </c>
      <c r="B40" s="5" t="n">
        <v>12067</v>
      </c>
      <c r="C40" s="5" t="n">
        <v>3445</v>
      </c>
      <c r="D40" s="5" t="n">
        <v>0</v>
      </c>
      <c r="E40" s="5" t="n">
        <v>15512</v>
      </c>
    </row>
    <row r="41">
      <c r="A41" s="6" t="inlineStr">
        <is>
          <t>Loss for the financial year</t>
        </is>
      </c>
      <c r="B41" s="6" t="n"/>
      <c r="C41" s="6" t="n">
        <v>-804</v>
      </c>
      <c r="D41" s="6" t="n"/>
      <c r="E41" s="6" t="n">
        <v>-804</v>
      </c>
    </row>
    <row r="42">
      <c r="A42" s="6" t="inlineStr">
        <is>
          <t>Share allotment</t>
        </is>
      </c>
      <c r="B42" s="6" t="n">
        <v>1170</v>
      </c>
      <c r="C42" s="6" t="n"/>
      <c r="D42" s="6" t="n"/>
      <c r="E42" s="6" t="n">
        <v>1170</v>
      </c>
    </row>
    <row r="43">
      <c r="A43" s="6" t="inlineStr">
        <is>
          <t>Dividends paid</t>
        </is>
      </c>
      <c r="B43" s="6" t="n"/>
      <c r="C43" s="6" t="n">
        <v>-70</v>
      </c>
      <c r="D43" s="6" t="n"/>
      <c r="E43" s="6" t="n">
        <v>-70</v>
      </c>
    </row>
    <row r="44">
      <c r="A44" s="5" t="inlineStr">
        <is>
          <t>Balance as at 31 December 2025 (FY2025 closing)</t>
        </is>
      </c>
      <c r="B44" s="5" t="n">
        <v>13237</v>
      </c>
      <c r="C44" s="5" t="n">
        <v>2571</v>
      </c>
      <c r="D44" s="5" t="n">
        <v>0</v>
      </c>
      <c r="E44" s="5" t="n">
        <v>15808</v>
      </c>
    </row>
    <row r="46" ht="150" customHeight="1">
      <c r="A46"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t>
        </is>
      </c>
    </row>
  </sheetData>
  <mergeCells count="1">
    <mergeCell ref="A46:E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Statement of Cash Flows</t>
        </is>
      </c>
    </row>
    <row r="2">
      <c r="A2" s="2" t="inlineStr">
        <is>
          <t>Bank/solo basis, £'000. FY2014 has no cash flow statement (FRS 1 wholly-owned-subsidiary exemption - column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Operating activities</t>
        </is>
      </c>
      <c r="B4" s="6" t="n"/>
      <c r="C4" s="6" t="n"/>
      <c r="D4" s="6" t="n"/>
      <c r="E4" s="6" t="n"/>
      <c r="F4" s="6" t="n"/>
      <c r="G4" s="6" t="n"/>
      <c r="H4" s="6" t="n"/>
      <c r="I4" s="6" t="n"/>
      <c r="J4" s="6" t="n"/>
      <c r="K4" s="6" t="n"/>
      <c r="L4" s="6" t="n"/>
      <c r="M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c r="M5" s="6" t="n"/>
    </row>
    <row r="6">
      <c r="A6" s="6" t="inlineStr">
        <is>
          <t>Taxation paid</t>
        </is>
      </c>
      <c r="B6" s="6" t="n">
        <v>-55</v>
      </c>
      <c r="C6" s="6" t="n">
        <v>-102</v>
      </c>
      <c r="D6" s="6" t="n">
        <v>-11</v>
      </c>
      <c r="E6" s="6" t="n">
        <v>-25</v>
      </c>
      <c r="F6" s="6" t="n"/>
      <c r="G6" s="6" t="n">
        <v>-56</v>
      </c>
      <c r="H6" s="6" t="n">
        <v>-40</v>
      </c>
      <c r="I6" s="6" t="n">
        <v>-33</v>
      </c>
      <c r="J6" s="6" t="n">
        <v>-23</v>
      </c>
      <c r="K6" s="6" t="n">
        <v>-233</v>
      </c>
      <c r="L6" s="6" t="n">
        <v>-2</v>
      </c>
      <c r="M6" s="6" t="n"/>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c r="M7" s="5" t="n"/>
    </row>
    <row r="8">
      <c r="A8" s="5" t="inlineStr">
        <is>
          <t>Investing activities</t>
        </is>
      </c>
      <c r="B8" s="6" t="n"/>
      <c r="C8" s="6" t="n"/>
      <c r="D8" s="6" t="n"/>
      <c r="E8" s="6" t="n"/>
      <c r="F8" s="6" t="n"/>
      <c r="G8" s="6" t="n"/>
      <c r="H8" s="6" t="n"/>
      <c r="I8" s="6" t="n"/>
      <c r="J8" s="6" t="n"/>
      <c r="K8" s="6" t="n"/>
      <c r="L8" s="6" t="n"/>
      <c r="M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c r="M9" s="6" t="n"/>
    </row>
    <row r="10">
      <c r="A10" s="6" t="inlineStr">
        <is>
          <t>Capital expenditure on investment property</t>
        </is>
      </c>
      <c r="B10" s="6" t="n"/>
      <c r="C10" s="6" t="n"/>
      <c r="D10" s="6" t="n"/>
      <c r="E10" s="6" t="n"/>
      <c r="F10" s="6" t="n"/>
      <c r="G10" s="6" t="n"/>
      <c r="H10" s="6" t="n"/>
      <c r="I10" s="6" t="n"/>
      <c r="J10" s="6" t="n"/>
      <c r="K10" s="6" t="n"/>
      <c r="L10" s="6" t="n">
        <v>-13</v>
      </c>
      <c r="M10" s="6" t="n"/>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c r="M11" s="6" t="n"/>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c r="M12" s="6" t="n"/>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c r="M13" s="5" t="n"/>
    </row>
    <row r="14">
      <c r="A14" s="5" t="inlineStr">
        <is>
          <t>Financing activities</t>
        </is>
      </c>
      <c r="B14" s="6" t="n"/>
      <c r="C14" s="6" t="n"/>
      <c r="D14" s="6" t="n"/>
      <c r="E14" s="6" t="n"/>
      <c r="F14" s="6" t="n"/>
      <c r="G14" s="6" t="n"/>
      <c r="H14" s="6" t="n"/>
      <c r="I14" s="6" t="n"/>
      <c r="J14" s="6" t="n"/>
      <c r="K14" s="6" t="n"/>
      <c r="L14" s="6" t="n"/>
      <c r="M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c r="M15" s="6" t="n"/>
    </row>
    <row r="16">
      <c r="A16" s="6" t="inlineStr">
        <is>
          <t>Issue of subordinated liabilities</t>
        </is>
      </c>
      <c r="B16" s="6" t="n"/>
      <c r="C16" s="6" t="n"/>
      <c r="D16" s="6" t="n"/>
      <c r="E16" s="6" t="n"/>
      <c r="F16" s="6" t="n"/>
      <c r="G16" s="6" t="n"/>
      <c r="H16" s="6" t="n"/>
      <c r="I16" s="6" t="n"/>
      <c r="J16" s="6" t="n"/>
      <c r="K16" s="6" t="n">
        <v>700</v>
      </c>
      <c r="L16" s="6" t="n"/>
      <c r="M16" s="6" t="n"/>
    </row>
    <row r="17">
      <c r="A17" s="6" t="inlineStr">
        <is>
          <t>Share allotment</t>
        </is>
      </c>
      <c r="B17" s="6" t="n">
        <v>1170</v>
      </c>
      <c r="C17" s="6" t="n">
        <v>5400</v>
      </c>
      <c r="D17" s="6" t="n">
        <v>0</v>
      </c>
      <c r="E17" s="6" t="n">
        <v>1800</v>
      </c>
      <c r="F17" s="6" t="n">
        <v>0</v>
      </c>
      <c r="G17" s="6" t="n">
        <v>650</v>
      </c>
      <c r="H17" s="6" t="n"/>
      <c r="I17" s="6" t="n"/>
      <c r="J17" s="6" t="n"/>
      <c r="K17" s="6" t="n"/>
      <c r="L17" s="6" t="n"/>
      <c r="M17" s="6" t="n"/>
    </row>
    <row r="18">
      <c r="A18" s="6" t="inlineStr">
        <is>
          <t>Dividends paid</t>
        </is>
      </c>
      <c r="B18" s="6" t="n">
        <v>-70</v>
      </c>
      <c r="C18" s="6" t="n">
        <v>-43</v>
      </c>
      <c r="D18" s="6" t="n"/>
      <c r="E18" s="6" t="n"/>
      <c r="F18" s="6" t="n"/>
      <c r="G18" s="6" t="n"/>
      <c r="H18" s="6" t="n">
        <v>-20</v>
      </c>
      <c r="I18" s="6" t="n">
        <v>-16</v>
      </c>
      <c r="J18" s="6" t="n"/>
      <c r="K18" s="6" t="n"/>
      <c r="L18" s="6" t="n"/>
      <c r="M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c r="M19" s="5" t="n"/>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c r="M20" s="5" t="n"/>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c r="M21" s="6" t="n"/>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c r="M22" s="5" t="n"/>
    </row>
    <row r="24" ht="260"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FY2014: no cash flow statement was prepared - the Bank took the FRS 1 (revised 1996) 'Cash flow statements' exemption available to a wholly-owned subsidiary whose parent (Assemblies of God Property Trust) publishes consolidated accounts (FY2014 Annual Report, Note 1(b))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t>
        </is>
      </c>
    </row>
  </sheetData>
  <mergeCells count="1">
    <mergeCell ref="A24:M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t>
        </is>
      </c>
      <c r="B4" s="6" t="n">
        <v>15808</v>
      </c>
      <c r="C4" s="6" t="n">
        <v>15512</v>
      </c>
      <c r="D4" s="6" t="n">
        <v>9876</v>
      </c>
      <c r="E4" s="6" t="n">
        <v>9353</v>
      </c>
      <c r="F4" s="6" t="n">
        <v>7451</v>
      </c>
      <c r="G4" s="6" t="n">
        <v>6771</v>
      </c>
      <c r="H4" s="6" t="n">
        <v>6145</v>
      </c>
      <c r="I4" s="6" t="n">
        <v>5908</v>
      </c>
      <c r="J4" s="6" t="n">
        <v>5778</v>
      </c>
      <c r="K4" s="6" t="n">
        <v>5667</v>
      </c>
      <c r="L4" s="6" t="n">
        <v>5631</v>
      </c>
      <c r="M4" s="6" t="n">
        <v>4960</v>
      </c>
    </row>
    <row r="6" ht="230" customHeight="1">
      <c r="A6"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ht="60" customHeight="1">
      <c r="A5" s="7" t="inlineStr">
        <is>
          <t>Note: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t>
        </is>
      </c>
      <c r="B4" s="6" t="n">
        <v>15808</v>
      </c>
      <c r="C4" s="6" t="n">
        <v>15512</v>
      </c>
      <c r="D4" s="6" t="n">
        <v>9876</v>
      </c>
      <c r="E4" s="6" t="n">
        <v>9353</v>
      </c>
      <c r="F4" s="6" t="n">
        <v>7451</v>
      </c>
      <c r="G4" s="6" t="n">
        <v>6771</v>
      </c>
      <c r="H4" s="6" t="n">
        <v>6145</v>
      </c>
      <c r="I4" s="6" t="n">
        <v>5908</v>
      </c>
      <c r="J4" s="6" t="n">
        <v>5778</v>
      </c>
      <c r="K4" s="6" t="n">
        <v>5667</v>
      </c>
      <c r="L4" s="6" t="n">
        <v>5631</v>
      </c>
      <c r="M4" s="6" t="n">
        <v>4960</v>
      </c>
    </row>
    <row r="5" ht="60" customHeight="1">
      <c r="A5" s="7" t="inlineStr">
        <is>
          <t>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 see note)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ht="60" customHeight="1">
      <c r="A5"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regulatory capital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8" ht="230" customHeight="1">
      <c r="A8"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1">
    <mergeCell ref="A8:M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RWA Breakdown</t>
        </is>
      </c>
    </row>
    <row r="2">
      <c r="A2" s="2" t="inlineStr">
        <is>
          <t>Bank/solo basis. Not publicly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Not publicly disclosed</t>
        </is>
      </c>
      <c r="B4" s="6" t="n"/>
      <c r="C4" s="6" t="n"/>
      <c r="D4" s="6" t="n"/>
      <c r="E4" s="6" t="n"/>
      <c r="F4" s="6" t="n"/>
      <c r="G4" s="6" t="n"/>
      <c r="H4" s="6" t="n"/>
      <c r="I4" s="6" t="n"/>
      <c r="J4" s="6" t="n"/>
      <c r="K4" s="6" t="n"/>
      <c r="L4" s="6" t="n"/>
      <c r="M4" s="6" t="n"/>
    </row>
    <row r="6" ht="230" customHeight="1">
      <c r="A6"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
Not publicly disclosed. No Total RWAs figure is disclosed by Kingdom Bank in any of the 12 years reviewed (see the Total RWAs sheet's source note), so no RWA-by-risk-category breakdown exists either - no standalone Pillar 3 document was located on the bank's own site or via Companies House.</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c r="M4" s="6" t="n"/>
    </row>
    <row r="5" ht="60" customHeight="1">
      <c r="A5" s="7" t="inlineStr">
        <is>
          <t>Note: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Requirement (LCR) ratio</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c r="M4" s="6" t="n"/>
    </row>
    <row r="5" ht="60" customHeight="1">
      <c r="A5" s="7" t="inlineStr">
        <is>
          <t>Note: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2026-09-05T19:27:05Z</dcterms:created>
  <dcterms:modified xmlns:dcterms="http://purl.org/dc/terms/" xmlns:xsi="http://www.w3.org/2001/XMLSchema-instance" xsi:type="dcterms:W3CDTF">2026-09-05T19:27:05Z</dcterms:modified>
</cp:coreProperties>
</file>