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Kingdom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'Overview'!Z6</f>
            </strRef>
          </tx>
          <spPr>
            <a:ln xmlns:a="http://schemas.openxmlformats.org/drawingml/2006/main">
              <a:prstDash val="solid"/>
            </a:ln>
          </spPr>
          <cat>
            <numRef>
              <f>'Overview'!$AA$5:$AV$5</f>
            </numRef>
          </cat>
          <val>
            <numRef>
              <f>'Overview'!$AA$6:$AV$6</f>
            </numRef>
          </val>
        </ser>
        <ser>
          <idx val="1"/>
          <order val="1"/>
          <tx>
            <strRef>
              <f>'Overview'!Z7</f>
            </strRef>
          </tx>
          <spPr>
            <a:ln xmlns:a="http://schemas.openxmlformats.org/drawingml/2006/main">
              <a:prstDash val="solid"/>
            </a:ln>
          </spPr>
          <cat>
            <numRef>
              <f>'Overview'!$AA$5:$AV$5</f>
            </numRef>
          </cat>
          <val>
            <numRef>
              <f>'Overview'!$AA$7:$AV$7</f>
            </numRef>
          </val>
        </ser>
        <ser>
          <idx val="2"/>
          <order val="2"/>
          <tx>
            <strRef>
              <f>'Overview'!Z8</f>
            </strRef>
          </tx>
          <spPr>
            <a:ln xmlns:a="http://schemas.openxmlformats.org/drawingml/2006/main">
              <a:prstDash val="solid"/>
            </a:ln>
          </spPr>
          <cat>
            <numRef>
              <f>'Overview'!$AA$5:$AV$5</f>
            </numRef>
          </cat>
          <val>
            <numRef>
              <f>'Overview'!$AA$8:$AV$8</f>
            </numRef>
          </val>
        </ser>
        <ser>
          <idx val="3"/>
          <order val="3"/>
          <tx>
            <strRef>
              <f>'Overview'!Z9</f>
            </strRef>
          </tx>
          <spPr>
            <a:ln xmlns:a="http://schemas.openxmlformats.org/drawingml/2006/main">
              <a:prstDash val="solid"/>
            </a:ln>
          </spPr>
          <cat>
            <numRef>
              <f>'Overview'!$AA$5:$AV$5</f>
            </numRef>
          </cat>
          <val>
            <numRef>
              <f>'Overview'!$AA$9:$AV$9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Kingdom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'Overview'!AY13</f>
            </strRef>
          </tx>
          <spPr>
            <a:ln xmlns:a="http://schemas.openxmlformats.org/drawingml/2006/main">
              <a:prstDash val="solid"/>
            </a:ln>
          </spPr>
          <cat>
            <numRef>
              <f>'Overview'!$AZ$12:$BU$12</f>
            </numRef>
          </cat>
          <val>
            <numRef>
              <f>'Overview'!$AZ$13:$BU$13</f>
            </numRef>
          </val>
        </ser>
        <ser>
          <idx val="1"/>
          <order val="1"/>
          <tx>
            <strRef>
              <f>'Overview'!AY14</f>
            </strRef>
          </tx>
          <spPr>
            <a:ln xmlns:a="http://schemas.openxmlformats.org/drawingml/2006/main">
              <a:prstDash val="solid"/>
            </a:ln>
          </spPr>
          <cat>
            <numRef>
              <f>'Overview'!$AZ$12:$BU$12</f>
            </numRef>
          </cat>
          <val>
            <numRef>
              <f>'Overview'!$AZ$14:$BU$14</f>
            </numRef>
          </val>
        </ser>
        <ser>
          <idx val="2"/>
          <order val="2"/>
          <tx>
            <strRef>
              <f>'Overview'!AY15</f>
            </strRef>
          </tx>
          <spPr>
            <a:ln xmlns:a="http://schemas.openxmlformats.org/drawingml/2006/main">
              <a:prstDash val="solid"/>
            </a:ln>
          </spPr>
          <cat>
            <numRef>
              <f>'Overview'!$AZ$12:$BU$12</f>
            </numRef>
          </cat>
          <val>
            <numRef>
              <f>'Overview'!$AZ$15:$BU$15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Kingdom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'Overview'!BX19</f>
            </strRef>
          </tx>
          <spPr>
            <a:ln xmlns:a="http://schemas.openxmlformats.org/drawingml/2006/main">
              <a:prstDash val="solid"/>
            </a:ln>
          </spPr>
          <cat>
            <numRef>
              <f>'Overview'!$BY$18:$CT$18</f>
            </numRef>
          </cat>
          <val>
            <numRef>
              <f>'Overview'!$BY$19:$CT$19</f>
            </numRef>
          </val>
        </ser>
        <ser>
          <idx val="1"/>
          <order val="1"/>
          <tx>
            <strRef>
              <f>'Overview'!BX20</f>
            </strRef>
          </tx>
          <spPr>
            <a:ln xmlns:a="http://schemas.openxmlformats.org/drawingml/2006/main">
              <a:prstDash val="solid"/>
            </a:ln>
          </spPr>
          <cat>
            <numRef>
              <f>'Overview'!$BY$18:$CT$18</f>
            </numRef>
          </cat>
          <val>
            <numRef>
              <f>'Overview'!$BY$20:$CT$20</f>
            </numRef>
          </val>
        </ser>
        <ser>
          <idx val="2"/>
          <order val="2"/>
          <tx>
            <strRef>
              <f>'Overview'!BX21</f>
            </strRef>
          </tx>
          <spPr>
            <a:ln xmlns:a="http://schemas.openxmlformats.org/drawingml/2006/main">
              <a:prstDash val="solid"/>
            </a:ln>
          </spPr>
          <cat>
            <numRef>
              <f>'Overview'!$BY$18:$CT$18</f>
            </numRef>
          </cat>
          <val>
            <numRef>
              <f>'Overview'!$BY$21:$CT$21</f>
            </numRef>
          </val>
        </ser>
        <ser>
          <idx val="3"/>
          <order val="3"/>
          <tx>
            <strRef>
              <f>'Overview'!BX22</f>
            </strRef>
          </tx>
          <spPr>
            <a:ln xmlns:a="http://schemas.openxmlformats.org/drawingml/2006/main">
              <a:prstDash val="solid"/>
            </a:ln>
          </spPr>
          <cat>
            <numRef>
              <f>'Overview'!$BY$18:$CT$18</f>
            </numRef>
          </cat>
          <val>
            <numRef>
              <f>'Overview'!$BY$22:$CT$22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Kingdom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'Overview'!CW26</f>
            </strRef>
          </tx>
          <spPr>
            <a:ln xmlns:a="http://schemas.openxmlformats.org/drawingml/2006/main">
              <a:prstDash val="solid"/>
            </a:ln>
          </spPr>
          <cat>
            <numRef>
              <f>'Overview'!$CX$25:$DS$25</f>
            </numRef>
          </cat>
          <val>
            <numRef>
              <f>'Overview'!$CX$26:$DS$26</f>
            </numRef>
          </val>
        </ser>
        <ser>
          <idx val="1"/>
          <order val="1"/>
          <tx>
            <strRef>
              <f>'Overview'!CW27</f>
            </strRef>
          </tx>
          <spPr>
            <a:ln xmlns:a="http://schemas.openxmlformats.org/drawingml/2006/main">
              <a:prstDash val="solid"/>
            </a:ln>
          </spPr>
          <cat>
            <numRef>
              <f>'Overview'!$CX$25:$DS$25</f>
            </numRef>
          </cat>
          <val>
            <numRef>
              <f>'Overview'!$CX$27:$DS$27</f>
            </numRef>
          </val>
        </ser>
        <ser>
          <idx val="2"/>
          <order val="2"/>
          <tx>
            <strRef>
              <f>'Overview'!CW28</f>
            </strRef>
          </tx>
          <spPr>
            <a:ln xmlns:a="http://schemas.openxmlformats.org/drawingml/2006/main">
              <a:prstDash val="solid"/>
            </a:ln>
          </spPr>
          <cat>
            <numRef>
              <f>'Overview'!$CX$25:$DS$25</f>
            </numRef>
          </cat>
          <val>
            <numRef>
              <f>'Overview'!$CX$28:$DS$28</f>
            </numRef>
          </val>
        </ser>
        <ser>
          <idx val="3"/>
          <order val="3"/>
          <tx>
            <strRef>
              <f>'Overview'!CW29</f>
            </strRef>
          </tx>
          <spPr>
            <a:ln xmlns:a="http://schemas.openxmlformats.org/drawingml/2006/main">
              <a:prstDash val="solid"/>
            </a:ln>
          </spPr>
          <cat>
            <numRef>
              <f>'Overview'!$CX$25:$DS$25</f>
            </numRef>
          </cat>
          <val>
            <numRef>
              <f>'Overview'!$CX$29:$DS$29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Kingdom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'Overview'!DV6</f>
            </strRef>
          </tx>
          <spPr>
            <a:ln xmlns:a="http://schemas.openxmlformats.org/drawingml/2006/main">
              <a:prstDash val="solid"/>
            </a:ln>
          </spPr>
          <marker>
            <symbol val="none"/>
            <spPr>
              <a:ln xmlns:a="http://schemas.openxmlformats.org/drawingml/2006/main">
                <a:prstDash val="solid"/>
              </a:ln>
            </spPr>
          </marker>
          <cat>
            <numRef>
              <f>'Overview'!$DW$5:$ER$5</f>
            </numRef>
          </cat>
          <val>
            <numRef>
              <f>'Overview'!$DW$6:$ER$6</f>
            </numRef>
          </val>
          <smooth val="0"/>
        </ser>
        <ser>
          <idx val="1"/>
          <order val="1"/>
          <tx>
            <strRef>
              <f>'Overview'!DV7</f>
            </strRef>
          </tx>
          <spPr>
            <a:ln xmlns:a="http://schemas.openxmlformats.org/drawingml/2006/main">
              <a:prstDash val="solid"/>
            </a:ln>
          </spPr>
          <marker>
            <symbol val="none"/>
            <spPr>
              <a:ln xmlns:a="http://schemas.openxmlformats.org/drawingml/2006/main">
                <a:prstDash val="solid"/>
              </a:ln>
            </spPr>
          </marker>
          <cat>
            <numRef>
              <f>'Overview'!$DW$5:$ER$5</f>
            </numRef>
          </cat>
          <val>
            <numRef>
              <f>'Overview'!$DW$7:$ER$7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R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 hidden="1" width="13" customWidth="1" min="137" max="137"/>
    <col hidden="1" width="13" customWidth="1" min="138" max="138"/>
    <col hidden="1" width="13" customWidth="1" min="139" max="139"/>
    <col hidden="1" width="13" customWidth="1" min="140" max="140"/>
    <col hidden="1" width="13" customWidth="1" min="141" max="141"/>
    <col hidden="1" width="13" customWidth="1" min="142" max="142"/>
    <col hidden="1" width="13" customWidth="1" min="143" max="143"/>
    <col hidden="1" width="13" customWidth="1" min="144" max="144"/>
    <col hidden="1" width="13" customWidth="1" min="145" max="145"/>
    <col hidden="1" width="13" customWidth="1" min="146" max="146"/>
    <col hidden="1" width="13" customWidth="1" min="147" max="147"/>
    <col hidden="1" width="13" customWidth="1" min="148" max="148"/>
  </cols>
  <sheetData>
    <row r="1">
      <c r="A1" s="1" t="inlineStr">
        <is>
          <t>Kingdom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V5" s="4" t="inlineStr">
        <is>
          <t>FY2005</t>
        </is>
      </c>
      <c r="W5" s="4" t="inlineStr">
        <is>
          <t>FY2004</t>
        </is>
      </c>
      <c r="AA5" t="inlineStr">
        <is>
          <t>FY2004</t>
        </is>
      </c>
      <c r="AB5" t="inlineStr">
        <is>
          <t>FY2005</t>
        </is>
      </c>
      <c r="AC5" t="inlineStr">
        <is>
          <t>FY2006</t>
        </is>
      </c>
      <c r="AD5" t="inlineStr">
        <is>
          <t>FY2007</t>
        </is>
      </c>
      <c r="AE5" t="inlineStr">
        <is>
          <t>FY2008</t>
        </is>
      </c>
      <c r="AF5" t="inlineStr">
        <is>
          <t>FY2009</t>
        </is>
      </c>
      <c r="AG5" t="inlineStr">
        <is>
          <t>FY2010</t>
        </is>
      </c>
      <c r="AH5" t="inlineStr">
        <is>
          <t>FY2011</t>
        </is>
      </c>
      <c r="AI5" t="inlineStr">
        <is>
          <t>FY2012</t>
        </is>
      </c>
      <c r="AJ5" t="inlineStr">
        <is>
          <t>FY2013</t>
        </is>
      </c>
      <c r="AK5" t="inlineStr">
        <is>
          <t>FY2014</t>
        </is>
      </c>
      <c r="AL5" t="inlineStr">
        <is>
          <t>FY2015</t>
        </is>
      </c>
      <c r="AM5" t="inlineStr">
        <is>
          <t>FY2016</t>
        </is>
      </c>
      <c r="AN5" t="inlineStr">
        <is>
          <t>FY2017</t>
        </is>
      </c>
      <c r="AO5" t="inlineStr">
        <is>
          <t>FY2018</t>
        </is>
      </c>
      <c r="AP5" t="inlineStr">
        <is>
          <t>FY2019</t>
        </is>
      </c>
      <c r="AQ5" t="inlineStr">
        <is>
          <t>FY2020</t>
        </is>
      </c>
      <c r="AR5" t="inlineStr">
        <is>
          <t>FY2021</t>
        </is>
      </c>
      <c r="AS5" t="inlineStr">
        <is>
          <t>FY2022</t>
        </is>
      </c>
      <c r="AT5" t="inlineStr">
        <is>
          <t>FY2023</t>
        </is>
      </c>
      <c r="AU5" t="inlineStr">
        <is>
          <t>FY2024</t>
        </is>
      </c>
      <c r="AV5" t="inlineStr">
        <is>
          <t>FY2025</t>
        </is>
      </c>
      <c r="DW5" t="inlineStr">
        <is>
          <t>FY2004</t>
        </is>
      </c>
      <c r="DX5" t="inlineStr">
        <is>
          <t>FY2005</t>
        </is>
      </c>
      <c r="DY5" t="inlineStr">
        <is>
          <t>FY2006</t>
        </is>
      </c>
      <c r="DZ5" t="inlineStr">
        <is>
          <t>FY2007</t>
        </is>
      </c>
      <c r="EA5" t="inlineStr">
        <is>
          <t>FY2008</t>
        </is>
      </c>
      <c r="EB5" t="inlineStr">
        <is>
          <t>FY2009</t>
        </is>
      </c>
      <c r="EC5" t="inlineStr">
        <is>
          <t>FY2010</t>
        </is>
      </c>
      <c r="ED5" t="inlineStr">
        <is>
          <t>FY2011</t>
        </is>
      </c>
      <c r="EE5" t="inlineStr">
        <is>
          <t>FY2012</t>
        </is>
      </c>
      <c r="EF5" t="inlineStr">
        <is>
          <t>FY2013</t>
        </is>
      </c>
      <c r="EG5" t="inlineStr">
        <is>
          <t>FY2014</t>
        </is>
      </c>
      <c r="EH5" t="inlineStr">
        <is>
          <t>FY2015</t>
        </is>
      </c>
      <c r="EI5" t="inlineStr">
        <is>
          <t>FY2016</t>
        </is>
      </c>
      <c r="EJ5" t="inlineStr">
        <is>
          <t>FY2017</t>
        </is>
      </c>
      <c r="EK5" t="inlineStr">
        <is>
          <t>FY2018</t>
        </is>
      </c>
      <c r="EL5" t="inlineStr">
        <is>
          <t>FY2019</t>
        </is>
      </c>
      <c r="EM5" t="inlineStr">
        <is>
          <t>FY2020</t>
        </is>
      </c>
      <c r="EN5" t="inlineStr">
        <is>
          <t>FY2021</t>
        </is>
      </c>
      <c r="EO5" t="inlineStr">
        <is>
          <t>FY2022</t>
        </is>
      </c>
      <c r="EP5" t="inlineStr">
        <is>
          <t>FY2023</t>
        </is>
      </c>
      <c r="EQ5" t="inlineStr">
        <is>
          <t>FY2024</t>
        </is>
      </c>
      <c r="ER5" t="inlineStr">
        <is>
          <t>FY2025</t>
        </is>
      </c>
    </row>
    <row r="6">
      <c r="A6" s="5" t="inlineStr">
        <is>
          <t>Total assets</t>
        </is>
      </c>
      <c r="B6" s="5" t="n">
        <v>160171</v>
      </c>
      <c r="C6" s="5" t="n">
        <v>138492</v>
      </c>
      <c r="D6" s="5" t="n">
        <v>113509</v>
      </c>
      <c r="E6" s="5" t="n">
        <v>89022</v>
      </c>
      <c r="F6" s="5" t="n">
        <v>75541</v>
      </c>
      <c r="G6" s="5" t="n">
        <v>69781</v>
      </c>
      <c r="H6" s="5" t="n">
        <v>59310</v>
      </c>
      <c r="I6" s="5" t="n">
        <v>53803</v>
      </c>
      <c r="J6" s="5" t="n">
        <v>56250</v>
      </c>
      <c r="K6" s="5" t="n">
        <v>51449</v>
      </c>
      <c r="L6" s="5" t="n">
        <v>49809</v>
      </c>
      <c r="M6" s="5" t="n">
        <v>49843</v>
      </c>
      <c r="N6" s="5" t="n"/>
      <c r="O6" s="5" t="n"/>
      <c r="P6" s="5" t="n"/>
      <c r="Q6" s="5" t="n"/>
      <c r="R6" s="5" t="n"/>
      <c r="S6" s="5" t="n"/>
      <c r="T6" s="5" t="n"/>
      <c r="U6" s="5" t="n"/>
      <c r="V6" s="5" t="n"/>
      <c r="W6" s="5" t="n"/>
      <c r="Z6" t="inlineStr">
        <is>
          <t>Total assets</t>
        </is>
      </c>
      <c r="AK6" t="n">
        <v>49843</v>
      </c>
      <c r="AL6" t="n">
        <v>49809</v>
      </c>
      <c r="AM6" t="n">
        <v>51449</v>
      </c>
      <c r="AN6" t="n">
        <v>56250</v>
      </c>
      <c r="AO6" t="n">
        <v>53803</v>
      </c>
      <c r="AP6" t="n">
        <v>59310</v>
      </c>
      <c r="AQ6" t="n">
        <v>69781</v>
      </c>
      <c r="AR6" t="n">
        <v>75541</v>
      </c>
      <c r="AS6" t="n">
        <v>89022</v>
      </c>
      <c r="AT6" t="n">
        <v>113509</v>
      </c>
      <c r="AU6" t="n">
        <v>138492</v>
      </c>
      <c r="AV6" t="n">
        <v>160171</v>
      </c>
      <c r="DV6" t="inlineStr">
        <is>
          <t>CET1 ratio</t>
        </is>
      </c>
      <c r="EH6" t="n">
        <v>14.45</v>
      </c>
      <c r="EI6" t="n">
        <v>16.25</v>
      </c>
      <c r="EJ6" t="n">
        <v>14.41</v>
      </c>
      <c r="EK6" t="n">
        <v>14.57</v>
      </c>
      <c r="EL6" t="n">
        <v>15.27</v>
      </c>
      <c r="EM6" t="n">
        <v>17.13</v>
      </c>
      <c r="EN6" t="n">
        <v>16.97</v>
      </c>
      <c r="EO6" t="n">
        <v>20.84</v>
      </c>
      <c r="EP6" t="n">
        <v>17.37</v>
      </c>
      <c r="EQ6" t="n">
        <v>22.2</v>
      </c>
      <c r="ER6" t="n">
        <v>18.8</v>
      </c>
    </row>
    <row r="7">
      <c r="A7" s="5" t="inlineStr">
        <is>
          <t>Loans and advances to customers</t>
        </is>
      </c>
      <c r="B7" s="5" t="n">
        <v>118242</v>
      </c>
      <c r="C7" s="5" t="n">
        <v>97733</v>
      </c>
      <c r="D7" s="5" t="n">
        <v>77532</v>
      </c>
      <c r="E7" s="5" t="n">
        <v>63291</v>
      </c>
      <c r="F7" s="5" t="n">
        <v>53795</v>
      </c>
      <c r="G7" s="5" t="n">
        <v>47114</v>
      </c>
      <c r="H7" s="5" t="n">
        <v>45339</v>
      </c>
      <c r="I7" s="5" t="n">
        <v>41404</v>
      </c>
      <c r="J7" s="5" t="n">
        <v>38438</v>
      </c>
      <c r="K7" s="5" t="n">
        <v>35336</v>
      </c>
      <c r="L7" s="5" t="n">
        <v>33028</v>
      </c>
      <c r="M7" s="5" t="n">
        <v>29724</v>
      </c>
      <c r="N7" s="5" t="n">
        <v>28355</v>
      </c>
      <c r="O7" s="5" t="n">
        <v>27886</v>
      </c>
      <c r="P7" s="5" t="n">
        <v>28238</v>
      </c>
      <c r="Q7" s="5" t="n">
        <v>32538</v>
      </c>
      <c r="R7" s="5" t="n">
        <v>33073</v>
      </c>
      <c r="S7" s="5" t="n">
        <v>26860</v>
      </c>
      <c r="T7" s="5" t="n">
        <v>20322</v>
      </c>
      <c r="U7" s="5" t="n">
        <v>21208</v>
      </c>
      <c r="V7" s="5" t="n">
        <v>17900</v>
      </c>
      <c r="W7" s="5" t="n">
        <v>16680</v>
      </c>
      <c r="Z7" t="inlineStr">
        <is>
          <t>Loans and advances to customers</t>
        </is>
      </c>
      <c r="AA7" t="n">
        <v>16680</v>
      </c>
      <c r="AB7" t="n">
        <v>17900</v>
      </c>
      <c r="AC7" t="n">
        <v>21208</v>
      </c>
      <c r="AD7" t="n">
        <v>20322</v>
      </c>
      <c r="AE7" t="n">
        <v>26860</v>
      </c>
      <c r="AF7" t="n">
        <v>33073</v>
      </c>
      <c r="AG7" t="n">
        <v>32538</v>
      </c>
      <c r="AH7" t="n">
        <v>28238</v>
      </c>
      <c r="AI7" t="n">
        <v>27886</v>
      </c>
      <c r="AJ7" t="n">
        <v>28355</v>
      </c>
      <c r="AK7" t="n">
        <v>29724</v>
      </c>
      <c r="AL7" t="n">
        <v>33028</v>
      </c>
      <c r="AM7" t="n">
        <v>35336</v>
      </c>
      <c r="AN7" t="n">
        <v>38438</v>
      </c>
      <c r="AO7" t="n">
        <v>41404</v>
      </c>
      <c r="AP7" t="n">
        <v>45339</v>
      </c>
      <c r="AQ7" t="n">
        <v>47114</v>
      </c>
      <c r="AR7" t="n">
        <v>53795</v>
      </c>
      <c r="AS7" t="n">
        <v>63291</v>
      </c>
      <c r="AT7" t="n">
        <v>77532</v>
      </c>
      <c r="AU7" t="n">
        <v>97733</v>
      </c>
      <c r="AV7" t="n">
        <v>118242</v>
      </c>
      <c r="DV7" t="inlineStr">
        <is>
          <t>Leverage ratio</t>
        </is>
      </c>
      <c r="EH7" t="n">
        <v>8.960000000000001</v>
      </c>
      <c r="EI7" t="n">
        <v>10.09</v>
      </c>
      <c r="EJ7" t="n">
        <v>9.380000000000001</v>
      </c>
      <c r="EK7" t="n">
        <v>10.1</v>
      </c>
      <c r="EL7" t="n">
        <v>9.4</v>
      </c>
      <c r="EM7" t="n">
        <v>9.369999999999999</v>
      </c>
      <c r="EN7" t="n">
        <v>9.029999999999999</v>
      </c>
      <c r="EO7" t="n">
        <v>10.02</v>
      </c>
      <c r="EP7" t="n">
        <v>7.96</v>
      </c>
      <c r="EQ7" t="n">
        <v>10.8</v>
      </c>
      <c r="ER7" t="n">
        <v>12.4</v>
      </c>
    </row>
    <row r="8">
      <c r="A8" s="5" t="inlineStr">
        <is>
          <t>Customer accounts</t>
        </is>
      </c>
      <c r="B8" s="5" t="n">
        <v>141758</v>
      </c>
      <c r="C8" s="5" t="n">
        <v>121269</v>
      </c>
      <c r="D8" s="5" t="n">
        <v>102091</v>
      </c>
      <c r="E8" s="5" t="n">
        <v>78452</v>
      </c>
      <c r="F8" s="5" t="n">
        <v>66668</v>
      </c>
      <c r="G8" s="5" t="n">
        <v>61287</v>
      </c>
      <c r="H8" s="5" t="n">
        <v>51378</v>
      </c>
      <c r="I8" s="5" t="n">
        <v>46112</v>
      </c>
      <c r="J8" s="5" t="n">
        <v>48656</v>
      </c>
      <c r="K8" s="5" t="n">
        <v>43885</v>
      </c>
      <c r="L8" s="5" t="n">
        <v>41906</v>
      </c>
      <c r="M8" s="5" t="n">
        <v>42935</v>
      </c>
      <c r="N8" s="5" t="n">
        <v>47013</v>
      </c>
      <c r="O8" s="5" t="n">
        <v>42546</v>
      </c>
      <c r="P8" s="5" t="n">
        <v>41638</v>
      </c>
      <c r="Q8" s="5" t="n">
        <v>47247</v>
      </c>
      <c r="R8" s="5" t="n">
        <v>45168</v>
      </c>
      <c r="S8" s="5" t="n">
        <v>46737</v>
      </c>
      <c r="T8" s="5" t="n">
        <v>39931</v>
      </c>
      <c r="U8" s="5" t="n">
        <v>29520</v>
      </c>
      <c r="V8" s="5" t="n">
        <v>26294</v>
      </c>
      <c r="W8" s="5" t="n">
        <v>24187</v>
      </c>
      <c r="Z8" t="inlineStr">
        <is>
          <t>Customer accounts</t>
        </is>
      </c>
      <c r="AA8" t="n">
        <v>24187</v>
      </c>
      <c r="AB8" t="n">
        <v>26294</v>
      </c>
      <c r="AC8" t="n">
        <v>29520</v>
      </c>
      <c r="AD8" t="n">
        <v>39931</v>
      </c>
      <c r="AE8" t="n">
        <v>46737</v>
      </c>
      <c r="AF8" t="n">
        <v>45168</v>
      </c>
      <c r="AG8" t="n">
        <v>47247</v>
      </c>
      <c r="AH8" t="n">
        <v>41638</v>
      </c>
      <c r="AI8" t="n">
        <v>42546</v>
      </c>
      <c r="AJ8" t="n">
        <v>47013</v>
      </c>
      <c r="AK8" t="n">
        <v>42935</v>
      </c>
      <c r="AL8" t="n">
        <v>41906</v>
      </c>
      <c r="AM8" t="n">
        <v>43885</v>
      </c>
      <c r="AN8" t="n">
        <v>48656</v>
      </c>
      <c r="AO8" t="n">
        <v>46112</v>
      </c>
      <c r="AP8" t="n">
        <v>51378</v>
      </c>
      <c r="AQ8" t="n">
        <v>61287</v>
      </c>
      <c r="AR8" t="n">
        <v>66668</v>
      </c>
      <c r="AS8" t="n">
        <v>78452</v>
      </c>
      <c r="AT8" t="n">
        <v>102091</v>
      </c>
      <c r="AU8" t="n">
        <v>121269</v>
      </c>
      <c r="AV8" t="n">
        <v>141758</v>
      </c>
    </row>
    <row r="9">
      <c r="A9" s="5" t="inlineStr">
        <is>
          <t>Total shareholders' funds</t>
        </is>
      </c>
      <c r="B9" s="5" t="n">
        <v>15808</v>
      </c>
      <c r="C9" s="5" t="n">
        <v>15512</v>
      </c>
      <c r="D9" s="5" t="n">
        <v>9876</v>
      </c>
      <c r="E9" s="5" t="n">
        <v>9353</v>
      </c>
      <c r="F9" s="5" t="n">
        <v>7451</v>
      </c>
      <c r="G9" s="5" t="n">
        <v>6771</v>
      </c>
      <c r="H9" s="5" t="n">
        <v>6145</v>
      </c>
      <c r="I9" s="5" t="n">
        <v>5908</v>
      </c>
      <c r="J9" s="5" t="n">
        <v>5778</v>
      </c>
      <c r="K9" s="5" t="n">
        <v>5667</v>
      </c>
      <c r="L9" s="5" t="n">
        <v>5631</v>
      </c>
      <c r="M9" s="5" t="n">
        <v>4960</v>
      </c>
      <c r="N9" s="5" t="n">
        <v>4646</v>
      </c>
      <c r="O9" s="5" t="n">
        <v>4657</v>
      </c>
      <c r="P9" s="5" t="n">
        <v>4266</v>
      </c>
      <c r="Q9" s="5" t="n">
        <v>4649</v>
      </c>
      <c r="R9" s="5" t="n">
        <v>4788</v>
      </c>
      <c r="S9" s="5" t="n">
        <v>5221</v>
      </c>
      <c r="T9" s="5" t="n">
        <v>5091</v>
      </c>
      <c r="U9" s="5" t="n">
        <v>4558</v>
      </c>
      <c r="V9" s="5" t="n">
        <v>4312</v>
      </c>
      <c r="W9" s="5" t="n">
        <v>4217</v>
      </c>
      <c r="Z9" t="inlineStr">
        <is>
          <t>Total shareholders' funds</t>
        </is>
      </c>
      <c r="AA9" t="n">
        <v>4217</v>
      </c>
      <c r="AB9" t="n">
        <v>4312</v>
      </c>
      <c r="AC9" t="n">
        <v>4558</v>
      </c>
      <c r="AD9" t="n">
        <v>5091</v>
      </c>
      <c r="AE9" t="n">
        <v>5221</v>
      </c>
      <c r="AF9" t="n">
        <v>4788</v>
      </c>
      <c r="AG9" t="n">
        <v>4649</v>
      </c>
      <c r="AH9" t="n">
        <v>4266</v>
      </c>
      <c r="AI9" t="n">
        <v>4657</v>
      </c>
      <c r="AJ9" t="n">
        <v>4646</v>
      </c>
      <c r="AK9" t="n">
        <v>4960</v>
      </c>
      <c r="AL9" t="n">
        <v>5631</v>
      </c>
      <c r="AM9" t="n">
        <v>5667</v>
      </c>
      <c r="AN9" t="n">
        <v>5778</v>
      </c>
      <c r="AO9" t="n">
        <v>5908</v>
      </c>
      <c r="AP9" t="n">
        <v>6145</v>
      </c>
      <c r="AQ9" t="n">
        <v>6771</v>
      </c>
      <c r="AR9" t="n">
        <v>7451</v>
      </c>
      <c r="AS9" t="n">
        <v>9353</v>
      </c>
      <c r="AT9" t="n">
        <v>9876</v>
      </c>
      <c r="AU9" t="n">
        <v>15512</v>
      </c>
      <c r="AV9" t="n">
        <v>15808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V12" s="4" t="inlineStr">
        <is>
          <t>FY2005</t>
        </is>
      </c>
      <c r="W12" s="4" t="inlineStr">
        <is>
          <t>FY2004</t>
        </is>
      </c>
      <c r="AZ12" t="inlineStr">
        <is>
          <t>FY2004</t>
        </is>
      </c>
      <c r="BA12" t="inlineStr">
        <is>
          <t>FY2005</t>
        </is>
      </c>
      <c r="BB12" t="inlineStr">
        <is>
          <t>FY2006</t>
        </is>
      </c>
      <c r="BC12" t="inlineStr">
        <is>
          <t>FY2007</t>
        </is>
      </c>
      <c r="BD12" t="inlineStr">
        <is>
          <t>FY2008</t>
        </is>
      </c>
      <c r="BE12" t="inlineStr">
        <is>
          <t>FY2009</t>
        </is>
      </c>
      <c r="BF12" t="inlineStr">
        <is>
          <t>FY2010</t>
        </is>
      </c>
      <c r="BG12" t="inlineStr">
        <is>
          <t>FY2011</t>
        </is>
      </c>
      <c r="BH12" t="inlineStr">
        <is>
          <t>FY2012</t>
        </is>
      </c>
      <c r="BI12" t="inlineStr">
        <is>
          <t>FY2013</t>
        </is>
      </c>
      <c r="BJ12" t="inlineStr">
        <is>
          <t>FY2014</t>
        </is>
      </c>
      <c r="BK12" t="inlineStr">
        <is>
          <t>FY2015</t>
        </is>
      </c>
      <c r="BL12" t="inlineStr">
        <is>
          <t>FY2016</t>
        </is>
      </c>
      <c r="BM12" t="inlineStr">
        <is>
          <t>FY2017</t>
        </is>
      </c>
      <c r="BN12" t="inlineStr">
        <is>
          <t>FY2018</t>
        </is>
      </c>
      <c r="BO12" t="inlineStr">
        <is>
          <t>FY2019</t>
        </is>
      </c>
      <c r="BP12" t="inlineStr">
        <is>
          <t>FY2020</t>
        </is>
      </c>
      <c r="BQ12" t="inlineStr">
        <is>
          <t>FY2021</t>
        </is>
      </c>
      <c r="BR12" t="inlineStr">
        <is>
          <t>FY2022</t>
        </is>
      </c>
      <c r="BS12" t="inlineStr">
        <is>
          <t>FY2023</t>
        </is>
      </c>
      <c r="BT12" t="inlineStr">
        <is>
          <t>FY2024</t>
        </is>
      </c>
      <c r="BU12" t="inlineStr">
        <is>
          <t>FY2025</t>
        </is>
      </c>
    </row>
    <row r="13">
      <c r="A13" s="5" t="inlineStr">
        <is>
          <t>Total net income</t>
        </is>
      </c>
      <c r="B13" s="5" t="n">
        <v>6404</v>
      </c>
      <c r="C13" s="5" t="n">
        <v>5205</v>
      </c>
      <c r="D13" s="5" t="n">
        <v>4360</v>
      </c>
      <c r="E13" s="5" t="n">
        <v>3175</v>
      </c>
      <c r="F13" s="5" t="n">
        <v>2610</v>
      </c>
      <c r="G13" s="5" t="n">
        <v>2287</v>
      </c>
      <c r="H13" s="5" t="n">
        <v>2242</v>
      </c>
      <c r="I13" s="5" t="n">
        <v>2106</v>
      </c>
      <c r="J13" s="5" t="n">
        <v>1875</v>
      </c>
      <c r="K13" s="5" t="n">
        <v>1755</v>
      </c>
      <c r="L13" s="5" t="n">
        <v>1637</v>
      </c>
      <c r="M13" s="5" t="n">
        <v>1548</v>
      </c>
      <c r="N13" s="5" t="n"/>
      <c r="O13" s="5" t="n"/>
      <c r="P13" s="5" t="n"/>
      <c r="Q13" s="5" t="n"/>
      <c r="R13" s="5" t="n"/>
      <c r="S13" s="5" t="n"/>
      <c r="T13" s="5" t="n"/>
      <c r="U13" s="5" t="n"/>
      <c r="V13" s="5" t="n"/>
      <c r="W13" s="5" t="n"/>
      <c r="AY13" t="inlineStr">
        <is>
          <t>Total net income</t>
        </is>
      </c>
      <c r="BJ13" t="n">
        <v>1548</v>
      </c>
      <c r="BK13" t="n">
        <v>1637</v>
      </c>
      <c r="BL13" t="n">
        <v>1755</v>
      </c>
      <c r="BM13" t="n">
        <v>1875</v>
      </c>
      <c r="BN13" t="n">
        <v>2106</v>
      </c>
      <c r="BO13" t="n">
        <v>2242</v>
      </c>
      <c r="BP13" t="n">
        <v>2287</v>
      </c>
      <c r="BQ13" t="n">
        <v>2610</v>
      </c>
      <c r="BR13" t="n">
        <v>3175</v>
      </c>
      <c r="BS13" t="n">
        <v>4360</v>
      </c>
      <c r="BT13" t="n">
        <v>5205</v>
      </c>
      <c r="BU13" t="n">
        <v>6404</v>
      </c>
    </row>
    <row r="14">
      <c r="A14" s="5" t="inlineStr">
        <is>
          <t>Administrative expenses</t>
        </is>
      </c>
      <c r="B14" s="5" t="n">
        <v>-7241</v>
      </c>
      <c r="C14" s="5" t="n">
        <v>-4776</v>
      </c>
      <c r="D14" s="5" t="n">
        <v>-3597</v>
      </c>
      <c r="E14" s="5" t="n">
        <v>-2953</v>
      </c>
      <c r="F14" s="5" t="n">
        <v>-2437</v>
      </c>
      <c r="G14" s="5" t="n">
        <v>-2167</v>
      </c>
      <c r="H14" s="5" t="n">
        <v>-1780</v>
      </c>
      <c r="I14" s="5" t="n">
        <v>-1776</v>
      </c>
      <c r="J14" s="5" t="n">
        <v>-1538</v>
      </c>
      <c r="K14" s="5" t="n">
        <v>-1554</v>
      </c>
      <c r="L14" s="5" t="n">
        <v>-1487</v>
      </c>
      <c r="M14" s="5" t="n">
        <v>-1413</v>
      </c>
      <c r="N14" s="5" t="n">
        <v>-1241</v>
      </c>
      <c r="O14" s="5" t="n">
        <v>-1201</v>
      </c>
      <c r="P14" s="5" t="n">
        <v>-1185</v>
      </c>
      <c r="Q14" s="5" t="n">
        <v>-1194</v>
      </c>
      <c r="R14" s="5" t="n">
        <v>-1082</v>
      </c>
      <c r="S14" s="5" t="n">
        <v>-838</v>
      </c>
      <c r="T14" s="5" t="n">
        <v>-726</v>
      </c>
      <c r="U14" s="5" t="n">
        <v>-548</v>
      </c>
      <c r="V14" s="5" t="n">
        <v>-568</v>
      </c>
      <c r="W14" s="5" t="n"/>
      <c r="AY14" t="inlineStr">
        <is>
          <t>Administrative expenses</t>
        </is>
      </c>
      <c r="BA14" t="n">
        <v>-568</v>
      </c>
      <c r="BB14" t="n">
        <v>-548</v>
      </c>
      <c r="BC14" t="n">
        <v>-726</v>
      </c>
      <c r="BD14" t="n">
        <v>-838</v>
      </c>
      <c r="BE14" t="n">
        <v>-1082</v>
      </c>
      <c r="BF14" t="n">
        <v>-1194</v>
      </c>
      <c r="BG14" t="n">
        <v>-1185</v>
      </c>
      <c r="BH14" t="n">
        <v>-1201</v>
      </c>
      <c r="BI14" t="n">
        <v>-1241</v>
      </c>
      <c r="BJ14" t="n">
        <v>-1413</v>
      </c>
      <c r="BK14" t="n">
        <v>-1487</v>
      </c>
      <c r="BL14" t="n">
        <v>-1554</v>
      </c>
      <c r="BM14" t="n">
        <v>-1538</v>
      </c>
      <c r="BN14" t="n">
        <v>-1776</v>
      </c>
      <c r="BO14" t="n">
        <v>-1780</v>
      </c>
      <c r="BP14" t="n">
        <v>-2167</v>
      </c>
      <c r="BQ14" t="n">
        <v>-2437</v>
      </c>
      <c r="BR14" t="n">
        <v>-2953</v>
      </c>
      <c r="BS14" t="n">
        <v>-3597</v>
      </c>
      <c r="BT14" t="n">
        <v>-4776</v>
      </c>
      <c r="BU14" t="n">
        <v>-7241</v>
      </c>
    </row>
    <row r="15">
      <c r="A15" s="5" t="inlineStr">
        <is>
          <t>(Loss)/profit for the financial year</t>
        </is>
      </c>
      <c r="B15" s="5" t="n">
        <v>-804</v>
      </c>
      <c r="C15" s="5" t="n">
        <v>279</v>
      </c>
      <c r="D15" s="5" t="n">
        <v>523</v>
      </c>
      <c r="E15" s="5" t="n">
        <v>102</v>
      </c>
      <c r="F15" s="5" t="n">
        <v>680</v>
      </c>
      <c r="G15" s="5" t="n">
        <v>-24</v>
      </c>
      <c r="H15" s="5" t="n">
        <v>257</v>
      </c>
      <c r="I15" s="5" t="n">
        <v>146</v>
      </c>
      <c r="J15" s="5" t="n">
        <v>105</v>
      </c>
      <c r="K15" s="5" t="n">
        <v>34</v>
      </c>
      <c r="L15" s="5" t="n">
        <v>720</v>
      </c>
      <c r="M15" s="5" t="n">
        <v>69</v>
      </c>
      <c r="N15" s="5" t="n"/>
      <c r="O15" s="5" t="n"/>
      <c r="P15" s="5" t="n"/>
      <c r="Q15" s="5" t="n"/>
      <c r="R15" s="5" t="n"/>
      <c r="S15" s="5" t="n"/>
      <c r="T15" s="5" t="n"/>
      <c r="U15" s="5" t="n"/>
      <c r="V15" s="5" t="n"/>
      <c r="W15" s="5" t="n"/>
      <c r="AY15" t="inlineStr">
        <is>
          <t>(Loss)/profit for the financial year</t>
        </is>
      </c>
      <c r="BJ15" t="n">
        <v>69</v>
      </c>
      <c r="BK15" t="n">
        <v>720</v>
      </c>
      <c r="BL15" t="n">
        <v>34</v>
      </c>
      <c r="BM15" t="n">
        <v>105</v>
      </c>
      <c r="BN15" t="n">
        <v>146</v>
      </c>
      <c r="BO15" t="n">
        <v>257</v>
      </c>
      <c r="BP15" t="n">
        <v>-24</v>
      </c>
      <c r="BQ15" t="n">
        <v>680</v>
      </c>
      <c r="BR15" t="n">
        <v>102</v>
      </c>
      <c r="BS15" t="n">
        <v>523</v>
      </c>
      <c r="BT15" t="n">
        <v>279</v>
      </c>
      <c r="BU15" t="n">
        <v>-804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S18" s="4" t="inlineStr">
        <is>
          <t>FY2008</t>
        </is>
      </c>
      <c r="T18" s="4" t="inlineStr">
        <is>
          <t>FY2007</t>
        </is>
      </c>
      <c r="U18" s="4" t="inlineStr">
        <is>
          <t>FY2006</t>
        </is>
      </c>
      <c r="V18" s="4" t="inlineStr">
        <is>
          <t>FY2005</t>
        </is>
      </c>
      <c r="W18" s="4" t="inlineStr">
        <is>
          <t>FY2004</t>
        </is>
      </c>
      <c r="BY18" t="inlineStr">
        <is>
          <t>FY2004</t>
        </is>
      </c>
      <c r="BZ18" t="inlineStr">
        <is>
          <t>FY2005</t>
        </is>
      </c>
      <c r="CA18" t="inlineStr">
        <is>
          <t>FY2006</t>
        </is>
      </c>
      <c r="CB18" t="inlineStr">
        <is>
          <t>FY2007</t>
        </is>
      </c>
      <c r="CC18" t="inlineStr">
        <is>
          <t>FY2008</t>
        </is>
      </c>
      <c r="CD18" t="inlineStr">
        <is>
          <t>FY2009</t>
        </is>
      </c>
      <c r="CE18" t="inlineStr">
        <is>
          <t>FY2010</t>
        </is>
      </c>
      <c r="CF18" t="inlineStr">
        <is>
          <t>FY2011</t>
        </is>
      </c>
      <c r="CG18" t="inlineStr">
        <is>
          <t>FY2012</t>
        </is>
      </c>
      <c r="CH18" t="inlineStr">
        <is>
          <t>FY2013</t>
        </is>
      </c>
      <c r="CI18" t="inlineStr">
        <is>
          <t>FY2014</t>
        </is>
      </c>
      <c r="CJ18" t="inlineStr">
        <is>
          <t>FY2015</t>
        </is>
      </c>
      <c r="CK18" t="inlineStr">
        <is>
          <t>FY2016</t>
        </is>
      </c>
      <c r="CL18" t="inlineStr">
        <is>
          <t>FY2017</t>
        </is>
      </c>
      <c r="CM18" t="inlineStr">
        <is>
          <t>FY2018</t>
        </is>
      </c>
      <c r="CN18" t="inlineStr">
        <is>
          <t>FY2019</t>
        </is>
      </c>
      <c r="CO18" t="inlineStr">
        <is>
          <t>FY2020</t>
        </is>
      </c>
      <c r="CP18" t="inlineStr">
        <is>
          <t>FY2021</t>
        </is>
      </c>
      <c r="CQ18" t="inlineStr">
        <is>
          <t>FY2022</t>
        </is>
      </c>
      <c r="CR18" t="inlineStr">
        <is>
          <t>FY2023</t>
        </is>
      </c>
      <c r="CS18" t="inlineStr">
        <is>
          <t>FY2024</t>
        </is>
      </c>
      <c r="CT18" t="inlineStr">
        <is>
          <t>FY2025</t>
        </is>
      </c>
    </row>
    <row r="19">
      <c r="A19" s="5" t="inlineStr">
        <is>
          <t>Opening total shareholders' funds</t>
        </is>
      </c>
      <c r="B19" s="5" t="n">
        <v>15512</v>
      </c>
      <c r="C19" s="5" t="n">
        <v>9876</v>
      </c>
      <c r="D19" s="5" t="n">
        <v>9353</v>
      </c>
      <c r="E19" s="5" t="n">
        <v>7451</v>
      </c>
      <c r="F19" s="5" t="n">
        <v>6771</v>
      </c>
      <c r="G19" s="5" t="n">
        <v>6145</v>
      </c>
      <c r="H19" s="5" t="n">
        <v>5908</v>
      </c>
      <c r="I19" s="5" t="n">
        <v>5778</v>
      </c>
      <c r="J19" s="5" t="n">
        <v>5667</v>
      </c>
      <c r="K19" s="5" t="n">
        <v>5631</v>
      </c>
      <c r="L19" s="5" t="n">
        <v>4847</v>
      </c>
      <c r="M19" s="5" t="n">
        <v>4646</v>
      </c>
      <c r="N19" s="5" t="n"/>
      <c r="O19" s="5" t="n"/>
      <c r="P19" s="5" t="n"/>
      <c r="Q19" s="5" t="n"/>
      <c r="R19" s="5" t="n"/>
      <c r="S19" s="5" t="n"/>
      <c r="T19" s="5" t="n"/>
      <c r="U19" s="5" t="n"/>
      <c r="V19" s="5" t="n"/>
      <c r="W19" s="5" t="n"/>
      <c r="BX19" t="inlineStr">
        <is>
          <t>Opening total shareholders' funds</t>
        </is>
      </c>
      <c r="CI19" t="n">
        <v>4646</v>
      </c>
      <c r="CJ19" t="n">
        <v>4847</v>
      </c>
      <c r="CK19" t="n">
        <v>5631</v>
      </c>
      <c r="CL19" t="n">
        <v>5667</v>
      </c>
      <c r="CM19" t="n">
        <v>5778</v>
      </c>
      <c r="CN19" t="n">
        <v>5908</v>
      </c>
      <c r="CO19" t="n">
        <v>6145</v>
      </c>
      <c r="CP19" t="n">
        <v>6771</v>
      </c>
      <c r="CQ19" t="n">
        <v>7451</v>
      </c>
      <c r="CR19" t="n">
        <v>9353</v>
      </c>
      <c r="CS19" t="n">
        <v>9876</v>
      </c>
      <c r="CT19" t="n">
        <v>15512</v>
      </c>
    </row>
    <row r="20">
      <c r="A20" s="5" t="inlineStr">
        <is>
          <t>(Loss)/profit for the financial year</t>
        </is>
      </c>
      <c r="B20" s="5" t="n">
        <v>-804</v>
      </c>
      <c r="C20" s="5" t="n">
        <v>279</v>
      </c>
      <c r="D20" s="5" t="n">
        <v>523</v>
      </c>
      <c r="E20" s="5" t="n">
        <v>102</v>
      </c>
      <c r="F20" s="5" t="n">
        <v>680</v>
      </c>
      <c r="G20" s="5" t="n">
        <v>-24</v>
      </c>
      <c r="H20" s="5" t="n">
        <v>257</v>
      </c>
      <c r="I20" s="5" t="n">
        <v>146</v>
      </c>
      <c r="J20" s="5" t="n">
        <v>105</v>
      </c>
      <c r="K20" s="5" t="n">
        <v>34</v>
      </c>
      <c r="L20" s="5" t="n">
        <v>720</v>
      </c>
      <c r="M20" s="5" t="n">
        <v>69</v>
      </c>
      <c r="N20" s="5" t="n"/>
      <c r="O20" s="5" t="n"/>
      <c r="P20" s="5" t="n"/>
      <c r="Q20" s="5" t="n"/>
      <c r="R20" s="5" t="n"/>
      <c r="S20" s="5" t="n"/>
      <c r="T20" s="5" t="n"/>
      <c r="U20" s="5" t="n"/>
      <c r="V20" s="5" t="n"/>
      <c r="W20" s="5" t="n"/>
      <c r="BX20" t="inlineStr">
        <is>
          <t>(Loss)/profit for the financial year</t>
        </is>
      </c>
      <c r="CI20" t="n">
        <v>69</v>
      </c>
      <c r="CJ20" t="n">
        <v>720</v>
      </c>
      <c r="CK20" t="n">
        <v>34</v>
      </c>
      <c r="CL20" t="n">
        <v>105</v>
      </c>
      <c r="CM20" t="n">
        <v>146</v>
      </c>
      <c r="CN20" t="n">
        <v>257</v>
      </c>
      <c r="CO20" t="n">
        <v>-24</v>
      </c>
      <c r="CP20" t="n">
        <v>680</v>
      </c>
      <c r="CQ20" t="n">
        <v>102</v>
      </c>
      <c r="CR20" t="n">
        <v>523</v>
      </c>
      <c r="CS20" t="n">
        <v>279</v>
      </c>
      <c r="CT20" t="n">
        <v>-804</v>
      </c>
    </row>
    <row r="21">
      <c r="A21" s="5" t="inlineStr">
        <is>
          <t>Other equity movements, net</t>
        </is>
      </c>
      <c r="B21" s="5" t="n">
        <v>1100</v>
      </c>
      <c r="C21" s="5" t="n">
        <v>5357</v>
      </c>
      <c r="D21" s="5" t="n">
        <v>0</v>
      </c>
      <c r="E21" s="5" t="n">
        <v>1800</v>
      </c>
      <c r="F21" s="5" t="n">
        <v>0</v>
      </c>
      <c r="G21" s="5" t="n">
        <v>650</v>
      </c>
      <c r="H21" s="5" t="n">
        <v>0</v>
      </c>
      <c r="I21" s="5" t="n">
        <v>-16</v>
      </c>
      <c r="J21" s="5" t="n">
        <v>6</v>
      </c>
      <c r="K21" s="5" t="n">
        <v>2</v>
      </c>
      <c r="L21" s="5" t="n">
        <v>64</v>
      </c>
      <c r="M21" s="5" t="n">
        <v>245</v>
      </c>
      <c r="N21" s="5" t="n"/>
      <c r="O21" s="5" t="n"/>
      <c r="P21" s="5" t="n"/>
      <c r="Q21" s="5" t="n"/>
      <c r="R21" s="5" t="n"/>
      <c r="S21" s="5" t="n"/>
      <c r="T21" s="5" t="n"/>
      <c r="U21" s="5" t="n"/>
      <c r="V21" s="5" t="n"/>
      <c r="W21" s="5" t="n"/>
      <c r="BX21" t="inlineStr">
        <is>
          <t>Other equity movements, net</t>
        </is>
      </c>
      <c r="CI21" t="n">
        <v>245</v>
      </c>
      <c r="CJ21" t="n">
        <v>64</v>
      </c>
      <c r="CK21" t="n">
        <v>2</v>
      </c>
      <c r="CL21" t="n">
        <v>6</v>
      </c>
      <c r="CM21" t="n">
        <v>-16</v>
      </c>
      <c r="CN21" t="n">
        <v>0</v>
      </c>
      <c r="CO21" t="n">
        <v>650</v>
      </c>
      <c r="CP21" t="n">
        <v>0</v>
      </c>
      <c r="CQ21" t="n">
        <v>1800</v>
      </c>
      <c r="CR21" t="n">
        <v>0</v>
      </c>
      <c r="CS21" t="n">
        <v>5357</v>
      </c>
      <c r="CT21" t="n">
        <v>1100</v>
      </c>
    </row>
    <row r="22">
      <c r="A22" s="5" t="inlineStr">
        <is>
          <t>Closing total shareholders' funds</t>
        </is>
      </c>
      <c r="B22" s="5" t="n">
        <v>15808</v>
      </c>
      <c r="C22" s="5" t="n">
        <v>15512</v>
      </c>
      <c r="D22" s="5" t="n">
        <v>9876</v>
      </c>
      <c r="E22" s="5" t="n">
        <v>9353</v>
      </c>
      <c r="F22" s="5" t="n">
        <v>7451</v>
      </c>
      <c r="G22" s="5" t="n">
        <v>6771</v>
      </c>
      <c r="H22" s="5" t="n">
        <v>6145</v>
      </c>
      <c r="I22" s="5" t="n">
        <v>5908</v>
      </c>
      <c r="J22" s="5" t="n">
        <v>5778</v>
      </c>
      <c r="K22" s="5" t="n">
        <v>5667</v>
      </c>
      <c r="L22" s="5" t="n">
        <v>5631</v>
      </c>
      <c r="M22" s="5" t="n">
        <v>4960</v>
      </c>
      <c r="N22" s="5" t="n"/>
      <c r="O22" s="5" t="n"/>
      <c r="P22" s="5" t="n"/>
      <c r="Q22" s="5" t="n"/>
      <c r="R22" s="5" t="n"/>
      <c r="S22" s="5" t="n"/>
      <c r="T22" s="5" t="n"/>
      <c r="U22" s="5" t="n"/>
      <c r="V22" s="5" t="n"/>
      <c r="W22" s="5" t="n"/>
      <c r="BX22" t="inlineStr">
        <is>
          <t>Closing total shareholders' funds</t>
        </is>
      </c>
      <c r="CI22" t="n">
        <v>4960</v>
      </c>
      <c r="CJ22" t="n">
        <v>5631</v>
      </c>
      <c r="CK22" t="n">
        <v>5667</v>
      </c>
      <c r="CL22" t="n">
        <v>5778</v>
      </c>
      <c r="CM22" t="n">
        <v>5908</v>
      </c>
      <c r="CN22" t="n">
        <v>6145</v>
      </c>
      <c r="CO22" t="n">
        <v>6771</v>
      </c>
      <c r="CP22" t="n">
        <v>7451</v>
      </c>
      <c r="CQ22" t="n">
        <v>9353</v>
      </c>
      <c r="CR22" t="n">
        <v>9876</v>
      </c>
      <c r="CS22" t="n">
        <v>15512</v>
      </c>
      <c r="CT22" t="n">
        <v>15808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V25" s="4" t="inlineStr">
        <is>
          <t>FY2005</t>
        </is>
      </c>
      <c r="W25" s="4" t="inlineStr">
        <is>
          <t>FY2004</t>
        </is>
      </c>
      <c r="CX25" t="inlineStr">
        <is>
          <t>FY2004</t>
        </is>
      </c>
      <c r="CY25" t="inlineStr">
        <is>
          <t>FY2005</t>
        </is>
      </c>
      <c r="CZ25" t="inlineStr">
        <is>
          <t>FY2006</t>
        </is>
      </c>
      <c r="DA25" t="inlineStr">
        <is>
          <t>FY2007</t>
        </is>
      </c>
      <c r="DB25" t="inlineStr">
        <is>
          <t>FY2008</t>
        </is>
      </c>
      <c r="DC25" t="inlineStr">
        <is>
          <t>FY2009</t>
        </is>
      </c>
      <c r="DD25" t="inlineStr">
        <is>
          <t>FY2010</t>
        </is>
      </c>
      <c r="DE25" t="inlineStr">
        <is>
          <t>FY2011</t>
        </is>
      </c>
      <c r="DF25" t="inlineStr">
        <is>
          <t>FY2012</t>
        </is>
      </c>
      <c r="DG25" t="inlineStr">
        <is>
          <t>FY2013</t>
        </is>
      </c>
      <c r="DH25" t="inlineStr">
        <is>
          <t>FY2014</t>
        </is>
      </c>
      <c r="DI25" t="inlineStr">
        <is>
          <t>FY2015</t>
        </is>
      </c>
      <c r="DJ25" t="inlineStr">
        <is>
          <t>FY2016</t>
        </is>
      </c>
      <c r="DK25" t="inlineStr">
        <is>
          <t>FY2017</t>
        </is>
      </c>
      <c r="DL25" t="inlineStr">
        <is>
          <t>FY2018</t>
        </is>
      </c>
      <c r="DM25" t="inlineStr">
        <is>
          <t>FY2019</t>
        </is>
      </c>
      <c r="DN25" t="inlineStr">
        <is>
          <t>FY2020</t>
        </is>
      </c>
      <c r="DO25" t="inlineStr">
        <is>
          <t>FY2021</t>
        </is>
      </c>
      <c r="DP25" t="inlineStr">
        <is>
          <t>FY2022</t>
        </is>
      </c>
      <c r="DQ25" t="inlineStr">
        <is>
          <t>FY2023</t>
        </is>
      </c>
      <c r="DR25" t="inlineStr">
        <is>
          <t>FY2024</t>
        </is>
      </c>
      <c r="DS25" t="inlineStr">
        <is>
          <t>FY2025</t>
        </is>
      </c>
    </row>
    <row r="26">
      <c r="A26" s="5" t="inlineStr">
        <is>
          <t>Net cash flow from/(used in) operating activities</t>
        </is>
      </c>
      <c r="B26" s="5" t="n">
        <v>-1134</v>
      </c>
      <c r="C26" s="5" t="n">
        <v>-583</v>
      </c>
      <c r="D26" s="5" t="n">
        <v>10244</v>
      </c>
      <c r="E26" s="5" t="n">
        <v>3132</v>
      </c>
      <c r="F26" s="5" t="n">
        <v>-630</v>
      </c>
      <c r="G26" s="5" t="n">
        <v>6970</v>
      </c>
      <c r="H26" s="5" t="n">
        <v>1938</v>
      </c>
      <c r="I26" s="5" t="n">
        <v>-4121</v>
      </c>
      <c r="J26" s="5" t="n">
        <v>1102</v>
      </c>
      <c r="K26" s="5" t="n">
        <v>485</v>
      </c>
      <c r="L26" s="5" t="n">
        <v>-5612</v>
      </c>
      <c r="M26" s="5" t="n"/>
      <c r="N26" s="5" t="n"/>
      <c r="O26" s="5" t="n"/>
      <c r="P26" s="5" t="n"/>
      <c r="Q26" s="5" t="n"/>
      <c r="R26" s="5" t="n"/>
      <c r="S26" s="5" t="n"/>
      <c r="T26" s="5" t="n"/>
      <c r="U26" s="5" t="n"/>
      <c r="V26" s="5" t="n"/>
      <c r="W26" s="5" t="n"/>
      <c r="CW26" t="inlineStr">
        <is>
          <t>Net cash flow from/(used in) operating activities</t>
        </is>
      </c>
      <c r="DI26" t="n">
        <v>-5612</v>
      </c>
      <c r="DJ26" t="n">
        <v>485</v>
      </c>
      <c r="DK26" t="n">
        <v>1102</v>
      </c>
      <c r="DL26" t="n">
        <v>-4121</v>
      </c>
      <c r="DM26" t="n">
        <v>1938</v>
      </c>
      <c r="DN26" t="n">
        <v>6970</v>
      </c>
      <c r="DO26" t="n">
        <v>-630</v>
      </c>
      <c r="DP26" t="n">
        <v>3132</v>
      </c>
      <c r="DQ26" t="n">
        <v>10244</v>
      </c>
      <c r="DR26" t="n">
        <v>-583</v>
      </c>
      <c r="DS26" t="n">
        <v>-1134</v>
      </c>
    </row>
    <row r="27">
      <c r="A27" s="5" t="inlineStr">
        <is>
          <t>Net cash flow from/(used in) investing activities</t>
        </is>
      </c>
      <c r="B27" s="5" t="n">
        <v>-43</v>
      </c>
      <c r="C27" s="5" t="n">
        <v>-41</v>
      </c>
      <c r="D27" s="5" t="n">
        <v>-47</v>
      </c>
      <c r="E27" s="5" t="n">
        <v>-40</v>
      </c>
      <c r="F27" s="5" t="n">
        <v>1769</v>
      </c>
      <c r="G27" s="5" t="n">
        <v>-69</v>
      </c>
      <c r="H27" s="5" t="n">
        <v>-97</v>
      </c>
      <c r="I27" s="5" t="n">
        <v>-52</v>
      </c>
      <c r="J27" s="5" t="n">
        <v>-31</v>
      </c>
      <c r="K27" s="5" t="n">
        <v>-191</v>
      </c>
      <c r="L27" s="5" t="n">
        <v>3325</v>
      </c>
      <c r="M27" s="5" t="n"/>
      <c r="N27" s="5" t="n"/>
      <c r="O27" s="5" t="n"/>
      <c r="P27" s="5" t="n"/>
      <c r="Q27" s="5" t="n"/>
      <c r="R27" s="5" t="n"/>
      <c r="S27" s="5" t="n"/>
      <c r="T27" s="5" t="n"/>
      <c r="U27" s="5" t="n"/>
      <c r="V27" s="5" t="n"/>
      <c r="W27" s="5" t="n"/>
      <c r="CW27" t="inlineStr">
        <is>
          <t>Net cash flow from/(used in) investing activities</t>
        </is>
      </c>
      <c r="DI27" t="n">
        <v>3325</v>
      </c>
      <c r="DJ27" t="n">
        <v>-191</v>
      </c>
      <c r="DK27" t="n">
        <v>-31</v>
      </c>
      <c r="DL27" t="n">
        <v>-52</v>
      </c>
      <c r="DM27" t="n">
        <v>-97</v>
      </c>
      <c r="DN27" t="n">
        <v>-69</v>
      </c>
      <c r="DO27" t="n">
        <v>1769</v>
      </c>
      <c r="DP27" t="n">
        <v>-40</v>
      </c>
      <c r="DQ27" t="n">
        <v>-47</v>
      </c>
      <c r="DR27" t="n">
        <v>-41</v>
      </c>
      <c r="DS27" t="n">
        <v>-43</v>
      </c>
    </row>
    <row r="28">
      <c r="A28" s="5" t="inlineStr">
        <is>
          <t>Net cash flow from/(used in) financing activities</t>
        </is>
      </c>
      <c r="B28" s="5" t="n">
        <v>1100</v>
      </c>
      <c r="C28" s="5" t="n">
        <v>5357</v>
      </c>
      <c r="D28" s="5" t="n">
        <v>0</v>
      </c>
      <c r="E28" s="5" t="n">
        <v>1739</v>
      </c>
      <c r="F28" s="5" t="n">
        <v>-670</v>
      </c>
      <c r="G28" s="5" t="n">
        <v>650</v>
      </c>
      <c r="H28" s="5" t="n">
        <v>-20</v>
      </c>
      <c r="I28" s="5" t="n">
        <v>-166</v>
      </c>
      <c r="J28" s="5" t="n">
        <v>0</v>
      </c>
      <c r="K28" s="5" t="n">
        <v>-100</v>
      </c>
      <c r="L28" s="5" t="n">
        <v>0</v>
      </c>
      <c r="M28" s="5" t="n"/>
      <c r="N28" s="5" t="n"/>
      <c r="O28" s="5" t="n"/>
      <c r="P28" s="5" t="n"/>
      <c r="Q28" s="5" t="n"/>
      <c r="R28" s="5" t="n"/>
      <c r="S28" s="5" t="n"/>
      <c r="T28" s="5" t="n"/>
      <c r="U28" s="5" t="n"/>
      <c r="V28" s="5" t="n"/>
      <c r="W28" s="5" t="n"/>
      <c r="CW28" t="inlineStr">
        <is>
          <t>Net cash flow from/(used in) financing activities</t>
        </is>
      </c>
      <c r="DI28" t="n">
        <v>0</v>
      </c>
      <c r="DJ28" t="n">
        <v>-100</v>
      </c>
      <c r="DK28" t="n">
        <v>0</v>
      </c>
      <c r="DL28" t="n">
        <v>-166</v>
      </c>
      <c r="DM28" t="n">
        <v>-20</v>
      </c>
      <c r="DN28" t="n">
        <v>650</v>
      </c>
      <c r="DO28" t="n">
        <v>-670</v>
      </c>
      <c r="DP28" t="n">
        <v>1739</v>
      </c>
      <c r="DQ28" t="n">
        <v>0</v>
      </c>
      <c r="DR28" t="n">
        <v>5357</v>
      </c>
      <c r="DS28" t="n">
        <v>1100</v>
      </c>
    </row>
    <row r="29">
      <c r="A29" s="5" t="inlineStr">
        <is>
          <t>Cash and cash equivalents at end of year</t>
        </is>
      </c>
      <c r="B29" s="5" t="n">
        <v>39714</v>
      </c>
      <c r="C29" s="5" t="n">
        <v>39791</v>
      </c>
      <c r="D29" s="5" t="n">
        <v>35058</v>
      </c>
      <c r="E29" s="5" t="n">
        <v>24861</v>
      </c>
      <c r="F29" s="5" t="n">
        <v>20030</v>
      </c>
      <c r="G29" s="5" t="n">
        <v>19561</v>
      </c>
      <c r="H29" s="5" t="n">
        <v>12010</v>
      </c>
      <c r="I29" s="5" t="n">
        <v>10189</v>
      </c>
      <c r="J29" s="5" t="n">
        <v>14528</v>
      </c>
      <c r="K29" s="5" t="n">
        <v>13457</v>
      </c>
      <c r="L29" s="5" t="n">
        <v>13263</v>
      </c>
      <c r="M29" s="5" t="n"/>
      <c r="N29" s="5" t="n"/>
      <c r="O29" s="5" t="n"/>
      <c r="P29" s="5" t="n"/>
      <c r="Q29" s="5" t="n"/>
      <c r="R29" s="5" t="n"/>
      <c r="S29" s="5" t="n"/>
      <c r="T29" s="5" t="n"/>
      <c r="U29" s="5" t="n"/>
      <c r="V29" s="5" t="n"/>
      <c r="W29" s="5" t="n"/>
      <c r="CW29" t="inlineStr">
        <is>
          <t>Cash and cash equivalents at end of year</t>
        </is>
      </c>
      <c r="DI29" t="n">
        <v>13263</v>
      </c>
      <c r="DJ29" t="n">
        <v>13457</v>
      </c>
      <c r="DK29" t="n">
        <v>14528</v>
      </c>
      <c r="DL29" t="n">
        <v>10189</v>
      </c>
      <c r="DM29" t="n">
        <v>12010</v>
      </c>
      <c r="DN29" t="n">
        <v>19561</v>
      </c>
      <c r="DO29" t="n">
        <v>20030</v>
      </c>
      <c r="DP29" t="n">
        <v>24861</v>
      </c>
      <c r="DQ29" t="n">
        <v>35058</v>
      </c>
      <c r="DR29" t="n">
        <v>39791</v>
      </c>
      <c r="DS29" t="n">
        <v>39714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c r="S32" s="4" t="inlineStr">
        <is>
          <t>FY2008</t>
        </is>
      </c>
      <c r="T32" s="4" t="inlineStr">
        <is>
          <t>FY2007</t>
        </is>
      </c>
      <c r="U32" s="4" t="inlineStr">
        <is>
          <t>FY2006</t>
        </is>
      </c>
      <c r="V32" s="4" t="inlineStr">
        <is>
          <t>FY2005</t>
        </is>
      </c>
      <c r="W32" s="4" t="inlineStr">
        <is>
          <t>FY2004</t>
        </is>
      </c>
    </row>
    <row r="33">
      <c r="A33" s="6" t="inlineStr">
        <is>
          <t>CET1 ratio</t>
        </is>
      </c>
      <c r="B33" s="6" t="inlineStr">
        <is>
          <t>18.8%</t>
        </is>
      </c>
      <c r="C33" s="6" t="inlineStr">
        <is>
          <t>22.2%</t>
        </is>
      </c>
      <c r="D33" s="6" t="inlineStr">
        <is>
          <t>17.37%</t>
        </is>
      </c>
      <c r="E33" s="6" t="inlineStr">
        <is>
          <t>20.84%</t>
        </is>
      </c>
      <c r="F33" s="6" t="inlineStr">
        <is>
          <t>16.97%</t>
        </is>
      </c>
      <c r="G33" s="6" t="inlineStr">
        <is>
          <t>17.13%</t>
        </is>
      </c>
      <c r="H33" s="6" t="inlineStr">
        <is>
          <t>15.27%</t>
        </is>
      </c>
      <c r="I33" s="6" t="inlineStr">
        <is>
          <t>14.57%</t>
        </is>
      </c>
      <c r="J33" s="6" t="inlineStr">
        <is>
          <t>14.41%</t>
        </is>
      </c>
      <c r="K33" s="6" t="inlineStr">
        <is>
          <t>16.25%</t>
        </is>
      </c>
      <c r="L33" s="6" t="inlineStr">
        <is>
          <t>14.45%</t>
        </is>
      </c>
      <c r="M33" s="6" t="n"/>
      <c r="N33" s="6" t="n"/>
      <c r="O33" s="6" t="n"/>
      <c r="P33" s="6" t="n"/>
      <c r="Q33" s="6" t="n"/>
      <c r="R33" s="6" t="n"/>
      <c r="S33" s="6" t="n"/>
      <c r="T33" s="6" t="n"/>
      <c r="U33" s="6" t="n"/>
      <c r="V33" s="6" t="n"/>
      <c r="W33" s="6" t="n"/>
    </row>
    <row r="34">
      <c r="A34" s="6" t="inlineStr">
        <is>
          <t>Leverage ratio</t>
        </is>
      </c>
      <c r="B34" s="6" t="inlineStr">
        <is>
          <t>12.4%</t>
        </is>
      </c>
      <c r="C34" s="6" t="inlineStr">
        <is>
          <t>10.8%</t>
        </is>
      </c>
      <c r="D34" s="6" t="inlineStr">
        <is>
          <t>7.96%</t>
        </is>
      </c>
      <c r="E34" s="6" t="inlineStr">
        <is>
          <t>10.02%</t>
        </is>
      </c>
      <c r="F34" s="6" t="inlineStr">
        <is>
          <t>9.03%</t>
        </is>
      </c>
      <c r="G34" s="6" t="inlineStr">
        <is>
          <t>9.37%</t>
        </is>
      </c>
      <c r="H34" s="6" t="inlineStr">
        <is>
          <t>9.40%</t>
        </is>
      </c>
      <c r="I34" s="6" t="inlineStr">
        <is>
          <t>10.10%</t>
        </is>
      </c>
      <c r="J34" s="6" t="inlineStr">
        <is>
          <t>9.38%</t>
        </is>
      </c>
      <c r="K34" s="6" t="inlineStr">
        <is>
          <t>10.09%</t>
        </is>
      </c>
      <c r="L34" s="6" t="inlineStr">
        <is>
          <t>8.96%</t>
        </is>
      </c>
      <c r="M34" s="6" t="n"/>
      <c r="N34" s="6" t="n"/>
      <c r="O34" s="6" t="n"/>
      <c r="P34" s="6" t="n"/>
      <c r="Q34" s="6" t="n"/>
      <c r="R34" s="6" t="n"/>
      <c r="S34" s="6" t="n"/>
      <c r="T34" s="6" t="n"/>
      <c r="U34" s="6" t="n"/>
      <c r="V34" s="6" t="n"/>
      <c r="W34" s="6" t="n"/>
    </row>
    <row r="36" ht="45" customHeight="1">
      <c r="A36" s="7" t="inlineStr">
        <is>
          <t>Note: The two ratios charted above are the Annual Report Strategic Report 'Key performance indicators' series, disclosed each year from FY2015 onward; FY2014 predates the KPI table and has no ratio data. LCR is disclosed on the same basis but omitted from the chart only because its scale, running into four figures in most years, dwarfs the other two - see the LCR sheet directly. SEPARATELY, and recovered on 2026-09-15, Kingdom Bank published standalone annual Pillar 3 disclosure documents (for FY2011-FY2023 - the FY2011-FY2015, FY2022 and FY2023 editions are not reachable today); the FY2019, FY2020 and FY2021 editions have been retrieved (every one of the bank's own live URLs now 404s, so the citations point at Wayback `id_` snapshots with the dead originals kept alongside them), and the FY2016-FY2018 editions (live on the bank's former Webflow asset host, transcribed 2026-09-19) add £m-precision own funds, credit-risk RWA components and a leverage ratio for those years; together they supply regulatory-basis CET1, Tier 1 and Total Capital, a Total Capital ratio, Total RWAs, a full UK OV1 RWA breakdown, a leverage ratio excluding central bank claims, a 12-month-average LCR and an NSFR. Those regulatory figures do NOT agree with the KPI-table series above - they are computed on a different basis - so each affected sheet carries both on separate labelled rows, and the charts above deliberately continue to plot only the KPI series so that a single consistent measure is charted across all years. Only the MREL ratio remains undisclosed in every year. CET1 Capital, Tier 1 Capital and Total Capital (£'000) are disclosed on an accounting basis for all 12 years on their own sheets. Balance Sheet, Profit &amp; Loss, Statement of Changes in Equity and Cash Flow figures are duplicated from their own sheets for at-a-glance trend viewing - how the bank is using its money (steady growth in loans and advances to churches/charities/individuals, funded by customer deposits) and the risk it is taking with it (a small, consistently sub-1%-of-gross-advances loan loss provision throughout). FY2014 has no cash flow figures (see the Cash Flow Statement sheet's source note).</t>
        </is>
      </c>
    </row>
  </sheetData>
  <mergeCells count="1">
    <mergeCell ref="A36:W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W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Balance Sheet</t>
        </is>
      </c>
    </row>
    <row r="2">
      <c r="A2" s="2" t="inlineStr">
        <is>
          <t>Statement of financial position, Bank/solo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Cash and balances at central banks (no such line existed before FY2010 - see source note)</t>
        </is>
      </c>
      <c r="B5" s="6" t="n">
        <v>38497</v>
      </c>
      <c r="C5" s="6" t="n">
        <v>38548</v>
      </c>
      <c r="D5" s="6" t="n">
        <v>34064</v>
      </c>
      <c r="E5" s="6" t="n">
        <v>23032</v>
      </c>
      <c r="F5" s="6" t="n">
        <v>10087</v>
      </c>
      <c r="G5" s="6" t="n">
        <v>6678</v>
      </c>
      <c r="H5" s="6" t="n">
        <v>6502</v>
      </c>
      <c r="I5" s="6" t="n">
        <v>4502</v>
      </c>
      <c r="J5" s="6" t="n">
        <v>4523</v>
      </c>
      <c r="K5" s="6" t="n">
        <v>4261</v>
      </c>
      <c r="L5" s="6" t="n">
        <v>3993</v>
      </c>
      <c r="M5" s="6" t="n">
        <v>3973</v>
      </c>
      <c r="N5" s="6" t="n">
        <v>3703</v>
      </c>
      <c r="O5" s="6" t="n">
        <v>4033</v>
      </c>
      <c r="P5" s="6" t="n">
        <v>2014</v>
      </c>
      <c r="Q5" s="6" t="n">
        <v>3001</v>
      </c>
      <c r="R5" s="6" t="n"/>
      <c r="S5" s="6" t="n"/>
      <c r="T5" s="6" t="n"/>
      <c r="U5" s="6" t="n"/>
      <c r="V5" s="6" t="n"/>
      <c r="W5" s="6" t="n"/>
    </row>
    <row r="6">
      <c r="A6" s="6" t="inlineStr">
        <is>
          <t>Loans and advances to banks (FY2014's own label: 'Loans and advances to credit institutions'; FY2004 combines that year's separate banks/building-societies lines - see source note)</t>
        </is>
      </c>
      <c r="B6" s="6" t="n">
        <v>1217</v>
      </c>
      <c r="C6" s="6" t="n">
        <v>1243</v>
      </c>
      <c r="D6" s="6" t="n">
        <v>994</v>
      </c>
      <c r="E6" s="6" t="n">
        <v>1829</v>
      </c>
      <c r="F6" s="6" t="n">
        <v>10795</v>
      </c>
      <c r="G6" s="6" t="n">
        <v>14135</v>
      </c>
      <c r="H6" s="6" t="n">
        <v>5509</v>
      </c>
      <c r="I6" s="6" t="n">
        <v>5939</v>
      </c>
      <c r="J6" s="6" t="n">
        <v>11311</v>
      </c>
      <c r="K6" s="6" t="n">
        <v>9864</v>
      </c>
      <c r="L6" s="6" t="n">
        <v>10981</v>
      </c>
      <c r="M6" s="6" t="n">
        <v>11905</v>
      </c>
      <c r="N6" s="6" t="n">
        <v>17724</v>
      </c>
      <c r="O6" s="6" t="n">
        <v>13663</v>
      </c>
      <c r="P6" s="6" t="n">
        <v>16043</v>
      </c>
      <c r="Q6" s="6" t="n">
        <v>16236</v>
      </c>
      <c r="R6" s="6" t="n">
        <v>15052</v>
      </c>
      <c r="S6" s="6" t="n">
        <v>23823</v>
      </c>
      <c r="T6" s="6" t="n">
        <v>23472</v>
      </c>
      <c r="U6" s="6" t="n">
        <v>11711</v>
      </c>
      <c r="V6" s="6" t="n">
        <v>10925</v>
      </c>
      <c r="W6" s="6" t="n">
        <v>9858</v>
      </c>
    </row>
    <row r="7">
      <c r="A7" s="6" t="inlineStr">
        <is>
          <t>Loans and advances to customers</t>
        </is>
      </c>
      <c r="B7" s="6" t="n">
        <v>118242</v>
      </c>
      <c r="C7" s="6" t="n">
        <v>97733</v>
      </c>
      <c r="D7" s="6" t="n">
        <v>77532</v>
      </c>
      <c r="E7" s="6" t="n">
        <v>63291</v>
      </c>
      <c r="F7" s="6" t="n">
        <v>53795</v>
      </c>
      <c r="G7" s="6" t="n">
        <v>47114</v>
      </c>
      <c r="H7" s="6" t="n">
        <v>45339</v>
      </c>
      <c r="I7" s="6" t="n">
        <v>41404</v>
      </c>
      <c r="J7" s="6" t="n">
        <v>38438</v>
      </c>
      <c r="K7" s="6" t="n">
        <v>35336</v>
      </c>
      <c r="L7" s="6" t="n">
        <v>33028</v>
      </c>
      <c r="M7" s="6" t="n">
        <v>29724</v>
      </c>
      <c r="N7" s="6" t="n">
        <v>28355</v>
      </c>
      <c r="O7" s="6" t="n">
        <v>27886</v>
      </c>
      <c r="P7" s="6" t="n">
        <v>28238</v>
      </c>
      <c r="Q7" s="6" t="n">
        <v>32538</v>
      </c>
      <c r="R7" s="6" t="n">
        <v>33073</v>
      </c>
      <c r="S7" s="6" t="n">
        <v>26860</v>
      </c>
      <c r="T7" s="6" t="n">
        <v>20322</v>
      </c>
      <c r="U7" s="6" t="n">
        <v>21208</v>
      </c>
      <c r="V7" s="6" t="n">
        <v>17900</v>
      </c>
      <c r="W7" s="6" t="n">
        <v>16680</v>
      </c>
    </row>
    <row r="8">
      <c r="A8" s="6" t="inlineStr">
        <is>
          <t>Debt securities - available-for-sale, UK government gilts/bonds per FY2009 disclosure (not disclosed before FY2009, nil FY2010; see PRESENTATION NOTE (11))</t>
        </is>
      </c>
      <c r="B8" s="6" t="n"/>
      <c r="C8" s="6" t="n"/>
      <c r="D8" s="6" t="n"/>
      <c r="E8" s="6" t="n"/>
      <c r="F8" s="6" t="n"/>
      <c r="G8" s="6" t="n"/>
      <c r="H8" s="6" t="n"/>
      <c r="I8" s="6" t="n"/>
      <c r="J8" s="6" t="n"/>
      <c r="K8" s="6" t="n"/>
      <c r="L8" s="6" t="n"/>
      <c r="M8" s="6" t="n">
        <v>0</v>
      </c>
      <c r="N8" s="6" t="n">
        <v>24</v>
      </c>
      <c r="O8" s="6" t="n">
        <v>25</v>
      </c>
      <c r="P8" s="6" t="n">
        <v>25</v>
      </c>
      <c r="Q8" s="6" t="n">
        <v>0</v>
      </c>
      <c r="R8" s="6" t="n">
        <v>1692</v>
      </c>
      <c r="S8" s="6" t="n"/>
      <c r="T8" s="6" t="n"/>
      <c r="U8" s="6" t="n"/>
      <c r="V8" s="6" t="n"/>
      <c r="W8" s="6" t="n"/>
    </row>
    <row r="9">
      <c r="A9" s="6" t="inlineStr">
        <is>
          <t>Investment property</t>
        </is>
      </c>
      <c r="B9" s="6" t="n">
        <v>650</v>
      </c>
      <c r="C9" s="6" t="n"/>
      <c r="D9" s="6" t="n"/>
      <c r="E9" s="6" t="n"/>
      <c r="F9" s="6" t="n"/>
      <c r="G9" s="6" t="n">
        <v>667</v>
      </c>
      <c r="H9" s="6" t="n">
        <v>667</v>
      </c>
      <c r="I9" s="6" t="n">
        <v>667</v>
      </c>
      <c r="J9" s="6" t="n">
        <v>500</v>
      </c>
      <c r="K9" s="6" t="n">
        <v>498</v>
      </c>
      <c r="L9" s="6" t="n"/>
      <c r="M9" s="6" t="n"/>
      <c r="N9" s="6" t="n"/>
      <c r="O9" s="6" t="n"/>
      <c r="P9" s="6" t="n"/>
      <c r="Q9" s="6" t="n"/>
      <c r="R9" s="6" t="n"/>
      <c r="S9" s="6" t="n"/>
      <c r="T9" s="6" t="n"/>
      <c r="U9" s="6" t="n"/>
      <c r="V9" s="6" t="n"/>
      <c r="W9" s="6" t="n"/>
    </row>
    <row r="10">
      <c r="A10" s="6" t="inlineStr">
        <is>
          <t>Intangible fixed assets (nil/absent before FY2008 - see source note)</t>
        </is>
      </c>
      <c r="B10" s="6" t="n">
        <v>18</v>
      </c>
      <c r="C10" s="6" t="n">
        <v>39</v>
      </c>
      <c r="D10" s="6" t="n">
        <v>75</v>
      </c>
      <c r="E10" s="6" t="n">
        <v>76</v>
      </c>
      <c r="F10" s="6" t="n">
        <v>83</v>
      </c>
      <c r="G10" s="6" t="n">
        <v>69</v>
      </c>
      <c r="H10" s="6" t="n">
        <v>69</v>
      </c>
      <c r="I10" s="6" t="n">
        <v>122</v>
      </c>
      <c r="J10" s="6" t="n">
        <v>189</v>
      </c>
      <c r="K10" s="6" t="n">
        <v>255</v>
      </c>
      <c r="L10" s="6" t="n">
        <v>168</v>
      </c>
      <c r="M10" s="6" t="n">
        <v>131</v>
      </c>
      <c r="N10" s="6" t="n">
        <v>162</v>
      </c>
      <c r="O10" s="6" t="n">
        <v>192</v>
      </c>
      <c r="P10" s="6" t="n">
        <v>222</v>
      </c>
      <c r="Q10" s="6" t="n">
        <v>252</v>
      </c>
      <c r="R10" s="6" t="n">
        <v>283</v>
      </c>
      <c r="S10" s="6" t="n">
        <v>0</v>
      </c>
      <c r="T10" s="6" t="n"/>
      <c r="U10" s="6" t="n"/>
      <c r="V10" s="6" t="n"/>
      <c r="W10" s="6" t="n"/>
    </row>
    <row r="11">
      <c r="A11" s="6" t="inlineStr">
        <is>
          <t>Tangible fixed assets (FY2014 figure includes freehold investment property, not separately disclosed that year)</t>
        </is>
      </c>
      <c r="B11" s="6" t="n">
        <v>171</v>
      </c>
      <c r="C11" s="6" t="n">
        <v>174</v>
      </c>
      <c r="D11" s="6" t="n">
        <v>192</v>
      </c>
      <c r="E11" s="6" t="n">
        <v>230</v>
      </c>
      <c r="F11" s="6" t="n">
        <v>268</v>
      </c>
      <c r="G11" s="6" t="n">
        <v>730</v>
      </c>
      <c r="H11" s="6" t="n">
        <v>742</v>
      </c>
      <c r="I11" s="6" t="n">
        <v>685</v>
      </c>
      <c r="J11" s="6" t="n">
        <v>842</v>
      </c>
      <c r="K11" s="6" t="n">
        <v>845</v>
      </c>
      <c r="L11" s="6" t="n">
        <v>1369</v>
      </c>
      <c r="M11" s="6" t="n">
        <v>3883</v>
      </c>
      <c r="N11" s="6" t="n">
        <v>3599</v>
      </c>
      <c r="O11" s="6" t="n">
        <v>3399</v>
      </c>
      <c r="P11" s="6" t="n">
        <v>1289</v>
      </c>
      <c r="Q11" s="6" t="n">
        <v>1355</v>
      </c>
      <c r="R11" s="6" t="n">
        <v>1384</v>
      </c>
      <c r="S11" s="6" t="n">
        <v>2235</v>
      </c>
      <c r="T11" s="6" t="n">
        <v>2171</v>
      </c>
      <c r="U11" s="6" t="n">
        <v>2035</v>
      </c>
      <c r="V11" s="6" t="n">
        <v>2110</v>
      </c>
      <c r="W11" s="6" t="n">
        <v>2146</v>
      </c>
    </row>
    <row r="12">
      <c r="A12" s="6" t="inlineStr">
        <is>
          <t>Fixed asset investment / Participating interests (49% of SALT Insurance Services Ltd, acquired 2 June 2008, sold during FY2012)</t>
        </is>
      </c>
      <c r="B12" s="6" t="n"/>
      <c r="C12" s="6" t="n"/>
      <c r="D12" s="6" t="n"/>
      <c r="E12" s="6" t="n"/>
      <c r="F12" s="6" t="n"/>
      <c r="G12" s="6" t="n"/>
      <c r="H12" s="6" t="n"/>
      <c r="I12" s="6" t="n"/>
      <c r="J12" s="6" t="n"/>
      <c r="K12" s="6" t="n"/>
      <c r="L12" s="6" t="n"/>
      <c r="M12" s="6" t="n"/>
      <c r="N12" s="6" t="n"/>
      <c r="O12" s="6" t="n"/>
      <c r="P12" s="6" t="n">
        <v>15</v>
      </c>
      <c r="Q12" s="6" t="n">
        <v>15</v>
      </c>
      <c r="R12" s="6" t="n">
        <v>15</v>
      </c>
      <c r="S12" s="6" t="n">
        <v>15</v>
      </c>
      <c r="T12" s="6" t="n"/>
      <c r="U12" s="6" t="n"/>
      <c r="V12" s="6" t="n"/>
      <c r="W12" s="6" t="n"/>
    </row>
    <row r="13">
      <c r="A13" s="6" t="inlineStr">
        <is>
          <t>Other assets</t>
        </is>
      </c>
      <c r="B13" s="6" t="n">
        <v>23</v>
      </c>
      <c r="C13" s="6" t="n">
        <v>63</v>
      </c>
      <c r="D13" s="6" t="n">
        <v>37</v>
      </c>
      <c r="E13" s="6" t="n">
        <v>481</v>
      </c>
      <c r="F13" s="6" t="n">
        <v>347</v>
      </c>
      <c r="G13" s="6" t="n">
        <v>388</v>
      </c>
      <c r="H13" s="6" t="n">
        <v>482</v>
      </c>
      <c r="I13" s="6" t="n">
        <v>484</v>
      </c>
      <c r="J13" s="6" t="n">
        <v>447</v>
      </c>
      <c r="K13" s="6" t="n">
        <v>390</v>
      </c>
      <c r="L13" s="6" t="n">
        <v>270</v>
      </c>
      <c r="M13" s="6" t="n"/>
      <c r="N13" s="6" t="n"/>
      <c r="O13" s="6" t="n"/>
      <c r="P13" s="6" t="n"/>
      <c r="Q13" s="6" t="n"/>
      <c r="R13" s="6" t="n"/>
      <c r="S13" s="6" t="n"/>
      <c r="T13" s="6" t="n"/>
      <c r="U13" s="6" t="n"/>
      <c r="V13" s="6" t="n"/>
      <c r="W13" s="6" t="n"/>
    </row>
    <row r="14">
      <c r="A14" s="6" t="inlineStr">
        <is>
          <t>Prepayments and accrued income</t>
        </is>
      </c>
      <c r="B14" s="6" t="n">
        <v>1056</v>
      </c>
      <c r="C14" s="6" t="n">
        <v>662</v>
      </c>
      <c r="D14" s="6" t="n">
        <v>571</v>
      </c>
      <c r="E14" s="6" t="n"/>
      <c r="F14" s="6" t="n"/>
      <c r="G14" s="6" t="n"/>
      <c r="H14" s="6" t="n"/>
      <c r="I14" s="6" t="n"/>
      <c r="J14" s="6" t="n"/>
      <c r="K14" s="6" t="n"/>
      <c r="L14" s="6" t="n"/>
      <c r="M14" s="6" t="n"/>
      <c r="N14" s="6" t="n"/>
      <c r="O14" s="6" t="n"/>
      <c r="P14" s="6" t="n"/>
      <c r="Q14" s="6" t="n"/>
      <c r="R14" s="6" t="n"/>
      <c r="S14" s="6" t="n"/>
      <c r="T14" s="6" t="n"/>
      <c r="U14" s="6" t="n"/>
      <c r="V14" s="6" t="n"/>
      <c r="W14" s="6" t="n"/>
    </row>
    <row r="15">
      <c r="A15" s="6" t="inlineStr">
        <is>
          <t>Prepayments, accrued income and other assets (combined line every year before FY2015 - see source note)</t>
        </is>
      </c>
      <c r="B15" s="6" t="n"/>
      <c r="C15" s="6" t="n"/>
      <c r="D15" s="6" t="n"/>
      <c r="E15" s="6" t="n"/>
      <c r="F15" s="6" t="n"/>
      <c r="G15" s="6" t="n"/>
      <c r="H15" s="6" t="n"/>
      <c r="I15" s="6" t="n"/>
      <c r="J15" s="6" t="n"/>
      <c r="K15" s="6" t="n"/>
      <c r="L15" s="6" t="n"/>
      <c r="M15" s="6" t="n">
        <v>227</v>
      </c>
      <c r="N15" s="6" t="n">
        <v>251</v>
      </c>
      <c r="O15" s="6" t="n">
        <v>309</v>
      </c>
      <c r="P15" s="6" t="n">
        <v>296</v>
      </c>
      <c r="Q15" s="6" t="n">
        <v>162</v>
      </c>
      <c r="R15" s="6" t="n">
        <v>75</v>
      </c>
      <c r="S15" s="6" t="n">
        <v>26</v>
      </c>
      <c r="T15" s="6" t="n">
        <v>13</v>
      </c>
      <c r="U15" s="6" t="n">
        <v>30</v>
      </c>
      <c r="V15" s="6" t="n">
        <v>20</v>
      </c>
      <c r="W15" s="6" t="n">
        <v>10</v>
      </c>
    </row>
    <row r="16">
      <c r="A16" s="6" t="inlineStr">
        <is>
          <t>Deferred tax assets</t>
        </is>
      </c>
      <c r="B16" s="6" t="n">
        <v>297</v>
      </c>
      <c r="C16" s="6" t="n">
        <v>30</v>
      </c>
      <c r="D16" s="6" t="n">
        <v>44</v>
      </c>
      <c r="E16" s="6" t="n">
        <v>83</v>
      </c>
      <c r="F16" s="6" t="n">
        <v>166</v>
      </c>
      <c r="G16" s="6" t="n"/>
      <c r="H16" s="6" t="n"/>
      <c r="I16" s="6" t="n"/>
      <c r="J16" s="6" t="n"/>
      <c r="K16" s="6" t="n"/>
      <c r="L16" s="6" t="n"/>
      <c r="M16" s="6" t="n"/>
      <c r="N16" s="6" t="n"/>
      <c r="O16" s="6" t="n"/>
      <c r="P16" s="6" t="n"/>
      <c r="Q16" s="6" t="n"/>
      <c r="R16" s="6" t="n"/>
      <c r="S16" s="6" t="n"/>
      <c r="T16" s="6" t="n"/>
      <c r="U16" s="6" t="n"/>
      <c r="V16" s="6" t="n"/>
      <c r="W16" s="6" t="n"/>
    </row>
    <row r="17">
      <c r="A17" s="5" t="inlineStr">
        <is>
          <t>Total assets</t>
        </is>
      </c>
      <c r="B17" s="5" t="n">
        <v>160171</v>
      </c>
      <c r="C17" s="5" t="n">
        <v>138492</v>
      </c>
      <c r="D17" s="5" t="n">
        <v>113509</v>
      </c>
      <c r="E17" s="5" t="n">
        <v>89022</v>
      </c>
      <c r="F17" s="5" t="n">
        <v>75541</v>
      </c>
      <c r="G17" s="5" t="n">
        <v>69781</v>
      </c>
      <c r="H17" s="5" t="n">
        <v>59310</v>
      </c>
      <c r="I17" s="5" t="n">
        <v>53803</v>
      </c>
      <c r="J17" s="5" t="n">
        <v>56250</v>
      </c>
      <c r="K17" s="5" t="n">
        <v>51449</v>
      </c>
      <c r="L17" s="5" t="n">
        <v>49809</v>
      </c>
      <c r="M17" s="5" t="n">
        <v>49843</v>
      </c>
      <c r="N17" s="5" t="n"/>
      <c r="O17" s="5" t="n"/>
      <c r="P17" s="5" t="n"/>
      <c r="Q17" s="5" t="n"/>
      <c r="R17" s="5" t="n"/>
      <c r="S17" s="5" t="n"/>
      <c r="T17" s="5" t="n"/>
      <c r="U17" s="5" t="n"/>
      <c r="V17" s="5" t="n"/>
      <c r="W17" s="5" t="n"/>
    </row>
    <row r="18">
      <c r="A18" s="5" t="inlineStr">
        <is>
          <t>Liabilities</t>
        </is>
      </c>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inlineStr">
        <is>
          <t>Loans and advances from credit institutions due within 3 months (existed FY2006-FY2009 only - see source note)</t>
        </is>
      </c>
      <c r="B19" s="6" t="n"/>
      <c r="C19" s="6" t="n"/>
      <c r="D19" s="6" t="n"/>
      <c r="E19" s="6" t="n"/>
      <c r="F19" s="6" t="n"/>
      <c r="G19" s="6" t="n"/>
      <c r="H19" s="6" t="n"/>
      <c r="I19" s="6" t="n"/>
      <c r="J19" s="6" t="n"/>
      <c r="K19" s="6" t="n"/>
      <c r="L19" s="6" t="n"/>
      <c r="M19" s="6" t="n"/>
      <c r="N19" s="6" t="n"/>
      <c r="O19" s="6" t="n"/>
      <c r="P19" s="6" t="n"/>
      <c r="Q19" s="6" t="n"/>
      <c r="R19" s="6" t="n">
        <v>0</v>
      </c>
      <c r="S19" s="6" t="n">
        <v>507</v>
      </c>
      <c r="T19" s="6" t="n">
        <v>510</v>
      </c>
      <c r="U19" s="6" t="n">
        <v>503</v>
      </c>
      <c r="V19" s="6" t="n"/>
      <c r="W19" s="6" t="n"/>
    </row>
    <row r="20">
      <c r="A20" s="6" t="inlineStr">
        <is>
          <t>Customer accounts</t>
        </is>
      </c>
      <c r="B20" s="6" t="n">
        <v>141758</v>
      </c>
      <c r="C20" s="6" t="n">
        <v>121269</v>
      </c>
      <c r="D20" s="6" t="n">
        <v>102091</v>
      </c>
      <c r="E20" s="6" t="n">
        <v>78452</v>
      </c>
      <c r="F20" s="6" t="n">
        <v>66668</v>
      </c>
      <c r="G20" s="6" t="n">
        <v>61287</v>
      </c>
      <c r="H20" s="6" t="n">
        <v>51378</v>
      </c>
      <c r="I20" s="6" t="n">
        <v>46112</v>
      </c>
      <c r="J20" s="6" t="n">
        <v>48656</v>
      </c>
      <c r="K20" s="6" t="n">
        <v>43885</v>
      </c>
      <c r="L20" s="6" t="n">
        <v>41906</v>
      </c>
      <c r="M20" s="6" t="n">
        <v>42935</v>
      </c>
      <c r="N20" s="6" t="n">
        <v>47013</v>
      </c>
      <c r="O20" s="6" t="n">
        <v>42546</v>
      </c>
      <c r="P20" s="6" t="n">
        <v>41638</v>
      </c>
      <c r="Q20" s="6" t="n">
        <v>47247</v>
      </c>
      <c r="R20" s="6" t="n">
        <v>45168</v>
      </c>
      <c r="S20" s="6" t="n">
        <v>46737</v>
      </c>
      <c r="T20" s="6" t="n">
        <v>39931</v>
      </c>
      <c r="U20" s="6" t="n">
        <v>29520</v>
      </c>
      <c r="V20" s="6" t="n">
        <v>26294</v>
      </c>
      <c r="W20" s="6" t="n">
        <v>24187</v>
      </c>
    </row>
    <row r="21">
      <c r="A21" s="6" t="inlineStr">
        <is>
          <t>Other liabilities</t>
        </is>
      </c>
      <c r="B21" s="6" t="n">
        <v>616</v>
      </c>
      <c r="C21" s="6" t="n">
        <v>448</v>
      </c>
      <c r="D21" s="6" t="n">
        <v>438</v>
      </c>
      <c r="E21" s="6" t="n">
        <v>517</v>
      </c>
      <c r="F21" s="6" t="n">
        <v>661</v>
      </c>
      <c r="G21" s="6" t="n">
        <v>292</v>
      </c>
      <c r="H21" s="6" t="n">
        <v>356</v>
      </c>
      <c r="I21" s="6" t="n">
        <v>352</v>
      </c>
      <c r="J21" s="6" t="n">
        <v>235</v>
      </c>
      <c r="K21" s="6" t="n">
        <v>316</v>
      </c>
      <c r="L21" s="6" t="n">
        <v>591</v>
      </c>
      <c r="M21" s="6" t="n">
        <v>267</v>
      </c>
      <c r="N21" s="6" t="n">
        <v>267</v>
      </c>
      <c r="O21" s="6" t="n">
        <v>412</v>
      </c>
      <c r="P21" s="6" t="n">
        <v>346</v>
      </c>
      <c r="Q21" s="6" t="n">
        <v>341</v>
      </c>
      <c r="R21" s="6" t="n">
        <v>296</v>
      </c>
      <c r="S21" s="6" t="n">
        <v>322</v>
      </c>
      <c r="T21" s="6" t="n">
        <v>274</v>
      </c>
      <c r="U21" s="6" t="n">
        <v>231</v>
      </c>
      <c r="V21" s="6" t="n">
        <v>176</v>
      </c>
      <c r="W21" s="6" t="n">
        <v>290</v>
      </c>
    </row>
    <row r="22">
      <c r="A22" s="6" t="inlineStr">
        <is>
          <t>Accruals and deferred income</t>
        </is>
      </c>
      <c r="B22" s="6" t="n">
        <v>1289</v>
      </c>
      <c r="C22" s="6" t="n">
        <v>563</v>
      </c>
      <c r="D22" s="6" t="n">
        <v>404</v>
      </c>
      <c r="E22" s="6" t="n"/>
      <c r="F22" s="6" t="n"/>
      <c r="G22" s="6" t="n"/>
      <c r="H22" s="6" t="n"/>
      <c r="I22" s="6" t="n"/>
      <c r="J22" s="6" t="n"/>
      <c r="K22" s="6" t="n"/>
      <c r="L22" s="6" t="n"/>
      <c r="M22" s="6" t="n"/>
      <c r="N22" s="6" t="n"/>
      <c r="O22" s="6" t="n"/>
      <c r="P22" s="6" t="n"/>
      <c r="Q22" s="6" t="n"/>
      <c r="R22" s="6" t="n"/>
      <c r="S22" s="6" t="n"/>
      <c r="T22" s="6" t="n"/>
      <c r="U22" s="6" t="n"/>
      <c r="V22" s="6" t="n"/>
      <c r="W22" s="6" t="n"/>
    </row>
    <row r="23">
      <c r="A23" s="6" t="inlineStr">
        <is>
          <t>Subordinated liabilities (FY2014's own label: 'Subordinated deposits'; nil/absent before FY2007 - see source note)</t>
        </is>
      </c>
      <c r="B23" s="6" t="n">
        <v>700</v>
      </c>
      <c r="C23" s="6" t="n">
        <v>700</v>
      </c>
      <c r="D23" s="6" t="n">
        <v>700</v>
      </c>
      <c r="E23" s="6" t="n">
        <v>700</v>
      </c>
      <c r="F23" s="6" t="n">
        <v>761</v>
      </c>
      <c r="G23" s="6" t="n">
        <v>1431</v>
      </c>
      <c r="H23" s="6" t="n">
        <v>1431</v>
      </c>
      <c r="I23" s="6" t="n">
        <v>1431</v>
      </c>
      <c r="J23" s="6" t="n">
        <v>1581</v>
      </c>
      <c r="K23" s="6" t="n">
        <v>1581</v>
      </c>
      <c r="L23" s="6" t="n">
        <v>1681</v>
      </c>
      <c r="M23" s="6" t="n">
        <v>1681</v>
      </c>
      <c r="N23" s="6" t="n">
        <v>1892</v>
      </c>
      <c r="O23" s="6" t="n">
        <v>1892</v>
      </c>
      <c r="P23" s="6" t="n">
        <v>1892</v>
      </c>
      <c r="Q23" s="6" t="n">
        <v>1322</v>
      </c>
      <c r="R23" s="6" t="n">
        <v>1322</v>
      </c>
      <c r="S23" s="6" t="n">
        <v>172</v>
      </c>
      <c r="T23" s="6" t="n">
        <v>172</v>
      </c>
      <c r="U23" s="6" t="n"/>
      <c r="V23" s="6" t="n"/>
      <c r="W23" s="6" t="n"/>
    </row>
    <row r="24">
      <c r="A24" s="5" t="inlineStr">
        <is>
          <t>Total liabilities</t>
        </is>
      </c>
      <c r="B24" s="5" t="n">
        <v>144363</v>
      </c>
      <c r="C24" s="5" t="n">
        <v>122980</v>
      </c>
      <c r="D24" s="5" t="n">
        <v>103633</v>
      </c>
      <c r="E24" s="5" t="n">
        <v>79669</v>
      </c>
      <c r="F24" s="5" t="n">
        <v>68090</v>
      </c>
      <c r="G24" s="5" t="n">
        <v>63010</v>
      </c>
      <c r="H24" s="5" t="n">
        <v>53165</v>
      </c>
      <c r="I24" s="5" t="n">
        <v>47895</v>
      </c>
      <c r="J24" s="5" t="n">
        <v>50472</v>
      </c>
      <c r="K24" s="5" t="n">
        <v>45782</v>
      </c>
      <c r="L24" s="5" t="n">
        <v>44178</v>
      </c>
      <c r="M24" s="5" t="n">
        <v>44883</v>
      </c>
      <c r="N24" s="5" t="n">
        <v>49172</v>
      </c>
      <c r="O24" s="5" t="n">
        <v>44850</v>
      </c>
      <c r="P24" s="5" t="n">
        <v>43876</v>
      </c>
      <c r="Q24" s="5" t="n">
        <v>48910</v>
      </c>
      <c r="R24" s="5" t="n">
        <v>46786</v>
      </c>
      <c r="S24" s="5" t="n">
        <v>47738</v>
      </c>
      <c r="T24" s="5" t="n">
        <v>40887</v>
      </c>
      <c r="U24" s="5" t="n">
        <v>30426</v>
      </c>
      <c r="V24" s="5" t="n">
        <v>26643</v>
      </c>
      <c r="W24" s="5" t="n">
        <v>24477</v>
      </c>
    </row>
    <row r="25">
      <c r="A25" s="5" t="inlineStr">
        <is>
          <t>Equity</t>
        </is>
      </c>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inlineStr">
        <is>
          <t>Called up share capital (FY2004 combines that year's separate 'called up' and 'unpaid' share capital lines, both fully paid by FY2005 - see source note)</t>
        </is>
      </c>
      <c r="B26" s="6" t="n">
        <v>13237</v>
      </c>
      <c r="C26" s="6" t="n">
        <v>12067</v>
      </c>
      <c r="D26" s="6" t="n">
        <v>6667</v>
      </c>
      <c r="E26" s="6" t="n">
        <v>6667</v>
      </c>
      <c r="F26" s="6" t="n">
        <v>4867</v>
      </c>
      <c r="G26" s="6" t="n">
        <v>4867</v>
      </c>
      <c r="H26" s="6" t="n">
        <v>4217</v>
      </c>
      <c r="I26" s="6" t="n">
        <v>4217</v>
      </c>
      <c r="J26" s="6" t="n">
        <v>4217</v>
      </c>
      <c r="K26" s="6" t="n">
        <v>4217</v>
      </c>
      <c r="L26" s="6" t="n">
        <v>4217</v>
      </c>
      <c r="M26" s="6" t="n">
        <v>4217</v>
      </c>
      <c r="N26" s="6" t="n">
        <v>4217</v>
      </c>
      <c r="O26" s="6" t="n">
        <v>4217</v>
      </c>
      <c r="P26" s="6" t="n">
        <v>4217</v>
      </c>
      <c r="Q26" s="6" t="n">
        <v>4217</v>
      </c>
      <c r="R26" s="6" t="n">
        <v>4217</v>
      </c>
      <c r="S26" s="6" t="n">
        <v>4217</v>
      </c>
      <c r="T26" s="6" t="n">
        <v>4217</v>
      </c>
      <c r="U26" s="6" t="n">
        <v>4217</v>
      </c>
      <c r="V26" s="6" t="n">
        <v>4217</v>
      </c>
      <c r="W26" s="6" t="n">
        <v>4217</v>
      </c>
    </row>
    <row r="27">
      <c r="A27" s="6" t="inlineStr">
        <is>
          <t>Revaluation reserve (fully extinguished during FY2021 - see Statement of Changes in Equity sheet; nil/absent before FY2007, when the Bank's freehold properties were first professionally revalued)</t>
        </is>
      </c>
      <c r="B27" s="6" t="n"/>
      <c r="C27" s="6" t="n"/>
      <c r="D27" s="6" t="n"/>
      <c r="E27" s="6" t="n"/>
      <c r="F27" s="6" t="n"/>
      <c r="G27" s="6" t="n">
        <v>172</v>
      </c>
      <c r="H27" s="6" t="n">
        <v>172</v>
      </c>
      <c r="I27" s="6" t="n">
        <v>172</v>
      </c>
      <c r="J27" s="6" t="n">
        <v>172</v>
      </c>
      <c r="K27" s="6" t="n">
        <v>166</v>
      </c>
      <c r="L27" s="6" t="n">
        <v>164</v>
      </c>
      <c r="M27" s="6" t="n">
        <v>578</v>
      </c>
      <c r="N27" s="6" t="n">
        <v>333</v>
      </c>
      <c r="O27" s="6" t="n">
        <v>416</v>
      </c>
      <c r="P27" s="6" t="n">
        <v>71</v>
      </c>
      <c r="Q27" s="6" t="n">
        <v>71</v>
      </c>
      <c r="R27" s="6" t="n">
        <v>65</v>
      </c>
      <c r="S27" s="6" t="n">
        <v>406</v>
      </c>
      <c r="T27" s="6" t="n">
        <v>406</v>
      </c>
      <c r="U27" s="6" t="n"/>
      <c r="V27" s="6" t="n"/>
      <c r="W27" s="6" t="n"/>
    </row>
    <row r="28">
      <c r="A28" s="6" t="inlineStr">
        <is>
          <t>Profit and loss account</t>
        </is>
      </c>
      <c r="B28" s="6" t="n">
        <v>2571</v>
      </c>
      <c r="C28" s="6" t="n">
        <v>3445</v>
      </c>
      <c r="D28" s="6" t="n">
        <v>3209</v>
      </c>
      <c r="E28" s="6" t="n">
        <v>2686</v>
      </c>
      <c r="F28" s="6" t="n">
        <v>2584</v>
      </c>
      <c r="G28" s="6" t="n">
        <v>1732</v>
      </c>
      <c r="H28" s="6" t="n">
        <v>1756</v>
      </c>
      <c r="I28" s="6" t="n">
        <v>1519</v>
      </c>
      <c r="J28" s="6" t="n">
        <v>1389</v>
      </c>
      <c r="K28" s="6" t="n">
        <v>1284</v>
      </c>
      <c r="L28" s="6" t="n">
        <v>1250</v>
      </c>
      <c r="M28" s="6" t="n">
        <v>165</v>
      </c>
      <c r="N28" s="6" t="n">
        <v>96</v>
      </c>
      <c r="O28" s="6" t="n">
        <v>24</v>
      </c>
      <c r="P28" s="6" t="n">
        <v>-22</v>
      </c>
      <c r="Q28" s="6" t="n">
        <v>361</v>
      </c>
      <c r="R28" s="6" t="n">
        <v>506</v>
      </c>
      <c r="S28" s="6" t="n">
        <v>598</v>
      </c>
      <c r="T28" s="6" t="n">
        <v>468</v>
      </c>
      <c r="U28" s="6" t="n">
        <v>341</v>
      </c>
      <c r="V28" s="6" t="n">
        <v>95</v>
      </c>
      <c r="W28" s="6" t="n">
        <v>0</v>
      </c>
    </row>
    <row r="29">
      <c r="A29" s="5" t="inlineStr">
        <is>
          <t>Total shareholders' funds</t>
        </is>
      </c>
      <c r="B29" s="5" t="n">
        <v>15808</v>
      </c>
      <c r="C29" s="5" t="n">
        <v>15512</v>
      </c>
      <c r="D29" s="5" t="n">
        <v>9876</v>
      </c>
      <c r="E29" s="5" t="n">
        <v>9353</v>
      </c>
      <c r="F29" s="5" t="n">
        <v>7451</v>
      </c>
      <c r="G29" s="5" t="n">
        <v>6771</v>
      </c>
      <c r="H29" s="5" t="n">
        <v>6145</v>
      </c>
      <c r="I29" s="5" t="n">
        <v>5908</v>
      </c>
      <c r="J29" s="5" t="n">
        <v>5778</v>
      </c>
      <c r="K29" s="5" t="n">
        <v>5667</v>
      </c>
      <c r="L29" s="5" t="n">
        <v>5631</v>
      </c>
      <c r="M29" s="5" t="n">
        <v>4960</v>
      </c>
      <c r="N29" s="5" t="n">
        <v>4646</v>
      </c>
      <c r="O29" s="5" t="n">
        <v>4657</v>
      </c>
      <c r="P29" s="5" t="n">
        <v>4266</v>
      </c>
      <c r="Q29" s="5" t="n">
        <v>4649</v>
      </c>
      <c r="R29" s="5" t="n">
        <v>4788</v>
      </c>
      <c r="S29" s="5" t="n">
        <v>5221</v>
      </c>
      <c r="T29" s="5" t="n">
        <v>5091</v>
      </c>
      <c r="U29" s="5" t="n">
        <v>4558</v>
      </c>
      <c r="V29" s="5" t="n">
        <v>4312</v>
      </c>
      <c r="W29" s="5" t="n">
        <v>4217</v>
      </c>
    </row>
    <row r="30">
      <c r="A30" s="5" t="inlineStr">
        <is>
          <t>Total liabilities and total shareholders' funds</t>
        </is>
      </c>
      <c r="B30" s="5" t="n">
        <v>160171</v>
      </c>
      <c r="C30" s="5" t="n">
        <v>138492</v>
      </c>
      <c r="D30" s="5" t="n">
        <v>113509</v>
      </c>
      <c r="E30" s="5" t="n">
        <v>89022</v>
      </c>
      <c r="F30" s="5" t="n">
        <v>75541</v>
      </c>
      <c r="G30" s="5" t="n">
        <v>69781</v>
      </c>
      <c r="H30" s="5" t="n">
        <v>59310</v>
      </c>
      <c r="I30" s="5" t="n">
        <v>53803</v>
      </c>
      <c r="J30" s="5" t="n">
        <v>56250</v>
      </c>
      <c r="K30" s="5" t="n">
        <v>51449</v>
      </c>
      <c r="L30" s="5" t="n">
        <v>49809</v>
      </c>
      <c r="M30" s="5" t="n">
        <v>49843</v>
      </c>
      <c r="N30" s="5" t="n">
        <v>53818</v>
      </c>
      <c r="O30" s="5" t="n">
        <v>49507</v>
      </c>
      <c r="P30" s="5" t="n">
        <v>48142</v>
      </c>
      <c r="Q30" s="5" t="n">
        <v>53559</v>
      </c>
      <c r="R30" s="5" t="n">
        <v>51574</v>
      </c>
      <c r="S30" s="5" t="n">
        <v>52959</v>
      </c>
      <c r="T30" s="5" t="n">
        <v>45978</v>
      </c>
      <c r="U30" s="5" t="n">
        <v>34984</v>
      </c>
      <c r="V30" s="5" t="n">
        <v>30955</v>
      </c>
      <c r="W30" s="5" t="n">
        <v>28695</v>
      </c>
    </row>
    <row r="32" ht="460" customHeight="1">
      <c r="A32"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32:W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s>
  <sheetData>
    <row r="1">
      <c r="A1" s="1" t="inlineStr">
        <is>
          <t>Kingdom Bank Limited — Profit &amp; Loss</t>
        </is>
      </c>
    </row>
    <row r="2">
      <c r="A2" s="2" t="inlineStr">
        <is>
          <t>Income statement, Bank/solo basis, £'000. All results arise from continuing operations, attributable to the owners of the Bank, every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c r="V4" s="6" t="n"/>
    </row>
    <row r="5">
      <c r="A5" s="6" t="inlineStr">
        <is>
          <t>Interest receivable</t>
        </is>
      </c>
      <c r="B5" s="6" t="n">
        <v>8637</v>
      </c>
      <c r="C5" s="6" t="n">
        <v>7828</v>
      </c>
      <c r="D5" s="6" t="n">
        <v>6003</v>
      </c>
      <c r="E5" s="6" t="n">
        <v>3144</v>
      </c>
      <c r="F5" s="6" t="n">
        <v>2419</v>
      </c>
      <c r="G5" s="6" t="n">
        <v>2297</v>
      </c>
      <c r="H5" s="6" t="n">
        <v>2330</v>
      </c>
      <c r="I5" s="6" t="n">
        <v>2168</v>
      </c>
      <c r="J5" s="6" t="n">
        <v>1955</v>
      </c>
      <c r="K5" s="6" t="n">
        <v>1904</v>
      </c>
      <c r="L5" s="6" t="n">
        <v>1744</v>
      </c>
      <c r="M5" s="6" t="n">
        <v>1699</v>
      </c>
      <c r="N5" s="6" t="n">
        <v>1776</v>
      </c>
      <c r="O5" s="6" t="n">
        <v>1755</v>
      </c>
      <c r="P5" s="6" t="n">
        <v>1843</v>
      </c>
      <c r="Q5" s="6" t="n">
        <v>1794</v>
      </c>
      <c r="R5" s="6" t="n">
        <v>1646</v>
      </c>
      <c r="S5" s="6" t="n">
        <v>2959</v>
      </c>
      <c r="T5" s="6" t="n">
        <v>2678</v>
      </c>
      <c r="U5" s="6" t="n">
        <v>1920</v>
      </c>
      <c r="V5" s="6" t="n">
        <v>1703</v>
      </c>
    </row>
    <row r="6">
      <c r="A6" s="6" t="inlineStr">
        <is>
          <t>Interest payable</t>
        </is>
      </c>
      <c r="B6" s="6" t="n">
        <v>-2942</v>
      </c>
      <c r="C6" s="6" t="n">
        <v>-3207</v>
      </c>
      <c r="D6" s="6" t="n">
        <v>-2193</v>
      </c>
      <c r="E6" s="6" t="n">
        <v>-454</v>
      </c>
      <c r="F6" s="6" t="n">
        <v>-345</v>
      </c>
      <c r="G6" s="6" t="n">
        <v>-523</v>
      </c>
      <c r="H6" s="6" t="n">
        <v>-552</v>
      </c>
      <c r="I6" s="6" t="n">
        <v>-495</v>
      </c>
      <c r="J6" s="6" t="n">
        <v>-478</v>
      </c>
      <c r="K6" s="6" t="n">
        <v>-527</v>
      </c>
      <c r="L6" s="6" t="n">
        <v>-511</v>
      </c>
      <c r="M6" s="6" t="n">
        <v>-650</v>
      </c>
      <c r="N6" s="6" t="n">
        <v>-915</v>
      </c>
      <c r="O6" s="6" t="n">
        <v>-877</v>
      </c>
      <c r="P6" s="6" t="n">
        <v>-755</v>
      </c>
      <c r="Q6" s="6" t="n">
        <v>-811</v>
      </c>
      <c r="R6" s="6" t="n">
        <v>-859</v>
      </c>
      <c r="S6" s="6" t="n">
        <v>-2004</v>
      </c>
      <c r="T6" s="6" t="n">
        <v>-1827</v>
      </c>
      <c r="U6" s="6" t="n">
        <v>-1161</v>
      </c>
      <c r="V6" s="6" t="n">
        <v>-1051</v>
      </c>
    </row>
    <row r="7">
      <c r="A7" s="5" t="inlineStr">
        <is>
          <t>Net interest income</t>
        </is>
      </c>
      <c r="B7" s="5" t="n">
        <v>5695</v>
      </c>
      <c r="C7" s="5" t="n">
        <v>4621</v>
      </c>
      <c r="D7" s="5" t="n">
        <v>3810</v>
      </c>
      <c r="E7" s="5" t="n">
        <v>2690</v>
      </c>
      <c r="F7" s="5" t="n">
        <v>2074</v>
      </c>
      <c r="G7" s="5" t="n">
        <v>1774</v>
      </c>
      <c r="H7" s="5" t="n">
        <v>1778</v>
      </c>
      <c r="I7" s="5" t="n">
        <v>1673</v>
      </c>
      <c r="J7" s="5" t="n">
        <v>1477</v>
      </c>
      <c r="K7" s="5" t="n">
        <v>1377</v>
      </c>
      <c r="L7" s="5" t="n">
        <v>1233</v>
      </c>
      <c r="M7" s="5" t="n">
        <v>1049</v>
      </c>
      <c r="N7" s="5" t="n">
        <v>861</v>
      </c>
      <c r="O7" s="5" t="n">
        <v>878</v>
      </c>
      <c r="P7" s="5" t="n">
        <v>1088</v>
      </c>
      <c r="Q7" s="5" t="n">
        <v>983</v>
      </c>
      <c r="R7" s="5" t="n">
        <v>787</v>
      </c>
      <c r="S7" s="5" t="n">
        <v>955</v>
      </c>
      <c r="T7" s="5" t="n">
        <v>851</v>
      </c>
      <c r="U7" s="5" t="n">
        <v>759</v>
      </c>
      <c r="V7" s="5" t="n">
        <v>652</v>
      </c>
    </row>
    <row r="8">
      <c r="A8" s="6" t="inlineStr">
        <is>
          <t>Insurance commission income (FY2014's own label: 'Fees and commission receivable/(payable), net'; FY2004-FY2013 own presentation combines fees receivable and payable into one net figure - see source note)</t>
        </is>
      </c>
      <c r="B8" s="6" t="n">
        <v>666</v>
      </c>
      <c r="C8" s="6" t="n">
        <v>576</v>
      </c>
      <c r="D8" s="6" t="n">
        <v>543</v>
      </c>
      <c r="E8" s="6" t="n">
        <v>482</v>
      </c>
      <c r="F8" s="6" t="n">
        <v>419</v>
      </c>
      <c r="G8" s="6" t="n">
        <v>433</v>
      </c>
      <c r="H8" s="6" t="n">
        <v>388</v>
      </c>
      <c r="I8" s="6" t="n">
        <v>369</v>
      </c>
      <c r="J8" s="6" t="n">
        <v>335</v>
      </c>
      <c r="K8" s="6" t="n">
        <v>319</v>
      </c>
      <c r="L8" s="6" t="n">
        <v>315</v>
      </c>
      <c r="M8" s="6" t="n">
        <v>361</v>
      </c>
      <c r="N8" s="6" t="n">
        <v>362</v>
      </c>
      <c r="O8" s="6" t="n">
        <v>313</v>
      </c>
      <c r="P8" s="6" t="n">
        <v>258</v>
      </c>
      <c r="Q8" s="6" t="n">
        <v>248</v>
      </c>
      <c r="R8" s="6" t="n">
        <v>265</v>
      </c>
      <c r="S8" s="6" t="n">
        <v>168</v>
      </c>
      <c r="T8" s="6" t="n">
        <v>86</v>
      </c>
      <c r="U8" s="6" t="n">
        <v>129</v>
      </c>
      <c r="V8" s="6" t="n">
        <v>96</v>
      </c>
    </row>
    <row r="9">
      <c r="A9" s="6" t="inlineStr">
        <is>
          <t>Other operating income</t>
        </is>
      </c>
      <c r="B9" s="6" t="n">
        <v>43</v>
      </c>
      <c r="C9" s="6" t="n">
        <v>8</v>
      </c>
      <c r="D9" s="6" t="n">
        <v>7</v>
      </c>
      <c r="E9" s="6" t="n">
        <v>3</v>
      </c>
      <c r="F9" s="6" t="n">
        <v>117</v>
      </c>
      <c r="G9" s="6" t="n">
        <v>80</v>
      </c>
      <c r="H9" s="6" t="n">
        <v>76</v>
      </c>
      <c r="I9" s="6" t="n">
        <v>64</v>
      </c>
      <c r="J9" s="6" t="n">
        <v>63</v>
      </c>
      <c r="K9" s="6" t="n">
        <v>59</v>
      </c>
      <c r="L9" s="6" t="n">
        <v>89</v>
      </c>
      <c r="M9" s="6" t="n">
        <v>138</v>
      </c>
      <c r="N9" s="6" t="n">
        <v>149</v>
      </c>
      <c r="O9" s="6" t="n">
        <v>43</v>
      </c>
      <c r="P9" s="6" t="n">
        <v>53</v>
      </c>
      <c r="Q9" s="6" t="n">
        <v>35</v>
      </c>
      <c r="R9" s="6" t="n">
        <v>31</v>
      </c>
      <c r="S9" s="6" t="n">
        <v>26</v>
      </c>
      <c r="T9" s="6" t="n">
        <v>16</v>
      </c>
      <c r="U9" s="6" t="n">
        <v>12</v>
      </c>
      <c r="V9" s="6" t="n">
        <v>13</v>
      </c>
    </row>
    <row r="10">
      <c r="A10" s="5" t="inlineStr">
        <is>
          <t>Total net income (FY2014-FY2022's own equivalent subtotal is labelled 'Operating income' - same calculation)</t>
        </is>
      </c>
      <c r="B10" s="5" t="n">
        <v>6404</v>
      </c>
      <c r="C10" s="5" t="n">
        <v>5205</v>
      </c>
      <c r="D10" s="5" t="n">
        <v>4360</v>
      </c>
      <c r="E10" s="5" t="n">
        <v>3175</v>
      </c>
      <c r="F10" s="5" t="n">
        <v>2610</v>
      </c>
      <c r="G10" s="5" t="n">
        <v>2287</v>
      </c>
      <c r="H10" s="5" t="n">
        <v>2242</v>
      </c>
      <c r="I10" s="5" t="n">
        <v>2106</v>
      </c>
      <c r="J10" s="5" t="n">
        <v>1875</v>
      </c>
      <c r="K10" s="5" t="n">
        <v>1755</v>
      </c>
      <c r="L10" s="5" t="n">
        <v>1637</v>
      </c>
      <c r="M10" s="5" t="n">
        <v>1548</v>
      </c>
      <c r="N10" s="5" t="n">
        <v>1372</v>
      </c>
      <c r="O10" s="5" t="n">
        <v>1234</v>
      </c>
      <c r="P10" s="5" t="n">
        <v>1399</v>
      </c>
      <c r="Q10" s="5" t="n">
        <v>1266</v>
      </c>
      <c r="R10" s="5" t="n">
        <v>1083</v>
      </c>
      <c r="S10" s="5" t="n">
        <v>1149</v>
      </c>
      <c r="T10" s="5" t="n">
        <v>953</v>
      </c>
      <c r="U10" s="5" t="n">
        <v>900</v>
      </c>
      <c r="V10" s="5" t="n">
        <v>761</v>
      </c>
    </row>
    <row r="11">
      <c r="A11" s="5" t="inlineStr">
        <is>
          <t>Administrative expenses</t>
        </is>
      </c>
      <c r="B11" s="5" t="n">
        <v>-7241</v>
      </c>
      <c r="C11" s="5" t="n">
        <v>-4776</v>
      </c>
      <c r="D11" s="5" t="n">
        <v>-3597</v>
      </c>
      <c r="E11" s="5" t="n">
        <v>-2953</v>
      </c>
      <c r="F11" s="5" t="n">
        <v>-2437</v>
      </c>
      <c r="G11" s="5" t="n">
        <v>-2167</v>
      </c>
      <c r="H11" s="5" t="n">
        <v>-1780</v>
      </c>
      <c r="I11" s="5" t="n">
        <v>-1776</v>
      </c>
      <c r="J11" s="5" t="n">
        <v>-1538</v>
      </c>
      <c r="K11" s="5" t="n">
        <v>-1554</v>
      </c>
      <c r="L11" s="5" t="n">
        <v>-1487</v>
      </c>
      <c r="M11" s="5" t="n">
        <v>-1413</v>
      </c>
      <c r="N11" s="5" t="n">
        <v>-1241</v>
      </c>
      <c r="O11" s="5" t="n">
        <v>-1201</v>
      </c>
      <c r="P11" s="5" t="n">
        <v>-1185</v>
      </c>
      <c r="Q11" s="5" t="n">
        <v>-1194</v>
      </c>
      <c r="R11" s="5" t="n">
        <v>-1082</v>
      </c>
      <c r="S11" s="5" t="n">
        <v>-838</v>
      </c>
      <c r="T11" s="5" t="n">
        <v>-726</v>
      </c>
      <c r="U11" s="5" t="n">
        <v>-548</v>
      </c>
      <c r="V11" s="5" t="n">
        <v>-568</v>
      </c>
    </row>
    <row r="12">
      <c r="A12" s="6" t="inlineStr">
        <is>
          <t>Depreciation and amortisation</t>
        </is>
      </c>
      <c r="B12" s="6" t="n">
        <v>-67</v>
      </c>
      <c r="C12" s="6" t="n">
        <v>-79</v>
      </c>
      <c r="D12" s="6" t="n">
        <v>-86</v>
      </c>
      <c r="E12" s="6" t="n">
        <v>-85</v>
      </c>
      <c r="F12" s="6" t="n">
        <v>-80</v>
      </c>
      <c r="G12" s="6" t="n">
        <v>-81</v>
      </c>
      <c r="H12" s="6" t="n">
        <v>-93</v>
      </c>
      <c r="I12" s="6" t="n">
        <v>-109</v>
      </c>
      <c r="J12" s="6" t="n">
        <v>-111</v>
      </c>
      <c r="K12" s="6" t="n">
        <v>-130</v>
      </c>
      <c r="L12" s="6" t="n">
        <v>-124</v>
      </c>
      <c r="M12" s="6" t="n">
        <v>-113</v>
      </c>
      <c r="N12" s="6" t="n">
        <v>-117</v>
      </c>
      <c r="O12" s="6" t="n">
        <v>-126</v>
      </c>
      <c r="P12" s="6" t="n">
        <v>-116</v>
      </c>
      <c r="Q12" s="6" t="n">
        <v>-117</v>
      </c>
      <c r="R12" s="6" t="n">
        <v>-102</v>
      </c>
      <c r="S12" s="6" t="n">
        <v>-66</v>
      </c>
      <c r="T12" s="6" t="n">
        <v>-37</v>
      </c>
      <c r="U12" s="6" t="n">
        <v>-47</v>
      </c>
      <c r="V12" s="6" t="n">
        <v>-44</v>
      </c>
    </row>
    <row r="13">
      <c r="A13" s="6" t="inlineStr">
        <is>
          <t>Profit on sale / unrealised surplus on revaluation of investment property (FY2004-FY2012 own equivalents: profit on sale of participating interests/fixed assets, net of loss on revaluation of property - see source note)</t>
        </is>
      </c>
      <c r="B13" s="6" t="n"/>
      <c r="C13" s="6" t="n"/>
      <c r="D13" s="6" t="n"/>
      <c r="E13" s="6" t="n">
        <v>0</v>
      </c>
      <c r="F13" s="6" t="n">
        <v>634</v>
      </c>
      <c r="G13" s="6" t="n"/>
      <c r="H13" s="6" t="n"/>
      <c r="I13" s="6" t="n">
        <v>0</v>
      </c>
      <c r="J13" s="6" t="n">
        <v>2</v>
      </c>
      <c r="K13" s="6" t="n"/>
      <c r="L13" s="6" t="n">
        <v>898</v>
      </c>
      <c r="M13" s="6" t="n"/>
      <c r="N13" s="6" t="n"/>
      <c r="O13" s="6" t="n">
        <v>40</v>
      </c>
      <c r="P13" s="6" t="n"/>
      <c r="Q13" s="6" t="n"/>
      <c r="R13" s="6" t="n">
        <v>-30</v>
      </c>
      <c r="S13" s="6" t="n"/>
      <c r="T13" s="6" t="n">
        <v>22</v>
      </c>
      <c r="U13" s="6" t="n">
        <v>43</v>
      </c>
      <c r="V13" s="6" t="n"/>
    </row>
    <row r="14">
      <c r="A14" s="6" t="inlineStr">
        <is>
          <t>Movement in loan loss provision (FY2014's own label: 'Provision for bad and doubtful debts')</t>
        </is>
      </c>
      <c r="B14" s="6" t="n">
        <v>-158</v>
      </c>
      <c r="C14" s="6" t="n">
        <v>-9</v>
      </c>
      <c r="D14" s="6" t="n">
        <v>-12</v>
      </c>
      <c r="E14" s="6" t="n">
        <v>-9</v>
      </c>
      <c r="F14" s="6" t="n">
        <v>-24</v>
      </c>
      <c r="G14" s="6" t="n">
        <v>-77</v>
      </c>
      <c r="H14" s="6" t="n">
        <v>-43</v>
      </c>
      <c r="I14" s="6" t="n">
        <v>-43</v>
      </c>
      <c r="J14" s="6" t="n">
        <v>-88</v>
      </c>
      <c r="K14" s="6" t="n">
        <v>-16</v>
      </c>
      <c r="L14" s="6" t="n">
        <v>-21</v>
      </c>
      <c r="M14" s="6" t="n">
        <v>70</v>
      </c>
      <c r="N14" s="6" t="n">
        <v>92</v>
      </c>
      <c r="O14" s="6" t="n">
        <v>111</v>
      </c>
      <c r="P14" s="6" t="n">
        <v>-576</v>
      </c>
      <c r="Q14" s="6" t="n">
        <v>-127</v>
      </c>
      <c r="R14" s="6" t="n">
        <v>-74</v>
      </c>
      <c r="S14" s="6" t="n">
        <v>-66</v>
      </c>
      <c r="T14" s="6" t="n">
        <v>10</v>
      </c>
      <c r="U14" s="6" t="n">
        <v>-38</v>
      </c>
      <c r="V14" s="6" t="n">
        <v>-13</v>
      </c>
    </row>
    <row r="15">
      <c r="A15" s="5" t="inlineStr">
        <is>
          <t>(Loss)/profit on ordinary activities before taxation</t>
        </is>
      </c>
      <c r="B15" s="5" t="n">
        <v>-1062</v>
      </c>
      <c r="C15" s="5" t="n">
        <v>341</v>
      </c>
      <c r="D15" s="5" t="n">
        <v>665</v>
      </c>
      <c r="E15" s="5" t="n">
        <v>128</v>
      </c>
      <c r="F15" s="5" t="n">
        <v>703</v>
      </c>
      <c r="G15" s="5" t="n">
        <v>-38</v>
      </c>
      <c r="H15" s="5" t="n">
        <v>326</v>
      </c>
      <c r="I15" s="5" t="n">
        <v>178</v>
      </c>
      <c r="J15" s="5" t="n">
        <v>140</v>
      </c>
      <c r="K15" s="5" t="n">
        <v>55</v>
      </c>
      <c r="L15" s="5" t="n">
        <v>903</v>
      </c>
      <c r="M15" s="5" t="n">
        <v>92</v>
      </c>
      <c r="N15" s="5" t="n">
        <v>106</v>
      </c>
      <c r="O15" s="5" t="n">
        <v>58</v>
      </c>
      <c r="P15" s="5" t="n">
        <v>-478</v>
      </c>
      <c r="Q15" s="5" t="n">
        <v>-172</v>
      </c>
      <c r="R15" s="5" t="n">
        <v>-205</v>
      </c>
      <c r="S15" s="5" t="n">
        <v>179</v>
      </c>
      <c r="T15" s="5" t="n">
        <v>222</v>
      </c>
      <c r="U15" s="5" t="n">
        <v>310</v>
      </c>
      <c r="V15" s="5" t="n">
        <v>136</v>
      </c>
    </row>
    <row r="16">
      <c r="A16" s="6" t="inlineStr">
        <is>
          <t>Tax credit/(charge) on (loss)/profit</t>
        </is>
      </c>
      <c r="B16" s="6" t="n">
        <v>258</v>
      </c>
      <c r="C16" s="6" t="n">
        <v>-62</v>
      </c>
      <c r="D16" s="6" t="n">
        <v>-142</v>
      </c>
      <c r="E16" s="6" t="n">
        <v>-26</v>
      </c>
      <c r="F16" s="6" t="n">
        <v>-23</v>
      </c>
      <c r="G16" s="6" t="n">
        <v>14</v>
      </c>
      <c r="H16" s="6" t="n">
        <v>-69</v>
      </c>
      <c r="I16" s="6" t="n">
        <v>-32</v>
      </c>
      <c r="J16" s="6" t="n">
        <v>-35</v>
      </c>
      <c r="K16" s="6" t="n">
        <v>-21</v>
      </c>
      <c r="L16" s="6" t="n">
        <v>-183</v>
      </c>
      <c r="M16" s="6" t="n">
        <v>-23</v>
      </c>
      <c r="N16" s="6" t="n">
        <v>-34</v>
      </c>
      <c r="O16" s="6" t="n">
        <v>-12</v>
      </c>
      <c r="P16" s="6" t="n">
        <v>95</v>
      </c>
      <c r="Q16" s="6" t="n">
        <v>27</v>
      </c>
      <c r="R16" s="6" t="n">
        <v>113</v>
      </c>
      <c r="S16" s="6" t="n">
        <v>-49</v>
      </c>
      <c r="T16" s="6" t="n">
        <v>-95</v>
      </c>
      <c r="U16" s="6" t="n">
        <v>-64</v>
      </c>
      <c r="V16" s="6" t="n">
        <v>-41</v>
      </c>
    </row>
    <row r="17">
      <c r="A17" s="5" t="inlineStr">
        <is>
          <t>(Loss)/profit and total comprehensive income for the financial year</t>
        </is>
      </c>
      <c r="B17" s="5" t="n">
        <v>-804</v>
      </c>
      <c r="C17" s="5" t="n">
        <v>279</v>
      </c>
      <c r="D17" s="5" t="n">
        <v>523</v>
      </c>
      <c r="E17" s="5" t="n">
        <v>102</v>
      </c>
      <c r="F17" s="5" t="n">
        <v>680</v>
      </c>
      <c r="G17" s="5" t="n">
        <v>-24</v>
      </c>
      <c r="H17" s="5" t="n">
        <v>257</v>
      </c>
      <c r="I17" s="5" t="n">
        <v>146</v>
      </c>
      <c r="J17" s="5" t="n">
        <v>105</v>
      </c>
      <c r="K17" s="5" t="n">
        <v>34</v>
      </c>
      <c r="L17" s="5" t="n">
        <v>720</v>
      </c>
      <c r="M17" s="5" t="n">
        <v>69</v>
      </c>
      <c r="N17" s="5" t="n">
        <v>72</v>
      </c>
      <c r="O17" s="5" t="n">
        <v>46</v>
      </c>
      <c r="P17" s="5" t="n">
        <v>-383</v>
      </c>
      <c r="Q17" s="5" t="n">
        <v>-145</v>
      </c>
      <c r="R17" s="5" t="n">
        <v>-92</v>
      </c>
      <c r="S17" s="5" t="n">
        <v>130</v>
      </c>
      <c r="T17" s="5" t="n">
        <v>127</v>
      </c>
      <c r="U17" s="5" t="n">
        <v>246</v>
      </c>
      <c r="V17" s="5" t="n">
        <v>95</v>
      </c>
    </row>
    <row r="19" ht="460" customHeight="1">
      <c r="A1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19:V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Kingdom Bank Limited — Statement of Changes in Equity</t>
        </is>
      </c>
    </row>
    <row r="2">
      <c r="A2" s="2" t="inlineStr">
        <is>
          <t>Chronological roll-forward, oldest to newest, from FY2004 (first trading period) onward. Equity reconciliation ladder confirmed: every year's own closing balance ties exactly to both the next year's own opening balance and that year's own Balance Sheet Total shareholders' funds - zero plug rows needed anywhere, including across the FY2004-FY2013 extension. £'000. FY2014 is shown as originally filed under old UK GAAP/the BBA SORP (no SOCE was published that year - built here from Notes 16-19 of the FY2014 Annual Report); FRS 102 was first adopted for FY2015 and its Annual Report separately discloses a restated 1 January 2015 opening position (£4,847k total shareholders' funds) that differs from the £4,960k shown here as FY2014's own closing figure - both are shown, with the reconciling FRS 102 transition adjustment on its own row, so the ladder still ties exactly on both sides of the GAAP change. The Revaluation reserve column runs down from £578k (FY2014) to a flat £172k (FY2017-FY2020) as historical property revaluations were realised, and is fully extinguished from FY2021 onward (see FY2021's transfer row) and shown as 0, not blank, for FY2022-FY2025 to make the reconciliation explicit.</t>
        </is>
      </c>
    </row>
    <row r="3">
      <c r="A3" s="4" t="inlineStr">
        <is>
          <t>Movement</t>
        </is>
      </c>
      <c r="B3" s="4" t="inlineStr">
        <is>
          <t>Called up share capital</t>
        </is>
      </c>
      <c r="C3" s="4" t="inlineStr">
        <is>
          <t>Profit and loss account</t>
        </is>
      </c>
      <c r="D3" s="4" t="inlineStr">
        <is>
          <t>Revaluation reserve</t>
        </is>
      </c>
      <c r="E3" s="4" t="inlineStr">
        <is>
          <t>Total shareholders' funds</t>
        </is>
      </c>
    </row>
    <row r="4">
      <c r="A4" s="5" t="inlineStr">
        <is>
          <t>Balance as at 31 December 2004 (FY2004 closing - first trading period, 1 Feb-31 Dec 2004; no profit and loss account was prepared for this period, see source note, so no opening balance/movement row precedes this one)</t>
        </is>
      </c>
      <c r="B4" s="5" t="n">
        <v>4217</v>
      </c>
      <c r="C4" s="5" t="n">
        <v>0</v>
      </c>
      <c r="D4" s="5" t="n"/>
      <c r="E4" s="5" t="n">
        <v>4217</v>
      </c>
    </row>
    <row r="5">
      <c r="A5" s="6" t="inlineStr">
        <is>
          <t>Profit for the financial year</t>
        </is>
      </c>
      <c r="B5" s="6" t="n"/>
      <c r="C5" s="6" t="n">
        <v>95</v>
      </c>
      <c r="D5" s="6" t="n"/>
      <c r="E5" s="6" t="n">
        <v>95</v>
      </c>
    </row>
    <row r="6">
      <c r="A6" s="5" t="inlineStr">
        <is>
          <t>Balance as at 31 December 2005 (FY2005 closing)</t>
        </is>
      </c>
      <c r="B6" s="5" t="n">
        <v>4217</v>
      </c>
      <c r="C6" s="5" t="n">
        <v>95</v>
      </c>
      <c r="D6" s="5" t="n"/>
      <c r="E6" s="5" t="n">
        <v>4312</v>
      </c>
    </row>
    <row r="7">
      <c r="A7" s="6" t="inlineStr">
        <is>
          <t>Profit for the financial year</t>
        </is>
      </c>
      <c r="B7" s="6" t="n"/>
      <c r="C7" s="6" t="n">
        <v>246</v>
      </c>
      <c r="D7" s="6" t="n"/>
      <c r="E7" s="6" t="n">
        <v>246</v>
      </c>
    </row>
    <row r="8">
      <c r="A8" s="5" t="inlineStr">
        <is>
          <t>Balance as at 31 December 2006 (FY2006 closing)</t>
        </is>
      </c>
      <c r="B8" s="5" t="n">
        <v>4217</v>
      </c>
      <c r="C8" s="5" t="n">
        <v>341</v>
      </c>
      <c r="D8" s="5" t="n"/>
      <c r="E8" s="5" t="n">
        <v>4558</v>
      </c>
    </row>
    <row r="9">
      <c r="A9" s="6" t="inlineStr">
        <is>
          <t>Profit for the financial year</t>
        </is>
      </c>
      <c r="B9" s="6" t="n"/>
      <c r="C9" s="6" t="n">
        <v>127</v>
      </c>
      <c r="D9" s="6" t="n"/>
      <c r="E9" s="6" t="n">
        <v>127</v>
      </c>
    </row>
    <row r="10">
      <c r="A10" s="6" t="inlineStr">
        <is>
          <t>Revaluation surplus during the year on freehold properties</t>
        </is>
      </c>
      <c r="B10" s="6" t="n"/>
      <c r="C10" s="6" t="n"/>
      <c r="D10" s="6" t="n">
        <v>406</v>
      </c>
      <c r="E10" s="6" t="n">
        <v>406</v>
      </c>
    </row>
    <row r="11">
      <c r="A11" s="5" t="inlineStr">
        <is>
          <t>Balance as at 31 December 2007 (FY2007 closing)</t>
        </is>
      </c>
      <c r="B11" s="5" t="n">
        <v>4217</v>
      </c>
      <c r="C11" s="5" t="n">
        <v>468</v>
      </c>
      <c r="D11" s="5" t="n">
        <v>406</v>
      </c>
      <c r="E11" s="5" t="n">
        <v>5091</v>
      </c>
    </row>
    <row r="12">
      <c r="A12" s="6" t="inlineStr">
        <is>
          <t>Profit for the financial year</t>
        </is>
      </c>
      <c r="B12" s="6" t="n"/>
      <c r="C12" s="6" t="n">
        <v>130</v>
      </c>
      <c r="D12" s="6" t="n"/>
      <c r="E12" s="6" t="n">
        <v>130</v>
      </c>
    </row>
    <row r="13">
      <c r="A13" s="5" t="inlineStr">
        <is>
          <t>Balance as at 31 December 2008 (FY2008 closing)</t>
        </is>
      </c>
      <c r="B13" s="5" t="n">
        <v>4217</v>
      </c>
      <c r="C13" s="5" t="n">
        <v>598</v>
      </c>
      <c r="D13" s="5" t="n">
        <v>406</v>
      </c>
      <c r="E13" s="5" t="n">
        <v>5221</v>
      </c>
    </row>
    <row r="14">
      <c r="A14" s="6" t="inlineStr">
        <is>
          <t>Loss for the financial year</t>
        </is>
      </c>
      <c r="B14" s="6" t="n"/>
      <c r="C14" s="6" t="n">
        <v>-92</v>
      </c>
      <c r="D14" s="6" t="n"/>
      <c r="E14" s="6" t="n">
        <v>-92</v>
      </c>
    </row>
    <row r="15">
      <c r="A15" s="6" t="inlineStr">
        <is>
          <t>Revaluation deficit during the year on freehold properties (see PRESENTATION NOTE (9))</t>
        </is>
      </c>
      <c r="B15" s="6" t="n"/>
      <c r="C15" s="6" t="n"/>
      <c r="D15" s="6" t="n">
        <v>-341</v>
      </c>
      <c r="E15" s="6" t="n">
        <v>-341</v>
      </c>
    </row>
    <row r="16">
      <c r="A16" s="5" t="inlineStr">
        <is>
          <t>Balance as at 31 December 2009 (FY2009 closing, own as-filed figures - see PRESENTATION NOTE (9) on the FY2010 restatement of the FY2009 comparative)</t>
        </is>
      </c>
      <c r="B16" s="5" t="n">
        <v>4217</v>
      </c>
      <c r="C16" s="5" t="n">
        <v>506</v>
      </c>
      <c r="D16" s="5" t="n">
        <v>65</v>
      </c>
      <c r="E16" s="5" t="n">
        <v>4788</v>
      </c>
    </row>
    <row r="17">
      <c r="A17" s="6" t="inlineStr">
        <is>
          <t>Loss for the financial year</t>
        </is>
      </c>
      <c r="B17" s="6" t="n"/>
      <c r="C17" s="6" t="n">
        <v>-145</v>
      </c>
      <c r="D17" s="6" t="n"/>
      <c r="E17" s="6" t="n">
        <v>-145</v>
      </c>
    </row>
    <row r="18">
      <c r="A18" s="6" t="inlineStr">
        <is>
          <t>Reversal of previously recognised revaluation losses on freehold properties</t>
        </is>
      </c>
      <c r="B18" s="6" t="n"/>
      <c r="C18" s="6" t="n"/>
      <c r="D18" s="6" t="n">
        <v>6</v>
      </c>
      <c r="E18" s="6" t="n">
        <v>6</v>
      </c>
    </row>
    <row r="19">
      <c r="A19" s="5" t="inlineStr">
        <is>
          <t>Balance as at 31 December 2010 (FY2010 closing)</t>
        </is>
      </c>
      <c r="B19" s="5" t="n">
        <v>4217</v>
      </c>
      <c r="C19" s="5" t="n">
        <v>361</v>
      </c>
      <c r="D19" s="5" t="n">
        <v>71</v>
      </c>
      <c r="E19" s="5" t="n">
        <v>4649</v>
      </c>
    </row>
    <row r="20">
      <c r="A20" s="6" t="inlineStr">
        <is>
          <t>Loss for the financial year</t>
        </is>
      </c>
      <c r="B20" s="6" t="n"/>
      <c r="C20" s="6" t="n">
        <v>-383</v>
      </c>
      <c r="D20" s="6" t="n"/>
      <c r="E20" s="6" t="n">
        <v>-383</v>
      </c>
    </row>
    <row r="21">
      <c r="A21" s="5" t="inlineStr">
        <is>
          <t>Balance as at 31 December 2011 (FY2011 closing)</t>
        </is>
      </c>
      <c r="B21" s="5" t="n">
        <v>4217</v>
      </c>
      <c r="C21" s="5" t="n">
        <v>-22</v>
      </c>
      <c r="D21" s="5" t="n">
        <v>71</v>
      </c>
      <c r="E21" s="5" t="n">
        <v>4266</v>
      </c>
    </row>
    <row r="22">
      <c r="A22" s="6" t="inlineStr">
        <is>
          <t>Profit for the financial year</t>
        </is>
      </c>
      <c r="B22" s="6" t="n"/>
      <c r="C22" s="6" t="n">
        <v>46</v>
      </c>
      <c r="D22" s="6" t="n"/>
      <c r="E22" s="6" t="n">
        <v>46</v>
      </c>
    </row>
    <row r="23">
      <c r="A23" s="6" t="inlineStr">
        <is>
          <t>Revaluation surplus during the year on freehold properties</t>
        </is>
      </c>
      <c r="B23" s="6" t="n"/>
      <c r="C23" s="6" t="n"/>
      <c r="D23" s="6" t="n">
        <v>345</v>
      </c>
      <c r="E23" s="6" t="n">
        <v>345</v>
      </c>
    </row>
    <row r="24">
      <c r="A24" s="5" t="inlineStr">
        <is>
          <t>Balance as at 31 December 2012 (FY2012 closing)</t>
        </is>
      </c>
      <c r="B24" s="5" t="n">
        <v>4217</v>
      </c>
      <c r="C24" s="5" t="n">
        <v>24</v>
      </c>
      <c r="D24" s="5" t="n">
        <v>416</v>
      </c>
      <c r="E24" s="5" t="n">
        <v>4657</v>
      </c>
    </row>
    <row r="25">
      <c r="A25" s="6" t="inlineStr">
        <is>
          <t>Profit for the financial year</t>
        </is>
      </c>
      <c r="B25" s="6" t="n"/>
      <c r="C25" s="6" t="n">
        <v>72</v>
      </c>
      <c r="D25" s="6" t="n"/>
      <c r="E25" s="6" t="n">
        <v>72</v>
      </c>
    </row>
    <row r="26">
      <c r="A26" s="6" t="inlineStr">
        <is>
          <t>Revaluation deficit during the year on freehold properties</t>
        </is>
      </c>
      <c r="B26" s="6" t="n"/>
      <c r="C26" s="6" t="n"/>
      <c r="D26" s="6" t="n">
        <v>-83</v>
      </c>
      <c r="E26" s="6" t="n">
        <v>-83</v>
      </c>
    </row>
    <row r="27">
      <c r="A27" s="5" t="inlineStr">
        <is>
          <t>Balance as at 1 January 2014 (own report, old UK GAAP/BBA SORP)</t>
        </is>
      </c>
      <c r="B27" s="5" t="n">
        <v>4217</v>
      </c>
      <c r="C27" s="5" t="n">
        <v>96</v>
      </c>
      <c r="D27" s="5" t="n">
        <v>333</v>
      </c>
      <c r="E27" s="5" t="n">
        <v>4646</v>
      </c>
    </row>
    <row r="28">
      <c r="A28" s="6" t="inlineStr">
        <is>
          <t>Profit for the financial year</t>
        </is>
      </c>
      <c r="B28" s="6" t="n"/>
      <c r="C28" s="6" t="n">
        <v>69</v>
      </c>
      <c r="D28" s="6" t="n"/>
      <c r="E28" s="6" t="n">
        <v>69</v>
      </c>
    </row>
    <row r="29">
      <c r="A29" s="6" t="inlineStr">
        <is>
          <t>Revaluation surplus during the year on investment properties</t>
        </is>
      </c>
      <c r="B29" s="6" t="n"/>
      <c r="C29" s="6" t="n"/>
      <c r="D29" s="6" t="n">
        <v>167</v>
      </c>
      <c r="E29" s="6" t="n">
        <v>167</v>
      </c>
    </row>
    <row r="30">
      <c r="A30" s="6" t="inlineStr">
        <is>
          <t>Revaluation deficit during the year on investment properties</t>
        </is>
      </c>
      <c r="B30" s="6" t="n"/>
      <c r="C30" s="6" t="n"/>
      <c r="D30" s="6" t="n">
        <v>-10</v>
      </c>
      <c r="E30" s="6" t="n">
        <v>-10</v>
      </c>
    </row>
    <row r="31">
      <c r="A31" s="6" t="inlineStr">
        <is>
          <t>Revaluation surplus during the year on freehold buildings</t>
        </is>
      </c>
      <c r="B31" s="6" t="n"/>
      <c r="C31" s="6" t="n"/>
      <c r="D31" s="6" t="n">
        <v>88</v>
      </c>
      <c r="E31" s="6" t="n">
        <v>88</v>
      </c>
    </row>
    <row r="32">
      <c r="A32" s="5" t="inlineStr">
        <is>
          <t>Balance as at 31 December 2014 (FY2014 closing, own report)</t>
        </is>
      </c>
      <c r="B32" s="5" t="n">
        <v>4217</v>
      </c>
      <c r="C32" s="5" t="n">
        <v>165</v>
      </c>
      <c r="D32" s="5" t="n">
        <v>578</v>
      </c>
      <c r="E32" s="5" t="n">
        <v>4960</v>
      </c>
    </row>
    <row r="33">
      <c r="A33" s="6" t="inlineStr">
        <is>
          <t>FRS 102 first-time-adoption restatement (see source note - not a FY2014 or FY2015 P&amp;L movement)</t>
        </is>
      </c>
      <c r="B33" s="6" t="n"/>
      <c r="C33" s="6" t="n">
        <v>365</v>
      </c>
      <c r="D33" s="6" t="n">
        <v>-478</v>
      </c>
      <c r="E33" s="6" t="n">
        <v>-113</v>
      </c>
    </row>
    <row r="34">
      <c r="A34" s="5" t="inlineStr">
        <is>
          <t>Balance as at 1 January 2015 (FRS 102-restated, per FY2015 Annual Report SOCE)</t>
        </is>
      </c>
      <c r="B34" s="5" t="n">
        <v>4217</v>
      </c>
      <c r="C34" s="5" t="n">
        <v>530</v>
      </c>
      <c r="D34" s="5" t="n">
        <v>100</v>
      </c>
      <c r="E34" s="5" t="n">
        <v>4847</v>
      </c>
    </row>
    <row r="35">
      <c r="A35" s="6" t="inlineStr">
        <is>
          <t>Profit for the financial year</t>
        </is>
      </c>
      <c r="B35" s="6" t="n"/>
      <c r="C35" s="6" t="n">
        <v>720</v>
      </c>
      <c r="D35" s="6" t="n"/>
      <c r="E35" s="6" t="n">
        <v>720</v>
      </c>
    </row>
    <row r="36">
      <c r="A36" s="6" t="inlineStr">
        <is>
          <t>Unrealised surplus on revaluation of operating properties, net of deferred tax</t>
        </is>
      </c>
      <c r="B36" s="6" t="n"/>
      <c r="C36" s="6" t="n"/>
      <c r="D36" s="6" t="n">
        <v>64</v>
      </c>
      <c r="E36" s="6" t="n">
        <v>64</v>
      </c>
    </row>
    <row r="37">
      <c r="A37" s="5" t="inlineStr">
        <is>
          <t>Balance as at 31 December 2015 (FY2015 closing)</t>
        </is>
      </c>
      <c r="B37" s="5" t="n">
        <v>4217</v>
      </c>
      <c r="C37" s="5" t="n">
        <v>1250</v>
      </c>
      <c r="D37" s="5" t="n">
        <v>164</v>
      </c>
      <c r="E37" s="5" t="n">
        <v>5631</v>
      </c>
    </row>
    <row r="38">
      <c r="A38" s="6" t="inlineStr">
        <is>
          <t>Profit for the financial year</t>
        </is>
      </c>
      <c r="B38" s="6" t="n"/>
      <c r="C38" s="6" t="n">
        <v>34</v>
      </c>
      <c r="D38" s="6" t="n"/>
      <c r="E38" s="6" t="n">
        <v>34</v>
      </c>
    </row>
    <row r="39">
      <c r="A39" s="6" t="inlineStr">
        <is>
          <t>Unrealised surplus on revaluation of operating properties, net of deferred tax</t>
        </is>
      </c>
      <c r="B39" s="6" t="n"/>
      <c r="C39" s="6" t="n"/>
      <c r="D39" s="6" t="n">
        <v>2</v>
      </c>
      <c r="E39" s="6" t="n">
        <v>2</v>
      </c>
    </row>
    <row r="40">
      <c r="A40" s="5" t="inlineStr">
        <is>
          <t>Balance as at 31 December 2016 (FY2016 closing)</t>
        </is>
      </c>
      <c r="B40" s="5" t="n">
        <v>4217</v>
      </c>
      <c r="C40" s="5" t="n">
        <v>1284</v>
      </c>
      <c r="D40" s="5" t="n">
        <v>166</v>
      </c>
      <c r="E40" s="5" t="n">
        <v>5667</v>
      </c>
    </row>
    <row r="41">
      <c r="A41" s="6" t="inlineStr">
        <is>
          <t>Profit for the financial year</t>
        </is>
      </c>
      <c r="B41" s="6" t="n"/>
      <c r="C41" s="6" t="n">
        <v>105</v>
      </c>
      <c r="D41" s="6" t="n"/>
      <c r="E41" s="6" t="n">
        <v>105</v>
      </c>
    </row>
    <row r="42">
      <c r="A42" s="6" t="inlineStr">
        <is>
          <t>Unrealised surplus on revaluation of operating property, net of deferred tax</t>
        </is>
      </c>
      <c r="B42" s="6" t="n"/>
      <c r="C42" s="6" t="n"/>
      <c r="D42" s="6" t="n">
        <v>6</v>
      </c>
      <c r="E42" s="6" t="n">
        <v>6</v>
      </c>
    </row>
    <row r="43">
      <c r="A43" s="5" t="inlineStr">
        <is>
          <t>Balance as at 31 December 2017 (FY2017 closing)</t>
        </is>
      </c>
      <c r="B43" s="5" t="n">
        <v>4217</v>
      </c>
      <c r="C43" s="5" t="n">
        <v>1389</v>
      </c>
      <c r="D43" s="5" t="n">
        <v>172</v>
      </c>
      <c r="E43" s="5" t="n">
        <v>5778</v>
      </c>
    </row>
    <row r="44">
      <c r="A44" s="6" t="inlineStr">
        <is>
          <t>Profit for the financial year</t>
        </is>
      </c>
      <c r="B44" s="6" t="n"/>
      <c r="C44" s="6" t="n">
        <v>146</v>
      </c>
      <c r="D44" s="6" t="n"/>
      <c r="E44" s="6" t="n">
        <v>146</v>
      </c>
    </row>
    <row r="45">
      <c r="A45" s="6" t="inlineStr">
        <is>
          <t>Dividends paid</t>
        </is>
      </c>
      <c r="B45" s="6" t="n"/>
      <c r="C45" s="6" t="n">
        <v>-16</v>
      </c>
      <c r="D45" s="6" t="n"/>
      <c r="E45" s="6" t="n">
        <v>-16</v>
      </c>
    </row>
    <row r="46">
      <c r="A46" s="5" t="inlineStr">
        <is>
          <t>Balance as at 31 December 2018 (FY2018 closing)</t>
        </is>
      </c>
      <c r="B46" s="5" t="n">
        <v>4217</v>
      </c>
      <c r="C46" s="5" t="n">
        <v>1519</v>
      </c>
      <c r="D46" s="5" t="n">
        <v>172</v>
      </c>
      <c r="E46" s="5" t="n">
        <v>5908</v>
      </c>
    </row>
    <row r="47">
      <c r="A47" s="6" t="inlineStr">
        <is>
          <t>Profit for the financial year</t>
        </is>
      </c>
      <c r="B47" s="6" t="n"/>
      <c r="C47" s="6" t="n">
        <v>257</v>
      </c>
      <c r="D47" s="6" t="n"/>
      <c r="E47" s="6" t="n">
        <v>257</v>
      </c>
    </row>
    <row r="48">
      <c r="A48" s="5" t="inlineStr">
        <is>
          <t>Balance as at 31 December 2019 (FY2019 closing)</t>
        </is>
      </c>
      <c r="B48" s="5" t="n">
        <v>4217</v>
      </c>
      <c r="C48" s="5" t="n">
        <v>1756</v>
      </c>
      <c r="D48" s="5" t="n">
        <v>172</v>
      </c>
      <c r="E48" s="5" t="n">
        <v>6145</v>
      </c>
    </row>
    <row r="49">
      <c r="A49" s="6" t="inlineStr">
        <is>
          <t>Loss for the financial year</t>
        </is>
      </c>
      <c r="B49" s="6" t="n"/>
      <c r="C49" s="6" t="n">
        <v>-24</v>
      </c>
      <c r="D49" s="6" t="n"/>
      <c r="E49" s="6" t="n">
        <v>-24</v>
      </c>
    </row>
    <row r="50">
      <c r="A50" s="6" t="inlineStr">
        <is>
          <t>Share allotment</t>
        </is>
      </c>
      <c r="B50" s="6" t="n">
        <v>650</v>
      </c>
      <c r="C50" s="6" t="n"/>
      <c r="D50" s="6" t="n"/>
      <c r="E50" s="6" t="n">
        <v>650</v>
      </c>
    </row>
    <row r="51">
      <c r="A51" s="5" t="inlineStr">
        <is>
          <t>Balance as at 31 December 2020 (FY2020 closing)</t>
        </is>
      </c>
      <c r="B51" s="5" t="n">
        <v>4867</v>
      </c>
      <c r="C51" s="5" t="n">
        <v>1732</v>
      </c>
      <c r="D51" s="5" t="n">
        <v>172</v>
      </c>
      <c r="E51" s="5" t="n">
        <v>6771</v>
      </c>
    </row>
    <row r="52">
      <c r="A52" s="6" t="inlineStr">
        <is>
          <t>Profit for the financial year</t>
        </is>
      </c>
      <c r="B52" s="6" t="n"/>
      <c r="C52" s="6" t="n">
        <v>680</v>
      </c>
      <c r="D52" s="6" t="n"/>
      <c r="E52" s="6" t="n">
        <v>680</v>
      </c>
    </row>
    <row r="53">
      <c r="A53" s="6" t="inlineStr">
        <is>
          <t>Transfer of revaluation reserve to profit and loss reserve upon reclassification of operating property</t>
        </is>
      </c>
      <c r="B53" s="6" t="n"/>
      <c r="C53" s="6" t="n">
        <v>172</v>
      </c>
      <c r="D53" s="6" t="n">
        <v>-172</v>
      </c>
      <c r="E53" s="6" t="n"/>
    </row>
    <row r="54">
      <c r="A54" s="5" t="inlineStr">
        <is>
          <t>Balance as at 31 December 2021 (FY2021 closing)</t>
        </is>
      </c>
      <c r="B54" s="5" t="n">
        <v>4867</v>
      </c>
      <c r="C54" s="5" t="n">
        <v>2584</v>
      </c>
      <c r="D54" s="5" t="n">
        <v>0</v>
      </c>
      <c r="E54" s="5" t="n">
        <v>7451</v>
      </c>
    </row>
    <row r="55">
      <c r="A55" s="6" t="inlineStr">
        <is>
          <t>Profit for the financial year</t>
        </is>
      </c>
      <c r="B55" s="6" t="n"/>
      <c r="C55" s="6" t="n">
        <v>102</v>
      </c>
      <c r="D55" s="6" t="n"/>
      <c r="E55" s="6" t="n">
        <v>102</v>
      </c>
    </row>
    <row r="56">
      <c r="A56" s="6" t="inlineStr">
        <is>
          <t>Share allotment</t>
        </is>
      </c>
      <c r="B56" s="6" t="n">
        <v>1800</v>
      </c>
      <c r="C56" s="6" t="n"/>
      <c r="D56" s="6" t="n"/>
      <c r="E56" s="6" t="n">
        <v>1800</v>
      </c>
    </row>
    <row r="57">
      <c r="A57" s="5" t="inlineStr">
        <is>
          <t>Balance as at 31 December 2022 (FY2022 closing)</t>
        </is>
      </c>
      <c r="B57" s="5" t="n">
        <v>6667</v>
      </c>
      <c r="C57" s="5" t="n">
        <v>2686</v>
      </c>
      <c r="D57" s="5" t="n">
        <v>0</v>
      </c>
      <c r="E57" s="5" t="n">
        <v>9353</v>
      </c>
    </row>
    <row r="58">
      <c r="A58" s="6" t="inlineStr">
        <is>
          <t>Profit for the financial year</t>
        </is>
      </c>
      <c r="B58" s="6" t="n"/>
      <c r="C58" s="6" t="n">
        <v>523</v>
      </c>
      <c r="D58" s="6" t="n"/>
      <c r="E58" s="6" t="n">
        <v>523</v>
      </c>
    </row>
    <row r="59">
      <c r="A59" s="5" t="inlineStr">
        <is>
          <t>Balance as at 31 December 2023 (FY2023 closing)</t>
        </is>
      </c>
      <c r="B59" s="5" t="n">
        <v>6667</v>
      </c>
      <c r="C59" s="5" t="n">
        <v>3209</v>
      </c>
      <c r="D59" s="5" t="n">
        <v>0</v>
      </c>
      <c r="E59" s="5" t="n">
        <v>9876</v>
      </c>
    </row>
    <row r="60">
      <c r="A60" s="6" t="inlineStr">
        <is>
          <t>Profit for the financial year</t>
        </is>
      </c>
      <c r="B60" s="6" t="n"/>
      <c r="C60" s="6" t="n">
        <v>279</v>
      </c>
      <c r="D60" s="6" t="n"/>
      <c r="E60" s="6" t="n">
        <v>279</v>
      </c>
    </row>
    <row r="61">
      <c r="A61" s="6" t="inlineStr">
        <is>
          <t>Share allotment</t>
        </is>
      </c>
      <c r="B61" s="6" t="n">
        <v>5400</v>
      </c>
      <c r="C61" s="6" t="n"/>
      <c r="D61" s="6" t="n"/>
      <c r="E61" s="6" t="n">
        <v>5400</v>
      </c>
    </row>
    <row r="62">
      <c r="A62" s="6" t="inlineStr">
        <is>
          <t>Dividends paid</t>
        </is>
      </c>
      <c r="B62" s="6" t="n"/>
      <c r="C62" s="6" t="n">
        <v>-43</v>
      </c>
      <c r="D62" s="6" t="n"/>
      <c r="E62" s="6" t="n">
        <v>-43</v>
      </c>
    </row>
    <row r="63">
      <c r="A63" s="5" t="inlineStr">
        <is>
          <t>Balance as at 31 December 2024 (FY2024 closing)</t>
        </is>
      </c>
      <c r="B63" s="5" t="n">
        <v>12067</v>
      </c>
      <c r="C63" s="5" t="n">
        <v>3445</v>
      </c>
      <c r="D63" s="5" t="n">
        <v>0</v>
      </c>
      <c r="E63" s="5" t="n">
        <v>15512</v>
      </c>
    </row>
    <row r="64">
      <c r="A64" s="6" t="inlineStr">
        <is>
          <t>Loss for the financial year</t>
        </is>
      </c>
      <c r="B64" s="6" t="n"/>
      <c r="C64" s="6" t="n">
        <v>-804</v>
      </c>
      <c r="D64" s="6" t="n"/>
      <c r="E64" s="6" t="n">
        <v>-804</v>
      </c>
    </row>
    <row r="65">
      <c r="A65" s="6" t="inlineStr">
        <is>
          <t>Share allotment</t>
        </is>
      </c>
      <c r="B65" s="6" t="n">
        <v>1170</v>
      </c>
      <c r="C65" s="6" t="n"/>
      <c r="D65" s="6" t="n"/>
      <c r="E65" s="6" t="n">
        <v>1170</v>
      </c>
    </row>
    <row r="66">
      <c r="A66" s="6" t="inlineStr">
        <is>
          <t>Dividends paid</t>
        </is>
      </c>
      <c r="B66" s="6" t="n"/>
      <c r="C66" s="6" t="n">
        <v>-70</v>
      </c>
      <c r="D66" s="6" t="n"/>
      <c r="E66" s="6" t="n">
        <v>-70</v>
      </c>
    </row>
    <row r="67">
      <c r="A67" s="5" t="inlineStr">
        <is>
          <t>Balance as at 31 December 2025 (FY2025 closing)</t>
        </is>
      </c>
      <c r="B67" s="5" t="n">
        <v>13237</v>
      </c>
      <c r="C67" s="5" t="n">
        <v>2571</v>
      </c>
      <c r="D67" s="5" t="n">
        <v>0</v>
      </c>
      <c r="E67" s="5" t="n">
        <v>15808</v>
      </c>
    </row>
    <row r="69" ht="150" customHeight="1">
      <c r="A6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69:E6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Statement of Cash Flows</t>
        </is>
      </c>
    </row>
    <row r="2">
      <c r="A2" s="2" t="inlineStr">
        <is>
          <t>Bank/solo basis, £'000. FY2004-FY2014 (11 years) have no cash flow statement (FRS 1 wholly-owned-subsidiary exemption - columns intentionally blank, not zero).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Operating activities</t>
        </is>
      </c>
      <c r="B4" s="6" t="n"/>
      <c r="C4" s="6" t="n"/>
      <c r="D4" s="6" t="n"/>
      <c r="E4" s="6" t="n"/>
      <c r="F4" s="6" t="n"/>
      <c r="G4" s="6" t="n"/>
      <c r="H4" s="6" t="n"/>
      <c r="I4" s="6" t="n"/>
      <c r="J4" s="6" t="n"/>
      <c r="K4" s="6" t="n"/>
      <c r="L4" s="6" t="n"/>
    </row>
    <row r="5">
      <c r="A5" s="6" t="inlineStr">
        <is>
          <t>Net cash (used in)/generated from operating activities excluding tax</t>
        </is>
      </c>
      <c r="B5" s="6" t="n">
        <v>-1079</v>
      </c>
      <c r="C5" s="6" t="n">
        <v>-481</v>
      </c>
      <c r="D5" s="6" t="n">
        <v>10255</v>
      </c>
      <c r="E5" s="6" t="n">
        <v>3157</v>
      </c>
      <c r="F5" s="6" t="n">
        <v>-630</v>
      </c>
      <c r="G5" s="6" t="n">
        <v>7026</v>
      </c>
      <c r="H5" s="6" t="n">
        <v>1978</v>
      </c>
      <c r="I5" s="6" t="n">
        <v>-4088</v>
      </c>
      <c r="J5" s="6" t="n">
        <v>1125</v>
      </c>
      <c r="K5" s="6" t="n">
        <v>718</v>
      </c>
      <c r="L5" s="6" t="n">
        <v>-5610</v>
      </c>
    </row>
    <row r="6">
      <c r="A6" s="6" t="inlineStr">
        <is>
          <t>Taxation paid</t>
        </is>
      </c>
      <c r="B6" s="6" t="n">
        <v>-55</v>
      </c>
      <c r="C6" s="6" t="n">
        <v>-102</v>
      </c>
      <c r="D6" s="6" t="n">
        <v>-11</v>
      </c>
      <c r="E6" s="6" t="n">
        <v>-25</v>
      </c>
      <c r="F6" s="6" t="n"/>
      <c r="G6" s="6" t="n">
        <v>-56</v>
      </c>
      <c r="H6" s="6" t="n">
        <v>-40</v>
      </c>
      <c r="I6" s="6" t="n">
        <v>-33</v>
      </c>
      <c r="J6" s="6" t="n">
        <v>-23</v>
      </c>
      <c r="K6" s="6" t="n">
        <v>-233</v>
      </c>
      <c r="L6" s="6" t="n">
        <v>-2</v>
      </c>
    </row>
    <row r="7">
      <c r="A7" s="5" t="inlineStr">
        <is>
          <t>Net cash (used in)/generated from operating activities</t>
        </is>
      </c>
      <c r="B7" s="5" t="n">
        <v>-1134</v>
      </c>
      <c r="C7" s="5" t="n">
        <v>-583</v>
      </c>
      <c r="D7" s="5" t="n">
        <v>10244</v>
      </c>
      <c r="E7" s="5" t="n">
        <v>3132</v>
      </c>
      <c r="F7" s="5" t="n">
        <v>-630</v>
      </c>
      <c r="G7" s="5" t="n">
        <v>6970</v>
      </c>
      <c r="H7" s="5" t="n">
        <v>1938</v>
      </c>
      <c r="I7" s="5" t="n">
        <v>-4121</v>
      </c>
      <c r="J7" s="5" t="n">
        <v>1102</v>
      </c>
      <c r="K7" s="5" t="n">
        <v>485</v>
      </c>
      <c r="L7" s="5" t="n">
        <v>-5612</v>
      </c>
    </row>
    <row r="8">
      <c r="A8" s="5" t="inlineStr">
        <is>
          <t>Investing activities</t>
        </is>
      </c>
      <c r="B8" s="6" t="n"/>
      <c r="C8" s="6" t="n"/>
      <c r="D8" s="6" t="n"/>
      <c r="E8" s="6" t="n"/>
      <c r="F8" s="6" t="n"/>
      <c r="G8" s="6" t="n"/>
      <c r="H8" s="6" t="n"/>
      <c r="I8" s="6" t="n"/>
      <c r="J8" s="6" t="n"/>
      <c r="K8" s="6" t="n"/>
      <c r="L8" s="6" t="n"/>
    </row>
    <row r="9">
      <c r="A9" s="6" t="inlineStr">
        <is>
          <t>Purchase of intangible assets</t>
        </is>
      </c>
      <c r="B9" s="6" t="n">
        <v>0</v>
      </c>
      <c r="C9" s="6" t="n">
        <v>0</v>
      </c>
      <c r="D9" s="6" t="n">
        <v>-23</v>
      </c>
      <c r="E9" s="6" t="n">
        <v>-16</v>
      </c>
      <c r="F9" s="6" t="n">
        <v>-47</v>
      </c>
      <c r="G9" s="6" t="n">
        <v>-39</v>
      </c>
      <c r="H9" s="6" t="n">
        <v>-8</v>
      </c>
      <c r="I9" s="6" t="n">
        <v>-12</v>
      </c>
      <c r="J9" s="6" t="n">
        <v>-16</v>
      </c>
      <c r="K9" s="6" t="n">
        <v>-170</v>
      </c>
      <c r="L9" s="6" t="n">
        <v>-33</v>
      </c>
    </row>
    <row r="10">
      <c r="A10" s="6" t="inlineStr">
        <is>
          <t>Capital expenditure on investment property</t>
        </is>
      </c>
      <c r="B10" s="6" t="n"/>
      <c r="C10" s="6" t="n"/>
      <c r="D10" s="6" t="n"/>
      <c r="E10" s="6" t="n"/>
      <c r="F10" s="6" t="n"/>
      <c r="G10" s="6" t="n"/>
      <c r="H10" s="6" t="n"/>
      <c r="I10" s="6" t="n"/>
      <c r="J10" s="6" t="n"/>
      <c r="K10" s="6" t="n"/>
      <c r="L10" s="6" t="n">
        <v>-13</v>
      </c>
    </row>
    <row r="11">
      <c r="A11" s="6" t="inlineStr">
        <is>
          <t>Purchase of tangible assets</t>
        </is>
      </c>
      <c r="B11" s="6" t="n">
        <v>-43</v>
      </c>
      <c r="C11" s="6" t="n">
        <v>-41</v>
      </c>
      <c r="D11" s="6" t="n">
        <v>-24</v>
      </c>
      <c r="E11" s="6" t="n">
        <v>-24</v>
      </c>
      <c r="F11" s="6" t="n">
        <v>-197</v>
      </c>
      <c r="G11" s="6" t="n">
        <v>-30</v>
      </c>
      <c r="H11" s="6" t="n">
        <v>-89</v>
      </c>
      <c r="I11" s="6" t="n">
        <v>-40</v>
      </c>
      <c r="J11" s="6" t="n">
        <v>-15</v>
      </c>
      <c r="K11" s="6" t="n">
        <v>-21</v>
      </c>
      <c r="L11" s="6" t="n">
        <v>-23</v>
      </c>
    </row>
    <row r="12">
      <c r="A12" s="6" t="inlineStr">
        <is>
          <t>Sale of investment property / proceeds from disposals of investment property</t>
        </is>
      </c>
      <c r="B12" s="6" t="n"/>
      <c r="C12" s="6" t="n"/>
      <c r="D12" s="6" t="n"/>
      <c r="E12" s="6" t="n"/>
      <c r="F12" s="6" t="n">
        <v>2013</v>
      </c>
      <c r="G12" s="6" t="n"/>
      <c r="H12" s="6" t="n"/>
      <c r="I12" s="6" t="n"/>
      <c r="J12" s="6" t="n"/>
      <c r="K12" s="6" t="n"/>
      <c r="L12" s="6" t="n">
        <v>3394</v>
      </c>
    </row>
    <row r="13">
      <c r="A13" s="5" t="inlineStr">
        <is>
          <t>Net cash (used in)/generated from investing activities</t>
        </is>
      </c>
      <c r="B13" s="5" t="n">
        <v>-43</v>
      </c>
      <c r="C13" s="5" t="n">
        <v>-41</v>
      </c>
      <c r="D13" s="5" t="n">
        <v>-47</v>
      </c>
      <c r="E13" s="5" t="n">
        <v>-40</v>
      </c>
      <c r="F13" s="5" t="n">
        <v>1769</v>
      </c>
      <c r="G13" s="5" t="n">
        <v>-69</v>
      </c>
      <c r="H13" s="5" t="n">
        <v>-97</v>
      </c>
      <c r="I13" s="5" t="n">
        <v>-52</v>
      </c>
      <c r="J13" s="5" t="n">
        <v>-31</v>
      </c>
      <c r="K13" s="5" t="n">
        <v>-191</v>
      </c>
      <c r="L13" s="5" t="n">
        <v>3325</v>
      </c>
    </row>
    <row r="14">
      <c r="A14" s="5" t="inlineStr">
        <is>
          <t>Financing activities</t>
        </is>
      </c>
      <c r="B14" s="6" t="n"/>
      <c r="C14" s="6" t="n"/>
      <c r="D14" s="6" t="n"/>
      <c r="E14" s="6" t="n"/>
      <c r="F14" s="6" t="n"/>
      <c r="G14" s="6" t="n"/>
      <c r="H14" s="6" t="n"/>
      <c r="I14" s="6" t="n"/>
      <c r="J14" s="6" t="n"/>
      <c r="K14" s="6" t="n"/>
      <c r="L14" s="6" t="n"/>
    </row>
    <row r="15">
      <c r="A15" s="6" t="inlineStr">
        <is>
          <t>Repayment of subordinated liabilities</t>
        </is>
      </c>
      <c r="B15" s="6" t="n">
        <v>0</v>
      </c>
      <c r="C15" s="6" t="n">
        <v>0</v>
      </c>
      <c r="D15" s="6" t="n">
        <v>0</v>
      </c>
      <c r="E15" s="6" t="n">
        <v>-61</v>
      </c>
      <c r="F15" s="6" t="n">
        <v>-670</v>
      </c>
      <c r="G15" s="6" t="n"/>
      <c r="H15" s="6" t="n"/>
      <c r="I15" s="6" t="n">
        <v>-150</v>
      </c>
      <c r="J15" s="6" t="n"/>
      <c r="K15" s="6" t="n">
        <v>-800</v>
      </c>
      <c r="L15" s="6" t="n"/>
    </row>
    <row r="16">
      <c r="A16" s="6" t="inlineStr">
        <is>
          <t>Issue of subordinated liabilities</t>
        </is>
      </c>
      <c r="B16" s="6" t="n"/>
      <c r="C16" s="6" t="n"/>
      <c r="D16" s="6" t="n"/>
      <c r="E16" s="6" t="n"/>
      <c r="F16" s="6" t="n"/>
      <c r="G16" s="6" t="n"/>
      <c r="H16" s="6" t="n"/>
      <c r="I16" s="6" t="n"/>
      <c r="J16" s="6" t="n"/>
      <c r="K16" s="6" t="n">
        <v>700</v>
      </c>
      <c r="L16" s="6" t="n"/>
    </row>
    <row r="17">
      <c r="A17" s="6" t="inlineStr">
        <is>
          <t>Share allotment</t>
        </is>
      </c>
      <c r="B17" s="6" t="n">
        <v>1170</v>
      </c>
      <c r="C17" s="6" t="n">
        <v>5400</v>
      </c>
      <c r="D17" s="6" t="n">
        <v>0</v>
      </c>
      <c r="E17" s="6" t="n">
        <v>1800</v>
      </c>
      <c r="F17" s="6" t="n">
        <v>0</v>
      </c>
      <c r="G17" s="6" t="n">
        <v>650</v>
      </c>
      <c r="H17" s="6" t="n"/>
      <c r="I17" s="6" t="n"/>
      <c r="J17" s="6" t="n"/>
      <c r="K17" s="6" t="n"/>
      <c r="L17" s="6" t="n"/>
    </row>
    <row r="18">
      <c r="A18" s="6" t="inlineStr">
        <is>
          <t>Dividends paid</t>
        </is>
      </c>
      <c r="B18" s="6" t="n">
        <v>-70</v>
      </c>
      <c r="C18" s="6" t="n">
        <v>-43</v>
      </c>
      <c r="D18" s="6" t="n"/>
      <c r="E18" s="6" t="n"/>
      <c r="F18" s="6" t="n"/>
      <c r="G18" s="6" t="n"/>
      <c r="H18" s="6" t="n">
        <v>-20</v>
      </c>
      <c r="I18" s="6" t="n">
        <v>-16</v>
      </c>
      <c r="J18" s="6" t="n"/>
      <c r="K18" s="6" t="n"/>
      <c r="L18" s="6" t="n"/>
    </row>
    <row r="19">
      <c r="A19" s="5" t="inlineStr">
        <is>
          <t>Net cash generated from/(used in) financing activities</t>
        </is>
      </c>
      <c r="B19" s="5" t="n">
        <v>1100</v>
      </c>
      <c r="C19" s="5" t="n">
        <v>5357</v>
      </c>
      <c r="D19" s="5" t="n">
        <v>0</v>
      </c>
      <c r="E19" s="5" t="n">
        <v>1739</v>
      </c>
      <c r="F19" s="5" t="n">
        <v>-670</v>
      </c>
      <c r="G19" s="5" t="n">
        <v>650</v>
      </c>
      <c r="H19" s="5" t="n">
        <v>-20</v>
      </c>
      <c r="I19" s="5" t="n">
        <v>-166</v>
      </c>
      <c r="J19" s="5" t="n">
        <v>0</v>
      </c>
      <c r="K19" s="5" t="n">
        <v>-100</v>
      </c>
      <c r="L19" s="5" t="n">
        <v>0</v>
      </c>
    </row>
    <row r="20">
      <c r="A20" s="5" t="inlineStr">
        <is>
          <t>Net movement in cash and cash equivalents</t>
        </is>
      </c>
      <c r="B20" s="5" t="n">
        <v>-77</v>
      </c>
      <c r="C20" s="5" t="n">
        <v>4733</v>
      </c>
      <c r="D20" s="5" t="n">
        <v>10197</v>
      </c>
      <c r="E20" s="5" t="n">
        <v>4831</v>
      </c>
      <c r="F20" s="5" t="n">
        <v>469</v>
      </c>
      <c r="G20" s="5" t="n">
        <v>7551</v>
      </c>
      <c r="H20" s="5" t="n">
        <v>1821</v>
      </c>
      <c r="I20" s="5" t="n">
        <v>-4339</v>
      </c>
      <c r="J20" s="5" t="n">
        <v>1071</v>
      </c>
      <c r="K20" s="5" t="n">
        <v>194</v>
      </c>
      <c r="L20" s="5" t="n">
        <v>-2287</v>
      </c>
    </row>
    <row r="21">
      <c r="A21" s="6" t="inlineStr">
        <is>
          <t>Cash and cash equivalents at the beginning of the year</t>
        </is>
      </c>
      <c r="B21" s="6" t="n">
        <v>39791</v>
      </c>
      <c r="C21" s="6" t="n">
        <v>35058</v>
      </c>
      <c r="D21" s="6" t="n">
        <v>24861</v>
      </c>
      <c r="E21" s="6" t="n">
        <v>20030</v>
      </c>
      <c r="F21" s="6" t="n">
        <v>19561</v>
      </c>
      <c r="G21" s="6" t="n">
        <v>12010</v>
      </c>
      <c r="H21" s="6" t="n">
        <v>10189</v>
      </c>
      <c r="I21" s="6" t="n">
        <v>14528</v>
      </c>
      <c r="J21" s="6" t="n">
        <v>13457</v>
      </c>
      <c r="K21" s="6" t="n">
        <v>13263</v>
      </c>
      <c r="L21" s="6" t="n">
        <v>15550</v>
      </c>
    </row>
    <row r="22">
      <c r="A22" s="5" t="inlineStr">
        <is>
          <t>Cash and cash equivalents at the end of the year</t>
        </is>
      </c>
      <c r="B22" s="5" t="n">
        <v>39714</v>
      </c>
      <c r="C22" s="5" t="n">
        <v>39791</v>
      </c>
      <c r="D22" s="5" t="n">
        <v>35058</v>
      </c>
      <c r="E22" s="5" t="n">
        <v>24861</v>
      </c>
      <c r="F22" s="5" t="n">
        <v>20030</v>
      </c>
      <c r="G22" s="5" t="n">
        <v>19561</v>
      </c>
      <c r="H22" s="5" t="n">
        <v>12010</v>
      </c>
      <c r="I22" s="5" t="n">
        <v>10189</v>
      </c>
      <c r="J22" s="5" t="n">
        <v>14528</v>
      </c>
      <c r="K22" s="5" t="n">
        <v>13457</v>
      </c>
      <c r="L22" s="5" t="n">
        <v>13263</v>
      </c>
    </row>
    <row r="24" ht="260" customHeight="1">
      <c r="A24" s="8" t="inlineStr">
        <is>
          <t>Sources - all figures are Kingdom Bank Limited's own Statement of cash flows, £'000, Bank/solo basis (Companies House filings, all fully scanned):
FY2025 (own) &amp; FY2024 (comparative, cross-checked against FY2024's own report): Annual Report &amp; Accounts 2025, p.38 (Statement of cash flows)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(own) &amp; FY2022 (comparative): Annual Report &amp; Accounts 2023, p.39 (Statement of cash flows)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(own) &amp; FY2020 (comparative, cross-checked against FY2020's own report): Annual Report &amp; Accounts 2021, p.33 (Statement of cash flows) - https://find-and-update.company-information.service.gov.uk/company/04346834/filing-history/MzM0MzYxNTEyM2FkaXF6a2N4/document?format=pdf&amp;download=0
FY2020 (own) &amp; FY2019 (comparative): Annual Report &amp; Accounts 2020, p.31 (Statement of cash flows) - https://find-and-update.company-information.service.gov.uk/company/04346834/filing-history/MzMwMDE2MzUyN2FkaXF6a2N4/document?format=pdf&amp;download=0
FY2019 (own): Annual Report &amp; Accounts 2019, p.26 - https://find-and-update.company-information.service.gov.uk/company/04346834/filing-history/MzI2Mzg1MTA4OWFkaXF6a2N4/document?format=pdf&amp;download=0
FY2018 (own) &amp; FY2017 (comparative): Annual Report &amp; Accounts 2018, p.23 (Statement of cash flows)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(own) &amp; FY2015 (comparative): Annual Report &amp; Accounts 2016, p.16 (Statement of cash flows) - https://find-and-update.company-information.service.gov.uk/company/04346834/filing-history/MzE3Mjc3MDQyOGFkaXF6a2N4/document?format=pdf&amp;download=0
FY2015 (own): Annual Report &amp; Accounts 2015, p.16 - https://find-and-update.company-information.service.gov.uk/company/04346834/filing-history/MzE1NzU2NjI4N2FkaXF6a2N4/document?format=pdf&amp;download=0
FY2004-FY2014: no cash flow statement was prepared in any of these 11 years - the Bank took the FRS 1 (revised 1996) 'Cash flow statements' exemption available to a wholly-owned subsidiary whose parent (Assemblies of God Property Trust) publishes consolidated accounts, re-confirmed directly in each year's own Note 1 accounting policies back to the FY2004 Annual Report's Note 1(a) (the bank's very first trading period) - https://find-and-update.company-information.service.gov.uk/company/04346834/filing-history/MzEyMTIyNDc5OGFkaXF6a2N4/document?format=pdf&amp;download=0 (FY2014); https://find-and-update.company-information.service.gov.uk/company/04346834/filing-history/MzEwODM5MTg2OWFkaXF6a2N4/document?format=pdf&amp;download=0 (FY2013); https://find-and-update.company-information.service.gov.uk/company/04346834/filing-history/MzA3NTk1OTAyMWFkaXF6a2N4/document?format=pdf&amp;download=0 (FY2012); https://find-and-update.company-information.service.gov.uk/company/04346834/filing-history/MzA1NjkzNzEwMWFkaXF6a2N4/document?format=pdf&amp;download=0 (FY2011); https://find-and-update.company-information.service.gov.uk/company/04346834/filing-history/MzAzNjQzNTIyMWFkaXF6a2N4/document?format=pdf&amp;download=0 (FY2010); https://find-and-update.company-information.service.gov.uk/company/04346834/filing-history/MzAxMzc0NDMwNmFkaXF6a2N4/document?format=pdf&amp;download=0 (FY2009); https://find-and-update.company-information.service.gov.uk/company/04346834/filing-history/MjAzMDM3NTQ0OWFkaXF6a2N4/document?format=pdf&amp;download=0 (FY2008); https://find-and-update.company-information.service.gov.uk/company/04346834/filing-history/MjAwOTc4MTY0NmFkaXF6a2N4/document?format=pdf&amp;download=0 (FY2007); https://find-and-update.company-information.service.gov.uk/company/04346834/filing-history/MTg2OTAwNzEyYWRpcXprY3g/document?format=pdf&amp;download=0 (FY2006); https://find-and-update.company-information.service.gov.uk/company/04346834/filing-history/MTY0MjI5OTU5YWRpcXprY3g/document?format=pdf&amp;download=0 (FY2005); https://find-and-update.company-information.service.gov.uk/company/04346834/filing-history/NzIzMTc1NDBhZGlxemtjeA/document?format=pdf&amp;download=0 (FY2004)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Every year-end closing balance ties exactly to the following year's opening balance across all 11 years for which a cash flow statement exists (FY2015 closing £13,263k = FY2016 opening; FY2016 closing £13,457k = FY2017 opening; FY2017 closing £14,528k = FY2018 opening; FY2018 closing £10,189k = FY2019 opening; FY2019 closing £12,010k = FY2020 opening; FY2020 closing £19,561k = FY2021 opening; FY2021 closing £20,030k = FY2022 opening; FY2022 closing £24,861k = FY2023 opening; FY2023 closing £35,058k = FY2024 opening; FY2024 closing £39,791k = FY2025 opening) - no restatements found. FY2004-FY2014 (11 years) genuinely have no cash flow statement at all - not a sourcing gap.</t>
        </is>
      </c>
    </row>
  </sheetData>
  <mergeCells count="1">
    <mergeCell ref="A24:L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Asset Quality</t>
        </is>
      </c>
    </row>
    <row r="2">
      <c r="A2" s="2" t="inlineStr">
        <is>
          <t>Loan book by product (Note 12a/9a) and loan loss provision movement (Note 12c/9c), Bank/solo basis, £'000. No IFRS 9 stage 1/2/3 split is disclosed in any year - this entity applies FRS 102 (old UK GAAP for FY2014), not IFRS 9.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gross</t>
        </is>
      </c>
      <c r="B4" s="6" t="n"/>
      <c r="C4" s="6" t="n"/>
      <c r="D4" s="6" t="n"/>
      <c r="E4" s="6" t="n"/>
      <c r="F4" s="6" t="n"/>
      <c r="G4" s="6" t="n"/>
      <c r="H4" s="6" t="n"/>
      <c r="I4" s="6" t="n"/>
      <c r="J4" s="6" t="n"/>
      <c r="K4" s="6" t="n"/>
      <c r="L4" s="6" t="n"/>
      <c r="M4" s="6" t="n"/>
    </row>
    <row r="5">
      <c r="A5" s="6" t="inlineStr">
        <is>
          <t>Organisational/Charity mortgages (FY2014-FY2021's own label: 'Charity mortgages')</t>
        </is>
      </c>
      <c r="B5" s="6" t="n">
        <v>98455</v>
      </c>
      <c r="C5" s="6" t="n">
        <v>79806</v>
      </c>
      <c r="D5" s="6" t="n">
        <v>60628</v>
      </c>
      <c r="E5" s="6" t="n">
        <v>48320</v>
      </c>
      <c r="F5" s="6" t="n">
        <v>42846</v>
      </c>
      <c r="G5" s="6" t="n">
        <v>40095</v>
      </c>
      <c r="H5" s="6" t="n">
        <v>40653</v>
      </c>
      <c r="I5" s="6" t="n">
        <v>40390</v>
      </c>
      <c r="J5" s="6" t="n">
        <v>37417</v>
      </c>
      <c r="K5" s="6" t="n">
        <v>34479</v>
      </c>
      <c r="L5" s="6" t="n">
        <v>31898</v>
      </c>
      <c r="M5" s="6" t="n">
        <v>29039</v>
      </c>
    </row>
    <row r="6">
      <c r="A6" s="6" t="inlineStr">
        <is>
          <t>Personal mortgages</t>
        </is>
      </c>
      <c r="B6" s="6" t="n">
        <v>19897</v>
      </c>
      <c r="C6" s="6" t="n">
        <v>18049</v>
      </c>
      <c r="D6" s="6" t="n">
        <v>17017</v>
      </c>
      <c r="E6" s="6" t="n">
        <v>15086</v>
      </c>
      <c r="F6" s="6" t="n">
        <v>11063</v>
      </c>
      <c r="G6" s="6" t="n">
        <v>7074</v>
      </c>
      <c r="H6" s="6" t="n">
        <v>4659</v>
      </c>
      <c r="I6" s="6" t="n">
        <v>1008</v>
      </c>
      <c r="J6" s="6" t="n">
        <v>1027</v>
      </c>
      <c r="K6" s="6" t="n">
        <v>764</v>
      </c>
      <c r="L6" s="6" t="n">
        <v>993</v>
      </c>
      <c r="M6" s="6" t="n">
        <v>538</v>
      </c>
    </row>
    <row r="7">
      <c r="A7" s="6" t="inlineStr">
        <is>
          <t>Charity loans, unsecured (FY2014-FY2018 only - discontinued as a separate category from FY2019)</t>
        </is>
      </c>
      <c r="B7" s="6" t="n"/>
      <c r="C7" s="6" t="n"/>
      <c r="D7" s="6" t="n"/>
      <c r="E7" s="6" t="n"/>
      <c r="F7" s="6" t="n"/>
      <c r="G7" s="6" t="n"/>
      <c r="H7" s="6" t="n"/>
      <c r="I7" s="6" t="n">
        <v>6</v>
      </c>
      <c r="J7" s="6" t="n">
        <v>20</v>
      </c>
      <c r="K7" s="6" t="n">
        <v>34</v>
      </c>
      <c r="L7" s="6" t="n">
        <v>46</v>
      </c>
      <c r="M7" s="6" t="n">
        <v>56</v>
      </c>
    </row>
    <row r="8">
      <c r="A8" s="6" t="inlineStr">
        <is>
          <t>Personal loans, unsecured (FY2014-FY2018 only - discontinued as a separate category from FY2019)</t>
        </is>
      </c>
      <c r="B8" s="6" t="n"/>
      <c r="C8" s="6" t="n"/>
      <c r="D8" s="6" t="n"/>
      <c r="E8" s="6" t="n"/>
      <c r="F8" s="6" t="n"/>
      <c r="G8" s="6" t="n"/>
      <c r="H8" s="6" t="n"/>
      <c r="I8" s="6" t="n">
        <v>4</v>
      </c>
      <c r="J8" s="6" t="n">
        <v>9</v>
      </c>
      <c r="K8" s="6" t="n">
        <v>4</v>
      </c>
      <c r="L8" s="6" t="n">
        <v>18</v>
      </c>
      <c r="M8" s="6" t="n">
        <v>10</v>
      </c>
    </row>
    <row r="9">
      <c r="A9" s="6" t="inlineStr">
        <is>
          <t>Fully secured lending to other group companies (FY2014-FY2021 only)</t>
        </is>
      </c>
      <c r="B9" s="6" t="n"/>
      <c r="C9" s="6" t="n"/>
      <c r="D9" s="6" t="n"/>
      <c r="E9" s="6" t="n"/>
      <c r="F9" s="6" t="n">
        <v>0</v>
      </c>
      <c r="G9" s="6" t="n">
        <v>269</v>
      </c>
      <c r="H9" s="6" t="n">
        <v>274</v>
      </c>
      <c r="I9" s="6" t="n">
        <v>279</v>
      </c>
      <c r="J9" s="6" t="n">
        <v>282</v>
      </c>
      <c r="K9" s="6" t="n">
        <v>284</v>
      </c>
      <c r="L9" s="6" t="n">
        <v>286</v>
      </c>
      <c r="M9" s="6" t="n">
        <v>289</v>
      </c>
    </row>
    <row r="10">
      <c r="A10" s="6" t="inlineStr">
        <is>
          <t>Unsecured lending to other group companies (FY2014 only - nil that year)</t>
        </is>
      </c>
      <c r="B10" s="6" t="n"/>
      <c r="C10" s="6" t="n"/>
      <c r="D10" s="6" t="n"/>
      <c r="E10" s="6" t="n"/>
      <c r="F10" s="6" t="n"/>
      <c r="G10" s="6" t="n"/>
      <c r="H10" s="6" t="n"/>
      <c r="I10" s="6" t="n"/>
      <c r="J10" s="6" t="n"/>
      <c r="K10" s="6" t="n"/>
      <c r="L10" s="6" t="n"/>
      <c r="M10" s="6" t="n">
        <v>0</v>
      </c>
    </row>
    <row r="11">
      <c r="A11" s="6" t="inlineStr">
        <is>
          <t>Unsecured personal loans</t>
        </is>
      </c>
      <c r="B11" s="6" t="n">
        <v>89</v>
      </c>
      <c r="C11" s="6" t="n">
        <v>72</v>
      </c>
      <c r="D11" s="6" t="n">
        <v>72</v>
      </c>
      <c r="E11" s="6" t="n">
        <v>58</v>
      </c>
      <c r="F11" s="6" t="n">
        <v>50</v>
      </c>
      <c r="G11" s="6" t="n"/>
      <c r="H11" s="6" t="n"/>
      <c r="I11" s="6" t="n"/>
      <c r="J11" s="6" t="n"/>
      <c r="K11" s="6" t="n"/>
      <c r="L11" s="6" t="n"/>
      <c r="M11" s="6" t="n"/>
    </row>
    <row r="12">
      <c r="A12" s="5" t="inlineStr">
        <is>
          <t>Gross advances to customers</t>
        </is>
      </c>
      <c r="B12" s="5" t="n">
        <v>118441</v>
      </c>
      <c r="C12" s="5" t="n">
        <v>97927</v>
      </c>
      <c r="D12" s="5" t="n">
        <v>77717</v>
      </c>
      <c r="E12" s="5" t="n">
        <v>63464</v>
      </c>
      <c r="F12" s="5" t="n">
        <v>53959</v>
      </c>
      <c r="G12" s="5" t="n">
        <v>47438</v>
      </c>
      <c r="H12" s="5" t="n">
        <v>45586</v>
      </c>
      <c r="I12" s="5" t="n">
        <v>41687</v>
      </c>
      <c r="J12" s="5" t="n">
        <v>38755</v>
      </c>
      <c r="K12" s="5" t="n">
        <v>35565</v>
      </c>
      <c r="L12" s="5" t="n">
        <v>33241</v>
      </c>
      <c r="M12" s="5" t="n">
        <v>29932</v>
      </c>
    </row>
    <row r="13">
      <c r="A13" s="6" t="inlineStr">
        <is>
          <t>Less: loan loss provision</t>
        </is>
      </c>
      <c r="B13" s="6" t="n">
        <v>-199</v>
      </c>
      <c r="C13" s="6" t="n">
        <v>-194</v>
      </c>
      <c r="D13" s="6" t="n">
        <v>-185</v>
      </c>
      <c r="E13" s="6" t="n">
        <v>-173</v>
      </c>
      <c r="F13" s="6" t="n">
        <v>-164</v>
      </c>
      <c r="G13" s="6" t="n">
        <v>-324</v>
      </c>
      <c r="H13" s="6" t="n">
        <v>-247</v>
      </c>
      <c r="I13" s="6" t="n">
        <v>-283</v>
      </c>
      <c r="J13" s="6" t="n">
        <v>-317</v>
      </c>
      <c r="K13" s="6" t="n">
        <v>-229</v>
      </c>
      <c r="L13" s="6" t="n">
        <v>-213</v>
      </c>
      <c r="M13" s="6" t="n">
        <v>-192</v>
      </c>
    </row>
    <row r="14">
      <c r="A14" s="6" t="inlineStr">
        <is>
          <t>Less: provision for suspended interest (FY2014 only - old-GAAP structure, deducted separately from the main loan loss provision)</t>
        </is>
      </c>
      <c r="B14" s="6" t="n"/>
      <c r="C14" s="6" t="n"/>
      <c r="D14" s="6" t="n"/>
      <c r="E14" s="6" t="n"/>
      <c r="F14" s="6" t="n"/>
      <c r="G14" s="6" t="n"/>
      <c r="H14" s="6" t="n"/>
      <c r="I14" s="6" t="n"/>
      <c r="J14" s="6" t="n"/>
      <c r="K14" s="6" t="n"/>
      <c r="L14" s="6" t="n"/>
      <c r="M14" s="6" t="n">
        <v>-16</v>
      </c>
    </row>
    <row r="15">
      <c r="A15" s="5" t="inlineStr">
        <is>
          <t>Net advances to customers</t>
        </is>
      </c>
      <c r="B15" s="5" t="n">
        <v>118242</v>
      </c>
      <c r="C15" s="5" t="n">
        <v>97733</v>
      </c>
      <c r="D15" s="5" t="n">
        <v>77532</v>
      </c>
      <c r="E15" s="5" t="n">
        <v>63291</v>
      </c>
      <c r="F15" s="5" t="n">
        <v>53795</v>
      </c>
      <c r="G15" s="5" t="n">
        <v>47114</v>
      </c>
      <c r="H15" s="5" t="n">
        <v>45339</v>
      </c>
      <c r="I15" s="5" t="n">
        <v>41404</v>
      </c>
      <c r="J15" s="5" t="n">
        <v>38438</v>
      </c>
      <c r="K15" s="5" t="n">
        <v>35336</v>
      </c>
      <c r="L15" s="5" t="n">
        <v>33028</v>
      </c>
      <c r="M15" s="5" t="n">
        <v>29724</v>
      </c>
    </row>
    <row r="16">
      <c r="A16" s="6" t="inlineStr">
        <is>
          <t>Loan loss provision coverage (% of gross advances)</t>
        </is>
      </c>
      <c r="B16" s="6" t="inlineStr">
        <is>
          <t>0.17%</t>
        </is>
      </c>
      <c r="C16" s="6" t="inlineStr">
        <is>
          <t>0.20%</t>
        </is>
      </c>
      <c r="D16" s="6" t="inlineStr">
        <is>
          <t>0.24%</t>
        </is>
      </c>
      <c r="E16" s="6" t="inlineStr">
        <is>
          <t>0.27%</t>
        </is>
      </c>
      <c r="F16" s="6" t="inlineStr">
        <is>
          <t>0.30%</t>
        </is>
      </c>
      <c r="G16" s="6" t="inlineStr">
        <is>
          <t>0.68%</t>
        </is>
      </c>
      <c r="H16" s="6" t="inlineStr">
        <is>
          <t>0.54%</t>
        </is>
      </c>
      <c r="I16" s="6" t="inlineStr">
        <is>
          <t>0.68%</t>
        </is>
      </c>
      <c r="J16" s="6" t="inlineStr">
        <is>
          <t>0.82%</t>
        </is>
      </c>
      <c r="K16" s="6" t="inlineStr">
        <is>
          <t>0.64%</t>
        </is>
      </c>
      <c r="L16" s="6" t="inlineStr">
        <is>
          <t>0.64%</t>
        </is>
      </c>
      <c r="M16" s="6" t="inlineStr">
        <is>
          <t>0.64%</t>
        </is>
      </c>
    </row>
    <row r="17">
      <c r="A17" s="5" t="inlineStr">
        <is>
          <t>Loan loss provision movement (Note 12c/9c)</t>
        </is>
      </c>
      <c r="B17" s="6" t="n"/>
      <c r="C17" s="6" t="n"/>
      <c r="D17" s="6" t="n"/>
      <c r="E17" s="6" t="n"/>
      <c r="F17" s="6" t="n"/>
      <c r="G17" s="6" t="n"/>
      <c r="H17" s="6" t="n"/>
      <c r="I17" s="6" t="n"/>
      <c r="J17" s="6" t="n"/>
      <c r="K17" s="6" t="n"/>
      <c r="L17" s="6" t="n"/>
      <c r="M17" s="6" t="n"/>
    </row>
    <row r="18">
      <c r="A18" s="6" t="inlineStr">
        <is>
          <t>Balance at 1 January</t>
        </is>
      </c>
      <c r="B18" s="6" t="n">
        <v>194</v>
      </c>
      <c r="C18" s="6" t="n">
        <v>185</v>
      </c>
      <c r="D18" s="6" t="n">
        <v>173</v>
      </c>
      <c r="E18" s="6" t="n">
        <v>164</v>
      </c>
      <c r="F18" s="6" t="n">
        <v>324</v>
      </c>
      <c r="G18" s="6" t="n">
        <v>247</v>
      </c>
      <c r="H18" s="6" t="n">
        <v>283</v>
      </c>
      <c r="I18" s="6" t="n">
        <v>317</v>
      </c>
      <c r="J18" s="6" t="n">
        <v>229</v>
      </c>
      <c r="K18" s="6" t="n">
        <v>213</v>
      </c>
      <c r="L18" s="6" t="n">
        <v>192</v>
      </c>
      <c r="M18" s="6" t="n"/>
    </row>
    <row r="19">
      <c r="A19" s="6" t="inlineStr">
        <is>
          <t>Charge for the year</t>
        </is>
      </c>
      <c r="B19" s="6" t="n">
        <v>160</v>
      </c>
      <c r="C19" s="6" t="n">
        <v>11</v>
      </c>
      <c r="D19" s="6" t="n">
        <v>13</v>
      </c>
      <c r="E19" s="6" t="n">
        <v>10</v>
      </c>
      <c r="F19" s="6" t="n">
        <v>26</v>
      </c>
      <c r="G19" s="6" t="n">
        <v>89</v>
      </c>
      <c r="H19" s="6" t="n">
        <v>44</v>
      </c>
      <c r="I19" s="6" t="n">
        <v>60</v>
      </c>
      <c r="J19" s="6" t="n">
        <v>113</v>
      </c>
      <c r="K19" s="6" t="n">
        <v>34</v>
      </c>
      <c r="L19" s="6" t="n">
        <v>46</v>
      </c>
      <c r="M19" s="6" t="n"/>
    </row>
    <row r="20">
      <c r="A20" s="6" t="inlineStr">
        <is>
          <t>Utilised during the year</t>
        </is>
      </c>
      <c r="B20" s="6" t="n">
        <v>-153</v>
      </c>
      <c r="C20" s="6" t="n">
        <v>0</v>
      </c>
      <c r="D20" s="6" t="n">
        <v>0</v>
      </c>
      <c r="E20" s="6" t="n">
        <v>0</v>
      </c>
      <c r="F20" s="6" t="n">
        <v>-184</v>
      </c>
      <c r="G20" s="6" t="n">
        <v>0</v>
      </c>
      <c r="H20" s="6" t="n">
        <v>-79</v>
      </c>
      <c r="I20" s="6" t="n">
        <v>-77</v>
      </c>
      <c r="J20" s="6" t="n"/>
      <c r="K20" s="6" t="n"/>
      <c r="L20" s="6" t="n"/>
      <c r="M20" s="6" t="n"/>
    </row>
    <row r="21">
      <c r="A21" s="6" t="inlineStr">
        <is>
          <t>Released during the year</t>
        </is>
      </c>
      <c r="B21" s="6" t="n">
        <v>-2</v>
      </c>
      <c r="C21" s="6" t="n">
        <v>-2</v>
      </c>
      <c r="D21" s="6" t="n">
        <v>-1</v>
      </c>
      <c r="E21" s="6" t="n">
        <v>-1</v>
      </c>
      <c r="F21" s="6" t="n">
        <v>-2</v>
      </c>
      <c r="G21" s="6" t="n">
        <v>-12</v>
      </c>
      <c r="H21" s="6" t="n">
        <v>-1</v>
      </c>
      <c r="I21" s="6" t="n">
        <v>-17</v>
      </c>
      <c r="J21" s="6" t="n">
        <v>-25</v>
      </c>
      <c r="K21" s="6" t="n">
        <v>-18</v>
      </c>
      <c r="L21" s="6" t="n">
        <v>-25</v>
      </c>
      <c r="M21" s="6" t="n"/>
    </row>
    <row r="22">
      <c r="A22" s="5" t="inlineStr">
        <is>
          <t>Balance at 31 December</t>
        </is>
      </c>
      <c r="B22" s="5" t="n">
        <v>199</v>
      </c>
      <c r="C22" s="5" t="n">
        <v>194</v>
      </c>
      <c r="D22" s="5" t="n">
        <v>185</v>
      </c>
      <c r="E22" s="5" t="n">
        <v>173</v>
      </c>
      <c r="F22" s="5" t="n">
        <v>164</v>
      </c>
      <c r="G22" s="5" t="n">
        <v>324</v>
      </c>
      <c r="H22" s="5" t="n">
        <v>247</v>
      </c>
      <c r="I22" s="5" t="n">
        <v>283</v>
      </c>
      <c r="J22" s="5" t="n">
        <v>317</v>
      </c>
      <c r="K22" s="5" t="n">
        <v>229</v>
      </c>
      <c r="L22" s="5" t="n">
        <v>213</v>
      </c>
      <c r="M22" s="5" t="n">
        <v>192</v>
      </c>
    </row>
    <row r="23">
      <c r="A23" s="6" t="inlineStr">
        <is>
          <t>Of which: collective/IBNR provision (not disclosed for FY2014-FY2021 - sub-split introduced FY2022 onward)</t>
        </is>
      </c>
      <c r="B23" s="6" t="n">
        <v>156</v>
      </c>
      <c r="C23" s="6" t="n">
        <v>148</v>
      </c>
      <c r="D23" s="6" t="n">
        <v>137</v>
      </c>
      <c r="E23" s="6" t="n">
        <v>124</v>
      </c>
      <c r="F23" s="6" t="n"/>
      <c r="G23" s="6" t="n"/>
      <c r="H23" s="6" t="n"/>
      <c r="I23" s="6" t="n"/>
      <c r="J23" s="6" t="n"/>
      <c r="K23" s="6" t="n"/>
      <c r="L23" s="6" t="n"/>
      <c r="M23" s="6" t="n"/>
    </row>
    <row r="24">
      <c r="A24" s="5" t="inlineStr">
        <is>
          <t>FY2014-only provision structure (old UK GAAP/BBA SORP - see source note)</t>
        </is>
      </c>
      <c r="B24" s="6" t="n"/>
      <c r="C24" s="6" t="n"/>
      <c r="D24" s="6" t="n"/>
      <c r="E24" s="6" t="n"/>
      <c r="F24" s="6" t="n"/>
      <c r="G24" s="6" t="n"/>
      <c r="H24" s="6" t="n"/>
      <c r="I24" s="6" t="n"/>
      <c r="J24" s="6" t="n"/>
      <c r="K24" s="6" t="n"/>
      <c r="L24" s="6" t="n"/>
      <c r="M24" s="6" t="n"/>
    </row>
    <row r="25">
      <c r="A25" s="6" t="inlineStr">
        <is>
          <t>General provision (IBNR-based): balance at 1 January</t>
        </is>
      </c>
      <c r="B25" s="6" t="n"/>
      <c r="C25" s="6" t="n"/>
      <c r="D25" s="6" t="n"/>
      <c r="E25" s="6" t="n"/>
      <c r="F25" s="6" t="n"/>
      <c r="G25" s="6" t="n"/>
      <c r="H25" s="6" t="n"/>
      <c r="I25" s="6" t="n"/>
      <c r="J25" s="6" t="n"/>
      <c r="K25" s="6" t="n"/>
      <c r="L25" s="6" t="n"/>
      <c r="M25" s="6" t="n">
        <v>163</v>
      </c>
    </row>
    <row r="26">
      <c r="A26" s="6" t="inlineStr">
        <is>
          <t>General provision (IBNR-based): released during the year</t>
        </is>
      </c>
      <c r="B26" s="6" t="n"/>
      <c r="C26" s="6" t="n"/>
      <c r="D26" s="6" t="n"/>
      <c r="E26" s="6" t="n"/>
      <c r="F26" s="6" t="n"/>
      <c r="G26" s="6" t="n"/>
      <c r="H26" s="6" t="n"/>
      <c r="I26" s="6" t="n"/>
      <c r="J26" s="6" t="n"/>
      <c r="K26" s="6" t="n"/>
      <c r="L26" s="6" t="n"/>
      <c r="M26" s="6" t="n">
        <v>-30</v>
      </c>
    </row>
    <row r="27">
      <c r="A27" s="6" t="inlineStr">
        <is>
          <t>General provision (IBNR-based): balance at 31 December</t>
        </is>
      </c>
      <c r="B27" s="6" t="n"/>
      <c r="C27" s="6" t="n"/>
      <c r="D27" s="6" t="n"/>
      <c r="E27" s="6" t="n"/>
      <c r="F27" s="6" t="n"/>
      <c r="G27" s="6" t="n"/>
      <c r="H27" s="6" t="n"/>
      <c r="I27" s="6" t="n"/>
      <c r="J27" s="6" t="n"/>
      <c r="K27" s="6" t="n"/>
      <c r="L27" s="6" t="n"/>
      <c r="M27" s="6" t="n">
        <v>133</v>
      </c>
    </row>
    <row r="28">
      <c r="A28" s="6" t="inlineStr">
        <is>
          <t>Specific provision: balance at 1 January</t>
        </is>
      </c>
      <c r="B28" s="6" t="n"/>
      <c r="C28" s="6" t="n"/>
      <c r="D28" s="6" t="n"/>
      <c r="E28" s="6" t="n"/>
      <c r="F28" s="6" t="n"/>
      <c r="G28" s="6" t="n"/>
      <c r="H28" s="6" t="n"/>
      <c r="I28" s="6" t="n"/>
      <c r="J28" s="6" t="n"/>
      <c r="K28" s="6" t="n"/>
      <c r="L28" s="6" t="n"/>
      <c r="M28" s="6" t="n">
        <v>99</v>
      </c>
    </row>
    <row r="29">
      <c r="A29" s="6" t="inlineStr">
        <is>
          <t>Specific provision: charge for the year</t>
        </is>
      </c>
      <c r="B29" s="6" t="n"/>
      <c r="C29" s="6" t="n"/>
      <c r="D29" s="6" t="n"/>
      <c r="E29" s="6" t="n"/>
      <c r="F29" s="6" t="n"/>
      <c r="G29" s="6" t="n"/>
      <c r="H29" s="6" t="n"/>
      <c r="I29" s="6" t="n"/>
      <c r="J29" s="6" t="n"/>
      <c r="K29" s="6" t="n"/>
      <c r="L29" s="6" t="n"/>
      <c r="M29" s="6" t="n">
        <v>22</v>
      </c>
    </row>
    <row r="30">
      <c r="A30" s="6" t="inlineStr">
        <is>
          <t>Specific provision: released during the year</t>
        </is>
      </c>
      <c r="B30" s="6" t="n"/>
      <c r="C30" s="6" t="n"/>
      <c r="D30" s="6" t="n"/>
      <c r="E30" s="6" t="n"/>
      <c r="F30" s="6" t="n"/>
      <c r="G30" s="6" t="n"/>
      <c r="H30" s="6" t="n"/>
      <c r="I30" s="6" t="n"/>
      <c r="J30" s="6" t="n"/>
      <c r="K30" s="6" t="n"/>
      <c r="L30" s="6" t="n"/>
      <c r="M30" s="6" t="n">
        <v>-62</v>
      </c>
    </row>
    <row r="31">
      <c r="A31" s="6" t="inlineStr">
        <is>
          <t>Specific provision: balance at 31 December</t>
        </is>
      </c>
      <c r="B31" s="6" t="n"/>
      <c r="C31" s="6" t="n"/>
      <c r="D31" s="6" t="n"/>
      <c r="E31" s="6" t="n"/>
      <c r="F31" s="6" t="n"/>
      <c r="G31" s="6" t="n"/>
      <c r="H31" s="6" t="n"/>
      <c r="I31" s="6" t="n"/>
      <c r="J31" s="6" t="n"/>
      <c r="K31" s="6" t="n"/>
      <c r="L31" s="6" t="n"/>
      <c r="M31" s="6" t="n">
        <v>59</v>
      </c>
    </row>
    <row r="32">
      <c r="A32" s="6" t="inlineStr">
        <is>
          <t>Provision for suspended interest: balance at 1 January</t>
        </is>
      </c>
      <c r="B32" s="6" t="n"/>
      <c r="C32" s="6" t="n"/>
      <c r="D32" s="6" t="n"/>
      <c r="E32" s="6" t="n"/>
      <c r="F32" s="6" t="n"/>
      <c r="G32" s="6" t="n"/>
      <c r="H32" s="6" t="n"/>
      <c r="I32" s="6" t="n"/>
      <c r="J32" s="6" t="n"/>
      <c r="K32" s="6" t="n"/>
      <c r="L32" s="6" t="n"/>
      <c r="M32" s="6" t="n">
        <v>25</v>
      </c>
    </row>
    <row r="33">
      <c r="A33" s="6" t="inlineStr">
        <is>
          <t>Provision for suspended interest: decrease during the year</t>
        </is>
      </c>
      <c r="B33" s="6" t="n"/>
      <c r="C33" s="6" t="n"/>
      <c r="D33" s="6" t="n"/>
      <c r="E33" s="6" t="n"/>
      <c r="F33" s="6" t="n"/>
      <c r="G33" s="6" t="n"/>
      <c r="H33" s="6" t="n"/>
      <c r="I33" s="6" t="n"/>
      <c r="J33" s="6" t="n"/>
      <c r="K33" s="6" t="n"/>
      <c r="L33" s="6" t="n"/>
      <c r="M33" s="6" t="n">
        <v>-9</v>
      </c>
    </row>
    <row r="34">
      <c r="A34" s="6" t="inlineStr">
        <is>
          <t>Provision for suspended interest: balance at 31 December</t>
        </is>
      </c>
      <c r="B34" s="6" t="n"/>
      <c r="C34" s="6" t="n"/>
      <c r="D34" s="6" t="n"/>
      <c r="E34" s="6" t="n"/>
      <c r="F34" s="6" t="n"/>
      <c r="G34" s="6" t="n"/>
      <c r="H34" s="6" t="n"/>
      <c r="I34" s="6" t="n"/>
      <c r="J34" s="6" t="n"/>
      <c r="K34" s="6" t="n"/>
      <c r="L34" s="6" t="n"/>
      <c r="M34" s="6" t="n">
        <v>16</v>
      </c>
    </row>
    <row r="36" ht="340" customHeight="1">
      <c r="A36" s="8" t="inlineStr">
        <is>
          <t>Sources - Kingdom Bank Limited's own Note 12/9 'Loans and advances to customers' (Advances to customers by product, part a; Loan loss provision movement, part c), £'000, Bank/solo basis (Companies House filings, all fully scanned/image-only):
FY2025 &amp; FY2024: Annual Report &amp; Accounts 2025, p.51-52 -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p.53-54 -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&amp; FY2020: Annual Report &amp; Accounts 2021, p.45-46 (Note 12) - https://find-and-update.company-information.service.gov.uk/company/04346834/filing-history/MzM0MzYxNTEyM2FkaXF6a2N4/document?format=pdf&amp;download=0
FY2020 &amp; FY2019: Annual Report &amp; Accounts 2020, p.45-46 (Note 12) - https://find-and-update.company-information.service.gov.uk/company/04346834/filing-history/MzMwMDE2MzUyN2FkaXF6a2N4/document?format=pdf&amp;download=0
FY2019 (own): Annual Report &amp; Accounts 2019, p.36-37 (Note 12) - https://find-and-update.company-information.service.gov.uk/company/04346834/filing-history/MzI2Mzg1MTA4OWFkaXF6a2N4/document?format=pdf&amp;download=0
FY2018 &amp; FY2017: Annual Report &amp; Accounts 2018, p.37-38 (Note 12)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p.29-31 (Note 12) - https://find-and-update.company-information.service.gov.uk/company/04346834/filing-history/MzE3Mjc3MDQyOGFkaXF6a2N4/document?format=pdf&amp;download=0
FY2015 (own): Annual Report &amp; Accounts 2015 - https://find-and-update.company-information.service.gov.uk/company/04346834/filing-history/MzE1NzU2NjI4N2FkaXF6a2N4/document?format=pdf&amp;download=0
FY2014 (own, Note 9 'Loans and advances to customers', old UK GAAP/BBA SORP): Annual Report &amp; Accounts 2014, p.20-21 - https://find-and-update.company-information.service.gov.uk/company/04346834/filing-history/MzEyMTIyNDc5OGFkaXF6a2N4/document?format=pdf&amp;download=0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No IFRS 9 stage (1/2/3) split is disclosed in any year - this entity applies FRS 102 (FRS 102/old UK GAAP for FY2014), not IFRS 9, and reports a single collective/IBNR loan loss provision instead; the 'Of which collective/IBNR provision' split shown here (where disclosed) is the closest equivalent breakdown and is only disclosed from FY2022 onward - left blank for FY2014-FY2021, not assumed zero. FY2014's own Note 9 used a materially different, more granular structure than every later year: its loan loss provision was split into a 'General provision' (IBNR-based, split further between incorporated and unincorporated borrowers) and a 'Specific provision', plus a wholly separate 'Provision for suspended interest' deducted from gross advances alongside the main provision - see the dedicated FY2014 rows below for this one-off structure, which is not comparable line-for-line with FY2015 onward's single combined provision.</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KM1 Key Metrics</t>
        </is>
      </c>
    </row>
    <row r="2">
      <c r="A2" s="2" t="inlineStr">
        <is>
          <t>The Bank's own published 'Template UK KM1 - Key metrics template', reproduced whole in its own row order, row numbers, labels and printed precision. Bank/solo basis. Amounts in £'000, ratios as printed. Only FY2021 and FY2020 carry figures: FY2021 from its own edition, FY2020 from that edition's comparative column because the FY2020 edition prints no key-metrics table at all. Earlier years have no comparative anywhere and pre-date the template. FY2022-FY2025 now carry a STATED status rather than a blank, and the four are NOT one finding: FY2022 and FY2023 were published by the Bank and are simply not obtainable today (link rot), whereas FY2024 and FY2025 were not published at all - the Bank says so in its own words and FY2025 is additionally covered by the dated SDDT Rule 3.1 modification. Do not read the waiver back onto FY2022-FY2024. Rows 9, UK 9a, 10 and UK 10a are printed as dashes by the Bank and are left blank, not zero.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Pillar 3 edition status for this year (see source note - 'not available' and 'not published' are different findings and are not interchangeable)</t>
        </is>
      </c>
      <c r="B4" s="6" t="inlineStr">
        <is>
          <t>Not published - SDDT Rule 3.1 opt-in from 20/02/2025</t>
        </is>
      </c>
      <c r="C4" s="6" t="inlineStr">
        <is>
          <t>Not published - Bank states none required after FY2023</t>
        </is>
      </c>
      <c r="D4" s="6" t="inlineStr">
        <is>
          <t>Unreached today – bank published it (FY2024 AR; filenames on archived /oversight/ page); live 404, Wayback: WAF page (FY2022) or no capture (FY2023), archive.ph none, WP media purged – 2026-09-19; Common Crawl 2023-14..2026-39 checked</t>
        </is>
      </c>
      <c r="E4" s="6" t="inlineStr">
        <is>
          <t>Unreached today – bank published it (FY2024 AR; filenames on archived /oversight/ page); live 404, Wayback: WAF page (FY2022) or no capture (FY2023), archive.ph none, WP media purged – 2026-09-19; Common Crawl 2023-14..2026-39 checked</t>
        </is>
      </c>
      <c r="F4" s="6" t="n"/>
      <c r="G4" s="6" t="n"/>
    </row>
    <row r="5">
      <c r="A5" s="5" t="inlineStr">
        <is>
          <t>Available own funds (£'000)</t>
        </is>
      </c>
      <c r="B5" s="6" t="n"/>
      <c r="C5" s="6" t="n"/>
      <c r="D5" s="6" t="n"/>
      <c r="E5" s="6" t="n"/>
      <c r="F5" s="6" t="n"/>
      <c r="G5" s="6" t="n"/>
    </row>
    <row r="6">
      <c r="A6" s="6" t="inlineStr">
        <is>
          <t>1    Common Equity Tier 1 (CET1) capital (£'000)</t>
        </is>
      </c>
      <c r="B6" s="6" t="n"/>
      <c r="C6" s="6" t="n"/>
      <c r="D6" s="6" t="n"/>
      <c r="E6" s="6" t="n"/>
      <c r="F6" s="6" t="n">
        <v>6892</v>
      </c>
      <c r="G6" s="6" t="n">
        <v>6594</v>
      </c>
    </row>
    <row r="7">
      <c r="A7" s="6" t="inlineStr">
        <is>
          <t>2    Tier 1 capital (£'000)</t>
        </is>
      </c>
      <c r="B7" s="6" t="n"/>
      <c r="C7" s="6" t="n"/>
      <c r="D7" s="6" t="n"/>
      <c r="E7" s="6" t="n"/>
      <c r="F7" s="6" t="n">
        <v>6892</v>
      </c>
      <c r="G7" s="6" t="n">
        <v>6594</v>
      </c>
    </row>
    <row r="8">
      <c r="A8" s="6" t="inlineStr">
        <is>
          <t>3    Total capital (£'000)</t>
        </is>
      </c>
      <c r="B8" s="6" t="n"/>
      <c r="C8" s="6" t="n"/>
      <c r="D8" s="6" t="n"/>
      <c r="E8" s="6" t="n"/>
      <c r="F8" s="6" t="n">
        <v>7653</v>
      </c>
      <c r="G8" s="6" t="n">
        <v>7448</v>
      </c>
    </row>
    <row r="9">
      <c r="A9" s="5" t="inlineStr">
        <is>
          <t>Risk-weighted exposure amounts (£'000)</t>
        </is>
      </c>
      <c r="B9" s="6" t="n"/>
      <c r="C9" s="6" t="n"/>
      <c r="D9" s="6" t="n"/>
      <c r="E9" s="6" t="n"/>
      <c r="F9" s="6" t="n"/>
      <c r="G9" s="6" t="n"/>
    </row>
    <row r="10">
      <c r="A10" s="6" t="inlineStr">
        <is>
          <t>4    Total risk-weighted exposure amount (£'000)</t>
        </is>
      </c>
      <c r="B10" s="6" t="n"/>
      <c r="C10" s="6" t="n"/>
      <c r="D10" s="6" t="n"/>
      <c r="E10" s="6" t="n"/>
      <c r="F10" s="6" t="n">
        <v>40617</v>
      </c>
      <c r="G10" s="6" t="n">
        <v>39632</v>
      </c>
    </row>
    <row r="11">
      <c r="A11" s="5" t="inlineStr">
        <is>
          <t>Capital ratios (as a percentage of risk-weighted exposure amount)</t>
        </is>
      </c>
      <c r="B11" s="6" t="n"/>
      <c r="C11" s="6" t="n"/>
      <c r="D11" s="6" t="n"/>
      <c r="E11" s="6" t="n"/>
      <c r="F11" s="6" t="n"/>
      <c r="G11" s="6" t="n"/>
    </row>
    <row r="12">
      <c r="A12" s="6" t="inlineStr">
        <is>
          <t>5    Common Equity Tier 1 ratio (%)</t>
        </is>
      </c>
      <c r="B12" s="6" t="n"/>
      <c r="C12" s="6" t="n"/>
      <c r="D12" s="6" t="n"/>
      <c r="E12" s="6" t="n"/>
      <c r="F12" s="6" t="inlineStr">
        <is>
          <t>16.97%</t>
        </is>
      </c>
      <c r="G12" s="6" t="inlineStr">
        <is>
          <t>16.64%</t>
        </is>
      </c>
    </row>
    <row r="13">
      <c r="A13" s="6" t="inlineStr">
        <is>
          <t>6    Tier 1 ratio (%)</t>
        </is>
      </c>
      <c r="B13" s="6" t="n"/>
      <c r="C13" s="6" t="n"/>
      <c r="D13" s="6" t="n"/>
      <c r="E13" s="6" t="n"/>
      <c r="F13" s="6" t="inlineStr">
        <is>
          <t>16.97%</t>
        </is>
      </c>
      <c r="G13" s="6" t="inlineStr">
        <is>
          <t>16.64%</t>
        </is>
      </c>
    </row>
    <row r="14">
      <c r="A14" s="6" t="inlineStr">
        <is>
          <t>7    Total capital ratio (%)</t>
        </is>
      </c>
      <c r="B14" s="6" t="n"/>
      <c r="C14" s="6" t="n"/>
      <c r="D14" s="6" t="n"/>
      <c r="E14" s="6" t="n"/>
      <c r="F14" s="6" t="inlineStr">
        <is>
          <t>18.84%</t>
        </is>
      </c>
      <c r="G14" s="6" t="inlineStr">
        <is>
          <t>18.79%</t>
        </is>
      </c>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n"/>
      <c r="C16" s="6" t="n"/>
      <c r="D16" s="6" t="n"/>
      <c r="E16" s="6" t="n"/>
      <c r="F16" s="6" t="inlineStr">
        <is>
          <t>2.50%</t>
        </is>
      </c>
      <c r="G16" s="6" t="inlineStr">
        <is>
          <t>2.22%</t>
        </is>
      </c>
    </row>
    <row r="17">
      <c r="A17" s="6" t="inlineStr">
        <is>
          <t>UK 7b    Additional AT1 SREP requirements (%)</t>
        </is>
      </c>
      <c r="B17" s="6" t="n"/>
      <c r="C17" s="6" t="n"/>
      <c r="D17" s="6" t="n"/>
      <c r="E17" s="6" t="n"/>
      <c r="F17" s="6" t="inlineStr">
        <is>
          <t>0.84%</t>
        </is>
      </c>
      <c r="G17" s="6" t="inlineStr">
        <is>
          <t>0.78%</t>
        </is>
      </c>
    </row>
    <row r="18">
      <c r="A18" s="6" t="inlineStr">
        <is>
          <t>UK 7c    Additional T2 SREP requirements (%)</t>
        </is>
      </c>
      <c r="B18" s="6" t="n"/>
      <c r="C18" s="6" t="n"/>
      <c r="D18" s="6" t="n"/>
      <c r="E18" s="6" t="n"/>
      <c r="F18" s="6" t="inlineStr">
        <is>
          <t>1.11%</t>
        </is>
      </c>
      <c r="G18" s="6" t="inlineStr">
        <is>
          <t>1.00%</t>
        </is>
      </c>
    </row>
    <row r="19">
      <c r="A19" s="6" t="inlineStr">
        <is>
          <t>UK 7d    Total SREP own funds requirements (%)</t>
        </is>
      </c>
      <c r="B19" s="6" t="n"/>
      <c r="C19" s="6" t="n"/>
      <c r="D19" s="6" t="n"/>
      <c r="E19" s="6" t="n"/>
      <c r="F19" s="6" t="inlineStr">
        <is>
          <t>12.45%</t>
        </is>
      </c>
      <c r="G19" s="6" t="inlineStr">
        <is>
          <t>12.00%</t>
        </is>
      </c>
    </row>
    <row r="20">
      <c r="A20" s="5" t="inlineStr">
        <is>
          <t>Combined buffer requirement (as a percentage of risk-weighted exposure amount)</t>
        </is>
      </c>
      <c r="B20" s="6" t="n"/>
      <c r="C20" s="6" t="n"/>
      <c r="D20" s="6" t="n"/>
      <c r="E20" s="6" t="n"/>
      <c r="F20" s="6" t="n"/>
      <c r="G20" s="6" t="n"/>
    </row>
    <row r="21">
      <c r="A21" s="6" t="inlineStr">
        <is>
          <t>8    Capital conservation buffer (%)</t>
        </is>
      </c>
      <c r="B21" s="6" t="n"/>
      <c r="C21" s="6" t="n"/>
      <c r="D21" s="6" t="n"/>
      <c r="E21" s="6" t="n"/>
      <c r="F21" s="6" t="inlineStr">
        <is>
          <t>2.50%</t>
        </is>
      </c>
      <c r="G21" s="6" t="inlineStr">
        <is>
          <t>2.50%</t>
        </is>
      </c>
    </row>
    <row r="22">
      <c r="A22" s="6" t="inlineStr">
        <is>
          <t>UK 8a    Conservation buffer due to macro-prudential or systemic risk identified at the level of a Member State (%)</t>
        </is>
      </c>
      <c r="B22" s="6" t="n"/>
      <c r="C22" s="6" t="n"/>
      <c r="D22" s="6" t="n"/>
      <c r="E22" s="6" t="n"/>
      <c r="F22" s="6" t="inlineStr">
        <is>
          <t>0.56%</t>
        </is>
      </c>
      <c r="G22" s="6" t="inlineStr">
        <is>
          <t>0.56%</t>
        </is>
      </c>
    </row>
    <row r="23">
      <c r="A23" s="6" t="inlineStr">
        <is>
          <t>9    Institution specific countercyclical capital buffer (%)</t>
        </is>
      </c>
      <c r="B23" s="6" t="n"/>
      <c r="C23" s="6" t="n"/>
      <c r="D23" s="6" t="n"/>
      <c r="E23" s="6" t="n"/>
      <c r="F23" s="6" t="inlineStr">
        <is>
          <t>-</t>
        </is>
      </c>
      <c r="G23" s="6" t="inlineStr">
        <is>
          <t>-</t>
        </is>
      </c>
    </row>
    <row r="24">
      <c r="A24" s="6" t="inlineStr">
        <is>
          <t>UK 9a    Systemic risk buffer (%)</t>
        </is>
      </c>
      <c r="B24" s="6" t="n"/>
      <c r="C24" s="6" t="n"/>
      <c r="D24" s="6" t="n"/>
      <c r="E24" s="6" t="n"/>
      <c r="F24" s="6" t="inlineStr">
        <is>
          <t>-</t>
        </is>
      </c>
      <c r="G24" s="6" t="inlineStr">
        <is>
          <t>-</t>
        </is>
      </c>
    </row>
    <row r="25">
      <c r="A25" s="6" t="inlineStr">
        <is>
          <t>10    Global Systemically Important Institution buffer (%)</t>
        </is>
      </c>
      <c r="B25" s="6" t="n"/>
      <c r="C25" s="6" t="n"/>
      <c r="D25" s="6" t="n"/>
      <c r="E25" s="6" t="n"/>
      <c r="F25" s="6" t="inlineStr">
        <is>
          <t>-</t>
        </is>
      </c>
      <c r="G25" s="6" t="inlineStr">
        <is>
          <t>-</t>
        </is>
      </c>
    </row>
    <row r="26">
      <c r="A26" s="6" t="inlineStr">
        <is>
          <t>UK 10a    Other Systemically Important Institution buffer (%)</t>
        </is>
      </c>
      <c r="B26" s="6" t="n"/>
      <c r="C26" s="6" t="n"/>
      <c r="D26" s="6" t="n"/>
      <c r="E26" s="6" t="n"/>
      <c r="F26" s="6" t="inlineStr">
        <is>
          <t>-</t>
        </is>
      </c>
      <c r="G26" s="6" t="inlineStr">
        <is>
          <t>-</t>
        </is>
      </c>
    </row>
    <row r="27">
      <c r="A27" s="6" t="inlineStr">
        <is>
          <t>11    Combined buffer requirement (%)</t>
        </is>
      </c>
      <c r="B27" s="6" t="n"/>
      <c r="C27" s="6" t="n"/>
      <c r="D27" s="6" t="n"/>
      <c r="E27" s="6" t="n"/>
      <c r="F27" s="6" t="inlineStr">
        <is>
          <t>3.06%</t>
        </is>
      </c>
      <c r="G27" s="6" t="inlineStr">
        <is>
          <t>3.06%</t>
        </is>
      </c>
    </row>
    <row r="28">
      <c r="A28" s="6" t="inlineStr">
        <is>
          <t>UK 11a    Overall capital requirements (%)</t>
        </is>
      </c>
      <c r="B28" s="6" t="n"/>
      <c r="C28" s="6" t="n"/>
      <c r="D28" s="6" t="n"/>
      <c r="E28" s="6" t="n"/>
      <c r="F28" s="6" t="inlineStr">
        <is>
          <t>15.51%</t>
        </is>
      </c>
      <c r="G28" s="6" t="inlineStr">
        <is>
          <t>15.06%</t>
        </is>
      </c>
    </row>
    <row r="29">
      <c r="A29" s="6" t="inlineStr">
        <is>
          <t>12    CET1 available after meeting the total SREP own funds requirements (%)</t>
        </is>
      </c>
      <c r="B29" s="6" t="n"/>
      <c r="C29" s="6" t="n"/>
      <c r="D29" s="6" t="n"/>
      <c r="E29" s="6" t="n"/>
      <c r="F29" s="6" t="inlineStr">
        <is>
          <t>4.52%</t>
        </is>
      </c>
      <c r="G29" s="6" t="inlineStr">
        <is>
          <t>4.64%</t>
        </is>
      </c>
    </row>
    <row r="30">
      <c r="A30" s="5" t="inlineStr">
        <is>
          <t>Leverage ratio</t>
        </is>
      </c>
      <c r="B30" s="6" t="n"/>
      <c r="C30" s="6" t="n"/>
      <c r="D30" s="6" t="n"/>
      <c r="E30" s="6" t="n"/>
      <c r="F30" s="6" t="n"/>
      <c r="G30" s="6" t="n"/>
    </row>
    <row r="31">
      <c r="A31" s="6" t="inlineStr">
        <is>
          <t>13    Total exposure measure excluding claims on central banks (£'000)</t>
        </is>
      </c>
      <c r="B31" s="6" t="n"/>
      <c r="C31" s="6" t="n"/>
      <c r="D31" s="6" t="n"/>
      <c r="E31" s="6" t="n"/>
      <c r="F31" s="6" t="n">
        <v>66250</v>
      </c>
      <c r="G31" s="6" t="n">
        <v>63697</v>
      </c>
    </row>
    <row r="32">
      <c r="A32" s="6" t="inlineStr">
        <is>
          <t>14    Leverage ratio excluding claims on central banks (%)</t>
        </is>
      </c>
      <c r="B32" s="6" t="n"/>
      <c r="C32" s="6" t="n"/>
      <c r="D32" s="6" t="n"/>
      <c r="E32" s="6" t="n"/>
      <c r="F32" s="6" t="inlineStr">
        <is>
          <t>10.40%</t>
        </is>
      </c>
      <c r="G32" s="6" t="inlineStr">
        <is>
          <t>10.35%</t>
        </is>
      </c>
    </row>
    <row r="33">
      <c r="A33" s="5" t="inlineStr">
        <is>
          <t>Liquidity Coverage Ratio — average based on end-of-the-month observations over the preceding 12 months, for each year shown (printed by the Bank as a separate table below the capital table)</t>
        </is>
      </c>
      <c r="B33" s="6" t="n"/>
      <c r="C33" s="6" t="n"/>
      <c r="D33" s="6" t="n"/>
      <c r="E33" s="6" t="n"/>
      <c r="F33" s="6" t="n"/>
      <c r="G33" s="6" t="n"/>
    </row>
    <row r="34">
      <c r="A34" s="6" t="inlineStr">
        <is>
          <t>15    Total high-quality liquid assets (HQLA) (Weighted value-average) (£'000)</t>
        </is>
      </c>
      <c r="B34" s="6" t="n"/>
      <c r="C34" s="6" t="n"/>
      <c r="D34" s="6" t="n"/>
      <c r="E34" s="6" t="n"/>
      <c r="F34" s="6" t="n">
        <v>8840</v>
      </c>
      <c r="G34" s="6" t="n">
        <v>6580</v>
      </c>
    </row>
    <row r="35">
      <c r="A35" s="6" t="inlineStr">
        <is>
          <t>UK 16a    Cash outflows - Total weighted value (£'000)</t>
        </is>
      </c>
      <c r="B35" s="6" t="n"/>
      <c r="C35" s="6" t="n"/>
      <c r="D35" s="6" t="n"/>
      <c r="E35" s="6" t="n"/>
      <c r="F35" s="6" t="n">
        <v>2558</v>
      </c>
      <c r="G35" s="6" t="n">
        <v>2637</v>
      </c>
    </row>
    <row r="36">
      <c r="A36" s="6" t="inlineStr">
        <is>
          <t>UK 16b    Cash inflows - Total weighted value (£'000)</t>
        </is>
      </c>
      <c r="B36" s="6" t="n"/>
      <c r="C36" s="6" t="n"/>
      <c r="D36" s="6" t="n"/>
      <c r="E36" s="6" t="n"/>
      <c r="F36" s="6" t="n">
        <v>8241</v>
      </c>
      <c r="G36" s="6" t="n">
        <v>7799</v>
      </c>
    </row>
    <row r="37">
      <c r="A37" s="6" t="inlineStr">
        <is>
          <t>16    Total net cash outflows (adjusted value) (£'000)</t>
        </is>
      </c>
      <c r="B37" s="6" t="n"/>
      <c r="C37" s="6" t="n"/>
      <c r="D37" s="6" t="n"/>
      <c r="E37" s="6" t="n"/>
      <c r="F37" s="6" t="n">
        <v>640</v>
      </c>
      <c r="G37" s="6" t="n">
        <v>659</v>
      </c>
    </row>
    <row r="38">
      <c r="A38" s="6" t="inlineStr">
        <is>
          <t>17    Liquidity coverage ratio (%)</t>
        </is>
      </c>
      <c r="B38" s="6" t="n"/>
      <c r="C38" s="6" t="n"/>
      <c r="D38" s="6" t="n"/>
      <c r="E38" s="6" t="n"/>
      <c r="F38" s="6" t="inlineStr">
        <is>
          <t>1,382.23%</t>
        </is>
      </c>
      <c r="G38" s="6" t="inlineStr">
        <is>
          <t>998.00%</t>
        </is>
      </c>
    </row>
    <row r="39">
      <c r="A39" s="5" t="inlineStr">
        <is>
          <t>Net Stable Funding Ratio — average based on end-of-the-quarter observations over the preceding four quarters, for each year shown; the Bank footnotes the whole block '*based on estimated data (first NSFR return submitted to the PRA for reference point 31 March 2022 under CRR II)'</t>
        </is>
      </c>
      <c r="B39" s="6" t="n"/>
      <c r="C39" s="6" t="n"/>
      <c r="D39" s="6" t="n"/>
      <c r="E39" s="6" t="n"/>
      <c r="F39" s="6" t="n"/>
      <c r="G39" s="6" t="n"/>
    </row>
    <row r="40">
      <c r="A40" s="6" t="inlineStr">
        <is>
          <t>18    Total available stable funding (£'000)</t>
        </is>
      </c>
      <c r="B40" s="6" t="n"/>
      <c r="C40" s="6" t="n"/>
      <c r="D40" s="6" t="n"/>
      <c r="E40" s="6" t="n"/>
      <c r="F40" s="6" t="n">
        <v>68868</v>
      </c>
      <c r="G40" s="6" t="n">
        <v>60757</v>
      </c>
    </row>
    <row r="41">
      <c r="A41" s="6" t="inlineStr">
        <is>
          <t>19    Total required stable funding (£'000)</t>
        </is>
      </c>
      <c r="B41" s="6" t="n"/>
      <c r="C41" s="6" t="n"/>
      <c r="D41" s="6" t="n"/>
      <c r="E41" s="6" t="n"/>
      <c r="F41" s="6" t="n">
        <v>42862</v>
      </c>
      <c r="G41" s="6" t="n">
        <v>40085</v>
      </c>
    </row>
    <row r="42">
      <c r="A42" s="6" t="inlineStr">
        <is>
          <t>20    NSFR ratio (%)</t>
        </is>
      </c>
      <c r="B42" s="6" t="n"/>
      <c r="C42" s="6" t="n"/>
      <c r="D42" s="6" t="n"/>
      <c r="E42" s="6" t="n"/>
      <c r="F42" s="6" t="inlineStr">
        <is>
          <t>160.67%</t>
        </is>
      </c>
      <c r="G42" s="6" t="inlineStr">
        <is>
          <t>151.57%</t>
        </is>
      </c>
    </row>
    <row r="44" ht="560" customHeight="1">
      <c r="A44" s="8" t="inlineStr">
        <is>
          <t>Sources - Kingdom Bank Limited's own Pillar 3 Disclosures, 'Template UK KM1 - Key metrics template', £'000 and % exactly as printed:
FY2021: Pillar 3 Disclosures 2021 (approved 9 June 2022), section 4 'Key metrics', printed p.14 for the capital table and p.15 for the liquidity and NSFR tables, column '31 December 2021'. Original URL https://www.kingdom.bank/wp-content/uploads/2022/06/Pillar-3-Disclosures-2021-approved-9-June-2022-clean-v2.pdf now returns a hard HTTP 404; read from the Wayback capture https://web.archive.org/web/20240617063554id_/https://www.kingdom.bank/wp-content/uploads/2022/06/Pillar-3-Disclosures-2021-approved-9-June-2022-clean-v2.pdf, confirmed to begin with the %PDF magic bytes.
FY2020: the '31 December 2020' COMPARATIVE column of that same FY2021 edition - see the provenance note below, which explains why this column is not from its own edition.
WHY FY2020 COMES FROM THE FY2021 EDITION'S COMPARATIVE (map rule 28, decided by the project owner 2026-09-17). The FY2020 edition exists and was read in full (Pillar 3 Disclosures approved 3 June 2021, https://web.archive.org/web/20240701022732id_/https://www.kingdom.bank/wp-content/uploads/2021/07/Pillar-3-Disclosures-approved-3-June-2021-v2.pdf), and it contains NO key-metrics table of any kind. Its own contents page lists eight sections - 1 Introduction, 1.1 COVID-19, 2 Risk management objectives and policies, 3 Board and committee structure, 4 Own funds, 5 Exposure amounts under the standardised approach, 6 Credit risk and provisioning, 7 Remuneration policies and practices, 8 Conclusion - and there is no key-metrics section among them. Its section 4 'Own funds' is a capital build-up table (permanent share capital, profit and loss account, revaluation reserve, deductions, Tier 2), which is a CC1-style disclosure and not this template. The FY2021 edition is the first to add a 'Key metrics' section, and it is that edition which introduced the template to this bank. Because the whole table is missing from FY2020's own edition rather than a row being dashed inside a table that exists, this is map rule 28 and not map rule 20, and the column is FILLED from the later edition's comparative and labelled as such here.
VERIFIED THE WAY THE MAP REQUIRES, not by a keyword count. The absence above was established by reading the FY2020 edition's own table of contents and its section 4, then confirming with whole-word searches whose every hit was inspected individually: 'KM1' returns zero hits in that edition, 'combined buffer' zero, 'total exposure measure' zero, and the single 'key metrics' hit is a sentence in the introduction about the disclosure regime for small and non-complex firms, not a table heading. The same is true of the FY2019 edition.
WHY EVERY OTHER COLUMN IS BLANK - two different reasons, and neither is 'the bank does not publish Pillar 3':
• FY2019 AND EARLIER: no comparative exists anywhere. The FY2019 edition (approved 14 May 2020) has the same eight-section structure as FY2020 and no key-metrics table, and the FY2020 edition, which would be the only place a 31 December 2019 comparative could appear, has no such table to carry one. So map rule 28(c) applies and the column stays empty. This is also the expected shape: the UK KM1 template arrived with the Disclosure (CRR) Part of the PRA Rulebook and genuinely post-dates those editions (map rule 25).
• FY2022 ONWARD: the editions are NOT OBTAINABLE, which is a statement about our reach and not about the bank (map rule 9). Kingdom Bank DID publish a Pillar 3 document for FY2022 and for FY2023 - the FY2024 Annual Report confirms the FY2023 one was reviewed by the Board in March 2024 - but the whole series has rotted off www.kingdom.bank. Re-checked 2026-09-17: the FY2022 URL (https://www.kingdom.bank/wp-content/uploads/2023/04/Pillar-3-Disclosures-2022.pdf) returns a hard HTTP 404 with an HTML body, and the single Wayback capture of it is not the PDF but a 1,489-byte WAF interstitial reading 'One moment, please... Please wait while your request is being verified', served with HTTP 200. The FY2023 edition was never archived at all. NOTHING HERE LICENSES AN INFERENCE THAT THE ROWS WERE NOT PUBLISHED; they are simply out of reach, and a future session that obtains either document should fill these columns.
• A NOTE ON SDDT, so it is not misapplied to those blanks. Kingdom Bank holds the Small Domestic Deposit Taker opt-in that removes the Pillar 3 disclosure duty: the Bank of England consolidated waivers register carries one row for FRN 400972, 'Modification by Consent - PRA Rulebook - CRR Firms - Rule 3.1 of the SDDT Regime - General Application Part', sub rule 'Ru 3.1', waiver reference A00009930P.pdf, START DATE 20/02/2025, no end date (https://www.bankofengland.co.uk/-/media/boe/files/prudential-regulation/authorisations/waivers-and-modifications-of-rules/consolidated-waivers-pra-firms.csv). Date-fitted against this bank's 31 December accounting reference date, that start date falls AFTER the FY2022, FY2023 and FY2024 year-ends, so the waiver explains NONE of those three blanks - they are link rot, as described above. It is capable of explaining a genuine absence from FY2025 onward, but the exemption permits a firm to stop disclosing rather than compelling it to, so an FY2025 absence should still be investigated on its own facts.
LATEST-EDITION CHECK (required by the KM1 map), performed 2026-09-17 against the bank's OWN website. www.kingdom.bank serves no Pillar 3 document today and has no regulatory-disclosures page: the site's own sitemap index (wp-sitemap.xml) lists seven section sitemaps, and the page sitemap enumerates twenty pages - home, privacy, complaints, fraud awareness, cookies, useful documents, the About and product sections, terms - with no Pillar 3, results or investor page among them. The 'Useful documents' page, the only document library on the site, carries seventeen PDFs and all of them are customer forms (deposit slips, change of address, ISA transfer authority, mandates, savings conditions). A Wayback CDX sweep of the whole kingdom.bank domain returns one Pillar 3 page capture, from 2017. So the newest KM1-bearing edition obtainable anywhere remains the FY2021 one used above. The domain www.kingdombank.co.uk was the bank's own website until May 2016 and now serves only a parking-style redirect (CORRECTED 2026-09-19: this note previously called it 'an unrelated parked domain'); none of its archived Pillar 3 links (2011-2014 editions) is a KM1-era document.
DASHES ARE REPRODUCED AS BLANKS, NOT ZEROS (map rule 2). Rows 9, UK 9a, 10 and UK 10a are printed '-' in both columns of the FY2021 edition - the Bank had no countercyclical, systemic risk, G-SII or O-SII buffer requirement - and a dash is left blank here rather than recorded as a zero. The rows themselves are kept so a reader can see the Bank printed them and what it printed in them.
PRECISION IS THE BANK'S OWN. Kingdom prints its ratios to two decimal places throughout, including an LCR of 1,382.23% and an NSFR of 160.67%. Those very large liquidity ratios are genuine for a bank of this size and shape - total net cash outflows of £640k against £8,840k of high-quality liquid assets - and are reproduced as printed rather than rounded.
A SOURCE CAVEAT THE BANK ITSELF FLAGS (map rule 7). The NSFR block carries the Bank's own footnote: '*based on estimated data (first NSFR return submitted to the PRA for reference point 31 March 2022 under CRR II)'. Both NSFR columns above are therefore the Bank's own estimate rather than a submitted regulatory return, which is a basis qualification carried here rather than dropped.
TWO SERIES, NEVER MERGED - see also the individual Pillar 3 metric sheets in this workbook. This workbook's metric sheets carry BOTH a Pillar 3-basis row and an Annual Report KPI-table row for CET1 Ratio, Leverage Ratio and LCR, because the two disagree on basis (regulatory own funds excluding unapproved profits against accounting shareholders' funds; leverage excluding against including central bank claims; a 12-month average LCR against the Annual Report's own measure). Every figure on THIS sheet is the Pillar 3 series, and it ties to those sheets' Pillar 3 rows exactly: CET1 £6,892k/£6,594k, CET1 ratio 16.97%/16.64%, total RWEA £40,617k/£39,632k and leverage 10.40%/10.35%.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t>
        </is>
      </c>
    </row>
  </sheetData>
  <mergeCells count="1">
    <mergeCell ref="A44:G4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CET1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CET1 capital, regulatory - per Pillar 3 (UK KM1 row 1 / Own funds table)</t>
        </is>
      </c>
      <c r="B5" s="6" t="n"/>
      <c r="C5" s="6" t="n"/>
      <c r="D5" s="6" t="n"/>
      <c r="E5" s="6" t="n"/>
      <c r="F5" s="6" t="n">
        <v>6892</v>
      </c>
      <c r="G5" s="6" t="n">
        <v>6594</v>
      </c>
      <c r="H5" s="6" t="n"/>
      <c r="I5" s="6" t="n"/>
      <c r="J5" s="6" t="n"/>
      <c r="K5" s="6" t="n"/>
      <c r="L5" s="6" t="n"/>
      <c r="M5" s="6" t="n"/>
    </row>
    <row r="6">
      <c r="A6" s="6" t="inlineStr">
        <is>
          <t>CET1 capital, regulatory - per Pillar 3 FY2016-FY2019 editions, which state £m to 1 d.p. (Tier 1 capital after deductions)</t>
        </is>
      </c>
      <c r="B6" s="6" t="n"/>
      <c r="C6" s="6" t="n"/>
      <c r="D6" s="6" t="n"/>
      <c r="E6" s="6" t="n"/>
      <c r="F6" s="6" t="n"/>
      <c r="G6" s="6" t="n"/>
      <c r="H6" s="6" t="n">
        <v>5700</v>
      </c>
      <c r="I6" s="6" t="n">
        <v>5600</v>
      </c>
      <c r="J6" s="6" t="n">
        <v>5400</v>
      </c>
      <c r="K6" s="6" t="n">
        <v>5300</v>
      </c>
      <c r="L6" s="6" t="n"/>
      <c r="M6" s="6" t="n"/>
    </row>
    <row r="7">
      <c r="A7" s="6" t="inlineStr">
        <is>
          <t>Of which: Core Tier 1 capital before deductions - per Pillar 3</t>
        </is>
      </c>
      <c r="B7" s="6" t="n"/>
      <c r="C7" s="6" t="n"/>
      <c r="D7" s="6" t="n"/>
      <c r="E7" s="6" t="n"/>
      <c r="F7" s="6" t="n"/>
      <c r="G7" s="6" t="n">
        <v>6759</v>
      </c>
      <c r="H7" s="6" t="n"/>
      <c r="I7" s="6" t="n"/>
      <c r="J7" s="6" t="n"/>
      <c r="K7" s="6" t="n"/>
      <c r="L7" s="6" t="n"/>
      <c r="M7" s="6" t="n"/>
    </row>
    <row r="8">
      <c r="A8" s="6" t="inlineStr">
        <is>
          <t>Of which: deductions (intangible assets, DTAs relying on future profits) - per Pillar 3</t>
        </is>
      </c>
      <c r="B8" s="6" t="n"/>
      <c r="C8" s="6" t="n"/>
      <c r="D8" s="6" t="n"/>
      <c r="E8" s="6" t="n"/>
      <c r="F8" s="6" t="n"/>
      <c r="G8" s="6" t="n">
        <v>-165</v>
      </c>
      <c r="H8" s="6" t="n"/>
      <c r="I8" s="6" t="n"/>
      <c r="J8" s="6" t="n"/>
      <c r="K8" s="6" t="n"/>
      <c r="L8" s="6" t="n"/>
      <c r="M8" s="6" t="n"/>
    </row>
    <row r="9">
      <c r="A9" s="6" t="inlineStr">
        <is>
          <t>Of which: Core Tier 1 capital before deductions - per Pillar 3 FY2016-FY2019 editions (£m to 1 d.p.)</t>
        </is>
      </c>
      <c r="B9" s="6" t="n"/>
      <c r="C9" s="6" t="n"/>
      <c r="D9" s="6" t="n"/>
      <c r="E9" s="6" t="n"/>
      <c r="F9" s="6" t="n"/>
      <c r="G9" s="6" t="n"/>
      <c r="H9" s="6" t="n">
        <v>5900</v>
      </c>
      <c r="I9" s="6" t="n">
        <v>5800</v>
      </c>
      <c r="J9" s="6" t="n">
        <v>5700</v>
      </c>
      <c r="K9" s="6" t="n">
        <v>5600</v>
      </c>
      <c r="L9" s="6" t="n"/>
      <c r="M9" s="6" t="n"/>
    </row>
    <row r="10">
      <c r="A10" s="6" t="inlineStr">
        <is>
          <t>Of which: deductions (intangible assets, DTAs relying on future profits) - per Pillar 3 FY2016-FY2019 editions (£m to 1 d.p.)</t>
        </is>
      </c>
      <c r="B10" s="6" t="n"/>
      <c r="C10" s="6" t="n"/>
      <c r="D10" s="6" t="n"/>
      <c r="E10" s="6" t="n"/>
      <c r="F10" s="6" t="n"/>
      <c r="G10" s="6" t="n"/>
      <c r="H10" s="6" t="n">
        <v>-200</v>
      </c>
      <c r="I10" s="6" t="n">
        <v>-200</v>
      </c>
      <c r="J10" s="6" t="n">
        <v>-300</v>
      </c>
      <c r="K10" s="6" t="n">
        <v>-300</v>
      </c>
      <c r="L10" s="6" t="n"/>
      <c r="M10" s="6" t="n"/>
    </row>
    <row r="11" ht="60" customHeight="1">
      <c r="A11"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Regulatory CET1 is materially LOWER than shareholders' funds in every overlapping year (FY2021 £6,892k vs £7,451k; FY2020 £6,594k vs £6,771k) for two reasons the documents state themselves: the profit and loss account component excludes the year's audited profits where those were not approved until after the disclosure was signed (the FY2020 edition footnotes this explicitly - 'The profit and loss account figure excludes audited profits for 2020, which were not approved until 16 April 2021'), and intangible assets and deferred tax assets relying on future profits are deducted (£165k in FY2020). Neither figure is wrong; they are different measures.
FY2016-FY2018 (added 2026-09-19 from each year's own Pillar 3 edition, section 4 'Total Own Funds' table - FY2016 p.11, FY2017 p.11, FY2018 p.12; URLs in the source note). The Annual Report balance sheet remains the primary row and is unchanged; the Pillar 3 figures sit on their own £m-precision rows and DISAGREE with it in all three years, for the reasons above: FY2016 Pillar 3 £5.3m against shareholders' funds £5,667k; FY2017 £5.4m against £5,778k; FY2018 £5.6m against £5,908k. Each edition footnotes its profit and loss account line as excluding that year's audited profits (approved 22 March 2017, 21 March 2018 and 20 March 2019 respectively), and deducts intangible assets and DTAs relying on future profits (£0.3m, £0.3m, £0.2m). Each edition's own build-up foots as printed: 5.6 - 0.3 = 5.3; 5.7 - 0.3 = 5.4; 5.8 - 0.2 = 5.6. FY2019 foots the same way: 5.9 - 0.2 = 5.7.
FY2019 PLACED 2026-10-07, FROM A TRANSCRIPTION THAT HAD BEEN SITTING IN THE SCRIPT UNUSED. The FY2019 Pillar 3 edition's section 4 'Own funds' table had been read by an earlier pass and its Tier 2 figure stored in a constant that was never referenced by any sheet, so the figure existed in the build script and appeared nowhere in the workbook; the two 'Of which' rows were blank for FY2019 for the same reason. The whole table was re-read on 2026-10-07 off a 300 dpi image of its own printed p.13 (the document's page footer reads 13 on that sheet) before anything was placed. WHAT IT PRINTS, £m to one decimal place: Permanent share capital (ordinary £1 shares) 4.2, Profit and loss account 1.5, Revaluation reserve 0.2, Core Tier 1 capital before deductions 5.9, Deductions from Tier 1 capital (intangible assets, deferred tax assets relying on future profits) (0.2), Tier 1 Capital after deductions 5.7, Tier 2 capital instruments (subordinated debt) 1.0, Tier 2 Capital (no deductions) 1.0, Total Capital after deductions 6.7. The narrative above the table says the same thing in words: 'The Bank's total Own Funds, calculated in accordance with Article 72 of the CRR, amounted to £6.7m as at 31 December 2019. This was made up of Tier 1 capital of £5.7m (after deductions) and Tier 2 capital of £1.0m (no deductions).' Nothing was derived: the Tier 2 figure is printed twice on the page and stated once in the narrative. As with FY2016-FY2018, these cells carry £m-precision figures expressed in £'000 - '1,000' means '£1.0m as printed', not a figure measured to the nearest £1k. The edition footnotes its profit and loss account line as excluding audited 2019 profits, 'which were not approved until 27 April 2020', which is why regulatory Tier 1 of £5.7m sits below Annual Report shareholders' funds of £6,145k.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13" ht="230" customHeight="1">
      <c r="A13"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3:M13"/>
    <mergeCell ref="A11:M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CET1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 - per Annual Report KPI table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row>
    <row r="5">
      <c r="A5" s="6" t="inlineStr">
        <is>
          <t>CET1 ratio - per Pillar 3 (Template UK KM1 row 5)</t>
        </is>
      </c>
      <c r="B5" s="6" t="n"/>
      <c r="C5" s="6" t="n"/>
      <c r="D5" s="6" t="n"/>
      <c r="E5" s="6" t="n"/>
      <c r="F5" s="6" t="inlineStr">
        <is>
          <t>16.97%</t>
        </is>
      </c>
      <c r="G5" s="6" t="inlineStr">
        <is>
          <t>16.64%</t>
        </is>
      </c>
      <c r="H5" s="6" t="n"/>
      <c r="I5" s="6" t="n"/>
      <c r="J5" s="6" t="n"/>
      <c r="K5" s="6" t="n"/>
      <c r="L5" s="6" t="n"/>
    </row>
    <row r="6" ht="60" customHeight="1">
      <c r="A6"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FY2021 agrees to the basis point (16.97% on both), which is a useful control. FY2020 does NOT: the Annual Report KPI table gives 17.13% while the Pillar 3 Disclosures 2021 comparative column gives 16.64%, a 49bp gap consistent with the regulatory CET1 base being £6,594k against shareholders' funds of £6,771k. Both are shown; neither is overwritten. FY2016-FY2018 PILLAR 3 EDITIONS PRINT NO CAPITAL RATIO AND NO TOTAL RWA (checked 2026-09-19). Each edition's contents page (p.2) runs Introduction / Risk management / Board and committee structure / Own funds / Exposure amounts under the standardised approach / Credit risk and provisioning / Remuneration / Conclusion. Its own-funds section prints amounts only (£m), and its section 5.1 table stops at a credit risk risk-weighted exposure subtotal (£29.6m / £32.3m / £34.6m) plus an operational-risk CAPITAL REQUIREMENT (£0.2m / £0.2m / £0.3m), with no operational-risk exposure amount and no total. Every 'ratio' in the three texts was read: the only ones are the leverage ratio (section 5.2), the large-exposures ratio, the borrower service ratio and a mention of the LCR. So the Pillar 3 rows here stay BLANK for FY2016-FY2018, and no ratio or total is computed from the components on the bank's behalf.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L8"/>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Tier 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Tier 1 capital after deductions - per Pillar 3 (UK KM1 row 2 / Own funds table)</t>
        </is>
      </c>
      <c r="B5" s="6" t="n"/>
      <c r="C5" s="6" t="n"/>
      <c r="D5" s="6" t="n"/>
      <c r="E5" s="6" t="n"/>
      <c r="F5" s="6" t="n">
        <v>6892</v>
      </c>
      <c r="G5" s="6" t="n">
        <v>6594</v>
      </c>
      <c r="H5" s="6" t="n"/>
      <c r="I5" s="6" t="n"/>
      <c r="J5" s="6" t="n"/>
      <c r="K5" s="6" t="n"/>
      <c r="L5" s="6" t="n"/>
      <c r="M5" s="6" t="n"/>
    </row>
    <row r="6">
      <c r="A6" s="6" t="inlineStr">
        <is>
          <t>Tier 1 capital after deductions - per Pillar 3 FY2016-FY2019 editions, which state £m to 1 d.p.</t>
        </is>
      </c>
      <c r="B6" s="6" t="n"/>
      <c r="C6" s="6" t="n"/>
      <c r="D6" s="6" t="n"/>
      <c r="E6" s="6" t="n"/>
      <c r="F6" s="6" t="n"/>
      <c r="G6" s="6" t="n"/>
      <c r="H6" s="6" t="n">
        <v>5700</v>
      </c>
      <c r="I6" s="6" t="n">
        <v>5600</v>
      </c>
      <c r="J6" s="6" t="n">
        <v>5400</v>
      </c>
      <c r="K6" s="6" t="n">
        <v>5300</v>
      </c>
      <c r="L6" s="6" t="n"/>
      <c r="M6" s="6" t="n"/>
    </row>
    <row r="7" ht="60" customHeight="1">
      <c r="A7" s="7" t="inlineStr">
        <is>
          <t>Note: Kingdom Bank's own Annual Reports state regulatory capital consists only of shareholders' funds ("Core Equity Tier 1") and subordinated liabilities ("Tier 2") - no Additional Tier 1 instruments are in issue in any year reviewed, so Tier 1 Capital equals CET1 Capital exactly. See the CET1 Capital sheet for the same figures and source. The recovered Pillar 3 documents confirm this directly: the FY2020 and FY2019 editions' own funds tables show a Tier 1 section containing only permanent share capital, the profit and loss account and the revaluation reserve, and Template UK KM1 in the FY2021 edition prints an identical value on row 1 (CET1 capital) and row 2 (Tier 1 capital) for both FY2021 (£6,892k) and FY2020 (£6,594k). The FY2016-FY2018 editions (added 2026-09-19) print the same Tier 1-only structure, with no Additional Tier 1 line: Tier 1 capital after deductions £5.3m (FY2016, p.11), £5.4m (FY2017, p.11) and £5.6m (FY2018, p.12), against Annual Report shareholders' funds of £5,667k, £5,778k and £5,908k - a disagreement of basis explained on the CET1 Capital sheet, not reconciled here.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FY2019 PLACED 2026-10-07, FROM A TRANSCRIPTION THAT HAD BEEN SITTING IN THE SCRIPT UNUSED. The FY2019 Pillar 3 edition's section 4 'Own funds' table had been read by an earlier pass and its Tier 2 figure stored in a constant that was never referenced by any sheet, so the figure existed in the build script and appeared nowhere in the workbook; the two 'Of which' rows were blank for FY2019 for the same reason. The whole table was re-read on 2026-10-07 off a 300 dpi image of its own printed p.13 (the document's page footer reads 13 on that sheet) before anything was placed. WHAT IT PRINTS, £m to one decimal place: Permanent share capital (ordinary £1 shares) 4.2, Profit and loss account 1.5, Revaluation reserve 0.2, Core Tier 1 capital before deductions 5.9, Deductions from Tier 1 capital (intangible assets, deferred tax assets relying on future profits) (0.2), Tier 1 Capital after deductions 5.7, Tier 2 capital instruments (subordinated debt) 1.0, Tier 2 Capital (no deductions) 1.0, Total Capital after deductions 6.7. The narrative above the table says the same thing in words: 'The Bank's total Own Funds, calculated in accordance with Article 72 of the CRR, amounted to £6.7m as at 31 December 2019. This was made up of Tier 1 capital of £5.7m (after deductions) and Tier 2 capital of £1.0m (no deductions).' Nothing was derived: the Tier 2 figure is printed twice on the page and stated once in the narrative. As with FY2016-FY2018, these cells carry £m-precision figures expressed in £'000 - '1,000' means '£1.0m as printed', not a figure measured to the nearest £1k. The edition footnotes its profit and loss account line as excluding audited 2019 profits, 'which were not approved until 27 April 2020', which is why regulatory Tier 1 of £5.7m sits below Annual Report shareholders' funds of £6,145k.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9:M9"/>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Tier 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 (= CET1 ratio - see note) - per Annual Report KPI table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row>
    <row r="5">
      <c r="A5" s="6" t="inlineStr">
        <is>
          <t>Tier 1 ratio - per Pillar 3 (Template UK KM1 row 6)</t>
        </is>
      </c>
      <c r="B5" s="6" t="n"/>
      <c r="C5" s="6" t="n"/>
      <c r="D5" s="6" t="n"/>
      <c r="E5" s="6" t="n"/>
      <c r="F5" s="6" t="inlineStr">
        <is>
          <t>16.97%</t>
        </is>
      </c>
      <c r="G5" s="6" t="inlineStr">
        <is>
          <t>16.64%</t>
        </is>
      </c>
      <c r="H5" s="6" t="n"/>
      <c r="I5" s="6" t="n"/>
      <c r="J5" s="6" t="n"/>
      <c r="K5" s="6" t="n"/>
      <c r="L5" s="6" t="n"/>
    </row>
    <row r="6" ht="60" customHeight="1">
      <c r="A6" s="7" t="inlineStr">
        <is>
          <t>Note: Tier 1 Ratio equals the CET1 Ratio exactly in every year - Kingdom Bank has never had any Additional Tier 1 capital in issue (see the Tier 1 Capital sheet), so Tier 1 Capital = CET1 Capital and therefore Tier 1 Capital / RWA = CET1 Capital / RWA. See the CET1 Ratio sheet for the same figures and source. Template UK KM1 in the FY2021 Pillar 3 edition prints the same value on row 5 (CET1 ratio) and row 6 (Tier 1 ratio) for both years shown, confirming this directly rather than by inference.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FY2016-FY2018 PILLAR 3 EDITIONS PRINT NO CAPITAL RATIO AND NO TOTAL RWA (checked 2026-09-19). Each edition's contents page (p.2) runs Introduction / Risk management / Board and committee structure / Own funds / Exposure amounts under the standardised approach / Credit risk and provisioning / Remuneration / Conclusion. Its own-funds section prints amounts only (£m), and its section 5.1 table stops at a credit risk risk-weighted exposure subtotal (£29.6m / £32.3m / £34.6m) plus an operational-risk CAPITAL REQUIREMENT (£0.2m / £0.2m / £0.3m), with no operational-risk exposure amount and no total. Every 'ratio' in the three texts was read: the only ones are the leverage ratio (section 5.2), the large-exposures ratio, the borrower service ratio and a mention of the LCR. So the Pillar 3 rows here stay BLANK for FY2016-FY2018, and no ratio or total is computed from the components on the bank's behalf.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L8"/>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Subordinated liabilities (Tier 2) - per Annual Report balance sheet</t>
        </is>
      </c>
      <c r="B5" s="6" t="n">
        <v>700</v>
      </c>
      <c r="C5" s="6" t="n">
        <v>700</v>
      </c>
      <c r="D5" s="6" t="n">
        <v>700</v>
      </c>
      <c r="E5" s="6" t="n">
        <v>700</v>
      </c>
      <c r="F5" s="6" t="n">
        <v>761</v>
      </c>
      <c r="G5" s="6" t="n">
        <v>1431</v>
      </c>
      <c r="H5" s="6" t="n">
        <v>1431</v>
      </c>
      <c r="I5" s="6" t="n">
        <v>1431</v>
      </c>
      <c r="J5" s="6" t="n">
        <v>1581</v>
      </c>
      <c r="K5" s="6" t="n">
        <v>1581</v>
      </c>
      <c r="L5" s="6" t="n">
        <v>1681</v>
      </c>
      <c r="M5" s="6" t="n">
        <v>1681</v>
      </c>
    </row>
    <row r="6">
      <c r="A6" s="6" t="inlineStr">
        <is>
          <t>Total of the two Annual Report lines above (CET1 + Tier 2)</t>
        </is>
      </c>
      <c r="B6" s="6" t="n">
        <v>16508</v>
      </c>
      <c r="C6" s="6" t="n">
        <v>16212</v>
      </c>
      <c r="D6" s="6" t="n">
        <v>10576</v>
      </c>
      <c r="E6" s="6" t="n">
        <v>10053</v>
      </c>
      <c r="F6" s="6" t="n">
        <v>8212</v>
      </c>
      <c r="G6" s="6" t="n">
        <v>8202</v>
      </c>
      <c r="H6" s="6" t="n">
        <v>7576</v>
      </c>
      <c r="I6" s="6" t="n">
        <v>7339</v>
      </c>
      <c r="J6" s="6" t="n">
        <v>7359</v>
      </c>
      <c r="K6" s="6" t="n">
        <v>7248</v>
      </c>
      <c r="L6" s="6" t="n">
        <v>7312</v>
      </c>
      <c r="M6" s="6" t="n">
        <v>6641</v>
      </c>
    </row>
    <row r="7">
      <c r="A7" s="6" t="inlineStr">
        <is>
          <t>Tier 1 capital after deductions - per Pillar 3</t>
        </is>
      </c>
      <c r="B7" s="6" t="n"/>
      <c r="C7" s="6" t="n"/>
      <c r="D7" s="6" t="n"/>
      <c r="E7" s="6" t="n"/>
      <c r="F7" s="6" t="n">
        <v>6892</v>
      </c>
      <c r="G7" s="6" t="n">
        <v>6594</v>
      </c>
      <c r="H7" s="6" t="n"/>
      <c r="I7" s="6" t="n"/>
      <c r="J7" s="6" t="n"/>
      <c r="K7" s="6" t="n"/>
      <c r="L7" s="6" t="n"/>
      <c r="M7" s="6" t="n"/>
    </row>
    <row r="8">
      <c r="A8" s="6" t="inlineStr">
        <is>
          <t>Tier 2 capital instruments (subordinated debt), eligible - per Pillar 3</t>
        </is>
      </c>
      <c r="B8" s="6" t="n"/>
      <c r="C8" s="6" t="n"/>
      <c r="D8" s="6" t="n"/>
      <c r="E8" s="6" t="n"/>
      <c r="F8" s="6" t="n"/>
      <c r="G8" s="6" t="n">
        <v>854</v>
      </c>
      <c r="H8" s="6" t="n"/>
      <c r="I8" s="6" t="n"/>
      <c r="J8" s="6" t="n"/>
      <c r="K8" s="6" t="n"/>
      <c r="L8" s="6" t="n"/>
      <c r="M8" s="6" t="n"/>
    </row>
    <row r="9">
      <c r="A9" s="6" t="inlineStr">
        <is>
          <t>Total own funds after deductions - per Pillar 3 (UK KM1 row 3 / Own funds table)</t>
        </is>
      </c>
      <c r="B9" s="6" t="n"/>
      <c r="C9" s="6" t="n"/>
      <c r="D9" s="6" t="n"/>
      <c r="E9" s="6" t="n"/>
      <c r="F9" s="6" t="n">
        <v>7653</v>
      </c>
      <c r="G9" s="6" t="n">
        <v>7448</v>
      </c>
      <c r="H9" s="6" t="n"/>
      <c r="I9" s="6" t="n"/>
      <c r="J9" s="6" t="n"/>
      <c r="K9" s="6" t="n"/>
      <c r="L9" s="6" t="n"/>
      <c r="M9" s="6" t="n"/>
    </row>
    <row r="10">
      <c r="A10" s="6" t="inlineStr">
        <is>
          <t>Tier 2 capital (no deductions) - per Pillar 3 FY2016-FY2019 editions, which state £m to 1 d.p.</t>
        </is>
      </c>
      <c r="B10" s="6" t="n"/>
      <c r="C10" s="6" t="n"/>
      <c r="D10" s="6" t="n"/>
      <c r="E10" s="6" t="n"/>
      <c r="F10" s="6" t="n"/>
      <c r="G10" s="6" t="n"/>
      <c r="H10" s="6" t="n">
        <v>1000</v>
      </c>
      <c r="I10" s="6" t="n">
        <v>1100</v>
      </c>
      <c r="J10" s="6" t="n">
        <v>1300</v>
      </c>
      <c r="K10" s="6" t="n">
        <v>1400</v>
      </c>
      <c r="L10" s="6" t="n"/>
      <c r="M10" s="6" t="n"/>
    </row>
    <row r="11">
      <c r="A11" s="6" t="inlineStr">
        <is>
          <t>Total own funds after deductions - per Pillar 3 FY2016-FY2019 editions, which state £m to 1 d.p. (Total Capital after deductions)</t>
        </is>
      </c>
      <c r="B11" s="6" t="n"/>
      <c r="C11" s="6" t="n"/>
      <c r="D11" s="6" t="n"/>
      <c r="E11" s="6" t="n"/>
      <c r="F11" s="6" t="n"/>
      <c r="G11" s="6" t="n"/>
      <c r="H11" s="6" t="n">
        <v>6700</v>
      </c>
      <c r="I11" s="6" t="n">
        <v>6700</v>
      </c>
      <c r="J11" s="6" t="n">
        <v>6700</v>
      </c>
      <c r="K11" s="6" t="n">
        <v>6700</v>
      </c>
      <c r="L11" s="6" t="n"/>
      <c r="M11" s="6" t="n"/>
    </row>
    <row r="12" ht="60" customHeight="1">
      <c r="A12"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The Tier 2 rows diverge sharply and deliberately: the balance sheet carries subordinated liabilities at their full nominal amount (£1,431k in FY2020), whereas only £854k of that was eligible as regulatory Tier 2 capital in FY2020 - regulatory eligibility of dated subordinated debt amortises over its final five years. The FY2021 Pillar 3 edition uses Template UK KM1, which prints total capital (£7,653k) and Tier 1 (£6,892k) but no separate Tier 2 line, so no FY2021 Pillar 3 Tier 2 figure is shown here - it is deliberately NOT back-solved from the other two.
FY2016-FY2018 (added 2026-09-19, each from its own Pillar 3 edition's section 4 'Total Own Funds' table: FY2016 p.11, FY2017 p.11, FY2018 p.12). All three print Total Capital after deductions of £6.7m (as does FY2019), made up of Tier 1 £5.3m + Tier 2 £1.4m (FY2016), £5.4m + £1.3m (FY2017) and £5.6m + £1.1m (FY2018) - each foots as printed. The Annual Report rows are unchanged and DISAGREE: shareholders' funds plus the full nominal subordinated liabilities give £7,248k (FY2016), £7,359k (FY2017) and £7,339k (FY2018), against £6.7m per Pillar 3. The Tier 2 gap is the eligibility amortisation described above (nominal £1,581k/£1,581k/£1,431k against eligible £1.4m/£1.3m/£1.1m); the Tier 1 gap is explained on the CET1 Capital sheet.
FY2019 TIER 2 IS NOW CARRIED - CORRECTED 2026-10-07. This note previously ended 'The FY2019 Tier 2 figure (£1.0m) was transcribed by an earlier session but is not carried on this sheet; it was not re-read 2026-09-19.' That was accurate and is now superseded: the figure was re-read off the page image and placed on the FY2016-FY2019 Tier 2 row above. FY2019 is therefore the fourth consecutive year printing Total Capital after deductions of £6.7m, here as £5.7m Tier 1 + £1.0m Tier 2. The Annual Report rows for FY2019 continue to disagree and are unchanged: shareholders' funds £6,145k plus nominal subordinated liabilities £1,431k = £7,576k, against £6.7m per Pillar 3, the Tier 2 half of the gap again being eligibility amortisation (nominal £1,431k against eligible £1.0m).
FY2019 PLACED 2026-10-07, FROM A TRANSCRIPTION THAT HAD BEEN SITTING IN THE SCRIPT UNUSED. The FY2019 Pillar 3 edition's section 4 'Own funds' table had been read by an earlier pass and its Tier 2 figure stored in a constant that was never referenced by any sheet, so the figure existed in the build script and appeared nowhere in the workbook; the two 'Of which' rows were blank for FY2019 for the same reason. The whole table was re-read on 2026-10-07 off a 300 dpi image of its own printed p.13 (the document's page footer reads 13 on that sheet) before anything was placed. WHAT IT PRINTS, £m to one decimal place: Permanent share capital (ordinary £1 shares) 4.2, Profit and loss account 1.5, Revaluation reserve 0.2, Core Tier 1 capital before deductions 5.9, Deductions from Tier 1 capital (intangible assets, deferred tax assets relying on future profits) (0.2), Tier 1 Capital after deductions 5.7, Tier 2 capital instruments (subordinated debt) 1.0, Tier 2 Capital (no deductions) 1.0, Total Capital after deductions 6.7. The narrative above the table says the same thing in words: 'The Bank's total Own Funds, calculated in accordance with Article 72 of the CRR, amounted to £6.7m as at 31 December 2019. This was made up of Tier 1 capital of £5.7m (after deductions) and Tier 2 capital of £1.0m (no deductions).' Nothing was derived: the Tier 2 figure is printed twice on the page and stated once in the narrative. As with FY2016-FY2018, these cells carry £m-precision figures expressed in £'000 - '1,000' means '£1.0m as printed', not a figure measured to the nearest £1k. The edition footnotes its profit and loss account line as excluding audited 2019 profits, 'which were not approved until 27 April 2020', which is why regulatory Tier 1 of £5.7m sits below Annual Report shareholders' funds of £6,145k.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14" ht="230" customHeight="1">
      <c r="A14"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4:M14"/>
    <mergeCell ref="A12:M1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Total Capital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 - per Annual Report note 29(j) Capital management</t>
        </is>
      </c>
      <c r="B4" s="6" t="inlineStr">
        <is>
          <t>18.96%</t>
        </is>
      </c>
      <c r="C4" s="6" t="inlineStr">
        <is>
          <t>22.70%</t>
        </is>
      </c>
      <c r="D4" s="6" t="inlineStr">
        <is>
          <t>18.16%</t>
        </is>
      </c>
      <c r="E4" s="6" t="inlineStr">
        <is>
          <t>22.12%</t>
        </is>
      </c>
      <c r="F4" s="6" t="n"/>
      <c r="G4" s="6" t="n"/>
    </row>
    <row r="5">
      <c r="A5" s="6" t="inlineStr">
        <is>
          <t>Total capital ratio - per Pillar 3 (Template UK KM1 row 7)</t>
        </is>
      </c>
      <c r="B5" s="6" t="n"/>
      <c r="C5" s="6" t="n"/>
      <c r="D5" s="6" t="n"/>
      <c r="E5" s="6" t="n"/>
      <c r="F5" s="6" t="inlineStr">
        <is>
          <t>18.84%</t>
        </is>
      </c>
      <c r="G5" s="6" t="inlineStr">
        <is>
          <t>18.79%</t>
        </is>
      </c>
    </row>
    <row r="6" ht="60" customHeight="1">
      <c r="A6" s="7" t="inlineStr">
        <is>
          <t>Note: CORRECTED 2026-09-18 (GA-006). This sheet previously said the Annual Report 'has never carried a Total Capital ratio in any year' and left FY2022-FY2025 blank. That was true of the Strategic Report's KPI table, which is where the other sheets' Annual Report series comes from, and false of the Annual Report itself: note 29 'Financial instruments', sub-note (j) 'Capital management', prints the ratio every year. FY2022-FY2025 are now filled from each year's OWN edition.
THE TWO SERIES ARE ON DIFFERENT BASES AND ARE NOT MERGED. At FY2021, the one year both sources cover, they DISAGREE: the Pillar 3 UK KM1 gives 18.84% and the Annual Report note 29(j) gives 17.93%. The cause is the numerator, not the denominator - both put total risk exposure at 40,617, but Pillar 3 total capital is 7,653 against the Annual Report's 7,283, the Annual Report excluding current-year profits until the audit completes (its own reconciliation carries an explicit 'Less: current year profits (included after audit is completed)' line). 7,653/40,617 = 18.84% and 7,283/40,617 = 17.93%, so each ratio is internally consistent with its own source. Neither overwrites the other.
CONTROL: every adjacent edition's comparative agrees exactly with the own-edition figure used here - FY2022 22.12% appears in both the FY2022 and FY2023 editions, FY2023 18.16% in both the FY2023 and FY2024 editions, FY2024 22.70% in both the FY2024 and FY2025 editions.
FY2016-FY2018 PILLAR 3 EDITIONS PRINT NO CAPITAL RATIO AND NO TOTAL RWA (checked 2026-09-19). Each edition's contents page (p.2) runs Introduction / Risk management / Board and committee structure / Own funds / Exposure amounts under the standardised approach / Credit risk and provisioning / Remuneration / Conclusion. Its own-funds section prints amounts only (£m), and its section 5.1 table stops at a credit risk risk-weighted exposure subtotal (£29.6m / £32.3m / £34.6m) plus an operational-risk CAPITAL REQUIREMENT (£0.2m / £0.2m / £0.3m), with no operational-risk exposure amount and no total. Every 'ratio' in the three texts was read: the only ones are the leverage ratio (section 5.2), the large-exposures ratio, the borrower service ratio and a mention of the LCR. So the Pillar 3 rows here stay BLANK for FY2016-FY2018, and no ratio or total is computed from the components on the bank's behalf. 
On the Pillar 3 series specifically (the Annual Report note 29(j) series above covers FY2022-FY2025 and is unaffected by everything that follows): Disclosed for FY2021 and FY2020 only, from the recovered Pillar 3 Disclosures 2021 (Template UK KM1 / Template UK OV1, which show both years). Every other year is BLANK rather than zero, for four distinct reasons that should not be conflated: FY2022 and FY2023 Pillar 3 documents were published but cannot be retrieved (FY2022's sole Wayback capture is an HTML bot-check page returned with HTTP 200, not the PDF; FY2023 was never archived at all) - see the source citation below; the FY2016-FY2019 Pillar 3 documents (FY2016-FY2018 transcribed 2026-09-19) predate the UK KM1/OV1 templates and do not print this metric; FY2014 and FY2015 editions were published but are unreachable (see the last paragraph);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G8"/>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Total RWAs</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 Exposure amount - per Annual Report note 29(j) Capital management</t>
        </is>
      </c>
      <c r="B4" s="6" t="n">
        <v>82630</v>
      </c>
      <c r="C4" s="6" t="n">
        <v>68191</v>
      </c>
      <c r="D4" s="6" t="n">
        <v>53182</v>
      </c>
      <c r="E4" s="6" t="n">
        <v>43648</v>
      </c>
      <c r="F4" s="6" t="n"/>
      <c r="G4" s="6" t="n"/>
    </row>
    <row r="5">
      <c r="A5" s="6" t="inlineStr">
        <is>
          <t>Total risk-weighted exposure amount - per Pillar 3 (UK KM1 row 4 / UK OV1 row 29)</t>
        </is>
      </c>
      <c r="B5" s="6" t="n"/>
      <c r="C5" s="6" t="n"/>
      <c r="D5" s="6" t="n"/>
      <c r="E5" s="6" t="n"/>
      <c r="F5" s="6" t="n">
        <v>40617</v>
      </c>
      <c r="G5" s="6" t="n">
        <v>39632</v>
      </c>
    </row>
    <row r="6" ht="60" customHeight="1">
      <c r="A6" s="7" t="inlineStr">
        <is>
          <t>Note: CORRECTED 2026-09-18 (GA-006). FY2022-FY2025 were blank here because this sheet looked only at the Strategic Report's KPI table, which indeed carries no RWA figure in any year. The Annual Report does: note 29 'Financial instruments', sub-note (j) 'Capital management', ends its regulatory-capital reconciliation with a 'Total Risk Exposure amount (unaudited)' line every year. Each of the four years is taken from its own edition.
UNLIKE THE TOTAL CAPITAL RATIO SHEET, THE TWO SERIES HERE COINCIDE. At FY2021, the one year both sources cover, the Pillar 3 UK KM1 row 4 and the Annual Report note 29(j) both give 40,617 - the bases differ on regulatory own funds (see the Total Capital Ratio sheet) but not on the risk exposure denominator. The rows are still kept separate rather than run together, because a reader should be able to see which document each cell came from. 'Total Risk Exposure amount' is the bank's own caption and is the CRR term for the same quantity the Pillar 3 row calls total risk-weighted exposure amount.
CONTROL: FY2022 43,648, FY2023 53,182 and FY2024 68,191 each appear identically in their own edition and in the following year's comparative column.
On the Pillar 3 series: the FY2020 and FY2019 Pillar 3 editions predate the UK OV1 template and disclose only a credit-risk risk-weighted exposure subtotal plus a separate operational-risk capital requirement, with no total risk-weighted exposure amount stated anywhere - so no FY2019 total is shown here, and the FY2020 total above is taken from the FY2021 edition's UK OV1 comparative column (where it IS stated directly) rather than being summed or back-solved. See the RWA Breakdown sheet for the components. FY2016-FY2018 PILLAR 3 EDITIONS PRINT NO CAPITAL RATIO AND NO TOTAL RWA (checked 2026-09-19). Each edition's contents page (p.2) runs Introduction / Risk management / Board and committee structure / Own funds / Exposure amounts under the standardised approach / Credit risk and provisioning / Remuneration / Conclusion. Its own-funds section prints amounts only (£m), and its section 5.1 table stops at a credit risk risk-weighted exposure subtotal (£29.6m / £32.3m / £34.6m) plus an operational-risk CAPITAL REQUIREMENT (£0.2m / £0.2m / £0.3m), with no operational-risk exposure amount and no total. Every 'ratio' in the three texts was read: the only ones are the leverage ratio (section 5.2), the large-exposures ratio, the borrower service ratio and a mention of the LCR. So the Pillar 3 rows here stay BLANK for FY2016-FY2018, and no ratio or total is computed from the components on the bank's behalf. 
On the Pillar 3 series specifically (the Annual Report note 29(j) series above covers FY2022-FY2025 and is unaffected by everything that follows): Disclosed for FY2021 and FY2020 only, from the recovered Pillar 3 Disclosures 2021 (Template UK KM1 / Template UK OV1, which show both years). Every other year is BLANK rather than zero, for four distinct reasons that should not be conflated: FY2022 and FY2023 Pillar 3 documents were published but cannot be retrieved (FY2022's sole Wayback capture is an HTML bot-check page returned with HTTP 200, not the PDF; FY2023 was never archived at all) - see the source citation below; the FY2016-FY2019 Pillar 3 documents (FY2016-FY2018 transcribed 2026-09-19) predate the UK KM1/OV1 templates and do not print this metric; FY2014 and FY2015 editions were published but are unreachable (see the last paragraph);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G8"/>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Kingdom Bank Limited — RWA Breakdown</t>
        </is>
      </c>
    </row>
    <row r="2">
      <c r="A2" s="2" t="inlineStr">
        <is>
          <t>Risk weighted exposure amounts, Bank/solo basis, £'000. Disclosed FY2016-FY2021 only, in three different structures (FY2016-FY2019 at £m precision)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Pillar 3 edition status for this year (see source note - 'not available' and 'not published' are different findings and are not interchangeable)</t>
        </is>
      </c>
      <c r="B4" s="6" t="inlineStr">
        <is>
          <t>Not published - SDDT Rule 3.1 opt-in from 20/02/2025</t>
        </is>
      </c>
      <c r="C4" s="6" t="inlineStr">
        <is>
          <t>Not published - Bank states none required after FY2023</t>
        </is>
      </c>
      <c r="D4" s="6" t="inlineStr">
        <is>
          <t>Unreached today – bank published it (FY2024 AR; filenames on archived /oversight/ page); live 404, Wayback: WAF page (FY2022) or no capture (FY2023), archive.ph none, WP media purged – 2026-09-19; Common Crawl 2023-14..2026-39 checked</t>
        </is>
      </c>
      <c r="E4" s="6" t="inlineStr">
        <is>
          <t>Unreached today – bank published it (FY2024 AR; filenames on archived /oversight/ page); live 404, Wayback: WAF page (FY2022) or no capture (FY2023), archive.ph none, WP media purged – 2026-09-19; Common Crawl 2023-14..2026-39 checked</t>
        </is>
      </c>
      <c r="F4" s="6" t="n"/>
      <c r="G4" s="6" t="n"/>
      <c r="H4" s="6" t="n"/>
      <c r="I4" s="6" t="n"/>
      <c r="J4" s="6" t="n"/>
      <c r="K4" s="6" t="n"/>
    </row>
    <row r="5">
      <c r="A5" s="5" t="inlineStr">
        <is>
          <t>Template UK OV1 - Overview of risk weighted exposure amounts</t>
        </is>
      </c>
      <c r="B5" s="6" t="n"/>
      <c r="C5" s="6" t="n"/>
      <c r="D5" s="6" t="n"/>
      <c r="E5" s="6" t="n"/>
      <c r="F5" s="6" t="n"/>
      <c r="G5" s="6" t="n"/>
      <c r="H5" s="6" t="n"/>
      <c r="I5" s="6" t="n"/>
      <c r="J5" s="6" t="n"/>
      <c r="K5" s="6" t="n"/>
    </row>
    <row r="6">
      <c r="A6" s="6" t="inlineStr">
        <is>
          <t>Credit risk (excluding CCR)</t>
        </is>
      </c>
      <c r="B6" s="6" t="n"/>
      <c r="C6" s="6" t="n"/>
      <c r="D6" s="6" t="n"/>
      <c r="E6" s="6" t="n"/>
      <c r="F6" s="6" t="n">
        <v>36472</v>
      </c>
      <c r="G6" s="6" t="n">
        <v>35487</v>
      </c>
      <c r="H6" s="6" t="n"/>
      <c r="I6" s="6" t="n"/>
      <c r="J6" s="6" t="n"/>
      <c r="K6" s="6" t="n"/>
    </row>
    <row r="7">
      <c r="A7" s="6" t="inlineStr">
        <is>
          <t>Of which: the standardised approach</t>
        </is>
      </c>
      <c r="B7" s="6" t="n"/>
      <c r="C7" s="6" t="n"/>
      <c r="D7" s="6" t="n"/>
      <c r="E7" s="6" t="n"/>
      <c r="F7" s="6" t="n">
        <v>36472</v>
      </c>
      <c r="G7" s="6" t="n">
        <v>35487</v>
      </c>
      <c r="H7" s="6" t="n"/>
      <c r="I7" s="6" t="n"/>
      <c r="J7" s="6" t="n"/>
      <c r="K7" s="6" t="n"/>
    </row>
    <row r="8">
      <c r="A8" s="6" t="inlineStr">
        <is>
          <t>Operational risk</t>
        </is>
      </c>
      <c r="B8" s="6" t="n"/>
      <c r="C8" s="6" t="n"/>
      <c r="D8" s="6" t="n"/>
      <c r="E8" s="6" t="n"/>
      <c r="F8" s="6" t="n">
        <v>4145</v>
      </c>
      <c r="G8" s="6" t="n">
        <v>4145</v>
      </c>
      <c r="H8" s="6" t="n"/>
      <c r="I8" s="6" t="n"/>
      <c r="J8" s="6" t="n"/>
      <c r="K8" s="6" t="n"/>
    </row>
    <row r="9">
      <c r="A9" s="6" t="inlineStr">
        <is>
          <t>Of which: basic indicator approach</t>
        </is>
      </c>
      <c r="B9" s="6" t="n"/>
      <c r="C9" s="6" t="n"/>
      <c r="D9" s="6" t="n"/>
      <c r="E9" s="6" t="n"/>
      <c r="F9" s="6" t="n">
        <v>4145</v>
      </c>
      <c r="G9" s="6" t="n">
        <v>4145</v>
      </c>
      <c r="H9" s="6" t="n"/>
      <c r="I9" s="6" t="n"/>
      <c r="J9" s="6" t="n"/>
      <c r="K9" s="6" t="n"/>
    </row>
    <row r="10">
      <c r="A10" s="6" t="inlineStr">
        <is>
          <t>Amounts below the thresholds for deduction (subject to 250% risk weight) - disclosed by the template 'For information' only and NOT included in the total below</t>
        </is>
      </c>
      <c r="B10" s="6" t="n"/>
      <c r="C10" s="6" t="n"/>
      <c r="D10" s="6" t="n"/>
      <c r="E10" s="6" t="n"/>
      <c r="F10" s="6" t="n">
        <v>214</v>
      </c>
      <c r="G10" s="6" t="n">
        <v>48</v>
      </c>
      <c r="H10" s="6" t="n"/>
      <c r="I10" s="6" t="n"/>
      <c r="J10" s="6" t="n"/>
      <c r="K10" s="6" t="n"/>
    </row>
    <row r="11">
      <c r="A11" s="5" t="inlineStr">
        <is>
          <t>Total risk weighted exposure amount</t>
        </is>
      </c>
      <c r="B11" s="5" t="n"/>
      <c r="C11" s="5" t="n"/>
      <c r="D11" s="5" t="n"/>
      <c r="E11" s="5" t="n"/>
      <c r="F11" s="5" t="n">
        <v>40617</v>
      </c>
      <c r="G11" s="5" t="n">
        <v>39632</v>
      </c>
      <c r="H11" s="5" t="n"/>
      <c r="I11" s="5" t="n"/>
      <c r="J11" s="5" t="n"/>
      <c r="K11" s="5" t="n"/>
    </row>
    <row r="12">
      <c r="A12" s="5" t="inlineStr">
        <is>
          <t>Credit risk by standardised exposure class (FY2021 edition's own analysis)</t>
        </is>
      </c>
      <c r="B12" s="6" t="n"/>
      <c r="C12" s="6" t="n"/>
      <c r="D12" s="6" t="n"/>
      <c r="E12" s="6" t="n"/>
      <c r="F12" s="6" t="n"/>
      <c r="G12" s="6" t="n"/>
      <c r="H12" s="6" t="n"/>
      <c r="I12" s="6" t="n"/>
      <c r="J12" s="6" t="n"/>
      <c r="K12" s="6" t="n"/>
    </row>
    <row r="13">
      <c r="A13" s="6" t="inlineStr">
        <is>
          <t>Central governments or central banks</t>
        </is>
      </c>
      <c r="B13" s="6" t="n"/>
      <c r="C13" s="6" t="n"/>
      <c r="D13" s="6" t="n"/>
      <c r="E13" s="6" t="n"/>
      <c r="F13" s="6" t="n">
        <v>0</v>
      </c>
      <c r="G13" s="6" t="n"/>
      <c r="H13" s="6" t="n"/>
      <c r="I13" s="6" t="n"/>
      <c r="J13" s="6" t="n"/>
      <c r="K13" s="6" t="n"/>
    </row>
    <row r="14">
      <c r="A14" s="6" t="inlineStr">
        <is>
          <t>Institutions</t>
        </is>
      </c>
      <c r="B14" s="6" t="n"/>
      <c r="C14" s="6" t="n"/>
      <c r="D14" s="6" t="n"/>
      <c r="E14" s="6" t="n"/>
      <c r="F14" s="6" t="n">
        <v>1715</v>
      </c>
      <c r="G14" s="6" t="n"/>
      <c r="H14" s="6" t="n"/>
      <c r="I14" s="6" t="n"/>
      <c r="J14" s="6" t="n"/>
      <c r="K14" s="6" t="n"/>
    </row>
    <row r="15">
      <c r="A15" s="6" t="inlineStr">
        <is>
          <t>Retail</t>
        </is>
      </c>
      <c r="B15" s="6" t="n"/>
      <c r="C15" s="6" t="n"/>
      <c r="D15" s="6" t="n"/>
      <c r="E15" s="6" t="n"/>
      <c r="F15" s="6" t="n">
        <v>53</v>
      </c>
      <c r="G15" s="6" t="n"/>
      <c r="H15" s="6" t="n"/>
      <c r="I15" s="6" t="n"/>
      <c r="J15" s="6" t="n"/>
      <c r="K15" s="6" t="n"/>
    </row>
    <row r="16">
      <c r="A16" s="6" t="inlineStr">
        <is>
          <t>Secured by mortgages on immovable property</t>
        </is>
      </c>
      <c r="B16" s="6" t="n"/>
      <c r="C16" s="6" t="n"/>
      <c r="D16" s="6" t="n"/>
      <c r="E16" s="6" t="n"/>
      <c r="F16" s="6" t="n">
        <v>33472</v>
      </c>
      <c r="G16" s="6" t="n"/>
      <c r="H16" s="6" t="n"/>
      <c r="I16" s="6" t="n"/>
      <c r="J16" s="6" t="n"/>
      <c r="K16" s="6" t="n"/>
    </row>
    <row r="17">
      <c r="A17" s="6" t="inlineStr">
        <is>
          <t>Exposures in default</t>
        </is>
      </c>
      <c r="B17" s="6" t="n"/>
      <c r="C17" s="6" t="n"/>
      <c r="D17" s="6" t="n"/>
      <c r="E17" s="6" t="n"/>
      <c r="F17" s="6" t="n">
        <v>67</v>
      </c>
      <c r="G17" s="6" t="n"/>
      <c r="H17" s="6" t="n"/>
      <c r="I17" s="6" t="n"/>
      <c r="J17" s="6" t="n"/>
      <c r="K17" s="6" t="n"/>
    </row>
    <row r="18">
      <c r="A18" s="6" t="inlineStr">
        <is>
          <t>Claims on institutions and corporates with a short-term credit assessment</t>
        </is>
      </c>
      <c r="B18" s="6" t="n"/>
      <c r="C18" s="6" t="n"/>
      <c r="D18" s="6" t="n"/>
      <c r="E18" s="6" t="n"/>
      <c r="F18" s="6" t="n">
        <v>444</v>
      </c>
      <c r="G18" s="6" t="n"/>
      <c r="H18" s="6" t="n"/>
      <c r="I18" s="6" t="n"/>
      <c r="J18" s="6" t="n"/>
      <c r="K18" s="6" t="n"/>
    </row>
    <row r="19">
      <c r="A19" s="6" t="inlineStr">
        <is>
          <t>Other items</t>
        </is>
      </c>
      <c r="B19" s="6" t="n"/>
      <c r="C19" s="6" t="n"/>
      <c r="D19" s="6" t="n"/>
      <c r="E19" s="6" t="n"/>
      <c r="F19" s="6" t="n">
        <v>721</v>
      </c>
      <c r="G19" s="6" t="n"/>
      <c r="H19" s="6" t="n"/>
      <c r="I19" s="6" t="n"/>
      <c r="J19" s="6" t="n"/>
      <c r="K19" s="6" t="n"/>
    </row>
    <row r="20">
      <c r="A20" s="5" t="inlineStr">
        <is>
          <t>SA exposure classes excluding securitisation positions</t>
        </is>
      </c>
      <c r="B20" s="5" t="n"/>
      <c r="C20" s="5" t="n"/>
      <c r="D20" s="5" t="n"/>
      <c r="E20" s="5" t="n"/>
      <c r="F20" s="5" t="n">
        <v>36472</v>
      </c>
      <c r="G20" s="5" t="n"/>
      <c r="H20" s="5" t="n"/>
      <c r="I20" s="5" t="n"/>
      <c r="J20" s="5" t="n"/>
      <c r="K20" s="5" t="n"/>
    </row>
    <row r="21">
      <c r="A21" s="5" t="inlineStr">
        <is>
          <t>Credit risk by CRR Article 112 exposure category (FY2016-FY2020 editions' own, differently-structured analysis - see source note)</t>
        </is>
      </c>
      <c r="B21" s="6" t="n"/>
      <c r="C21" s="6" t="n"/>
      <c r="D21" s="6" t="n"/>
      <c r="E21" s="6" t="n"/>
      <c r="F21" s="6" t="n"/>
      <c r="G21" s="6" t="n"/>
      <c r="H21" s="6" t="n"/>
      <c r="I21" s="6" t="n"/>
      <c r="J21" s="6" t="n"/>
      <c r="K21" s="6" t="n"/>
    </row>
    <row r="22">
      <c r="A22" s="6" t="inlineStr">
        <is>
          <t>Exposures to central governments or central banks (Bank of England Reserve Account)</t>
        </is>
      </c>
      <c r="B22" s="6" t="n"/>
      <c r="C22" s="6" t="n"/>
      <c r="D22" s="6" t="n"/>
      <c r="E22" s="6" t="n"/>
      <c r="F22" s="6" t="n"/>
      <c r="G22" s="6" t="inlineStr">
        <is>
          <t>-</t>
        </is>
      </c>
      <c r="H22" s="6" t="inlineStr">
        <is>
          <t>-</t>
        </is>
      </c>
      <c r="I22" s="6" t="inlineStr">
        <is>
          <t>-</t>
        </is>
      </c>
      <c r="J22" s="6" t="inlineStr">
        <is>
          <t>-</t>
        </is>
      </c>
      <c r="K22" s="6" t="inlineStr">
        <is>
          <t>-</t>
        </is>
      </c>
    </row>
    <row r="23">
      <c r="A23" s="6" t="inlineStr">
        <is>
          <t>Retail exposures (unsecured loans)</t>
        </is>
      </c>
      <c r="B23" s="6" t="n"/>
      <c r="C23" s="6" t="n"/>
      <c r="D23" s="6" t="n"/>
      <c r="E23" s="6" t="n"/>
      <c r="F23" s="6" t="n"/>
      <c r="G23" s="6" t="n">
        <v>657</v>
      </c>
      <c r="H23" s="6" t="n">
        <v>200</v>
      </c>
      <c r="I23" s="6" t="n">
        <v>100</v>
      </c>
      <c r="J23" s="6" t="n">
        <v>200</v>
      </c>
      <c r="K23" s="6" t="n">
        <v>200</v>
      </c>
    </row>
    <row r="24">
      <c r="A24" s="6" t="inlineStr">
        <is>
          <t>Exposures secured by mortgages on immovable property (non-residential loans performing)</t>
        </is>
      </c>
      <c r="B24" s="6" t="n"/>
      <c r="C24" s="6" t="n"/>
      <c r="D24" s="6" t="n"/>
      <c r="E24" s="6" t="n"/>
      <c r="F24" s="6" t="n"/>
      <c r="G24" s="6" t="n">
        <v>26073</v>
      </c>
      <c r="H24" s="6" t="n">
        <v>27200</v>
      </c>
      <c r="I24" s="6" t="n">
        <v>28300</v>
      </c>
      <c r="J24" s="6" t="n">
        <v>25000</v>
      </c>
      <c r="K24" s="6" t="n">
        <v>23200</v>
      </c>
    </row>
    <row r="25">
      <c r="A25" s="6" t="inlineStr">
        <is>
          <t>Exposures secured by mortgages on immovable property (residential loans performing)</t>
        </is>
      </c>
      <c r="B25" s="6" t="n"/>
      <c r="C25" s="6" t="n"/>
      <c r="D25" s="6" t="n"/>
      <c r="E25" s="6" t="n"/>
      <c r="F25" s="6" t="n"/>
      <c r="G25" s="6" t="n">
        <v>3937</v>
      </c>
      <c r="H25" s="6" t="n">
        <v>3300</v>
      </c>
      <c r="I25" s="6" t="n">
        <v>2800</v>
      </c>
      <c r="J25" s="6" t="n">
        <v>2500</v>
      </c>
      <c r="K25" s="6" t="n">
        <v>2000</v>
      </c>
    </row>
    <row r="26">
      <c r="A26" s="6" t="inlineStr">
        <is>
          <t>Exposures in default (non-residential loans)</t>
        </is>
      </c>
      <c r="B26" s="6" t="n"/>
      <c r="C26" s="6" t="n"/>
      <c r="D26" s="6" t="n"/>
      <c r="E26" s="6" t="n"/>
      <c r="F26" s="6" t="n"/>
      <c r="G26" s="6" t="n">
        <v>266</v>
      </c>
      <c r="H26" s="6" t="n">
        <v>300</v>
      </c>
      <c r="I26" s="6" t="n">
        <v>400</v>
      </c>
      <c r="J26" s="6" t="n">
        <v>400</v>
      </c>
      <c r="K26" s="6" t="n">
        <v>400</v>
      </c>
    </row>
    <row r="27">
      <c r="A27" s="6" t="inlineStr">
        <is>
          <t>Exposures in default (residential loans)</t>
        </is>
      </c>
      <c r="B27" s="6" t="n"/>
      <c r="C27" s="6" t="n"/>
      <c r="D27" s="6" t="n"/>
      <c r="E27" s="6" t="n"/>
      <c r="F27" s="6" t="n"/>
      <c r="G27" s="6" t="n">
        <v>0</v>
      </c>
      <c r="H27" s="6" t="n">
        <v>0</v>
      </c>
      <c r="I27" s="6" t="n">
        <v>0</v>
      </c>
      <c r="J27" s="6" t="n">
        <v>0</v>
      </c>
      <c r="K27" s="6" t="n">
        <v>0</v>
      </c>
    </row>
    <row r="28">
      <c r="A28" s="6" t="inlineStr">
        <is>
          <t>Exposures in default (unsecured loans)</t>
        </is>
      </c>
      <c r="B28" s="6" t="n"/>
      <c r="C28" s="6" t="n"/>
      <c r="D28" s="6" t="n"/>
      <c r="E28" s="6" t="n"/>
      <c r="F28" s="6" t="n"/>
      <c r="G28" s="6" t="n">
        <v>0</v>
      </c>
      <c r="H28" s="6" t="n">
        <v>0</v>
      </c>
      <c r="I28" s="6" t="n">
        <v>0</v>
      </c>
      <c r="J28" s="6" t="n">
        <v>0</v>
      </c>
      <c r="K28" s="6" t="n">
        <v>0</v>
      </c>
    </row>
    <row r="29">
      <c r="A29" s="6" t="inlineStr">
        <is>
          <t>Exposures to institutions</t>
        </is>
      </c>
      <c r="B29" s="6" t="n"/>
      <c r="C29" s="6" t="n"/>
      <c r="D29" s="6" t="n"/>
      <c r="E29" s="6" t="n"/>
      <c r="F29" s="6" t="n"/>
      <c r="G29" s="6" t="n">
        <v>2827</v>
      </c>
      <c r="H29" s="6" t="n">
        <v>1100</v>
      </c>
      <c r="I29" s="6" t="n">
        <v>1200</v>
      </c>
      <c r="J29" s="6" t="n">
        <v>2400</v>
      </c>
      <c r="K29" s="6" t="n">
        <v>2100</v>
      </c>
    </row>
    <row r="30">
      <c r="A30" s="6" t="inlineStr">
        <is>
          <t>Other items (fixed and other assets)</t>
        </is>
      </c>
      <c r="B30" s="6" t="n"/>
      <c r="C30" s="6" t="n"/>
      <c r="D30" s="6" t="n"/>
      <c r="E30" s="6" t="n"/>
      <c r="F30" s="6" t="n"/>
      <c r="G30" s="6" t="n">
        <v>1728</v>
      </c>
      <c r="H30" s="6" t="n">
        <v>1900</v>
      </c>
      <c r="I30" s="6" t="n">
        <v>1800</v>
      </c>
      <c r="J30" s="6" t="n">
        <v>1800</v>
      </c>
      <c r="K30" s="6" t="n">
        <v>1700</v>
      </c>
    </row>
    <row r="31">
      <c r="A31" s="5" t="inlineStr">
        <is>
          <t>Credit Risk - risk weighted exposure amounts</t>
        </is>
      </c>
      <c r="B31" s="5" t="n"/>
      <c r="C31" s="5" t="n"/>
      <c r="D31" s="5" t="n"/>
      <c r="E31" s="5" t="n"/>
      <c r="F31" s="5" t="n"/>
      <c r="G31" s="5" t="n">
        <v>35488</v>
      </c>
      <c r="H31" s="5" t="n">
        <v>34000</v>
      </c>
      <c r="I31" s="5" t="n">
        <v>34600</v>
      </c>
      <c r="J31" s="5" t="n">
        <v>32300</v>
      </c>
      <c r="K31" s="5" t="n">
        <v>29600</v>
      </c>
    </row>
    <row r="32">
      <c r="A32" s="5" t="inlineStr">
        <is>
          <t>Own funds requirement (8% of the risk weighted exposure amounts above)</t>
        </is>
      </c>
      <c r="B32" s="6" t="n"/>
      <c r="C32" s="6" t="n"/>
      <c r="D32" s="6" t="n"/>
      <c r="E32" s="6" t="n"/>
      <c r="F32" s="6" t="n"/>
      <c r="G32" s="6" t="n"/>
      <c r="H32" s="6" t="n"/>
      <c r="I32" s="6" t="n"/>
      <c r="J32" s="6" t="n"/>
      <c r="K32" s="6" t="n"/>
    </row>
    <row r="33">
      <c r="A33" s="6" t="inlineStr">
        <is>
          <t>Credit risk - capital resources required</t>
        </is>
      </c>
      <c r="B33" s="6" t="n"/>
      <c r="C33" s="6" t="n"/>
      <c r="D33" s="6" t="n"/>
      <c r="E33" s="6" t="n"/>
      <c r="F33" s="6" t="n">
        <v>2917</v>
      </c>
      <c r="G33" s="6" t="n">
        <v>2839</v>
      </c>
      <c r="H33" s="6" t="n">
        <v>2700</v>
      </c>
      <c r="I33" s="6" t="n">
        <v>2800</v>
      </c>
      <c r="J33" s="6" t="n">
        <v>2600</v>
      </c>
      <c r="K33" s="6" t="n">
        <v>2400</v>
      </c>
    </row>
    <row r="34">
      <c r="A34" s="6" t="inlineStr">
        <is>
          <t>Operational risk - capital resources required</t>
        </is>
      </c>
      <c r="B34" s="6" t="n"/>
      <c r="C34" s="6" t="n"/>
      <c r="D34" s="6" t="n"/>
      <c r="E34" s="6" t="n"/>
      <c r="F34" s="6" t="n">
        <v>332</v>
      </c>
      <c r="G34" s="6" t="n">
        <v>332</v>
      </c>
      <c r="H34" s="6" t="n">
        <v>300</v>
      </c>
      <c r="I34" s="6" t="n">
        <v>300</v>
      </c>
      <c r="J34" s="6" t="n">
        <v>200</v>
      </c>
      <c r="K34" s="6" t="n">
        <v>200</v>
      </c>
    </row>
    <row r="35">
      <c r="A35" s="5" t="inlineStr">
        <is>
          <t>Pillar 1 capital resources required</t>
        </is>
      </c>
      <c r="B35" s="5" t="n"/>
      <c r="C35" s="5" t="n"/>
      <c r="D35" s="5" t="n"/>
      <c r="E35" s="5" t="n"/>
      <c r="F35" s="5" t="n">
        <v>3249</v>
      </c>
      <c r="G35" s="5" t="n">
        <v>3171</v>
      </c>
      <c r="H35" s="5" t="n">
        <v>3000</v>
      </c>
      <c r="I35" s="5" t="n">
        <v>3100</v>
      </c>
      <c r="J35" s="5" t="n">
        <v>2800</v>
      </c>
      <c r="K35" s="5" t="n">
        <v>2600</v>
      </c>
    </row>
    <row r="37" ht="460" customHeight="1">
      <c r="A37"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
THREE DIFFERENT DISCLOSURE STRUCTURES ARE SHOWN, one per Pillar 3 edition, deliberately NOT forced into a common template. The FY2021 edition uses the UK OV1 template and a seven-class standardised analysis; the FY2020 and FY2019 editions predate UK OV1 and instead tabulate CRR Article 112 exposure categories, splitting property lending into non-residential/residential and defaults into three sub-classes. The two structures are not comparable line for line.
ONE £1k RECONCILING DIFFERENCE, documented rather than smoothed: the FY2020 edition's own credit risk RWEA subtotal is £35,488k, while the FY2021 edition's UK OV1 comparative column for the same date gives £35,487k. Both are shown above on their own rows, as this workbook's validation gate requires; neither has been adjusted to match the other.
FY2019 ROWS ARE £m-PRECISION. The FY2019 Pillar 3 edition states every figure in £m to one decimal place. Its rows above are carried in £'000 at that precision - '34,000' means '£34.0m as printed', not a figure measured to the nearest £1k. The residential and unsecured default classes are printed '0.0' and are carried as 0: a measured nil, not a dash. The central government/central bank row is printed as a DASH and is carried as one - see the DASHES paragraph below.
ONE TYPO IN THE FY2021 SOURCE, reproduced faithfully and flagged rather than silently corrected: the narrative above that edition's UK OV1 table reads 'The Bank's total Pillar 1 capital resources requirement ... amounted to £3,249k as at 31 December 2020', but £3,249k is the 31 December 2021 figure - the table's own column header, and the FY2020 edition's own £3,171k for 31 December 2020, both establish this. The £3,249k is therefore carried above in the FY2021 column.
NO TOTAL RWA IS STATED IN THE FY2020 OR FY2019 EDITIONS - neither adds credit and operational risk into a single risk-weighted total, and nothing here does so on their behalf. The FY2020 total on the UK OV1 rows comes from the FY2021 edition's own comparative column.
THE 250%-RISK-WEIGHT ROW IS INFORMATIONAL. Template UK OV1 marks it '(For information)' and the template's own total excludes it: 36,472 + 4,145 = 40,617 for FY2021 and 35,487 + 4,145 = 39,632 for FY2020, in both cases without the 214/48. It is reproduced above on that basis.
FY2016-FY2018 ADDED 2026-09-19, each from its OWN Pillar 3 edition (section 5.1 'Exposure category under CRR Article 112' table: FY2016 printed p.12, FY2017 p.12, FY2018 p.13; URLs in the source citation), in the same Article 112 structure as FY2019-FY2020 and at the same £m-to-1-d.p. precision. Only the 'Risk weighted exposure £m' column and the three capital-requirement totals are carried; the editions also print an 'Exposure £m' column and a per-line 'Capital required' column, which this sheet has never carried for any year. Each year's own table foots as printed: FY2016 0.2 + 23.2 + 2.0 + 0.4 + 0.0 + 0.0 + 2.1 + 1.7 = 29.6, with 2.4 + 0.2 = 2.6 capital required; FY2017 0.2 + 25.0 + 2.5 + 0.4 + 2.4 + 1.8 = 32.3, with 2.6 + 0.2 = 2.8; FY2018 0.1 + 28.3 + 2.8 + 0.4 + 1.2 + 1.8 = 34.6, with 2.8 + 0.3 = 3.1. As in FY2019-FY2020, no edition states a total risk-weighted exposure amount - operational risk appears only as a capital requirement - so no total is shown for these years.
DASHES. The central-government row prints a dash in both the risk-weighted-exposure and the capital-required columns of EVERY edition that carries this table - FY2016, FY2017, FY2018, FY2019 and FY2020 - while printing the exposure itself (£4.2m, £4.5m, £4.5m, £6.5m and £6,677k respectively: the Bank of England Reserve Account at a 0% risk weight). All five cells carry a literal '-', because a dash is the bank saying the row does not apply and that is a different statement from a measured nought.
FY2019 AND FY2020 WERE CONVERTED ON 2026-10-07; THEY HAD HELD 0. The earlier pass left them for the corpus-wide dash conversion (GA-008) rather than converting one bank at a time, and recorded that the FY2020 edition's glyph had never been re-read at all. Both have now been read off 300 dpi page images of the editions' own pages - FY2019 printed p.14 and FY2020 printed p.17, in each case the page footer confirming the folio - and both print a dash. THE GLYPHS DIFFER BETWEEN EDITIONS AND THE CELL DOES NOT: FY2016-FY2019 print a short hyphen-style dash and FY2020 prints an en dash; every cell carries the plain ASCII '-'. Rows on those same two tables that print a real '0' or '0.0' (the residential and unsecured default classes) are untouched and remain 0.
The paragraph below describes the UK OV1 / total rows; the Article 112 rows are covered above.
Disclosed for FY2021 and FY2020 only, from the recovered Pillar 3 Disclosures 2021 (Template UK KM1 / Template UK OV1, which show both years). Every other year is BLANK rather than zero, for four distinct reasons that should not be conflated: FY2022 and FY2023 Pillar 3 documents were published but cannot be retrieved (FY2022's sole Wayback capture is an HTML bot-check page returned with HTTP 200, not the PDF; FY2023 was never archived at all) - see the source citation below; the FY2016-FY2019 Pillar 3 documents (FY2016-FY2018 transcribed 2026-09-19) predate the UK KM1/OV1 templates and do not print this metric; FY2014 and FY2015 editions were published but are unreachable (see the last paragraph);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sheetData>
  <mergeCells count="1">
    <mergeCell ref="A37:K3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Leverage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 - per Annual Report KPI table / Pillar 3 section 5.2 (total exposure measure)</t>
        </is>
      </c>
      <c r="B4" s="6" t="inlineStr">
        <is>
          <t>12.4%</t>
        </is>
      </c>
      <c r="C4" s="6" t="inlineStr">
        <is>
          <t>10.8%</t>
        </is>
      </c>
      <c r="D4" s="6" t="inlineStr">
        <is>
          <t>7.96%</t>
        </is>
      </c>
      <c r="E4" s="6" t="inlineStr">
        <is>
          <t>10.02%</t>
        </is>
      </c>
      <c r="F4" s="6" t="inlineStr">
        <is>
          <t>9.03%</t>
        </is>
      </c>
      <c r="G4" s="6" t="inlineStr">
        <is>
          <t>9.37%</t>
        </is>
      </c>
      <c r="H4" s="6" t="inlineStr">
        <is>
          <t>9.40%</t>
        </is>
      </c>
      <c r="I4" s="6" t="inlineStr">
        <is>
          <t>10.10%</t>
        </is>
      </c>
      <c r="J4" s="6" t="inlineStr">
        <is>
          <t>9.38%</t>
        </is>
      </c>
      <c r="K4" s="6" t="inlineStr">
        <is>
          <t>10.09%</t>
        </is>
      </c>
      <c r="L4" s="6" t="inlineStr">
        <is>
          <t>8.96%</t>
        </is>
      </c>
    </row>
    <row r="5">
      <c r="A5" s="6" t="inlineStr">
        <is>
          <t>Leverage ratio excluding claims on central banks - per Pillar 3 (Template UK KM1 row 14)</t>
        </is>
      </c>
      <c r="B5" s="6" t="n"/>
      <c r="C5" s="6" t="n"/>
      <c r="D5" s="6" t="n"/>
      <c r="E5" s="6" t="n"/>
      <c r="F5" s="6" t="inlineStr">
        <is>
          <t>10.40%</t>
        </is>
      </c>
      <c r="G5" s="6" t="inlineStr">
        <is>
          <t>10.35%</t>
        </is>
      </c>
      <c r="H5" s="6" t="n"/>
      <c r="I5" s="6" t="n"/>
      <c r="J5" s="6" t="n"/>
      <c r="K5" s="6" t="n"/>
      <c r="L5" s="6" t="n"/>
    </row>
    <row r="6">
      <c r="A6" s="6" t="inlineStr">
        <is>
          <t>Total exposure measure excluding claims on central banks (£'000) - per Pillar 3 (UK KM1 row 13)</t>
        </is>
      </c>
      <c r="B6" s="6" t="n"/>
      <c r="C6" s="6" t="n"/>
      <c r="D6" s="6" t="n"/>
      <c r="E6" s="6" t="n"/>
      <c r="F6" s="6" t="n">
        <v>66250</v>
      </c>
      <c r="G6" s="6" t="n">
        <v>63697</v>
      </c>
      <c r="H6" s="6" t="n"/>
      <c r="I6" s="6" t="n"/>
      <c r="J6" s="6" t="n"/>
      <c r="K6" s="6" t="n"/>
      <c r="L6" s="6" t="n"/>
    </row>
    <row r="7" ht="60" customHeight="1">
      <c r="A7" s="7" t="inlineStr">
        <is>
          <t>Note: THE TWO RATIO ROWS ARE DIFFERENT MEASURES, not a discrepancy. Row 14 of Template UK KM1 excludes claims on central banks from the exposure measure, which for this bank means excluding its Bank of England Reserve Account - so it is structurally the higher of the two (FY2021 10.40% vs 9.03%; FY2020 10.35% vs 9.37%). The first row's FY2020, FY2019 and FY2018 values are independently confirmed by the recovered Pillar 3 documents themselves, which is a useful control on the Annual Report KPI series: the FY2020 edition's section 5.2 states 'The Bank's calculated leverage ratio at 31 December 2020 was 9.37% (2019: 9.40%)' and the FY2019 edition states '...at 31 December 2019 was 9.40% (2018: 10.10%)' - matching the KPI table exactly in all three years.
EACH YEAR'S OWN PILLAR 3 EDITION NOW CONFIRMS FY2016-FY2018 TOO (read 2026-09-19, section 5.2 Leverage Ratio): FY2016 edition p.13 'The Bank's calculated leverage ratio at 31 December 2016 was 10.1% (2015: 8.96%)'; FY2017 edition p.13 '...at 31 December 2017 was 9.4% (2016: 10.1%)'; FY2018 edition p.14 '...at 31 December 2018 was 10.1% (2017: 9.4%)'. The Annual Report KPI table gives 10.09%, 9.38% and 10.10%, so the two documents AGREE at the one decimal place the Pillar 3 editions print; the KPI table's two-decimal figures are kept as the row's values and are not rounded to the Pillar 3 precision. The FY2016 edition's comparative also confirms the FY2015 KPI figure of 8.96% exactly (FY2015's own Pillar 3 edition is unreachable - see below). No FY2016-FY2018 edition prints a leverage exposure measure.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7:L7"/>
    <mergeCell ref="A9:L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LCR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Requirement (LCR) ratio - per Annual Report KPI table</t>
        </is>
      </c>
      <c r="B4" s="6" t="inlineStr">
        <is>
          <t>332.1%</t>
        </is>
      </c>
      <c r="C4" s="6" t="inlineStr">
        <is>
          <t>429.0%</t>
        </is>
      </c>
      <c r="D4" s="6" t="inlineStr">
        <is>
          <t>766.7%</t>
        </is>
      </c>
      <c r="E4" s="6" t="inlineStr">
        <is>
          <t>681.04%</t>
        </is>
      </c>
      <c r="F4" s="6" t="inlineStr">
        <is>
          <t>1,475.9%</t>
        </is>
      </c>
      <c r="G4" s="6" t="inlineStr">
        <is>
          <t>1,304.6%</t>
        </is>
      </c>
      <c r="H4" s="6" t="inlineStr">
        <is>
          <t>861.0%</t>
        </is>
      </c>
      <c r="I4" s="6" t="inlineStr">
        <is>
          <t>556.3%</t>
        </is>
      </c>
      <c r="J4" s="6" t="inlineStr">
        <is>
          <t>520.3%</t>
        </is>
      </c>
      <c r="K4" s="6" t="inlineStr">
        <is>
          <t>648.1%</t>
        </is>
      </c>
      <c r="L4" s="6" t="inlineStr">
        <is>
          <t>900.9%</t>
        </is>
      </c>
    </row>
    <row r="5">
      <c r="A5" s="6" t="inlineStr">
        <is>
          <t>LCR, 12-month average of end-of-month observations - per Pillar 3 (UK KM1 row 17)</t>
        </is>
      </c>
      <c r="B5" s="6" t="n"/>
      <c r="C5" s="6" t="n"/>
      <c r="D5" s="6" t="n"/>
      <c r="E5" s="6" t="n"/>
      <c r="F5" s="6" t="inlineStr">
        <is>
          <t>1,382.23%</t>
        </is>
      </c>
      <c r="G5" s="6" t="inlineStr">
        <is>
          <t>998.00%</t>
        </is>
      </c>
      <c r="H5" s="6" t="n"/>
      <c r="I5" s="6" t="n"/>
      <c r="J5" s="6" t="n"/>
      <c r="K5" s="6" t="n"/>
      <c r="L5" s="6" t="n"/>
    </row>
    <row r="6">
      <c r="A6" s="6" t="inlineStr">
        <is>
          <t>Total high-quality liquid assets (HQLA), weighted value-average (£'000) - per Pillar 3 (row 15)</t>
        </is>
      </c>
      <c r="B6" s="6" t="n"/>
      <c r="C6" s="6" t="n"/>
      <c r="D6" s="6" t="n"/>
      <c r="E6" s="6" t="n"/>
      <c r="F6" s="6" t="n">
        <v>8840</v>
      </c>
      <c r="G6" s="6" t="n">
        <v>6580</v>
      </c>
      <c r="H6" s="6" t="n"/>
      <c r="I6" s="6" t="n"/>
      <c r="J6" s="6" t="n"/>
      <c r="K6" s="6" t="n"/>
      <c r="L6" s="6" t="n"/>
    </row>
    <row r="7">
      <c r="A7" s="6" t="inlineStr">
        <is>
          <t>Cash outflows, total weighted value (£'000) - per Pillar 3 (row UK 16a)</t>
        </is>
      </c>
      <c r="B7" s="6" t="n"/>
      <c r="C7" s="6" t="n"/>
      <c r="D7" s="6" t="n"/>
      <c r="E7" s="6" t="n"/>
      <c r="F7" s="6" t="n">
        <v>2558</v>
      </c>
      <c r="G7" s="6" t="n">
        <v>2637</v>
      </c>
      <c r="H7" s="6" t="n"/>
      <c r="I7" s="6" t="n"/>
      <c r="J7" s="6" t="n"/>
      <c r="K7" s="6" t="n"/>
      <c r="L7" s="6" t="n"/>
    </row>
    <row r="8">
      <c r="A8" s="6" t="inlineStr">
        <is>
          <t>Cash inflows, total weighted value (£'000) - per Pillar 3 (row UK 16b)</t>
        </is>
      </c>
      <c r="B8" s="6" t="n"/>
      <c r="C8" s="6" t="n"/>
      <c r="D8" s="6" t="n"/>
      <c r="E8" s="6" t="n"/>
      <c r="F8" s="6" t="n">
        <v>8241</v>
      </c>
      <c r="G8" s="6" t="n">
        <v>7799</v>
      </c>
      <c r="H8" s="6" t="n"/>
      <c r="I8" s="6" t="n"/>
      <c r="J8" s="6" t="n"/>
      <c r="K8" s="6" t="n"/>
      <c r="L8" s="6" t="n"/>
    </row>
    <row r="9">
      <c r="A9" s="6" t="inlineStr">
        <is>
          <t>Total net cash outflows, adjusted value (£'000) - per Pillar 3 (row 16)</t>
        </is>
      </c>
      <c r="B9" s="6" t="n"/>
      <c r="C9" s="6" t="n"/>
      <c r="D9" s="6" t="n"/>
      <c r="E9" s="6" t="n"/>
      <c r="F9" s="6" t="n">
        <v>640</v>
      </c>
      <c r="G9" s="6" t="n">
        <v>659</v>
      </c>
      <c r="H9" s="6" t="n"/>
      <c r="I9" s="6" t="n"/>
      <c r="J9" s="6" t="n"/>
      <c r="K9" s="6" t="n"/>
      <c r="L9" s="6" t="n"/>
    </row>
    <row r="10" ht="60" customHeight="1">
      <c r="A10" s="7" t="inlineStr">
        <is>
          <t>Note: TWO DIFFERENT LCR SERIES - never merge them. The Pillar 3 row is explicitly captioned in the template itself as an 'Average based on end-of-the-month observations over the preceding 12 months, for each year shown', and its components (HQLA, inflows, outflows) are shown above so the basis is checkable rather than asserted: 8,840 / 640 = 1,382% for FY2021 and 6,580 / 659 = 998% for FY2020, both consistent with the printed ratio, which is what confirms this caption really does print an average rather than a year-end value. The Annual Report KPI series gives 1,475.9% for FY2021 and 1,304.6% for FY2020 on its own, different measure. The gap is 94pp in FY2021 and 307pp in FY2020.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12" ht="230" customHeight="1">
      <c r="A12"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0:L10"/>
    <mergeCell ref="A12:L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NSFR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NSFR ratio, 4-quarter average of end-of-quarter observations - per Pillar 3 (UK KM1 row 20)</t>
        </is>
      </c>
      <c r="B4" s="6" t="inlineStr">
        <is>
          <t>Not published - SDDT Rule 3.1 opt-in from 20/02/2025</t>
        </is>
      </c>
      <c r="C4" s="6" t="inlineStr">
        <is>
          <t>Not published - Bank states none required after FY2023</t>
        </is>
      </c>
      <c r="D4" s="6" t="inlineStr">
        <is>
          <t>Unreached today – bank published it (FY2024 AR; filenames on archived /oversight/ page); live 404, Wayback: WAF page (FY2022) or no capture (FY2023), archive.ph none, WP media purged – 2026-09-19; Common Crawl 2023-14..2026-39 checked</t>
        </is>
      </c>
      <c r="E4" s="6" t="inlineStr">
        <is>
          <t>Unreached today – bank published it (FY2024 AR; filenames on archived /oversight/ page); live 404, Wayback: WAF page (FY2022) or no capture (FY2023), archive.ph none, WP media purged – 2026-09-19; Common Crawl 2023-14..2026-39 checked</t>
        </is>
      </c>
      <c r="F4" s="6" t="inlineStr">
        <is>
          <t>160.67%</t>
        </is>
      </c>
      <c r="G4" s="6" t="inlineStr">
        <is>
          <t>151.57%</t>
        </is>
      </c>
    </row>
    <row r="5">
      <c r="A5" s="6" t="inlineStr">
        <is>
          <t>Total available stable funding (£'000) - per Pillar 3 (UK KM1 row 18)</t>
        </is>
      </c>
      <c r="B5" s="6" t="n"/>
      <c r="C5" s="6" t="n"/>
      <c r="D5" s="6" t="n"/>
      <c r="E5" s="6" t="n"/>
      <c r="F5" s="6" t="n">
        <v>68868</v>
      </c>
      <c r="G5" s="6" t="n">
        <v>60757</v>
      </c>
    </row>
    <row r="6">
      <c r="A6" s="6" t="inlineStr">
        <is>
          <t>Total required stable funding (£'000) - per Pillar 3 (UK KM1 row 19)</t>
        </is>
      </c>
      <c r="B6" s="6" t="n"/>
      <c r="C6" s="6" t="n"/>
      <c r="D6" s="6" t="n"/>
      <c r="E6" s="6" t="n"/>
      <c r="F6" s="6" t="n">
        <v>42862</v>
      </c>
      <c r="G6" s="6" t="n">
        <v>40085</v>
      </c>
    </row>
    <row r="7" ht="60" customHeight="1">
      <c r="A7" s="7" t="inlineStr">
        <is>
          <t>Note: BOTH YEARS ARE THE BANK'S OWN ESTIMATES, and the document says so. The FY2021 Pillar 3 edition footnotes its NSFR block '*based on estimated data (first NSFR return submitted to the PRA for reference point 31 March 2022 under CRR II)'. That is consistent with the project-wide structural position on NSFR: the PRA requirement began 1 January 2022 (PS17/21), so a FY2021 or FY2020 NSFR is a voluntary pre-requirement estimate, not a regulatory return.
FY2022-FY2025 CHECKED AND CONFIRMED ABSENT FROM THE ANNUAL REPORTS (GA-006, 2026-09-18). The FY2022-FY2025 blanks here are NOT the same kind of blank as the ones on the Total RWAs and Total Capital Ratio sheets, which were filled on this date from Annual Report note 29(j). That note carries capital only; the Annual Report discloses no NSFR anywhere. Searched whole-document on the text-native FY2024 and FY2025 editions for 'NSFR', 'net stable' and 'stable funding': zero hits each, against a richness control of 30 hits for 'liquidity' and 121/126 for 'capital' in the same extraction, so the zero is a fact about the documents and not about the search. The FY2023 edition is a scan and was checked the same way over its Strategic Report and KPI-table pages via OCR - again zero for all three terms, against 12 'liquidity' and 23 'ratio' hits. In every edition the only liquidity metric the bank publishes is the Liquidity Coverage Requirement ratio, which is why the LCR sheet has a continuous series and this one does not. These four years are therefore not a sourcing gap in the Annual Reports; they are a gap that only a Pillar 3 document could close, and the Pillar 3 position for those years is below.
On the Pillar 3 series specifically (the Annual Report note 29(j) series above covers FY2022-FY2025 and is unaffected by everything that follows): Disclosed for FY2021 and FY2020 only, from the recovered Pillar 3 Disclosures 2021 (Template UK KM1 / Template UK OV1, which show both years). Every other year is BLANK rather than zero, for four distinct reasons that should not be conflated: FY2022 and FY2023 Pillar 3 documents were published but cannot be retrieved (FY2022's sole Wayback capture is an HTML bot-check page returned with HTTP 200, not the PDF; FY2023 was never archived at all) - see the source citation below; the FY2016-FY2019 Pillar 3 documents (FY2016-FY2018 transcribed 2026-09-19) predate the UK KM1/OV1 templates and do not print this metric; FY2014 and FY2015 editions were published but are unreachable (see the last paragraph);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Pillar 3 (SDDT Rule 3.1 from 20/02/2025, BoE register A00009930P); 2025 statutory accounts text-searched 2026-09-19: no MREL</t>
        </is>
      </c>
      <c r="C4" s="6" t="inlineStr">
        <is>
          <t>Not published – bank states no Pillar 3 required after FY2023; 2024 statutory accounts text-searched 2026-09-19: no MREL</t>
        </is>
      </c>
      <c r="D4" s="6" t="inlineStr">
        <is>
          <t>Unreached today – this year's Pillar 3 is not retrievable (live URL 404; Wayback: WAF page or no capture; archive.ph none; WP media purged; Common Crawl 2023-14..2026-39; 2026-09-19); accounts' KPI table has no MREL</t>
        </is>
      </c>
      <c r="E4" s="6" t="inlineStr">
        <is>
          <t>Unreached today – this year's Pillar 3 is not retrievable (live URL 404; Wayback: WAF page or no capture; archive.ph none; WP media purged; Common Crawl 2023-14..2026-39; 2026-09-19); accounts' KPI table has no MREL</t>
        </is>
      </c>
      <c r="F4" s="6" t="inlineStr">
        <is>
          <t>Not published – Pillar 3 FY2021 (Wayback copy, read in full; text-searched 2026-09-19) has no MREL</t>
        </is>
      </c>
      <c r="G4" s="6" t="inlineStr">
        <is>
          <t>Not published – Pillar 3 FY2020 (Wayback copy, read in full; text-searched 2026-09-19) has no MREL</t>
        </is>
      </c>
      <c r="H4" s="6" t="inlineStr">
        <is>
          <t>Not published – Pillar 3 FY2019 (Wayback copy, read in full; text-searched 2026-09-19) has no MREL</t>
        </is>
      </c>
      <c r="I4" s="6" t="inlineStr">
        <is>
          <t>Not published – Pillar 3 FY2018 (approved 22 May 2019, 20pp, Webflow copy) has no MREL: contents p.2 has no such section; text 0 hits vs 79 'capital'</t>
        </is>
      </c>
      <c r="J4" s="6" t="inlineStr">
        <is>
          <t>Not published – Pillar 3 FY2017 (approved 23 May 2018, 19pp, Webflow copy) has no MREL: contents p.2 has no such section; text 0 hits vs 79 'capital'</t>
        </is>
      </c>
      <c r="K4" s="6" t="inlineStr">
        <is>
          <t>Not published – Pillar 3 FY2016 (approved 17 May 2017, 19pp, Webflow copy) has no MREL: contents p.2 has no such section; text 0 hits vs 76 'capital'</t>
        </is>
      </c>
      <c r="L4" s="6" t="inlineStr">
        <is>
          <t>Not applicable – the UK MREL framework (BoE Statement of Policy, Nov 2016) postdates this 31 December year-end</t>
        </is>
      </c>
      <c r="M4" s="6" t="inlineStr">
        <is>
          <t>Not applicable – the UK MREL framework (BoE Statement of Policy, Nov 2016) postdates this 31 December year-end</t>
        </is>
      </c>
    </row>
    <row r="5" ht="60" customHeight="1">
      <c r="A5" s="7" t="inlineStr">
        <is>
          <t>Note: No MREL figure appears in any document READ: the six Pillar 3 editions in hand (FY2016, FY2017, FY2018 - located 2026-09-19 - and FY2019, FY2020, FY2021) or any Annual Report's Strategic Report 'Key performance indicators' table. The FY2022 and FY2023 editions exist but could not be reached, so those two years are recorded as UNREACHED rather than 'not published'. (CORRECTED 2026-09-19: this sentence previously said the metric was absent from 'the five annual Pillar 3 disclosure documents it published (FY2019-FY2023)', two of which have never been read.)
FY2016-FY2018 CHECK (2026-09-19): each edition's text layer, pdftotext -layout, case-insensitive - 0 hits for 'MREL', 'eligible liabilities', 'loss absorbing'/'loss-absorbing' and 'resolution', against 76-79 hits for 'capital' and 6 for 'own funds' in each (positive control); the contents page (p.2, read on the page image) has no MREL or resolution section.
CORRECTION LOGGED 2026-09-15. An earlier version of this note asserted that Kingdom Bank's Pillar 3 practice 'lapsed after the FY2015 edition' and that no standalone Pillar 3 document existed for any reported year. That was WRONG and has been withdrawn. The bank published Pillar 3 disclosures for FY2019, FY2020, FY2021, FY2022 and FY2023; the FY2019, FY2020 and FY2021 editions have now been retrieved from the Wayback Machine and read in full, and they are the source of the regulatory-basis capital, RWA, leverage and liquidity figures now carried on those sheets. The earlier search missed them because it enumerated the live WordPress media library and a 2017 capture of the bank's /about-us/pillar-3-disclosure/ index page; the FY2019-FY2023 documents were published later, under /wp-content/uploads/, and every one of those URLs has since 404'd - so the live-site enumeration returned a true but misleading 'nothing there now'. A CDX sweep filtered on 'pillar' is what surfaced them.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SDDT STATUS - EXACT, AND IT ONLY REACHES THE FINAL YEAR. The Bank of England consolidated list of waivers and modifications granted to PRA-authorised firms (https://www.bankofengland.co.uk/-/media/boe/files/prudential-regulation/authorisations/waivers-and-modifications-of-rules/consolidated-waivers-pra-firms.csv, downloaded and parsed 2026-09-15) carries one Rule 3.1 row for FRN 400972, 'KINGDOM BANK LIMITED': 'Modification by Consent - PRA Rulebook - CRR Firms - Rule 3.1 of the SDDT Regime - General Application Part', rule handbook 'SDDT Regime - General Application', sub rule number 'Ru 3.1', waiver ref A00009930P.pdf, START DATE 20/02/2025, no end date. Only Rule 3.1 removes the Pillar 3 disclosure obligation outright (Article 433b merely reduces it, and Ru 2.1(9) is an eligibility criterion with no disclosure effect). The bank states its own intent to the same effect: its FY2024 Annual Report says 'The Bank has submitted a modification by consent to join the SDDT regime' (p.13, Strategic Report, Future capital requirements) and, in the Board Remuneration Committee report at p.27, 'The annual Pillar 3 disclosure document was reviewed by the Board in March 2024 and contained the enhanced remuneration disclosures required by CRD V. Due to the SDDT regime the Pillar 3 disclosure document will not be required in future years.' - https://www.kingdom.bank/wp-content/uploads/KBL-Statutory-Accounts-2024.pdf
DATE-FIT CHECK. Kingdom Bank's accounting reference date is 31 December. Measured against each affected year's own year-end, only FY2025 (year-end 31 December 2025) falls after the 20/02/2025 start date, so FY2025 alone is structurally exempt. FY2024 (year-end 31 December 2024) and every earlier year PREDATE the modification and are NOT explained by it - do not read the SDDT regime back onto them. No FY2024 Pillar 3 document has been located either, which is consistent with the bank's stated intent (the FY2024 disclosure would have fallen due in 2025, after the modification took effect), but that is an observation about the document, not a year-end date fit, and FY2024 is therefore recorded here as an ordinary non-disclosure rather than as structurally exempt.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7" ht="150" customHeight="1">
      <c r="A7"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2026-10-08T23:00:00Z</dcterms:created>
  <dcterms:modified xmlns:dcterms="http://purl.org/dc/terms/" xmlns:xsi="http://www.w3.org/2001/XMLSchema-instance" xsi:type="dcterms:W3CDTF">2026-10-08T23:00:00Z</dcterms:modified>
</cp:coreProperties>
</file>