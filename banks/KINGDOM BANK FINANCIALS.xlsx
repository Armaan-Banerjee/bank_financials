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Kingdom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'Overview'!Z6</f>
            </strRef>
          </tx>
          <spPr>
            <a:ln xmlns:a="http://schemas.openxmlformats.org/drawingml/2006/main">
              <a:prstDash val="solid"/>
            </a:ln>
          </spPr>
          <cat>
            <numRef>
              <f>'Overview'!$AA$5:$AV$5</f>
            </numRef>
          </cat>
          <val>
            <numRef>
              <f>'Overview'!$AA$6:$AV$6</f>
            </numRef>
          </val>
        </ser>
        <ser>
          <idx val="1"/>
          <order val="1"/>
          <tx>
            <strRef>
              <f>'Overview'!Z7</f>
            </strRef>
          </tx>
          <spPr>
            <a:ln xmlns:a="http://schemas.openxmlformats.org/drawingml/2006/main">
              <a:prstDash val="solid"/>
            </a:ln>
          </spPr>
          <cat>
            <numRef>
              <f>'Overview'!$AA$5:$AV$5</f>
            </numRef>
          </cat>
          <val>
            <numRef>
              <f>'Overview'!$AA$7:$AV$7</f>
            </numRef>
          </val>
        </ser>
        <ser>
          <idx val="2"/>
          <order val="2"/>
          <tx>
            <strRef>
              <f>'Overview'!Z8</f>
            </strRef>
          </tx>
          <spPr>
            <a:ln xmlns:a="http://schemas.openxmlformats.org/drawingml/2006/main">
              <a:prstDash val="solid"/>
            </a:ln>
          </spPr>
          <cat>
            <numRef>
              <f>'Overview'!$AA$5:$AV$5</f>
            </numRef>
          </cat>
          <val>
            <numRef>
              <f>'Overview'!$AA$8:$AV$8</f>
            </numRef>
          </val>
        </ser>
        <ser>
          <idx val="3"/>
          <order val="3"/>
          <tx>
            <strRef>
              <f>'Overview'!Z9</f>
            </strRef>
          </tx>
          <spPr>
            <a:ln xmlns:a="http://schemas.openxmlformats.org/drawingml/2006/main">
              <a:prstDash val="solid"/>
            </a:ln>
          </spPr>
          <cat>
            <numRef>
              <f>'Overview'!$AA$5:$AV$5</f>
            </numRef>
          </cat>
          <val>
            <numRef>
              <f>'Overview'!$AA$9:$AV$9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Kingdom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'Overview'!AY13</f>
            </strRef>
          </tx>
          <spPr>
            <a:ln xmlns:a="http://schemas.openxmlformats.org/drawingml/2006/main">
              <a:prstDash val="solid"/>
            </a:ln>
          </spPr>
          <cat>
            <numRef>
              <f>'Overview'!$AZ$12:$BU$12</f>
            </numRef>
          </cat>
          <val>
            <numRef>
              <f>'Overview'!$AZ$13:$BU$13</f>
            </numRef>
          </val>
        </ser>
        <ser>
          <idx val="1"/>
          <order val="1"/>
          <tx>
            <strRef>
              <f>'Overview'!AY14</f>
            </strRef>
          </tx>
          <spPr>
            <a:ln xmlns:a="http://schemas.openxmlformats.org/drawingml/2006/main">
              <a:prstDash val="solid"/>
            </a:ln>
          </spPr>
          <cat>
            <numRef>
              <f>'Overview'!$AZ$12:$BU$12</f>
            </numRef>
          </cat>
          <val>
            <numRef>
              <f>'Overview'!$AZ$14:$BU$14</f>
            </numRef>
          </val>
        </ser>
        <ser>
          <idx val="2"/>
          <order val="2"/>
          <tx>
            <strRef>
              <f>'Overview'!AY15</f>
            </strRef>
          </tx>
          <spPr>
            <a:ln xmlns:a="http://schemas.openxmlformats.org/drawingml/2006/main">
              <a:prstDash val="solid"/>
            </a:ln>
          </spPr>
          <cat>
            <numRef>
              <f>'Overview'!$AZ$12:$BU$12</f>
            </numRef>
          </cat>
          <val>
            <numRef>
              <f>'Overview'!$AZ$15:$BU$15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Kingdom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'Overview'!BX19</f>
            </strRef>
          </tx>
          <spPr>
            <a:ln xmlns:a="http://schemas.openxmlformats.org/drawingml/2006/main">
              <a:prstDash val="solid"/>
            </a:ln>
          </spPr>
          <cat>
            <numRef>
              <f>'Overview'!$BY$18:$CT$18</f>
            </numRef>
          </cat>
          <val>
            <numRef>
              <f>'Overview'!$BY$19:$CT$19</f>
            </numRef>
          </val>
        </ser>
        <ser>
          <idx val="1"/>
          <order val="1"/>
          <tx>
            <strRef>
              <f>'Overview'!BX20</f>
            </strRef>
          </tx>
          <spPr>
            <a:ln xmlns:a="http://schemas.openxmlformats.org/drawingml/2006/main">
              <a:prstDash val="solid"/>
            </a:ln>
          </spPr>
          <cat>
            <numRef>
              <f>'Overview'!$BY$18:$CT$18</f>
            </numRef>
          </cat>
          <val>
            <numRef>
              <f>'Overview'!$BY$20:$CT$20</f>
            </numRef>
          </val>
        </ser>
        <ser>
          <idx val="2"/>
          <order val="2"/>
          <tx>
            <strRef>
              <f>'Overview'!BX21</f>
            </strRef>
          </tx>
          <spPr>
            <a:ln xmlns:a="http://schemas.openxmlformats.org/drawingml/2006/main">
              <a:prstDash val="solid"/>
            </a:ln>
          </spPr>
          <cat>
            <numRef>
              <f>'Overview'!$BY$18:$CT$18</f>
            </numRef>
          </cat>
          <val>
            <numRef>
              <f>'Overview'!$BY$21:$CT$21</f>
            </numRef>
          </val>
        </ser>
        <ser>
          <idx val="3"/>
          <order val="3"/>
          <tx>
            <strRef>
              <f>'Overview'!BX22</f>
            </strRef>
          </tx>
          <spPr>
            <a:ln xmlns:a="http://schemas.openxmlformats.org/drawingml/2006/main">
              <a:prstDash val="solid"/>
            </a:ln>
          </spPr>
          <cat>
            <numRef>
              <f>'Overview'!$BY$18:$CT$18</f>
            </numRef>
          </cat>
          <val>
            <numRef>
              <f>'Overview'!$BY$22:$CT$22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Kingdom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'Overview'!CW26</f>
            </strRef>
          </tx>
          <spPr>
            <a:ln xmlns:a="http://schemas.openxmlformats.org/drawingml/2006/main">
              <a:prstDash val="solid"/>
            </a:ln>
          </spPr>
          <cat>
            <numRef>
              <f>'Overview'!$CX$25:$DS$25</f>
            </numRef>
          </cat>
          <val>
            <numRef>
              <f>'Overview'!$CX$26:$DS$26</f>
            </numRef>
          </val>
        </ser>
        <ser>
          <idx val="1"/>
          <order val="1"/>
          <tx>
            <strRef>
              <f>'Overview'!CW27</f>
            </strRef>
          </tx>
          <spPr>
            <a:ln xmlns:a="http://schemas.openxmlformats.org/drawingml/2006/main">
              <a:prstDash val="solid"/>
            </a:ln>
          </spPr>
          <cat>
            <numRef>
              <f>'Overview'!$CX$25:$DS$25</f>
            </numRef>
          </cat>
          <val>
            <numRef>
              <f>'Overview'!$CX$27:$DS$27</f>
            </numRef>
          </val>
        </ser>
        <ser>
          <idx val="2"/>
          <order val="2"/>
          <tx>
            <strRef>
              <f>'Overview'!CW28</f>
            </strRef>
          </tx>
          <spPr>
            <a:ln xmlns:a="http://schemas.openxmlformats.org/drawingml/2006/main">
              <a:prstDash val="solid"/>
            </a:ln>
          </spPr>
          <cat>
            <numRef>
              <f>'Overview'!$CX$25:$DS$25</f>
            </numRef>
          </cat>
          <val>
            <numRef>
              <f>'Overview'!$CX$28:$DS$28</f>
            </numRef>
          </val>
        </ser>
        <ser>
          <idx val="3"/>
          <order val="3"/>
          <tx>
            <strRef>
              <f>'Overview'!CW29</f>
            </strRef>
          </tx>
          <spPr>
            <a:ln xmlns:a="http://schemas.openxmlformats.org/drawingml/2006/main">
              <a:prstDash val="solid"/>
            </a:ln>
          </spPr>
          <cat>
            <numRef>
              <f>'Overview'!$CX$25:$DS$25</f>
            </numRef>
          </cat>
          <val>
            <numRef>
              <f>'Overview'!$CX$29:$DS$29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Kingdom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'Overview'!DV6</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'Overview'!$DW$6:$ER$6</f>
            </numRef>
          </val>
          <smooth val="0"/>
        </ser>
        <ser>
          <idx val="1"/>
          <order val="1"/>
          <tx>
            <strRef>
              <f>'Overview'!DV7</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'Overview'!$DW$7:$ER$7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 hidden="1" width="13" customWidth="1" min="137" max="137"/>
    <col hidden="1" width="13" customWidth="1" min="138" max="138"/>
    <col hidden="1" width="13" customWidth="1" min="139" max="139"/>
    <col hidden="1" width="13" customWidth="1" min="140" max="140"/>
    <col hidden="1" width="13" customWidth="1" min="141" max="141"/>
    <col hidden="1" width="13" customWidth="1" min="142" max="142"/>
    <col hidden="1" width="13" customWidth="1" min="143" max="143"/>
    <col hidden="1" width="13" customWidth="1" min="144" max="144"/>
    <col hidden="1" width="13" customWidth="1" min="145" max="145"/>
    <col hidden="1" width="13" customWidth="1" min="146" max="146"/>
    <col hidden="1" width="13" customWidth="1" min="147" max="147"/>
    <col hidden="1" width="13" customWidth="1" min="148" max="148"/>
  </cols>
  <sheetData>
    <row r="1">
      <c r="A1" s="1" t="inlineStr">
        <is>
          <t>Kingdom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V5" s="4" t="inlineStr">
        <is>
          <t>FY2005</t>
        </is>
      </c>
      <c r="W5" s="4" t="inlineStr">
        <is>
          <t>FY2004</t>
        </is>
      </c>
      <c r="AA5" t="inlineStr">
        <is>
          <t>FY2004</t>
        </is>
      </c>
      <c r="AB5" t="inlineStr">
        <is>
          <t>FY2005</t>
        </is>
      </c>
      <c r="AC5" t="inlineStr">
        <is>
          <t>FY2006</t>
        </is>
      </c>
      <c r="AD5" t="inlineStr">
        <is>
          <t>FY2007</t>
        </is>
      </c>
      <c r="AE5" t="inlineStr">
        <is>
          <t>FY2008</t>
        </is>
      </c>
      <c r="AF5" t="inlineStr">
        <is>
          <t>FY2009</t>
        </is>
      </c>
      <c r="AG5" t="inlineStr">
        <is>
          <t>FY2010</t>
        </is>
      </c>
      <c r="AH5" t="inlineStr">
        <is>
          <t>FY2011</t>
        </is>
      </c>
      <c r="AI5" t="inlineStr">
        <is>
          <t>FY2012</t>
        </is>
      </c>
      <c r="AJ5" t="inlineStr">
        <is>
          <t>FY2013</t>
        </is>
      </c>
      <c r="AK5" t="inlineStr">
        <is>
          <t>FY2014</t>
        </is>
      </c>
      <c r="AL5" t="inlineStr">
        <is>
          <t>FY2015</t>
        </is>
      </c>
      <c r="AM5" t="inlineStr">
        <is>
          <t>FY2016</t>
        </is>
      </c>
      <c r="AN5" t="inlineStr">
        <is>
          <t>FY2017</t>
        </is>
      </c>
      <c r="AO5" t="inlineStr">
        <is>
          <t>FY2018</t>
        </is>
      </c>
      <c r="AP5" t="inlineStr">
        <is>
          <t>FY2019</t>
        </is>
      </c>
      <c r="AQ5" t="inlineStr">
        <is>
          <t>FY2020</t>
        </is>
      </c>
      <c r="AR5" t="inlineStr">
        <is>
          <t>FY2021</t>
        </is>
      </c>
      <c r="AS5" t="inlineStr">
        <is>
          <t>FY2022</t>
        </is>
      </c>
      <c r="AT5" t="inlineStr">
        <is>
          <t>FY2023</t>
        </is>
      </c>
      <c r="AU5" t="inlineStr">
        <is>
          <t>FY2024</t>
        </is>
      </c>
      <c r="AV5" t="inlineStr">
        <is>
          <t>FY2025</t>
        </is>
      </c>
      <c r="DW5" t="inlineStr">
        <is>
          <t>FY2004</t>
        </is>
      </c>
      <c r="DX5" t="inlineStr">
        <is>
          <t>FY2005</t>
        </is>
      </c>
      <c r="DY5" t="inlineStr">
        <is>
          <t>FY2006</t>
        </is>
      </c>
      <c r="DZ5" t="inlineStr">
        <is>
          <t>FY2007</t>
        </is>
      </c>
      <c r="EA5" t="inlineStr">
        <is>
          <t>FY2008</t>
        </is>
      </c>
      <c r="EB5" t="inlineStr">
        <is>
          <t>FY2009</t>
        </is>
      </c>
      <c r="EC5" t="inlineStr">
        <is>
          <t>FY2010</t>
        </is>
      </c>
      <c r="ED5" t="inlineStr">
        <is>
          <t>FY2011</t>
        </is>
      </c>
      <c r="EE5" t="inlineStr">
        <is>
          <t>FY2012</t>
        </is>
      </c>
      <c r="EF5" t="inlineStr">
        <is>
          <t>FY2013</t>
        </is>
      </c>
      <c r="EG5" t="inlineStr">
        <is>
          <t>FY2014</t>
        </is>
      </c>
      <c r="EH5" t="inlineStr">
        <is>
          <t>FY2015</t>
        </is>
      </c>
      <c r="EI5" t="inlineStr">
        <is>
          <t>FY2016</t>
        </is>
      </c>
      <c r="EJ5" t="inlineStr">
        <is>
          <t>FY2017</t>
        </is>
      </c>
      <c r="EK5" t="inlineStr">
        <is>
          <t>FY2018</t>
        </is>
      </c>
      <c r="EL5" t="inlineStr">
        <is>
          <t>FY2019</t>
        </is>
      </c>
      <c r="EM5" t="inlineStr">
        <is>
          <t>FY2020</t>
        </is>
      </c>
      <c r="EN5" t="inlineStr">
        <is>
          <t>FY2021</t>
        </is>
      </c>
      <c r="EO5" t="inlineStr">
        <is>
          <t>FY2022</t>
        </is>
      </c>
      <c r="EP5" t="inlineStr">
        <is>
          <t>FY2023</t>
        </is>
      </c>
      <c r="EQ5" t="inlineStr">
        <is>
          <t>FY2024</t>
        </is>
      </c>
      <c r="ER5" t="inlineStr">
        <is>
          <t>FY2025</t>
        </is>
      </c>
    </row>
    <row r="6">
      <c r="A6" s="5" t="inlineStr">
        <is>
          <t>Total assets</t>
        </is>
      </c>
      <c r="B6" s="5" t="n">
        <v>160171</v>
      </c>
      <c r="C6" s="5" t="n">
        <v>138492</v>
      </c>
      <c r="D6" s="5" t="n">
        <v>113509</v>
      </c>
      <c r="E6" s="5" t="n">
        <v>89022</v>
      </c>
      <c r="F6" s="5" t="n">
        <v>75541</v>
      </c>
      <c r="G6" s="5" t="n">
        <v>69781</v>
      </c>
      <c r="H6" s="5" t="n">
        <v>59310</v>
      </c>
      <c r="I6" s="5" t="n">
        <v>53803</v>
      </c>
      <c r="J6" s="5" t="n">
        <v>56250</v>
      </c>
      <c r="K6" s="5" t="n">
        <v>51449</v>
      </c>
      <c r="L6" s="5" t="n">
        <v>49809</v>
      </c>
      <c r="M6" s="5" t="n">
        <v>49843</v>
      </c>
      <c r="N6" s="5" t="n"/>
      <c r="O6" s="5" t="n"/>
      <c r="P6" s="5" t="n"/>
      <c r="Q6" s="5" t="n"/>
      <c r="R6" s="5" t="n"/>
      <c r="S6" s="5" t="n"/>
      <c r="T6" s="5" t="n"/>
      <c r="U6" s="5" t="n"/>
      <c r="V6" s="5" t="n"/>
      <c r="W6" s="5" t="n"/>
      <c r="Z6" t="inlineStr">
        <is>
          <t>Total assets</t>
        </is>
      </c>
      <c r="AK6" t="n">
        <v>49843</v>
      </c>
      <c r="AL6" t="n">
        <v>49809</v>
      </c>
      <c r="AM6" t="n">
        <v>51449</v>
      </c>
      <c r="AN6" t="n">
        <v>56250</v>
      </c>
      <c r="AO6" t="n">
        <v>53803</v>
      </c>
      <c r="AP6" t="n">
        <v>59310</v>
      </c>
      <c r="AQ6" t="n">
        <v>69781</v>
      </c>
      <c r="AR6" t="n">
        <v>75541</v>
      </c>
      <c r="AS6" t="n">
        <v>89022</v>
      </c>
      <c r="AT6" t="n">
        <v>113509</v>
      </c>
      <c r="AU6" t="n">
        <v>138492</v>
      </c>
      <c r="AV6" t="n">
        <v>160171</v>
      </c>
      <c r="DV6" t="inlineStr">
        <is>
          <t>CET1 ratio</t>
        </is>
      </c>
      <c r="EH6" t="n">
        <v>14.45</v>
      </c>
      <c r="EI6" t="n">
        <v>16.25</v>
      </c>
      <c r="EJ6" t="n">
        <v>14.41</v>
      </c>
      <c r="EK6" t="n">
        <v>14.57</v>
      </c>
      <c r="EL6" t="n">
        <v>15.27</v>
      </c>
      <c r="EM6" t="n">
        <v>17.13</v>
      </c>
      <c r="EN6" t="n">
        <v>16.97</v>
      </c>
      <c r="EO6" t="n">
        <v>20.84</v>
      </c>
      <c r="EP6" t="n">
        <v>17.37</v>
      </c>
      <c r="EQ6" t="n">
        <v>22.2</v>
      </c>
      <c r="ER6" t="n">
        <v>18.8</v>
      </c>
    </row>
    <row r="7">
      <c r="A7" s="5" t="inlineStr">
        <is>
          <t>Loans and advances to customers</t>
        </is>
      </c>
      <c r="B7" s="5" t="n">
        <v>118242</v>
      </c>
      <c r="C7" s="5" t="n">
        <v>97733</v>
      </c>
      <c r="D7" s="5" t="n">
        <v>77532</v>
      </c>
      <c r="E7" s="5" t="n">
        <v>63291</v>
      </c>
      <c r="F7" s="5" t="n">
        <v>53795</v>
      </c>
      <c r="G7" s="5" t="n">
        <v>47114</v>
      </c>
      <c r="H7" s="5" t="n">
        <v>45339</v>
      </c>
      <c r="I7" s="5" t="n">
        <v>41404</v>
      </c>
      <c r="J7" s="5" t="n">
        <v>38438</v>
      </c>
      <c r="K7" s="5" t="n">
        <v>35336</v>
      </c>
      <c r="L7" s="5" t="n">
        <v>33028</v>
      </c>
      <c r="M7" s="5" t="n">
        <v>29724</v>
      </c>
      <c r="N7" s="5" t="n"/>
      <c r="O7" s="5" t="n"/>
      <c r="P7" s="5" t="n"/>
      <c r="Q7" s="5" t="n"/>
      <c r="R7" s="5" t="n"/>
      <c r="S7" s="5" t="n"/>
      <c r="T7" s="5" t="n"/>
      <c r="U7" s="5" t="n"/>
      <c r="V7" s="5" t="n"/>
      <c r="W7" s="5" t="n"/>
      <c r="Z7" t="inlineStr">
        <is>
          <t>Loans and advances to customers</t>
        </is>
      </c>
      <c r="AK7" t="n">
        <v>29724</v>
      </c>
      <c r="AL7" t="n">
        <v>33028</v>
      </c>
      <c r="AM7" t="n">
        <v>35336</v>
      </c>
      <c r="AN7" t="n">
        <v>38438</v>
      </c>
      <c r="AO7" t="n">
        <v>41404</v>
      </c>
      <c r="AP7" t="n">
        <v>45339</v>
      </c>
      <c r="AQ7" t="n">
        <v>47114</v>
      </c>
      <c r="AR7" t="n">
        <v>53795</v>
      </c>
      <c r="AS7" t="n">
        <v>63291</v>
      </c>
      <c r="AT7" t="n">
        <v>77532</v>
      </c>
      <c r="AU7" t="n">
        <v>97733</v>
      </c>
      <c r="AV7" t="n">
        <v>118242</v>
      </c>
      <c r="DV7" t="inlineStr">
        <is>
          <t>Leverage ratio</t>
        </is>
      </c>
      <c r="EH7" t="n">
        <v>8.960000000000001</v>
      </c>
      <c r="EI7" t="n">
        <v>10.09</v>
      </c>
      <c r="EJ7" t="n">
        <v>9.380000000000001</v>
      </c>
      <c r="EK7" t="n">
        <v>10.1</v>
      </c>
      <c r="EL7" t="n">
        <v>9.4</v>
      </c>
      <c r="EM7" t="n">
        <v>9.369999999999999</v>
      </c>
      <c r="EN7" t="n">
        <v>9.029999999999999</v>
      </c>
      <c r="EO7" t="n">
        <v>10.02</v>
      </c>
      <c r="EP7" t="n">
        <v>7.96</v>
      </c>
      <c r="EQ7" t="n">
        <v>10.8</v>
      </c>
      <c r="ER7" t="n">
        <v>12.4</v>
      </c>
    </row>
    <row r="8">
      <c r="A8" s="5" t="inlineStr">
        <is>
          <t>Customer accounts</t>
        </is>
      </c>
      <c r="B8" s="5" t="n">
        <v>141758</v>
      </c>
      <c r="C8" s="5" t="n">
        <v>121269</v>
      </c>
      <c r="D8" s="5" t="n">
        <v>102091</v>
      </c>
      <c r="E8" s="5" t="n">
        <v>78452</v>
      </c>
      <c r="F8" s="5" t="n">
        <v>66668</v>
      </c>
      <c r="G8" s="5" t="n">
        <v>61287</v>
      </c>
      <c r="H8" s="5" t="n">
        <v>51378</v>
      </c>
      <c r="I8" s="5" t="n">
        <v>46112</v>
      </c>
      <c r="J8" s="5" t="n">
        <v>48656</v>
      </c>
      <c r="K8" s="5" t="n">
        <v>43885</v>
      </c>
      <c r="L8" s="5" t="n">
        <v>41906</v>
      </c>
      <c r="M8" s="5" t="n">
        <v>42935</v>
      </c>
      <c r="N8" s="5" t="n"/>
      <c r="O8" s="5" t="n"/>
      <c r="P8" s="5" t="n"/>
      <c r="Q8" s="5" t="n"/>
      <c r="R8" s="5" t="n"/>
      <c r="S8" s="5" t="n"/>
      <c r="T8" s="5" t="n"/>
      <c r="U8" s="5" t="n"/>
      <c r="V8" s="5" t="n"/>
      <c r="W8" s="5" t="n"/>
      <c r="Z8" t="inlineStr">
        <is>
          <t>Customer accounts</t>
        </is>
      </c>
      <c r="AK8" t="n">
        <v>42935</v>
      </c>
      <c r="AL8" t="n">
        <v>41906</v>
      </c>
      <c r="AM8" t="n">
        <v>43885</v>
      </c>
      <c r="AN8" t="n">
        <v>48656</v>
      </c>
      <c r="AO8" t="n">
        <v>46112</v>
      </c>
      <c r="AP8" t="n">
        <v>51378</v>
      </c>
      <c r="AQ8" t="n">
        <v>61287</v>
      </c>
      <c r="AR8" t="n">
        <v>66668</v>
      </c>
      <c r="AS8" t="n">
        <v>78452</v>
      </c>
      <c r="AT8" t="n">
        <v>102091</v>
      </c>
      <c r="AU8" t="n">
        <v>121269</v>
      </c>
      <c r="AV8" t="n">
        <v>141758</v>
      </c>
    </row>
    <row r="9">
      <c r="A9" s="5" t="inlineStr">
        <is>
          <t>Total shareholders' funds</t>
        </is>
      </c>
      <c r="B9" s="5" t="n">
        <v>15808</v>
      </c>
      <c r="C9" s="5" t="n">
        <v>15512</v>
      </c>
      <c r="D9" s="5" t="n">
        <v>9876</v>
      </c>
      <c r="E9" s="5" t="n">
        <v>9353</v>
      </c>
      <c r="F9" s="5" t="n">
        <v>7451</v>
      </c>
      <c r="G9" s="5" t="n">
        <v>6771</v>
      </c>
      <c r="H9" s="5" t="n">
        <v>6145</v>
      </c>
      <c r="I9" s="5" t="n">
        <v>5908</v>
      </c>
      <c r="J9" s="5" t="n">
        <v>5778</v>
      </c>
      <c r="K9" s="5" t="n">
        <v>5667</v>
      </c>
      <c r="L9" s="5" t="n">
        <v>5631</v>
      </c>
      <c r="M9" s="5" t="n">
        <v>4960</v>
      </c>
      <c r="N9" s="5" t="n"/>
      <c r="O9" s="5" t="n"/>
      <c r="P9" s="5" t="n"/>
      <c r="Q9" s="5" t="n"/>
      <c r="R9" s="5" t="n"/>
      <c r="S9" s="5" t="n"/>
      <c r="T9" s="5" t="n"/>
      <c r="U9" s="5" t="n"/>
      <c r="V9" s="5" t="n"/>
      <c r="W9" s="5" t="n"/>
      <c r="Z9" t="inlineStr">
        <is>
          <t>Total shareholders' funds</t>
        </is>
      </c>
      <c r="AK9" t="n">
        <v>4960</v>
      </c>
      <c r="AL9" t="n">
        <v>5631</v>
      </c>
      <c r="AM9" t="n">
        <v>5667</v>
      </c>
      <c r="AN9" t="n">
        <v>5778</v>
      </c>
      <c r="AO9" t="n">
        <v>5908</v>
      </c>
      <c r="AP9" t="n">
        <v>6145</v>
      </c>
      <c r="AQ9" t="n">
        <v>6771</v>
      </c>
      <c r="AR9" t="n">
        <v>7451</v>
      </c>
      <c r="AS9" t="n">
        <v>9353</v>
      </c>
      <c r="AT9" t="n">
        <v>9876</v>
      </c>
      <c r="AU9" t="n">
        <v>15512</v>
      </c>
      <c r="AV9" t="n">
        <v>15808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V12" s="4" t="inlineStr">
        <is>
          <t>FY2005</t>
        </is>
      </c>
      <c r="W12" s="4" t="inlineStr">
        <is>
          <t>FY2004</t>
        </is>
      </c>
      <c r="AZ12" t="inlineStr">
        <is>
          <t>FY2004</t>
        </is>
      </c>
      <c r="BA12" t="inlineStr">
        <is>
          <t>FY2005</t>
        </is>
      </c>
      <c r="BB12" t="inlineStr">
        <is>
          <t>FY2006</t>
        </is>
      </c>
      <c r="BC12" t="inlineStr">
        <is>
          <t>FY2007</t>
        </is>
      </c>
      <c r="BD12" t="inlineStr">
        <is>
          <t>FY2008</t>
        </is>
      </c>
      <c r="BE12" t="inlineStr">
        <is>
          <t>FY2009</t>
        </is>
      </c>
      <c r="BF12" t="inlineStr">
        <is>
          <t>FY2010</t>
        </is>
      </c>
      <c r="BG12" t="inlineStr">
        <is>
          <t>FY2011</t>
        </is>
      </c>
      <c r="BH12" t="inlineStr">
        <is>
          <t>FY2012</t>
        </is>
      </c>
      <c r="BI12" t="inlineStr">
        <is>
          <t>FY2013</t>
        </is>
      </c>
      <c r="BJ12" t="inlineStr">
        <is>
          <t>FY2014</t>
        </is>
      </c>
      <c r="BK12" t="inlineStr">
        <is>
          <t>FY2015</t>
        </is>
      </c>
      <c r="BL12" t="inlineStr">
        <is>
          <t>FY2016</t>
        </is>
      </c>
      <c r="BM12" t="inlineStr">
        <is>
          <t>FY2017</t>
        </is>
      </c>
      <c r="BN12" t="inlineStr">
        <is>
          <t>FY2018</t>
        </is>
      </c>
      <c r="BO12" t="inlineStr">
        <is>
          <t>FY2019</t>
        </is>
      </c>
      <c r="BP12" t="inlineStr">
        <is>
          <t>FY2020</t>
        </is>
      </c>
      <c r="BQ12" t="inlineStr">
        <is>
          <t>FY2021</t>
        </is>
      </c>
      <c r="BR12" t="inlineStr">
        <is>
          <t>FY2022</t>
        </is>
      </c>
      <c r="BS12" t="inlineStr">
        <is>
          <t>FY2023</t>
        </is>
      </c>
      <c r="BT12" t="inlineStr">
        <is>
          <t>FY2024</t>
        </is>
      </c>
      <c r="BU12" t="inlineStr">
        <is>
          <t>FY2025</t>
        </is>
      </c>
    </row>
    <row r="13">
      <c r="A13" s="5" t="inlineStr">
        <is>
          <t>Total net income</t>
        </is>
      </c>
      <c r="B13" s="5" t="n">
        <v>6404</v>
      </c>
      <c r="C13" s="5" t="n">
        <v>5205</v>
      </c>
      <c r="D13" s="5" t="n">
        <v>4360</v>
      </c>
      <c r="E13" s="5" t="n">
        <v>3175</v>
      </c>
      <c r="F13" s="5" t="n">
        <v>2610</v>
      </c>
      <c r="G13" s="5" t="n">
        <v>2287</v>
      </c>
      <c r="H13" s="5" t="n">
        <v>2242</v>
      </c>
      <c r="I13" s="5" t="n">
        <v>2106</v>
      </c>
      <c r="J13" s="5" t="n">
        <v>1875</v>
      </c>
      <c r="K13" s="5" t="n">
        <v>1755</v>
      </c>
      <c r="L13" s="5" t="n">
        <v>1637</v>
      </c>
      <c r="M13" s="5" t="n">
        <v>1548</v>
      </c>
      <c r="N13" s="5" t="n"/>
      <c r="O13" s="5" t="n"/>
      <c r="P13" s="5" t="n"/>
      <c r="Q13" s="5" t="n"/>
      <c r="R13" s="5" t="n"/>
      <c r="S13" s="5" t="n"/>
      <c r="T13" s="5" t="n"/>
      <c r="U13" s="5" t="n"/>
      <c r="V13" s="5" t="n"/>
      <c r="W13" s="5" t="n"/>
      <c r="AY13" t="inlineStr">
        <is>
          <t>Total net income</t>
        </is>
      </c>
      <c r="BJ13" t="n">
        <v>1548</v>
      </c>
      <c r="BK13" t="n">
        <v>1637</v>
      </c>
      <c r="BL13" t="n">
        <v>1755</v>
      </c>
      <c r="BM13" t="n">
        <v>1875</v>
      </c>
      <c r="BN13" t="n">
        <v>2106</v>
      </c>
      <c r="BO13" t="n">
        <v>2242</v>
      </c>
      <c r="BP13" t="n">
        <v>2287</v>
      </c>
      <c r="BQ13" t="n">
        <v>2610</v>
      </c>
      <c r="BR13" t="n">
        <v>3175</v>
      </c>
      <c r="BS13" t="n">
        <v>4360</v>
      </c>
      <c r="BT13" t="n">
        <v>5205</v>
      </c>
      <c r="BU13" t="n">
        <v>6404</v>
      </c>
    </row>
    <row r="14">
      <c r="A14" s="5" t="inlineStr">
        <is>
          <t>Administrative expenses</t>
        </is>
      </c>
      <c r="B14" s="5" t="n">
        <v>-7241</v>
      </c>
      <c r="C14" s="5" t="n">
        <v>-4776</v>
      </c>
      <c r="D14" s="5" t="n">
        <v>-3597</v>
      </c>
      <c r="E14" s="5" t="n">
        <v>-2953</v>
      </c>
      <c r="F14" s="5" t="n">
        <v>-2437</v>
      </c>
      <c r="G14" s="5" t="n">
        <v>-2167</v>
      </c>
      <c r="H14" s="5" t="n">
        <v>-1780</v>
      </c>
      <c r="I14" s="5" t="n">
        <v>-1776</v>
      </c>
      <c r="J14" s="5" t="n">
        <v>-1538</v>
      </c>
      <c r="K14" s="5" t="n">
        <v>-1554</v>
      </c>
      <c r="L14" s="5" t="n">
        <v>-1487</v>
      </c>
      <c r="M14" s="5" t="n">
        <v>-1413</v>
      </c>
      <c r="N14" s="5" t="n"/>
      <c r="O14" s="5" t="n"/>
      <c r="P14" s="5" t="n"/>
      <c r="Q14" s="5" t="n"/>
      <c r="R14" s="5" t="n"/>
      <c r="S14" s="5" t="n"/>
      <c r="T14" s="5" t="n"/>
      <c r="U14" s="5" t="n"/>
      <c r="V14" s="5" t="n"/>
      <c r="W14" s="5" t="n"/>
      <c r="AY14" t="inlineStr">
        <is>
          <t>Administrative expenses</t>
        </is>
      </c>
      <c r="BJ14" t="n">
        <v>-1413</v>
      </c>
      <c r="BK14" t="n">
        <v>-1487</v>
      </c>
      <c r="BL14" t="n">
        <v>-1554</v>
      </c>
      <c r="BM14" t="n">
        <v>-1538</v>
      </c>
      <c r="BN14" t="n">
        <v>-1776</v>
      </c>
      <c r="BO14" t="n">
        <v>-1780</v>
      </c>
      <c r="BP14" t="n">
        <v>-2167</v>
      </c>
      <c r="BQ14" t="n">
        <v>-2437</v>
      </c>
      <c r="BR14" t="n">
        <v>-2953</v>
      </c>
      <c r="BS14" t="n">
        <v>-3597</v>
      </c>
      <c r="BT14" t="n">
        <v>-4776</v>
      </c>
      <c r="BU14" t="n">
        <v>-7241</v>
      </c>
    </row>
    <row r="15">
      <c r="A15" s="5" t="inlineStr">
        <is>
          <t>(Loss)/profit for the financial year</t>
        </is>
      </c>
      <c r="B15" s="5" t="n">
        <v>-804</v>
      </c>
      <c r="C15" s="5" t="n">
        <v>279</v>
      </c>
      <c r="D15" s="5" t="n">
        <v>523</v>
      </c>
      <c r="E15" s="5" t="n">
        <v>102</v>
      </c>
      <c r="F15" s="5" t="n">
        <v>680</v>
      </c>
      <c r="G15" s="5" t="n">
        <v>-24</v>
      </c>
      <c r="H15" s="5" t="n">
        <v>257</v>
      </c>
      <c r="I15" s="5" t="n">
        <v>146</v>
      </c>
      <c r="J15" s="5" t="n">
        <v>105</v>
      </c>
      <c r="K15" s="5" t="n">
        <v>34</v>
      </c>
      <c r="L15" s="5" t="n">
        <v>720</v>
      </c>
      <c r="M15" s="5" t="n">
        <v>69</v>
      </c>
      <c r="N15" s="5" t="n"/>
      <c r="O15" s="5" t="n"/>
      <c r="P15" s="5" t="n"/>
      <c r="Q15" s="5" t="n"/>
      <c r="R15" s="5" t="n"/>
      <c r="S15" s="5" t="n"/>
      <c r="T15" s="5" t="n"/>
      <c r="U15" s="5" t="n"/>
      <c r="V15" s="5" t="n"/>
      <c r="W15" s="5" t="n"/>
      <c r="AY15" t="inlineStr">
        <is>
          <t>(Loss)/profit for the financial year</t>
        </is>
      </c>
      <c r="BJ15" t="n">
        <v>69</v>
      </c>
      <c r="BK15" t="n">
        <v>720</v>
      </c>
      <c r="BL15" t="n">
        <v>34</v>
      </c>
      <c r="BM15" t="n">
        <v>105</v>
      </c>
      <c r="BN15" t="n">
        <v>146</v>
      </c>
      <c r="BO15" t="n">
        <v>257</v>
      </c>
      <c r="BP15" t="n">
        <v>-24</v>
      </c>
      <c r="BQ15" t="n">
        <v>680</v>
      </c>
      <c r="BR15" t="n">
        <v>102</v>
      </c>
      <c r="BS15" t="n">
        <v>523</v>
      </c>
      <c r="BT15" t="n">
        <v>279</v>
      </c>
      <c r="BU15" t="n">
        <v>-804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V18" s="4" t="inlineStr">
        <is>
          <t>FY2005</t>
        </is>
      </c>
      <c r="W18" s="4" t="inlineStr">
        <is>
          <t>FY2004</t>
        </is>
      </c>
      <c r="BY18" t="inlineStr">
        <is>
          <t>FY2004</t>
        </is>
      </c>
      <c r="BZ18" t="inlineStr">
        <is>
          <t>FY2005</t>
        </is>
      </c>
      <c r="CA18" t="inlineStr">
        <is>
          <t>FY2006</t>
        </is>
      </c>
      <c r="CB18" t="inlineStr">
        <is>
          <t>FY2007</t>
        </is>
      </c>
      <c r="CC18" t="inlineStr">
        <is>
          <t>FY2008</t>
        </is>
      </c>
      <c r="CD18" t="inlineStr">
        <is>
          <t>FY2009</t>
        </is>
      </c>
      <c r="CE18" t="inlineStr">
        <is>
          <t>FY2010</t>
        </is>
      </c>
      <c r="CF18" t="inlineStr">
        <is>
          <t>FY2011</t>
        </is>
      </c>
      <c r="CG18" t="inlineStr">
        <is>
          <t>FY2012</t>
        </is>
      </c>
      <c r="CH18" t="inlineStr">
        <is>
          <t>FY2013</t>
        </is>
      </c>
      <c r="CI18" t="inlineStr">
        <is>
          <t>FY2014</t>
        </is>
      </c>
      <c r="CJ18" t="inlineStr">
        <is>
          <t>FY2015</t>
        </is>
      </c>
      <c r="CK18" t="inlineStr">
        <is>
          <t>FY2016</t>
        </is>
      </c>
      <c r="CL18" t="inlineStr">
        <is>
          <t>FY2017</t>
        </is>
      </c>
      <c r="CM18" t="inlineStr">
        <is>
          <t>FY2018</t>
        </is>
      </c>
      <c r="CN18" t="inlineStr">
        <is>
          <t>FY2019</t>
        </is>
      </c>
      <c r="CO18" t="inlineStr">
        <is>
          <t>FY2020</t>
        </is>
      </c>
      <c r="CP18" t="inlineStr">
        <is>
          <t>FY2021</t>
        </is>
      </c>
      <c r="CQ18" t="inlineStr">
        <is>
          <t>FY2022</t>
        </is>
      </c>
      <c r="CR18" t="inlineStr">
        <is>
          <t>FY2023</t>
        </is>
      </c>
      <c r="CS18" t="inlineStr">
        <is>
          <t>FY2024</t>
        </is>
      </c>
      <c r="CT18" t="inlineStr">
        <is>
          <t>FY2025</t>
        </is>
      </c>
    </row>
    <row r="19">
      <c r="A19" s="5" t="inlineStr">
        <is>
          <t>Opening total shareholders' funds</t>
        </is>
      </c>
      <c r="B19" s="5" t="n">
        <v>15512</v>
      </c>
      <c r="C19" s="5" t="n">
        <v>9876</v>
      </c>
      <c r="D19" s="5" t="n">
        <v>9353</v>
      </c>
      <c r="E19" s="5" t="n">
        <v>7451</v>
      </c>
      <c r="F19" s="5" t="n">
        <v>6771</v>
      </c>
      <c r="G19" s="5" t="n">
        <v>6145</v>
      </c>
      <c r="H19" s="5" t="n">
        <v>5908</v>
      </c>
      <c r="I19" s="5" t="n">
        <v>5778</v>
      </c>
      <c r="J19" s="5" t="n">
        <v>5667</v>
      </c>
      <c r="K19" s="5" t="n">
        <v>5631</v>
      </c>
      <c r="L19" s="5" t="n">
        <v>4847</v>
      </c>
      <c r="M19" s="5" t="n">
        <v>4646</v>
      </c>
      <c r="N19" s="5" t="n"/>
      <c r="O19" s="5" t="n"/>
      <c r="P19" s="5" t="n"/>
      <c r="Q19" s="5" t="n"/>
      <c r="R19" s="5" t="n"/>
      <c r="S19" s="5" t="n"/>
      <c r="T19" s="5" t="n"/>
      <c r="U19" s="5" t="n"/>
      <c r="V19" s="5" t="n"/>
      <c r="W19" s="5" t="n"/>
      <c r="BX19" t="inlineStr">
        <is>
          <t>Opening total shareholders' funds</t>
        </is>
      </c>
      <c r="CI19" t="n">
        <v>4646</v>
      </c>
      <c r="CJ19" t="n">
        <v>4847</v>
      </c>
      <c r="CK19" t="n">
        <v>5631</v>
      </c>
      <c r="CL19" t="n">
        <v>5667</v>
      </c>
      <c r="CM19" t="n">
        <v>5778</v>
      </c>
      <c r="CN19" t="n">
        <v>5908</v>
      </c>
      <c r="CO19" t="n">
        <v>6145</v>
      </c>
      <c r="CP19" t="n">
        <v>6771</v>
      </c>
      <c r="CQ19" t="n">
        <v>7451</v>
      </c>
      <c r="CR19" t="n">
        <v>9353</v>
      </c>
      <c r="CS19" t="n">
        <v>9876</v>
      </c>
      <c r="CT19" t="n">
        <v>15512</v>
      </c>
    </row>
    <row r="20">
      <c r="A20" s="5" t="inlineStr">
        <is>
          <t>(Loss)/profit for the financial year</t>
        </is>
      </c>
      <c r="B20" s="5" t="n">
        <v>-804</v>
      </c>
      <c r="C20" s="5" t="n">
        <v>279</v>
      </c>
      <c r="D20" s="5" t="n">
        <v>523</v>
      </c>
      <c r="E20" s="5" t="n">
        <v>102</v>
      </c>
      <c r="F20" s="5" t="n">
        <v>680</v>
      </c>
      <c r="G20" s="5" t="n">
        <v>-24</v>
      </c>
      <c r="H20" s="5" t="n">
        <v>257</v>
      </c>
      <c r="I20" s="5" t="n">
        <v>146</v>
      </c>
      <c r="J20" s="5" t="n">
        <v>105</v>
      </c>
      <c r="K20" s="5" t="n">
        <v>34</v>
      </c>
      <c r="L20" s="5" t="n">
        <v>720</v>
      </c>
      <c r="M20" s="5" t="n">
        <v>69</v>
      </c>
      <c r="N20" s="5" t="n"/>
      <c r="O20" s="5" t="n"/>
      <c r="P20" s="5" t="n"/>
      <c r="Q20" s="5" t="n"/>
      <c r="R20" s="5" t="n"/>
      <c r="S20" s="5" t="n"/>
      <c r="T20" s="5" t="n"/>
      <c r="U20" s="5" t="n"/>
      <c r="V20" s="5" t="n"/>
      <c r="W20" s="5" t="n"/>
      <c r="BX20" t="inlineStr">
        <is>
          <t>(Loss)/profit for the financial year</t>
        </is>
      </c>
      <c r="CI20" t="n">
        <v>69</v>
      </c>
      <c r="CJ20" t="n">
        <v>720</v>
      </c>
      <c r="CK20" t="n">
        <v>34</v>
      </c>
      <c r="CL20" t="n">
        <v>105</v>
      </c>
      <c r="CM20" t="n">
        <v>146</v>
      </c>
      <c r="CN20" t="n">
        <v>257</v>
      </c>
      <c r="CO20" t="n">
        <v>-24</v>
      </c>
      <c r="CP20" t="n">
        <v>680</v>
      </c>
      <c r="CQ20" t="n">
        <v>102</v>
      </c>
      <c r="CR20" t="n">
        <v>523</v>
      </c>
      <c r="CS20" t="n">
        <v>279</v>
      </c>
      <c r="CT20" t="n">
        <v>-804</v>
      </c>
    </row>
    <row r="21">
      <c r="A21" s="5" t="inlineStr">
        <is>
          <t>Other equity movements, net</t>
        </is>
      </c>
      <c r="B21" s="5" t="n">
        <v>1100</v>
      </c>
      <c r="C21" s="5" t="n">
        <v>5357</v>
      </c>
      <c r="D21" s="5" t="n">
        <v>0</v>
      </c>
      <c r="E21" s="5" t="n">
        <v>1800</v>
      </c>
      <c r="F21" s="5" t="n">
        <v>0</v>
      </c>
      <c r="G21" s="5" t="n">
        <v>650</v>
      </c>
      <c r="H21" s="5" t="n">
        <v>0</v>
      </c>
      <c r="I21" s="5" t="n">
        <v>-16</v>
      </c>
      <c r="J21" s="5" t="n">
        <v>6</v>
      </c>
      <c r="K21" s="5" t="n">
        <v>2</v>
      </c>
      <c r="L21" s="5" t="n">
        <v>64</v>
      </c>
      <c r="M21" s="5" t="n">
        <v>245</v>
      </c>
      <c r="N21" s="5" t="n"/>
      <c r="O21" s="5" t="n"/>
      <c r="P21" s="5" t="n"/>
      <c r="Q21" s="5" t="n"/>
      <c r="R21" s="5" t="n"/>
      <c r="S21" s="5" t="n"/>
      <c r="T21" s="5" t="n"/>
      <c r="U21" s="5" t="n"/>
      <c r="V21" s="5" t="n"/>
      <c r="W21" s="5" t="n"/>
      <c r="BX21" t="inlineStr">
        <is>
          <t>Other equity movements, net</t>
        </is>
      </c>
      <c r="CI21" t="n">
        <v>245</v>
      </c>
      <c r="CJ21" t="n">
        <v>64</v>
      </c>
      <c r="CK21" t="n">
        <v>2</v>
      </c>
      <c r="CL21" t="n">
        <v>6</v>
      </c>
      <c r="CM21" t="n">
        <v>-16</v>
      </c>
      <c r="CN21" t="n">
        <v>0</v>
      </c>
      <c r="CO21" t="n">
        <v>650</v>
      </c>
      <c r="CP21" t="n">
        <v>0</v>
      </c>
      <c r="CQ21" t="n">
        <v>1800</v>
      </c>
      <c r="CR21" t="n">
        <v>0</v>
      </c>
      <c r="CS21" t="n">
        <v>5357</v>
      </c>
      <c r="CT21" t="n">
        <v>1100</v>
      </c>
    </row>
    <row r="22">
      <c r="A22" s="5" t="inlineStr">
        <is>
          <t>Closing total shareholders' funds</t>
        </is>
      </c>
      <c r="B22" s="5" t="n">
        <v>15808</v>
      </c>
      <c r="C22" s="5" t="n">
        <v>15512</v>
      </c>
      <c r="D22" s="5" t="n">
        <v>9876</v>
      </c>
      <c r="E22" s="5" t="n">
        <v>9353</v>
      </c>
      <c r="F22" s="5" t="n">
        <v>7451</v>
      </c>
      <c r="G22" s="5" t="n">
        <v>6771</v>
      </c>
      <c r="H22" s="5" t="n">
        <v>6145</v>
      </c>
      <c r="I22" s="5" t="n">
        <v>5908</v>
      </c>
      <c r="J22" s="5" t="n">
        <v>5778</v>
      </c>
      <c r="K22" s="5" t="n">
        <v>5667</v>
      </c>
      <c r="L22" s="5" t="n">
        <v>5631</v>
      </c>
      <c r="M22" s="5" t="n">
        <v>4960</v>
      </c>
      <c r="N22" s="5" t="n"/>
      <c r="O22" s="5" t="n"/>
      <c r="P22" s="5" t="n"/>
      <c r="Q22" s="5" t="n"/>
      <c r="R22" s="5" t="n"/>
      <c r="S22" s="5" t="n"/>
      <c r="T22" s="5" t="n"/>
      <c r="U22" s="5" t="n"/>
      <c r="V22" s="5" t="n"/>
      <c r="W22" s="5" t="n"/>
      <c r="BX22" t="inlineStr">
        <is>
          <t>Closing total shareholders' funds</t>
        </is>
      </c>
      <c r="CI22" t="n">
        <v>4960</v>
      </c>
      <c r="CJ22" t="n">
        <v>5631</v>
      </c>
      <c r="CK22" t="n">
        <v>5667</v>
      </c>
      <c r="CL22" t="n">
        <v>5778</v>
      </c>
      <c r="CM22" t="n">
        <v>5908</v>
      </c>
      <c r="CN22" t="n">
        <v>6145</v>
      </c>
      <c r="CO22" t="n">
        <v>6771</v>
      </c>
      <c r="CP22" t="n">
        <v>7451</v>
      </c>
      <c r="CQ22" t="n">
        <v>9353</v>
      </c>
      <c r="CR22" t="n">
        <v>9876</v>
      </c>
      <c r="CS22" t="n">
        <v>15512</v>
      </c>
      <c r="CT22" t="n">
        <v>15808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V25" s="4" t="inlineStr">
        <is>
          <t>FY2005</t>
        </is>
      </c>
      <c r="W25" s="4" t="inlineStr">
        <is>
          <t>FY2004</t>
        </is>
      </c>
      <c r="CX25" t="inlineStr">
        <is>
          <t>FY2004</t>
        </is>
      </c>
      <c r="CY25" t="inlineStr">
        <is>
          <t>FY2005</t>
        </is>
      </c>
      <c r="CZ25" t="inlineStr">
        <is>
          <t>FY2006</t>
        </is>
      </c>
      <c r="DA25" t="inlineStr">
        <is>
          <t>FY2007</t>
        </is>
      </c>
      <c r="DB25" t="inlineStr">
        <is>
          <t>FY2008</t>
        </is>
      </c>
      <c r="DC25" t="inlineStr">
        <is>
          <t>FY2009</t>
        </is>
      </c>
      <c r="DD25" t="inlineStr">
        <is>
          <t>FY2010</t>
        </is>
      </c>
      <c r="DE25" t="inlineStr">
        <is>
          <t>FY2011</t>
        </is>
      </c>
      <c r="DF25" t="inlineStr">
        <is>
          <t>FY2012</t>
        </is>
      </c>
      <c r="DG25" t="inlineStr">
        <is>
          <t>FY2013</t>
        </is>
      </c>
      <c r="DH25" t="inlineStr">
        <is>
          <t>FY2014</t>
        </is>
      </c>
      <c r="DI25" t="inlineStr">
        <is>
          <t>FY2015</t>
        </is>
      </c>
      <c r="DJ25" t="inlineStr">
        <is>
          <t>FY2016</t>
        </is>
      </c>
      <c r="DK25" t="inlineStr">
        <is>
          <t>FY2017</t>
        </is>
      </c>
      <c r="DL25" t="inlineStr">
        <is>
          <t>FY2018</t>
        </is>
      </c>
      <c r="DM25" t="inlineStr">
        <is>
          <t>FY2019</t>
        </is>
      </c>
      <c r="DN25" t="inlineStr">
        <is>
          <t>FY2020</t>
        </is>
      </c>
      <c r="DO25" t="inlineStr">
        <is>
          <t>FY2021</t>
        </is>
      </c>
      <c r="DP25" t="inlineStr">
        <is>
          <t>FY2022</t>
        </is>
      </c>
      <c r="DQ25" t="inlineStr">
        <is>
          <t>FY2023</t>
        </is>
      </c>
      <c r="DR25" t="inlineStr">
        <is>
          <t>FY2024</t>
        </is>
      </c>
      <c r="DS25" t="inlineStr">
        <is>
          <t>FY2025</t>
        </is>
      </c>
    </row>
    <row r="26">
      <c r="A26" s="5" t="inlineStr">
        <is>
          <t>Net cash flow from/(used in) operating activities</t>
        </is>
      </c>
      <c r="B26" s="5" t="n">
        <v>-1134</v>
      </c>
      <c r="C26" s="5" t="n">
        <v>-583</v>
      </c>
      <c r="D26" s="5" t="n">
        <v>10244</v>
      </c>
      <c r="E26" s="5" t="n">
        <v>3132</v>
      </c>
      <c r="F26" s="5" t="n">
        <v>-630</v>
      </c>
      <c r="G26" s="5" t="n">
        <v>6970</v>
      </c>
      <c r="H26" s="5" t="n">
        <v>1938</v>
      </c>
      <c r="I26" s="5" t="n">
        <v>-4121</v>
      </c>
      <c r="J26" s="5" t="n">
        <v>1102</v>
      </c>
      <c r="K26" s="5" t="n">
        <v>485</v>
      </c>
      <c r="L26" s="5" t="n">
        <v>-5612</v>
      </c>
      <c r="M26" s="5" t="n"/>
      <c r="N26" s="5" t="n"/>
      <c r="O26" s="5" t="n"/>
      <c r="P26" s="5" t="n"/>
      <c r="Q26" s="5" t="n"/>
      <c r="R26" s="5" t="n"/>
      <c r="S26" s="5" t="n"/>
      <c r="T26" s="5" t="n"/>
      <c r="U26" s="5" t="n"/>
      <c r="V26" s="5" t="n"/>
      <c r="W26" s="5" t="n"/>
      <c r="CW26" t="inlineStr">
        <is>
          <t>Net cash flow from/(used in) operating activities</t>
        </is>
      </c>
      <c r="DI26" t="n">
        <v>-5612</v>
      </c>
      <c r="DJ26" t="n">
        <v>485</v>
      </c>
      <c r="DK26" t="n">
        <v>1102</v>
      </c>
      <c r="DL26" t="n">
        <v>-4121</v>
      </c>
      <c r="DM26" t="n">
        <v>1938</v>
      </c>
      <c r="DN26" t="n">
        <v>6970</v>
      </c>
      <c r="DO26" t="n">
        <v>-630</v>
      </c>
      <c r="DP26" t="n">
        <v>3132</v>
      </c>
      <c r="DQ26" t="n">
        <v>10244</v>
      </c>
      <c r="DR26" t="n">
        <v>-583</v>
      </c>
      <c r="DS26" t="n">
        <v>-1134</v>
      </c>
    </row>
    <row r="27">
      <c r="A27" s="5" t="inlineStr">
        <is>
          <t>Net cash flow from/(used in) investing activities</t>
        </is>
      </c>
      <c r="B27" s="5" t="n">
        <v>-43</v>
      </c>
      <c r="C27" s="5" t="n">
        <v>-41</v>
      </c>
      <c r="D27" s="5" t="n">
        <v>-47</v>
      </c>
      <c r="E27" s="5" t="n">
        <v>-40</v>
      </c>
      <c r="F27" s="5" t="n">
        <v>1769</v>
      </c>
      <c r="G27" s="5" t="n">
        <v>-69</v>
      </c>
      <c r="H27" s="5" t="n">
        <v>-97</v>
      </c>
      <c r="I27" s="5" t="n">
        <v>-52</v>
      </c>
      <c r="J27" s="5" t="n">
        <v>-31</v>
      </c>
      <c r="K27" s="5" t="n">
        <v>-191</v>
      </c>
      <c r="L27" s="5" t="n">
        <v>3325</v>
      </c>
      <c r="M27" s="5" t="n"/>
      <c r="N27" s="5" t="n"/>
      <c r="O27" s="5" t="n"/>
      <c r="P27" s="5" t="n"/>
      <c r="Q27" s="5" t="n"/>
      <c r="R27" s="5" t="n"/>
      <c r="S27" s="5" t="n"/>
      <c r="T27" s="5" t="n"/>
      <c r="U27" s="5" t="n"/>
      <c r="V27" s="5" t="n"/>
      <c r="W27" s="5" t="n"/>
      <c r="CW27" t="inlineStr">
        <is>
          <t>Net cash flow from/(used in) investing activities</t>
        </is>
      </c>
      <c r="DI27" t="n">
        <v>3325</v>
      </c>
      <c r="DJ27" t="n">
        <v>-191</v>
      </c>
      <c r="DK27" t="n">
        <v>-31</v>
      </c>
      <c r="DL27" t="n">
        <v>-52</v>
      </c>
      <c r="DM27" t="n">
        <v>-97</v>
      </c>
      <c r="DN27" t="n">
        <v>-69</v>
      </c>
      <c r="DO27" t="n">
        <v>1769</v>
      </c>
      <c r="DP27" t="n">
        <v>-40</v>
      </c>
      <c r="DQ27" t="n">
        <v>-47</v>
      </c>
      <c r="DR27" t="n">
        <v>-41</v>
      </c>
      <c r="DS27" t="n">
        <v>-43</v>
      </c>
    </row>
    <row r="28">
      <c r="A28" s="5" t="inlineStr">
        <is>
          <t>Net cash flow from/(used in) financing activities</t>
        </is>
      </c>
      <c r="B28" s="5" t="n">
        <v>1100</v>
      </c>
      <c r="C28" s="5" t="n">
        <v>5357</v>
      </c>
      <c r="D28" s="5" t="n">
        <v>0</v>
      </c>
      <c r="E28" s="5" t="n">
        <v>1739</v>
      </c>
      <c r="F28" s="5" t="n">
        <v>-670</v>
      </c>
      <c r="G28" s="5" t="n">
        <v>650</v>
      </c>
      <c r="H28" s="5" t="n">
        <v>-20</v>
      </c>
      <c r="I28" s="5" t="n">
        <v>-166</v>
      </c>
      <c r="J28" s="5" t="n">
        <v>0</v>
      </c>
      <c r="K28" s="5" t="n">
        <v>-100</v>
      </c>
      <c r="L28" s="5" t="n">
        <v>0</v>
      </c>
      <c r="M28" s="5" t="n"/>
      <c r="N28" s="5" t="n"/>
      <c r="O28" s="5" t="n"/>
      <c r="P28" s="5" t="n"/>
      <c r="Q28" s="5" t="n"/>
      <c r="R28" s="5" t="n"/>
      <c r="S28" s="5" t="n"/>
      <c r="T28" s="5" t="n"/>
      <c r="U28" s="5" t="n"/>
      <c r="V28" s="5" t="n"/>
      <c r="W28" s="5" t="n"/>
      <c r="CW28" t="inlineStr">
        <is>
          <t>Net cash flow from/(used in) financing activities</t>
        </is>
      </c>
      <c r="DI28" t="n">
        <v>0</v>
      </c>
      <c r="DJ28" t="n">
        <v>-100</v>
      </c>
      <c r="DK28" t="n">
        <v>0</v>
      </c>
      <c r="DL28" t="n">
        <v>-166</v>
      </c>
      <c r="DM28" t="n">
        <v>-20</v>
      </c>
      <c r="DN28" t="n">
        <v>650</v>
      </c>
      <c r="DO28" t="n">
        <v>-670</v>
      </c>
      <c r="DP28" t="n">
        <v>1739</v>
      </c>
      <c r="DQ28" t="n">
        <v>0</v>
      </c>
      <c r="DR28" t="n">
        <v>5357</v>
      </c>
      <c r="DS28" t="n">
        <v>1100</v>
      </c>
    </row>
    <row r="29">
      <c r="A29" s="5" t="inlineStr">
        <is>
          <t>Cash and cash equivalents at end of year</t>
        </is>
      </c>
      <c r="B29" s="5" t="n">
        <v>39714</v>
      </c>
      <c r="C29" s="5" t="n">
        <v>39791</v>
      </c>
      <c r="D29" s="5" t="n">
        <v>35058</v>
      </c>
      <c r="E29" s="5" t="n">
        <v>24861</v>
      </c>
      <c r="F29" s="5" t="n">
        <v>20030</v>
      </c>
      <c r="G29" s="5" t="n">
        <v>19561</v>
      </c>
      <c r="H29" s="5" t="n">
        <v>12010</v>
      </c>
      <c r="I29" s="5" t="n">
        <v>10189</v>
      </c>
      <c r="J29" s="5" t="n">
        <v>14528</v>
      </c>
      <c r="K29" s="5" t="n">
        <v>13457</v>
      </c>
      <c r="L29" s="5" t="n">
        <v>13263</v>
      </c>
      <c r="M29" s="5" t="n"/>
      <c r="N29" s="5" t="n"/>
      <c r="O29" s="5" t="n"/>
      <c r="P29" s="5" t="n"/>
      <c r="Q29" s="5" t="n"/>
      <c r="R29" s="5" t="n"/>
      <c r="S29" s="5" t="n"/>
      <c r="T29" s="5" t="n"/>
      <c r="U29" s="5" t="n"/>
      <c r="V29" s="5" t="n"/>
      <c r="W29" s="5" t="n"/>
      <c r="CW29" t="inlineStr">
        <is>
          <t>Cash and cash equivalents at end of year</t>
        </is>
      </c>
      <c r="DI29" t="n">
        <v>13263</v>
      </c>
      <c r="DJ29" t="n">
        <v>13457</v>
      </c>
      <c r="DK29" t="n">
        <v>14528</v>
      </c>
      <c r="DL29" t="n">
        <v>10189</v>
      </c>
      <c r="DM29" t="n">
        <v>12010</v>
      </c>
      <c r="DN29" t="n">
        <v>19561</v>
      </c>
      <c r="DO29" t="n">
        <v>20030</v>
      </c>
      <c r="DP29" t="n">
        <v>24861</v>
      </c>
      <c r="DQ29" t="n">
        <v>35058</v>
      </c>
      <c r="DR29" t="n">
        <v>39791</v>
      </c>
      <c r="DS29" t="n">
        <v>39714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c r="V32" s="4" t="inlineStr">
        <is>
          <t>FY2005</t>
        </is>
      </c>
      <c r="W32" s="4" t="inlineStr">
        <is>
          <t>FY2004</t>
        </is>
      </c>
    </row>
    <row r="33">
      <c r="A33" s="6" t="inlineStr">
        <is>
          <t>CET1 ratio</t>
        </is>
      </c>
      <c r="B33" s="6" t="inlineStr">
        <is>
          <t>18.8%</t>
        </is>
      </c>
      <c r="C33" s="6" t="inlineStr">
        <is>
          <t>22.2%</t>
        </is>
      </c>
      <c r="D33" s="6" t="inlineStr">
        <is>
          <t>17.37%</t>
        </is>
      </c>
      <c r="E33" s="6" t="inlineStr">
        <is>
          <t>20.84%</t>
        </is>
      </c>
      <c r="F33" s="6" t="inlineStr">
        <is>
          <t>16.97%</t>
        </is>
      </c>
      <c r="G33" s="6" t="inlineStr">
        <is>
          <t>17.13%</t>
        </is>
      </c>
      <c r="H33" s="6" t="inlineStr">
        <is>
          <t>15.27%</t>
        </is>
      </c>
      <c r="I33" s="6" t="inlineStr">
        <is>
          <t>14.57%</t>
        </is>
      </c>
      <c r="J33" s="6" t="inlineStr">
        <is>
          <t>14.41%</t>
        </is>
      </c>
      <c r="K33" s="6" t="inlineStr">
        <is>
          <t>16.25%</t>
        </is>
      </c>
      <c r="L33" s="6" t="inlineStr">
        <is>
          <t>14.45%</t>
        </is>
      </c>
      <c r="M33" s="6" t="n"/>
      <c r="N33" s="6" t="n"/>
      <c r="O33" s="6" t="n"/>
      <c r="P33" s="6" t="n"/>
      <c r="Q33" s="6" t="n"/>
      <c r="R33" s="6" t="n"/>
      <c r="S33" s="6" t="n"/>
      <c r="T33" s="6" t="n"/>
      <c r="U33" s="6" t="n"/>
      <c r="V33" s="6" t="n"/>
      <c r="W33" s="6" t="n"/>
    </row>
    <row r="34">
      <c r="A34" s="6" t="inlineStr">
        <is>
          <t>Leverage ratio</t>
        </is>
      </c>
      <c r="B34" s="6" t="inlineStr">
        <is>
          <t>12.4%</t>
        </is>
      </c>
      <c r="C34" s="6" t="inlineStr">
        <is>
          <t>10.8%</t>
        </is>
      </c>
      <c r="D34" s="6" t="inlineStr">
        <is>
          <t>7.96%</t>
        </is>
      </c>
      <c r="E34" s="6" t="inlineStr">
        <is>
          <t>10.02%</t>
        </is>
      </c>
      <c r="F34" s="6" t="inlineStr">
        <is>
          <t>9.03%</t>
        </is>
      </c>
      <c r="G34" s="6" t="inlineStr">
        <is>
          <t>9.37%</t>
        </is>
      </c>
      <c r="H34" s="6" t="inlineStr">
        <is>
          <t>9.40%</t>
        </is>
      </c>
      <c r="I34" s="6" t="inlineStr">
        <is>
          <t>10.10%</t>
        </is>
      </c>
      <c r="J34" s="6" t="inlineStr">
        <is>
          <t>9.38%</t>
        </is>
      </c>
      <c r="K34" s="6" t="inlineStr">
        <is>
          <t>10.09%</t>
        </is>
      </c>
      <c r="L34" s="6" t="inlineStr">
        <is>
          <t>8.96%</t>
        </is>
      </c>
      <c r="M34" s="6" t="n"/>
      <c r="N34" s="6" t="n"/>
      <c r="O34" s="6" t="n"/>
      <c r="P34" s="6" t="n"/>
      <c r="Q34" s="6" t="n"/>
      <c r="R34" s="6" t="n"/>
      <c r="S34" s="6" t="n"/>
      <c r="T34" s="6" t="n"/>
      <c r="U34" s="6" t="n"/>
      <c r="V34" s="6" t="n"/>
      <c r="W34" s="6" t="n"/>
    </row>
    <row r="36" ht="45" customHeight="1">
      <c r="A36" s="7" t="inlineStr">
        <is>
          <t>Note: No Pillar 3 ratio-type metrics (CET1/Tier 1/Total Capital Ratio, Leverage Ratio, LCR, NSFR, MREL Ratio) or Total RWAs are disclosed by Kingdom Bank via a standalone Pillar 3 document in any of the 12 years reviewed, but a CET1 ratio and Leverage ratio (both charted above) plus an LCR ratio are disclosed as Key Performance Indicators in each year's Strategic Report from FY2015 onward (LCR is omitted from the chart above only because its scale, running into four figures in most years, dwarfs the other two - see the LCR sheet directly). FY2014 predates this KPI table and has no ratio data. Total Capital ratio, Total RWAs, NSFR and MREL ratio remain genuinely undisclosed in every year. CET1 Capital, Tier 1 Capital and Total Capital (£'000) are disclosed for all 12 years on their own sheets. Balance Sheet, Profit &amp; Loss, Statement of Changes in Equity and Cash Flow figures are duplicated from their own sheets for at-a-glance trend viewing - how the bank is using its money (steady growth in loans and advances to churches/charities/individuals, funded by customer deposits) and the risk it is taking with it (a small, consistently sub-1%-of-gross-advances loan loss provision throughout). FY2014 has no cash flow figures (see the Cash Flow Statement sheet's source note).</t>
        </is>
      </c>
    </row>
  </sheetData>
  <mergeCells count="1">
    <mergeCell ref="A36:W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Balance Sheet</t>
        </is>
      </c>
    </row>
    <row r="2">
      <c r="A2" s="2" t="inlineStr">
        <is>
          <t>Statement of financial position, 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Cash and balances at central banks (no such line existed before FY2010 - see source note)</t>
        </is>
      </c>
      <c r="B5" s="6" t="n">
        <v>38497</v>
      </c>
      <c r="C5" s="6" t="n">
        <v>38548</v>
      </c>
      <c r="D5" s="6" t="n">
        <v>34064</v>
      </c>
      <c r="E5" s="6" t="n">
        <v>23032</v>
      </c>
      <c r="F5" s="6" t="n">
        <v>10087</v>
      </c>
      <c r="G5" s="6" t="n">
        <v>6678</v>
      </c>
      <c r="H5" s="6" t="n">
        <v>6502</v>
      </c>
      <c r="I5" s="6" t="n">
        <v>4502</v>
      </c>
      <c r="J5" s="6" t="n">
        <v>4523</v>
      </c>
      <c r="K5" s="6" t="n">
        <v>4261</v>
      </c>
      <c r="L5" s="6" t="n">
        <v>3993</v>
      </c>
      <c r="M5" s="6" t="n">
        <v>3973</v>
      </c>
      <c r="N5" s="6" t="n">
        <v>3703</v>
      </c>
      <c r="O5" s="6" t="n">
        <v>4033</v>
      </c>
      <c r="P5" s="6" t="n">
        <v>2014</v>
      </c>
      <c r="Q5" s="6" t="n">
        <v>3001</v>
      </c>
      <c r="R5" s="6" t="n"/>
      <c r="S5" s="6" t="n"/>
      <c r="T5" s="6" t="n"/>
      <c r="U5" s="6" t="n"/>
      <c r="V5" s="6" t="n"/>
      <c r="W5" s="6" t="n"/>
    </row>
    <row r="6">
      <c r="A6" s="6" t="inlineStr">
        <is>
          <t>Loans and advances to banks (FY2014's own label: 'Loans and advances to credit institutions'; FY2004 combines that year's separate banks/building-societies lines - see source note)</t>
        </is>
      </c>
      <c r="B6" s="6" t="n">
        <v>1217</v>
      </c>
      <c r="C6" s="6" t="n">
        <v>1243</v>
      </c>
      <c r="D6" s="6" t="n">
        <v>994</v>
      </c>
      <c r="E6" s="6" t="n">
        <v>1829</v>
      </c>
      <c r="F6" s="6" t="n">
        <v>10795</v>
      </c>
      <c r="G6" s="6" t="n">
        <v>14135</v>
      </c>
      <c r="H6" s="6" t="n">
        <v>5509</v>
      </c>
      <c r="I6" s="6" t="n">
        <v>5939</v>
      </c>
      <c r="J6" s="6" t="n">
        <v>11311</v>
      </c>
      <c r="K6" s="6" t="n">
        <v>9864</v>
      </c>
      <c r="L6" s="6" t="n">
        <v>10981</v>
      </c>
      <c r="M6" s="6" t="n">
        <v>11905</v>
      </c>
      <c r="N6" s="6" t="n">
        <v>17724</v>
      </c>
      <c r="O6" s="6" t="n">
        <v>13663</v>
      </c>
      <c r="P6" s="6" t="n">
        <v>16043</v>
      </c>
      <c r="Q6" s="6" t="n">
        <v>16236</v>
      </c>
      <c r="R6" s="6" t="n">
        <v>15052</v>
      </c>
      <c r="S6" s="6" t="n">
        <v>23823</v>
      </c>
      <c r="T6" s="6" t="n">
        <v>23472</v>
      </c>
      <c r="U6" s="6" t="n">
        <v>11711</v>
      </c>
      <c r="V6" s="6" t="n">
        <v>10925</v>
      </c>
      <c r="W6" s="6" t="n">
        <v>9858</v>
      </c>
    </row>
    <row r="7">
      <c r="A7" s="6" t="inlineStr">
        <is>
          <t>Loans and advances to customers</t>
        </is>
      </c>
      <c r="B7" s="6" t="n">
        <v>118242</v>
      </c>
      <c r="C7" s="6" t="n">
        <v>97733</v>
      </c>
      <c r="D7" s="6" t="n">
        <v>77532</v>
      </c>
      <c r="E7" s="6" t="n">
        <v>63291</v>
      </c>
      <c r="F7" s="6" t="n">
        <v>53795</v>
      </c>
      <c r="G7" s="6" t="n">
        <v>47114</v>
      </c>
      <c r="H7" s="6" t="n">
        <v>45339</v>
      </c>
      <c r="I7" s="6" t="n">
        <v>41404</v>
      </c>
      <c r="J7" s="6" t="n">
        <v>38438</v>
      </c>
      <c r="K7" s="6" t="n">
        <v>35336</v>
      </c>
      <c r="L7" s="6" t="n">
        <v>33028</v>
      </c>
      <c r="M7" s="6" t="n">
        <v>29724</v>
      </c>
      <c r="N7" s="6" t="n">
        <v>28355</v>
      </c>
      <c r="O7" s="6" t="n">
        <v>27886</v>
      </c>
      <c r="P7" s="6" t="n">
        <v>28238</v>
      </c>
      <c r="Q7" s="6" t="n">
        <v>32538</v>
      </c>
      <c r="R7" s="6" t="n">
        <v>33073</v>
      </c>
      <c r="S7" s="6" t="n">
        <v>26860</v>
      </c>
      <c r="T7" s="6" t="n">
        <v>20322</v>
      </c>
      <c r="U7" s="6" t="n">
        <v>21208</v>
      </c>
      <c r="V7" s="6" t="n">
        <v>17900</v>
      </c>
      <c r="W7" s="6" t="n">
        <v>16680</v>
      </c>
    </row>
    <row r="8">
      <c r="A8" s="6" t="inlineStr">
        <is>
          <t>Debt securities - available-for-sale, UK government gilts/bonds per FY2009 disclosure (not disclosed before FY2009, nil FY2010; see PRESENTATION NOTE (11))</t>
        </is>
      </c>
      <c r="B8" s="6" t="n"/>
      <c r="C8" s="6" t="n"/>
      <c r="D8" s="6" t="n"/>
      <c r="E8" s="6" t="n"/>
      <c r="F8" s="6" t="n"/>
      <c r="G8" s="6" t="n"/>
      <c r="H8" s="6" t="n"/>
      <c r="I8" s="6" t="n"/>
      <c r="J8" s="6" t="n"/>
      <c r="K8" s="6" t="n"/>
      <c r="L8" s="6" t="n"/>
      <c r="M8" s="6" t="n">
        <v>0</v>
      </c>
      <c r="N8" s="6" t="n">
        <v>24</v>
      </c>
      <c r="O8" s="6" t="n">
        <v>25</v>
      </c>
      <c r="P8" s="6" t="n">
        <v>25</v>
      </c>
      <c r="Q8" s="6" t="n">
        <v>0</v>
      </c>
      <c r="R8" s="6" t="n">
        <v>1692</v>
      </c>
      <c r="S8" s="6" t="n"/>
      <c r="T8" s="6" t="n"/>
      <c r="U8" s="6" t="n"/>
      <c r="V8" s="6" t="n"/>
      <c r="W8" s="6" t="n"/>
    </row>
    <row r="9">
      <c r="A9" s="6" t="inlineStr">
        <is>
          <t>Investment property</t>
        </is>
      </c>
      <c r="B9" s="6" t="n">
        <v>650</v>
      </c>
      <c r="C9" s="6" t="n"/>
      <c r="D9" s="6" t="n"/>
      <c r="E9" s="6" t="n"/>
      <c r="F9" s="6" t="n"/>
      <c r="G9" s="6" t="n">
        <v>667</v>
      </c>
      <c r="H9" s="6" t="n">
        <v>667</v>
      </c>
      <c r="I9" s="6" t="n">
        <v>667</v>
      </c>
      <c r="J9" s="6" t="n">
        <v>500</v>
      </c>
      <c r="K9" s="6" t="n">
        <v>498</v>
      </c>
      <c r="L9" s="6" t="n"/>
      <c r="M9" s="6" t="n"/>
      <c r="N9" s="6" t="n"/>
      <c r="O9" s="6" t="n"/>
      <c r="P9" s="6" t="n"/>
      <c r="Q9" s="6" t="n"/>
      <c r="R9" s="6" t="n"/>
      <c r="S9" s="6" t="n"/>
      <c r="T9" s="6" t="n"/>
      <c r="U9" s="6" t="n"/>
      <c r="V9" s="6" t="n"/>
      <c r="W9" s="6" t="n"/>
    </row>
    <row r="10">
      <c r="A10" s="6" t="inlineStr">
        <is>
          <t>Intangible fixed assets (nil/absent before FY2008 - see source note)</t>
        </is>
      </c>
      <c r="B10" s="6" t="n">
        <v>18</v>
      </c>
      <c r="C10" s="6" t="n">
        <v>39</v>
      </c>
      <c r="D10" s="6" t="n">
        <v>75</v>
      </c>
      <c r="E10" s="6" t="n">
        <v>76</v>
      </c>
      <c r="F10" s="6" t="n">
        <v>83</v>
      </c>
      <c r="G10" s="6" t="n">
        <v>69</v>
      </c>
      <c r="H10" s="6" t="n">
        <v>69</v>
      </c>
      <c r="I10" s="6" t="n">
        <v>122</v>
      </c>
      <c r="J10" s="6" t="n">
        <v>189</v>
      </c>
      <c r="K10" s="6" t="n">
        <v>255</v>
      </c>
      <c r="L10" s="6" t="n">
        <v>168</v>
      </c>
      <c r="M10" s="6" t="n">
        <v>131</v>
      </c>
      <c r="N10" s="6" t="n">
        <v>162</v>
      </c>
      <c r="O10" s="6" t="n">
        <v>192</v>
      </c>
      <c r="P10" s="6" t="n">
        <v>222</v>
      </c>
      <c r="Q10" s="6" t="n">
        <v>252</v>
      </c>
      <c r="R10" s="6" t="n">
        <v>283</v>
      </c>
      <c r="S10" s="6" t="n">
        <v>0</v>
      </c>
      <c r="T10" s="6" t="n"/>
      <c r="U10" s="6" t="n"/>
      <c r="V10" s="6" t="n"/>
      <c r="W10" s="6" t="n"/>
    </row>
    <row r="11">
      <c r="A11" s="6" t="inlineStr">
        <is>
          <t>Tangible fixed assets (FY2014 figure includes freehold investment property, not separately disclosed that year)</t>
        </is>
      </c>
      <c r="B11" s="6" t="n">
        <v>171</v>
      </c>
      <c r="C11" s="6" t="n">
        <v>174</v>
      </c>
      <c r="D11" s="6" t="n">
        <v>192</v>
      </c>
      <c r="E11" s="6" t="n">
        <v>230</v>
      </c>
      <c r="F11" s="6" t="n">
        <v>268</v>
      </c>
      <c r="G11" s="6" t="n">
        <v>730</v>
      </c>
      <c r="H11" s="6" t="n">
        <v>742</v>
      </c>
      <c r="I11" s="6" t="n">
        <v>685</v>
      </c>
      <c r="J11" s="6" t="n">
        <v>842</v>
      </c>
      <c r="K11" s="6" t="n">
        <v>845</v>
      </c>
      <c r="L11" s="6" t="n">
        <v>1369</v>
      </c>
      <c r="M11" s="6" t="n">
        <v>3883</v>
      </c>
      <c r="N11" s="6" t="n">
        <v>3599</v>
      </c>
      <c r="O11" s="6" t="n">
        <v>3399</v>
      </c>
      <c r="P11" s="6" t="n">
        <v>1289</v>
      </c>
      <c r="Q11" s="6" t="n">
        <v>1355</v>
      </c>
      <c r="R11" s="6" t="n">
        <v>1384</v>
      </c>
      <c r="S11" s="6" t="n">
        <v>2235</v>
      </c>
      <c r="T11" s="6" t="n">
        <v>2171</v>
      </c>
      <c r="U11" s="6" t="n">
        <v>2035</v>
      </c>
      <c r="V11" s="6" t="n">
        <v>2110</v>
      </c>
      <c r="W11" s="6" t="n">
        <v>2146</v>
      </c>
    </row>
    <row r="12">
      <c r="A12" s="6" t="inlineStr">
        <is>
          <t>Fixed asset investment / Participating interests (49% of SALT Insurance Services Ltd, acquired 2 June 2008, sold during FY2012)</t>
        </is>
      </c>
      <c r="B12" s="6" t="n"/>
      <c r="C12" s="6" t="n"/>
      <c r="D12" s="6" t="n"/>
      <c r="E12" s="6" t="n"/>
      <c r="F12" s="6" t="n"/>
      <c r="G12" s="6" t="n"/>
      <c r="H12" s="6" t="n"/>
      <c r="I12" s="6" t="n"/>
      <c r="J12" s="6" t="n"/>
      <c r="K12" s="6" t="n"/>
      <c r="L12" s="6" t="n"/>
      <c r="M12" s="6" t="n"/>
      <c r="N12" s="6" t="n"/>
      <c r="O12" s="6" t="n"/>
      <c r="P12" s="6" t="n">
        <v>15</v>
      </c>
      <c r="Q12" s="6" t="n">
        <v>15</v>
      </c>
      <c r="R12" s="6" t="n">
        <v>15</v>
      </c>
      <c r="S12" s="6" t="n">
        <v>15</v>
      </c>
      <c r="T12" s="6" t="n"/>
      <c r="U12" s="6" t="n"/>
      <c r="V12" s="6" t="n"/>
      <c r="W12" s="6" t="n"/>
    </row>
    <row r="13">
      <c r="A13" s="6" t="inlineStr">
        <is>
          <t>Other assets</t>
        </is>
      </c>
      <c r="B13" s="6" t="n">
        <v>23</v>
      </c>
      <c r="C13" s="6" t="n">
        <v>63</v>
      </c>
      <c r="D13" s="6" t="n">
        <v>37</v>
      </c>
      <c r="E13" s="6" t="n">
        <v>481</v>
      </c>
      <c r="F13" s="6" t="n">
        <v>347</v>
      </c>
      <c r="G13" s="6" t="n">
        <v>388</v>
      </c>
      <c r="H13" s="6" t="n">
        <v>482</v>
      </c>
      <c r="I13" s="6" t="n">
        <v>484</v>
      </c>
      <c r="J13" s="6" t="n">
        <v>447</v>
      </c>
      <c r="K13" s="6" t="n">
        <v>390</v>
      </c>
      <c r="L13" s="6" t="n">
        <v>270</v>
      </c>
      <c r="M13" s="6" t="n"/>
      <c r="N13" s="6" t="n"/>
      <c r="O13" s="6" t="n"/>
      <c r="P13" s="6" t="n"/>
      <c r="Q13" s="6" t="n"/>
      <c r="R13" s="6" t="n"/>
      <c r="S13" s="6" t="n"/>
      <c r="T13" s="6" t="n"/>
      <c r="U13" s="6" t="n"/>
      <c r="V13" s="6" t="n"/>
      <c r="W13" s="6" t="n"/>
    </row>
    <row r="14">
      <c r="A14" s="6" t="inlineStr">
        <is>
          <t>Prepayments and accrued income</t>
        </is>
      </c>
      <c r="B14" s="6" t="n">
        <v>1056</v>
      </c>
      <c r="C14" s="6" t="n">
        <v>662</v>
      </c>
      <c r="D14" s="6" t="n">
        <v>571</v>
      </c>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Prepayments, accrued income and other assets (combined line every year before FY2015 - see source note)</t>
        </is>
      </c>
      <c r="B15" s="6" t="n"/>
      <c r="C15" s="6" t="n"/>
      <c r="D15" s="6" t="n"/>
      <c r="E15" s="6" t="n"/>
      <c r="F15" s="6" t="n"/>
      <c r="G15" s="6" t="n"/>
      <c r="H15" s="6" t="n"/>
      <c r="I15" s="6" t="n"/>
      <c r="J15" s="6" t="n"/>
      <c r="K15" s="6" t="n"/>
      <c r="L15" s="6" t="n"/>
      <c r="M15" s="6" t="n">
        <v>227</v>
      </c>
      <c r="N15" s="6" t="n">
        <v>251</v>
      </c>
      <c r="O15" s="6" t="n">
        <v>309</v>
      </c>
      <c r="P15" s="6" t="n">
        <v>296</v>
      </c>
      <c r="Q15" s="6" t="n">
        <v>162</v>
      </c>
      <c r="R15" s="6" t="n">
        <v>75</v>
      </c>
      <c r="S15" s="6" t="n">
        <v>26</v>
      </c>
      <c r="T15" s="6" t="n">
        <v>13</v>
      </c>
      <c r="U15" s="6" t="n">
        <v>30</v>
      </c>
      <c r="V15" s="6" t="n">
        <v>20</v>
      </c>
      <c r="W15" s="6" t="n">
        <v>10</v>
      </c>
    </row>
    <row r="16">
      <c r="A16" s="6" t="inlineStr">
        <is>
          <t>Deferred tax assets</t>
        </is>
      </c>
      <c r="B16" s="6" t="n">
        <v>297</v>
      </c>
      <c r="C16" s="6" t="n">
        <v>30</v>
      </c>
      <c r="D16" s="6" t="n">
        <v>44</v>
      </c>
      <c r="E16" s="6" t="n">
        <v>83</v>
      </c>
      <c r="F16" s="6" t="n">
        <v>166</v>
      </c>
      <c r="G16" s="6" t="n"/>
      <c r="H16" s="6" t="n"/>
      <c r="I16" s="6" t="n"/>
      <c r="J16" s="6" t="n"/>
      <c r="K16" s="6" t="n"/>
      <c r="L16" s="6" t="n"/>
      <c r="M16" s="6" t="n"/>
      <c r="N16" s="6" t="n"/>
      <c r="O16" s="6" t="n"/>
      <c r="P16" s="6" t="n"/>
      <c r="Q16" s="6" t="n"/>
      <c r="R16" s="6" t="n"/>
      <c r="S16" s="6" t="n"/>
      <c r="T16" s="6" t="n"/>
      <c r="U16" s="6" t="n"/>
      <c r="V16" s="6" t="n"/>
      <c r="W16" s="6" t="n"/>
    </row>
    <row r="17">
      <c r="A17" s="5" t="inlineStr">
        <is>
          <t>Total assets</t>
        </is>
      </c>
      <c r="B17" s="5" t="n">
        <v>160171</v>
      </c>
      <c r="C17" s="5" t="n">
        <v>138492</v>
      </c>
      <c r="D17" s="5" t="n">
        <v>113509</v>
      </c>
      <c r="E17" s="5" t="n">
        <v>89022</v>
      </c>
      <c r="F17" s="5" t="n">
        <v>75541</v>
      </c>
      <c r="G17" s="5" t="n">
        <v>69781</v>
      </c>
      <c r="H17" s="5" t="n">
        <v>59310</v>
      </c>
      <c r="I17" s="5" t="n">
        <v>53803</v>
      </c>
      <c r="J17" s="5" t="n">
        <v>56250</v>
      </c>
      <c r="K17" s="5" t="n">
        <v>51449</v>
      </c>
      <c r="L17" s="5" t="n">
        <v>49809</v>
      </c>
      <c r="M17" s="5" t="n">
        <v>49843</v>
      </c>
      <c r="N17" s="5" t="n"/>
      <c r="O17" s="5" t="n"/>
      <c r="P17" s="5" t="n"/>
      <c r="Q17" s="5" t="n"/>
      <c r="R17" s="5" t="n"/>
      <c r="S17" s="5" t="n"/>
      <c r="T17" s="5" t="n"/>
      <c r="U17" s="5" t="n"/>
      <c r="V17" s="5" t="n"/>
      <c r="W17" s="5" t="n"/>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inlineStr">
        <is>
          <t>Loans and advances from credit institutions due within 3 months (existed FY2006-FY2009 only - see source note)</t>
        </is>
      </c>
      <c r="B19" s="6" t="n"/>
      <c r="C19" s="6" t="n"/>
      <c r="D19" s="6" t="n"/>
      <c r="E19" s="6" t="n"/>
      <c r="F19" s="6" t="n"/>
      <c r="G19" s="6" t="n"/>
      <c r="H19" s="6" t="n"/>
      <c r="I19" s="6" t="n"/>
      <c r="J19" s="6" t="n"/>
      <c r="K19" s="6" t="n"/>
      <c r="L19" s="6" t="n"/>
      <c r="M19" s="6" t="n"/>
      <c r="N19" s="6" t="n"/>
      <c r="O19" s="6" t="n"/>
      <c r="P19" s="6" t="n"/>
      <c r="Q19" s="6" t="n"/>
      <c r="R19" s="6" t="n">
        <v>0</v>
      </c>
      <c r="S19" s="6" t="n">
        <v>507</v>
      </c>
      <c r="T19" s="6" t="n">
        <v>510</v>
      </c>
      <c r="U19" s="6" t="n">
        <v>503</v>
      </c>
      <c r="V19" s="6" t="n"/>
      <c r="W19" s="6" t="n"/>
    </row>
    <row r="20">
      <c r="A20" s="6" t="inlineStr">
        <is>
          <t>Customer accounts</t>
        </is>
      </c>
      <c r="B20" s="6" t="n">
        <v>141758</v>
      </c>
      <c r="C20" s="6" t="n">
        <v>121269</v>
      </c>
      <c r="D20" s="6" t="n">
        <v>102091</v>
      </c>
      <c r="E20" s="6" t="n">
        <v>78452</v>
      </c>
      <c r="F20" s="6" t="n">
        <v>66668</v>
      </c>
      <c r="G20" s="6" t="n">
        <v>61287</v>
      </c>
      <c r="H20" s="6" t="n">
        <v>51378</v>
      </c>
      <c r="I20" s="6" t="n">
        <v>46112</v>
      </c>
      <c r="J20" s="6" t="n">
        <v>48656</v>
      </c>
      <c r="K20" s="6" t="n">
        <v>43885</v>
      </c>
      <c r="L20" s="6" t="n">
        <v>41906</v>
      </c>
      <c r="M20" s="6" t="n">
        <v>42935</v>
      </c>
      <c r="N20" s="6" t="n">
        <v>47013</v>
      </c>
      <c r="O20" s="6" t="n">
        <v>42546</v>
      </c>
      <c r="P20" s="6" t="n">
        <v>41638</v>
      </c>
      <c r="Q20" s="6" t="n">
        <v>47247</v>
      </c>
      <c r="R20" s="6" t="n">
        <v>45168</v>
      </c>
      <c r="S20" s="6" t="n">
        <v>46737</v>
      </c>
      <c r="T20" s="6" t="n">
        <v>39931</v>
      </c>
      <c r="U20" s="6" t="n">
        <v>29520</v>
      </c>
      <c r="V20" s="6" t="n">
        <v>26294</v>
      </c>
      <c r="W20" s="6" t="n">
        <v>24187</v>
      </c>
    </row>
    <row r="21">
      <c r="A21" s="6" t="inlineStr">
        <is>
          <t>Other liabilities</t>
        </is>
      </c>
      <c r="B21" s="6" t="n">
        <v>616</v>
      </c>
      <c r="C21" s="6" t="n">
        <v>448</v>
      </c>
      <c r="D21" s="6" t="n">
        <v>438</v>
      </c>
      <c r="E21" s="6" t="n">
        <v>517</v>
      </c>
      <c r="F21" s="6" t="n">
        <v>661</v>
      </c>
      <c r="G21" s="6" t="n">
        <v>292</v>
      </c>
      <c r="H21" s="6" t="n">
        <v>356</v>
      </c>
      <c r="I21" s="6" t="n">
        <v>352</v>
      </c>
      <c r="J21" s="6" t="n">
        <v>235</v>
      </c>
      <c r="K21" s="6" t="n">
        <v>316</v>
      </c>
      <c r="L21" s="6" t="n">
        <v>591</v>
      </c>
      <c r="M21" s="6" t="n">
        <v>267</v>
      </c>
      <c r="N21" s="6" t="n">
        <v>267</v>
      </c>
      <c r="O21" s="6" t="n">
        <v>412</v>
      </c>
      <c r="P21" s="6" t="n">
        <v>346</v>
      </c>
      <c r="Q21" s="6" t="n">
        <v>341</v>
      </c>
      <c r="R21" s="6" t="n">
        <v>296</v>
      </c>
      <c r="S21" s="6" t="n">
        <v>322</v>
      </c>
      <c r="T21" s="6" t="n">
        <v>274</v>
      </c>
      <c r="U21" s="6" t="n">
        <v>231</v>
      </c>
      <c r="V21" s="6" t="n">
        <v>176</v>
      </c>
      <c r="W21" s="6" t="n">
        <v>290</v>
      </c>
    </row>
    <row r="22">
      <c r="A22" s="6" t="inlineStr">
        <is>
          <t>Accruals and deferred income</t>
        </is>
      </c>
      <c r="B22" s="6" t="n">
        <v>1289</v>
      </c>
      <c r="C22" s="6" t="n">
        <v>563</v>
      </c>
      <c r="D22" s="6" t="n">
        <v>404</v>
      </c>
      <c r="E22" s="6" t="n"/>
      <c r="F22" s="6" t="n"/>
      <c r="G22" s="6" t="n"/>
      <c r="H22" s="6" t="n"/>
      <c r="I22" s="6" t="n"/>
      <c r="J22" s="6" t="n"/>
      <c r="K22" s="6" t="n"/>
      <c r="L22" s="6" t="n"/>
      <c r="M22" s="6" t="n"/>
      <c r="N22" s="6" t="n"/>
      <c r="O22" s="6" t="n"/>
      <c r="P22" s="6" t="n"/>
      <c r="Q22" s="6" t="n"/>
      <c r="R22" s="6" t="n"/>
      <c r="S22" s="6" t="n"/>
      <c r="T22" s="6" t="n"/>
      <c r="U22" s="6" t="n"/>
      <c r="V22" s="6" t="n"/>
      <c r="W22" s="6" t="n"/>
    </row>
    <row r="23">
      <c r="A23" s="6" t="inlineStr">
        <is>
          <t>Subordinated liabilities (FY2014's own label: 'Subordinated deposits'; nil/absent before FY2007 - see source note)</t>
        </is>
      </c>
      <c r="B23" s="6" t="n">
        <v>700</v>
      </c>
      <c r="C23" s="6" t="n">
        <v>700</v>
      </c>
      <c r="D23" s="6" t="n">
        <v>700</v>
      </c>
      <c r="E23" s="6" t="n">
        <v>700</v>
      </c>
      <c r="F23" s="6" t="n">
        <v>761</v>
      </c>
      <c r="G23" s="6" t="n">
        <v>1431</v>
      </c>
      <c r="H23" s="6" t="n">
        <v>1431</v>
      </c>
      <c r="I23" s="6" t="n">
        <v>1431</v>
      </c>
      <c r="J23" s="6" t="n">
        <v>1581</v>
      </c>
      <c r="K23" s="6" t="n">
        <v>1581</v>
      </c>
      <c r="L23" s="6" t="n">
        <v>1681</v>
      </c>
      <c r="M23" s="6" t="n">
        <v>1681</v>
      </c>
      <c r="N23" s="6" t="n">
        <v>1892</v>
      </c>
      <c r="O23" s="6" t="n">
        <v>1892</v>
      </c>
      <c r="P23" s="6" t="n">
        <v>1892</v>
      </c>
      <c r="Q23" s="6" t="n">
        <v>1322</v>
      </c>
      <c r="R23" s="6" t="n">
        <v>1322</v>
      </c>
      <c r="S23" s="6" t="n">
        <v>172</v>
      </c>
      <c r="T23" s="6" t="n">
        <v>172</v>
      </c>
      <c r="U23" s="6" t="n"/>
      <c r="V23" s="6" t="n"/>
      <c r="W23" s="6" t="n"/>
    </row>
    <row r="24">
      <c r="A24" s="5" t="inlineStr">
        <is>
          <t>Total liabilities</t>
        </is>
      </c>
      <c r="B24" s="5" t="n">
        <v>144363</v>
      </c>
      <c r="C24" s="5" t="n">
        <v>122980</v>
      </c>
      <c r="D24" s="5" t="n">
        <v>103633</v>
      </c>
      <c r="E24" s="5" t="n">
        <v>79669</v>
      </c>
      <c r="F24" s="5" t="n">
        <v>68090</v>
      </c>
      <c r="G24" s="5" t="n">
        <v>63010</v>
      </c>
      <c r="H24" s="5" t="n">
        <v>53165</v>
      </c>
      <c r="I24" s="5" t="n">
        <v>47895</v>
      </c>
      <c r="J24" s="5" t="n">
        <v>50472</v>
      </c>
      <c r="K24" s="5" t="n">
        <v>45782</v>
      </c>
      <c r="L24" s="5" t="n">
        <v>44178</v>
      </c>
      <c r="M24" s="5" t="n">
        <v>44883</v>
      </c>
      <c r="N24" s="5" t="n">
        <v>49172</v>
      </c>
      <c r="O24" s="5" t="n">
        <v>44850</v>
      </c>
      <c r="P24" s="5" t="n">
        <v>43876</v>
      </c>
      <c r="Q24" s="5" t="n">
        <v>48910</v>
      </c>
      <c r="R24" s="5" t="n">
        <v>46786</v>
      </c>
      <c r="S24" s="5" t="n">
        <v>47738</v>
      </c>
      <c r="T24" s="5" t="n">
        <v>40887</v>
      </c>
      <c r="U24" s="5" t="n">
        <v>30426</v>
      </c>
      <c r="V24" s="5" t="n">
        <v>26643</v>
      </c>
      <c r="W24" s="5" t="n">
        <v>24477</v>
      </c>
    </row>
    <row r="25">
      <c r="A25" s="5" t="inlineStr">
        <is>
          <t>Equity</t>
        </is>
      </c>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inlineStr">
        <is>
          <t>Called up share capital (FY2004 combines that year's separate 'called up' and 'unpaid' share capital lines, both fully paid by FY2005 - see source note)</t>
        </is>
      </c>
      <c r="B26" s="6" t="n">
        <v>13237</v>
      </c>
      <c r="C26" s="6" t="n">
        <v>12067</v>
      </c>
      <c r="D26" s="6" t="n">
        <v>6667</v>
      </c>
      <c r="E26" s="6" t="n">
        <v>6667</v>
      </c>
      <c r="F26" s="6" t="n">
        <v>4867</v>
      </c>
      <c r="G26" s="6" t="n">
        <v>4867</v>
      </c>
      <c r="H26" s="6" t="n">
        <v>4217</v>
      </c>
      <c r="I26" s="6" t="n">
        <v>4217</v>
      </c>
      <c r="J26" s="6" t="n">
        <v>4217</v>
      </c>
      <c r="K26" s="6" t="n">
        <v>4217</v>
      </c>
      <c r="L26" s="6" t="n">
        <v>4217</v>
      </c>
      <c r="M26" s="6" t="n">
        <v>4217</v>
      </c>
      <c r="N26" s="6" t="n">
        <v>4217</v>
      </c>
      <c r="O26" s="6" t="n">
        <v>4217</v>
      </c>
      <c r="P26" s="6" t="n">
        <v>4217</v>
      </c>
      <c r="Q26" s="6" t="n">
        <v>4217</v>
      </c>
      <c r="R26" s="6" t="n">
        <v>4217</v>
      </c>
      <c r="S26" s="6" t="n">
        <v>4217</v>
      </c>
      <c r="T26" s="6" t="n">
        <v>4217</v>
      </c>
      <c r="U26" s="6" t="n">
        <v>4217</v>
      </c>
      <c r="V26" s="6" t="n">
        <v>4217</v>
      </c>
      <c r="W26" s="6" t="n">
        <v>4217</v>
      </c>
    </row>
    <row r="27">
      <c r="A27" s="6" t="inlineStr">
        <is>
          <t>Revaluation reserve (fully extinguished during FY2021 - see Statement of Changes in Equity sheet; nil/absent before FY2007, when the Bank's freehold properties were first professionally revalued)</t>
        </is>
      </c>
      <c r="B27" s="6" t="n"/>
      <c r="C27" s="6" t="n"/>
      <c r="D27" s="6" t="n"/>
      <c r="E27" s="6" t="n"/>
      <c r="F27" s="6" t="n"/>
      <c r="G27" s="6" t="n">
        <v>172</v>
      </c>
      <c r="H27" s="6" t="n">
        <v>172</v>
      </c>
      <c r="I27" s="6" t="n">
        <v>172</v>
      </c>
      <c r="J27" s="6" t="n">
        <v>172</v>
      </c>
      <c r="K27" s="6" t="n">
        <v>166</v>
      </c>
      <c r="L27" s="6" t="n">
        <v>164</v>
      </c>
      <c r="M27" s="6" t="n">
        <v>578</v>
      </c>
      <c r="N27" s="6" t="n">
        <v>333</v>
      </c>
      <c r="O27" s="6" t="n">
        <v>416</v>
      </c>
      <c r="P27" s="6" t="n">
        <v>71</v>
      </c>
      <c r="Q27" s="6" t="n">
        <v>71</v>
      </c>
      <c r="R27" s="6" t="n">
        <v>65</v>
      </c>
      <c r="S27" s="6" t="n">
        <v>406</v>
      </c>
      <c r="T27" s="6" t="n">
        <v>406</v>
      </c>
      <c r="U27" s="6" t="n"/>
      <c r="V27" s="6" t="n"/>
      <c r="W27" s="6" t="n"/>
    </row>
    <row r="28">
      <c r="A28" s="6" t="inlineStr">
        <is>
          <t>Profit and loss account</t>
        </is>
      </c>
      <c r="B28" s="6" t="n">
        <v>2571</v>
      </c>
      <c r="C28" s="6" t="n">
        <v>3445</v>
      </c>
      <c r="D28" s="6" t="n">
        <v>3209</v>
      </c>
      <c r="E28" s="6" t="n">
        <v>2686</v>
      </c>
      <c r="F28" s="6" t="n">
        <v>2584</v>
      </c>
      <c r="G28" s="6" t="n">
        <v>1732</v>
      </c>
      <c r="H28" s="6" t="n">
        <v>1756</v>
      </c>
      <c r="I28" s="6" t="n">
        <v>1519</v>
      </c>
      <c r="J28" s="6" t="n">
        <v>1389</v>
      </c>
      <c r="K28" s="6" t="n">
        <v>1284</v>
      </c>
      <c r="L28" s="6" t="n">
        <v>1250</v>
      </c>
      <c r="M28" s="6" t="n">
        <v>165</v>
      </c>
      <c r="N28" s="6" t="n">
        <v>96</v>
      </c>
      <c r="O28" s="6" t="n">
        <v>24</v>
      </c>
      <c r="P28" s="6" t="n">
        <v>-22</v>
      </c>
      <c r="Q28" s="6" t="n">
        <v>361</v>
      </c>
      <c r="R28" s="6" t="n">
        <v>506</v>
      </c>
      <c r="S28" s="6" t="n">
        <v>598</v>
      </c>
      <c r="T28" s="6" t="n">
        <v>468</v>
      </c>
      <c r="U28" s="6" t="n">
        <v>341</v>
      </c>
      <c r="V28" s="6" t="n">
        <v>95</v>
      </c>
      <c r="W28" s="6" t="n">
        <v>0</v>
      </c>
    </row>
    <row r="29">
      <c r="A29" s="5" t="inlineStr">
        <is>
          <t>Total shareholders' funds</t>
        </is>
      </c>
      <c r="B29" s="5" t="n">
        <v>15808</v>
      </c>
      <c r="C29" s="5" t="n">
        <v>15512</v>
      </c>
      <c r="D29" s="5" t="n">
        <v>9876</v>
      </c>
      <c r="E29" s="5" t="n">
        <v>9353</v>
      </c>
      <c r="F29" s="5" t="n">
        <v>7451</v>
      </c>
      <c r="G29" s="5" t="n">
        <v>6771</v>
      </c>
      <c r="H29" s="5" t="n">
        <v>6145</v>
      </c>
      <c r="I29" s="5" t="n">
        <v>5908</v>
      </c>
      <c r="J29" s="5" t="n">
        <v>5778</v>
      </c>
      <c r="K29" s="5" t="n">
        <v>5667</v>
      </c>
      <c r="L29" s="5" t="n">
        <v>5631</v>
      </c>
      <c r="M29" s="5" t="n">
        <v>4960</v>
      </c>
      <c r="N29" s="5" t="n">
        <v>4646</v>
      </c>
      <c r="O29" s="5" t="n">
        <v>4657</v>
      </c>
      <c r="P29" s="5" t="n">
        <v>4266</v>
      </c>
      <c r="Q29" s="5" t="n">
        <v>4649</v>
      </c>
      <c r="R29" s="5" t="n">
        <v>4788</v>
      </c>
      <c r="S29" s="5" t="n">
        <v>5221</v>
      </c>
      <c r="T29" s="5" t="n">
        <v>5091</v>
      </c>
      <c r="U29" s="5" t="n">
        <v>4558</v>
      </c>
      <c r="V29" s="5" t="n">
        <v>4312</v>
      </c>
      <c r="W29" s="5" t="n">
        <v>4217</v>
      </c>
    </row>
    <row r="30">
      <c r="A30" s="5" t="inlineStr">
        <is>
          <t>Total liabilities and total shareholders' funds</t>
        </is>
      </c>
      <c r="B30" s="5" t="n">
        <v>160171</v>
      </c>
      <c r="C30" s="5" t="n">
        <v>138492</v>
      </c>
      <c r="D30" s="5" t="n">
        <v>113509</v>
      </c>
      <c r="E30" s="5" t="n">
        <v>89022</v>
      </c>
      <c r="F30" s="5" t="n">
        <v>75541</v>
      </c>
      <c r="G30" s="5" t="n">
        <v>69781</v>
      </c>
      <c r="H30" s="5" t="n">
        <v>59310</v>
      </c>
      <c r="I30" s="5" t="n">
        <v>53803</v>
      </c>
      <c r="J30" s="5" t="n">
        <v>56250</v>
      </c>
      <c r="K30" s="5" t="n">
        <v>51449</v>
      </c>
      <c r="L30" s="5" t="n">
        <v>49809</v>
      </c>
      <c r="M30" s="5" t="n">
        <v>49843</v>
      </c>
      <c r="N30" s="5" t="n">
        <v>53818</v>
      </c>
      <c r="O30" s="5" t="n">
        <v>49507</v>
      </c>
      <c r="P30" s="5" t="n">
        <v>48142</v>
      </c>
      <c r="Q30" s="5" t="n">
        <v>53559</v>
      </c>
      <c r="R30" s="5" t="n">
        <v>51574</v>
      </c>
      <c r="S30" s="5" t="n">
        <v>52959</v>
      </c>
      <c r="T30" s="5" t="n">
        <v>45978</v>
      </c>
      <c r="U30" s="5" t="n">
        <v>34984</v>
      </c>
      <c r="V30" s="5" t="n">
        <v>30955</v>
      </c>
      <c r="W30" s="5" t="n">
        <v>28695</v>
      </c>
    </row>
    <row r="32" ht="460" customHeight="1">
      <c r="A32"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32:W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Profit &amp; Loss</t>
        </is>
      </c>
    </row>
    <row r="2">
      <c r="A2" s="2" t="inlineStr">
        <is>
          <t>Income statement, Bank/solo basis, £'000. All results arise from continuing operations, attributable to the owners of the Bank, every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Interest receivable</t>
        </is>
      </c>
      <c r="B5" s="6" t="n">
        <v>8637</v>
      </c>
      <c r="C5" s="6" t="n">
        <v>7828</v>
      </c>
      <c r="D5" s="6" t="n">
        <v>6003</v>
      </c>
      <c r="E5" s="6" t="n">
        <v>3144</v>
      </c>
      <c r="F5" s="6" t="n">
        <v>2419</v>
      </c>
      <c r="G5" s="6" t="n">
        <v>2297</v>
      </c>
      <c r="H5" s="6" t="n">
        <v>2330</v>
      </c>
      <c r="I5" s="6" t="n">
        <v>2168</v>
      </c>
      <c r="J5" s="6" t="n">
        <v>1955</v>
      </c>
      <c r="K5" s="6" t="n">
        <v>1904</v>
      </c>
      <c r="L5" s="6" t="n">
        <v>1744</v>
      </c>
      <c r="M5" s="6" t="n">
        <v>1699</v>
      </c>
      <c r="N5" s="6" t="n">
        <v>1776</v>
      </c>
      <c r="O5" s="6" t="n">
        <v>1755</v>
      </c>
      <c r="P5" s="6" t="n">
        <v>1843</v>
      </c>
      <c r="Q5" s="6" t="n">
        <v>1794</v>
      </c>
      <c r="R5" s="6" t="n">
        <v>1646</v>
      </c>
      <c r="S5" s="6" t="n">
        <v>2959</v>
      </c>
      <c r="T5" s="6" t="n">
        <v>2678</v>
      </c>
      <c r="U5" s="6" t="n">
        <v>1920</v>
      </c>
      <c r="V5" s="6" t="n">
        <v>1703</v>
      </c>
      <c r="W5" s="6" t="n"/>
    </row>
    <row r="6">
      <c r="A6" s="6" t="inlineStr">
        <is>
          <t>Interest payable</t>
        </is>
      </c>
      <c r="B6" s="6" t="n">
        <v>-2942</v>
      </c>
      <c r="C6" s="6" t="n">
        <v>-3207</v>
      </c>
      <c r="D6" s="6" t="n">
        <v>-2193</v>
      </c>
      <c r="E6" s="6" t="n">
        <v>-454</v>
      </c>
      <c r="F6" s="6" t="n">
        <v>-345</v>
      </c>
      <c r="G6" s="6" t="n">
        <v>-523</v>
      </c>
      <c r="H6" s="6" t="n">
        <v>-552</v>
      </c>
      <c r="I6" s="6" t="n">
        <v>-495</v>
      </c>
      <c r="J6" s="6" t="n">
        <v>-478</v>
      </c>
      <c r="K6" s="6" t="n">
        <v>-527</v>
      </c>
      <c r="L6" s="6" t="n">
        <v>-511</v>
      </c>
      <c r="M6" s="6" t="n">
        <v>-650</v>
      </c>
      <c r="N6" s="6" t="n">
        <v>-915</v>
      </c>
      <c r="O6" s="6" t="n">
        <v>-877</v>
      </c>
      <c r="P6" s="6" t="n">
        <v>-755</v>
      </c>
      <c r="Q6" s="6" t="n">
        <v>-811</v>
      </c>
      <c r="R6" s="6" t="n">
        <v>-859</v>
      </c>
      <c r="S6" s="6" t="n">
        <v>-2004</v>
      </c>
      <c r="T6" s="6" t="n">
        <v>-1827</v>
      </c>
      <c r="U6" s="6" t="n">
        <v>-1161</v>
      </c>
      <c r="V6" s="6" t="n">
        <v>-1051</v>
      </c>
      <c r="W6" s="6" t="n"/>
    </row>
    <row r="7">
      <c r="A7" s="5" t="inlineStr">
        <is>
          <t>Net interest income</t>
        </is>
      </c>
      <c r="B7" s="5" t="n">
        <v>5695</v>
      </c>
      <c r="C7" s="5" t="n">
        <v>4621</v>
      </c>
      <c r="D7" s="5" t="n">
        <v>3810</v>
      </c>
      <c r="E7" s="5" t="n">
        <v>2690</v>
      </c>
      <c r="F7" s="5" t="n">
        <v>2074</v>
      </c>
      <c r="G7" s="5" t="n">
        <v>1774</v>
      </c>
      <c r="H7" s="5" t="n">
        <v>1778</v>
      </c>
      <c r="I7" s="5" t="n">
        <v>1673</v>
      </c>
      <c r="J7" s="5" t="n">
        <v>1477</v>
      </c>
      <c r="K7" s="5" t="n">
        <v>1377</v>
      </c>
      <c r="L7" s="5" t="n">
        <v>1233</v>
      </c>
      <c r="M7" s="5" t="n">
        <v>1049</v>
      </c>
      <c r="N7" s="5" t="n">
        <v>861</v>
      </c>
      <c r="O7" s="5" t="n">
        <v>878</v>
      </c>
      <c r="P7" s="5" t="n">
        <v>1088</v>
      </c>
      <c r="Q7" s="5" t="n">
        <v>983</v>
      </c>
      <c r="R7" s="5" t="n">
        <v>787</v>
      </c>
      <c r="S7" s="5" t="n">
        <v>955</v>
      </c>
      <c r="T7" s="5" t="n">
        <v>851</v>
      </c>
      <c r="U7" s="5" t="n">
        <v>759</v>
      </c>
      <c r="V7" s="5" t="n">
        <v>652</v>
      </c>
      <c r="W7" s="5" t="n"/>
    </row>
    <row r="8">
      <c r="A8" s="6" t="inlineStr">
        <is>
          <t>Insurance commission income (FY2014's own label: 'Fees and commission receivable/(payable), net'; FY2004-FY2013 own presentation combines fees receivable and payable into one net figure - see source note)</t>
        </is>
      </c>
      <c r="B8" s="6" t="n">
        <v>666</v>
      </c>
      <c r="C8" s="6" t="n">
        <v>576</v>
      </c>
      <c r="D8" s="6" t="n">
        <v>543</v>
      </c>
      <c r="E8" s="6" t="n">
        <v>482</v>
      </c>
      <c r="F8" s="6" t="n">
        <v>419</v>
      </c>
      <c r="G8" s="6" t="n">
        <v>433</v>
      </c>
      <c r="H8" s="6" t="n">
        <v>388</v>
      </c>
      <c r="I8" s="6" t="n">
        <v>369</v>
      </c>
      <c r="J8" s="6" t="n">
        <v>335</v>
      </c>
      <c r="K8" s="6" t="n">
        <v>319</v>
      </c>
      <c r="L8" s="6" t="n">
        <v>315</v>
      </c>
      <c r="M8" s="6" t="n">
        <v>361</v>
      </c>
      <c r="N8" s="6" t="n">
        <v>362</v>
      </c>
      <c r="O8" s="6" t="n">
        <v>313</v>
      </c>
      <c r="P8" s="6" t="n">
        <v>258</v>
      </c>
      <c r="Q8" s="6" t="n">
        <v>248</v>
      </c>
      <c r="R8" s="6" t="n">
        <v>265</v>
      </c>
      <c r="S8" s="6" t="n">
        <v>168</v>
      </c>
      <c r="T8" s="6" t="n">
        <v>86</v>
      </c>
      <c r="U8" s="6" t="n">
        <v>129</v>
      </c>
      <c r="V8" s="6" t="n">
        <v>96</v>
      </c>
      <c r="W8" s="6" t="n"/>
    </row>
    <row r="9">
      <c r="A9" s="6" t="inlineStr">
        <is>
          <t>Other operating income</t>
        </is>
      </c>
      <c r="B9" s="6" t="n">
        <v>43</v>
      </c>
      <c r="C9" s="6" t="n">
        <v>8</v>
      </c>
      <c r="D9" s="6" t="n">
        <v>7</v>
      </c>
      <c r="E9" s="6" t="n">
        <v>3</v>
      </c>
      <c r="F9" s="6" t="n">
        <v>117</v>
      </c>
      <c r="G9" s="6" t="n">
        <v>80</v>
      </c>
      <c r="H9" s="6" t="n">
        <v>76</v>
      </c>
      <c r="I9" s="6" t="n">
        <v>64</v>
      </c>
      <c r="J9" s="6" t="n">
        <v>63</v>
      </c>
      <c r="K9" s="6" t="n">
        <v>59</v>
      </c>
      <c r="L9" s="6" t="n">
        <v>89</v>
      </c>
      <c r="M9" s="6" t="n">
        <v>138</v>
      </c>
      <c r="N9" s="6" t="n">
        <v>149</v>
      </c>
      <c r="O9" s="6" t="n">
        <v>43</v>
      </c>
      <c r="P9" s="6" t="n">
        <v>53</v>
      </c>
      <c r="Q9" s="6" t="n">
        <v>35</v>
      </c>
      <c r="R9" s="6" t="n">
        <v>31</v>
      </c>
      <c r="S9" s="6" t="n">
        <v>26</v>
      </c>
      <c r="T9" s="6" t="n">
        <v>16</v>
      </c>
      <c r="U9" s="6" t="n">
        <v>12</v>
      </c>
      <c r="V9" s="6" t="n">
        <v>13</v>
      </c>
      <c r="W9" s="6" t="n"/>
    </row>
    <row r="10">
      <c r="A10" s="5" t="inlineStr">
        <is>
          <t>Total net income (FY2014-FY2022's own equivalent subtotal is labelled 'Operating income' - same calculation)</t>
        </is>
      </c>
      <c r="B10" s="5" t="n">
        <v>6404</v>
      </c>
      <c r="C10" s="5" t="n">
        <v>5205</v>
      </c>
      <c r="D10" s="5" t="n">
        <v>4360</v>
      </c>
      <c r="E10" s="5" t="n">
        <v>3175</v>
      </c>
      <c r="F10" s="5" t="n">
        <v>2610</v>
      </c>
      <c r="G10" s="5" t="n">
        <v>2287</v>
      </c>
      <c r="H10" s="5" t="n">
        <v>2242</v>
      </c>
      <c r="I10" s="5" t="n">
        <v>2106</v>
      </c>
      <c r="J10" s="5" t="n">
        <v>1875</v>
      </c>
      <c r="K10" s="5" t="n">
        <v>1755</v>
      </c>
      <c r="L10" s="5" t="n">
        <v>1637</v>
      </c>
      <c r="M10" s="5" t="n">
        <v>1548</v>
      </c>
      <c r="N10" s="5" t="n">
        <v>1372</v>
      </c>
      <c r="O10" s="5" t="n">
        <v>1234</v>
      </c>
      <c r="P10" s="5" t="n">
        <v>1399</v>
      </c>
      <c r="Q10" s="5" t="n">
        <v>1266</v>
      </c>
      <c r="R10" s="5" t="n">
        <v>1083</v>
      </c>
      <c r="S10" s="5" t="n">
        <v>1149</v>
      </c>
      <c r="T10" s="5" t="n">
        <v>953</v>
      </c>
      <c r="U10" s="5" t="n">
        <v>900</v>
      </c>
      <c r="V10" s="5" t="n">
        <v>761</v>
      </c>
      <c r="W10" s="5" t="n"/>
    </row>
    <row r="11">
      <c r="A11" s="5" t="inlineStr">
        <is>
          <t>Administrative expenses</t>
        </is>
      </c>
      <c r="B11" s="5" t="n">
        <v>-7241</v>
      </c>
      <c r="C11" s="5" t="n">
        <v>-4776</v>
      </c>
      <c r="D11" s="5" t="n">
        <v>-3597</v>
      </c>
      <c r="E11" s="5" t="n">
        <v>-2953</v>
      </c>
      <c r="F11" s="5" t="n">
        <v>-2437</v>
      </c>
      <c r="G11" s="5" t="n">
        <v>-2167</v>
      </c>
      <c r="H11" s="5" t="n">
        <v>-1780</v>
      </c>
      <c r="I11" s="5" t="n">
        <v>-1776</v>
      </c>
      <c r="J11" s="5" t="n">
        <v>-1538</v>
      </c>
      <c r="K11" s="5" t="n">
        <v>-1554</v>
      </c>
      <c r="L11" s="5" t="n">
        <v>-1487</v>
      </c>
      <c r="M11" s="5" t="n">
        <v>-1413</v>
      </c>
      <c r="N11" s="5" t="n">
        <v>-1241</v>
      </c>
      <c r="O11" s="5" t="n">
        <v>-1201</v>
      </c>
      <c r="P11" s="5" t="n">
        <v>-1185</v>
      </c>
      <c r="Q11" s="5" t="n">
        <v>-1194</v>
      </c>
      <c r="R11" s="5" t="n">
        <v>-1082</v>
      </c>
      <c r="S11" s="5" t="n">
        <v>-838</v>
      </c>
      <c r="T11" s="5" t="n">
        <v>-726</v>
      </c>
      <c r="U11" s="5" t="n">
        <v>-548</v>
      </c>
      <c r="V11" s="5" t="n">
        <v>-568</v>
      </c>
      <c r="W11" s="5" t="n"/>
    </row>
    <row r="12">
      <c r="A12" s="6" t="inlineStr">
        <is>
          <t>Depreciation and amortisation</t>
        </is>
      </c>
      <c r="B12" s="6" t="n">
        <v>-67</v>
      </c>
      <c r="C12" s="6" t="n">
        <v>-79</v>
      </c>
      <c r="D12" s="6" t="n">
        <v>-86</v>
      </c>
      <c r="E12" s="6" t="n">
        <v>-85</v>
      </c>
      <c r="F12" s="6" t="n">
        <v>-80</v>
      </c>
      <c r="G12" s="6" t="n">
        <v>-81</v>
      </c>
      <c r="H12" s="6" t="n">
        <v>-93</v>
      </c>
      <c r="I12" s="6" t="n">
        <v>-109</v>
      </c>
      <c r="J12" s="6" t="n">
        <v>-111</v>
      </c>
      <c r="K12" s="6" t="n">
        <v>-130</v>
      </c>
      <c r="L12" s="6" t="n">
        <v>-124</v>
      </c>
      <c r="M12" s="6" t="n">
        <v>-113</v>
      </c>
      <c r="N12" s="6" t="n">
        <v>-117</v>
      </c>
      <c r="O12" s="6" t="n">
        <v>-126</v>
      </c>
      <c r="P12" s="6" t="n">
        <v>-116</v>
      </c>
      <c r="Q12" s="6" t="n">
        <v>-117</v>
      </c>
      <c r="R12" s="6" t="n">
        <v>-102</v>
      </c>
      <c r="S12" s="6" t="n">
        <v>-66</v>
      </c>
      <c r="T12" s="6" t="n">
        <v>-37</v>
      </c>
      <c r="U12" s="6" t="n">
        <v>-47</v>
      </c>
      <c r="V12" s="6" t="n">
        <v>-44</v>
      </c>
      <c r="W12" s="6" t="n"/>
    </row>
    <row r="13">
      <c r="A13" s="6" t="inlineStr">
        <is>
          <t>Profit on sale / unrealised surplus on revaluation of investment property (FY2004-FY2012 own equivalents: profit on sale of participating interests/fixed assets, net of loss on revaluation of property - see source note)</t>
        </is>
      </c>
      <c r="B13" s="6" t="n"/>
      <c r="C13" s="6" t="n"/>
      <c r="D13" s="6" t="n"/>
      <c r="E13" s="6" t="n">
        <v>0</v>
      </c>
      <c r="F13" s="6" t="n">
        <v>634</v>
      </c>
      <c r="G13" s="6" t="n"/>
      <c r="H13" s="6" t="n"/>
      <c r="I13" s="6" t="n">
        <v>0</v>
      </c>
      <c r="J13" s="6" t="n">
        <v>2</v>
      </c>
      <c r="K13" s="6" t="n"/>
      <c r="L13" s="6" t="n">
        <v>898</v>
      </c>
      <c r="M13" s="6" t="n"/>
      <c r="N13" s="6" t="n"/>
      <c r="O13" s="6" t="n">
        <v>40</v>
      </c>
      <c r="P13" s="6" t="n"/>
      <c r="Q13" s="6" t="n"/>
      <c r="R13" s="6" t="n">
        <v>-30</v>
      </c>
      <c r="S13" s="6" t="n"/>
      <c r="T13" s="6" t="n">
        <v>22</v>
      </c>
      <c r="U13" s="6" t="n">
        <v>43</v>
      </c>
      <c r="V13" s="6" t="n"/>
      <c r="W13" s="6" t="n"/>
    </row>
    <row r="14">
      <c r="A14" s="6" t="inlineStr">
        <is>
          <t>Movement in loan loss provision (FY2014's own label: 'Provision for bad and doubtful debts')</t>
        </is>
      </c>
      <c r="B14" s="6" t="n">
        <v>-158</v>
      </c>
      <c r="C14" s="6" t="n">
        <v>-9</v>
      </c>
      <c r="D14" s="6" t="n">
        <v>-12</v>
      </c>
      <c r="E14" s="6" t="n">
        <v>-9</v>
      </c>
      <c r="F14" s="6" t="n">
        <v>-24</v>
      </c>
      <c r="G14" s="6" t="n">
        <v>-77</v>
      </c>
      <c r="H14" s="6" t="n">
        <v>-43</v>
      </c>
      <c r="I14" s="6" t="n">
        <v>-43</v>
      </c>
      <c r="J14" s="6" t="n">
        <v>-88</v>
      </c>
      <c r="K14" s="6" t="n">
        <v>-16</v>
      </c>
      <c r="L14" s="6" t="n">
        <v>-21</v>
      </c>
      <c r="M14" s="6" t="n">
        <v>70</v>
      </c>
      <c r="N14" s="6" t="n">
        <v>92</v>
      </c>
      <c r="O14" s="6" t="n">
        <v>111</v>
      </c>
      <c r="P14" s="6" t="n">
        <v>-576</v>
      </c>
      <c r="Q14" s="6" t="n">
        <v>-127</v>
      </c>
      <c r="R14" s="6" t="n">
        <v>-74</v>
      </c>
      <c r="S14" s="6" t="n">
        <v>-66</v>
      </c>
      <c r="T14" s="6" t="n">
        <v>10</v>
      </c>
      <c r="U14" s="6" t="n">
        <v>-38</v>
      </c>
      <c r="V14" s="6" t="n">
        <v>-13</v>
      </c>
      <c r="W14" s="6" t="n"/>
    </row>
    <row r="15">
      <c r="A15" s="5" t="inlineStr">
        <is>
          <t>(Loss)/profit on ordinary activities before taxation</t>
        </is>
      </c>
      <c r="B15" s="5" t="n">
        <v>-1062</v>
      </c>
      <c r="C15" s="5" t="n">
        <v>341</v>
      </c>
      <c r="D15" s="5" t="n">
        <v>665</v>
      </c>
      <c r="E15" s="5" t="n">
        <v>128</v>
      </c>
      <c r="F15" s="5" t="n">
        <v>703</v>
      </c>
      <c r="G15" s="5" t="n">
        <v>-38</v>
      </c>
      <c r="H15" s="5" t="n">
        <v>326</v>
      </c>
      <c r="I15" s="5" t="n">
        <v>178</v>
      </c>
      <c r="J15" s="5" t="n">
        <v>140</v>
      </c>
      <c r="K15" s="5" t="n">
        <v>55</v>
      </c>
      <c r="L15" s="5" t="n">
        <v>903</v>
      </c>
      <c r="M15" s="5" t="n">
        <v>92</v>
      </c>
      <c r="N15" s="5" t="n">
        <v>106</v>
      </c>
      <c r="O15" s="5" t="n">
        <v>58</v>
      </c>
      <c r="P15" s="5" t="n">
        <v>-478</v>
      </c>
      <c r="Q15" s="5" t="n">
        <v>-172</v>
      </c>
      <c r="R15" s="5" t="n">
        <v>-205</v>
      </c>
      <c r="S15" s="5" t="n">
        <v>179</v>
      </c>
      <c r="T15" s="5" t="n">
        <v>222</v>
      </c>
      <c r="U15" s="5" t="n">
        <v>310</v>
      </c>
      <c r="V15" s="5" t="n">
        <v>136</v>
      </c>
      <c r="W15" s="5" t="n"/>
    </row>
    <row r="16">
      <c r="A16" s="6" t="inlineStr">
        <is>
          <t>Tax credit/(charge) on (loss)/profit</t>
        </is>
      </c>
      <c r="B16" s="6" t="n">
        <v>258</v>
      </c>
      <c r="C16" s="6" t="n">
        <v>-62</v>
      </c>
      <c r="D16" s="6" t="n">
        <v>-142</v>
      </c>
      <c r="E16" s="6" t="n">
        <v>-26</v>
      </c>
      <c r="F16" s="6" t="n">
        <v>-23</v>
      </c>
      <c r="G16" s="6" t="n">
        <v>14</v>
      </c>
      <c r="H16" s="6" t="n">
        <v>-69</v>
      </c>
      <c r="I16" s="6" t="n">
        <v>-32</v>
      </c>
      <c r="J16" s="6" t="n">
        <v>-35</v>
      </c>
      <c r="K16" s="6" t="n">
        <v>-21</v>
      </c>
      <c r="L16" s="6" t="n">
        <v>-183</v>
      </c>
      <c r="M16" s="6" t="n">
        <v>-23</v>
      </c>
      <c r="N16" s="6" t="n">
        <v>-34</v>
      </c>
      <c r="O16" s="6" t="n">
        <v>-12</v>
      </c>
      <c r="P16" s="6" t="n">
        <v>95</v>
      </c>
      <c r="Q16" s="6" t="n">
        <v>27</v>
      </c>
      <c r="R16" s="6" t="n">
        <v>113</v>
      </c>
      <c r="S16" s="6" t="n">
        <v>-49</v>
      </c>
      <c r="T16" s="6" t="n">
        <v>-95</v>
      </c>
      <c r="U16" s="6" t="n">
        <v>-64</v>
      </c>
      <c r="V16" s="6" t="n">
        <v>-41</v>
      </c>
      <c r="W16" s="6" t="n"/>
    </row>
    <row r="17">
      <c r="A17" s="5" t="inlineStr">
        <is>
          <t>(Loss)/profit and total comprehensive income for the financial year</t>
        </is>
      </c>
      <c r="B17" s="5" t="n">
        <v>-804</v>
      </c>
      <c r="C17" s="5" t="n">
        <v>279</v>
      </c>
      <c r="D17" s="5" t="n">
        <v>523</v>
      </c>
      <c r="E17" s="5" t="n">
        <v>102</v>
      </c>
      <c r="F17" s="5" t="n">
        <v>680</v>
      </c>
      <c r="G17" s="5" t="n">
        <v>-24</v>
      </c>
      <c r="H17" s="5" t="n">
        <v>257</v>
      </c>
      <c r="I17" s="5" t="n">
        <v>146</v>
      </c>
      <c r="J17" s="5" t="n">
        <v>105</v>
      </c>
      <c r="K17" s="5" t="n">
        <v>34</v>
      </c>
      <c r="L17" s="5" t="n">
        <v>720</v>
      </c>
      <c r="M17" s="5" t="n">
        <v>69</v>
      </c>
      <c r="N17" s="5" t="n">
        <v>72</v>
      </c>
      <c r="O17" s="5" t="n">
        <v>46</v>
      </c>
      <c r="P17" s="5" t="n">
        <v>-383</v>
      </c>
      <c r="Q17" s="5" t="n">
        <v>-145</v>
      </c>
      <c r="R17" s="5" t="n">
        <v>-92</v>
      </c>
      <c r="S17" s="5" t="n">
        <v>130</v>
      </c>
      <c r="T17" s="5" t="n">
        <v>127</v>
      </c>
      <c r="U17" s="5" t="n">
        <v>246</v>
      </c>
      <c r="V17" s="5" t="n">
        <v>95</v>
      </c>
      <c r="W17" s="5" t="n"/>
    </row>
    <row r="19" ht="460" customHeight="1">
      <c r="A1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19:W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Kingdom Bank Limited — Statement of Changes in Equity</t>
        </is>
      </c>
    </row>
    <row r="2">
      <c r="A2" s="2" t="inlineStr">
        <is>
          <t>Chronological roll-forward, oldest to newest, from FY2004 (first trading period) onward. Equity reconciliation ladder confirmed: every year's own closing balance ties exactly to both the next year's own opening balance and that year's own Balance Sheet Total shareholders' funds - zero plug rows needed anywhere, including across the FY2004-FY2013 extension. £'000. FY2014 is shown as originally filed under old UK GAAP/the BBA SORP (no SOCE was published that year - built here from Notes 16-19 of the FY2014 Annual Report); FRS 102 was first adopted for FY2015 and its Annual Report separately discloses a restated 1 January 2015 opening position (£4,847k total shareholders' funds) that differs from the £4,960k shown here as FY2014's own closing figure - both are shown, with the reconciling FRS 102 transition adjustment on its own row, so the ladder still ties exactly on both sides of the GAAP change. The Revaluation reserve column runs down from £578k (FY2014) to a flat £172k (FY2017-FY2020) as historical property revaluations were realised, and is fully extinguished from FY2021 onward (see FY2021's transfer row) and shown as 0, not blank, for FY2022-FY2025 to make the reconciliation explicit.</t>
        </is>
      </c>
    </row>
    <row r="3">
      <c r="A3" s="4" t="inlineStr">
        <is>
          <t>Movement</t>
        </is>
      </c>
      <c r="B3" s="4" t="inlineStr">
        <is>
          <t>Called up share capital</t>
        </is>
      </c>
      <c r="C3" s="4" t="inlineStr">
        <is>
          <t>Profit and loss account</t>
        </is>
      </c>
      <c r="D3" s="4" t="inlineStr">
        <is>
          <t>Revaluation reserve</t>
        </is>
      </c>
      <c r="E3" s="4" t="inlineStr">
        <is>
          <t>Total shareholders' funds</t>
        </is>
      </c>
    </row>
    <row r="4">
      <c r="A4" s="5" t="inlineStr">
        <is>
          <t>Balance as at 31 December 2004 (FY2004 closing - first trading period, 1 Feb-31 Dec 2004; no profit and loss account was prepared for this period, see source note, so no opening balance/movement row precedes this one)</t>
        </is>
      </c>
      <c r="B4" s="5" t="n">
        <v>4217</v>
      </c>
      <c r="C4" s="5" t="n">
        <v>0</v>
      </c>
      <c r="D4" s="5" t="n"/>
      <c r="E4" s="5" t="n">
        <v>4217</v>
      </c>
    </row>
    <row r="5">
      <c r="A5" s="6" t="inlineStr">
        <is>
          <t>Profit for the financial year</t>
        </is>
      </c>
      <c r="B5" s="6" t="n"/>
      <c r="C5" s="6" t="n">
        <v>95</v>
      </c>
      <c r="D5" s="6" t="n"/>
      <c r="E5" s="6" t="n">
        <v>95</v>
      </c>
    </row>
    <row r="6">
      <c r="A6" s="5" t="inlineStr">
        <is>
          <t>Balance as at 31 December 2005 (FY2005 closing)</t>
        </is>
      </c>
      <c r="B6" s="5" t="n">
        <v>4217</v>
      </c>
      <c r="C6" s="5" t="n">
        <v>95</v>
      </c>
      <c r="D6" s="5" t="n"/>
      <c r="E6" s="5" t="n">
        <v>4312</v>
      </c>
    </row>
    <row r="7">
      <c r="A7" s="6" t="inlineStr">
        <is>
          <t>Profit for the financial year</t>
        </is>
      </c>
      <c r="B7" s="6" t="n"/>
      <c r="C7" s="6" t="n">
        <v>246</v>
      </c>
      <c r="D7" s="6" t="n"/>
      <c r="E7" s="6" t="n">
        <v>246</v>
      </c>
    </row>
    <row r="8">
      <c r="A8" s="5" t="inlineStr">
        <is>
          <t>Balance as at 31 December 2006 (FY2006 closing)</t>
        </is>
      </c>
      <c r="B8" s="5" t="n">
        <v>4217</v>
      </c>
      <c r="C8" s="5" t="n">
        <v>341</v>
      </c>
      <c r="D8" s="5" t="n"/>
      <c r="E8" s="5" t="n">
        <v>4558</v>
      </c>
    </row>
    <row r="9">
      <c r="A9" s="6" t="inlineStr">
        <is>
          <t>Profit for the financial year</t>
        </is>
      </c>
      <c r="B9" s="6" t="n"/>
      <c r="C9" s="6" t="n">
        <v>127</v>
      </c>
      <c r="D9" s="6" t="n"/>
      <c r="E9" s="6" t="n">
        <v>127</v>
      </c>
    </row>
    <row r="10">
      <c r="A10" s="6" t="inlineStr">
        <is>
          <t>Revaluation surplus during the year on freehold properties</t>
        </is>
      </c>
      <c r="B10" s="6" t="n"/>
      <c r="C10" s="6" t="n"/>
      <c r="D10" s="6" t="n">
        <v>406</v>
      </c>
      <c r="E10" s="6" t="n">
        <v>406</v>
      </c>
    </row>
    <row r="11">
      <c r="A11" s="5" t="inlineStr">
        <is>
          <t>Balance as at 31 December 2007 (FY2007 closing)</t>
        </is>
      </c>
      <c r="B11" s="5" t="n">
        <v>4217</v>
      </c>
      <c r="C11" s="5" t="n">
        <v>468</v>
      </c>
      <c r="D11" s="5" t="n">
        <v>406</v>
      </c>
      <c r="E11" s="5" t="n">
        <v>5091</v>
      </c>
    </row>
    <row r="12">
      <c r="A12" s="6" t="inlineStr">
        <is>
          <t>Profit for the financial year</t>
        </is>
      </c>
      <c r="B12" s="6" t="n"/>
      <c r="C12" s="6" t="n">
        <v>130</v>
      </c>
      <c r="D12" s="6" t="n"/>
      <c r="E12" s="6" t="n">
        <v>130</v>
      </c>
    </row>
    <row r="13">
      <c r="A13" s="5" t="inlineStr">
        <is>
          <t>Balance as at 31 December 2008 (FY2008 closing)</t>
        </is>
      </c>
      <c r="B13" s="5" t="n">
        <v>4217</v>
      </c>
      <c r="C13" s="5" t="n">
        <v>598</v>
      </c>
      <c r="D13" s="5" t="n">
        <v>406</v>
      </c>
      <c r="E13" s="5" t="n">
        <v>5221</v>
      </c>
    </row>
    <row r="14">
      <c r="A14" s="6" t="inlineStr">
        <is>
          <t>Loss for the financial year</t>
        </is>
      </c>
      <c r="B14" s="6" t="n"/>
      <c r="C14" s="6" t="n">
        <v>-92</v>
      </c>
      <c r="D14" s="6" t="n"/>
      <c r="E14" s="6" t="n">
        <v>-92</v>
      </c>
    </row>
    <row r="15">
      <c r="A15" s="6" t="inlineStr">
        <is>
          <t>Revaluation deficit during the year on freehold properties (see PRESENTATION NOTE (9))</t>
        </is>
      </c>
      <c r="B15" s="6" t="n"/>
      <c r="C15" s="6" t="n"/>
      <c r="D15" s="6" t="n">
        <v>-341</v>
      </c>
      <c r="E15" s="6" t="n">
        <v>-341</v>
      </c>
    </row>
    <row r="16">
      <c r="A16" s="5" t="inlineStr">
        <is>
          <t>Balance as at 31 December 2009 (FY2009 closing, own as-filed figures - see PRESENTATION NOTE (9) on the FY2010 restatement of the FY2009 comparative)</t>
        </is>
      </c>
      <c r="B16" s="5" t="n">
        <v>4217</v>
      </c>
      <c r="C16" s="5" t="n">
        <v>506</v>
      </c>
      <c r="D16" s="5" t="n">
        <v>65</v>
      </c>
      <c r="E16" s="5" t="n">
        <v>4788</v>
      </c>
    </row>
    <row r="17">
      <c r="A17" s="6" t="inlineStr">
        <is>
          <t>Loss for the financial year</t>
        </is>
      </c>
      <c r="B17" s="6" t="n"/>
      <c r="C17" s="6" t="n">
        <v>-145</v>
      </c>
      <c r="D17" s="6" t="n"/>
      <c r="E17" s="6" t="n">
        <v>-145</v>
      </c>
    </row>
    <row r="18">
      <c r="A18" s="6" t="inlineStr">
        <is>
          <t>Reversal of previously recognised revaluation losses on freehold properties</t>
        </is>
      </c>
      <c r="B18" s="6" t="n"/>
      <c r="C18" s="6" t="n"/>
      <c r="D18" s="6" t="n">
        <v>6</v>
      </c>
      <c r="E18" s="6" t="n">
        <v>6</v>
      </c>
    </row>
    <row r="19">
      <c r="A19" s="5" t="inlineStr">
        <is>
          <t>Balance as at 31 December 2010 (FY2010 closing)</t>
        </is>
      </c>
      <c r="B19" s="5" t="n">
        <v>4217</v>
      </c>
      <c r="C19" s="5" t="n">
        <v>361</v>
      </c>
      <c r="D19" s="5" t="n">
        <v>71</v>
      </c>
      <c r="E19" s="5" t="n">
        <v>4649</v>
      </c>
    </row>
    <row r="20">
      <c r="A20" s="6" t="inlineStr">
        <is>
          <t>Loss for the financial year</t>
        </is>
      </c>
      <c r="B20" s="6" t="n"/>
      <c r="C20" s="6" t="n">
        <v>-383</v>
      </c>
      <c r="D20" s="6" t="n"/>
      <c r="E20" s="6" t="n">
        <v>-383</v>
      </c>
    </row>
    <row r="21">
      <c r="A21" s="5" t="inlineStr">
        <is>
          <t>Balance as at 31 December 2011 (FY2011 closing)</t>
        </is>
      </c>
      <c r="B21" s="5" t="n">
        <v>4217</v>
      </c>
      <c r="C21" s="5" t="n">
        <v>-22</v>
      </c>
      <c r="D21" s="5" t="n">
        <v>71</v>
      </c>
      <c r="E21" s="5" t="n">
        <v>4266</v>
      </c>
    </row>
    <row r="22">
      <c r="A22" s="6" t="inlineStr">
        <is>
          <t>Profit for the financial year</t>
        </is>
      </c>
      <c r="B22" s="6" t="n"/>
      <c r="C22" s="6" t="n">
        <v>46</v>
      </c>
      <c r="D22" s="6" t="n"/>
      <c r="E22" s="6" t="n">
        <v>46</v>
      </c>
    </row>
    <row r="23">
      <c r="A23" s="6" t="inlineStr">
        <is>
          <t>Revaluation surplus during the year on freehold properties</t>
        </is>
      </c>
      <c r="B23" s="6" t="n"/>
      <c r="C23" s="6" t="n"/>
      <c r="D23" s="6" t="n">
        <v>345</v>
      </c>
      <c r="E23" s="6" t="n">
        <v>345</v>
      </c>
    </row>
    <row r="24">
      <c r="A24" s="5" t="inlineStr">
        <is>
          <t>Balance as at 31 December 2012 (FY2012 closing)</t>
        </is>
      </c>
      <c r="B24" s="5" t="n">
        <v>4217</v>
      </c>
      <c r="C24" s="5" t="n">
        <v>24</v>
      </c>
      <c r="D24" s="5" t="n">
        <v>416</v>
      </c>
      <c r="E24" s="5" t="n">
        <v>4657</v>
      </c>
    </row>
    <row r="25">
      <c r="A25" s="6" t="inlineStr">
        <is>
          <t>Profit for the financial year</t>
        </is>
      </c>
      <c r="B25" s="6" t="n"/>
      <c r="C25" s="6" t="n">
        <v>72</v>
      </c>
      <c r="D25" s="6" t="n"/>
      <c r="E25" s="6" t="n">
        <v>72</v>
      </c>
    </row>
    <row r="26">
      <c r="A26" s="6" t="inlineStr">
        <is>
          <t>Revaluation deficit during the year on freehold properties</t>
        </is>
      </c>
      <c r="B26" s="6" t="n"/>
      <c r="C26" s="6" t="n"/>
      <c r="D26" s="6" t="n">
        <v>-83</v>
      </c>
      <c r="E26" s="6" t="n">
        <v>-83</v>
      </c>
    </row>
    <row r="27">
      <c r="A27" s="5" t="inlineStr">
        <is>
          <t>Balance as at 1 January 2014 (own report, old UK GAAP/BBA SORP)</t>
        </is>
      </c>
      <c r="B27" s="5" t="n">
        <v>4217</v>
      </c>
      <c r="C27" s="5" t="n">
        <v>96</v>
      </c>
      <c r="D27" s="5" t="n">
        <v>333</v>
      </c>
      <c r="E27" s="5" t="n">
        <v>4646</v>
      </c>
    </row>
    <row r="28">
      <c r="A28" s="6" t="inlineStr">
        <is>
          <t>Profit for the financial year</t>
        </is>
      </c>
      <c r="B28" s="6" t="n"/>
      <c r="C28" s="6" t="n">
        <v>69</v>
      </c>
      <c r="D28" s="6" t="n"/>
      <c r="E28" s="6" t="n">
        <v>69</v>
      </c>
    </row>
    <row r="29">
      <c r="A29" s="6" t="inlineStr">
        <is>
          <t>Revaluation surplus during the year on investment properties</t>
        </is>
      </c>
      <c r="B29" s="6" t="n"/>
      <c r="C29" s="6" t="n"/>
      <c r="D29" s="6" t="n">
        <v>167</v>
      </c>
      <c r="E29" s="6" t="n">
        <v>167</v>
      </c>
    </row>
    <row r="30">
      <c r="A30" s="6" t="inlineStr">
        <is>
          <t>Revaluation deficit during the year on investment properties</t>
        </is>
      </c>
      <c r="B30" s="6" t="n"/>
      <c r="C30" s="6" t="n"/>
      <c r="D30" s="6" t="n">
        <v>-10</v>
      </c>
      <c r="E30" s="6" t="n">
        <v>-10</v>
      </c>
    </row>
    <row r="31">
      <c r="A31" s="6" t="inlineStr">
        <is>
          <t>Revaluation surplus during the year on freehold buildings</t>
        </is>
      </c>
      <c r="B31" s="6" t="n"/>
      <c r="C31" s="6" t="n"/>
      <c r="D31" s="6" t="n">
        <v>88</v>
      </c>
      <c r="E31" s="6" t="n">
        <v>88</v>
      </c>
    </row>
    <row r="32">
      <c r="A32" s="5" t="inlineStr">
        <is>
          <t>Balance as at 31 December 2014 (FY2014 closing, own report)</t>
        </is>
      </c>
      <c r="B32" s="5" t="n">
        <v>4217</v>
      </c>
      <c r="C32" s="5" t="n">
        <v>165</v>
      </c>
      <c r="D32" s="5" t="n">
        <v>578</v>
      </c>
      <c r="E32" s="5" t="n">
        <v>4960</v>
      </c>
    </row>
    <row r="33">
      <c r="A33" s="6" t="inlineStr">
        <is>
          <t>FRS 102 first-time-adoption restatement (see source note - not a FY2014 or FY2015 P&amp;L movement)</t>
        </is>
      </c>
      <c r="B33" s="6" t="n"/>
      <c r="C33" s="6" t="n">
        <v>365</v>
      </c>
      <c r="D33" s="6" t="n">
        <v>-478</v>
      </c>
      <c r="E33" s="6" t="n">
        <v>-113</v>
      </c>
    </row>
    <row r="34">
      <c r="A34" s="5" t="inlineStr">
        <is>
          <t>Balance as at 1 January 2015 (FRS 102-restated, per FY2015 Annual Report SOCE)</t>
        </is>
      </c>
      <c r="B34" s="5" t="n">
        <v>4217</v>
      </c>
      <c r="C34" s="5" t="n">
        <v>530</v>
      </c>
      <c r="D34" s="5" t="n">
        <v>100</v>
      </c>
      <c r="E34" s="5" t="n">
        <v>4847</v>
      </c>
    </row>
    <row r="35">
      <c r="A35" s="6" t="inlineStr">
        <is>
          <t>Profit for the financial year</t>
        </is>
      </c>
      <c r="B35" s="6" t="n"/>
      <c r="C35" s="6" t="n">
        <v>720</v>
      </c>
      <c r="D35" s="6" t="n"/>
      <c r="E35" s="6" t="n">
        <v>720</v>
      </c>
    </row>
    <row r="36">
      <c r="A36" s="6" t="inlineStr">
        <is>
          <t>Unrealised surplus on revaluation of operating properties, net of deferred tax</t>
        </is>
      </c>
      <c r="B36" s="6" t="n"/>
      <c r="C36" s="6" t="n"/>
      <c r="D36" s="6" t="n">
        <v>64</v>
      </c>
      <c r="E36" s="6" t="n">
        <v>64</v>
      </c>
    </row>
    <row r="37">
      <c r="A37" s="5" t="inlineStr">
        <is>
          <t>Balance as at 31 December 2015 (FY2015 closing)</t>
        </is>
      </c>
      <c r="B37" s="5" t="n">
        <v>4217</v>
      </c>
      <c r="C37" s="5" t="n">
        <v>1250</v>
      </c>
      <c r="D37" s="5" t="n">
        <v>164</v>
      </c>
      <c r="E37" s="5" t="n">
        <v>5631</v>
      </c>
    </row>
    <row r="38">
      <c r="A38" s="6" t="inlineStr">
        <is>
          <t>Profit for the financial year</t>
        </is>
      </c>
      <c r="B38" s="6" t="n"/>
      <c r="C38" s="6" t="n">
        <v>34</v>
      </c>
      <c r="D38" s="6" t="n"/>
      <c r="E38" s="6" t="n">
        <v>34</v>
      </c>
    </row>
    <row r="39">
      <c r="A39" s="6" t="inlineStr">
        <is>
          <t>Unrealised surplus on revaluation of operating properties, net of deferred tax</t>
        </is>
      </c>
      <c r="B39" s="6" t="n"/>
      <c r="C39" s="6" t="n"/>
      <c r="D39" s="6" t="n">
        <v>2</v>
      </c>
      <c r="E39" s="6" t="n">
        <v>2</v>
      </c>
    </row>
    <row r="40">
      <c r="A40" s="5" t="inlineStr">
        <is>
          <t>Balance as at 31 December 2016 (FY2016 closing)</t>
        </is>
      </c>
      <c r="B40" s="5" t="n">
        <v>4217</v>
      </c>
      <c r="C40" s="5" t="n">
        <v>1284</v>
      </c>
      <c r="D40" s="5" t="n">
        <v>166</v>
      </c>
      <c r="E40" s="5" t="n">
        <v>5667</v>
      </c>
    </row>
    <row r="41">
      <c r="A41" s="6" t="inlineStr">
        <is>
          <t>Profit for the financial year</t>
        </is>
      </c>
      <c r="B41" s="6" t="n"/>
      <c r="C41" s="6" t="n">
        <v>105</v>
      </c>
      <c r="D41" s="6" t="n"/>
      <c r="E41" s="6" t="n">
        <v>105</v>
      </c>
    </row>
    <row r="42">
      <c r="A42" s="6" t="inlineStr">
        <is>
          <t>Unrealised surplus on revaluation of operating property, net of deferred tax</t>
        </is>
      </c>
      <c r="B42" s="6" t="n"/>
      <c r="C42" s="6" t="n"/>
      <c r="D42" s="6" t="n">
        <v>6</v>
      </c>
      <c r="E42" s="6" t="n">
        <v>6</v>
      </c>
    </row>
    <row r="43">
      <c r="A43" s="5" t="inlineStr">
        <is>
          <t>Balance as at 31 December 2017 (FY2017 closing)</t>
        </is>
      </c>
      <c r="B43" s="5" t="n">
        <v>4217</v>
      </c>
      <c r="C43" s="5" t="n">
        <v>1389</v>
      </c>
      <c r="D43" s="5" t="n">
        <v>172</v>
      </c>
      <c r="E43" s="5" t="n">
        <v>5778</v>
      </c>
    </row>
    <row r="44">
      <c r="A44" s="6" t="inlineStr">
        <is>
          <t>Profit for the financial year</t>
        </is>
      </c>
      <c r="B44" s="6" t="n"/>
      <c r="C44" s="6" t="n">
        <v>146</v>
      </c>
      <c r="D44" s="6" t="n"/>
      <c r="E44" s="6" t="n">
        <v>146</v>
      </c>
    </row>
    <row r="45">
      <c r="A45" s="6" t="inlineStr">
        <is>
          <t>Dividends paid</t>
        </is>
      </c>
      <c r="B45" s="6" t="n"/>
      <c r="C45" s="6" t="n">
        <v>-16</v>
      </c>
      <c r="D45" s="6" t="n"/>
      <c r="E45" s="6" t="n">
        <v>-16</v>
      </c>
    </row>
    <row r="46">
      <c r="A46" s="5" t="inlineStr">
        <is>
          <t>Balance as at 31 December 2018 (FY2018 closing)</t>
        </is>
      </c>
      <c r="B46" s="5" t="n">
        <v>4217</v>
      </c>
      <c r="C46" s="5" t="n">
        <v>1519</v>
      </c>
      <c r="D46" s="5" t="n">
        <v>172</v>
      </c>
      <c r="E46" s="5" t="n">
        <v>5908</v>
      </c>
    </row>
    <row r="47">
      <c r="A47" s="6" t="inlineStr">
        <is>
          <t>Profit for the financial year</t>
        </is>
      </c>
      <c r="B47" s="6" t="n"/>
      <c r="C47" s="6" t="n">
        <v>257</v>
      </c>
      <c r="D47" s="6" t="n"/>
      <c r="E47" s="6" t="n">
        <v>257</v>
      </c>
    </row>
    <row r="48">
      <c r="A48" s="5" t="inlineStr">
        <is>
          <t>Balance as at 31 December 2019 (FY2019 closing)</t>
        </is>
      </c>
      <c r="B48" s="5" t="n">
        <v>4217</v>
      </c>
      <c r="C48" s="5" t="n">
        <v>1756</v>
      </c>
      <c r="D48" s="5" t="n">
        <v>172</v>
      </c>
      <c r="E48" s="5" t="n">
        <v>6145</v>
      </c>
    </row>
    <row r="49">
      <c r="A49" s="6" t="inlineStr">
        <is>
          <t>Loss for the financial year</t>
        </is>
      </c>
      <c r="B49" s="6" t="n"/>
      <c r="C49" s="6" t="n">
        <v>-24</v>
      </c>
      <c r="D49" s="6" t="n"/>
      <c r="E49" s="6" t="n">
        <v>-24</v>
      </c>
    </row>
    <row r="50">
      <c r="A50" s="6" t="inlineStr">
        <is>
          <t>Share allotment</t>
        </is>
      </c>
      <c r="B50" s="6" t="n">
        <v>650</v>
      </c>
      <c r="C50" s="6" t="n"/>
      <c r="D50" s="6" t="n"/>
      <c r="E50" s="6" t="n">
        <v>650</v>
      </c>
    </row>
    <row r="51">
      <c r="A51" s="5" t="inlineStr">
        <is>
          <t>Balance as at 31 December 2020 (FY2020 closing)</t>
        </is>
      </c>
      <c r="B51" s="5" t="n">
        <v>4867</v>
      </c>
      <c r="C51" s="5" t="n">
        <v>1732</v>
      </c>
      <c r="D51" s="5" t="n">
        <v>172</v>
      </c>
      <c r="E51" s="5" t="n">
        <v>6771</v>
      </c>
    </row>
    <row r="52">
      <c r="A52" s="6" t="inlineStr">
        <is>
          <t>Profit for the financial year</t>
        </is>
      </c>
      <c r="B52" s="6" t="n"/>
      <c r="C52" s="6" t="n">
        <v>680</v>
      </c>
      <c r="D52" s="6" t="n"/>
      <c r="E52" s="6" t="n">
        <v>680</v>
      </c>
    </row>
    <row r="53">
      <c r="A53" s="6" t="inlineStr">
        <is>
          <t>Transfer of revaluation reserve to profit and loss reserve upon reclassification of operating property</t>
        </is>
      </c>
      <c r="B53" s="6" t="n"/>
      <c r="C53" s="6" t="n">
        <v>172</v>
      </c>
      <c r="D53" s="6" t="n">
        <v>-172</v>
      </c>
      <c r="E53" s="6" t="n"/>
    </row>
    <row r="54">
      <c r="A54" s="5" t="inlineStr">
        <is>
          <t>Balance as at 31 December 2021 (FY2021 closing)</t>
        </is>
      </c>
      <c r="B54" s="5" t="n">
        <v>4867</v>
      </c>
      <c r="C54" s="5" t="n">
        <v>2584</v>
      </c>
      <c r="D54" s="5" t="n">
        <v>0</v>
      </c>
      <c r="E54" s="5" t="n">
        <v>7451</v>
      </c>
    </row>
    <row r="55">
      <c r="A55" s="6" t="inlineStr">
        <is>
          <t>Profit for the financial year</t>
        </is>
      </c>
      <c r="B55" s="6" t="n"/>
      <c r="C55" s="6" t="n">
        <v>102</v>
      </c>
      <c r="D55" s="6" t="n"/>
      <c r="E55" s="6" t="n">
        <v>102</v>
      </c>
    </row>
    <row r="56">
      <c r="A56" s="6" t="inlineStr">
        <is>
          <t>Share allotment</t>
        </is>
      </c>
      <c r="B56" s="6" t="n">
        <v>1800</v>
      </c>
      <c r="C56" s="6" t="n"/>
      <c r="D56" s="6" t="n"/>
      <c r="E56" s="6" t="n">
        <v>1800</v>
      </c>
    </row>
    <row r="57">
      <c r="A57" s="5" t="inlineStr">
        <is>
          <t>Balance as at 31 December 2022 (FY2022 closing)</t>
        </is>
      </c>
      <c r="B57" s="5" t="n">
        <v>6667</v>
      </c>
      <c r="C57" s="5" t="n">
        <v>2686</v>
      </c>
      <c r="D57" s="5" t="n">
        <v>0</v>
      </c>
      <c r="E57" s="5" t="n">
        <v>9353</v>
      </c>
    </row>
    <row r="58">
      <c r="A58" s="6" t="inlineStr">
        <is>
          <t>Profit for the financial year</t>
        </is>
      </c>
      <c r="B58" s="6" t="n"/>
      <c r="C58" s="6" t="n">
        <v>523</v>
      </c>
      <c r="D58" s="6" t="n"/>
      <c r="E58" s="6" t="n">
        <v>523</v>
      </c>
    </row>
    <row r="59">
      <c r="A59" s="5" t="inlineStr">
        <is>
          <t>Balance as at 31 December 2023 (FY2023 closing)</t>
        </is>
      </c>
      <c r="B59" s="5" t="n">
        <v>6667</v>
      </c>
      <c r="C59" s="5" t="n">
        <v>3209</v>
      </c>
      <c r="D59" s="5" t="n">
        <v>0</v>
      </c>
      <c r="E59" s="5" t="n">
        <v>9876</v>
      </c>
    </row>
    <row r="60">
      <c r="A60" s="6" t="inlineStr">
        <is>
          <t>Profit for the financial year</t>
        </is>
      </c>
      <c r="B60" s="6" t="n"/>
      <c r="C60" s="6" t="n">
        <v>279</v>
      </c>
      <c r="D60" s="6" t="n"/>
      <c r="E60" s="6" t="n">
        <v>279</v>
      </c>
    </row>
    <row r="61">
      <c r="A61" s="6" t="inlineStr">
        <is>
          <t>Share allotment</t>
        </is>
      </c>
      <c r="B61" s="6" t="n">
        <v>5400</v>
      </c>
      <c r="C61" s="6" t="n"/>
      <c r="D61" s="6" t="n"/>
      <c r="E61" s="6" t="n">
        <v>5400</v>
      </c>
    </row>
    <row r="62">
      <c r="A62" s="6" t="inlineStr">
        <is>
          <t>Dividends paid</t>
        </is>
      </c>
      <c r="B62" s="6" t="n"/>
      <c r="C62" s="6" t="n">
        <v>-43</v>
      </c>
      <c r="D62" s="6" t="n"/>
      <c r="E62" s="6" t="n">
        <v>-43</v>
      </c>
    </row>
    <row r="63">
      <c r="A63" s="5" t="inlineStr">
        <is>
          <t>Balance as at 31 December 2024 (FY2024 closing)</t>
        </is>
      </c>
      <c r="B63" s="5" t="n">
        <v>12067</v>
      </c>
      <c r="C63" s="5" t="n">
        <v>3445</v>
      </c>
      <c r="D63" s="5" t="n">
        <v>0</v>
      </c>
      <c r="E63" s="5" t="n">
        <v>15512</v>
      </c>
    </row>
    <row r="64">
      <c r="A64" s="6" t="inlineStr">
        <is>
          <t>Loss for the financial year</t>
        </is>
      </c>
      <c r="B64" s="6" t="n"/>
      <c r="C64" s="6" t="n">
        <v>-804</v>
      </c>
      <c r="D64" s="6" t="n"/>
      <c r="E64" s="6" t="n">
        <v>-804</v>
      </c>
    </row>
    <row r="65">
      <c r="A65" s="6" t="inlineStr">
        <is>
          <t>Share allotment</t>
        </is>
      </c>
      <c r="B65" s="6" t="n">
        <v>1170</v>
      </c>
      <c r="C65" s="6" t="n"/>
      <c r="D65" s="6" t="n"/>
      <c r="E65" s="6" t="n">
        <v>1170</v>
      </c>
    </row>
    <row r="66">
      <c r="A66" s="6" t="inlineStr">
        <is>
          <t>Dividends paid</t>
        </is>
      </c>
      <c r="B66" s="6" t="n"/>
      <c r="C66" s="6" t="n">
        <v>-70</v>
      </c>
      <c r="D66" s="6" t="n"/>
      <c r="E66" s="6" t="n">
        <v>-70</v>
      </c>
    </row>
    <row r="67">
      <c r="A67" s="5" t="inlineStr">
        <is>
          <t>Balance as at 31 December 2025 (FY2025 closing)</t>
        </is>
      </c>
      <c r="B67" s="5" t="n">
        <v>13237</v>
      </c>
      <c r="C67" s="5" t="n">
        <v>2571</v>
      </c>
      <c r="D67" s="5" t="n">
        <v>0</v>
      </c>
      <c r="E67" s="5" t="n">
        <v>15808</v>
      </c>
    </row>
    <row r="69" ht="150" customHeight="1">
      <c r="A6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69:E6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Statement of Cash Flows</t>
        </is>
      </c>
    </row>
    <row r="2">
      <c r="A2" s="2" t="inlineStr">
        <is>
          <t>Bank/solo basis, £'000. FY2004-FY2014 (11 years) have no cash flow statement (FRS 1 wholly-owned-subsidiary exemption - columns intentionally blank, not zero).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Net cash (used in)/generated from operating activities excluding tax</t>
        </is>
      </c>
      <c r="B5" s="6" t="n">
        <v>-1079</v>
      </c>
      <c r="C5" s="6" t="n">
        <v>-481</v>
      </c>
      <c r="D5" s="6" t="n">
        <v>10255</v>
      </c>
      <c r="E5" s="6" t="n">
        <v>3157</v>
      </c>
      <c r="F5" s="6" t="n">
        <v>-630</v>
      </c>
      <c r="G5" s="6" t="n">
        <v>7026</v>
      </c>
      <c r="H5" s="6" t="n">
        <v>1978</v>
      </c>
      <c r="I5" s="6" t="n">
        <v>-4088</v>
      </c>
      <c r="J5" s="6" t="n">
        <v>1125</v>
      </c>
      <c r="K5" s="6" t="n">
        <v>718</v>
      </c>
      <c r="L5" s="6" t="n">
        <v>-5610</v>
      </c>
      <c r="M5" s="6" t="n"/>
      <c r="N5" s="6" t="n"/>
      <c r="O5" s="6" t="n"/>
      <c r="P5" s="6" t="n"/>
      <c r="Q5" s="6" t="n"/>
      <c r="R5" s="6" t="n"/>
      <c r="S5" s="6" t="n"/>
      <c r="T5" s="6" t="n"/>
      <c r="U5" s="6" t="n"/>
      <c r="V5" s="6" t="n"/>
      <c r="W5" s="6" t="n"/>
    </row>
    <row r="6">
      <c r="A6" s="6" t="inlineStr">
        <is>
          <t>Taxation paid</t>
        </is>
      </c>
      <c r="B6" s="6" t="n">
        <v>-55</v>
      </c>
      <c r="C6" s="6" t="n">
        <v>-102</v>
      </c>
      <c r="D6" s="6" t="n">
        <v>-11</v>
      </c>
      <c r="E6" s="6" t="n">
        <v>-25</v>
      </c>
      <c r="F6" s="6" t="n"/>
      <c r="G6" s="6" t="n">
        <v>-56</v>
      </c>
      <c r="H6" s="6" t="n">
        <v>-40</v>
      </c>
      <c r="I6" s="6" t="n">
        <v>-33</v>
      </c>
      <c r="J6" s="6" t="n">
        <v>-23</v>
      </c>
      <c r="K6" s="6" t="n">
        <v>-233</v>
      </c>
      <c r="L6" s="6" t="n">
        <v>-2</v>
      </c>
      <c r="M6" s="6" t="n"/>
      <c r="N6" s="6" t="n"/>
      <c r="O6" s="6" t="n"/>
      <c r="P6" s="6" t="n"/>
      <c r="Q6" s="6" t="n"/>
      <c r="R6" s="6" t="n"/>
      <c r="S6" s="6" t="n"/>
      <c r="T6" s="6" t="n"/>
      <c r="U6" s="6" t="n"/>
      <c r="V6" s="6" t="n"/>
      <c r="W6" s="6" t="n"/>
    </row>
    <row r="7">
      <c r="A7" s="5" t="inlineStr">
        <is>
          <t>Net cash (used in)/generated from operating activities</t>
        </is>
      </c>
      <c r="B7" s="5" t="n">
        <v>-1134</v>
      </c>
      <c r="C7" s="5" t="n">
        <v>-583</v>
      </c>
      <c r="D7" s="5" t="n">
        <v>10244</v>
      </c>
      <c r="E7" s="5" t="n">
        <v>3132</v>
      </c>
      <c r="F7" s="5" t="n">
        <v>-630</v>
      </c>
      <c r="G7" s="5" t="n">
        <v>6970</v>
      </c>
      <c r="H7" s="5" t="n">
        <v>1938</v>
      </c>
      <c r="I7" s="5" t="n">
        <v>-4121</v>
      </c>
      <c r="J7" s="5" t="n">
        <v>1102</v>
      </c>
      <c r="K7" s="5" t="n">
        <v>485</v>
      </c>
      <c r="L7" s="5" t="n">
        <v>-5612</v>
      </c>
      <c r="M7" s="5" t="n"/>
      <c r="N7" s="5" t="n"/>
      <c r="O7" s="5" t="n"/>
      <c r="P7" s="5" t="n"/>
      <c r="Q7" s="5" t="n"/>
      <c r="R7" s="5" t="n"/>
      <c r="S7" s="5" t="n"/>
      <c r="T7" s="5" t="n"/>
      <c r="U7" s="5" t="n"/>
      <c r="V7" s="5" t="n"/>
      <c r="W7" s="5" t="n"/>
    </row>
    <row r="8">
      <c r="A8" s="5" t="inlineStr">
        <is>
          <t>Investing activities</t>
        </is>
      </c>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inlineStr">
        <is>
          <t>Purchase of intangible assets</t>
        </is>
      </c>
      <c r="B9" s="6" t="n">
        <v>0</v>
      </c>
      <c r="C9" s="6" t="n">
        <v>0</v>
      </c>
      <c r="D9" s="6" t="n">
        <v>-23</v>
      </c>
      <c r="E9" s="6" t="n">
        <v>-16</v>
      </c>
      <c r="F9" s="6" t="n">
        <v>-47</v>
      </c>
      <c r="G9" s="6" t="n">
        <v>-39</v>
      </c>
      <c r="H9" s="6" t="n">
        <v>-8</v>
      </c>
      <c r="I9" s="6" t="n">
        <v>-12</v>
      </c>
      <c r="J9" s="6" t="n">
        <v>-16</v>
      </c>
      <c r="K9" s="6" t="n">
        <v>-170</v>
      </c>
      <c r="L9" s="6" t="n">
        <v>-33</v>
      </c>
      <c r="M9" s="6" t="n"/>
      <c r="N9" s="6" t="n"/>
      <c r="O9" s="6" t="n"/>
      <c r="P9" s="6" t="n"/>
      <c r="Q9" s="6" t="n"/>
      <c r="R9" s="6" t="n"/>
      <c r="S9" s="6" t="n"/>
      <c r="T9" s="6" t="n"/>
      <c r="U9" s="6" t="n"/>
      <c r="V9" s="6" t="n"/>
      <c r="W9" s="6" t="n"/>
    </row>
    <row r="10">
      <c r="A10" s="6" t="inlineStr">
        <is>
          <t>Capital expenditure on investment property</t>
        </is>
      </c>
      <c r="B10" s="6" t="n"/>
      <c r="C10" s="6" t="n"/>
      <c r="D10" s="6" t="n"/>
      <c r="E10" s="6" t="n"/>
      <c r="F10" s="6" t="n"/>
      <c r="G10" s="6" t="n"/>
      <c r="H10" s="6" t="n"/>
      <c r="I10" s="6" t="n"/>
      <c r="J10" s="6" t="n"/>
      <c r="K10" s="6" t="n"/>
      <c r="L10" s="6" t="n">
        <v>-13</v>
      </c>
      <c r="M10" s="6" t="n"/>
      <c r="N10" s="6" t="n"/>
      <c r="O10" s="6" t="n"/>
      <c r="P10" s="6" t="n"/>
      <c r="Q10" s="6" t="n"/>
      <c r="R10" s="6" t="n"/>
      <c r="S10" s="6" t="n"/>
      <c r="T10" s="6" t="n"/>
      <c r="U10" s="6" t="n"/>
      <c r="V10" s="6" t="n"/>
      <c r="W10" s="6" t="n"/>
    </row>
    <row r="11">
      <c r="A11" s="6" t="inlineStr">
        <is>
          <t>Purchase of tangible assets</t>
        </is>
      </c>
      <c r="B11" s="6" t="n">
        <v>-43</v>
      </c>
      <c r="C11" s="6" t="n">
        <v>-41</v>
      </c>
      <c r="D11" s="6" t="n">
        <v>-24</v>
      </c>
      <c r="E11" s="6" t="n">
        <v>-24</v>
      </c>
      <c r="F11" s="6" t="n">
        <v>-197</v>
      </c>
      <c r="G11" s="6" t="n">
        <v>-30</v>
      </c>
      <c r="H11" s="6" t="n">
        <v>-89</v>
      </c>
      <c r="I11" s="6" t="n">
        <v>-40</v>
      </c>
      <c r="J11" s="6" t="n">
        <v>-15</v>
      </c>
      <c r="K11" s="6" t="n">
        <v>-21</v>
      </c>
      <c r="L11" s="6" t="n">
        <v>-23</v>
      </c>
      <c r="M11" s="6" t="n"/>
      <c r="N11" s="6" t="n"/>
      <c r="O11" s="6" t="n"/>
      <c r="P11" s="6" t="n"/>
      <c r="Q11" s="6" t="n"/>
      <c r="R11" s="6" t="n"/>
      <c r="S11" s="6" t="n"/>
      <c r="T11" s="6" t="n"/>
      <c r="U11" s="6" t="n"/>
      <c r="V11" s="6" t="n"/>
      <c r="W11" s="6" t="n"/>
    </row>
    <row r="12">
      <c r="A12" s="6" t="inlineStr">
        <is>
          <t>Sale of investment property / proceeds from disposals of investment property</t>
        </is>
      </c>
      <c r="B12" s="6" t="n"/>
      <c r="C12" s="6" t="n"/>
      <c r="D12" s="6" t="n"/>
      <c r="E12" s="6" t="n"/>
      <c r="F12" s="6" t="n">
        <v>2013</v>
      </c>
      <c r="G12" s="6" t="n"/>
      <c r="H12" s="6" t="n"/>
      <c r="I12" s="6" t="n"/>
      <c r="J12" s="6" t="n"/>
      <c r="K12" s="6" t="n"/>
      <c r="L12" s="6" t="n">
        <v>3394</v>
      </c>
      <c r="M12" s="6" t="n"/>
      <c r="N12" s="6" t="n"/>
      <c r="O12" s="6" t="n"/>
      <c r="P12" s="6" t="n"/>
      <c r="Q12" s="6" t="n"/>
      <c r="R12" s="6" t="n"/>
      <c r="S12" s="6" t="n"/>
      <c r="T12" s="6" t="n"/>
      <c r="U12" s="6" t="n"/>
      <c r="V12" s="6" t="n"/>
      <c r="W12" s="6" t="n"/>
    </row>
    <row r="13">
      <c r="A13" s="5" t="inlineStr">
        <is>
          <t>Net cash (used in)/generated from investing activities</t>
        </is>
      </c>
      <c r="B13" s="5" t="n">
        <v>-43</v>
      </c>
      <c r="C13" s="5" t="n">
        <v>-41</v>
      </c>
      <c r="D13" s="5" t="n">
        <v>-47</v>
      </c>
      <c r="E13" s="5" t="n">
        <v>-40</v>
      </c>
      <c r="F13" s="5" t="n">
        <v>1769</v>
      </c>
      <c r="G13" s="5" t="n">
        <v>-69</v>
      </c>
      <c r="H13" s="5" t="n">
        <v>-97</v>
      </c>
      <c r="I13" s="5" t="n">
        <v>-52</v>
      </c>
      <c r="J13" s="5" t="n">
        <v>-31</v>
      </c>
      <c r="K13" s="5" t="n">
        <v>-191</v>
      </c>
      <c r="L13" s="5" t="n">
        <v>3325</v>
      </c>
      <c r="M13" s="5" t="n"/>
      <c r="N13" s="5" t="n"/>
      <c r="O13" s="5" t="n"/>
      <c r="P13" s="5" t="n"/>
      <c r="Q13" s="5" t="n"/>
      <c r="R13" s="5" t="n"/>
      <c r="S13" s="5" t="n"/>
      <c r="T13" s="5" t="n"/>
      <c r="U13" s="5" t="n"/>
      <c r="V13" s="5" t="n"/>
      <c r="W13" s="5" t="n"/>
    </row>
    <row r="14">
      <c r="A14" s="5" t="inlineStr">
        <is>
          <t>Financing activities</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Repayment of subordinated liabilities</t>
        </is>
      </c>
      <c r="B15" s="6" t="n">
        <v>0</v>
      </c>
      <c r="C15" s="6" t="n">
        <v>0</v>
      </c>
      <c r="D15" s="6" t="n">
        <v>0</v>
      </c>
      <c r="E15" s="6" t="n">
        <v>-61</v>
      </c>
      <c r="F15" s="6" t="n">
        <v>-670</v>
      </c>
      <c r="G15" s="6" t="n"/>
      <c r="H15" s="6" t="n"/>
      <c r="I15" s="6" t="n">
        <v>-150</v>
      </c>
      <c r="J15" s="6" t="n"/>
      <c r="K15" s="6" t="n">
        <v>-800</v>
      </c>
      <c r="L15" s="6" t="n"/>
      <c r="M15" s="6" t="n"/>
      <c r="N15" s="6" t="n"/>
      <c r="O15" s="6" t="n"/>
      <c r="P15" s="6" t="n"/>
      <c r="Q15" s="6" t="n"/>
      <c r="R15" s="6" t="n"/>
      <c r="S15" s="6" t="n"/>
      <c r="T15" s="6" t="n"/>
      <c r="U15" s="6" t="n"/>
      <c r="V15" s="6" t="n"/>
      <c r="W15" s="6" t="n"/>
    </row>
    <row r="16">
      <c r="A16" s="6" t="inlineStr">
        <is>
          <t>Issue of subordinated liabilities</t>
        </is>
      </c>
      <c r="B16" s="6" t="n"/>
      <c r="C16" s="6" t="n"/>
      <c r="D16" s="6" t="n"/>
      <c r="E16" s="6" t="n"/>
      <c r="F16" s="6" t="n"/>
      <c r="G16" s="6" t="n"/>
      <c r="H16" s="6" t="n"/>
      <c r="I16" s="6" t="n"/>
      <c r="J16" s="6" t="n"/>
      <c r="K16" s="6" t="n">
        <v>700</v>
      </c>
      <c r="L16" s="6" t="n"/>
      <c r="M16" s="6" t="n"/>
      <c r="N16" s="6" t="n"/>
      <c r="O16" s="6" t="n"/>
      <c r="P16" s="6" t="n"/>
      <c r="Q16" s="6" t="n"/>
      <c r="R16" s="6" t="n"/>
      <c r="S16" s="6" t="n"/>
      <c r="T16" s="6" t="n"/>
      <c r="U16" s="6" t="n"/>
      <c r="V16" s="6" t="n"/>
      <c r="W16" s="6" t="n"/>
    </row>
    <row r="17">
      <c r="A17" s="6" t="inlineStr">
        <is>
          <t>Share allotment</t>
        </is>
      </c>
      <c r="B17" s="6" t="n">
        <v>1170</v>
      </c>
      <c r="C17" s="6" t="n">
        <v>5400</v>
      </c>
      <c r="D17" s="6" t="n">
        <v>0</v>
      </c>
      <c r="E17" s="6" t="n">
        <v>1800</v>
      </c>
      <c r="F17" s="6" t="n">
        <v>0</v>
      </c>
      <c r="G17" s="6" t="n">
        <v>650</v>
      </c>
      <c r="H17" s="6" t="n"/>
      <c r="I17" s="6" t="n"/>
      <c r="J17" s="6" t="n"/>
      <c r="K17" s="6" t="n"/>
      <c r="L17" s="6" t="n"/>
      <c r="M17" s="6" t="n"/>
      <c r="N17" s="6" t="n"/>
      <c r="O17" s="6" t="n"/>
      <c r="P17" s="6" t="n"/>
      <c r="Q17" s="6" t="n"/>
      <c r="R17" s="6" t="n"/>
      <c r="S17" s="6" t="n"/>
      <c r="T17" s="6" t="n"/>
      <c r="U17" s="6" t="n"/>
      <c r="V17" s="6" t="n"/>
      <c r="W17" s="6" t="n"/>
    </row>
    <row r="18">
      <c r="A18" s="6" t="inlineStr">
        <is>
          <t>Dividends paid</t>
        </is>
      </c>
      <c r="B18" s="6" t="n">
        <v>-70</v>
      </c>
      <c r="C18" s="6" t="n">
        <v>-43</v>
      </c>
      <c r="D18" s="6" t="n"/>
      <c r="E18" s="6" t="n"/>
      <c r="F18" s="6" t="n"/>
      <c r="G18" s="6" t="n"/>
      <c r="H18" s="6" t="n">
        <v>-20</v>
      </c>
      <c r="I18" s="6" t="n">
        <v>-16</v>
      </c>
      <c r="J18" s="6" t="n"/>
      <c r="K18" s="6" t="n"/>
      <c r="L18" s="6" t="n"/>
      <c r="M18" s="6" t="n"/>
      <c r="N18" s="6" t="n"/>
      <c r="O18" s="6" t="n"/>
      <c r="P18" s="6" t="n"/>
      <c r="Q18" s="6" t="n"/>
      <c r="R18" s="6" t="n"/>
      <c r="S18" s="6" t="n"/>
      <c r="T18" s="6" t="n"/>
      <c r="U18" s="6" t="n"/>
      <c r="V18" s="6" t="n"/>
      <c r="W18" s="6" t="n"/>
    </row>
    <row r="19">
      <c r="A19" s="5" t="inlineStr">
        <is>
          <t>Net cash generated from/(used in) financing activities</t>
        </is>
      </c>
      <c r="B19" s="5" t="n">
        <v>1100</v>
      </c>
      <c r="C19" s="5" t="n">
        <v>5357</v>
      </c>
      <c r="D19" s="5" t="n">
        <v>0</v>
      </c>
      <c r="E19" s="5" t="n">
        <v>1739</v>
      </c>
      <c r="F19" s="5" t="n">
        <v>-670</v>
      </c>
      <c r="G19" s="5" t="n">
        <v>650</v>
      </c>
      <c r="H19" s="5" t="n">
        <v>-20</v>
      </c>
      <c r="I19" s="5" t="n">
        <v>-166</v>
      </c>
      <c r="J19" s="5" t="n">
        <v>0</v>
      </c>
      <c r="K19" s="5" t="n">
        <v>-100</v>
      </c>
      <c r="L19" s="5" t="n">
        <v>0</v>
      </c>
      <c r="M19" s="5" t="n"/>
      <c r="N19" s="5" t="n"/>
      <c r="O19" s="5" t="n"/>
      <c r="P19" s="5" t="n"/>
      <c r="Q19" s="5" t="n"/>
      <c r="R19" s="5" t="n"/>
      <c r="S19" s="5" t="n"/>
      <c r="T19" s="5" t="n"/>
      <c r="U19" s="5" t="n"/>
      <c r="V19" s="5" t="n"/>
      <c r="W19" s="5" t="n"/>
    </row>
    <row r="20">
      <c r="A20" s="5" t="inlineStr">
        <is>
          <t>Net movement in cash and cash equivalents</t>
        </is>
      </c>
      <c r="B20" s="5" t="n">
        <v>-77</v>
      </c>
      <c r="C20" s="5" t="n">
        <v>4733</v>
      </c>
      <c r="D20" s="5" t="n">
        <v>10197</v>
      </c>
      <c r="E20" s="5" t="n">
        <v>4831</v>
      </c>
      <c r="F20" s="5" t="n">
        <v>469</v>
      </c>
      <c r="G20" s="5" t="n">
        <v>7551</v>
      </c>
      <c r="H20" s="5" t="n">
        <v>1821</v>
      </c>
      <c r="I20" s="5" t="n">
        <v>-4339</v>
      </c>
      <c r="J20" s="5" t="n">
        <v>1071</v>
      </c>
      <c r="K20" s="5" t="n">
        <v>194</v>
      </c>
      <c r="L20" s="5" t="n">
        <v>-2287</v>
      </c>
      <c r="M20" s="5" t="n"/>
      <c r="N20" s="5" t="n"/>
      <c r="O20" s="5" t="n"/>
      <c r="P20" s="5" t="n"/>
      <c r="Q20" s="5" t="n"/>
      <c r="R20" s="5" t="n"/>
      <c r="S20" s="5" t="n"/>
      <c r="T20" s="5" t="n"/>
      <c r="U20" s="5" t="n"/>
      <c r="V20" s="5" t="n"/>
      <c r="W20" s="5" t="n"/>
    </row>
    <row r="21">
      <c r="A21" s="6" t="inlineStr">
        <is>
          <t>Cash and cash equivalents at the beginning of the year</t>
        </is>
      </c>
      <c r="B21" s="6" t="n">
        <v>39791</v>
      </c>
      <c r="C21" s="6" t="n">
        <v>35058</v>
      </c>
      <c r="D21" s="6" t="n">
        <v>24861</v>
      </c>
      <c r="E21" s="6" t="n">
        <v>20030</v>
      </c>
      <c r="F21" s="6" t="n">
        <v>19561</v>
      </c>
      <c r="G21" s="6" t="n">
        <v>12010</v>
      </c>
      <c r="H21" s="6" t="n">
        <v>10189</v>
      </c>
      <c r="I21" s="6" t="n">
        <v>14528</v>
      </c>
      <c r="J21" s="6" t="n">
        <v>13457</v>
      </c>
      <c r="K21" s="6" t="n">
        <v>13263</v>
      </c>
      <c r="L21" s="6" t="n">
        <v>15550</v>
      </c>
      <c r="M21" s="6" t="n"/>
      <c r="N21" s="6" t="n"/>
      <c r="O21" s="6" t="n"/>
      <c r="P21" s="6" t="n"/>
      <c r="Q21" s="6" t="n"/>
      <c r="R21" s="6" t="n"/>
      <c r="S21" s="6" t="n"/>
      <c r="T21" s="6" t="n"/>
      <c r="U21" s="6" t="n"/>
      <c r="V21" s="6" t="n"/>
      <c r="W21" s="6" t="n"/>
    </row>
    <row r="22">
      <c r="A22" s="5" t="inlineStr">
        <is>
          <t>Cash and cash equivalents at the end of the year</t>
        </is>
      </c>
      <c r="B22" s="5" t="n">
        <v>39714</v>
      </c>
      <c r="C22" s="5" t="n">
        <v>39791</v>
      </c>
      <c r="D22" s="5" t="n">
        <v>35058</v>
      </c>
      <c r="E22" s="5" t="n">
        <v>24861</v>
      </c>
      <c r="F22" s="5" t="n">
        <v>20030</v>
      </c>
      <c r="G22" s="5" t="n">
        <v>19561</v>
      </c>
      <c r="H22" s="5" t="n">
        <v>12010</v>
      </c>
      <c r="I22" s="5" t="n">
        <v>10189</v>
      </c>
      <c r="J22" s="5" t="n">
        <v>14528</v>
      </c>
      <c r="K22" s="5" t="n">
        <v>13457</v>
      </c>
      <c r="L22" s="5" t="n">
        <v>13263</v>
      </c>
      <c r="M22" s="5" t="n"/>
      <c r="N22" s="5" t="n"/>
      <c r="O22" s="5" t="n"/>
      <c r="P22" s="5" t="n"/>
      <c r="Q22" s="5" t="n"/>
      <c r="R22" s="5" t="n"/>
      <c r="S22" s="5" t="n"/>
      <c r="T22" s="5" t="n"/>
      <c r="U22" s="5" t="n"/>
      <c r="V22" s="5" t="n"/>
      <c r="W22" s="5" t="n"/>
    </row>
    <row r="24" ht="260" customHeight="1">
      <c r="A24" s="8" t="inlineStr">
        <is>
          <t>Sources - all figures are Kingdom Bank Limited's own Statement of cash flows, £'000, Bank/solo basis (Companies House filings, all fully scanned):
FY2025 (own) &amp; FY2024 (comparative, cross-checked against FY2024's own report): Annual Report &amp; Accounts 2025, p.38 (Statement of cash flows)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(own) &amp; FY2022 (comparative): Annual Report &amp; Accounts 2023, p.39 (Statement of cash flows)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(own) &amp; FY2020 (comparative, cross-checked against FY2020's own report): Annual Report &amp; Accounts 2021, p.33 (Statement of cash flows) - https://find-and-update.company-information.service.gov.uk/company/04346834/filing-history/MzM0MzYxNTEyM2FkaXF6a2N4/document?format=pdf&amp;download=0
FY2020 (own) &amp; FY2019 (comparative): Annual Report &amp; Accounts 2020, p.31 (Statement of cash flows) - https://find-and-update.company-information.service.gov.uk/company/04346834/filing-history/MzMwMDE2MzUyN2FkaXF6a2N4/document?format=pdf&amp;download=0
FY2019 (own): Annual Report &amp; Accounts 2019, p.26 - https://find-and-update.company-information.service.gov.uk/company/04346834/filing-history/MzI2Mzg1MTA4OWFkaXF6a2N4/document?format=pdf&amp;download=0
FY2018 (own) &amp; FY2017 (comparative): Annual Report &amp; Accounts 2018, p.23 (Statement of cash flows)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(own) &amp; FY2015 (comparative): Annual Report &amp; Accounts 2016, p.16 (Statement of cash flows) - https://find-and-update.company-information.service.gov.uk/company/04346834/filing-history/MzE3Mjc3MDQyOGFkaXF6a2N4/document?format=pdf&amp;download=0
FY2015 (own): Annual Report &amp; Accounts 2015, p.16 - https://find-and-update.company-information.service.gov.uk/company/04346834/filing-history/MzE1NzU2NjI4N2FkaXF6a2N4/document?format=pdf&amp;download=0
FY2004-FY2014: no cash flow statement was prepared in any of these 11 years - the Bank took the FRS 1 (revised 1996) 'Cash flow statements' exemption available to a wholly-owned subsidiary whose parent (Assemblies of God Property Trust) publishes consolidated accounts, re-confirmed directly in each year's own Note 1 accounting policies back to the FY2004 Annual Report's Note 1(a) (the bank's very first trading period) - https://find-and-update.company-information.service.gov.uk/company/04346834/filing-history/MzEyMTIyNDc5OGFkaXF6a2N4/document?format=pdf&amp;download=0 (FY2014); https://find-and-update.company-information.service.gov.uk/company/04346834/filing-history/MzEwODM5MTg2OWFkaXF6a2N4/document?format=pdf&amp;download=0 (FY2013); https://find-and-update.company-information.service.gov.uk/company/04346834/filing-history/MzA3NTk1OTAyMWFkaXF6a2N4/document?format=pdf&amp;download=0 (FY2012); https://find-and-update.company-information.service.gov.uk/company/04346834/filing-history/MzA1NjkzNzEwMWFkaXF6a2N4/document?format=pdf&amp;download=0 (FY2011); https://find-and-update.company-information.service.gov.uk/company/04346834/filing-history/MzAzNjQzNTIyMWFkaXF6a2N4/document?format=pdf&amp;download=0 (FY2010); https://find-and-update.company-information.service.gov.uk/company/04346834/filing-history/MzAxMzc0NDMwNmFkaXF6a2N4/document?format=pdf&amp;download=0 (FY2009); https://find-and-update.company-information.service.gov.uk/company/04346834/filing-history/MjAzMDM3NTQ0OWFkaXF6a2N4/document?format=pdf&amp;download=0 (FY2008); https://find-and-update.company-information.service.gov.uk/company/04346834/filing-history/MjAwOTc4MTY0NmFkaXF6a2N4/document?format=pdf&amp;download=0 (FY2007); https://find-and-update.company-information.service.gov.uk/company/04346834/filing-history/MTg2OTAwNzEyYWRpcXprY3g/document?format=pdf&amp;download=0 (FY2006); https://find-and-update.company-information.service.gov.uk/company/04346834/filing-history/MTY0MjI5OTU5YWRpcXprY3g/document?format=pdf&amp;download=0 (FY2005); https://find-and-update.company-information.service.gov.uk/company/04346834/filing-history/NzIzMTc1NDBhZGlxemtjeA/document?format=pdf&amp;download=0 (FY2004)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Every year-end closing balance ties exactly to the following year's opening balance across all 11 years for which a cash flow statement exists (FY2015 closing £13,263k = FY2016 opening; FY2016 closing £13,457k = FY2017 opening; FY2017 closing £14,528k = FY2018 opening; FY2018 closing £10,189k = FY2019 opening; FY2019 closing £12,010k = FY2020 opening; FY2020 closing £19,561k = FY2021 opening; FY2021 closing £20,030k = FY2022 opening; FY2022 closing £24,861k = FY2023 opening; FY2023 closing £35,058k = FY2024 opening; FY2024 closing £39,791k = FY2025 opening) - no restatements found. FY2004-FY2014 (11 years) genuinely have no cash flow statement at all - not a sourcing gap.</t>
        </is>
      </c>
    </row>
  </sheetData>
  <mergeCells count="1">
    <mergeCell ref="A24:W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Asset Quality</t>
        </is>
      </c>
    </row>
    <row r="2">
      <c r="A2" s="2" t="inlineStr">
        <is>
          <t>Loan book by product (Note 12a/9a) and loan loss provision movement (Note 12c/9c), Bank/solo basis, £'000. No IFRS 9 stage 1/2/3 split is disclosed in any year - this entity applies FRS 102 (old UK GAAP for FY2014), not IFRS 9.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gross</t>
        </is>
      </c>
      <c r="B4" s="6" t="n"/>
      <c r="C4" s="6" t="n"/>
      <c r="D4" s="6" t="n"/>
      <c r="E4" s="6" t="n"/>
      <c r="F4" s="6" t="n"/>
      <c r="G4" s="6" t="n"/>
      <c r="H4" s="6" t="n"/>
      <c r="I4" s="6" t="n"/>
      <c r="J4" s="6" t="n"/>
      <c r="K4" s="6" t="n"/>
      <c r="L4" s="6" t="n"/>
      <c r="M4" s="6" t="n"/>
    </row>
    <row r="5">
      <c r="A5" s="6" t="inlineStr">
        <is>
          <t>Organisational/Charity mortgages (FY2014-FY2021's own label: 'Charity mortgages')</t>
        </is>
      </c>
      <c r="B5" s="6" t="n">
        <v>98455</v>
      </c>
      <c r="C5" s="6" t="n">
        <v>79806</v>
      </c>
      <c r="D5" s="6" t="n">
        <v>60628</v>
      </c>
      <c r="E5" s="6" t="n">
        <v>48320</v>
      </c>
      <c r="F5" s="6" t="n">
        <v>42846</v>
      </c>
      <c r="G5" s="6" t="n">
        <v>40095</v>
      </c>
      <c r="H5" s="6" t="n">
        <v>40653</v>
      </c>
      <c r="I5" s="6" t="n">
        <v>40390</v>
      </c>
      <c r="J5" s="6" t="n">
        <v>37417</v>
      </c>
      <c r="K5" s="6" t="n">
        <v>34479</v>
      </c>
      <c r="L5" s="6" t="n">
        <v>31898</v>
      </c>
      <c r="M5" s="6" t="n">
        <v>29039</v>
      </c>
    </row>
    <row r="6">
      <c r="A6" s="6" t="inlineStr">
        <is>
          <t>Personal mortgages</t>
        </is>
      </c>
      <c r="B6" s="6" t="n">
        <v>19897</v>
      </c>
      <c r="C6" s="6" t="n">
        <v>18049</v>
      </c>
      <c r="D6" s="6" t="n">
        <v>17017</v>
      </c>
      <c r="E6" s="6" t="n">
        <v>15086</v>
      </c>
      <c r="F6" s="6" t="n">
        <v>11063</v>
      </c>
      <c r="G6" s="6" t="n">
        <v>7074</v>
      </c>
      <c r="H6" s="6" t="n">
        <v>4659</v>
      </c>
      <c r="I6" s="6" t="n">
        <v>1008</v>
      </c>
      <c r="J6" s="6" t="n">
        <v>1027</v>
      </c>
      <c r="K6" s="6" t="n">
        <v>764</v>
      </c>
      <c r="L6" s="6" t="n">
        <v>993</v>
      </c>
      <c r="M6" s="6" t="n">
        <v>538</v>
      </c>
    </row>
    <row r="7">
      <c r="A7" s="6" t="inlineStr">
        <is>
          <t>Charity loans, unsecured (FY2014-FY2018 only - discontinued as a separate category from FY2019)</t>
        </is>
      </c>
      <c r="B7" s="6" t="n"/>
      <c r="C7" s="6" t="n"/>
      <c r="D7" s="6" t="n"/>
      <c r="E7" s="6" t="n"/>
      <c r="F7" s="6" t="n"/>
      <c r="G7" s="6" t="n"/>
      <c r="H7" s="6" t="n"/>
      <c r="I7" s="6" t="n">
        <v>6</v>
      </c>
      <c r="J7" s="6" t="n">
        <v>20</v>
      </c>
      <c r="K7" s="6" t="n">
        <v>34</v>
      </c>
      <c r="L7" s="6" t="n">
        <v>46</v>
      </c>
      <c r="M7" s="6" t="n">
        <v>56</v>
      </c>
    </row>
    <row r="8">
      <c r="A8" s="6" t="inlineStr">
        <is>
          <t>Personal loans, unsecured (FY2014-FY2018 only - discontinued as a separate category from FY2019)</t>
        </is>
      </c>
      <c r="B8" s="6" t="n"/>
      <c r="C8" s="6" t="n"/>
      <c r="D8" s="6" t="n"/>
      <c r="E8" s="6" t="n"/>
      <c r="F8" s="6" t="n"/>
      <c r="G8" s="6" t="n"/>
      <c r="H8" s="6" t="n"/>
      <c r="I8" s="6" t="n">
        <v>4</v>
      </c>
      <c r="J8" s="6" t="n">
        <v>9</v>
      </c>
      <c r="K8" s="6" t="n">
        <v>4</v>
      </c>
      <c r="L8" s="6" t="n">
        <v>18</v>
      </c>
      <c r="M8" s="6" t="n">
        <v>10</v>
      </c>
    </row>
    <row r="9">
      <c r="A9" s="6" t="inlineStr">
        <is>
          <t>Fully secured lending to other group companies (FY2014-FY2021 only)</t>
        </is>
      </c>
      <c r="B9" s="6" t="n"/>
      <c r="C9" s="6" t="n"/>
      <c r="D9" s="6" t="n"/>
      <c r="E9" s="6" t="n"/>
      <c r="F9" s="6" t="n">
        <v>0</v>
      </c>
      <c r="G9" s="6" t="n">
        <v>269</v>
      </c>
      <c r="H9" s="6" t="n">
        <v>274</v>
      </c>
      <c r="I9" s="6" t="n">
        <v>279</v>
      </c>
      <c r="J9" s="6" t="n">
        <v>282</v>
      </c>
      <c r="K9" s="6" t="n">
        <v>284</v>
      </c>
      <c r="L9" s="6" t="n">
        <v>286</v>
      </c>
      <c r="M9" s="6" t="n">
        <v>289</v>
      </c>
    </row>
    <row r="10">
      <c r="A10" s="6" t="inlineStr">
        <is>
          <t>Unsecured lending to other group companies (FY2014 only - nil that year)</t>
        </is>
      </c>
      <c r="B10" s="6" t="n"/>
      <c r="C10" s="6" t="n"/>
      <c r="D10" s="6" t="n"/>
      <c r="E10" s="6" t="n"/>
      <c r="F10" s="6" t="n"/>
      <c r="G10" s="6" t="n"/>
      <c r="H10" s="6" t="n"/>
      <c r="I10" s="6" t="n"/>
      <c r="J10" s="6" t="n"/>
      <c r="K10" s="6" t="n"/>
      <c r="L10" s="6" t="n"/>
      <c r="M10" s="6" t="n">
        <v>0</v>
      </c>
    </row>
    <row r="11">
      <c r="A11" s="6" t="inlineStr">
        <is>
          <t>Unsecured personal loans</t>
        </is>
      </c>
      <c r="B11" s="6" t="n">
        <v>89</v>
      </c>
      <c r="C11" s="6" t="n">
        <v>72</v>
      </c>
      <c r="D11" s="6" t="n">
        <v>72</v>
      </c>
      <c r="E11" s="6" t="n">
        <v>58</v>
      </c>
      <c r="F11" s="6" t="n">
        <v>50</v>
      </c>
      <c r="G11" s="6" t="n"/>
      <c r="H11" s="6" t="n"/>
      <c r="I11" s="6" t="n"/>
      <c r="J11" s="6" t="n"/>
      <c r="K11" s="6" t="n"/>
      <c r="L11" s="6" t="n"/>
      <c r="M11" s="6" t="n"/>
    </row>
    <row r="12">
      <c r="A12" s="5" t="inlineStr">
        <is>
          <t>Gross advances to customers</t>
        </is>
      </c>
      <c r="B12" s="5" t="n">
        <v>118441</v>
      </c>
      <c r="C12" s="5" t="n">
        <v>97927</v>
      </c>
      <c r="D12" s="5" t="n">
        <v>77717</v>
      </c>
      <c r="E12" s="5" t="n">
        <v>63464</v>
      </c>
      <c r="F12" s="5" t="n">
        <v>53959</v>
      </c>
      <c r="G12" s="5" t="n">
        <v>47438</v>
      </c>
      <c r="H12" s="5" t="n">
        <v>45586</v>
      </c>
      <c r="I12" s="5" t="n">
        <v>41687</v>
      </c>
      <c r="J12" s="5" t="n">
        <v>38755</v>
      </c>
      <c r="K12" s="5" t="n">
        <v>35565</v>
      </c>
      <c r="L12" s="5" t="n">
        <v>33241</v>
      </c>
      <c r="M12" s="5" t="n">
        <v>29932</v>
      </c>
    </row>
    <row r="13">
      <c r="A13" s="6" t="inlineStr">
        <is>
          <t>Less: loan loss provision</t>
        </is>
      </c>
      <c r="B13" s="6" t="n">
        <v>-199</v>
      </c>
      <c r="C13" s="6" t="n">
        <v>-194</v>
      </c>
      <c r="D13" s="6" t="n">
        <v>-185</v>
      </c>
      <c r="E13" s="6" t="n">
        <v>-173</v>
      </c>
      <c r="F13" s="6" t="n">
        <v>-164</v>
      </c>
      <c r="G13" s="6" t="n">
        <v>-324</v>
      </c>
      <c r="H13" s="6" t="n">
        <v>-247</v>
      </c>
      <c r="I13" s="6" t="n">
        <v>-283</v>
      </c>
      <c r="J13" s="6" t="n">
        <v>-317</v>
      </c>
      <c r="K13" s="6" t="n">
        <v>-229</v>
      </c>
      <c r="L13" s="6" t="n">
        <v>-213</v>
      </c>
      <c r="M13" s="6" t="n">
        <v>-192</v>
      </c>
    </row>
    <row r="14">
      <c r="A14" s="6" t="inlineStr">
        <is>
          <t>Less: provision for suspended interest (FY2014 only - old-GAAP structure, deducted separately from the main loan loss provision)</t>
        </is>
      </c>
      <c r="B14" s="6" t="n"/>
      <c r="C14" s="6" t="n"/>
      <c r="D14" s="6" t="n"/>
      <c r="E14" s="6" t="n"/>
      <c r="F14" s="6" t="n"/>
      <c r="G14" s="6" t="n"/>
      <c r="H14" s="6" t="n"/>
      <c r="I14" s="6" t="n"/>
      <c r="J14" s="6" t="n"/>
      <c r="K14" s="6" t="n"/>
      <c r="L14" s="6" t="n"/>
      <c r="M14" s="6" t="n">
        <v>-16</v>
      </c>
    </row>
    <row r="15">
      <c r="A15" s="5" t="inlineStr">
        <is>
          <t>Net advances to customers</t>
        </is>
      </c>
      <c r="B15" s="5" t="n">
        <v>118242</v>
      </c>
      <c r="C15" s="5" t="n">
        <v>97733</v>
      </c>
      <c r="D15" s="5" t="n">
        <v>77532</v>
      </c>
      <c r="E15" s="5" t="n">
        <v>63291</v>
      </c>
      <c r="F15" s="5" t="n">
        <v>53795</v>
      </c>
      <c r="G15" s="5" t="n">
        <v>47114</v>
      </c>
      <c r="H15" s="5" t="n">
        <v>45339</v>
      </c>
      <c r="I15" s="5" t="n">
        <v>41404</v>
      </c>
      <c r="J15" s="5" t="n">
        <v>38438</v>
      </c>
      <c r="K15" s="5" t="n">
        <v>35336</v>
      </c>
      <c r="L15" s="5" t="n">
        <v>33028</v>
      </c>
      <c r="M15" s="5" t="n">
        <v>29724</v>
      </c>
    </row>
    <row r="16">
      <c r="A16" s="6" t="inlineStr">
        <is>
          <t>Loan loss provision coverage (% of gross advances)</t>
        </is>
      </c>
      <c r="B16" s="6" t="inlineStr">
        <is>
          <t>0.17%</t>
        </is>
      </c>
      <c r="C16" s="6" t="inlineStr">
        <is>
          <t>0.20%</t>
        </is>
      </c>
      <c r="D16" s="6" t="inlineStr">
        <is>
          <t>0.24%</t>
        </is>
      </c>
      <c r="E16" s="6" t="inlineStr">
        <is>
          <t>0.27%</t>
        </is>
      </c>
      <c r="F16" s="6" t="inlineStr">
        <is>
          <t>0.30%</t>
        </is>
      </c>
      <c r="G16" s="6" t="inlineStr">
        <is>
          <t>0.68%</t>
        </is>
      </c>
      <c r="H16" s="6" t="inlineStr">
        <is>
          <t>0.54%</t>
        </is>
      </c>
      <c r="I16" s="6" t="inlineStr">
        <is>
          <t>0.68%</t>
        </is>
      </c>
      <c r="J16" s="6" t="inlineStr">
        <is>
          <t>0.82%</t>
        </is>
      </c>
      <c r="K16" s="6" t="inlineStr">
        <is>
          <t>0.64%</t>
        </is>
      </c>
      <c r="L16" s="6" t="inlineStr">
        <is>
          <t>0.64%</t>
        </is>
      </c>
      <c r="M16" s="6" t="inlineStr">
        <is>
          <t>0.64%</t>
        </is>
      </c>
    </row>
    <row r="17">
      <c r="A17" s="5" t="inlineStr">
        <is>
          <t>Loan loss provision movement (Note 12c/9c)</t>
        </is>
      </c>
      <c r="B17" s="6" t="n"/>
      <c r="C17" s="6" t="n"/>
      <c r="D17" s="6" t="n"/>
      <c r="E17" s="6" t="n"/>
      <c r="F17" s="6" t="n"/>
      <c r="G17" s="6" t="n"/>
      <c r="H17" s="6" t="n"/>
      <c r="I17" s="6" t="n"/>
      <c r="J17" s="6" t="n"/>
      <c r="K17" s="6" t="n"/>
      <c r="L17" s="6" t="n"/>
      <c r="M17" s="6" t="n"/>
    </row>
    <row r="18">
      <c r="A18" s="6" t="inlineStr">
        <is>
          <t>Balance at 1 January</t>
        </is>
      </c>
      <c r="B18" s="6" t="n">
        <v>194</v>
      </c>
      <c r="C18" s="6" t="n">
        <v>185</v>
      </c>
      <c r="D18" s="6" t="n">
        <v>173</v>
      </c>
      <c r="E18" s="6" t="n">
        <v>164</v>
      </c>
      <c r="F18" s="6" t="n">
        <v>324</v>
      </c>
      <c r="G18" s="6" t="n">
        <v>247</v>
      </c>
      <c r="H18" s="6" t="n">
        <v>283</v>
      </c>
      <c r="I18" s="6" t="n">
        <v>317</v>
      </c>
      <c r="J18" s="6" t="n">
        <v>229</v>
      </c>
      <c r="K18" s="6" t="n">
        <v>213</v>
      </c>
      <c r="L18" s="6" t="n">
        <v>192</v>
      </c>
      <c r="M18" s="6" t="n"/>
    </row>
    <row r="19">
      <c r="A19" s="6" t="inlineStr">
        <is>
          <t>Charge for the year</t>
        </is>
      </c>
      <c r="B19" s="6" t="n">
        <v>160</v>
      </c>
      <c r="C19" s="6" t="n">
        <v>11</v>
      </c>
      <c r="D19" s="6" t="n">
        <v>13</v>
      </c>
      <c r="E19" s="6" t="n">
        <v>10</v>
      </c>
      <c r="F19" s="6" t="n">
        <v>26</v>
      </c>
      <c r="G19" s="6" t="n">
        <v>89</v>
      </c>
      <c r="H19" s="6" t="n">
        <v>44</v>
      </c>
      <c r="I19" s="6" t="n">
        <v>60</v>
      </c>
      <c r="J19" s="6" t="n">
        <v>113</v>
      </c>
      <c r="K19" s="6" t="n">
        <v>34</v>
      </c>
      <c r="L19" s="6" t="n">
        <v>46</v>
      </c>
      <c r="M19" s="6" t="n"/>
    </row>
    <row r="20">
      <c r="A20" s="6" t="inlineStr">
        <is>
          <t>Utilised during the year</t>
        </is>
      </c>
      <c r="B20" s="6" t="n">
        <v>-153</v>
      </c>
      <c r="C20" s="6" t="n">
        <v>0</v>
      </c>
      <c r="D20" s="6" t="n">
        <v>0</v>
      </c>
      <c r="E20" s="6" t="n">
        <v>0</v>
      </c>
      <c r="F20" s="6" t="n">
        <v>-184</v>
      </c>
      <c r="G20" s="6" t="n">
        <v>0</v>
      </c>
      <c r="H20" s="6" t="n">
        <v>-79</v>
      </c>
      <c r="I20" s="6" t="n">
        <v>-77</v>
      </c>
      <c r="J20" s="6" t="n"/>
      <c r="K20" s="6" t="n"/>
      <c r="L20" s="6" t="n"/>
      <c r="M20" s="6" t="n"/>
    </row>
    <row r="21">
      <c r="A21" s="6" t="inlineStr">
        <is>
          <t>Released during the year</t>
        </is>
      </c>
      <c r="B21" s="6" t="n">
        <v>-2</v>
      </c>
      <c r="C21" s="6" t="n">
        <v>-2</v>
      </c>
      <c r="D21" s="6" t="n">
        <v>-1</v>
      </c>
      <c r="E21" s="6" t="n">
        <v>-1</v>
      </c>
      <c r="F21" s="6" t="n">
        <v>-2</v>
      </c>
      <c r="G21" s="6" t="n">
        <v>-12</v>
      </c>
      <c r="H21" s="6" t="n">
        <v>-1</v>
      </c>
      <c r="I21" s="6" t="n">
        <v>-17</v>
      </c>
      <c r="J21" s="6" t="n">
        <v>-25</v>
      </c>
      <c r="K21" s="6" t="n">
        <v>-18</v>
      </c>
      <c r="L21" s="6" t="n">
        <v>-25</v>
      </c>
      <c r="M21" s="6" t="n"/>
    </row>
    <row r="22">
      <c r="A22" s="5" t="inlineStr">
        <is>
          <t>Balance at 31 December</t>
        </is>
      </c>
      <c r="B22" s="5" t="n">
        <v>199</v>
      </c>
      <c r="C22" s="5" t="n">
        <v>194</v>
      </c>
      <c r="D22" s="5" t="n">
        <v>185</v>
      </c>
      <c r="E22" s="5" t="n">
        <v>173</v>
      </c>
      <c r="F22" s="5" t="n">
        <v>164</v>
      </c>
      <c r="G22" s="5" t="n">
        <v>324</v>
      </c>
      <c r="H22" s="5" t="n">
        <v>247</v>
      </c>
      <c r="I22" s="5" t="n">
        <v>283</v>
      </c>
      <c r="J22" s="5" t="n">
        <v>317</v>
      </c>
      <c r="K22" s="5" t="n">
        <v>229</v>
      </c>
      <c r="L22" s="5" t="n">
        <v>213</v>
      </c>
      <c r="M22" s="5" t="n">
        <v>192</v>
      </c>
    </row>
    <row r="23">
      <c r="A23" s="6" t="inlineStr">
        <is>
          <t>Of which: collective/IBNR provision (not disclosed for FY2014-FY2021 - sub-split introduced FY2022 onward)</t>
        </is>
      </c>
      <c r="B23" s="6" t="n">
        <v>156</v>
      </c>
      <c r="C23" s="6" t="n">
        <v>148</v>
      </c>
      <c r="D23" s="6" t="n">
        <v>137</v>
      </c>
      <c r="E23" s="6" t="n">
        <v>124</v>
      </c>
      <c r="F23" s="6" t="n"/>
      <c r="G23" s="6" t="n"/>
      <c r="H23" s="6" t="n"/>
      <c r="I23" s="6" t="n"/>
      <c r="J23" s="6" t="n"/>
      <c r="K23" s="6" t="n"/>
      <c r="L23" s="6" t="n"/>
      <c r="M23" s="6" t="n"/>
    </row>
    <row r="24">
      <c r="A24" s="5" t="inlineStr">
        <is>
          <t>FY2014-only provision structure (old UK GAAP/BBA SORP - see source note)</t>
        </is>
      </c>
      <c r="B24" s="6" t="n"/>
      <c r="C24" s="6" t="n"/>
      <c r="D24" s="6" t="n"/>
      <c r="E24" s="6" t="n"/>
      <c r="F24" s="6" t="n"/>
      <c r="G24" s="6" t="n"/>
      <c r="H24" s="6" t="n"/>
      <c r="I24" s="6" t="n"/>
      <c r="J24" s="6" t="n"/>
      <c r="K24" s="6" t="n"/>
      <c r="L24" s="6" t="n"/>
      <c r="M24" s="6" t="n"/>
    </row>
    <row r="25">
      <c r="A25" s="6" t="inlineStr">
        <is>
          <t>General provision (IBNR-based): balance at 1 January</t>
        </is>
      </c>
      <c r="B25" s="6" t="n"/>
      <c r="C25" s="6" t="n"/>
      <c r="D25" s="6" t="n"/>
      <c r="E25" s="6" t="n"/>
      <c r="F25" s="6" t="n"/>
      <c r="G25" s="6" t="n"/>
      <c r="H25" s="6" t="n"/>
      <c r="I25" s="6" t="n"/>
      <c r="J25" s="6" t="n"/>
      <c r="K25" s="6" t="n"/>
      <c r="L25" s="6" t="n"/>
      <c r="M25" s="6" t="n">
        <v>163</v>
      </c>
    </row>
    <row r="26">
      <c r="A26" s="6" t="inlineStr">
        <is>
          <t>General provision (IBNR-based): released during the year</t>
        </is>
      </c>
      <c r="B26" s="6" t="n"/>
      <c r="C26" s="6" t="n"/>
      <c r="D26" s="6" t="n"/>
      <c r="E26" s="6" t="n"/>
      <c r="F26" s="6" t="n"/>
      <c r="G26" s="6" t="n"/>
      <c r="H26" s="6" t="n"/>
      <c r="I26" s="6" t="n"/>
      <c r="J26" s="6" t="n"/>
      <c r="K26" s="6" t="n"/>
      <c r="L26" s="6" t="n"/>
      <c r="M26" s="6" t="n">
        <v>-30</v>
      </c>
    </row>
    <row r="27">
      <c r="A27" s="6" t="inlineStr">
        <is>
          <t>General provision (IBNR-based): balance at 31 December</t>
        </is>
      </c>
      <c r="B27" s="6" t="n"/>
      <c r="C27" s="6" t="n"/>
      <c r="D27" s="6" t="n"/>
      <c r="E27" s="6" t="n"/>
      <c r="F27" s="6" t="n"/>
      <c r="G27" s="6" t="n"/>
      <c r="H27" s="6" t="n"/>
      <c r="I27" s="6" t="n"/>
      <c r="J27" s="6" t="n"/>
      <c r="K27" s="6" t="n"/>
      <c r="L27" s="6" t="n"/>
      <c r="M27" s="6" t="n">
        <v>133</v>
      </c>
    </row>
    <row r="28">
      <c r="A28" s="6" t="inlineStr">
        <is>
          <t>Specific provision: balance at 1 January</t>
        </is>
      </c>
      <c r="B28" s="6" t="n"/>
      <c r="C28" s="6" t="n"/>
      <c r="D28" s="6" t="n"/>
      <c r="E28" s="6" t="n"/>
      <c r="F28" s="6" t="n"/>
      <c r="G28" s="6" t="n"/>
      <c r="H28" s="6" t="n"/>
      <c r="I28" s="6" t="n"/>
      <c r="J28" s="6" t="n"/>
      <c r="K28" s="6" t="n"/>
      <c r="L28" s="6" t="n"/>
      <c r="M28" s="6" t="n">
        <v>99</v>
      </c>
    </row>
    <row r="29">
      <c r="A29" s="6" t="inlineStr">
        <is>
          <t>Specific provision: charge for the year</t>
        </is>
      </c>
      <c r="B29" s="6" t="n"/>
      <c r="C29" s="6" t="n"/>
      <c r="D29" s="6" t="n"/>
      <c r="E29" s="6" t="n"/>
      <c r="F29" s="6" t="n"/>
      <c r="G29" s="6" t="n"/>
      <c r="H29" s="6" t="n"/>
      <c r="I29" s="6" t="n"/>
      <c r="J29" s="6" t="n"/>
      <c r="K29" s="6" t="n"/>
      <c r="L29" s="6" t="n"/>
      <c r="M29" s="6" t="n">
        <v>22</v>
      </c>
    </row>
    <row r="30">
      <c r="A30" s="6" t="inlineStr">
        <is>
          <t>Specific provision: released during the year</t>
        </is>
      </c>
      <c r="B30" s="6" t="n"/>
      <c r="C30" s="6" t="n"/>
      <c r="D30" s="6" t="n"/>
      <c r="E30" s="6" t="n"/>
      <c r="F30" s="6" t="n"/>
      <c r="G30" s="6" t="n"/>
      <c r="H30" s="6" t="n"/>
      <c r="I30" s="6" t="n"/>
      <c r="J30" s="6" t="n"/>
      <c r="K30" s="6" t="n"/>
      <c r="L30" s="6" t="n"/>
      <c r="M30" s="6" t="n">
        <v>-62</v>
      </c>
    </row>
    <row r="31">
      <c r="A31" s="6" t="inlineStr">
        <is>
          <t>Specific provision: balance at 31 December</t>
        </is>
      </c>
      <c r="B31" s="6" t="n"/>
      <c r="C31" s="6" t="n"/>
      <c r="D31" s="6" t="n"/>
      <c r="E31" s="6" t="n"/>
      <c r="F31" s="6" t="n"/>
      <c r="G31" s="6" t="n"/>
      <c r="H31" s="6" t="n"/>
      <c r="I31" s="6" t="n"/>
      <c r="J31" s="6" t="n"/>
      <c r="K31" s="6" t="n"/>
      <c r="L31" s="6" t="n"/>
      <c r="M31" s="6" t="n">
        <v>59</v>
      </c>
    </row>
    <row r="32">
      <c r="A32" s="6" t="inlineStr">
        <is>
          <t>Provision for suspended interest: balance at 1 January</t>
        </is>
      </c>
      <c r="B32" s="6" t="n"/>
      <c r="C32" s="6" t="n"/>
      <c r="D32" s="6" t="n"/>
      <c r="E32" s="6" t="n"/>
      <c r="F32" s="6" t="n"/>
      <c r="G32" s="6" t="n"/>
      <c r="H32" s="6" t="n"/>
      <c r="I32" s="6" t="n"/>
      <c r="J32" s="6" t="n"/>
      <c r="K32" s="6" t="n"/>
      <c r="L32" s="6" t="n"/>
      <c r="M32" s="6" t="n">
        <v>25</v>
      </c>
    </row>
    <row r="33">
      <c r="A33" s="6" t="inlineStr">
        <is>
          <t>Provision for suspended interest: decrease during the year</t>
        </is>
      </c>
      <c r="B33" s="6" t="n"/>
      <c r="C33" s="6" t="n"/>
      <c r="D33" s="6" t="n"/>
      <c r="E33" s="6" t="n"/>
      <c r="F33" s="6" t="n"/>
      <c r="G33" s="6" t="n"/>
      <c r="H33" s="6" t="n"/>
      <c r="I33" s="6" t="n"/>
      <c r="J33" s="6" t="n"/>
      <c r="K33" s="6" t="n"/>
      <c r="L33" s="6" t="n"/>
      <c r="M33" s="6" t="n">
        <v>-9</v>
      </c>
    </row>
    <row r="34">
      <c r="A34" s="6" t="inlineStr">
        <is>
          <t>Provision for suspended interest: balance at 31 December</t>
        </is>
      </c>
      <c r="B34" s="6" t="n"/>
      <c r="C34" s="6" t="n"/>
      <c r="D34" s="6" t="n"/>
      <c r="E34" s="6" t="n"/>
      <c r="F34" s="6" t="n"/>
      <c r="G34" s="6" t="n"/>
      <c r="H34" s="6" t="n"/>
      <c r="I34" s="6" t="n"/>
      <c r="J34" s="6" t="n"/>
      <c r="K34" s="6" t="n"/>
      <c r="L34" s="6" t="n"/>
      <c r="M34" s="6" t="n">
        <v>16</v>
      </c>
    </row>
    <row r="36" ht="340" customHeight="1">
      <c r="A36" s="8" t="inlineStr">
        <is>
          <t>Sources - Kingdom Bank Limited's own Note 12/9 'Loans and advances to customers' (Advances to customers by product, part a; Loan loss provision movement, part c), £'000, Bank/solo basis (Companies House filings, all fully scanned/image-only):
FY2025 &amp; FY2024: Annual Report &amp; Accounts 2025, p.51-52 -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p.53-54 -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&amp; FY2020: Annual Report &amp; Accounts 2021, p.45-46 (Note 12) - https://find-and-update.company-information.service.gov.uk/company/04346834/filing-history/MzM0MzYxNTEyM2FkaXF6a2N4/document?format=pdf&amp;download=0
FY2020 &amp; FY2019: Annual Report &amp; Accounts 2020, p.45-46 (Note 12) - https://find-and-update.company-information.service.gov.uk/company/04346834/filing-history/MzMwMDE2MzUyN2FkaXF6a2N4/document?format=pdf&amp;download=0
FY2019 (own): Annual Report &amp; Accounts 2019, p.36-37 (Note 12) - https://find-and-update.company-information.service.gov.uk/company/04346834/filing-history/MzI2Mzg1MTA4OWFkaXF6a2N4/document?format=pdf&amp;download=0
FY2018 &amp; FY2017: Annual Report &amp; Accounts 2018, p.37-38 (Note 12)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p.29-31 (Note 12) - https://find-and-update.company-information.service.gov.uk/company/04346834/filing-history/MzE3Mjc3MDQyOGFkaXF6a2N4/document?format=pdf&amp;download=0
FY2015 (own): Annual Report &amp; Accounts 2015 - https://find-and-update.company-information.service.gov.uk/company/04346834/filing-history/MzE1NzU2NjI4N2FkaXF6a2N4/document?format=pdf&amp;download=0
FY2014 (own, Note 9 'Loans and advances to customers', old UK GAAP/BBA SORP): Annual Report &amp; Accounts 2014, p.20-21 -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No IFRS 9 stage (1/2/3) split is disclosed in any year - this entity applies FRS 102 (FRS 102/old UK GAAP for FY2014), not IFRS 9, and reports a single collective/IBNR loan loss provision instead; the 'Of which collective/IBNR provision' split shown here (where disclosed) is the closest equivalent breakdown and is only disclosed from FY2022 onward - left blank for FY2014-FY2021, not assumed zero. FY2014's own Note 9 used a materially different, more granular structure than every later year: its loan loss provision was split into a 'General provision' (IBNR-based, split further between incorporated and unincorporated borrowers) and a 'Specific provision', plus a wholly separate 'Provision for suspended interest' deducted from gross advances alongside the main provision - see the dedicated FY2014 rows below for this one-off structure, which is not comparable line-for-line with FY2015 onward's single combined provision.</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t>
        </is>
      </c>
      <c r="B4" s="6" t="n">
        <v>15808</v>
      </c>
      <c r="C4" s="6" t="n">
        <v>15512</v>
      </c>
      <c r="D4" s="6" t="n">
        <v>9876</v>
      </c>
      <c r="E4" s="6" t="n">
        <v>9353</v>
      </c>
      <c r="F4" s="6" t="n">
        <v>7451</v>
      </c>
      <c r="G4" s="6" t="n">
        <v>6771</v>
      </c>
      <c r="H4" s="6" t="n">
        <v>6145</v>
      </c>
      <c r="I4" s="6" t="n">
        <v>5908</v>
      </c>
      <c r="J4" s="6" t="n">
        <v>5778</v>
      </c>
      <c r="K4" s="6" t="n">
        <v>5667</v>
      </c>
      <c r="L4" s="6" t="n">
        <v>5631</v>
      </c>
      <c r="M4" s="6" t="n">
        <v>4960</v>
      </c>
    </row>
    <row r="6" ht="230" customHeight="1">
      <c r="A6"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c r="M4" s="6" t="n"/>
    </row>
    <row r="5" ht="60" customHeight="1">
      <c r="A5" s="7" t="inlineStr">
        <is>
          <t>Note: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t>
        </is>
      </c>
      <c r="B4" s="6" t="n">
        <v>15808</v>
      </c>
      <c r="C4" s="6" t="n">
        <v>15512</v>
      </c>
      <c r="D4" s="6" t="n">
        <v>9876</v>
      </c>
      <c r="E4" s="6" t="n">
        <v>9353</v>
      </c>
      <c r="F4" s="6" t="n">
        <v>7451</v>
      </c>
      <c r="G4" s="6" t="n">
        <v>6771</v>
      </c>
      <c r="H4" s="6" t="n">
        <v>6145</v>
      </c>
      <c r="I4" s="6" t="n">
        <v>5908</v>
      </c>
      <c r="J4" s="6" t="n">
        <v>5778</v>
      </c>
      <c r="K4" s="6" t="n">
        <v>5667</v>
      </c>
      <c r="L4" s="6" t="n">
        <v>5631</v>
      </c>
      <c r="M4" s="6" t="n">
        <v>4960</v>
      </c>
    </row>
    <row r="5" ht="60" customHeight="1">
      <c r="A5" s="7" t="inlineStr">
        <is>
          <t>Note: Kingdom Bank's own Annual Reports state regulatory capital consists only of shareholders' funds ("Core Equity Tier 1") and subordinated liabilities ("Tier 2") - no Additional Tier 1 instruments are in issue in any year reviewed, so Tier 1 Capital equals CET1 Capital exactly. See the CET1 Capital sheet for the same figures and source.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 see note)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c r="M4" s="6" t="n"/>
    </row>
    <row r="5" ht="60" customHeight="1">
      <c r="A5" s="7" t="inlineStr">
        <is>
          <t>Note: Tier 1 Ratio equals the CET1 Ratio exactly in every year - Kingdom Bank has never had any Additional Tier 1 capital in issue (see the Tier 1 Capital sheet), so Tier 1 Capital = CET1 Capital and therefore Tier 1 Capital / RWA = CET1 Capital / RWA. See the CET1 Ratio sheet for the same figures and source.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Subordinated liabilities (Tier 2)</t>
        </is>
      </c>
      <c r="B5" s="6" t="n">
        <v>700</v>
      </c>
      <c r="C5" s="6" t="n">
        <v>700</v>
      </c>
      <c r="D5" s="6" t="n">
        <v>700</v>
      </c>
      <c r="E5" s="6" t="n">
        <v>700</v>
      </c>
      <c r="F5" s="6" t="n">
        <v>761</v>
      </c>
      <c r="G5" s="6" t="n">
        <v>1431</v>
      </c>
      <c r="H5" s="6" t="n">
        <v>1431</v>
      </c>
      <c r="I5" s="6" t="n">
        <v>1431</v>
      </c>
      <c r="J5" s="6" t="n">
        <v>1581</v>
      </c>
      <c r="K5" s="6" t="n">
        <v>1581</v>
      </c>
      <c r="L5" s="6" t="n">
        <v>1681</v>
      </c>
      <c r="M5" s="6" t="n">
        <v>1681</v>
      </c>
    </row>
    <row r="6">
      <c r="A6" s="6" t="inlineStr">
        <is>
          <t>Total regulatory capital (CET1 + Tier 2)</t>
        </is>
      </c>
      <c r="B6" s="6" t="n">
        <v>16508</v>
      </c>
      <c r="C6" s="6" t="n">
        <v>16212</v>
      </c>
      <c r="D6" s="6" t="n">
        <v>10576</v>
      </c>
      <c r="E6" s="6" t="n">
        <v>10053</v>
      </c>
      <c r="F6" s="6" t="n">
        <v>8212</v>
      </c>
      <c r="G6" s="6" t="n">
        <v>8202</v>
      </c>
      <c r="H6" s="6" t="n">
        <v>7576</v>
      </c>
      <c r="I6" s="6" t="n">
        <v>7339</v>
      </c>
      <c r="J6" s="6" t="n">
        <v>7359</v>
      </c>
      <c r="K6" s="6" t="n">
        <v>7248</v>
      </c>
      <c r="L6" s="6" t="n">
        <v>7312</v>
      </c>
      <c r="M6" s="6" t="n">
        <v>6641</v>
      </c>
    </row>
    <row r="8" ht="230" customHeight="1">
      <c r="A8"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1">
    <mergeCell ref="A8:M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RWA Breakdown</t>
        </is>
      </c>
    </row>
    <row r="2">
      <c r="A2" s="2" t="inlineStr">
        <is>
          <t>Bank/solo basis. Not publicly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Not publicly disclosed</t>
        </is>
      </c>
      <c r="B4" s="6" t="n"/>
      <c r="C4" s="6" t="n"/>
      <c r="D4" s="6" t="n"/>
      <c r="E4" s="6" t="n"/>
      <c r="F4" s="6" t="n"/>
      <c r="G4" s="6" t="n"/>
      <c r="H4" s="6" t="n"/>
      <c r="I4" s="6" t="n"/>
      <c r="J4" s="6" t="n"/>
      <c r="K4" s="6" t="n"/>
      <c r="L4" s="6" t="n"/>
      <c r="M4" s="6" t="n"/>
    </row>
    <row r="6" ht="230" customHeight="1">
      <c r="A6"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
Not publicly disclosed. No Total RWAs figure is disclosed by Kingdom Bank in any of the 12 years reviewed (see the Total RWAs sheet's source note), so no RWA-by-risk-category breakdown exists either - no standalone Pillar 3 document was located on the bank's own site or via Companies House.</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Leverage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12.4%</t>
        </is>
      </c>
      <c r="C4" s="6" t="inlineStr">
        <is>
          <t>10.8%</t>
        </is>
      </c>
      <c r="D4" s="6" t="inlineStr">
        <is>
          <t>7.96%</t>
        </is>
      </c>
      <c r="E4" s="6" t="inlineStr">
        <is>
          <t>10.02%</t>
        </is>
      </c>
      <c r="F4" s="6" t="inlineStr">
        <is>
          <t>9.03%</t>
        </is>
      </c>
      <c r="G4" s="6" t="inlineStr">
        <is>
          <t>9.37%</t>
        </is>
      </c>
      <c r="H4" s="6" t="inlineStr">
        <is>
          <t>9.40%</t>
        </is>
      </c>
      <c r="I4" s="6" t="inlineStr">
        <is>
          <t>10.10%</t>
        </is>
      </c>
      <c r="J4" s="6" t="inlineStr">
        <is>
          <t>9.38%</t>
        </is>
      </c>
      <c r="K4" s="6" t="inlineStr">
        <is>
          <t>10.09%</t>
        </is>
      </c>
      <c r="L4" s="6" t="inlineStr">
        <is>
          <t>8.96%</t>
        </is>
      </c>
      <c r="M4" s="6" t="n"/>
    </row>
    <row r="5" ht="60" customHeight="1">
      <c r="A5" s="7" t="inlineStr">
        <is>
          <t>Note: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LCR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Requirement (LCR) ratio</t>
        </is>
      </c>
      <c r="B4" s="6" t="inlineStr">
        <is>
          <t>332.1%</t>
        </is>
      </c>
      <c r="C4" s="6" t="inlineStr">
        <is>
          <t>429.0%</t>
        </is>
      </c>
      <c r="D4" s="6" t="inlineStr">
        <is>
          <t>766.7%</t>
        </is>
      </c>
      <c r="E4" s="6" t="inlineStr">
        <is>
          <t>681.04%</t>
        </is>
      </c>
      <c r="F4" s="6" t="inlineStr">
        <is>
          <t>1,475.9%</t>
        </is>
      </c>
      <c r="G4" s="6" t="inlineStr">
        <is>
          <t>1,304.6%</t>
        </is>
      </c>
      <c r="H4" s="6" t="inlineStr">
        <is>
          <t>861.0%</t>
        </is>
      </c>
      <c r="I4" s="6" t="inlineStr">
        <is>
          <t>556.3%</t>
        </is>
      </c>
      <c r="J4" s="6" t="inlineStr">
        <is>
          <t>520.3%</t>
        </is>
      </c>
      <c r="K4" s="6" t="inlineStr">
        <is>
          <t>648.1%</t>
        </is>
      </c>
      <c r="L4" s="6" t="inlineStr">
        <is>
          <t>900.9%</t>
        </is>
      </c>
      <c r="M4" s="6" t="n"/>
    </row>
    <row r="5" ht="60" customHeight="1">
      <c r="A5" s="7" t="inlineStr">
        <is>
          <t>Note: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2026-09-07T18:26:06Z</dcterms:created>
  <dcterms:modified xmlns:dcterms="http://purl.org/dc/terms/" xmlns:xsi="http://www.w3.org/2001/XMLSchema-instance" xsi:type="dcterms:W3CDTF">2026-09-07T18:26:06Z</dcterms:modified>
</cp:coreProperties>
</file>