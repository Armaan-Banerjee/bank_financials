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A5A00"/>
        <bgColor rgb="008A5A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Zempler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Zempler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Zempler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Zempler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Zempler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Zempler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780158</v>
      </c>
      <c r="C6" s="5" t="n">
        <v>681923</v>
      </c>
      <c r="D6" s="5" t="n">
        <v>616752</v>
      </c>
      <c r="E6" s="5" t="n">
        <v>558055</v>
      </c>
      <c r="F6" s="5" t="n">
        <v>493925</v>
      </c>
      <c r="I6" t="inlineStr">
        <is>
          <t>Total assets</t>
        </is>
      </c>
      <c r="J6" t="n">
        <v>493925</v>
      </c>
      <c r="K6" t="n">
        <v>558055</v>
      </c>
      <c r="L6" t="n">
        <v>616752</v>
      </c>
      <c r="M6" t="n">
        <v>681923</v>
      </c>
      <c r="N6" t="n">
        <v>780158</v>
      </c>
      <c r="AO6" t="inlineStr">
        <is>
          <t>CET1 Ratio</t>
        </is>
      </c>
      <c r="AP6" t="n">
        <v>14.79</v>
      </c>
      <c r="AQ6" t="n">
        <v>18.17</v>
      </c>
      <c r="AR6" t="n">
        <v>15.57</v>
      </c>
      <c r="AS6" t="n">
        <v>19.32</v>
      </c>
      <c r="AT6" t="n">
        <v>21.74</v>
      </c>
    </row>
    <row r="7">
      <c r="A7" s="5" t="inlineStr">
        <is>
          <t>Loans and advances to customers</t>
        </is>
      </c>
      <c r="B7" s="5" t="n">
        <v>35122</v>
      </c>
      <c r="C7" s="5" t="n">
        <v>25452</v>
      </c>
      <c r="D7" s="5" t="n">
        <v>28225</v>
      </c>
      <c r="E7" s="5" t="n">
        <v>22593</v>
      </c>
      <c r="F7" s="5" t="n">
        <v>21779</v>
      </c>
      <c r="I7" t="inlineStr">
        <is>
          <t>Loans and advances to customers</t>
        </is>
      </c>
      <c r="J7" t="n">
        <v>21779</v>
      </c>
      <c r="K7" t="n">
        <v>22593</v>
      </c>
      <c r="L7" t="n">
        <v>28225</v>
      </c>
      <c r="M7" t="n">
        <v>25452</v>
      </c>
      <c r="N7" t="n">
        <v>35122</v>
      </c>
      <c r="AO7" t="inlineStr">
        <is>
          <t>Tier 1 Ratio</t>
        </is>
      </c>
      <c r="AP7" t="n">
        <v>14.79</v>
      </c>
      <c r="AQ7" t="n">
        <v>18.17</v>
      </c>
      <c r="AR7" t="n">
        <v>15.57</v>
      </c>
      <c r="AS7" t="n">
        <v>19.32</v>
      </c>
      <c r="AT7" t="n">
        <v>21.74</v>
      </c>
    </row>
    <row r="8">
      <c r="A8" s="5" t="inlineStr">
        <is>
          <t>Customer deposits</t>
        </is>
      </c>
      <c r="B8" s="5" t="n">
        <v>713291</v>
      </c>
      <c r="C8" s="5" t="n">
        <v>624600</v>
      </c>
      <c r="D8" s="5" t="n">
        <v>542169</v>
      </c>
      <c r="E8" s="5" t="n">
        <v>511463</v>
      </c>
      <c r="F8" s="5" t="n">
        <v>452500</v>
      </c>
      <c r="I8" t="inlineStr">
        <is>
          <t>Customer deposits</t>
        </is>
      </c>
      <c r="J8" t="n">
        <v>452500</v>
      </c>
      <c r="K8" t="n">
        <v>511463</v>
      </c>
      <c r="L8" t="n">
        <v>542169</v>
      </c>
      <c r="M8" t="n">
        <v>624600</v>
      </c>
      <c r="N8" t="n">
        <v>713291</v>
      </c>
      <c r="AO8" t="inlineStr">
        <is>
          <t>Total Capital Ratio</t>
        </is>
      </c>
      <c r="AP8" t="n">
        <v>16.83</v>
      </c>
      <c r="AQ8" t="n">
        <v>21.04</v>
      </c>
      <c r="AR8" t="n">
        <v>17.31</v>
      </c>
      <c r="AS8" t="n">
        <v>20.59</v>
      </c>
      <c r="AT8" t="n">
        <v>22.47</v>
      </c>
    </row>
    <row r="9">
      <c r="A9" s="5" t="inlineStr">
        <is>
          <t>Total equity</t>
        </is>
      </c>
      <c r="B9" s="5" t="n">
        <v>36791</v>
      </c>
      <c r="C9" s="5" t="n">
        <v>32779</v>
      </c>
      <c r="D9" s="5" t="n">
        <v>28466</v>
      </c>
      <c r="E9" s="5" t="n">
        <v>22968</v>
      </c>
      <c r="F9" s="5" t="n">
        <v>16618</v>
      </c>
      <c r="I9" t="inlineStr">
        <is>
          <t>Total equity</t>
        </is>
      </c>
      <c r="J9" t="n">
        <v>16618</v>
      </c>
      <c r="K9" t="n">
        <v>22968</v>
      </c>
      <c r="L9" t="n">
        <v>28466</v>
      </c>
      <c r="M9" t="n">
        <v>32779</v>
      </c>
      <c r="N9" t="n">
        <v>36791</v>
      </c>
      <c r="AO9" t="inlineStr">
        <is>
          <t>Leverage Ratio</t>
        </is>
      </c>
      <c r="AP9" t="n">
        <v>9.07</v>
      </c>
      <c r="AQ9" t="n">
        <v>9.720000000000001</v>
      </c>
      <c r="AR9" t="n">
        <v>8.34</v>
      </c>
      <c r="AS9" t="n">
        <v>7.96</v>
      </c>
      <c r="AT9" t="n">
        <v>7.99</v>
      </c>
    </row>
    <row r="10">
      <c r="AO10" t="inlineStr">
        <is>
          <t>LCR</t>
        </is>
      </c>
      <c r="AP10" t="n">
        <v>980</v>
      </c>
      <c r="AQ10" t="n">
        <v>878</v>
      </c>
      <c r="AR10" t="n">
        <v>893</v>
      </c>
      <c r="AS10" t="n">
        <v>865</v>
      </c>
      <c r="AT10" t="n">
        <v>1108</v>
      </c>
    </row>
    <row r="11">
      <c r="A11" s="3" t="inlineStr">
        <is>
          <t>Profit &amp; Loss Summary (£'000)</t>
        </is>
      </c>
      <c r="AO11" t="inlineStr">
        <is>
          <t>NSFR</t>
        </is>
      </c>
      <c r="AP11" t="n">
        <v>1143</v>
      </c>
      <c r="AQ11" t="n">
        <v>1102</v>
      </c>
      <c r="AR11" t="n">
        <v>798</v>
      </c>
      <c r="AS11" t="n">
        <v>798</v>
      </c>
      <c r="AT11" t="n">
        <v>831</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operating income</t>
        </is>
      </c>
      <c r="B13" s="5" t="n">
        <v>57675</v>
      </c>
      <c r="C13" s="5" t="n">
        <v>58010</v>
      </c>
      <c r="D13" s="5" t="n">
        <v>57040</v>
      </c>
      <c r="E13" s="5" t="n">
        <v>42418</v>
      </c>
      <c r="F13" s="5" t="n">
        <v>32473</v>
      </c>
      <c r="Q13" t="inlineStr">
        <is>
          <t>Total operating income</t>
        </is>
      </c>
      <c r="R13" t="n">
        <v>32473</v>
      </c>
      <c r="S13" t="n">
        <v>42418</v>
      </c>
      <c r="T13" t="n">
        <v>57040</v>
      </c>
      <c r="U13" t="n">
        <v>58010</v>
      </c>
      <c r="V13" t="n">
        <v>57675</v>
      </c>
    </row>
    <row r="14">
      <c r="A14" s="5" t="inlineStr">
        <is>
          <t>Administrative expenses</t>
        </is>
      </c>
      <c r="B14" s="5" t="n">
        <v>-48107</v>
      </c>
      <c r="C14" s="5" t="n">
        <v>-51019</v>
      </c>
      <c r="D14" s="5" t="n">
        <v>-49721</v>
      </c>
      <c r="E14" s="5" t="n">
        <v>-37796</v>
      </c>
      <c r="F14" s="5" t="n">
        <v>-32632</v>
      </c>
      <c r="Q14" t="inlineStr">
        <is>
          <t>Administrative expenses</t>
        </is>
      </c>
      <c r="R14" t="n">
        <v>-32632</v>
      </c>
      <c r="S14" t="n">
        <v>-37796</v>
      </c>
      <c r="T14" t="n">
        <v>-49721</v>
      </c>
      <c r="U14" t="n">
        <v>-51019</v>
      </c>
      <c r="V14" t="n">
        <v>-48107</v>
      </c>
    </row>
    <row r="15">
      <c r="A15" s="5" t="inlineStr">
        <is>
          <t>Profit/(loss) after taxation</t>
        </is>
      </c>
      <c r="B15" s="5" t="n">
        <v>2780</v>
      </c>
      <c r="C15" s="5" t="n">
        <v>3426</v>
      </c>
      <c r="D15" s="5" t="n">
        <v>4738</v>
      </c>
      <c r="E15" s="5" t="n">
        <v>5452</v>
      </c>
      <c r="F15" s="5" t="n">
        <v>-2103</v>
      </c>
      <c r="Q15" t="inlineStr">
        <is>
          <t>Profit/(loss) after taxation</t>
        </is>
      </c>
      <c r="R15" t="n">
        <v>-2103</v>
      </c>
      <c r="S15" t="n">
        <v>5452</v>
      </c>
      <c r="T15" t="n">
        <v>4738</v>
      </c>
      <c r="U15" t="n">
        <v>3426</v>
      </c>
      <c r="V15" t="n">
        <v>2780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32779</v>
      </c>
      <c r="C19" s="5" t="n">
        <v>28466</v>
      </c>
      <c r="D19" s="5" t="n">
        <v>22968</v>
      </c>
      <c r="E19" s="5" t="n">
        <v>16618</v>
      </c>
      <c r="F19" s="5" t="n">
        <v>15784</v>
      </c>
      <c r="Y19" t="inlineStr">
        <is>
          <t>Opening equity</t>
        </is>
      </c>
      <c r="Z19" t="n">
        <v>15784</v>
      </c>
      <c r="AA19" t="n">
        <v>16618</v>
      </c>
      <c r="AB19" t="n">
        <v>22968</v>
      </c>
      <c r="AC19" t="n">
        <v>28466</v>
      </c>
      <c r="AD19" t="n">
        <v>32779</v>
      </c>
    </row>
    <row r="20">
      <c r="A20" s="5" t="inlineStr">
        <is>
          <t>Total comprehensive income/(loss) for the year</t>
        </is>
      </c>
      <c r="B20" s="5" t="n">
        <v>2780</v>
      </c>
      <c r="C20" s="5" t="n">
        <v>3426</v>
      </c>
      <c r="D20" s="5" t="n">
        <v>4738</v>
      </c>
      <c r="E20" s="5" t="n">
        <v>5452</v>
      </c>
      <c r="F20" s="5" t="n">
        <v>-2103</v>
      </c>
      <c r="Y20" t="inlineStr">
        <is>
          <t>Total comprehensive income/(loss) for the year</t>
        </is>
      </c>
      <c r="Z20" t="n">
        <v>-2103</v>
      </c>
      <c r="AA20" t="n">
        <v>5452</v>
      </c>
      <c r="AB20" t="n">
        <v>4738</v>
      </c>
      <c r="AC20" t="n">
        <v>3426</v>
      </c>
      <c r="AD20" t="n">
        <v>2780</v>
      </c>
    </row>
    <row r="21">
      <c r="A21" s="5" t="inlineStr">
        <is>
          <t>Other equity movements, net</t>
        </is>
      </c>
      <c r="B21" s="5" t="n">
        <v>1232</v>
      </c>
      <c r="C21" s="5" t="n">
        <v>887</v>
      </c>
      <c r="D21" s="5" t="n">
        <v>760</v>
      </c>
      <c r="E21" s="5" t="n">
        <v>898</v>
      </c>
      <c r="F21" s="5" t="n">
        <v>2937</v>
      </c>
      <c r="Y21" t="inlineStr">
        <is>
          <t>Other equity movements, net</t>
        </is>
      </c>
      <c r="Z21" t="n">
        <v>2937</v>
      </c>
      <c r="AA21" t="n">
        <v>898</v>
      </c>
      <c r="AB21" t="n">
        <v>760</v>
      </c>
      <c r="AC21" t="n">
        <v>887</v>
      </c>
      <c r="AD21" t="n">
        <v>1232</v>
      </c>
    </row>
    <row r="22">
      <c r="A22" s="5" t="inlineStr">
        <is>
          <t>Closing equity</t>
        </is>
      </c>
      <c r="B22" s="5" t="n">
        <v>36791</v>
      </c>
      <c r="C22" s="5" t="n">
        <v>32779</v>
      </c>
      <c r="D22" s="5" t="n">
        <v>28466</v>
      </c>
      <c r="E22" s="5" t="n">
        <v>22968</v>
      </c>
      <c r="F22" s="5" t="n">
        <v>16618</v>
      </c>
      <c r="Y22" t="inlineStr">
        <is>
          <t>Closing equity</t>
        </is>
      </c>
      <c r="Z22" t="n">
        <v>16618</v>
      </c>
      <c r="AA22" t="n">
        <v>22968</v>
      </c>
      <c r="AB22" t="n">
        <v>28466</v>
      </c>
      <c r="AC22" t="n">
        <v>32779</v>
      </c>
      <c r="AD22" t="n">
        <v>36791</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from/(used in) operating activities</t>
        </is>
      </c>
      <c r="B26" s="5" t="n">
        <v>80642</v>
      </c>
      <c r="C26" s="5" t="n">
        <v>75570</v>
      </c>
      <c r="D26" s="5" t="n">
        <v>38209</v>
      </c>
      <c r="E26" s="5" t="n">
        <v>60637</v>
      </c>
      <c r="F26" s="5" t="n">
        <v>-5715</v>
      </c>
      <c r="AG26" t="inlineStr">
        <is>
          <t>Net cash from/(used in) operating activities</t>
        </is>
      </c>
      <c r="AH26" t="n">
        <v>-5715</v>
      </c>
      <c r="AI26" t="n">
        <v>60637</v>
      </c>
      <c r="AJ26" t="n">
        <v>38209</v>
      </c>
      <c r="AK26" t="n">
        <v>75570</v>
      </c>
      <c r="AL26" t="n">
        <v>80642</v>
      </c>
    </row>
    <row r="27">
      <c r="A27" s="5" t="inlineStr">
        <is>
          <t>Net cash from/(used in) investing activities</t>
        </is>
      </c>
      <c r="B27" s="5" t="n">
        <v>-53638</v>
      </c>
      <c r="C27" s="5" t="n">
        <v>-92016</v>
      </c>
      <c r="D27" s="5" t="n">
        <v>-32238</v>
      </c>
      <c r="E27" s="5" t="n">
        <v>-4967</v>
      </c>
      <c r="F27" s="5" t="n">
        <v>299456</v>
      </c>
      <c r="AG27" t="inlineStr">
        <is>
          <t>Net cash from/(used in) investing activities</t>
        </is>
      </c>
      <c r="AH27" t="n">
        <v>299456</v>
      </c>
      <c r="AI27" t="n">
        <v>-4967</v>
      </c>
      <c r="AJ27" t="n">
        <v>-32238</v>
      </c>
      <c r="AK27" t="n">
        <v>-92016</v>
      </c>
      <c r="AL27" t="n">
        <v>-53638</v>
      </c>
    </row>
    <row r="28">
      <c r="A28" s="5" t="inlineStr">
        <is>
          <t>Net cash from/(used in) financing activities</t>
        </is>
      </c>
      <c r="B28" s="5" t="n">
        <v>740</v>
      </c>
      <c r="C28" s="5" t="n">
        <v>-491</v>
      </c>
      <c r="D28" s="5" t="n">
        <v>-479</v>
      </c>
      <c r="E28" s="5" t="n">
        <v>-464</v>
      </c>
      <c r="F28" s="5" t="n">
        <v>1783</v>
      </c>
      <c r="AG28" t="inlineStr">
        <is>
          <t>Net cash from/(used in) financing activities</t>
        </is>
      </c>
      <c r="AH28" t="n">
        <v>1783</v>
      </c>
      <c r="AI28" t="n">
        <v>-464</v>
      </c>
      <c r="AJ28" t="n">
        <v>-479</v>
      </c>
      <c r="AK28" t="n">
        <v>-491</v>
      </c>
      <c r="AL28" t="n">
        <v>740</v>
      </c>
    </row>
    <row r="29">
      <c r="A29" s="5" t="inlineStr">
        <is>
          <t>Cash and cash equivalents at end of period</t>
        </is>
      </c>
      <c r="B29" s="5" t="n">
        <v>396832</v>
      </c>
      <c r="C29" s="5" t="n">
        <v>369088</v>
      </c>
      <c r="D29" s="5" t="n">
        <v>386025</v>
      </c>
      <c r="E29" s="5" t="n">
        <v>380533</v>
      </c>
      <c r="F29" s="5" t="n">
        <v>325327</v>
      </c>
      <c r="AG29" t="inlineStr">
        <is>
          <t>Cash and cash equivalents at end of period</t>
        </is>
      </c>
      <c r="AH29" t="n">
        <v>325327</v>
      </c>
      <c r="AI29" t="n">
        <v>380533</v>
      </c>
      <c r="AJ29" t="n">
        <v>386025</v>
      </c>
      <c r="AK29" t="n">
        <v>369088</v>
      </c>
      <c r="AL29" t="n">
        <v>396832</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21.74%</t>
        </is>
      </c>
      <c r="C33" s="6" t="inlineStr">
        <is>
          <t>19.32%</t>
        </is>
      </c>
      <c r="D33" s="6" t="inlineStr">
        <is>
          <t>15.57%</t>
        </is>
      </c>
      <c r="E33" s="6" t="inlineStr">
        <is>
          <t>18.17%</t>
        </is>
      </c>
      <c r="F33" s="6" t="inlineStr">
        <is>
          <t>14.79%</t>
        </is>
      </c>
    </row>
    <row r="34">
      <c r="A34" s="6" t="inlineStr">
        <is>
          <t>Tier 1 Ratio</t>
        </is>
      </c>
      <c r="B34" s="6" t="inlineStr">
        <is>
          <t>21.74%</t>
        </is>
      </c>
      <c r="C34" s="6" t="inlineStr">
        <is>
          <t>19.32%</t>
        </is>
      </c>
      <c r="D34" s="6" t="inlineStr">
        <is>
          <t>15.57%</t>
        </is>
      </c>
      <c r="E34" s="6" t="inlineStr">
        <is>
          <t>18.17%</t>
        </is>
      </c>
      <c r="F34" s="6" t="inlineStr">
        <is>
          <t>14.79%</t>
        </is>
      </c>
    </row>
    <row r="35">
      <c r="A35" s="6" t="inlineStr">
        <is>
          <t>Total Capital Ratio</t>
        </is>
      </c>
      <c r="B35" s="6" t="inlineStr">
        <is>
          <t>22.47%</t>
        </is>
      </c>
      <c r="C35" s="6" t="inlineStr">
        <is>
          <t>20.59%</t>
        </is>
      </c>
      <c r="D35" s="6" t="inlineStr">
        <is>
          <t>17.31%</t>
        </is>
      </c>
      <c r="E35" s="6" t="inlineStr">
        <is>
          <t>21.04%</t>
        </is>
      </c>
      <c r="F35" s="6" t="inlineStr">
        <is>
          <t>16.83%</t>
        </is>
      </c>
    </row>
    <row r="36">
      <c r="A36" s="6" t="inlineStr">
        <is>
          <t>Leverage Ratio</t>
        </is>
      </c>
      <c r="B36" s="6" t="inlineStr">
        <is>
          <t>7.99%</t>
        </is>
      </c>
      <c r="C36" s="6" t="inlineStr">
        <is>
          <t>7.96%</t>
        </is>
      </c>
      <c r="D36" s="6" t="inlineStr">
        <is>
          <t>8.34%</t>
        </is>
      </c>
      <c r="E36" s="6" t="inlineStr">
        <is>
          <t>9.72%</t>
        </is>
      </c>
      <c r="F36" s="6" t="inlineStr">
        <is>
          <t>9.07%</t>
        </is>
      </c>
    </row>
    <row r="37">
      <c r="A37" s="6" t="inlineStr">
        <is>
          <t>LCR</t>
        </is>
      </c>
      <c r="B37" s="6" t="inlineStr">
        <is>
          <t>1108%</t>
        </is>
      </c>
      <c r="C37" s="6" t="inlineStr">
        <is>
          <t>865%</t>
        </is>
      </c>
      <c r="D37" s="6" t="inlineStr">
        <is>
          <t>893%</t>
        </is>
      </c>
      <c r="E37" s="6" t="inlineStr">
        <is>
          <t>878%</t>
        </is>
      </c>
      <c r="F37" s="6" t="inlineStr">
        <is>
          <t>980%</t>
        </is>
      </c>
    </row>
    <row r="38">
      <c r="A38" s="6" t="inlineStr">
        <is>
          <t>NSFR</t>
        </is>
      </c>
      <c r="B38" s="6" t="inlineStr">
        <is>
          <t>831%</t>
        </is>
      </c>
      <c r="C38" s="6" t="inlineStr">
        <is>
          <t>798%</t>
        </is>
      </c>
      <c r="D38" s="6" t="inlineStr">
        <is>
          <t>798%</t>
        </is>
      </c>
      <c r="E38" s="6" t="inlineStr">
        <is>
          <t>1102%</t>
        </is>
      </c>
      <c r="F38" s="6" t="inlineStr">
        <is>
          <t>1143%</t>
        </is>
      </c>
    </row>
    <row r="40" ht="45" customHeight="1">
      <c r="A40" s="7" t="inlineStr">
        <is>
          <t>Note: Figures are duplicated from the detail sheets for at-a-glance trend viewing; see each sheet's own source citation for the underlying document/page. This workbook covers FY2022-FY2026 (not the usual FY2021-FY2025) since Zempler's first Pillar 3 disclosure covered FY2022 - it did not hold a full banking licence before 2021. See the Cash Flow Statement sheet's DATA QUALITY NOTE re: two apparent arithmetic errors found in the bank's own published FY2025/FY2026 annual reports.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Financial Position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banks</t>
        </is>
      </c>
      <c r="B5" s="6" t="n">
        <v>396832</v>
      </c>
      <c r="C5" s="6" t="n">
        <v>369088</v>
      </c>
      <c r="D5" s="6" t="n">
        <v>386025</v>
      </c>
      <c r="E5" s="6" t="n">
        <v>380533</v>
      </c>
      <c r="F5" s="6" t="n">
        <v>325327</v>
      </c>
    </row>
    <row r="6">
      <c r="A6" s="6" t="inlineStr">
        <is>
          <t>Total investment securities</t>
        </is>
      </c>
      <c r="B6" s="6" t="n">
        <v>332687</v>
      </c>
      <c r="C6" s="6" t="n">
        <v>266859</v>
      </c>
      <c r="D6" s="6" t="n">
        <v>167073</v>
      </c>
      <c r="E6" s="6" t="n">
        <v>129949</v>
      </c>
      <c r="F6" s="6" t="n">
        <v>125196</v>
      </c>
    </row>
    <row r="7">
      <c r="A7" s="6" t="inlineStr">
        <is>
          <t>Treasury bills - investment securities at amortised cost</t>
        </is>
      </c>
      <c r="B7" s="6" t="n">
        <v>60000</v>
      </c>
      <c r="C7" s="6" t="n">
        <v>69368</v>
      </c>
      <c r="D7" s="6" t="n">
        <v>75354</v>
      </c>
      <c r="E7" s="6" t="n">
        <v>61045</v>
      </c>
      <c r="F7" s="6" t="n">
        <v>0</v>
      </c>
    </row>
    <row r="8">
      <c r="A8" s="6" t="inlineStr">
        <is>
          <t>UK government issued gilts - investment securities at amortised cost</t>
        </is>
      </c>
      <c r="B8" s="6" t="n">
        <v>135000</v>
      </c>
      <c r="C8" s="6" t="n">
        <v>125000</v>
      </c>
      <c r="D8" s="6" t="n">
        <v>95000</v>
      </c>
      <c r="E8" s="6" t="n">
        <v>70000</v>
      </c>
      <c r="F8" s="6" t="n">
        <v>125000</v>
      </c>
    </row>
    <row r="9">
      <c r="A9" s="6" t="inlineStr">
        <is>
          <t>SSA (Sovereign, Supranational, Agency) bonds - investment securities at amortised cost</t>
        </is>
      </c>
      <c r="B9" s="6" t="n">
        <v>140000</v>
      </c>
      <c r="C9" s="6" t="n">
        <v>75000</v>
      </c>
      <c r="D9" s="6" t="n">
        <v>0</v>
      </c>
      <c r="E9" s="6" t="n">
        <v>0</v>
      </c>
      <c r="F9" s="6" t="n">
        <v>0</v>
      </c>
    </row>
    <row r="10">
      <c r="A10" s="6" t="inlineStr">
        <is>
          <t>Unamortised interest and discount on investment securities</t>
        </is>
      </c>
      <c r="B10" s="6" t="n">
        <v>-2313</v>
      </c>
      <c r="C10" s="6" t="n">
        <v>-2509</v>
      </c>
      <c r="D10" s="6" t="n">
        <v>-3281</v>
      </c>
      <c r="E10" s="6" t="n">
        <v>-1096</v>
      </c>
      <c r="F10" s="6" t="n">
        <v>196</v>
      </c>
    </row>
    <row r="11">
      <c r="A11" s="6" t="inlineStr">
        <is>
          <t>Derivative financial assets</t>
        </is>
      </c>
      <c r="B11" s="6" t="n"/>
      <c r="C11" s="6" t="n">
        <v>0</v>
      </c>
      <c r="D11" s="6" t="n">
        <v>137</v>
      </c>
      <c r="E11" s="6" t="n"/>
      <c r="F11" s="6" t="n"/>
    </row>
    <row r="12">
      <c r="A12" s="6" t="inlineStr">
        <is>
          <t>Loans and advances to customers</t>
        </is>
      </c>
      <c r="B12" s="6" t="n">
        <v>35122</v>
      </c>
      <c r="C12" s="6" t="n">
        <v>25452</v>
      </c>
      <c r="D12" s="6" t="n">
        <v>28225</v>
      </c>
      <c r="E12" s="6" t="n">
        <v>22593</v>
      </c>
      <c r="F12" s="6" t="n">
        <v>21779</v>
      </c>
    </row>
    <row r="13">
      <c r="A13" s="6" t="inlineStr">
        <is>
          <t>Deferred tax</t>
        </is>
      </c>
      <c r="B13" s="6" t="n">
        <v>1781</v>
      </c>
      <c r="C13" s="6" t="n">
        <v>3051</v>
      </c>
      <c r="D13" s="6" t="n">
        <v>4730</v>
      </c>
      <c r="E13" s="6" t="n"/>
      <c r="F13" s="6" t="n"/>
    </row>
    <row r="14">
      <c r="A14" s="6" t="inlineStr">
        <is>
          <t>Intangible assets</t>
        </is>
      </c>
      <c r="B14" s="6" t="n">
        <v>4420</v>
      </c>
      <c r="C14" s="6" t="n">
        <v>5827</v>
      </c>
      <c r="D14" s="6" t="n">
        <v>5986</v>
      </c>
      <c r="E14" s="6" t="n">
        <v>4520</v>
      </c>
      <c r="F14" s="6" t="n">
        <v>2591</v>
      </c>
    </row>
    <row r="15">
      <c r="A15" s="6" t="inlineStr">
        <is>
          <t>Tangible fixed assets / Property, plant and equipment</t>
        </is>
      </c>
      <c r="B15" s="6" t="n">
        <v>1247</v>
      </c>
      <c r="C15" s="6" t="n">
        <v>2177</v>
      </c>
      <c r="D15" s="6" t="n">
        <v>3112</v>
      </c>
      <c r="E15" s="6" t="n">
        <v>3528</v>
      </c>
      <c r="F15" s="6" t="n">
        <v>4141</v>
      </c>
    </row>
    <row r="16">
      <c r="A16" s="6" t="inlineStr">
        <is>
          <t>Other assets</t>
        </is>
      </c>
      <c r="B16" s="6" t="n">
        <v>6199</v>
      </c>
      <c r="C16" s="6" t="n">
        <v>7480</v>
      </c>
      <c r="D16" s="6" t="n">
        <v>19172</v>
      </c>
      <c r="E16" s="6" t="n">
        <v>16932</v>
      </c>
      <c r="F16" s="6" t="n">
        <v>14891</v>
      </c>
    </row>
    <row r="17">
      <c r="A17" s="6" t="inlineStr">
        <is>
          <t>Prepayments and accrued income</t>
        </is>
      </c>
      <c r="B17" s="6" t="n">
        <v>1870</v>
      </c>
      <c r="C17" s="6" t="n">
        <v>1989</v>
      </c>
      <c r="D17" s="6" t="n">
        <v>2292</v>
      </c>
      <c r="E17" s="6" t="n"/>
      <c r="F17" s="6" t="n"/>
    </row>
    <row r="18">
      <c r="A18" s="5" t="inlineStr">
        <is>
          <t>Total assets</t>
        </is>
      </c>
      <c r="B18" s="5" t="n">
        <v>780158</v>
      </c>
      <c r="C18" s="5" t="n">
        <v>681923</v>
      </c>
      <c r="D18" s="5" t="n">
        <v>616752</v>
      </c>
      <c r="E18" s="5" t="n">
        <v>558055</v>
      </c>
      <c r="F18" s="5" t="n">
        <v>493925</v>
      </c>
    </row>
    <row r="19">
      <c r="A19" s="5" t="inlineStr">
        <is>
          <t>Liabilities</t>
        </is>
      </c>
      <c r="B19" s="6" t="n"/>
      <c r="C19" s="6" t="n"/>
      <c r="D19" s="6" t="n"/>
      <c r="E19" s="6" t="n"/>
      <c r="F19" s="6" t="n"/>
    </row>
    <row r="20">
      <c r="A20" s="6" t="inlineStr">
        <is>
          <t>Customer deposits</t>
        </is>
      </c>
      <c r="B20" s="6" t="n">
        <v>713291</v>
      </c>
      <c r="C20" s="6" t="n">
        <v>624600</v>
      </c>
      <c r="D20" s="6" t="n">
        <v>542169</v>
      </c>
      <c r="E20" s="6" t="n">
        <v>511463</v>
      </c>
      <c r="F20" s="6" t="n">
        <v>452500</v>
      </c>
    </row>
    <row r="21">
      <c r="A21" s="6" t="inlineStr">
        <is>
          <t>Debt securities and borrowing</t>
        </is>
      </c>
      <c r="B21" s="6" t="n">
        <v>3000</v>
      </c>
      <c r="C21" s="6" t="n">
        <v>3000</v>
      </c>
      <c r="D21" s="6" t="n">
        <v>3000</v>
      </c>
      <c r="E21" s="6" t="n">
        <v>3000</v>
      </c>
      <c r="F21" s="6" t="n">
        <v>3000</v>
      </c>
    </row>
    <row r="22">
      <c r="A22" s="6" t="inlineStr">
        <is>
          <t>Other liabilities</t>
        </is>
      </c>
      <c r="B22" s="6" t="n">
        <v>21719</v>
      </c>
      <c r="C22" s="6" t="n">
        <v>16520</v>
      </c>
      <c r="D22" s="6" t="n">
        <v>37321</v>
      </c>
      <c r="E22" s="6" t="n"/>
      <c r="F22" s="6" t="n"/>
    </row>
    <row r="23">
      <c r="A23" s="6" t="inlineStr">
        <is>
          <t>Other liabilities and accruals (combined, as reported)</t>
        </is>
      </c>
      <c r="B23" s="6" t="n"/>
      <c r="C23" s="6" t="n"/>
      <c r="D23" s="6" t="n"/>
      <c r="E23" s="6" t="n">
        <v>18386</v>
      </c>
      <c r="F23" s="6" t="n">
        <v>16364</v>
      </c>
    </row>
    <row r="24">
      <c r="A24" s="6" t="inlineStr">
        <is>
          <t>Accruals and deferred income</t>
        </is>
      </c>
      <c r="B24" s="6" t="n">
        <v>5357</v>
      </c>
      <c r="C24" s="6" t="n">
        <v>5024</v>
      </c>
      <c r="D24" s="6" t="n">
        <v>5796</v>
      </c>
      <c r="E24" s="6" t="n"/>
      <c r="F24" s="6" t="n"/>
    </row>
    <row r="25">
      <c r="A25" s="6" t="inlineStr">
        <is>
          <t>Deferred income</t>
        </is>
      </c>
      <c r="B25" s="6" t="n"/>
      <c r="C25" s="6" t="n"/>
      <c r="D25" s="6" t="n"/>
      <c r="E25" s="6" t="n">
        <v>2238</v>
      </c>
      <c r="F25" s="6" t="n">
        <v>5443</v>
      </c>
    </row>
    <row r="26">
      <c r="A26" s="5" t="inlineStr">
        <is>
          <t>Total liabilities</t>
        </is>
      </c>
      <c r="B26" s="5" t="n">
        <v>743367</v>
      </c>
      <c r="C26" s="5" t="n">
        <v>649144</v>
      </c>
      <c r="D26" s="5" t="n">
        <v>588286</v>
      </c>
      <c r="E26" s="5" t="n">
        <v>535087</v>
      </c>
      <c r="F26" s="5" t="n">
        <v>477307</v>
      </c>
    </row>
    <row r="27">
      <c r="A27" s="5" t="inlineStr">
        <is>
          <t>Equity</t>
        </is>
      </c>
      <c r="B27" s="6" t="n"/>
      <c r="C27" s="6" t="n"/>
      <c r="D27" s="6" t="n"/>
      <c r="E27" s="6" t="n"/>
      <c r="F27" s="6" t="n"/>
    </row>
    <row r="28">
      <c r="A28" s="6" t="inlineStr">
        <is>
          <t>Share capital</t>
        </is>
      </c>
      <c r="B28" s="6" t="n">
        <v>11</v>
      </c>
      <c r="C28" s="6" t="n">
        <v>9</v>
      </c>
      <c r="D28" s="6" t="n">
        <v>9</v>
      </c>
      <c r="E28" s="6" t="n">
        <v>9</v>
      </c>
      <c r="F28" s="6" t="n">
        <v>9</v>
      </c>
    </row>
    <row r="29">
      <c r="A29" s="6" t="inlineStr">
        <is>
          <t>Share premium account</t>
        </is>
      </c>
      <c r="B29" s="6" t="n">
        <v>44565</v>
      </c>
      <c r="C29" s="6" t="n">
        <v>43335</v>
      </c>
      <c r="D29" s="6" t="n">
        <v>43335</v>
      </c>
      <c r="E29" s="6" t="n">
        <v>43321</v>
      </c>
      <c r="F29" s="6" t="n">
        <v>43321</v>
      </c>
    </row>
    <row r="30">
      <c r="A30" s="6" t="inlineStr">
        <is>
          <t>Other reserves</t>
        </is>
      </c>
      <c r="B30" s="6" t="n">
        <v>0</v>
      </c>
      <c r="C30" s="6" t="n">
        <v>4880</v>
      </c>
      <c r="D30" s="6" t="n">
        <v>3993</v>
      </c>
      <c r="E30" s="6" t="n">
        <v>3247</v>
      </c>
      <c r="F30" s="6" t="n">
        <v>2349</v>
      </c>
    </row>
    <row r="31">
      <c r="A31" s="6" t="inlineStr">
        <is>
          <t>Accumulated losses</t>
        </is>
      </c>
      <c r="B31" s="6" t="n">
        <v>-7785</v>
      </c>
      <c r="C31" s="6" t="n">
        <v>-15445</v>
      </c>
      <c r="D31" s="6" t="n">
        <v>-18871</v>
      </c>
      <c r="E31" s="6" t="n">
        <v>-23609</v>
      </c>
      <c r="F31" s="6" t="n">
        <v>-29061</v>
      </c>
    </row>
    <row r="32">
      <c r="A32" s="5" t="inlineStr">
        <is>
          <t>Total equity</t>
        </is>
      </c>
      <c r="B32" s="5" t="n">
        <v>36791</v>
      </c>
      <c r="C32" s="5" t="n">
        <v>32779</v>
      </c>
      <c r="D32" s="5" t="n">
        <v>28466</v>
      </c>
      <c r="E32" s="5" t="n">
        <v>22968</v>
      </c>
      <c r="F32" s="5" t="n">
        <v>16618</v>
      </c>
    </row>
    <row r="33">
      <c r="A33" s="5" t="inlineStr">
        <is>
          <t>Total liabilities and equity</t>
        </is>
      </c>
      <c r="B33" s="5" t="n">
        <v>780158</v>
      </c>
      <c r="C33" s="5" t="n">
        <v>681923</v>
      </c>
      <c r="D33" s="5" t="n">
        <v>616752</v>
      </c>
      <c r="E33" s="5" t="n">
        <v>558055</v>
      </c>
      <c r="F33" s="5" t="n">
        <v>493925</v>
      </c>
    </row>
    <row r="35" ht="380" customHeight="1">
      <c r="A35"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Comprehensive Income</t>
        </is>
      </c>
    </row>
    <row r="2">
      <c r="A2" s="2" t="inlineStr">
        <is>
          <t>Company (non-consolidated) basis, £'000. No other comprehensive income in any year shown.</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36810</v>
      </c>
      <c r="C5" s="6" t="n">
        <v>36899</v>
      </c>
      <c r="D5" s="6" t="n">
        <v>33911</v>
      </c>
      <c r="E5" s="6" t="n">
        <v>16925</v>
      </c>
      <c r="F5" s="6" t="n">
        <v>7358</v>
      </c>
    </row>
    <row r="6">
      <c r="A6" s="6" t="inlineStr">
        <is>
          <t>Interest expense</t>
        </is>
      </c>
      <c r="B6" s="6" t="n">
        <v>-2131</v>
      </c>
      <c r="C6" s="6" t="n">
        <v>-2178</v>
      </c>
      <c r="D6" s="6" t="n">
        <v>-2020</v>
      </c>
      <c r="E6" s="6" t="n">
        <v>-1845</v>
      </c>
      <c r="F6" s="6" t="n">
        <v>-1987</v>
      </c>
    </row>
    <row r="7">
      <c r="A7" s="5" t="inlineStr">
        <is>
          <t>Net interest income</t>
        </is>
      </c>
      <c r="B7" s="5" t="n">
        <v>34679</v>
      </c>
      <c r="C7" s="5" t="n">
        <v>34721</v>
      </c>
      <c r="D7" s="5" t="n">
        <v>31891</v>
      </c>
      <c r="E7" s="5" t="n">
        <v>15080</v>
      </c>
      <c r="F7" s="5" t="n">
        <v>5371</v>
      </c>
    </row>
    <row r="8">
      <c r="A8" s="6" t="inlineStr">
        <is>
          <t>Fee and commission income</t>
        </is>
      </c>
      <c r="B8" s="6" t="n">
        <v>31161</v>
      </c>
      <c r="C8" s="6" t="n">
        <v>31282</v>
      </c>
      <c r="D8" s="6" t="n">
        <v>33776</v>
      </c>
      <c r="E8" s="6" t="n">
        <v>34990</v>
      </c>
      <c r="F8" s="6" t="n">
        <v>33756</v>
      </c>
    </row>
    <row r="9">
      <c r="A9" s="6" t="inlineStr">
        <is>
          <t>Fee and commission expense</t>
        </is>
      </c>
      <c r="B9" s="6" t="n">
        <v>-8165</v>
      </c>
      <c r="C9" s="6" t="n">
        <v>-7993</v>
      </c>
      <c r="D9" s="6" t="n">
        <v>-8627</v>
      </c>
      <c r="E9" s="6" t="n">
        <v>-7652</v>
      </c>
      <c r="F9" s="6" t="n">
        <v>-6654</v>
      </c>
    </row>
    <row r="10">
      <c r="A10" s="5" t="inlineStr">
        <is>
          <t>Net fee and commission income</t>
        </is>
      </c>
      <c r="B10" s="5" t="n">
        <v>22996</v>
      </c>
      <c r="C10" s="5" t="n">
        <v>23289</v>
      </c>
      <c r="D10" s="5" t="n">
        <v>25149</v>
      </c>
      <c r="E10" s="5" t="n">
        <v>27338</v>
      </c>
      <c r="F10" s="5" t="n">
        <v>27102</v>
      </c>
    </row>
    <row r="11">
      <c r="A11" s="5" t="inlineStr">
        <is>
          <t>Total operating income</t>
        </is>
      </c>
      <c r="B11" s="5" t="n">
        <v>57675</v>
      </c>
      <c r="C11" s="5" t="n">
        <v>58010</v>
      </c>
      <c r="D11" s="5" t="n">
        <v>57040</v>
      </c>
      <c r="E11" s="5" t="n">
        <v>42418</v>
      </c>
      <c r="F11" s="5" t="n">
        <v>32473</v>
      </c>
    </row>
    <row r="12">
      <c r="A12" s="6" t="inlineStr">
        <is>
          <t>Other income</t>
        </is>
      </c>
      <c r="B12" s="6" t="n">
        <v>1184</v>
      </c>
      <c r="C12" s="6" t="n">
        <v>2118</v>
      </c>
      <c r="D12" s="6" t="n">
        <v>2809</v>
      </c>
      <c r="E12" s="6" t="n">
        <v>3047</v>
      </c>
      <c r="F12" s="6" t="n">
        <v>1203</v>
      </c>
    </row>
    <row r="13">
      <c r="A13" s="6" t="inlineStr">
        <is>
          <t>Loss on derivatives</t>
        </is>
      </c>
      <c r="B13" s="6" t="n">
        <v>0</v>
      </c>
      <c r="C13" s="6" t="n">
        <v>-121</v>
      </c>
      <c r="D13" s="6" t="n">
        <v>-278</v>
      </c>
      <c r="E13" s="6" t="n"/>
      <c r="F13" s="6" t="n"/>
    </row>
    <row r="14">
      <c r="A14" s="6" t="inlineStr">
        <is>
          <t>Impairment charges and charge-offs</t>
        </is>
      </c>
      <c r="B14" s="6" t="n">
        <v>-6527</v>
      </c>
      <c r="C14" s="6" t="n">
        <v>-3771</v>
      </c>
      <c r="D14" s="6" t="n">
        <v>-6559</v>
      </c>
      <c r="E14" s="6" t="n">
        <v>-4426</v>
      </c>
      <c r="F14" s="6" t="n">
        <v>-3147</v>
      </c>
    </row>
    <row r="15">
      <c r="A15" s="5" t="inlineStr">
        <is>
          <t>Net operating income</t>
        </is>
      </c>
      <c r="B15" s="5" t="n">
        <v>52332</v>
      </c>
      <c r="C15" s="5" t="n">
        <v>56236</v>
      </c>
      <c r="D15" s="5" t="n">
        <v>53012</v>
      </c>
      <c r="E15" s="5" t="n">
        <v>41039</v>
      </c>
      <c r="F15" s="5" t="n">
        <v>30529</v>
      </c>
    </row>
    <row r="16">
      <c r="A16" s="6" t="inlineStr">
        <is>
          <t>Administrative expenses</t>
        </is>
      </c>
      <c r="B16" s="6" t="n">
        <v>-48107</v>
      </c>
      <c r="C16" s="6" t="n">
        <v>-51019</v>
      </c>
      <c r="D16" s="6" t="n">
        <v>-49721</v>
      </c>
      <c r="E16" s="6" t="n">
        <v>-37796</v>
      </c>
      <c r="F16" s="6" t="n">
        <v>-32632</v>
      </c>
    </row>
    <row r="17">
      <c r="A17" s="5" t="inlineStr">
        <is>
          <t>Profit/(loss) before taxation</t>
        </is>
      </c>
      <c r="B17" s="5" t="n">
        <v>4225</v>
      </c>
      <c r="C17" s="5" t="n">
        <v>5217</v>
      </c>
      <c r="D17" s="5" t="n">
        <v>3291</v>
      </c>
      <c r="E17" s="5" t="n">
        <v>3243</v>
      </c>
      <c r="F17" s="5" t="n">
        <v>-2103</v>
      </c>
    </row>
    <row r="18">
      <c r="A18" s="6" t="inlineStr">
        <is>
          <t>Taxation charge/(credit)</t>
        </is>
      </c>
      <c r="B18" s="6" t="n">
        <v>-1445</v>
      </c>
      <c r="C18" s="6" t="n">
        <v>-1791</v>
      </c>
      <c r="D18" s="6" t="n">
        <v>1447</v>
      </c>
      <c r="E18" s="6" t="n">
        <v>2209</v>
      </c>
      <c r="F18" s="6" t="n">
        <v>0</v>
      </c>
    </row>
    <row r="19">
      <c r="A19" s="5" t="inlineStr">
        <is>
          <t>Profit/(loss) after taxation</t>
        </is>
      </c>
      <c r="B19" s="5" t="n">
        <v>2780</v>
      </c>
      <c r="C19" s="5" t="n">
        <v>3426</v>
      </c>
      <c r="D19" s="5" t="n">
        <v>4738</v>
      </c>
      <c r="E19" s="5" t="n">
        <v>5452</v>
      </c>
      <c r="F19" s="5" t="n">
        <v>-2103</v>
      </c>
    </row>
    <row r="20">
      <c r="A20" s="5" t="inlineStr">
        <is>
          <t>Total comprehensive income/(loss)</t>
        </is>
      </c>
      <c r="B20" s="5" t="n">
        <v>2780</v>
      </c>
      <c r="C20" s="5" t="n">
        <v>3426</v>
      </c>
      <c r="D20" s="5" t="n">
        <v>4738</v>
      </c>
      <c r="E20" s="5" t="n">
        <v>5452</v>
      </c>
      <c r="F20" s="5" t="n">
        <v>-2103</v>
      </c>
    </row>
    <row r="22" ht="380" customHeight="1">
      <c r="A22"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Changes in Equity</t>
        </is>
      </c>
    </row>
    <row r="2">
      <c r="A2" s="2" t="inlineStr">
        <is>
          <t>Company (non-consolidated) basis, £'000. Chronological, oldest to newest. Zero undocumented plug rows - ties exactly to the Balance Sheet's own Total equity every year.</t>
        </is>
      </c>
    </row>
    <row r="3">
      <c r="A3" s="4" t="inlineStr">
        <is>
          <t>Movement</t>
        </is>
      </c>
      <c r="B3" s="4" t="inlineStr">
        <is>
          <t>Share capital</t>
        </is>
      </c>
      <c r="C3" s="4" t="inlineStr">
        <is>
          <t>Share premium account</t>
        </is>
      </c>
      <c r="D3" s="4" t="inlineStr">
        <is>
          <t>Other reserves</t>
        </is>
      </c>
      <c r="E3" s="4" t="inlineStr">
        <is>
          <t>Retained earnings</t>
        </is>
      </c>
      <c r="F3" s="4" t="inlineStr">
        <is>
          <t>Total</t>
        </is>
      </c>
    </row>
    <row r="4">
      <c r="A4" s="5" t="inlineStr">
        <is>
          <t>Balance at 31 March 2021</t>
        </is>
      </c>
      <c r="B4" s="5" t="n">
        <v>9</v>
      </c>
      <c r="C4" s="5" t="n">
        <v>41060</v>
      </c>
      <c r="D4" s="5" t="n">
        <v>1673</v>
      </c>
      <c r="E4" s="5" t="n">
        <v>-26958</v>
      </c>
      <c r="F4" s="5" t="n">
        <v>15784</v>
      </c>
    </row>
    <row r="5">
      <c r="A5" s="6" t="inlineStr">
        <is>
          <t>Issue of shares</t>
        </is>
      </c>
      <c r="B5" s="6" t="n">
        <v>0</v>
      </c>
      <c r="C5" s="6" t="n">
        <v>2261</v>
      </c>
      <c r="D5" s="6" t="n">
        <v>0</v>
      </c>
      <c r="E5" s="6" t="n">
        <v>0</v>
      </c>
      <c r="F5" s="6" t="n">
        <v>2261</v>
      </c>
    </row>
    <row r="6">
      <c r="A6" s="6" t="inlineStr">
        <is>
          <t>Loss for the period</t>
        </is>
      </c>
      <c r="B6" s="6" t="n">
        <v>0</v>
      </c>
      <c r="C6" s="6" t="n">
        <v>0</v>
      </c>
      <c r="D6" s="6" t="n">
        <v>0</v>
      </c>
      <c r="E6" s="6" t="n">
        <v>-2103</v>
      </c>
      <c r="F6" s="6" t="n">
        <v>-2103</v>
      </c>
    </row>
    <row r="7">
      <c r="A7" s="6" t="inlineStr">
        <is>
          <t>Fair value of shares allocated to employees</t>
        </is>
      </c>
      <c r="B7" s="6" t="n">
        <v>0</v>
      </c>
      <c r="C7" s="6" t="n">
        <v>0</v>
      </c>
      <c r="D7" s="6" t="n">
        <v>676</v>
      </c>
      <c r="E7" s="6" t="n">
        <v>0</v>
      </c>
      <c r="F7" s="6" t="n">
        <v>676</v>
      </c>
    </row>
    <row r="8">
      <c r="A8" s="5" t="inlineStr">
        <is>
          <t>Balance at 31 March 2022</t>
        </is>
      </c>
      <c r="B8" s="5" t="n">
        <v>9</v>
      </c>
      <c r="C8" s="5" t="n">
        <v>43321</v>
      </c>
      <c r="D8" s="5" t="n">
        <v>2349</v>
      </c>
      <c r="E8" s="5" t="n">
        <v>-29061</v>
      </c>
      <c r="F8" s="5" t="n">
        <v>16618</v>
      </c>
    </row>
    <row r="9">
      <c r="A9" s="6" t="inlineStr">
        <is>
          <t>Issue of shares</t>
        </is>
      </c>
      <c r="B9" s="6" t="n">
        <v>0</v>
      </c>
      <c r="C9" s="6" t="n">
        <v>0</v>
      </c>
      <c r="D9" s="6" t="n">
        <v>0</v>
      </c>
      <c r="E9" s="6" t="n">
        <v>0</v>
      </c>
      <c r="F9" s="6" t="n">
        <v>0</v>
      </c>
    </row>
    <row r="10">
      <c r="A10" s="6" t="inlineStr">
        <is>
          <t>Profit for the period</t>
        </is>
      </c>
      <c r="B10" s="6" t="n">
        <v>0</v>
      </c>
      <c r="C10" s="6" t="n">
        <v>0</v>
      </c>
      <c r="D10" s="6" t="n">
        <v>0</v>
      </c>
      <c r="E10" s="6" t="n">
        <v>5452</v>
      </c>
      <c r="F10" s="6" t="n">
        <v>5452</v>
      </c>
    </row>
    <row r="11">
      <c r="A11" s="6" t="inlineStr">
        <is>
          <t>Fair value of shares allocated to employees</t>
        </is>
      </c>
      <c r="B11" s="6" t="n">
        <v>0</v>
      </c>
      <c r="C11" s="6" t="n">
        <v>0</v>
      </c>
      <c r="D11" s="6" t="n">
        <v>898</v>
      </c>
      <c r="E11" s="6" t="n">
        <v>0</v>
      </c>
      <c r="F11" s="6" t="n">
        <v>898</v>
      </c>
    </row>
    <row r="12">
      <c r="A12" s="5" t="inlineStr">
        <is>
          <t>Balance at 31 March 2023</t>
        </is>
      </c>
      <c r="B12" s="5" t="n">
        <v>9</v>
      </c>
      <c r="C12" s="5" t="n">
        <v>43321</v>
      </c>
      <c r="D12" s="5" t="n">
        <v>3247</v>
      </c>
      <c r="E12" s="5" t="n">
        <v>-23609</v>
      </c>
      <c r="F12" s="5" t="n">
        <v>22968</v>
      </c>
    </row>
    <row r="13">
      <c r="A13" s="6" t="inlineStr">
        <is>
          <t>Issue of shares</t>
        </is>
      </c>
      <c r="B13" s="6" t="n">
        <v>0</v>
      </c>
      <c r="C13" s="6" t="n">
        <v>14</v>
      </c>
      <c r="D13" s="6" t="n">
        <v>0</v>
      </c>
      <c r="E13" s="6" t="n">
        <v>0</v>
      </c>
      <c r="F13" s="6" t="n">
        <v>14</v>
      </c>
    </row>
    <row r="14">
      <c r="A14" s="6" t="inlineStr">
        <is>
          <t>Total comprehensive profit for the period</t>
        </is>
      </c>
      <c r="B14" s="6" t="n">
        <v>0</v>
      </c>
      <c r="C14" s="6" t="n">
        <v>0</v>
      </c>
      <c r="D14" s="6" t="n">
        <v>0</v>
      </c>
      <c r="E14" s="6" t="n">
        <v>4738</v>
      </c>
      <c r="F14" s="6" t="n">
        <v>4738</v>
      </c>
    </row>
    <row r="15">
      <c r="A15" s="6" t="inlineStr">
        <is>
          <t>Employee share based payments</t>
        </is>
      </c>
      <c r="B15" s="6" t="n">
        <v>0</v>
      </c>
      <c r="C15" s="6" t="n">
        <v>0</v>
      </c>
      <c r="D15" s="6" t="n">
        <v>746</v>
      </c>
      <c r="E15" s="6" t="n">
        <v>0</v>
      </c>
      <c r="F15" s="6" t="n">
        <v>746</v>
      </c>
    </row>
    <row r="16">
      <c r="A16" s="5" t="inlineStr">
        <is>
          <t>Balance at 31 March 2024</t>
        </is>
      </c>
      <c r="B16" s="5" t="n">
        <v>9</v>
      </c>
      <c r="C16" s="5" t="n">
        <v>43335</v>
      </c>
      <c r="D16" s="5" t="n">
        <v>3993</v>
      </c>
      <c r="E16" s="5" t="n">
        <v>-18871</v>
      </c>
      <c r="F16" s="5" t="n">
        <v>28466</v>
      </c>
    </row>
    <row r="17">
      <c r="A17" s="6" t="inlineStr">
        <is>
          <t>Issue of shares</t>
        </is>
      </c>
      <c r="B17" s="6" t="n">
        <v>0</v>
      </c>
      <c r="C17" s="6" t="n">
        <v>0</v>
      </c>
      <c r="D17" s="6" t="n">
        <v>0</v>
      </c>
      <c r="E17" s="6" t="n">
        <v>0</v>
      </c>
      <c r="F17" s="6" t="n">
        <v>0</v>
      </c>
    </row>
    <row r="18">
      <c r="A18" s="6" t="inlineStr">
        <is>
          <t>Total comprehensive profit for the period</t>
        </is>
      </c>
      <c r="B18" s="6" t="n">
        <v>0</v>
      </c>
      <c r="C18" s="6" t="n">
        <v>0</v>
      </c>
      <c r="D18" s="6" t="n">
        <v>0</v>
      </c>
      <c r="E18" s="6" t="n">
        <v>3426</v>
      </c>
      <c r="F18" s="6" t="n">
        <v>3426</v>
      </c>
    </row>
    <row r="19">
      <c r="A19" s="6" t="inlineStr">
        <is>
          <t>Employee share-based payments</t>
        </is>
      </c>
      <c r="B19" s="6" t="n">
        <v>0</v>
      </c>
      <c r="C19" s="6" t="n">
        <v>0</v>
      </c>
      <c r="D19" s="6" t="n">
        <v>887</v>
      </c>
      <c r="E19" s="6" t="n">
        <v>0</v>
      </c>
      <c r="F19" s="6" t="n">
        <v>887</v>
      </c>
    </row>
    <row r="20">
      <c r="A20" s="5" t="inlineStr">
        <is>
          <t>Balance at 31 March 2025</t>
        </is>
      </c>
      <c r="B20" s="5" t="n">
        <v>9</v>
      </c>
      <c r="C20" s="5" t="n">
        <v>43335</v>
      </c>
      <c r="D20" s="5" t="n">
        <v>4880</v>
      </c>
      <c r="E20" s="5" t="n">
        <v>-15445</v>
      </c>
      <c r="F20" s="5" t="n">
        <v>32779</v>
      </c>
    </row>
    <row r="21">
      <c r="A21" s="6" t="inlineStr">
        <is>
          <t>Settlement of employee share scheme</t>
        </is>
      </c>
      <c r="B21" s="6" t="n">
        <v>2</v>
      </c>
      <c r="C21" s="6" t="n">
        <v>1230</v>
      </c>
      <c r="D21" s="6" t="n">
        <v>0</v>
      </c>
      <c r="E21" s="6" t="n">
        <v>0</v>
      </c>
      <c r="F21" s="6" t="n">
        <v>1232</v>
      </c>
    </row>
    <row r="22">
      <c r="A22" s="6" t="inlineStr">
        <is>
          <t>Total comprehensive profit for the period</t>
        </is>
      </c>
      <c r="B22" s="6" t="n">
        <v>0</v>
      </c>
      <c r="C22" s="6" t="n">
        <v>0</v>
      </c>
      <c r="D22" s="6" t="n">
        <v>0</v>
      </c>
      <c r="E22" s="6" t="n">
        <v>2780</v>
      </c>
      <c r="F22" s="6" t="n">
        <v>2780</v>
      </c>
    </row>
    <row r="23">
      <c r="A23" s="6" t="inlineStr">
        <is>
          <t>Transfer on exercise of share option</t>
        </is>
      </c>
      <c r="B23" s="6" t="n">
        <v>0</v>
      </c>
      <c r="C23" s="6" t="n">
        <v>0</v>
      </c>
      <c r="D23" s="6" t="n">
        <v>-4880</v>
      </c>
      <c r="E23" s="6" t="n">
        <v>4880</v>
      </c>
      <c r="F23" s="6" t="n">
        <v>0</v>
      </c>
    </row>
    <row r="24">
      <c r="A24" s="5" t="inlineStr">
        <is>
          <t>Balance at 31 March 2026</t>
        </is>
      </c>
      <c r="B24" s="5" t="n">
        <v>11</v>
      </c>
      <c r="C24" s="5" t="n">
        <v>44565</v>
      </c>
      <c r="D24" s="5" t="n">
        <v>0</v>
      </c>
      <c r="E24" s="5" t="n">
        <v>-7785</v>
      </c>
      <c r="F24" s="5" t="n">
        <v>36791</v>
      </c>
    </row>
    <row r="26" ht="380" customHeight="1">
      <c r="A26"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Zempler Bank Limited — Cash Flow Statement</t>
        </is>
      </c>
    </row>
    <row r="2">
      <c r="A2" s="2" t="inlineStr">
        <is>
          <t>Company basis (see entity note), £'000. FY2026 financing subtotal and FY2025 operating subtotal are adjusted from the source's own printed figures - see DATA QUALITY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Profit/(loss) for the financial year before taxation</t>
        </is>
      </c>
      <c r="B5" s="6" t="n">
        <v>4225</v>
      </c>
      <c r="C5" s="6" t="n">
        <v>5217</v>
      </c>
      <c r="D5" s="6" t="n">
        <v>3291</v>
      </c>
      <c r="E5" s="6" t="n">
        <v>3243</v>
      </c>
      <c r="F5" s="6" t="n">
        <v>-2103</v>
      </c>
    </row>
    <row r="6">
      <c r="A6" s="6" t="inlineStr">
        <is>
          <t>Corporation tax paid</t>
        </is>
      </c>
      <c r="B6" s="6" t="n"/>
      <c r="C6" s="6" t="n"/>
      <c r="D6" s="6" t="n"/>
      <c r="E6" s="6" t="n">
        <v>0</v>
      </c>
      <c r="F6" s="6" t="n">
        <v>0</v>
      </c>
    </row>
    <row r="7">
      <c r="A7" s="6" t="inlineStr">
        <is>
          <t>Interest income from non-operating activities</t>
        </is>
      </c>
      <c r="B7" s="6" t="n">
        <v>-12548</v>
      </c>
      <c r="C7" s="6" t="n">
        <v>-9944</v>
      </c>
      <c r="D7" s="6" t="n">
        <v>-5584</v>
      </c>
      <c r="E7" s="6" t="n">
        <v>-1392</v>
      </c>
      <c r="F7" s="6" t="n">
        <v>289</v>
      </c>
    </row>
    <row r="8">
      <c r="A8" s="6" t="inlineStr">
        <is>
          <t>Amortisation and depreciation / write offs</t>
        </is>
      </c>
      <c r="B8" s="6" t="n">
        <v>2991</v>
      </c>
      <c r="C8" s="6" t="n">
        <v>2987</v>
      </c>
      <c r="D8" s="6" t="n">
        <v>2326</v>
      </c>
      <c r="E8" s="6" t="n">
        <v>1427</v>
      </c>
      <c r="F8" s="6" t="n">
        <v>1754</v>
      </c>
    </row>
    <row r="9">
      <c r="A9" s="6" t="inlineStr">
        <is>
          <t>Loss on disposal of tangible and intangible assets</t>
        </is>
      </c>
      <c r="B9" s="6" t="n"/>
      <c r="C9" s="6" t="n"/>
      <c r="D9" s="6" t="n"/>
      <c r="E9" s="6" t="n">
        <v>619</v>
      </c>
      <c r="F9" s="6" t="n"/>
    </row>
    <row r="10">
      <c r="A10" s="6" t="inlineStr">
        <is>
          <t>Changes in fair value of derivatives</t>
        </is>
      </c>
      <c r="B10" s="6" t="n"/>
      <c r="C10" s="6" t="n">
        <v>137</v>
      </c>
      <c r="D10" s="6" t="n">
        <v>-137</v>
      </c>
      <c r="E10" s="6" t="n"/>
      <c r="F10" s="6" t="n"/>
    </row>
    <row r="11">
      <c r="A11" s="6" t="inlineStr">
        <is>
          <t>Share based payment charge</t>
        </is>
      </c>
      <c r="B11" s="6" t="n"/>
      <c r="C11" s="6" t="n">
        <v>887</v>
      </c>
      <c r="D11" s="6" t="n">
        <v>746</v>
      </c>
      <c r="E11" s="6" t="n">
        <v>898</v>
      </c>
      <c r="F11" s="6" t="n">
        <v>676</v>
      </c>
    </row>
    <row r="12">
      <c r="A12" s="6" t="inlineStr">
        <is>
          <t>Amortisation of discount/premium for investment securities</t>
        </is>
      </c>
      <c r="B12" s="6" t="n">
        <v>196</v>
      </c>
      <c r="C12" s="6" t="n">
        <v>772</v>
      </c>
      <c r="D12" s="6" t="n">
        <v>-2185</v>
      </c>
      <c r="E12" s="6" t="n">
        <v>-1292</v>
      </c>
      <c r="F12" s="6" t="n">
        <v>196</v>
      </c>
    </row>
    <row r="13">
      <c r="A13" s="6" t="inlineStr">
        <is>
          <t>Net increase/(decrease) in loans and advances to customers</t>
        </is>
      </c>
      <c r="B13" s="6" t="n">
        <v>-9670</v>
      </c>
      <c r="C13" s="6" t="n">
        <v>2773</v>
      </c>
      <c r="D13" s="6" t="n">
        <v>-5012</v>
      </c>
      <c r="E13" s="6" t="n">
        <v>-814</v>
      </c>
      <c r="F13" s="6" t="n">
        <v>-4593</v>
      </c>
    </row>
    <row r="14">
      <c r="A14" s="6" t="inlineStr">
        <is>
          <t>Net decrease/(increase) in other assets</t>
        </is>
      </c>
      <c r="B14" s="6" t="n">
        <v>1281</v>
      </c>
      <c r="C14" s="6" t="n">
        <v>11992</v>
      </c>
      <c r="D14" s="6" t="n">
        <v>-10054</v>
      </c>
      <c r="E14" s="6" t="n">
        <v>168</v>
      </c>
      <c r="F14" s="6" t="n">
        <v>1193</v>
      </c>
    </row>
    <row r="15">
      <c r="A15" s="6" t="inlineStr">
        <is>
          <t>Net decrease in prepayments and accrued income</t>
        </is>
      </c>
      <c r="B15" s="6" t="n">
        <v>119</v>
      </c>
      <c r="C15" s="6" t="n">
        <v>303</v>
      </c>
      <c r="D15" s="6" t="n">
        <v>285</v>
      </c>
      <c r="E15" s="6" t="n"/>
      <c r="F15" s="6" t="n"/>
    </row>
    <row r="16">
      <c r="A16" s="6" t="inlineStr">
        <is>
          <t>Net increase/(decrease) in customer deposits</t>
        </is>
      </c>
      <c r="B16" s="6" t="n">
        <v>88691</v>
      </c>
      <c r="C16" s="6" t="n">
        <v>82431</v>
      </c>
      <c r="D16" s="6" t="n">
        <v>32660</v>
      </c>
      <c r="E16" s="6" t="n">
        <v>58963</v>
      </c>
      <c r="F16" s="6" t="n">
        <v>-7662</v>
      </c>
    </row>
    <row r="17">
      <c r="A17" s="6" t="inlineStr">
        <is>
          <t>Net increase/(decrease) in other liabilities</t>
        </is>
      </c>
      <c r="B17" s="6" t="n">
        <v>5024</v>
      </c>
      <c r="C17" s="6" t="n">
        <v>-20913</v>
      </c>
      <c r="D17" s="6" t="n">
        <v>20030</v>
      </c>
      <c r="E17" s="6" t="n">
        <v>2022</v>
      </c>
      <c r="F17" s="6" t="n">
        <v>1464</v>
      </c>
    </row>
    <row r="18">
      <c r="A18" s="6" t="inlineStr">
        <is>
          <t>Net increase/(decrease) in deferred income</t>
        </is>
      </c>
      <c r="B18" s="6" t="n">
        <v>333</v>
      </c>
      <c r="C18" s="6" t="n">
        <v>-772</v>
      </c>
      <c r="D18" s="6" t="n">
        <v>1843</v>
      </c>
      <c r="E18" s="6" t="n">
        <v>-3205</v>
      </c>
      <c r="F18" s="6" t="n">
        <v>3071</v>
      </c>
    </row>
    <row r="19">
      <c r="A19" s="5" t="inlineStr">
        <is>
          <t>Net cash flow generated from/(used in) operating activities</t>
        </is>
      </c>
      <c r="B19" s="5" t="n">
        <v>80642</v>
      </c>
      <c r="C19" s="5" t="n">
        <v>75570</v>
      </c>
      <c r="D19" s="5" t="n">
        <v>38209</v>
      </c>
      <c r="E19" s="5" t="n">
        <v>60637</v>
      </c>
      <c r="F19" s="5" t="n">
        <v>-5715</v>
      </c>
    </row>
    <row r="20">
      <c r="A20" s="5" t="inlineStr">
        <is>
          <t>Investing activities</t>
        </is>
      </c>
      <c r="B20" s="6" t="n"/>
      <c r="C20" s="6" t="n"/>
      <c r="D20" s="6" t="n"/>
      <c r="E20" s="6" t="n"/>
      <c r="F20" s="6" t="n"/>
    </row>
    <row r="21">
      <c r="A21" s="6" t="inlineStr">
        <is>
          <t>Purchase of tangible and intangible assets (combined, as reported)</t>
        </is>
      </c>
      <c r="B21" s="6" t="n"/>
      <c r="C21" s="6" t="n"/>
      <c r="D21" s="6" t="n"/>
      <c r="E21" s="6" t="n">
        <v>-3362</v>
      </c>
      <c r="F21" s="6" t="n">
        <v>-6206</v>
      </c>
    </row>
    <row r="22">
      <c r="A22" s="6" t="inlineStr">
        <is>
          <t>Purchase of intangible assets</t>
        </is>
      </c>
      <c r="B22" s="6" t="n">
        <v>-593</v>
      </c>
      <c r="C22" s="6" t="n">
        <v>-1712</v>
      </c>
      <c r="D22" s="6" t="n">
        <v>-2753</v>
      </c>
      <c r="E22" s="6" t="n"/>
      <c r="F22" s="6" t="n"/>
    </row>
    <row r="23">
      <c r="A23" s="6" t="inlineStr">
        <is>
          <t>Purchase of tangible fixed assets</t>
        </is>
      </c>
      <c r="B23" s="6" t="n">
        <v>-61</v>
      </c>
      <c r="C23" s="6" t="n">
        <v>-181</v>
      </c>
      <c r="D23" s="6" t="n">
        <v>-623</v>
      </c>
      <c r="E23" s="6" t="n"/>
      <c r="F23" s="6" t="n"/>
    </row>
    <row r="24">
      <c r="A24" s="6" t="inlineStr">
        <is>
          <t>Purchase of investment securities</t>
        </is>
      </c>
      <c r="B24" s="6" t="n">
        <v>-287687</v>
      </c>
      <c r="C24" s="6" t="n">
        <v>-316715</v>
      </c>
      <c r="D24" s="6" t="n">
        <v>-242450</v>
      </c>
      <c r="E24" s="6" t="n">
        <v>-134949</v>
      </c>
      <c r="F24" s="6" t="n">
        <v>-1155196</v>
      </c>
    </row>
    <row r="25">
      <c r="A25" s="6" t="inlineStr">
        <is>
          <t>Sale/maturity/disposal of investment securities</t>
        </is>
      </c>
      <c r="B25" s="6" t="n">
        <v>221859</v>
      </c>
      <c r="C25" s="6" t="n">
        <v>216929</v>
      </c>
      <c r="D25" s="6" t="n">
        <v>205326</v>
      </c>
      <c r="E25" s="6" t="n">
        <v>130196</v>
      </c>
      <c r="F25" s="6" t="n">
        <v>1460883</v>
      </c>
    </row>
    <row r="26">
      <c r="A26" s="6" t="inlineStr">
        <is>
          <t>Interest received on investment securities</t>
        </is>
      </c>
      <c r="B26" s="6" t="n">
        <v>12844</v>
      </c>
      <c r="C26" s="6" t="n">
        <v>9663</v>
      </c>
      <c r="D26" s="6" t="n">
        <v>8262</v>
      </c>
      <c r="E26" s="6" t="n">
        <v>3148</v>
      </c>
      <c r="F26" s="6" t="n">
        <v>-25</v>
      </c>
    </row>
    <row r="27">
      <c r="A27" s="5" t="inlineStr">
        <is>
          <t>Net cash from/(used in) investing activities</t>
        </is>
      </c>
      <c r="B27" s="5" t="n">
        <v>-53638</v>
      </c>
      <c r="C27" s="5" t="n">
        <v>-92016</v>
      </c>
      <c r="D27" s="5" t="n">
        <v>-32238</v>
      </c>
      <c r="E27" s="5" t="n">
        <v>-4967</v>
      </c>
      <c r="F27" s="5" t="n">
        <v>299456</v>
      </c>
    </row>
    <row r="28">
      <c r="A28" s="5" t="inlineStr">
        <is>
          <t>Financing activities</t>
        </is>
      </c>
      <c r="B28" s="6" t="n"/>
      <c r="C28" s="6" t="n"/>
      <c r="D28" s="6" t="n"/>
      <c r="E28" s="6" t="n"/>
      <c r="F28" s="6" t="n"/>
    </row>
    <row r="29">
      <c r="A29" s="6" t="inlineStr">
        <is>
          <t>Proceeds from issue of ordinary shares</t>
        </is>
      </c>
      <c r="B29" s="6" t="n">
        <v>1232</v>
      </c>
      <c r="C29" s="6" t="n"/>
      <c r="D29" s="6" t="n">
        <v>14</v>
      </c>
      <c r="E29" s="6" t="n"/>
      <c r="F29" s="6" t="n">
        <v>2261</v>
      </c>
    </row>
    <row r="30">
      <c r="A30" s="6" t="inlineStr">
        <is>
          <t>Interest paid</t>
        </is>
      </c>
      <c r="B30" s="6" t="n">
        <v>-492</v>
      </c>
      <c r="C30" s="6" t="n">
        <v>-491</v>
      </c>
      <c r="D30" s="6" t="n">
        <v>-493</v>
      </c>
      <c r="E30" s="6" t="n">
        <v>-464</v>
      </c>
      <c r="F30" s="6" t="n">
        <v>-478</v>
      </c>
    </row>
    <row r="31">
      <c r="A31" s="5" t="inlineStr">
        <is>
          <t>Net cash from/(used in) financing activities</t>
        </is>
      </c>
      <c r="B31" s="5" t="n">
        <v>740</v>
      </c>
      <c r="C31" s="5" t="n">
        <v>-491</v>
      </c>
      <c r="D31" s="5" t="n">
        <v>-479</v>
      </c>
      <c r="E31" s="5" t="n">
        <v>-464</v>
      </c>
      <c r="F31" s="5" t="n">
        <v>1783</v>
      </c>
    </row>
    <row r="32">
      <c r="A32" s="5" t="inlineStr">
        <is>
          <t>Net increase/(decrease) in cash and cash equivalents</t>
        </is>
      </c>
      <c r="B32" s="5" t="n">
        <v>27744</v>
      </c>
      <c r="C32" s="5" t="n">
        <v>-16937</v>
      </c>
      <c r="D32" s="5" t="n">
        <v>5492</v>
      </c>
      <c r="E32" s="5" t="n">
        <v>55206</v>
      </c>
      <c r="F32" s="5" t="n">
        <v>295524</v>
      </c>
    </row>
    <row r="33">
      <c r="A33" s="6" t="inlineStr">
        <is>
          <t>Cash and cash equivalents at beginning of period</t>
        </is>
      </c>
      <c r="B33" s="6" t="n">
        <v>369088</v>
      </c>
      <c r="C33" s="6" t="n">
        <v>386025</v>
      </c>
      <c r="D33" s="6" t="n">
        <v>380533</v>
      </c>
      <c r="E33" s="6" t="n">
        <v>325327</v>
      </c>
      <c r="F33" s="6" t="n">
        <v>29803</v>
      </c>
    </row>
    <row r="34">
      <c r="A34" s="5" t="inlineStr">
        <is>
          <t>Cash and cash equivalents at end of period</t>
        </is>
      </c>
      <c r="B34" s="5" t="n">
        <v>396832</v>
      </c>
      <c r="C34" s="5" t="n">
        <v>369088</v>
      </c>
      <c r="D34" s="5" t="n">
        <v>386025</v>
      </c>
      <c r="E34" s="5" t="n">
        <v>380533</v>
      </c>
      <c r="F34" s="5" t="n">
        <v>325327</v>
      </c>
    </row>
    <row r="36" ht="320" customHeight="1">
      <c r="A36" s="8" t="inlineStr">
        <is>
          <t>Sources - all figures are Zempler Bank Limited's own (Company-only) cash flow statement, £'000:
FY2026: Zempler Bank Annual Report 2026, p.65-67 (Cash Flow Statement) - https://www.zemplerbank.com/media/yqkhclip/annual-report-2026-final.pdf
FY2025: Zempler Bank Annual Report 2025, p.64-66 (Cash Flow Statement) - https://www.zemplerbank.com/media/5qxdezfu/annual-report-2025-final.pdf
FY2024 (restated): Zempler Bank Annual Report 2025, p.64-66 (Cash Flow Statement, restated comparative column) - https://www.zemplerbank.com/media/5qxdezfu/annual-report-2025-final.pdf - the restatement (see Note 38 in that report) reclassified some operating-section line items but did NOT change the operating/investing/financing TOTALS, which are identical to the originally-reported FY2024 figures.
FY2023: Annual Report and Financial Statements (Cashplus Bank / Advanced Payment Solutions Limited) for the year ended 31 March 2023, p.56 (Cash Flow Statement) - https://www.zemplerbank.com/media/x5sbu2bc/annual-report-2023-010923.pdf
FY2022 (restated to Company-only basis): Annual Report and Financial Statements for the year ended 31 March 2023, p.56 (Cash Flow Statement, comparative column) - https://www.zemplerbank.com/media/x5sbu2bc/annual-report-2023-010923.pdf
Blank cells indicate that year's report did not disclose that specific line item (e.g. prepayments/accrued income was only split out from FY2024 onward; tangible and intangible asset purchases were combined through FY2023 and split from FY2024). Section totals and cash/cash equivalents figures chain exactly year-to-year (each year's closing balance equals the next year's opening balance) across all 5 years.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
DATA QUALITY NOTE - two apparent arithmetic errors were found in Zempler's own published, audited annual reports and are flagged here rather than silently smoothed over: (1) FY2025's own operating-activities line items (as printed) sum to £75,870k, not the £75,570k the source states as 'Net cash flow generated from operating activities' - a £300k gap in one of the individual components. The £75,570k TOTAL is used here (not the £75,870k component sum) because it is independently corroborated: operating + investing + financing (75,570 - 92,016 - 491) ties exactly to the source's own stated 'Net (decrease)/increase in cash and cash equivalent' of -£16,937k. The individual FY2025 operating line items are transcribed exactly as printed in the source (https://www.zemplerbank.com/media/5qxdezfu/annual-report-2025-final.pdf, p.64-66) despite this discrepancy. (2) FY2026's financing activities: the source prints 'Proceeds from issue of ordinary shares' £1,232k and 'Interest paid' (£492k), which sum to +£740k, but the source's own 'Net cash used in financing activities' subtotal is printed as (£740k) - the opposite sign. +£740k is used here (not the printed -£740k) because it is the only figure consistent with both its own two components (1,232-492=740) and the overall cash bridge (80,642 operating - 53,638 investing + 740 = 27,744, matching the source's own stated net increase in cash exactly) - https://www.zemplerbank.com/media/yqkhclip/annual-report-2026-final.pdf, p.65-67.</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Asset Quality</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Gross loans and advances to customers by IFRS 9 stage</t>
        </is>
      </c>
      <c r="B4" s="6" t="n"/>
      <c r="C4" s="6" t="n"/>
      <c r="D4" s="6" t="n"/>
      <c r="E4" s="6" t="n"/>
      <c r="F4" s="6" t="n"/>
    </row>
    <row r="5">
      <c r="A5" s="6" t="inlineStr">
        <is>
          <t>Stage 1 (performing)</t>
        </is>
      </c>
      <c r="B5" s="6" t="n">
        <v>30138</v>
      </c>
      <c r="C5" s="6" t="n">
        <v>20693</v>
      </c>
      <c r="D5" s="6" t="n">
        <v>23438</v>
      </c>
      <c r="E5" s="6" t="n">
        <v>17540</v>
      </c>
      <c r="F5" s="6" t="n">
        <v>16493</v>
      </c>
    </row>
    <row r="6">
      <c r="A6" s="6" t="inlineStr">
        <is>
          <t>Stage 2 (underperforming)</t>
        </is>
      </c>
      <c r="B6" s="6" t="n">
        <v>4356</v>
      </c>
      <c r="C6" s="6" t="n">
        <v>3136</v>
      </c>
      <c r="D6" s="6" t="n">
        <v>3898</v>
      </c>
      <c r="E6" s="6" t="n">
        <v>3529</v>
      </c>
      <c r="F6" s="6" t="n">
        <v>3275</v>
      </c>
    </row>
    <row r="7">
      <c r="A7" s="6" t="inlineStr">
        <is>
          <t>Stage 3 (non-performing)</t>
        </is>
      </c>
      <c r="B7" s="6" t="n">
        <v>7154</v>
      </c>
      <c r="C7" s="6" t="n">
        <v>6325</v>
      </c>
      <c r="D7" s="6" t="n">
        <v>6896</v>
      </c>
      <c r="E7" s="6" t="n">
        <v>5933</v>
      </c>
      <c r="F7" s="6" t="n">
        <v>7143</v>
      </c>
    </row>
    <row r="8">
      <c r="A8" s="5" t="inlineStr">
        <is>
          <t>Total gross loans and advances to customers</t>
        </is>
      </c>
      <c r="B8" s="5" t="n">
        <v>41648</v>
      </c>
      <c r="C8" s="5" t="n">
        <v>30154</v>
      </c>
      <c r="D8" s="5" t="n">
        <v>34232</v>
      </c>
      <c r="E8" s="5" t="n">
        <v>27002</v>
      </c>
      <c r="F8" s="5" t="n">
        <v>26911</v>
      </c>
    </row>
    <row r="9">
      <c r="A9" s="6" t="inlineStr">
        <is>
          <t>Effective interest rate adjustment</t>
        </is>
      </c>
      <c r="B9" s="6" t="n">
        <v>542</v>
      </c>
      <c r="C9" s="6" t="n">
        <v>74</v>
      </c>
      <c r="D9" s="6" t="n">
        <v>418</v>
      </c>
      <c r="E9" s="6" t="n">
        <v>371</v>
      </c>
      <c r="F9" s="6" t="n">
        <v>285</v>
      </c>
    </row>
    <row r="10">
      <c r="A10" s="5" t="inlineStr">
        <is>
          <t>Impairment provision (ECL) by IFRS 9 stage</t>
        </is>
      </c>
      <c r="B10" s="6" t="n"/>
      <c r="C10" s="6" t="n"/>
      <c r="D10" s="6" t="n"/>
      <c r="E10" s="6" t="n"/>
      <c r="F10" s="6" t="n"/>
    </row>
    <row r="11">
      <c r="A11" s="6" t="inlineStr">
        <is>
          <t>Stage 1 provision</t>
        </is>
      </c>
      <c r="B11" s="6" t="n">
        <v>1808</v>
      </c>
      <c r="C11" s="6" t="n">
        <v>984</v>
      </c>
      <c r="D11" s="6" t="n">
        <v>1314</v>
      </c>
      <c r="E11" s="6" t="n">
        <v>1144</v>
      </c>
      <c r="F11" s="6" t="n">
        <v>712</v>
      </c>
    </row>
    <row r="12">
      <c r="A12" s="6" t="inlineStr">
        <is>
          <t>Stage 2 provision</t>
        </is>
      </c>
      <c r="B12" s="6" t="n">
        <v>1601</v>
      </c>
      <c r="C12" s="6" t="n">
        <v>858</v>
      </c>
      <c r="D12" s="6" t="n">
        <v>1086</v>
      </c>
      <c r="E12" s="6" t="n">
        <v>918</v>
      </c>
      <c r="F12" s="6" t="n">
        <v>972</v>
      </c>
    </row>
    <row r="13">
      <c r="A13" s="6" t="inlineStr">
        <is>
          <t>Stage 3 provision</t>
        </is>
      </c>
      <c r="B13" s="6" t="n">
        <v>3659</v>
      </c>
      <c r="C13" s="6" t="n">
        <v>2934</v>
      </c>
      <c r="D13" s="6" t="n">
        <v>4025</v>
      </c>
      <c r="E13" s="6" t="n">
        <v>2738</v>
      </c>
      <c r="F13" s="6" t="n">
        <v>3753</v>
      </c>
    </row>
    <row r="14">
      <c r="A14" s="5" t="inlineStr">
        <is>
          <t>Total impairment provision</t>
        </is>
      </c>
      <c r="B14" s="5" t="n">
        <v>7068</v>
      </c>
      <c r="C14" s="5" t="n">
        <v>4776</v>
      </c>
      <c r="D14" s="5" t="n">
        <v>6425</v>
      </c>
      <c r="E14" s="5" t="n">
        <v>4800</v>
      </c>
      <c r="F14" s="5" t="n">
        <v>5437</v>
      </c>
    </row>
    <row r="15">
      <c r="A15" s="5" t="inlineStr">
        <is>
          <t>Net loans and advances to customers</t>
        </is>
      </c>
      <c r="B15" s="5" t="n">
        <v>35122</v>
      </c>
      <c r="C15" s="5" t="n">
        <v>25452</v>
      </c>
      <c r="D15" s="5" t="n">
        <v>28225</v>
      </c>
      <c r="E15" s="5" t="n">
        <v>22573</v>
      </c>
      <c r="F15" s="5" t="n">
        <v>21759</v>
      </c>
    </row>
    <row r="16">
      <c r="A16" s="5" t="inlineStr">
        <is>
          <t>Derived / disclosed ratios</t>
        </is>
      </c>
      <c r="B16" s="6" t="n"/>
      <c r="C16" s="6" t="n"/>
      <c r="D16" s="6" t="n"/>
      <c r="E16" s="6" t="n"/>
      <c r="F16" s="6" t="n"/>
    </row>
    <row r="17">
      <c r="A17" s="6" t="inlineStr">
        <is>
          <t>NPL ratio (Stage 3 gross / Total gross)</t>
        </is>
      </c>
      <c r="B17" s="6" t="inlineStr">
        <is>
          <t>17.18%</t>
        </is>
      </c>
      <c r="C17" s="6" t="inlineStr">
        <is>
          <t>20.98%</t>
        </is>
      </c>
      <c r="D17" s="6" t="inlineStr">
        <is>
          <t>20.14%</t>
        </is>
      </c>
      <c r="E17" s="6" t="inlineStr">
        <is>
          <t>21.97%</t>
        </is>
      </c>
      <c r="F17" s="6" t="inlineStr">
        <is>
          <t>26.54%</t>
        </is>
      </c>
    </row>
    <row r="18">
      <c r="A18" s="6" t="inlineStr">
        <is>
          <t>Coverage ratio - Stage 1</t>
        </is>
      </c>
      <c r="B18" s="6" t="inlineStr">
        <is>
          <t>6.00%</t>
        </is>
      </c>
      <c r="C18" s="6" t="inlineStr">
        <is>
          <t>4.76%</t>
        </is>
      </c>
      <c r="D18" s="6" t="inlineStr">
        <is>
          <t>5.61%</t>
        </is>
      </c>
      <c r="E18" s="6" t="inlineStr">
        <is>
          <t>6.52%</t>
        </is>
      </c>
      <c r="F18" s="6" t="inlineStr">
        <is>
          <t>4.32%</t>
        </is>
      </c>
    </row>
    <row r="19">
      <c r="A19" s="6" t="inlineStr">
        <is>
          <t>Coverage ratio - Stage 2</t>
        </is>
      </c>
      <c r="B19" s="6" t="inlineStr">
        <is>
          <t>36.75%</t>
        </is>
      </c>
      <c r="C19" s="6" t="inlineStr">
        <is>
          <t>27.36%</t>
        </is>
      </c>
      <c r="D19" s="6" t="inlineStr">
        <is>
          <t>27.86%</t>
        </is>
      </c>
      <c r="E19" s="6" t="inlineStr">
        <is>
          <t>26.01%</t>
        </is>
      </c>
      <c r="F19" s="6" t="inlineStr">
        <is>
          <t>29.68%</t>
        </is>
      </c>
    </row>
    <row r="20">
      <c r="A20" s="6" t="inlineStr">
        <is>
          <t>Coverage ratio - Stage 3</t>
        </is>
      </c>
      <c r="B20" s="6" t="inlineStr">
        <is>
          <t>51.15%</t>
        </is>
      </c>
      <c r="C20" s="6" t="inlineStr">
        <is>
          <t>46.39%</t>
        </is>
      </c>
      <c r="D20" s="6" t="inlineStr">
        <is>
          <t>58.37%</t>
        </is>
      </c>
      <c r="E20" s="6" t="inlineStr">
        <is>
          <t>46.15%</t>
        </is>
      </c>
      <c r="F20" s="6" t="inlineStr">
        <is>
          <t>52.54%</t>
        </is>
      </c>
    </row>
    <row r="21">
      <c r="A21" s="6" t="inlineStr">
        <is>
          <t>Coverage ratio - Total</t>
        </is>
      </c>
      <c r="B21" s="6" t="inlineStr">
        <is>
          <t>16.97%</t>
        </is>
      </c>
      <c r="C21" s="6" t="inlineStr">
        <is>
          <t>15.84%</t>
        </is>
      </c>
      <c r="D21" s="6" t="inlineStr">
        <is>
          <t>18.77%</t>
        </is>
      </c>
      <c r="E21" s="6" t="inlineStr">
        <is>
          <t>17.78%</t>
        </is>
      </c>
      <c r="F21" s="6" t="inlineStr">
        <is>
          <t>20.20%</t>
        </is>
      </c>
    </row>
    <row r="23" ht="240" customHeight="1">
      <c r="A23" s="8" t="inlineStr">
        <is>
          <t>Sources - Zempler Bank Limited's own Note 27 'Credit Risk Management' (Credit quality by IFRS 9 stage), £'000:
FY2026: Zempler Bank Annual Report 2026, p.117-118 (Credit quality as at 31 March 2026) - https://www.zemplerbank.com/media/yqkhclip/annual-report-2026-final.pdf
FY2025: Zempler Bank Annual Report 2026, p.118 (FY2025 comparative column) - https://www.zemplerbank.com/media/yqkhclip/annual-report-2026-final.pdf (matches AR2025's own FY2025 table exactly)
FY2024: Zempler Bank Annual Report 2025, p.118 (Credit quality as at 31 March 2024) - https://www.zemplerbank.com/media/5qxdezfu/annual-report-2025-final.pdf
FY2023: Annual Report and Financial Statements (Cashplus Bank) for the year ended 31 March 2023, p.92 (Credit quality as at 31 March 2023) - https://www.zemplerbank.com/media/x5sbu2bc/annual-report-2023-010923.pdf
FY2022 (restated - the effective interest rate adjustment was added as a restatement per that report's own Note 34): same document, p.92 (Credit quality as at 31 March 2022) - https://www.zemplerbank.com/media/x5sbu2bc/annual-report-2023-010923.pdf
Figures shown are 'provisions on loans and advances to customer' only (excluding undrawn-commitment provisions, which are disclosed separately in the source and are not part of the Balance Sheet's loans line). Note: FY2023/FY2022's Net loans and advances to customers per this note (£22,573k/£21,759k) is ~£20k below the Balance Sheet's own loans and advances line (£22,593k/£21,779k) in both years - a small, consistent gap in the source's own tables, not a transcription error; FY2024-FY2026 tie exactly.</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capital</t>
        </is>
      </c>
      <c r="B4" s="6" t="n">
        <v>30728</v>
      </c>
      <c r="C4" s="6" t="n">
        <v>24728</v>
      </c>
      <c r="D4" s="6" t="n">
        <v>19877</v>
      </c>
      <c r="E4" s="6" t="n">
        <v>17672</v>
      </c>
      <c r="F4" s="6" t="n">
        <v>16115</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21.74%</t>
        </is>
      </c>
      <c r="C4" s="6" t="inlineStr">
        <is>
          <t>19.32%</t>
        </is>
      </c>
      <c r="D4" s="6" t="inlineStr">
        <is>
          <t>15.57%</t>
        </is>
      </c>
      <c r="E4" s="6" t="inlineStr">
        <is>
          <t>18.17%</t>
        </is>
      </c>
      <c r="F4" s="6" t="inlineStr">
        <is>
          <t>14.79%</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30728</v>
      </c>
      <c r="C4" s="6" t="n">
        <v>24728</v>
      </c>
      <c r="D4" s="6" t="n">
        <v>19877</v>
      </c>
      <c r="E4" s="6" t="n">
        <v>17672</v>
      </c>
      <c r="F4" s="6" t="n">
        <v>16115</v>
      </c>
    </row>
    <row r="5" ht="60" customHeight="1">
      <c r="A5" s="7" t="inlineStr">
        <is>
          <t>Note: Equal to CET1 capital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21.74%</t>
        </is>
      </c>
      <c r="C4" s="6" t="inlineStr">
        <is>
          <t>19.32%</t>
        </is>
      </c>
      <c r="D4" s="6" t="inlineStr">
        <is>
          <t>15.57%</t>
        </is>
      </c>
      <c r="E4" s="6" t="inlineStr">
        <is>
          <t>18.17%</t>
        </is>
      </c>
      <c r="F4" s="6" t="inlineStr">
        <is>
          <t>14.79%</t>
        </is>
      </c>
    </row>
    <row r="5" ht="60" customHeight="1">
      <c r="A5" s="7" t="inlineStr">
        <is>
          <t>Note: Equal to the CET1 ratio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31755</v>
      </c>
      <c r="C4" s="6" t="n">
        <v>26354</v>
      </c>
      <c r="D4" s="6" t="n">
        <v>22103</v>
      </c>
      <c r="E4" s="6" t="n">
        <v>20465</v>
      </c>
      <c r="F4" s="6" t="n">
        <v>18343</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22.47%</t>
        </is>
      </c>
      <c r="C4" s="6" t="inlineStr">
        <is>
          <t>20.59%</t>
        </is>
      </c>
      <c r="D4" s="6" t="inlineStr">
        <is>
          <t>17.31%</t>
        </is>
      </c>
      <c r="E4" s="6" t="inlineStr">
        <is>
          <t>21.04%</t>
        </is>
      </c>
      <c r="F4" s="6" t="inlineStr">
        <is>
          <t>16.83%</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v>141317</v>
      </c>
      <c r="C4" s="6" t="n">
        <v>127987</v>
      </c>
      <c r="D4" s="6" t="n">
        <v>127670</v>
      </c>
      <c r="E4" s="6" t="n">
        <v>97282</v>
      </c>
      <c r="F4" s="6" t="n">
        <v>108982</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Zempler Bank Limited — RWA Breakdown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Risk-weighted exposure amounts</t>
        </is>
      </c>
      <c r="B4" s="6" t="n"/>
      <c r="C4" s="6" t="n"/>
      <c r="D4" s="6" t="n"/>
      <c r="E4" s="6" t="n"/>
      <c r="F4" s="6" t="n"/>
    </row>
    <row r="5">
      <c r="A5" s="6" t="inlineStr">
        <is>
          <t>Credit Risk</t>
        </is>
      </c>
      <c r="B5" s="6" t="n">
        <v>33364</v>
      </c>
      <c r="C5" s="6" t="n">
        <v>29569</v>
      </c>
      <c r="D5" s="6" t="n">
        <v>42858</v>
      </c>
      <c r="E5" s="6" t="n">
        <v>34818</v>
      </c>
      <c r="F5" s="6" t="n">
        <v>36075</v>
      </c>
    </row>
    <row r="6">
      <c r="A6" s="6" t="inlineStr">
        <is>
          <t>Counterparty Credit Risk (CCR)</t>
        </is>
      </c>
      <c r="B6" s="6" t="n">
        <v>0</v>
      </c>
      <c r="C6" s="6" t="n">
        <v>0</v>
      </c>
      <c r="D6" s="6" t="n">
        <v>780</v>
      </c>
      <c r="E6" s="6" t="n">
        <v>0</v>
      </c>
      <c r="F6" s="6" t="n"/>
    </row>
    <row r="7">
      <c r="A7" s="6" t="inlineStr">
        <is>
          <t>of which: Credit valuation adjustment (CVA)</t>
        </is>
      </c>
      <c r="B7" s="6" t="n"/>
      <c r="C7" s="6" t="n"/>
      <c r="D7" s="6" t="n">
        <v>299</v>
      </c>
      <c r="E7" s="6" t="n">
        <v>0</v>
      </c>
      <c r="F7" s="6" t="n"/>
    </row>
    <row r="8">
      <c r="A8" s="6" t="inlineStr">
        <is>
          <t>of which: other CCR</t>
        </is>
      </c>
      <c r="B8" s="6" t="n"/>
      <c r="C8" s="6" t="n"/>
      <c r="D8" s="6" t="n">
        <v>481</v>
      </c>
      <c r="E8" s="6" t="n">
        <v>0</v>
      </c>
      <c r="F8" s="6" t="n"/>
    </row>
    <row r="9">
      <c r="A9" s="6" t="inlineStr">
        <is>
          <t>Market Risk</t>
        </is>
      </c>
      <c r="B9" s="6" t="n">
        <v>0</v>
      </c>
      <c r="C9" s="6" t="n">
        <v>0</v>
      </c>
      <c r="D9" s="6" t="n">
        <v>0</v>
      </c>
      <c r="E9" s="6" t="n">
        <v>0</v>
      </c>
      <c r="F9" s="6" t="n">
        <v>353</v>
      </c>
    </row>
    <row r="10">
      <c r="A10" s="6" t="inlineStr">
        <is>
          <t>Operational Risk</t>
        </is>
      </c>
      <c r="B10" s="6" t="n">
        <v>107953</v>
      </c>
      <c r="C10" s="6" t="n">
        <v>98418</v>
      </c>
      <c r="D10" s="6" t="n">
        <v>84032</v>
      </c>
      <c r="E10" s="6" t="n">
        <v>62464</v>
      </c>
      <c r="F10" s="6" t="n">
        <v>72554</v>
      </c>
    </row>
    <row r="11">
      <c r="A11" s="5" t="inlineStr">
        <is>
          <t>Total Risk-weighted Assets</t>
        </is>
      </c>
      <c r="B11" s="5" t="n">
        <v>141317</v>
      </c>
      <c r="C11" s="5" t="n">
        <v>127987</v>
      </c>
      <c r="D11" s="5" t="n">
        <v>127670</v>
      </c>
      <c r="E11" s="5" t="n">
        <v>97282</v>
      </c>
      <c r="F11" s="5" t="n">
        <v>108982</v>
      </c>
    </row>
    <row r="13" ht="180" customHeight="1">
      <c r="A13" s="8" t="inlineStr">
        <is>
          <t>Sources - Zempler Bank Limited's own Table 1: Overview of Risk Weighted Exposure Amounts (OV1), £'000:
FY2026/FY2025: Zempler Bank Pillar 3 Disclosures for the year ended 31 March 2026, p.28 - https://www.zemplerbank.com/media/hfllow3d/pillar-3-fy2025-26-final.pdf
FY2024/FY2023: Zempler Bank Pillar 3 Disclosures for the year ended 31 March 2024, p.26 - https://www.zemplerbank.com/media/mszljzed/pillar-3-fy2023-24.pdf
FY2022: Pillar 3 Disclosures for the year ended 31 March 2023 (Cashplus Bank, FY2022 comparative column), p.20 - https://www.zemplerbank.com/media/f3vjwqov/pillar-3-fy2022-23.pdf - this year's own OV1 table has no Counterparty Credit Risk (CCR) line (pre-dates its introduction), so that row is blank rather than zero for FY2022.
All 5 years' category rows sum exactly to that year's own Total RWAs figure on the Total RWAs sheet.</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total exposure measure</t>
        </is>
      </c>
      <c r="B4" s="6" t="n">
        <v>383737</v>
      </c>
      <c r="C4" s="6" t="n">
        <v>310657</v>
      </c>
      <c r="D4" s="6" t="n">
        <v>238194</v>
      </c>
      <c r="E4" s="6" t="n">
        <v>181803</v>
      </c>
      <c r="F4" s="6" t="n">
        <v>177724</v>
      </c>
    </row>
    <row r="5">
      <c r="A5" s="6" t="inlineStr">
        <is>
          <t>Leverage ratio (%)</t>
        </is>
      </c>
      <c r="B5" s="6" t="inlineStr">
        <is>
          <t>7.99%</t>
        </is>
      </c>
      <c r="C5" s="6" t="inlineStr">
        <is>
          <t>7.96%</t>
        </is>
      </c>
      <c r="D5" s="6" t="inlineStr">
        <is>
          <t>8.34%</t>
        </is>
      </c>
      <c r="E5" s="6" t="inlineStr">
        <is>
          <t>9.72%</t>
        </is>
      </c>
      <c r="F5" s="6" t="inlineStr">
        <is>
          <t>9.07%</t>
        </is>
      </c>
    </row>
    <row r="6" ht="60" customHeight="1">
      <c r="A6" s="7" t="inlineStr">
        <is>
          <t>Note: Zempler's Pillar 3 reports do not distinguish an 'excluding/including claims on central banks' basis - a single leverage ratio definition is used throughout.</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t>
        </is>
      </c>
      <c r="B4" s="6" t="n">
        <v>672041</v>
      </c>
      <c r="C4" s="6" t="n">
        <v>593599</v>
      </c>
      <c r="D4" s="6" t="n">
        <v>499336</v>
      </c>
      <c r="E4" s="6" t="n">
        <v>465257</v>
      </c>
      <c r="F4" s="6" t="n">
        <v>443570</v>
      </c>
    </row>
    <row r="5">
      <c r="A5" s="6" t="inlineStr">
        <is>
          <t>Total net cash outflows</t>
        </is>
      </c>
      <c r="B5" s="6" t="n">
        <v>60635</v>
      </c>
      <c r="C5" s="6" t="n">
        <v>68646</v>
      </c>
      <c r="D5" s="6" t="n">
        <v>55908</v>
      </c>
      <c r="E5" s="6" t="n">
        <v>53002</v>
      </c>
      <c r="F5" s="6" t="n">
        <v>45275</v>
      </c>
    </row>
    <row r="6">
      <c r="A6" s="6" t="inlineStr">
        <is>
          <t>Liquidity Coverage Ratio (%)</t>
        </is>
      </c>
      <c r="B6" s="6" t="inlineStr">
        <is>
          <t>1108%</t>
        </is>
      </c>
      <c r="C6" s="6" t="inlineStr">
        <is>
          <t>865%</t>
        </is>
      </c>
      <c r="D6" s="6" t="inlineStr">
        <is>
          <t>893%</t>
        </is>
      </c>
      <c r="E6" s="6" t="inlineStr">
        <is>
          <t>878%</t>
        </is>
      </c>
      <c r="F6" s="6" t="inlineStr">
        <is>
          <t>980%</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700696</v>
      </c>
      <c r="C4" s="6" t="n">
        <v>606213</v>
      </c>
      <c r="D4" s="6" t="n">
        <v>539411</v>
      </c>
      <c r="E4" s="6" t="n">
        <v>498682</v>
      </c>
      <c r="F4" s="6" t="n">
        <v>435465</v>
      </c>
    </row>
    <row r="5">
      <c r="A5" s="6" t="inlineStr">
        <is>
          <t>Total required stable funding</t>
        </is>
      </c>
      <c r="B5" s="6" t="n">
        <v>84273</v>
      </c>
      <c r="C5" s="6" t="n">
        <v>75978</v>
      </c>
      <c r="D5" s="6" t="n">
        <v>67565</v>
      </c>
      <c r="E5" s="6" t="n">
        <v>45238</v>
      </c>
      <c r="F5" s="6" t="n">
        <v>38105</v>
      </c>
    </row>
    <row r="6">
      <c r="A6" s="6" t="inlineStr">
        <is>
          <t>NSFR ratio (%)</t>
        </is>
      </c>
      <c r="B6" s="6" t="inlineStr">
        <is>
          <t>831%</t>
        </is>
      </c>
      <c r="C6" s="6" t="inlineStr">
        <is>
          <t>798%</t>
        </is>
      </c>
      <c r="D6" s="6" t="inlineStr">
        <is>
          <t>798%</t>
        </is>
      </c>
      <c r="E6" s="6" t="inlineStr">
        <is>
          <t>1102%</t>
        </is>
      </c>
      <c r="F6" s="6" t="inlineStr">
        <is>
          <t>1143%</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Per Zempler's FY2026 Pillar 3 Disclosures: 'MREL is set annually by the Bank of England on a case-by-case basis. In line with its preferred resolution strategy for Zempler, the Bank of England does not currently require any additional MREL to be held by the bank over and above its minimum Pillar 1 and Pillar 2A requirements.' No numeric MREL disclosure exists in any year's Pillar 3 report (no KM2 template is presented), consistent with this qualitative statement.</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2026-09-07T17:41:46Z</dcterms:created>
  <dcterms:modified xmlns:dcterms="http://purl.org/dc/terms/" xmlns:xsi="http://www.w3.org/2001/XMLSchema-instance" xsi:type="dcterms:W3CDTF">2026-09-07T17:41:46Z</dcterms:modified>
</cp:coreProperties>
</file>