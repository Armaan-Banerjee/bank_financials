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a:prstDash val="solid"/>
            </a:ln>
          </spPr>
          <cat>
            <numRef>
              <f>'Overview'!$I$5:$L$5</f>
            </numRef>
          </cat>
          <val>
            <numRef>
              <f>'Overview'!$I$6:$L$6</f>
            </numRef>
          </val>
        </ser>
        <ser>
          <idx val="1"/>
          <order val="1"/>
          <tx>
            <strRef>
              <f>'Overview'!H7</f>
            </strRef>
          </tx>
          <spPr>
            <a:ln>
              <a:prstDash val="solid"/>
            </a:ln>
          </spPr>
          <cat>
            <numRef>
              <f>'Overview'!$I$5:$L$5</f>
            </numRef>
          </cat>
          <val>
            <numRef>
              <f>'Overview'!$I$7:$L$7</f>
            </numRef>
          </val>
        </ser>
        <ser>
          <idx val="2"/>
          <order val="2"/>
          <tx>
            <strRef>
              <f>'Overview'!H8</f>
            </strRef>
          </tx>
          <spPr>
            <a:ln>
              <a:prstDash val="solid"/>
            </a:ln>
          </spPr>
          <cat>
            <numRef>
              <f>'Overview'!$I$5:$L$5</f>
            </numRef>
          </cat>
          <val>
            <numRef>
              <f>'Overview'!$I$8:$L$8</f>
            </numRef>
          </val>
        </ser>
        <ser>
          <idx val="3"/>
          <order val="3"/>
          <tx>
            <strRef>
              <f>'Overview'!H9</f>
            </strRef>
          </tx>
          <spPr>
            <a:l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'Overview'!O6</f>
            </strRef>
          </tx>
          <spPr>
            <a:ln>
              <a:prstDash val="solid"/>
            </a:ln>
          </spPr>
          <marker>
            <symbol val="none"/>
            <spPr>
              <a:ln>
                <a:prstDash val="solid"/>
              </a:ln>
            </spPr>
          </marker>
          <cat>
            <numRef>
              <f>'Overview'!$P$5:$S$5</f>
            </numRef>
          </cat>
          <val>
            <numRef>
              <f>'Overview'!$P$6:$S$6</f>
            </numRef>
          </val>
          <smooth val="0"/>
        </ser>
        <ser>
          <idx val="1"/>
          <order val="1"/>
          <tx>
            <strRef>
              <f>'Overview'!O7</f>
            </strRef>
          </tx>
          <spPr>
            <a:ln>
              <a:prstDash val="solid"/>
            </a:ln>
          </spPr>
          <marker>
            <symbol val="none"/>
            <spPr>
              <a:ln>
                <a:prstDash val="solid"/>
              </a:ln>
            </spPr>
          </marker>
          <cat>
            <numRef>
              <f>'Overview'!$P$5:$S$5</f>
            </numRef>
          </cat>
          <val>
            <numRef>
              <f>'Overview'!$P$7:$S$7</f>
            </numRef>
          </val>
          <smooth val="0"/>
        </ser>
        <ser>
          <idx val="2"/>
          <order val="2"/>
          <tx>
            <strRef>
              <f>'Overview'!O8</f>
            </strRef>
          </tx>
          <spPr>
            <a:ln>
              <a:prstDash val="solid"/>
            </a:ln>
          </spPr>
          <marker>
            <symbol val="none"/>
            <spPr>
              <a:ln>
                <a:prstDash val="solid"/>
              </a:ln>
            </spPr>
          </marker>
          <cat>
            <numRef>
              <f>'Overview'!$P$5:$S$5</f>
            </numRef>
          </cat>
          <val>
            <numRef>
              <f>'Overview'!$P$8:$S$8</f>
            </numRef>
          </val>
          <smooth val="0"/>
        </ser>
        <ser>
          <idx val="3"/>
          <order val="3"/>
          <tx>
            <strRef>
              <f>'Overview'!O9</f>
            </strRef>
          </tx>
          <spPr>
            <a:ln>
              <a:prstDash val="solid"/>
            </a:ln>
          </spPr>
          <marker>
            <symbol val="none"/>
            <spPr>
              <a:ln>
                <a:prstDash val="solid"/>
              </a:ln>
            </spPr>
          </marker>
          <cat>
            <numRef>
              <f>'Overview'!$P$5:$S$5</f>
            </numRef>
          </cat>
          <val>
            <numRef>
              <f>'Overview'!$P$9:$S$9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42</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1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s>
  <sheetData>
    <row r="1">
      <c r="A1" s="1" t="inlineStr">
        <is>
          <t>United National Bank Limited — Overview</t>
        </is>
      </c>
    </row>
    <row r="2">
      <c r="A2" s="2" t="inlineStr">
        <is>
          <t>Summary of cash flow and Pillar 3 disclosures across all years covered in this workbook</t>
        </is>
      </c>
    </row>
    <row r="4">
      <c r="A4" s="3" t="inlineStr">
        <is>
          <t>Cash Flow Summary (£)</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P5" t="inlineStr">
        <is>
          <t>FY2022</t>
        </is>
      </c>
      <c r="Q5" t="inlineStr">
        <is>
          <t>FY2023</t>
        </is>
      </c>
      <c r="R5" t="inlineStr">
        <is>
          <t>FY2024</t>
        </is>
      </c>
      <c r="S5" t="inlineStr">
        <is>
          <t>FY2025</t>
        </is>
      </c>
    </row>
    <row r="6">
      <c r="A6" s="5" t="inlineStr">
        <is>
          <t>Net cash from/(used in) operating activities</t>
        </is>
      </c>
      <c r="B6" s="5" t="n">
        <v>127702657</v>
      </c>
      <c r="C6" s="5" t="n">
        <v>53821009</v>
      </c>
      <c r="D6" s="5" t="n">
        <v>-8259721</v>
      </c>
      <c r="E6" s="5" t="n">
        <v>20553004</v>
      </c>
      <c r="H6" t="inlineStr">
        <is>
          <t>Net cash from/(used in) operating activities</t>
        </is>
      </c>
      <c r="I6" t="n">
        <v>20553004</v>
      </c>
      <c r="J6" t="n">
        <v>-8259721</v>
      </c>
      <c r="K6" t="n">
        <v>53821009</v>
      </c>
      <c r="L6" t="n">
        <v>127702657</v>
      </c>
      <c r="O6" t="inlineStr">
        <is>
          <t>CET1 Ratio</t>
        </is>
      </c>
      <c r="Q6" t="n">
        <v>21.46</v>
      </c>
    </row>
    <row r="7">
      <c r="A7" s="5" t="inlineStr">
        <is>
          <t>Net cash from/(used in) investing activities</t>
        </is>
      </c>
      <c r="B7" s="5" t="n">
        <v>-122616219</v>
      </c>
      <c r="C7" s="5" t="n">
        <v>-35765377</v>
      </c>
      <c r="D7" s="5" t="n">
        <v>-9023414</v>
      </c>
      <c r="E7" s="5" t="n">
        <v>-45210977</v>
      </c>
      <c r="H7" t="inlineStr">
        <is>
          <t>Net cash from/(used in) investing activities</t>
        </is>
      </c>
      <c r="I7" t="n">
        <v>-45210977</v>
      </c>
      <c r="J7" t="n">
        <v>-9023414</v>
      </c>
      <c r="K7" t="n">
        <v>-35765377</v>
      </c>
      <c r="L7" t="n">
        <v>-122616219</v>
      </c>
      <c r="O7" t="inlineStr">
        <is>
          <t>Tier 1 Ratio</t>
        </is>
      </c>
      <c r="Q7" t="n">
        <v>21.46</v>
      </c>
    </row>
    <row r="8">
      <c r="A8" s="5" t="inlineStr">
        <is>
          <t>Net cash from/(used in) financing activities</t>
        </is>
      </c>
      <c r="B8" s="5" t="n"/>
      <c r="C8" s="5" t="n">
        <v>-19306380</v>
      </c>
      <c r="D8" s="5" t="n">
        <v>19264847</v>
      </c>
      <c r="E8" s="5" t="n">
        <v>-1023263</v>
      </c>
      <c r="H8" t="inlineStr">
        <is>
          <t>Net cash from/(used in) financing activities</t>
        </is>
      </c>
      <c r="I8" t="n">
        <v>-1023263</v>
      </c>
      <c r="J8" t="n">
        <v>19264847</v>
      </c>
      <c r="K8" t="n">
        <v>-19306380</v>
      </c>
      <c r="O8" t="inlineStr">
        <is>
          <t>Total Capital Ratio</t>
        </is>
      </c>
      <c r="Q8" t="n">
        <v>21.56</v>
      </c>
    </row>
    <row r="9">
      <c r="A9" s="5" t="inlineStr">
        <is>
          <t>Cash and cash equivalents at end of year</t>
        </is>
      </c>
      <c r="B9" s="5" t="n">
        <v>13278966</v>
      </c>
      <c r="C9" s="5" t="n">
        <v>8271317</v>
      </c>
      <c r="D9" s="5" t="n">
        <v>9725415</v>
      </c>
      <c r="E9" s="5" t="n">
        <v>6703512</v>
      </c>
      <c r="H9" t="inlineStr">
        <is>
          <t>Cash and cash equivalents at end of year</t>
        </is>
      </c>
      <c r="I9" t="n">
        <v>6703512</v>
      </c>
      <c r="J9" t="n">
        <v>9725415</v>
      </c>
      <c r="K9" t="n">
        <v>8271317</v>
      </c>
      <c r="L9" t="n">
        <v>13278966</v>
      </c>
      <c r="O9" t="inlineStr">
        <is>
          <t>Leverage Ratio</t>
        </is>
      </c>
      <c r="P9" t="n">
        <v>8.43</v>
      </c>
      <c r="Q9" t="n">
        <v>8.52</v>
      </c>
    </row>
    <row r="11">
      <c r="A11" s="3" t="inlineStr">
        <is>
          <t>Pillar 3 Key Metrics</t>
        </is>
      </c>
    </row>
    <row r="12">
      <c r="A12" s="4" t="inlineStr">
        <is>
          <t>Line item</t>
        </is>
      </c>
      <c r="B12" s="4" t="inlineStr">
        <is>
          <t>FY2025</t>
        </is>
      </c>
      <c r="C12" s="4" t="inlineStr">
        <is>
          <t>FY2024</t>
        </is>
      </c>
      <c r="D12" s="4" t="inlineStr">
        <is>
          <t>FY2023</t>
        </is>
      </c>
      <c r="E12" s="4" t="inlineStr">
        <is>
          <t>FY2022</t>
        </is>
      </c>
    </row>
    <row r="13">
      <c r="A13" s="6" t="inlineStr">
        <is>
          <t>CET1 Ratio</t>
        </is>
      </c>
      <c r="B13" s="6" t="n"/>
      <c r="C13" s="6" t="n"/>
      <c r="D13" s="6" t="inlineStr">
        <is>
          <t>21.46%</t>
        </is>
      </c>
      <c r="E13" s="6" t="n"/>
    </row>
    <row r="14">
      <c r="A14" s="6" t="inlineStr">
        <is>
          <t>Tier 1 Ratio</t>
        </is>
      </c>
      <c r="B14" s="6" t="n"/>
      <c r="C14" s="6" t="n"/>
      <c r="D14" s="6" t="inlineStr">
        <is>
          <t>21.46%</t>
        </is>
      </c>
      <c r="E14" s="6" t="n"/>
    </row>
    <row r="15">
      <c r="A15" s="6" t="inlineStr">
        <is>
          <t>Total Capital Ratio</t>
        </is>
      </c>
      <c r="B15" s="6" t="n"/>
      <c r="C15" s="6" t="n"/>
      <c r="D15" s="6" t="inlineStr">
        <is>
          <t>21.56%</t>
        </is>
      </c>
      <c r="E15" s="6" t="n"/>
    </row>
    <row r="16">
      <c r="A16" s="6" t="inlineStr">
        <is>
          <t>Leverage Ratio</t>
        </is>
      </c>
      <c r="B16" s="6" t="n"/>
      <c r="C16" s="6" t="n"/>
      <c r="D16" s="6" t="inlineStr">
        <is>
          <t>8.52%</t>
        </is>
      </c>
      <c r="E16" s="6" t="inlineStr">
        <is>
          <t>8.43%</t>
        </is>
      </c>
    </row>
    <row r="18" ht="45" customHeight="1">
      <c r="A18" s="7" t="inlineStr">
        <is>
          <t>Note: Figures are duplicated from the detail sheets for at-a-glance trend viewing; see each sheet's own source citation for the underlying document/page. Pillar 3 data is sparse - solidly available only for FY2023, since no standalone Pillar 3 document was found for FY2022 (beyond a narrative leverage-ratio figure), FY2024, or FY2025 - the FY2025 Annual Report no longer references one at all, following the 2024 change of majority ownership to Bestway Group (see Cash Flow Statement sheet entity note). LCR/NSFR/MREL: not disclosed in any year reviewed.</t>
        </is>
      </c>
    </row>
  </sheetData>
  <mergeCells count="1">
    <mergeCell ref="A18:E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row>
    <row r="4">
      <c r="A4" s="5" t="inlineStr">
        <is>
          <t>Operating activities</t>
        </is>
      </c>
      <c r="B4" s="6" t="n"/>
      <c r="C4" s="6" t="n"/>
      <c r="D4" s="6" t="n"/>
      <c r="E4" s="6" t="n"/>
    </row>
    <row r="5">
      <c r="A5" s="6" t="inlineStr">
        <is>
          <t>Profit before tax on ordinary activities for the year</t>
        </is>
      </c>
      <c r="B5" s="6" t="n">
        <v>14576858</v>
      </c>
      <c r="C5" s="6" t="n">
        <v>5243939</v>
      </c>
      <c r="D5" s="6" t="n">
        <v>6911228</v>
      </c>
      <c r="E5" s="6" t="n">
        <v>5296311</v>
      </c>
    </row>
    <row r="6">
      <c r="A6" s="6" t="inlineStr">
        <is>
          <t>Depreciation and amortisation</t>
        </is>
      </c>
      <c r="B6" s="6" t="n">
        <v>297373</v>
      </c>
      <c r="C6" s="6" t="n">
        <v>344925</v>
      </c>
      <c r="D6" s="6" t="n">
        <v>597021</v>
      </c>
      <c r="E6" s="6" t="n">
        <v>755530</v>
      </c>
    </row>
    <row r="7">
      <c r="A7" s="6" t="inlineStr">
        <is>
          <t>Remeasurement of financial liability</t>
        </is>
      </c>
      <c r="B7" s="6" t="n">
        <v>291571</v>
      </c>
      <c r="C7" s="6" t="n">
        <v>2561700</v>
      </c>
      <c r="D7" s="6" t="n">
        <v>2650000</v>
      </c>
      <c r="E7" s="6" t="n"/>
    </row>
    <row r="8">
      <c r="A8" s="6" t="inlineStr">
        <is>
          <t>Net (reversal)/charge in respect of defined benefit pension scheme</t>
        </is>
      </c>
      <c r="B8" s="6" t="n">
        <v>36000</v>
      </c>
      <c r="C8" s="6" t="n">
        <v>35000</v>
      </c>
      <c r="D8" s="6" t="n">
        <v>-54000</v>
      </c>
      <c r="E8" s="6" t="n">
        <v>3000</v>
      </c>
    </row>
    <row r="9">
      <c r="A9" s="6" t="inlineStr">
        <is>
          <t>Impairment charge/(recoveries) on loans and advances and other items</t>
        </is>
      </c>
      <c r="B9" s="6" t="n">
        <v>555015</v>
      </c>
      <c r="C9" s="6" t="n">
        <v>277396</v>
      </c>
      <c r="D9" s="6" t="n">
        <v>-133448</v>
      </c>
      <c r="E9" s="6" t="n">
        <v>-190335</v>
      </c>
    </row>
    <row r="10">
      <c r="A10" s="6" t="inlineStr">
        <is>
          <t>Impairment (recoveries)/charge on available for sale investments</t>
        </is>
      </c>
      <c r="B10" s="6" t="n"/>
      <c r="C10" s="6" t="n"/>
      <c r="D10" s="6" t="n">
        <v>-43724</v>
      </c>
      <c r="E10" s="6" t="n">
        <v>5081559</v>
      </c>
    </row>
    <row r="11">
      <c r="A11" s="6" t="inlineStr">
        <is>
          <t>Non-cash movements relating to AFS debt securities</t>
        </is>
      </c>
      <c r="B11" s="6" t="n">
        <v>1798841</v>
      </c>
      <c r="C11" s="6" t="n">
        <v>518237</v>
      </c>
      <c r="D11" s="6" t="n">
        <v>-38664</v>
      </c>
      <c r="E11" s="6" t="n">
        <v>472140</v>
      </c>
    </row>
    <row r="12">
      <c r="A12" s="6" t="inlineStr">
        <is>
          <t>Fair value (gain)/loss on investment properties</t>
        </is>
      </c>
      <c r="B12" s="6" t="n">
        <v>60000</v>
      </c>
      <c r="C12" s="6" t="n">
        <v>1692678</v>
      </c>
      <c r="D12" s="6" t="n">
        <v>-157448</v>
      </c>
      <c r="E12" s="6" t="n"/>
    </row>
    <row r="13">
      <c r="A13" s="6" t="inlineStr">
        <is>
          <t>Fair value losses on derivatives</t>
        </is>
      </c>
      <c r="B13" s="6" t="n">
        <v>36260</v>
      </c>
      <c r="C13" s="6" t="n">
        <v>8502</v>
      </c>
      <c r="D13" s="6" t="n"/>
      <c r="E13" s="6" t="n"/>
    </row>
    <row r="14">
      <c r="A14" s="6" t="inlineStr">
        <is>
          <t>Disposal of fixed assets - non cash</t>
        </is>
      </c>
      <c r="B14" s="6" t="n"/>
      <c r="C14" s="6" t="n">
        <v>-46958</v>
      </c>
      <c r="D14" s="6" t="n"/>
      <c r="E14" s="6" t="n">
        <v>-950000</v>
      </c>
    </row>
    <row r="15">
      <c r="A15" s="6" t="inlineStr">
        <is>
          <t>Effects of exchange rate changes on cash and cash equivalents (within adjustments)</t>
        </is>
      </c>
      <c r="B15" s="6" t="n">
        <v>78789</v>
      </c>
      <c r="C15" s="6" t="n">
        <v>203350</v>
      </c>
      <c r="D15" s="6" t="n">
        <v>-1040191</v>
      </c>
      <c r="E15" s="6" t="n">
        <v>1310294</v>
      </c>
    </row>
    <row r="16">
      <c r="A16" s="6" t="inlineStr">
        <is>
          <t>Change in loans to banks</t>
        </is>
      </c>
      <c r="B16" s="6" t="n">
        <v>-771732</v>
      </c>
      <c r="C16" s="6" t="n">
        <v>-9040080</v>
      </c>
      <c r="D16" s="6" t="n">
        <v>-11575956</v>
      </c>
      <c r="E16" s="6" t="n">
        <v>253159</v>
      </c>
    </row>
    <row r="17">
      <c r="A17" s="6" t="inlineStr">
        <is>
          <t>Change in loans and advances</t>
        </is>
      </c>
      <c r="B17" s="6" t="n">
        <v>-508526134</v>
      </c>
      <c r="C17" s="6" t="n">
        <v>-314034689</v>
      </c>
      <c r="D17" s="6" t="n">
        <v>-82406357</v>
      </c>
      <c r="E17" s="6" t="n">
        <v>-129900329</v>
      </c>
    </row>
    <row r="18">
      <c r="A18" s="6" t="inlineStr">
        <is>
          <t>Change in other operating assets</t>
        </is>
      </c>
      <c r="B18" s="6" t="n">
        <v>1574513</v>
      </c>
      <c r="C18" s="6" t="n">
        <v>-4401232</v>
      </c>
      <c r="D18" s="6" t="n">
        <v>-2726540</v>
      </c>
      <c r="E18" s="6" t="n">
        <v>-1703767</v>
      </c>
    </row>
    <row r="19">
      <c r="A19" s="6" t="inlineStr">
        <is>
          <t>Change in deposits from banks and customers</t>
        </is>
      </c>
      <c r="B19" s="6" t="n">
        <v>614962983</v>
      </c>
      <c r="C19" s="6" t="n">
        <v>368365721</v>
      </c>
      <c r="D19" s="6" t="n">
        <v>75751608</v>
      </c>
      <c r="E19" s="6" t="n">
        <v>145891909</v>
      </c>
    </row>
    <row r="20">
      <c r="A20" s="6" t="inlineStr">
        <is>
          <t>Change in other operating liabilities</t>
        </is>
      </c>
      <c r="B20" s="6" t="n">
        <v>4362320</v>
      </c>
      <c r="C20" s="6" t="n">
        <v>3532520</v>
      </c>
      <c r="D20" s="6" t="n">
        <v>4913759</v>
      </c>
      <c r="E20" s="6" t="n">
        <v>-5203335</v>
      </c>
    </row>
    <row r="21">
      <c r="A21" s="6" t="inlineStr">
        <is>
          <t>Corporate income tax paid</t>
        </is>
      </c>
      <c r="B21" s="6" t="n">
        <v>-1630000</v>
      </c>
      <c r="C21" s="6" t="n">
        <v>-1440000</v>
      </c>
      <c r="D21" s="6" t="n">
        <v>-907009</v>
      </c>
      <c r="E21" s="6" t="n">
        <v>-563132</v>
      </c>
    </row>
    <row r="22">
      <c r="A22" s="5" t="inlineStr">
        <is>
          <t>Net cash from/(used in) operating activities</t>
        </is>
      </c>
      <c r="B22" s="5" t="n">
        <v>127702657</v>
      </c>
      <c r="C22" s="5" t="n">
        <v>53821009</v>
      </c>
      <c r="D22" s="5" t="n">
        <v>-8259721</v>
      </c>
      <c r="E22" s="5" t="n">
        <v>20553004</v>
      </c>
    </row>
    <row r="23">
      <c r="A23" s="5" t="inlineStr">
        <is>
          <t>Investing activities</t>
        </is>
      </c>
      <c r="B23" s="6" t="n"/>
      <c r="C23" s="6" t="n"/>
      <c r="D23" s="6" t="n"/>
      <c r="E23" s="6" t="n"/>
    </row>
    <row r="24">
      <c r="A24" s="6" t="inlineStr">
        <is>
          <t>Purchase of tangible fixed and intangible assets</t>
        </is>
      </c>
      <c r="B24" s="6" t="n">
        <v>-2953578</v>
      </c>
      <c r="C24" s="6" t="n">
        <v>-246091</v>
      </c>
      <c r="D24" s="6" t="n">
        <v>-710084</v>
      </c>
      <c r="E24" s="6" t="n">
        <v>-216696</v>
      </c>
    </row>
    <row r="25">
      <c r="A25" s="6" t="inlineStr">
        <is>
          <t>Proceeds from disposal of fixed assets</t>
        </is>
      </c>
      <c r="B25" s="6" t="n"/>
      <c r="C25" s="6" t="n">
        <v>237859</v>
      </c>
      <c r="D25" s="6" t="n"/>
      <c r="E25" s="6" t="n">
        <v>950000</v>
      </c>
    </row>
    <row r="26">
      <c r="A26" s="6" t="inlineStr">
        <is>
          <t>Purchase of debt securities</t>
        </is>
      </c>
      <c r="B26" s="6" t="n">
        <v>-1051570428</v>
      </c>
      <c r="C26" s="6" t="n">
        <v>-750228210</v>
      </c>
      <c r="D26" s="6" t="n">
        <v>-595299208</v>
      </c>
      <c r="E26" s="6" t="n">
        <v>-572112956</v>
      </c>
    </row>
    <row r="27">
      <c r="A27" s="6" t="inlineStr">
        <is>
          <t>Sale and maturity of debt securities</t>
        </is>
      </c>
      <c r="B27" s="6" t="n">
        <v>931907787</v>
      </c>
      <c r="C27" s="6" t="n">
        <v>714471065</v>
      </c>
      <c r="D27" s="6" t="n">
        <v>586985878</v>
      </c>
      <c r="E27" s="6" t="n">
        <v>526168675</v>
      </c>
    </row>
    <row r="28">
      <c r="A28" s="5" t="inlineStr">
        <is>
          <t>Net cash from/(used in) investing activities</t>
        </is>
      </c>
      <c r="B28" s="5" t="n">
        <v>-122616219</v>
      </c>
      <c r="C28" s="5" t="n">
        <v>-35765377</v>
      </c>
      <c r="D28" s="5" t="n">
        <v>-9023414</v>
      </c>
      <c r="E28" s="5" t="n">
        <v>-45210977</v>
      </c>
    </row>
    <row r="29">
      <c r="A29" s="5" t="inlineStr">
        <is>
          <t>Financing activities</t>
        </is>
      </c>
      <c r="B29" s="6" t="n"/>
      <c r="C29" s="6" t="n"/>
      <c r="D29" s="6" t="n"/>
      <c r="E29" s="6" t="n"/>
    </row>
    <row r="30">
      <c r="A30" s="6" t="inlineStr">
        <is>
          <t>Repayment of obligations under finance lease</t>
        </is>
      </c>
      <c r="B30" s="6" t="n"/>
      <c r="C30" s="6" t="n">
        <v>-21710</v>
      </c>
      <c r="D30" s="6" t="n">
        <v>-19823</v>
      </c>
      <c r="E30" s="6" t="n">
        <v>-8263</v>
      </c>
    </row>
    <row r="31">
      <c r="A31" s="6" t="inlineStr">
        <is>
          <t>Proceeds from/(repayment of) repurchase agreements</t>
        </is>
      </c>
      <c r="B31" s="6" t="n"/>
      <c r="C31" s="6" t="n">
        <v>-19284670</v>
      </c>
      <c r="D31" s="6" t="n">
        <v>19284670</v>
      </c>
      <c r="E31" s="6" t="n"/>
    </row>
    <row r="32">
      <c r="A32" s="6" t="inlineStr">
        <is>
          <t>Dividends paid</t>
        </is>
      </c>
      <c r="B32" s="6" t="n"/>
      <c r="C32" s="6" t="n"/>
      <c r="D32" s="6" t="n"/>
      <c r="E32" s="6" t="n">
        <v>-1015000</v>
      </c>
    </row>
    <row r="33">
      <c r="A33" s="5" t="inlineStr">
        <is>
          <t>Net cash from/(used in) financing activities</t>
        </is>
      </c>
      <c r="B33" s="5" t="n"/>
      <c r="C33" s="5" t="n">
        <v>-19306380</v>
      </c>
      <c r="D33" s="5" t="n">
        <v>19264847</v>
      </c>
      <c r="E33" s="5" t="n">
        <v>-1023263</v>
      </c>
    </row>
    <row r="34">
      <c r="A34" s="5" t="inlineStr">
        <is>
          <t>Net increase/(decrease) in cash and cash equivalents</t>
        </is>
      </c>
      <c r="B34" s="5" t="n">
        <v>5086438</v>
      </c>
      <c r="C34" s="5" t="n">
        <v>-1250748</v>
      </c>
      <c r="D34" s="5" t="n">
        <v>1981712</v>
      </c>
      <c r="E34" s="5" t="n">
        <v>-25681236</v>
      </c>
    </row>
    <row r="35">
      <c r="A35" s="6" t="inlineStr">
        <is>
          <t>Cash and cash equivalents at the beginning of the financial year</t>
        </is>
      </c>
      <c r="B35" s="6" t="n">
        <v>8271317</v>
      </c>
      <c r="C35" s="6" t="n">
        <v>9725415</v>
      </c>
      <c r="D35" s="6" t="n">
        <v>6703512</v>
      </c>
      <c r="E35" s="6" t="n">
        <v>33695042</v>
      </c>
    </row>
    <row r="36">
      <c r="A36" s="6" t="inlineStr">
        <is>
          <t>Effects of exchange rate changes on cash and cash equivalents (tail)</t>
        </is>
      </c>
      <c r="B36" s="6" t="n">
        <v>-78789</v>
      </c>
      <c r="C36" s="6" t="n">
        <v>-203350</v>
      </c>
      <c r="D36" s="6" t="n">
        <v>1040191</v>
      </c>
      <c r="E36" s="6" t="n">
        <v>-1310294</v>
      </c>
    </row>
    <row r="37">
      <c r="A37" s="5" t="inlineStr">
        <is>
          <t>Cash and cash equivalents at the end of the financial year</t>
        </is>
      </c>
      <c r="B37" s="5" t="n">
        <v>13278966</v>
      </c>
      <c r="C37" s="5" t="n">
        <v>8271317</v>
      </c>
      <c r="D37" s="5" t="n">
        <v>9725415</v>
      </c>
      <c r="E37" s="5" t="n">
        <v>6703512</v>
      </c>
    </row>
    <row r="39" ht="260" customHeight="1">
      <c r="A39"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FY2023's own closing balance (£9,725,415) matches the FY2025 report's own FY2024 opening balance exactly, confirming consistency across the two source documents. FY2022 is labelled '(as restated)' in the FY2023 report - its original as-first-reported FY2022 figures were not sourced separately.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only 4 years (FY2022-FY2025) were sourced from the last two Companies House annual report filings (both fully scanned/image-only PDFs, transcribed via OCR - tesseract - and cross-checked against each other's comparative columns, which matched exactly). No FY2021 was pursued. Pillar 3: the pre-Bestway entity ('UBL UK') published 'unaudited Pillar III and Remuneration Code Disclosures' on its own site (ubluk.com) - a text-based FY2023 edition was found and used, but the FY2022 edition's URL returned the website's navigation shell rather than the actual PDF (not retried further given time constraints), and no FY2024/FY2025 edition was found - the FY2025 Annual Report's own 'Capital management and adequacy' section no longer references a separate Pillar 3 document at all (unlike the FY2023 Annual Report, which explicitly pointed to ubluk.com), suggesting standalone Pillar 3 disclosure may have lapsed post-Bestway acquisition - this is an inference, not confirmed. Consequently Pillar 3 ratios/RWA/leverage are only solidly available for FY2023 (plus a narrative-only FY2022 leverage ratio); FY2024/FY2025 ratios and RWA, and LCR/NSFR/MREL for every year, are 'Not disclosed' rather than guessed.</t>
        </is>
      </c>
    </row>
  </sheetData>
  <mergeCells count="1">
    <mergeCell ref="A39:E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n">
        <v>108644570</v>
      </c>
      <c r="C4" s="6" t="n">
        <v>97948100</v>
      </c>
      <c r="D4" s="6" t="n">
        <v>88559510</v>
      </c>
      <c r="E4" s="6" t="n">
        <v>73598731</v>
      </c>
    </row>
    <row r="5" ht="60" customHeight="1">
      <c r="A5" s="7" t="inlineStr">
        <is>
          <t>Note: Equal to Tier 1 capital in every year - the Company has no Additional Tier 1 (AT1) instruments. FY2023's figure is confirmed to the nearest £'000 by the Pillar 3 document's own Appendix VI (£88,559k).</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2">
    <mergeCell ref="A5:E5"/>
    <mergeCell ref="A7:E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Not disclosed</t>
        </is>
      </c>
      <c r="C4" s="6" t="inlineStr">
        <is>
          <t>Not disclosed</t>
        </is>
      </c>
      <c r="D4" s="6" t="inlineStr">
        <is>
          <t>21.46%</t>
        </is>
      </c>
      <c r="E4" s="6" t="inlineStr">
        <is>
          <t>Not disclosed</t>
        </is>
      </c>
    </row>
    <row r="5" ht="60" customHeight="1">
      <c r="A5" s="7" t="inlineStr">
        <is>
          <t>Note: Only FY2023 is directly evidenced (equal to the Pillar 3 document's stated Tier 1 ratio, since CET1=Tier 1 capital exactly that year). No Pillar 3 document was found for FY2022, FY2024 or FY2025, and Total RWAs aren't disclosed for those years either, so the ratio cannot be reliably derived - left as Not disclosed rather than estimated.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2">
    <mergeCell ref="A5:E5"/>
    <mergeCell ref="A7:E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row>
    <row r="4">
      <c r="A4" s="6" t="inlineStr">
        <is>
          <t>Tier 1 capital</t>
        </is>
      </c>
      <c r="B4" s="6" t="n">
        <v>108644570</v>
      </c>
      <c r="C4" s="6" t="n">
        <v>97948100</v>
      </c>
      <c r="D4" s="6" t="n">
        <v>88559510</v>
      </c>
      <c r="E4" s="6" t="n">
        <v>73598731</v>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1">
    <mergeCell ref="A6:E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row>
    <row r="4">
      <c r="A4" s="6" t="inlineStr">
        <is>
          <t>Tier 1 ratio</t>
        </is>
      </c>
      <c r="B4" s="6" t="inlineStr">
        <is>
          <t>Not disclosed</t>
        </is>
      </c>
      <c r="C4" s="6" t="inlineStr">
        <is>
          <t>Not disclosed</t>
        </is>
      </c>
      <c r="D4" s="6" t="inlineStr">
        <is>
          <t>21.46%</t>
        </is>
      </c>
      <c r="E4" s="6" t="inlineStr">
        <is>
          <t>Not disclosed</t>
        </is>
      </c>
    </row>
    <row r="5" ht="60" customHeight="1">
      <c r="A5" s="7" t="inlineStr">
        <is>
          <t>Note: Directly stated in the FY2023 Pillar 3 document (Table CC1, row 62); other years not disclosed (see CET1 Ratio sheet note).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2">
    <mergeCell ref="A5:E5"/>
    <mergeCell ref="A7:E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row>
    <row r="4">
      <c r="A4" s="6" t="inlineStr">
        <is>
          <t>Total capital</t>
        </is>
      </c>
      <c r="B4" s="6" t="n">
        <v>109906178</v>
      </c>
      <c r="C4" s="6" t="n">
        <v>98654693</v>
      </c>
      <c r="D4" s="6" t="n">
        <v>89004384</v>
      </c>
      <c r="E4" s="6" t="n">
        <v>73967261</v>
      </c>
    </row>
    <row r="5" ht="60" customHeight="1">
      <c r="A5" s="7" t="inlineStr">
        <is>
          <t>Note: Tier 1 capital plus a Tier 2 collective provision figure disclosed in each year's own Annual Report.</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disclosed</t>
        </is>
      </c>
      <c r="C4" s="6" t="inlineStr">
        <is>
          <t>Not disclosed</t>
        </is>
      </c>
      <c r="D4" s="6" t="inlineStr">
        <is>
          <t>21.56%</t>
        </is>
      </c>
      <c r="E4" s="6" t="inlineStr">
        <is>
          <t>Not disclosed</t>
        </is>
      </c>
    </row>
    <row r="5" ht="60" customHeight="1">
      <c r="A5" s="7" t="inlineStr">
        <is>
          <t>Note: Directly stated in the FY2023 Pillar 3 document (Table CC1, row 63); other years not disclosed.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disclosed</t>
        </is>
      </c>
      <c r="C4" s="6" t="inlineStr">
        <is>
          <t>Not disclosed</t>
        </is>
      </c>
      <c r="D4" s="6" t="n">
        <v>412732000</v>
      </c>
      <c r="E4" s="6" t="inlineStr">
        <is>
          <t>Not disclosed</t>
        </is>
      </c>
    </row>
    <row r="5" ht="60" customHeight="1">
      <c r="A5" s="7" t="inlineStr">
        <is>
          <t>Note: FY2023 only (Pillar 1 Capital Requirement table). No RWA figure was found for any other year.</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row>
    <row r="4">
      <c r="A4" s="6" t="inlineStr">
        <is>
          <t>Leverage ratio total exposure measure</t>
        </is>
      </c>
      <c r="B4" s="6" t="n"/>
      <c r="C4" s="6" t="n"/>
      <c r="D4" s="6" t="n">
        <v>954151000</v>
      </c>
      <c r="E4" s="6" t="n"/>
    </row>
    <row r="5">
      <c r="A5" s="6" t="inlineStr">
        <is>
          <t>Leverage ratio (%)</t>
        </is>
      </c>
      <c r="B5" s="6" t="inlineStr">
        <is>
          <t>Not disclosed</t>
        </is>
      </c>
      <c r="C5" s="6" t="inlineStr">
        <is>
          <t>Not disclosed</t>
        </is>
      </c>
      <c r="D5" s="6" t="inlineStr">
        <is>
          <t>8.52%</t>
        </is>
      </c>
      <c r="E5" s="6" t="inlineStr">
        <is>
          <t>8.43%</t>
        </is>
      </c>
    </row>
    <row r="6" ht="60" customHeight="1">
      <c r="A6" s="7" t="inlineStr">
        <is>
          <t>Note: FY2022's 8.43% is quoted from the FY2023 Pillar 3 document's own narrative text as the prior-year comparator - no supporting exposure-measure table for FY2022 was located. FY2024/FY2025 not disclosed (no Pillar 3 document found for those years - see entity note on the Cash Flow Statement sheet).</t>
        </is>
      </c>
    </row>
    <row r="8" ht="150" customHeight="1">
      <c r="A8"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2">
    <mergeCell ref="A6:E6"/>
    <mergeCell ref="A8:E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United National Bank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LCR</t>
        </is>
      </c>
      <c r="B4" s="6" t="inlineStr">
        <is>
          <t>Not publicly disclosed</t>
        </is>
      </c>
      <c r="C4" s="6" t="inlineStr">
        <is>
          <t>Not publicly disclosed</t>
        </is>
      </c>
      <c r="D4" s="6" t="inlineStr">
        <is>
          <t>Not publicly disclosed</t>
        </is>
      </c>
      <c r="E4" s="6" t="inlineStr">
        <is>
          <t>Not publicly disclosed</t>
        </is>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NSFR</t>
        </is>
      </c>
      <c r="B4" s="6" t="inlineStr">
        <is>
          <t>Not publicly disclosed</t>
        </is>
      </c>
      <c r="C4" s="6" t="inlineStr">
        <is>
          <t>Not publicly disclosed</t>
        </is>
      </c>
      <c r="D4" s="6" t="inlineStr">
        <is>
          <t>Not publicly disclosed</t>
        </is>
      </c>
      <c r="E4" s="6" t="inlineStr">
        <is>
          <t>Not publicly disclosed</t>
        </is>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row>
    <row r="4">
      <c r="A4" s="6" t="inlineStr">
        <is>
          <t>MREL ratio</t>
        </is>
      </c>
      <c r="B4" s="6" t="inlineStr">
        <is>
          <t>Not disclosed</t>
        </is>
      </c>
      <c r="C4" s="6" t="inlineStr">
        <is>
          <t>Not disclosed</t>
        </is>
      </c>
      <c r="D4" s="6" t="inlineStr">
        <is>
          <t>Not disclosed</t>
        </is>
      </c>
      <c r="E4" s="6" t="inlineStr">
        <is>
          <t>Not disclosed</t>
        </is>
      </c>
    </row>
    <row r="5" ht="60" customHeight="1">
      <c r="A5" s="7" t="inlineStr">
        <is>
          <t>Note: No numeric or qualitative MREL disclosure of any kind was found for this bank in any year reviewed.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leverage ratio only: quoted as the prior-year comparator within the FY2023 Pillar 3 document above (narrative text, no supporting table found).
Tier 1 capital and Total capital £ amounts for all 4 years are instead sourced from each year's own audited Annual Report (see Cash Flow Statement sheet source note for URLs), 'Capital management and adequacy' / 'Capital resources' section.</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2026-08-26T15:06:31Z</dcterms:created>
  <dcterms:modified xsi:type="dcterms:W3CDTF">2026-08-26T15:06:31Z</dcterms:modified>
</cp:coreProperties>
</file>