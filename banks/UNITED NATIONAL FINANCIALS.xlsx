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4A1E4D"/>
        <bgColor rgb="004A1E4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United National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'Overview'!N6</f>
            </strRef>
          </tx>
          <spPr>
            <a:ln xmlns:a="http://schemas.openxmlformats.org/drawingml/2006/main">
              <a:prstDash val="solid"/>
            </a:ln>
          </spPr>
          <cat>
            <numRef>
              <f>'Overview'!$O$5:$X$5</f>
            </numRef>
          </cat>
          <val>
            <numRef>
              <f>'Overview'!$O$6:$X$6</f>
            </numRef>
          </val>
        </ser>
        <ser>
          <idx val="1"/>
          <order val="1"/>
          <tx>
            <strRef>
              <f>'Overview'!N7</f>
            </strRef>
          </tx>
          <spPr>
            <a:ln xmlns:a="http://schemas.openxmlformats.org/drawingml/2006/main">
              <a:prstDash val="solid"/>
            </a:ln>
          </spPr>
          <cat>
            <numRef>
              <f>'Overview'!$O$5:$X$5</f>
            </numRef>
          </cat>
          <val>
            <numRef>
              <f>'Overview'!$O$7:$X$7</f>
            </numRef>
          </val>
        </ser>
        <ser>
          <idx val="2"/>
          <order val="2"/>
          <tx>
            <strRef>
              <f>'Overview'!N8</f>
            </strRef>
          </tx>
          <spPr>
            <a:ln xmlns:a="http://schemas.openxmlformats.org/drawingml/2006/main">
              <a:prstDash val="solid"/>
            </a:ln>
          </spPr>
          <cat>
            <numRef>
              <f>'Overview'!$O$5:$X$5</f>
            </numRef>
          </cat>
          <val>
            <numRef>
              <f>'Overview'!$O$8:$X$8</f>
            </numRef>
          </val>
        </ser>
        <ser>
          <idx val="3"/>
          <order val="3"/>
          <tx>
            <strRef>
              <f>'Overview'!N9</f>
            </strRef>
          </tx>
          <spPr>
            <a:ln xmlns:a="http://schemas.openxmlformats.org/drawingml/2006/main">
              <a:prstDash val="solid"/>
            </a:ln>
          </spPr>
          <cat>
            <numRef>
              <f>'Overview'!$O$5:$X$5</f>
            </numRef>
          </cat>
          <val>
            <numRef>
              <f>'Overview'!$O$9:$X$9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United National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'Overview'!AA13</f>
            </strRef>
          </tx>
          <spPr>
            <a:ln xmlns:a="http://schemas.openxmlformats.org/drawingml/2006/main">
              <a:prstDash val="solid"/>
            </a:ln>
          </spPr>
          <cat>
            <numRef>
              <f>'Overview'!$AB$12:$AK$12</f>
            </numRef>
          </cat>
          <val>
            <numRef>
              <f>'Overview'!$AB$13:$AK$13</f>
            </numRef>
          </val>
        </ser>
        <ser>
          <idx val="1"/>
          <order val="1"/>
          <tx>
            <strRef>
              <f>'Overview'!AA14</f>
            </strRef>
          </tx>
          <spPr>
            <a:ln xmlns:a="http://schemas.openxmlformats.org/drawingml/2006/main">
              <a:prstDash val="solid"/>
            </a:ln>
          </spPr>
          <cat>
            <numRef>
              <f>'Overview'!$AB$12:$AK$12</f>
            </numRef>
          </cat>
          <val>
            <numRef>
              <f>'Overview'!$AB$14:$AK$14</f>
            </numRef>
          </val>
        </ser>
        <ser>
          <idx val="2"/>
          <order val="2"/>
          <tx>
            <strRef>
              <f>'Overview'!AA15</f>
            </strRef>
          </tx>
          <spPr>
            <a:ln xmlns:a="http://schemas.openxmlformats.org/drawingml/2006/main">
              <a:prstDash val="solid"/>
            </a:ln>
          </spPr>
          <cat>
            <numRef>
              <f>'Overview'!$AB$12:$AK$12</f>
            </numRef>
          </cat>
          <val>
            <numRef>
              <f>'Overview'!$AB$15:$AK$15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United National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'Overview'!AN19</f>
            </strRef>
          </tx>
          <spPr>
            <a:ln xmlns:a="http://schemas.openxmlformats.org/drawingml/2006/main">
              <a:prstDash val="solid"/>
            </a:ln>
          </spPr>
          <cat>
            <numRef>
              <f>'Overview'!$AO$18:$AX$18</f>
            </numRef>
          </cat>
          <val>
            <numRef>
              <f>'Overview'!$AO$19:$AX$19</f>
            </numRef>
          </val>
        </ser>
        <ser>
          <idx val="1"/>
          <order val="1"/>
          <tx>
            <strRef>
              <f>'Overview'!AN20</f>
            </strRef>
          </tx>
          <spPr>
            <a:ln xmlns:a="http://schemas.openxmlformats.org/drawingml/2006/main">
              <a:prstDash val="solid"/>
            </a:ln>
          </spPr>
          <cat>
            <numRef>
              <f>'Overview'!$AO$18:$AX$18</f>
            </numRef>
          </cat>
          <val>
            <numRef>
              <f>'Overview'!$AO$20:$AX$20</f>
            </numRef>
          </val>
        </ser>
        <ser>
          <idx val="2"/>
          <order val="2"/>
          <tx>
            <strRef>
              <f>'Overview'!AN21</f>
            </strRef>
          </tx>
          <spPr>
            <a:ln xmlns:a="http://schemas.openxmlformats.org/drawingml/2006/main">
              <a:prstDash val="solid"/>
            </a:ln>
          </spPr>
          <cat>
            <numRef>
              <f>'Overview'!$AO$18:$AX$18</f>
            </numRef>
          </cat>
          <val>
            <numRef>
              <f>'Overview'!$AO$21:$AX$21</f>
            </numRef>
          </val>
        </ser>
        <ser>
          <idx val="3"/>
          <order val="3"/>
          <tx>
            <strRef>
              <f>'Overview'!AN22</f>
            </strRef>
          </tx>
          <spPr>
            <a:ln xmlns:a="http://schemas.openxmlformats.org/drawingml/2006/main">
              <a:prstDash val="solid"/>
            </a:ln>
          </spPr>
          <cat>
            <numRef>
              <f>'Overview'!$AO$18:$AX$18</f>
            </numRef>
          </cat>
          <val>
            <numRef>
              <f>'Overview'!$AO$22:$AX$22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United National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'Overview'!BA26</f>
            </strRef>
          </tx>
          <spPr>
            <a:ln xmlns:a="http://schemas.openxmlformats.org/drawingml/2006/main">
              <a:prstDash val="solid"/>
            </a:ln>
          </spPr>
          <cat>
            <numRef>
              <f>'Overview'!$BB$25:$BK$25</f>
            </numRef>
          </cat>
          <val>
            <numRef>
              <f>'Overview'!$BB$26:$BK$26</f>
            </numRef>
          </val>
        </ser>
        <ser>
          <idx val="1"/>
          <order val="1"/>
          <tx>
            <strRef>
              <f>'Overview'!BA27</f>
            </strRef>
          </tx>
          <spPr>
            <a:ln xmlns:a="http://schemas.openxmlformats.org/drawingml/2006/main">
              <a:prstDash val="solid"/>
            </a:ln>
          </spPr>
          <cat>
            <numRef>
              <f>'Overview'!$BB$25:$BK$25</f>
            </numRef>
          </cat>
          <val>
            <numRef>
              <f>'Overview'!$BB$27:$BK$27</f>
            </numRef>
          </val>
        </ser>
        <ser>
          <idx val="2"/>
          <order val="2"/>
          <tx>
            <strRef>
              <f>'Overview'!BA28</f>
            </strRef>
          </tx>
          <spPr>
            <a:ln xmlns:a="http://schemas.openxmlformats.org/drawingml/2006/main">
              <a:prstDash val="solid"/>
            </a:ln>
          </spPr>
          <cat>
            <numRef>
              <f>'Overview'!$BB$25:$BK$25</f>
            </numRef>
          </cat>
          <val>
            <numRef>
              <f>'Overview'!$BB$28:$BK$28</f>
            </numRef>
          </val>
        </ser>
        <ser>
          <idx val="3"/>
          <order val="3"/>
          <tx>
            <strRef>
              <f>'Overview'!BA29</f>
            </strRef>
          </tx>
          <spPr>
            <a:ln xmlns:a="http://schemas.openxmlformats.org/drawingml/2006/main">
              <a:prstDash val="solid"/>
            </a:ln>
          </spPr>
          <cat>
            <numRef>
              <f>'Overview'!$BB$25:$BK$25</f>
            </numRef>
          </cat>
          <val>
            <numRef>
              <f>'Overview'!$BB$29:$BK$29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United National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'Overview'!BN6</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'Overview'!$BO$6:$BX$6</f>
            </numRef>
          </val>
          <smooth val="0"/>
        </ser>
        <ser>
          <idx val="1"/>
          <order val="1"/>
          <tx>
            <strRef>
              <f>'Overview'!BN7</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'Overview'!$BO$7:$BX$7</f>
            </numRef>
          </val>
          <smooth val="0"/>
        </ser>
        <ser>
          <idx val="2"/>
          <order val="2"/>
          <tx>
            <strRef>
              <f>'Overview'!BN8</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'Overview'!$BO$8:$BX$8</f>
            </numRef>
          </val>
          <smooth val="0"/>
        </ser>
        <ser>
          <idx val="3"/>
          <order val="3"/>
          <tx>
            <strRef>
              <f>'Overview'!BN9</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'Overview'!$BO$9:$BX$9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X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s>
  <sheetData>
    <row r="1">
      <c r="A1" s="1" t="inlineStr">
        <is>
          <t>United National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O5" t="inlineStr">
        <is>
          <t>FY2016</t>
        </is>
      </c>
      <c r="P5" t="inlineStr">
        <is>
          <t>FY2017</t>
        </is>
      </c>
      <c r="Q5" t="inlineStr">
        <is>
          <t>FY2018</t>
        </is>
      </c>
      <c r="R5" t="inlineStr">
        <is>
          <t>FY2019</t>
        </is>
      </c>
      <c r="S5" t="inlineStr">
        <is>
          <t>FY2020</t>
        </is>
      </c>
      <c r="T5" t="inlineStr">
        <is>
          <t>FY2021</t>
        </is>
      </c>
      <c r="U5" t="inlineStr">
        <is>
          <t>FY2022</t>
        </is>
      </c>
      <c r="V5" t="inlineStr">
        <is>
          <t>FY2023</t>
        </is>
      </c>
      <c r="W5" t="inlineStr">
        <is>
          <t>FY2024</t>
        </is>
      </c>
      <c r="X5" t="inlineStr">
        <is>
          <t>FY2025</t>
        </is>
      </c>
      <c r="BO5" t="inlineStr">
        <is>
          <t>FY2016</t>
        </is>
      </c>
      <c r="BP5" t="inlineStr">
        <is>
          <t>FY2017</t>
        </is>
      </c>
      <c r="BQ5" t="inlineStr">
        <is>
          <t>FY2018</t>
        </is>
      </c>
      <c r="BR5" t="inlineStr">
        <is>
          <t>FY2019</t>
        </is>
      </c>
      <c r="BS5" t="inlineStr">
        <is>
          <t>FY2020</t>
        </is>
      </c>
      <c r="BT5" t="inlineStr">
        <is>
          <t>FY2021</t>
        </is>
      </c>
      <c r="BU5" t="inlineStr">
        <is>
          <t>FY2022</t>
        </is>
      </c>
      <c r="BV5" t="inlineStr">
        <is>
          <t>FY2023</t>
        </is>
      </c>
      <c r="BW5" t="inlineStr">
        <is>
          <t>FY2024</t>
        </is>
      </c>
      <c r="BX5" t="inlineStr">
        <is>
          <t>FY2025</t>
        </is>
      </c>
    </row>
    <row r="6">
      <c r="A6" s="5" t="inlineStr">
        <is>
          <t>Total assets</t>
        </is>
      </c>
      <c r="B6" s="5" t="n">
        <v>1917558171</v>
      </c>
      <c r="C6" s="5" t="n">
        <v>1283627101</v>
      </c>
      <c r="D6" s="5" t="n">
        <v>919933512</v>
      </c>
      <c r="E6" s="5" t="n">
        <v>806196622</v>
      </c>
      <c r="F6" s="5" t="n">
        <v>668720870</v>
      </c>
      <c r="G6" s="5" t="n">
        <v>606162522</v>
      </c>
      <c r="H6" s="5" t="n">
        <v>511049613</v>
      </c>
      <c r="I6" s="5" t="n">
        <v>497986048</v>
      </c>
      <c r="J6" s="5" t="n">
        <v>522062227</v>
      </c>
      <c r="K6" s="5" t="n">
        <v>522262531</v>
      </c>
      <c r="N6" t="inlineStr">
        <is>
          <t>Total assets</t>
        </is>
      </c>
      <c r="O6" t="n">
        <v>522262531</v>
      </c>
      <c r="P6" t="n">
        <v>522062227</v>
      </c>
      <c r="Q6" t="n">
        <v>497986048</v>
      </c>
      <c r="R6" t="n">
        <v>511049613</v>
      </c>
      <c r="S6" t="n">
        <v>606162522</v>
      </c>
      <c r="T6" t="n">
        <v>668720870</v>
      </c>
      <c r="U6" t="n">
        <v>806196622</v>
      </c>
      <c r="V6" t="n">
        <v>919933512</v>
      </c>
      <c r="W6" t="n">
        <v>1283627101</v>
      </c>
      <c r="X6" t="n">
        <v>1917558171</v>
      </c>
      <c r="BN6" t="inlineStr">
        <is>
          <t>CET1 Ratio</t>
        </is>
      </c>
      <c r="BO6" t="n">
        <v>17.6</v>
      </c>
      <c r="BP6" t="n">
        <v>18.6</v>
      </c>
      <c r="BQ6" t="n">
        <v>21.1</v>
      </c>
      <c r="BR6" t="n">
        <v>21.4</v>
      </c>
      <c r="BS6" t="n">
        <v>23.9</v>
      </c>
      <c r="BT6" t="n">
        <v>22.2</v>
      </c>
      <c r="BU6" t="n">
        <v>19.08</v>
      </c>
      <c r="BV6" t="n">
        <v>21.46</v>
      </c>
      <c r="BW6" t="n">
        <v>19.86</v>
      </c>
    </row>
    <row r="7">
      <c r="A7" s="5" t="inlineStr">
        <is>
          <t>Loans and advances to customers</t>
        </is>
      </c>
      <c r="B7" s="5" t="n">
        <v>1540326075</v>
      </c>
      <c r="C7" s="5" t="n">
        <v>1032354956</v>
      </c>
      <c r="D7" s="5" t="n">
        <v>718597663</v>
      </c>
      <c r="E7" s="5" t="n">
        <v>638315902</v>
      </c>
      <c r="F7" s="5" t="n">
        <v>505967194</v>
      </c>
      <c r="G7" s="5" t="n">
        <v>371849345</v>
      </c>
      <c r="H7" s="5" t="n">
        <v>283814684</v>
      </c>
      <c r="I7" s="5" t="n">
        <v>194150630</v>
      </c>
      <c r="J7" s="5" t="n">
        <v>224061810</v>
      </c>
      <c r="K7" s="5" t="n">
        <v>180722026</v>
      </c>
      <c r="N7" t="inlineStr">
        <is>
          <t>Loans and advances to customers</t>
        </is>
      </c>
      <c r="O7" t="n">
        <v>180722026</v>
      </c>
      <c r="P7" t="n">
        <v>224061810</v>
      </c>
      <c r="Q7" t="n">
        <v>194150630</v>
      </c>
      <c r="R7" t="n">
        <v>283814684</v>
      </c>
      <c r="S7" t="n">
        <v>371849345</v>
      </c>
      <c r="T7" t="n">
        <v>505967194</v>
      </c>
      <c r="U7" t="n">
        <v>638315902</v>
      </c>
      <c r="V7" t="n">
        <v>718597663</v>
      </c>
      <c r="W7" t="n">
        <v>1032354956</v>
      </c>
      <c r="X7" t="n">
        <v>1540326075</v>
      </c>
      <c r="BN7" t="inlineStr">
        <is>
          <t>Tier 1 Ratio</t>
        </is>
      </c>
      <c r="BO7" t="n">
        <v>17.6</v>
      </c>
      <c r="BP7" t="n">
        <v>18.6</v>
      </c>
      <c r="BQ7" t="n">
        <v>21.1</v>
      </c>
      <c r="BR7" t="n">
        <v>21.4</v>
      </c>
      <c r="BS7" t="n">
        <v>23.9</v>
      </c>
      <c r="BT7" t="n">
        <v>22.2</v>
      </c>
      <c r="BU7" t="n">
        <v>19.08</v>
      </c>
      <c r="BV7" t="n">
        <v>21.46</v>
      </c>
      <c r="BW7" t="n">
        <v>19.86</v>
      </c>
    </row>
    <row r="8">
      <c r="A8" s="5" t="inlineStr">
        <is>
          <t>Customer accounts</t>
        </is>
      </c>
      <c r="B8" s="5" t="n">
        <v>1743862044</v>
      </c>
      <c r="C8" s="5" t="n">
        <v>1146536321</v>
      </c>
      <c r="D8" s="5" t="n">
        <v>777311509</v>
      </c>
      <c r="E8" s="5" t="n">
        <v>700089790</v>
      </c>
      <c r="F8" s="5" t="n">
        <v>534268186</v>
      </c>
      <c r="G8" s="5" t="n">
        <v>505856479</v>
      </c>
      <c r="H8" s="5" t="n">
        <v>392097803</v>
      </c>
      <c r="I8" s="5" t="n">
        <v>402810377</v>
      </c>
      <c r="J8" s="5" t="n">
        <v>399838771</v>
      </c>
      <c r="K8" s="5" t="n">
        <v>404285205</v>
      </c>
      <c r="N8" t="inlineStr">
        <is>
          <t>Customer accounts</t>
        </is>
      </c>
      <c r="O8" t="n">
        <v>404285205</v>
      </c>
      <c r="P8" t="n">
        <v>399838771</v>
      </c>
      <c r="Q8" t="n">
        <v>402810377</v>
      </c>
      <c r="R8" t="n">
        <v>392097803</v>
      </c>
      <c r="S8" t="n">
        <v>505856479</v>
      </c>
      <c r="T8" t="n">
        <v>534268186</v>
      </c>
      <c r="U8" t="n">
        <v>700089790</v>
      </c>
      <c r="V8" t="n">
        <v>777311509</v>
      </c>
      <c r="W8" t="n">
        <v>1146536321</v>
      </c>
      <c r="X8" t="n">
        <v>1743862044</v>
      </c>
      <c r="BN8" t="inlineStr">
        <is>
          <t>Total Capital Ratio</t>
        </is>
      </c>
      <c r="BO8" t="n">
        <v>18.3</v>
      </c>
      <c r="BP8" t="n">
        <v>19</v>
      </c>
      <c r="BQ8" t="n">
        <v>21.4</v>
      </c>
      <c r="BR8" t="n">
        <v>21.6</v>
      </c>
      <c r="BS8" t="n">
        <v>24</v>
      </c>
      <c r="BT8" t="n">
        <v>22.3</v>
      </c>
      <c r="BU8" t="n">
        <v>19.18</v>
      </c>
      <c r="BV8" t="n">
        <v>21.56</v>
      </c>
      <c r="BW8" t="n">
        <v>20</v>
      </c>
      <c r="BX8" t="n">
        <v>16.3</v>
      </c>
    </row>
    <row r="9">
      <c r="A9" s="5" t="inlineStr">
        <is>
          <t>Total equity</t>
        </is>
      </c>
      <c r="B9" s="5" t="n">
        <v>117048800</v>
      </c>
      <c r="C9" s="5" t="n">
        <v>104929751</v>
      </c>
      <c r="D9" s="5" t="n">
        <v>92156775</v>
      </c>
      <c r="E9" s="5" t="n">
        <v>74613211</v>
      </c>
      <c r="F9" s="5" t="n">
        <v>80081720</v>
      </c>
      <c r="G9" s="5" t="n">
        <v>76112483</v>
      </c>
      <c r="H9" s="5" t="n">
        <v>77792496</v>
      </c>
      <c r="I9" s="5" t="n">
        <v>70606970</v>
      </c>
      <c r="J9" s="5" t="n">
        <v>83812609</v>
      </c>
      <c r="K9" s="5" t="n">
        <v>79522677</v>
      </c>
      <c r="N9" t="inlineStr">
        <is>
          <t>Total equity</t>
        </is>
      </c>
      <c r="O9" t="n">
        <v>79522677</v>
      </c>
      <c r="P9" t="n">
        <v>83812609</v>
      </c>
      <c r="Q9" t="n">
        <v>70606970</v>
      </c>
      <c r="R9" t="n">
        <v>77792496</v>
      </c>
      <c r="S9" t="n">
        <v>76112483</v>
      </c>
      <c r="T9" t="n">
        <v>80081720</v>
      </c>
      <c r="U9" t="n">
        <v>74613211</v>
      </c>
      <c r="V9" t="n">
        <v>92156775</v>
      </c>
      <c r="W9" t="n">
        <v>104929751</v>
      </c>
      <c r="X9" t="n">
        <v>117048800</v>
      </c>
      <c r="BN9" t="inlineStr">
        <is>
          <t>Leverage Ratio</t>
        </is>
      </c>
      <c r="BO9" t="n">
        <v>14.4</v>
      </c>
      <c r="BP9" t="n">
        <v>15.8</v>
      </c>
      <c r="BQ9" t="n">
        <v>13.95</v>
      </c>
      <c r="BR9" t="n">
        <v>15.51</v>
      </c>
      <c r="BS9" t="n">
        <v>12.55</v>
      </c>
      <c r="BT9" t="n">
        <v>10.97</v>
      </c>
      <c r="BU9" t="n">
        <v>8.43</v>
      </c>
      <c r="BV9" t="n">
        <v>8.52</v>
      </c>
      <c r="BW9" t="n">
        <v>7.17</v>
      </c>
    </row>
    <row r="11">
      <c r="A11" s="3" t="inlineStr">
        <is>
          <t>Profit &amp; Loss Summary (£)</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AB12" t="inlineStr">
        <is>
          <t>FY2016</t>
        </is>
      </c>
      <c r="AC12" t="inlineStr">
        <is>
          <t>FY2017</t>
        </is>
      </c>
      <c r="AD12" t="inlineStr">
        <is>
          <t>FY2018</t>
        </is>
      </c>
      <c r="AE12" t="inlineStr">
        <is>
          <t>FY2019</t>
        </is>
      </c>
      <c r="AF12" t="inlineStr">
        <is>
          <t>FY2020</t>
        </is>
      </c>
      <c r="AG12" t="inlineStr">
        <is>
          <t>FY2021</t>
        </is>
      </c>
      <c r="AH12" t="inlineStr">
        <is>
          <t>FY2022</t>
        </is>
      </c>
      <c r="AI12" t="inlineStr">
        <is>
          <t>FY2023</t>
        </is>
      </c>
      <c r="AJ12" t="inlineStr">
        <is>
          <t>FY2024</t>
        </is>
      </c>
      <c r="AK12" t="inlineStr">
        <is>
          <t>FY2025</t>
        </is>
      </c>
    </row>
    <row r="13">
      <c r="A13" s="5" t="inlineStr">
        <is>
          <t>Net interest income</t>
        </is>
      </c>
      <c r="B13" s="5" t="n">
        <v>31451764</v>
      </c>
      <c r="C13" s="5" t="n">
        <v>24035926</v>
      </c>
      <c r="D13" s="5" t="n">
        <v>21076124</v>
      </c>
      <c r="E13" s="5" t="n">
        <v>18748218</v>
      </c>
      <c r="F13" s="5" t="n">
        <v>13534152</v>
      </c>
      <c r="G13" s="5" t="n">
        <v>9571650</v>
      </c>
      <c r="H13" s="5" t="n">
        <v>7662243</v>
      </c>
      <c r="I13" s="5" t="n">
        <v>8961934</v>
      </c>
      <c r="J13" s="5" t="n">
        <v>8149617</v>
      </c>
      <c r="K13" s="5" t="n">
        <v>9019396</v>
      </c>
      <c r="AA13" t="inlineStr">
        <is>
          <t>Net interest income</t>
        </is>
      </c>
      <c r="AB13" t="n">
        <v>9019396</v>
      </c>
      <c r="AC13" t="n">
        <v>8149617</v>
      </c>
      <c r="AD13" t="n">
        <v>8961934</v>
      </c>
      <c r="AE13" t="n">
        <v>7662243</v>
      </c>
      <c r="AF13" t="n">
        <v>9571650</v>
      </c>
      <c r="AG13" t="n">
        <v>13534152</v>
      </c>
      <c r="AH13" t="n">
        <v>18748218</v>
      </c>
      <c r="AI13" t="n">
        <v>21076124</v>
      </c>
      <c r="AJ13" t="n">
        <v>24035926</v>
      </c>
      <c r="AK13" t="n">
        <v>31451764</v>
      </c>
    </row>
    <row r="14">
      <c r="A14" s="5" t="inlineStr">
        <is>
          <t>Total income</t>
        </is>
      </c>
      <c r="B14" s="5" t="n">
        <v>32547948</v>
      </c>
      <c r="C14" s="5" t="n">
        <v>23244172</v>
      </c>
      <c r="D14" s="5" t="n">
        <v>22530672</v>
      </c>
      <c r="E14" s="5" t="n">
        <v>24424870</v>
      </c>
      <c r="F14" s="5" t="n">
        <v>16056572</v>
      </c>
      <c r="G14" s="5" t="n">
        <v>12264930</v>
      </c>
      <c r="H14" s="5" t="n">
        <v>10838039</v>
      </c>
      <c r="I14" s="5" t="n">
        <v>11869329</v>
      </c>
      <c r="J14" s="5" t="n">
        <v>17775836</v>
      </c>
      <c r="K14" s="5" t="n">
        <v>19545835</v>
      </c>
      <c r="AA14" t="inlineStr">
        <is>
          <t>Total income</t>
        </is>
      </c>
      <c r="AB14" t="n">
        <v>19545835</v>
      </c>
      <c r="AC14" t="n">
        <v>17775836</v>
      </c>
      <c r="AD14" t="n">
        <v>11869329</v>
      </c>
      <c r="AE14" t="n">
        <v>10838039</v>
      </c>
      <c r="AF14" t="n">
        <v>12264930</v>
      </c>
      <c r="AG14" t="n">
        <v>16056572</v>
      </c>
      <c r="AH14" t="n">
        <v>24424870</v>
      </c>
      <c r="AI14" t="n">
        <v>22530672</v>
      </c>
      <c r="AJ14" t="n">
        <v>23244172</v>
      </c>
      <c r="AK14" t="n">
        <v>32547948</v>
      </c>
    </row>
    <row r="15">
      <c r="A15" s="5" t="inlineStr">
        <is>
          <t>Profit for the year</t>
        </is>
      </c>
      <c r="B15" s="5" t="n">
        <v>10845105</v>
      </c>
      <c r="C15" s="5" t="n">
        <v>7138466</v>
      </c>
      <c r="D15" s="5" t="n">
        <v>8600467</v>
      </c>
      <c r="E15" s="5" t="n">
        <v>4541768</v>
      </c>
      <c r="F15" s="5" t="n">
        <v>2918006</v>
      </c>
      <c r="G15" s="5" t="n">
        <v>-2195399</v>
      </c>
      <c r="H15" s="5" t="n">
        <v>-715523</v>
      </c>
      <c r="I15" s="5" t="n">
        <v>-5061925</v>
      </c>
      <c r="J15" s="5" t="n">
        <v>-828468</v>
      </c>
      <c r="K15" s="5" t="n">
        <v>4396626</v>
      </c>
      <c r="AA15" t="inlineStr">
        <is>
          <t>Profit for the year</t>
        </is>
      </c>
      <c r="AB15" t="n">
        <v>4396626</v>
      </c>
      <c r="AC15" t="n">
        <v>-828468</v>
      </c>
      <c r="AD15" t="n">
        <v>-5061925</v>
      </c>
      <c r="AE15" t="n">
        <v>-715523</v>
      </c>
      <c r="AF15" t="n">
        <v>-2195399</v>
      </c>
      <c r="AG15" t="n">
        <v>2918006</v>
      </c>
      <c r="AH15" t="n">
        <v>4541768</v>
      </c>
      <c r="AI15" t="n">
        <v>8600467</v>
      </c>
      <c r="AJ15" t="n">
        <v>7138466</v>
      </c>
      <c r="AK15" t="n">
        <v>10845105</v>
      </c>
    </row>
    <row r="17">
      <c r="A17" s="3" t="inlineStr">
        <is>
          <t>Statement of Changes in Equity Summary (£)</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AO18" t="inlineStr">
        <is>
          <t>FY2016</t>
        </is>
      </c>
      <c r="AP18" t="inlineStr">
        <is>
          <t>FY2017</t>
        </is>
      </c>
      <c r="AQ18" t="inlineStr">
        <is>
          <t>FY2018</t>
        </is>
      </c>
      <c r="AR18" t="inlineStr">
        <is>
          <t>FY2019</t>
        </is>
      </c>
      <c r="AS18" t="inlineStr">
        <is>
          <t>FY2020</t>
        </is>
      </c>
      <c r="AT18" t="inlineStr">
        <is>
          <t>FY2021</t>
        </is>
      </c>
      <c r="AU18" t="inlineStr">
        <is>
          <t>FY2022</t>
        </is>
      </c>
      <c r="AV18" t="inlineStr">
        <is>
          <t>FY2023</t>
        </is>
      </c>
      <c r="AW18" t="inlineStr">
        <is>
          <t>FY2024</t>
        </is>
      </c>
      <c r="AX18" t="inlineStr">
        <is>
          <t>FY2025</t>
        </is>
      </c>
    </row>
    <row r="19">
      <c r="A19" s="5" t="inlineStr">
        <is>
          <t>Opening equity</t>
        </is>
      </c>
      <c r="B19" s="5" t="n">
        <v>104929751</v>
      </c>
      <c r="C19" s="5" t="n">
        <v>92156775</v>
      </c>
      <c r="D19" s="5" t="n">
        <v>74613211</v>
      </c>
      <c r="E19" s="5" t="n">
        <v>80081720</v>
      </c>
      <c r="F19" s="5" t="n">
        <v>76112483</v>
      </c>
      <c r="G19" s="5" t="n">
        <v>77792496</v>
      </c>
      <c r="H19" s="5" t="n">
        <v>70606970</v>
      </c>
      <c r="I19" s="5" t="n">
        <v>84162609</v>
      </c>
      <c r="J19" s="5" t="n">
        <v>79522677</v>
      </c>
      <c r="K19" s="5" t="n">
        <v>75082777</v>
      </c>
      <c r="AN19" t="inlineStr">
        <is>
          <t>Opening equity</t>
        </is>
      </c>
      <c r="AO19" t="n">
        <v>75082777</v>
      </c>
      <c r="AP19" t="n">
        <v>79522677</v>
      </c>
      <c r="AQ19" t="n">
        <v>84162609</v>
      </c>
      <c r="AR19" t="n">
        <v>70606970</v>
      </c>
      <c r="AS19" t="n">
        <v>77792496</v>
      </c>
      <c r="AT19" t="n">
        <v>76112483</v>
      </c>
      <c r="AU19" t="n">
        <v>80081720</v>
      </c>
      <c r="AV19" t="n">
        <v>74613211</v>
      </c>
      <c r="AW19" t="n">
        <v>92156775</v>
      </c>
      <c r="AX19" t="n">
        <v>104929751</v>
      </c>
    </row>
    <row r="20">
      <c r="A20" s="5" t="inlineStr">
        <is>
          <t>Total comprehensive income for the year</t>
        </is>
      </c>
      <c r="B20" s="5" t="n">
        <v>12119054</v>
      </c>
      <c r="C20" s="5" t="n">
        <v>12772976</v>
      </c>
      <c r="D20" s="5" t="n">
        <v>17543564</v>
      </c>
      <c r="E20" s="5" t="n">
        <v>-4453509</v>
      </c>
      <c r="F20" s="5" t="n">
        <v>3969238</v>
      </c>
      <c r="G20" s="5" t="n">
        <v>-1680013</v>
      </c>
      <c r="H20" s="5" t="n">
        <v>7185526</v>
      </c>
      <c r="I20" s="5" t="n">
        <v>-13555639</v>
      </c>
      <c r="J20" s="5" t="n">
        <v>6489932</v>
      </c>
      <c r="K20" s="5" t="n">
        <v>6939900</v>
      </c>
      <c r="AN20" t="inlineStr">
        <is>
          <t>Total comprehensive income for the year</t>
        </is>
      </c>
      <c r="AO20" t="n">
        <v>6939900</v>
      </c>
      <c r="AP20" t="n">
        <v>6489932</v>
      </c>
      <c r="AQ20" t="n">
        <v>-13555639</v>
      </c>
      <c r="AR20" t="n">
        <v>7185526</v>
      </c>
      <c r="AS20" t="n">
        <v>-1680013</v>
      </c>
      <c r="AT20" t="n">
        <v>3969238</v>
      </c>
      <c r="AU20" t="n">
        <v>-4453509</v>
      </c>
      <c r="AV20" t="n">
        <v>17543564</v>
      </c>
      <c r="AW20" t="n">
        <v>12772976</v>
      </c>
      <c r="AX20" t="n">
        <v>12119054</v>
      </c>
    </row>
    <row r="21">
      <c r="A21" s="5" t="inlineStr">
        <is>
          <t>Other equity movements, net</t>
        </is>
      </c>
      <c r="B21" s="5" t="n">
        <v>0</v>
      </c>
      <c r="C21" s="5" t="n">
        <v>0</v>
      </c>
      <c r="D21" s="5" t="n">
        <v>0</v>
      </c>
      <c r="E21" s="5" t="n">
        <v>-1015000</v>
      </c>
      <c r="F21" s="5" t="n">
        <v>0</v>
      </c>
      <c r="G21" s="5" t="n">
        <v>0</v>
      </c>
      <c r="H21" s="5" t="n">
        <v>0</v>
      </c>
      <c r="I21" s="5" t="n">
        <v>0</v>
      </c>
      <c r="J21" s="5" t="n">
        <v>-2200000</v>
      </c>
      <c r="K21" s="5" t="n">
        <v>-2500000</v>
      </c>
      <c r="AN21" t="inlineStr">
        <is>
          <t>Other equity movements, net</t>
        </is>
      </c>
      <c r="AO21" t="n">
        <v>-2500000</v>
      </c>
      <c r="AP21" t="n">
        <v>-2200000</v>
      </c>
      <c r="AQ21" t="n">
        <v>0</v>
      </c>
      <c r="AR21" t="n">
        <v>0</v>
      </c>
      <c r="AS21" t="n">
        <v>0</v>
      </c>
      <c r="AT21" t="n">
        <v>0</v>
      </c>
      <c r="AU21" t="n">
        <v>-1015000</v>
      </c>
      <c r="AV21" t="n">
        <v>0</v>
      </c>
      <c r="AW21" t="n">
        <v>0</v>
      </c>
      <c r="AX21" t="n">
        <v>0</v>
      </c>
    </row>
    <row r="22">
      <c r="A22" s="5" t="inlineStr">
        <is>
          <t>Closing equity</t>
        </is>
      </c>
      <c r="B22" s="5" t="n">
        <v>117048805</v>
      </c>
      <c r="C22" s="5" t="n">
        <v>104929751</v>
      </c>
      <c r="D22" s="5" t="n">
        <v>92156775</v>
      </c>
      <c r="E22" s="5" t="n">
        <v>74613211</v>
      </c>
      <c r="F22" s="5" t="n">
        <v>80081720</v>
      </c>
      <c r="G22" s="5" t="n">
        <v>76112483</v>
      </c>
      <c r="H22" s="5" t="n">
        <v>77792496</v>
      </c>
      <c r="I22" s="5" t="n">
        <v>70606970</v>
      </c>
      <c r="J22" s="5" t="n">
        <v>83812609</v>
      </c>
      <c r="K22" s="5" t="n">
        <v>79522677</v>
      </c>
      <c r="AN22" t="inlineStr">
        <is>
          <t>Closing equity</t>
        </is>
      </c>
      <c r="AO22" t="n">
        <v>79522677</v>
      </c>
      <c r="AP22" t="n">
        <v>83812609</v>
      </c>
      <c r="AQ22" t="n">
        <v>70606970</v>
      </c>
      <c r="AR22" t="n">
        <v>77792496</v>
      </c>
      <c r="AS22" t="n">
        <v>76112483</v>
      </c>
      <c r="AT22" t="n">
        <v>80081720</v>
      </c>
      <c r="AU22" t="n">
        <v>74613211</v>
      </c>
      <c r="AV22" t="n">
        <v>92156775</v>
      </c>
      <c r="AW22" t="n">
        <v>104929751</v>
      </c>
      <c r="AX22" t="n">
        <v>117048805</v>
      </c>
    </row>
    <row r="24">
      <c r="A24" s="3" t="inlineStr">
        <is>
          <t>Cash Flow Summary (£)</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BB25" t="inlineStr">
        <is>
          <t>FY2016</t>
        </is>
      </c>
      <c r="BC25" t="inlineStr">
        <is>
          <t>FY2017</t>
        </is>
      </c>
      <c r="BD25" t="inlineStr">
        <is>
          <t>FY2018</t>
        </is>
      </c>
      <c r="BE25" t="inlineStr">
        <is>
          <t>FY2019</t>
        </is>
      </c>
      <c r="BF25" t="inlineStr">
        <is>
          <t>FY2020</t>
        </is>
      </c>
      <c r="BG25" t="inlineStr">
        <is>
          <t>FY2021</t>
        </is>
      </c>
      <c r="BH25" t="inlineStr">
        <is>
          <t>FY2022</t>
        </is>
      </c>
      <c r="BI25" t="inlineStr">
        <is>
          <t>FY2023</t>
        </is>
      </c>
      <c r="BJ25" t="inlineStr">
        <is>
          <t>FY2024</t>
        </is>
      </c>
      <c r="BK25" t="inlineStr">
        <is>
          <t>FY2025</t>
        </is>
      </c>
    </row>
    <row r="26">
      <c r="A26" s="5" t="inlineStr">
        <is>
          <t>Net cash from/(used in) operating activities</t>
        </is>
      </c>
      <c r="B26" s="5" t="n">
        <v>127702657</v>
      </c>
      <c r="C26" s="5" t="n">
        <v>53821009</v>
      </c>
      <c r="D26" s="5" t="n">
        <v>-8259721</v>
      </c>
      <c r="E26" s="5" t="n">
        <v>20553004</v>
      </c>
      <c r="F26" s="5" t="n">
        <v>-73063723</v>
      </c>
      <c r="G26" s="5" t="n">
        <v>26837956</v>
      </c>
      <c r="H26" s="5" t="n">
        <v>-93052123</v>
      </c>
      <c r="I26" s="5" t="n">
        <v>31158073</v>
      </c>
      <c r="J26" s="5" t="n">
        <v>-60544125</v>
      </c>
      <c r="K26" s="5" t="n">
        <v>51212287</v>
      </c>
      <c r="BA26" t="inlineStr">
        <is>
          <t>Net cash from/(used in) operating activities</t>
        </is>
      </c>
      <c r="BB26" t="n">
        <v>51212287</v>
      </c>
      <c r="BC26" t="n">
        <v>-60544125</v>
      </c>
      <c r="BD26" t="n">
        <v>31158073</v>
      </c>
      <c r="BE26" t="n">
        <v>-93052123</v>
      </c>
      <c r="BF26" t="n">
        <v>26837956</v>
      </c>
      <c r="BG26" t="n">
        <v>-73063723</v>
      </c>
      <c r="BH26" t="n">
        <v>20553004</v>
      </c>
      <c r="BI26" t="n">
        <v>-8259721</v>
      </c>
      <c r="BJ26" t="n">
        <v>53821009</v>
      </c>
      <c r="BK26" t="n">
        <v>127702657</v>
      </c>
    </row>
    <row r="27">
      <c r="A27" s="5" t="inlineStr">
        <is>
          <t>Net cash from/(used in) investing activities</t>
        </is>
      </c>
      <c r="B27" s="5" t="n">
        <v>-122616219</v>
      </c>
      <c r="C27" s="5" t="n">
        <v>-35765377</v>
      </c>
      <c r="D27" s="5" t="n">
        <v>-9023414</v>
      </c>
      <c r="E27" s="5" t="n">
        <v>-45210977</v>
      </c>
      <c r="F27" s="5" t="n">
        <v>55618680</v>
      </c>
      <c r="G27" s="5" t="n">
        <v>-12357660</v>
      </c>
      <c r="H27" s="5" t="n">
        <v>100375348</v>
      </c>
      <c r="I27" s="5" t="n">
        <v>-33926942</v>
      </c>
      <c r="J27" s="5" t="n">
        <v>33120852</v>
      </c>
      <c r="K27" s="5" t="n">
        <v>-17679209</v>
      </c>
      <c r="BA27" t="inlineStr">
        <is>
          <t>Net cash from/(used in) investing activities</t>
        </is>
      </c>
      <c r="BB27" t="n">
        <v>-17679209</v>
      </c>
      <c r="BC27" t="n">
        <v>33120852</v>
      </c>
      <c r="BD27" t="n">
        <v>-33926942</v>
      </c>
      <c r="BE27" t="n">
        <v>100375348</v>
      </c>
      <c r="BF27" t="n">
        <v>-12357660</v>
      </c>
      <c r="BG27" t="n">
        <v>55618680</v>
      </c>
      <c r="BH27" t="n">
        <v>-45210977</v>
      </c>
      <c r="BI27" t="n">
        <v>-9023414</v>
      </c>
      <c r="BJ27" t="n">
        <v>-35765377</v>
      </c>
      <c r="BK27" t="n">
        <v>-122616219</v>
      </c>
    </row>
    <row r="28">
      <c r="A28" s="5" t="inlineStr">
        <is>
          <t>Net cash from/(used in) financing activities</t>
        </is>
      </c>
      <c r="B28" s="5" t="n"/>
      <c r="C28" s="5" t="n">
        <v>-19306380</v>
      </c>
      <c r="D28" s="5" t="n">
        <v>19264847</v>
      </c>
      <c r="E28" s="5" t="n">
        <v>-1023263</v>
      </c>
      <c r="F28" s="5" t="n">
        <v>-25464</v>
      </c>
      <c r="G28" s="5" t="n">
        <v>-18285149</v>
      </c>
      <c r="H28" s="5" t="n">
        <v>7918571</v>
      </c>
      <c r="I28" s="5" t="n">
        <v>-10383259</v>
      </c>
      <c r="J28" s="5" t="n">
        <v>5056170</v>
      </c>
      <c r="K28" s="5" t="n">
        <v>5665061</v>
      </c>
      <c r="BA28" t="inlineStr">
        <is>
          <t>Net cash from/(used in) financing activities</t>
        </is>
      </c>
      <c r="BB28" t="n">
        <v>5665061</v>
      </c>
      <c r="BC28" t="n">
        <v>5056170</v>
      </c>
      <c r="BD28" t="n">
        <v>-10383259</v>
      </c>
      <c r="BE28" t="n">
        <v>7918571</v>
      </c>
      <c r="BF28" t="n">
        <v>-18285149</v>
      </c>
      <c r="BG28" t="n">
        <v>-25464</v>
      </c>
      <c r="BH28" t="n">
        <v>-1023263</v>
      </c>
      <c r="BI28" t="n">
        <v>19264847</v>
      </c>
      <c r="BJ28" t="n">
        <v>-19306380</v>
      </c>
    </row>
    <row r="29">
      <c r="A29" s="5" t="inlineStr">
        <is>
          <t>Cash and cash equivalents at end of year</t>
        </is>
      </c>
      <c r="B29" s="5" t="n">
        <v>13278966</v>
      </c>
      <c r="C29" s="5" t="n">
        <v>8271317</v>
      </c>
      <c r="D29" s="5" t="n">
        <v>9725415</v>
      </c>
      <c r="E29" s="5" t="n">
        <v>6703512</v>
      </c>
      <c r="F29" s="5" t="n">
        <v>33695043</v>
      </c>
      <c r="G29" s="5" t="n">
        <v>51425237</v>
      </c>
      <c r="H29" s="5" t="n">
        <v>56401421</v>
      </c>
      <c r="I29" s="5" t="n">
        <v>41303910</v>
      </c>
      <c r="J29" s="5" t="n">
        <v>53211996</v>
      </c>
      <c r="K29" s="5" t="n">
        <v>75380334</v>
      </c>
      <c r="BA29" t="inlineStr">
        <is>
          <t>Cash and cash equivalents at end of year</t>
        </is>
      </c>
      <c r="BB29" t="n">
        <v>75380334</v>
      </c>
      <c r="BC29" t="n">
        <v>53211996</v>
      </c>
      <c r="BD29" t="n">
        <v>41303910</v>
      </c>
      <c r="BE29" t="n">
        <v>56401421</v>
      </c>
      <c r="BF29" t="n">
        <v>51425237</v>
      </c>
      <c r="BG29" t="n">
        <v>33695043</v>
      </c>
      <c r="BH29" t="n">
        <v>6703512</v>
      </c>
      <c r="BI29" t="n">
        <v>9725415</v>
      </c>
      <c r="BJ29" t="n">
        <v>8271317</v>
      </c>
      <c r="BK29" t="n">
        <v>13278966</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row>
    <row r="33">
      <c r="A33" s="6" t="inlineStr">
        <is>
          <t>CET1 Ratio</t>
        </is>
      </c>
      <c r="B33" s="6" t="n"/>
      <c r="C33" s="6" t="inlineStr">
        <is>
          <t>19.86%</t>
        </is>
      </c>
      <c r="D33" s="6" t="inlineStr">
        <is>
          <t>21.46%</t>
        </is>
      </c>
      <c r="E33" s="6" t="inlineStr">
        <is>
          <t>19.08%</t>
        </is>
      </c>
      <c r="F33" s="6" t="inlineStr">
        <is>
          <t>22.2%</t>
        </is>
      </c>
      <c r="G33" s="6" t="inlineStr">
        <is>
          <t>23.9%</t>
        </is>
      </c>
      <c r="H33" s="6" t="inlineStr">
        <is>
          <t>21.4%</t>
        </is>
      </c>
      <c r="I33" s="6" t="inlineStr">
        <is>
          <t>21.1%</t>
        </is>
      </c>
      <c r="J33" s="6" t="inlineStr">
        <is>
          <t>18.6%</t>
        </is>
      </c>
      <c r="K33" s="6" t="inlineStr">
        <is>
          <t>17.6%</t>
        </is>
      </c>
    </row>
    <row r="34">
      <c r="A34" s="6" t="inlineStr">
        <is>
          <t>Tier 1 Ratio</t>
        </is>
      </c>
      <c r="B34" s="6" t="n"/>
      <c r="C34" s="6" t="inlineStr">
        <is>
          <t>19.86%</t>
        </is>
      </c>
      <c r="D34" s="6" t="inlineStr">
        <is>
          <t>21.46%</t>
        </is>
      </c>
      <c r="E34" s="6" t="inlineStr">
        <is>
          <t>19.08%</t>
        </is>
      </c>
      <c r="F34" s="6" t="inlineStr">
        <is>
          <t>22.2%</t>
        </is>
      </c>
      <c r="G34" s="6" t="inlineStr">
        <is>
          <t>23.9%</t>
        </is>
      </c>
      <c r="H34" s="6" t="inlineStr">
        <is>
          <t>21.4%</t>
        </is>
      </c>
      <c r="I34" s="6" t="inlineStr">
        <is>
          <t>21.1%</t>
        </is>
      </c>
      <c r="J34" s="6" t="inlineStr">
        <is>
          <t>18.6%</t>
        </is>
      </c>
      <c r="K34" s="6" t="inlineStr">
        <is>
          <t>17.6%</t>
        </is>
      </c>
    </row>
    <row r="35">
      <c r="A35" s="6" t="inlineStr">
        <is>
          <t>Total Capital Ratio</t>
        </is>
      </c>
      <c r="B35" s="6" t="inlineStr">
        <is>
          <t>16.3%</t>
        </is>
      </c>
      <c r="C35" s="6" t="inlineStr">
        <is>
          <t>20.00%</t>
        </is>
      </c>
      <c r="D35" s="6" t="inlineStr">
        <is>
          <t>21.56%</t>
        </is>
      </c>
      <c r="E35" s="6" t="inlineStr">
        <is>
          <t>19.18%</t>
        </is>
      </c>
      <c r="F35" s="6" t="inlineStr">
        <is>
          <t>22.3%</t>
        </is>
      </c>
      <c r="G35" s="6" t="inlineStr">
        <is>
          <t>24%</t>
        </is>
      </c>
      <c r="H35" s="6" t="inlineStr">
        <is>
          <t>21.6%</t>
        </is>
      </c>
      <c r="I35" s="6" t="inlineStr">
        <is>
          <t>21.4%</t>
        </is>
      </c>
      <c r="J35" s="6" t="inlineStr">
        <is>
          <t>19.0%</t>
        </is>
      </c>
      <c r="K35" s="6" t="inlineStr">
        <is>
          <t>18.3%</t>
        </is>
      </c>
    </row>
    <row r="36">
      <c r="A36" s="6" t="inlineStr">
        <is>
          <t>Leverage Ratio</t>
        </is>
      </c>
      <c r="B36" s="6" t="n"/>
      <c r="C36" s="6" t="inlineStr">
        <is>
          <t>7.17%</t>
        </is>
      </c>
      <c r="D36" s="6" t="inlineStr">
        <is>
          <t>8.52%</t>
        </is>
      </c>
      <c r="E36" s="6" t="inlineStr">
        <is>
          <t>8.43%</t>
        </is>
      </c>
      <c r="F36" s="6" t="inlineStr">
        <is>
          <t>10.97%</t>
        </is>
      </c>
      <c r="G36" s="6" t="inlineStr">
        <is>
          <t>12.55%</t>
        </is>
      </c>
      <c r="H36" s="6" t="inlineStr">
        <is>
          <t>15.51%</t>
        </is>
      </c>
      <c r="I36" s="6" t="inlineStr">
        <is>
          <t>13.95%</t>
        </is>
      </c>
      <c r="J36" s="6" t="inlineStr">
        <is>
          <t>15.8%</t>
        </is>
      </c>
      <c r="K36" s="6" t="inlineStr">
        <is>
          <t>14.4%</t>
        </is>
      </c>
    </row>
    <row r="38" ht="78" customHeight="1">
      <c r="A38" s="7" t="inlineStr">
        <is>
          <t>Note: Figures are duplicated from the detail sheets for at-a-glance trend viewing; see each sheet's own source citation for the underlying document/page. Pillar 3 ratios/RWA now available for all 10 years FY2016-FY2024 (FY2016-FY2021 were first recovered from the Wayback Machine, after an initial 1-MiB crawl-truncation of the first-found snapshots was identified and resolved by locating later, complete captures; as of 16 September 2026 all nine editions are cited from the bank's own live ubluk.com URLs instead, each re-verified by status, Content-Type and %PDF magic bytes); FY2025 remains not disclosed because no FY2025 Pillar 3 edition is published - an enumerated absence on the bank's own current document index, re-checkable given its very late cadence (see Cash Flow Statement sheet entity note). LCR/NSFR/MREL: not disclosed in any year reviewed. Balance Sheet/Profit &amp; Loss/Statement of Changes in Equity/Asset Quality use FY2022's own originally-published figures, not the FY2023 report's restated FY2022 comparative - see those sheets' own source notes for the resulting ~£2.26m net-loans discrepancy. Equity roll-forward figures for FY2016-FY2021 combine each year's actuarial/AFS-fair-value/property-revaluation OCI items into 'Total comprehensive income for the year' (dividends shown separately as 'Other equity movements, net'); see the Statement of Changes in Equity sheet for the full line-by-line movements and the FY2017/FY2018 opening-balance restatement noted there.</t>
        </is>
      </c>
    </row>
  </sheetData>
  <mergeCells count="1">
    <mergeCell ref="A38:K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Balance Sheet</t>
        </is>
      </c>
    </row>
    <row r="2">
      <c r="A2" s="2" t="inlineStr">
        <is>
          <t>Company basis, exact £ (not £'000/£m) - see source note at bottom.</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c r="K3" s="4" t="inlineStr">
        <is>
          <t>FY2016 (£)</t>
        </is>
      </c>
    </row>
    <row r="4">
      <c r="A4" s="5" t="inlineStr">
        <is>
          <t>Assets</t>
        </is>
      </c>
      <c r="B4" s="6" t="n"/>
      <c r="C4" s="6" t="n"/>
      <c r="D4" s="6" t="n"/>
      <c r="E4" s="6" t="n"/>
      <c r="F4" s="6" t="n"/>
      <c r="G4" s="6" t="n"/>
      <c r="H4" s="6" t="n"/>
      <c r="I4" s="6" t="n"/>
      <c r="J4" s="6" t="n"/>
      <c r="K4" s="6" t="n"/>
    </row>
    <row r="5">
      <c r="A5" s="6" t="inlineStr">
        <is>
          <t>Cash and balances at banks</t>
        </is>
      </c>
      <c r="B5" s="6" t="n">
        <v>13278966</v>
      </c>
      <c r="C5" s="6" t="n">
        <v>8271317</v>
      </c>
      <c r="D5" s="6" t="n">
        <v>9725415</v>
      </c>
      <c r="E5" s="6" t="n">
        <v>6703512</v>
      </c>
      <c r="F5" s="6" t="n">
        <v>33695043</v>
      </c>
      <c r="G5" s="6" t="n">
        <v>51425237</v>
      </c>
      <c r="H5" s="6" t="n">
        <v>56401421</v>
      </c>
      <c r="I5" s="6" t="n">
        <v>41303910</v>
      </c>
      <c r="J5" s="6" t="n">
        <v>53211996</v>
      </c>
      <c r="K5" s="6" t="n">
        <v>75380334</v>
      </c>
    </row>
    <row r="6">
      <c r="A6" s="6" t="inlineStr">
        <is>
          <t>Loans and advances to customers</t>
        </is>
      </c>
      <c r="B6" s="6" t="n">
        <v>1540326075</v>
      </c>
      <c r="C6" s="6" t="n">
        <v>1032354956</v>
      </c>
      <c r="D6" s="6" t="n">
        <v>718597663</v>
      </c>
      <c r="E6" s="6" t="n">
        <v>638315902</v>
      </c>
      <c r="F6" s="6" t="n">
        <v>505967194</v>
      </c>
      <c r="G6" s="6" t="n">
        <v>371849345</v>
      </c>
      <c r="H6" s="6" t="n">
        <v>283814684</v>
      </c>
      <c r="I6" s="6" t="n">
        <v>194150630</v>
      </c>
      <c r="J6" s="6" t="n">
        <v>224061810</v>
      </c>
      <c r="K6" s="6" t="n">
        <v>180722026</v>
      </c>
    </row>
    <row r="7">
      <c r="A7" s="6" t="inlineStr">
        <is>
          <t>Loans and advances to banks</t>
        </is>
      </c>
      <c r="B7" s="6" t="n">
        <v>23388100</v>
      </c>
      <c r="C7" s="6" t="n">
        <v>22616365</v>
      </c>
      <c r="D7" s="6" t="n">
        <v>13576284</v>
      </c>
      <c r="E7" s="6" t="n">
        <v>2000329</v>
      </c>
      <c r="F7" s="6" t="n">
        <v>2253488</v>
      </c>
      <c r="G7" s="6" t="n">
        <v>570000</v>
      </c>
      <c r="H7" s="6" t="n"/>
      <c r="I7" s="6" t="n">
        <v>0</v>
      </c>
      <c r="J7" s="6" t="n">
        <v>3500173</v>
      </c>
      <c r="K7" s="6" t="n"/>
    </row>
    <row r="8">
      <c r="A8" s="6" t="inlineStr">
        <is>
          <t>Derivative financial assets</t>
        </is>
      </c>
      <c r="B8" s="6" t="n">
        <v>245277</v>
      </c>
      <c r="C8" s="6" t="n">
        <v>331288</v>
      </c>
      <c r="D8" s="6" t="n">
        <v>632792</v>
      </c>
      <c r="E8" s="6" t="n">
        <v>3137104</v>
      </c>
      <c r="F8" s="6" t="n">
        <v>414198</v>
      </c>
      <c r="G8" s="6" t="n">
        <v>2819986</v>
      </c>
      <c r="H8" s="6" t="n">
        <v>3482846</v>
      </c>
      <c r="I8" s="6" t="n">
        <v>350369</v>
      </c>
      <c r="J8" s="6" t="n">
        <v>2868194</v>
      </c>
      <c r="K8" s="6" t="n">
        <v>930058</v>
      </c>
    </row>
    <row r="9">
      <c r="A9" s="6" t="inlineStr">
        <is>
          <t>Total debt securities</t>
        </is>
      </c>
      <c r="B9" s="6" t="n">
        <v>297504303</v>
      </c>
      <c r="C9" s="6" t="n">
        <v>178309427</v>
      </c>
      <c r="D9" s="6" t="n">
        <v>138342935</v>
      </c>
      <c r="E9" s="6" t="n">
        <v>122536714</v>
      </c>
      <c r="F9" s="6" t="n">
        <v>92219766</v>
      </c>
      <c r="G9" s="6" t="n">
        <v>148064178</v>
      </c>
      <c r="H9" s="6" t="n">
        <v>137827144</v>
      </c>
      <c r="I9" s="6" t="n">
        <v>229966518</v>
      </c>
      <c r="J9" s="6" t="n">
        <v>207095990</v>
      </c>
      <c r="K9" s="6" t="n">
        <v>234153205</v>
      </c>
    </row>
    <row r="10">
      <c r="A10" s="6" t="inlineStr">
        <is>
          <t>Debt securities - Available for sale (AFS)</t>
        </is>
      </c>
      <c r="B10" s="6" t="n">
        <v>297504303</v>
      </c>
      <c r="C10" s="6" t="n">
        <v>178309427</v>
      </c>
      <c r="D10" s="6" t="n">
        <v>138342935</v>
      </c>
      <c r="E10" s="6" t="n">
        <v>122536714</v>
      </c>
      <c r="F10" s="6" t="n"/>
      <c r="G10" s="6" t="n"/>
      <c r="H10" s="6" t="n">
        <v>137827144</v>
      </c>
      <c r="I10" s="6" t="n">
        <v>229966518</v>
      </c>
      <c r="J10" s="6" t="n">
        <v>149912000</v>
      </c>
      <c r="K10" s="6" t="n">
        <v>180624000</v>
      </c>
    </row>
    <row r="11">
      <c r="A11" s="6" t="inlineStr">
        <is>
          <t>Debt securities - Held to maturity (HTM, amortised cost)</t>
        </is>
      </c>
      <c r="B11" s="6" t="n"/>
      <c r="C11" s="6" t="n"/>
      <c r="D11" s="6" t="n"/>
      <c r="E11" s="6" t="n"/>
      <c r="F11" s="6" t="n"/>
      <c r="G11" s="6" t="n"/>
      <c r="H11" s="6" t="n"/>
      <c r="I11" s="6" t="n"/>
      <c r="J11" s="6" t="n">
        <v>57184000</v>
      </c>
      <c r="K11" s="6" t="n">
        <v>53529000</v>
      </c>
    </row>
    <row r="12">
      <c r="A12" s="6" t="inlineStr">
        <is>
          <t>Debt securities - Central government (government securities, available for sale)</t>
        </is>
      </c>
      <c r="B12" s="6" t="n"/>
      <c r="C12" s="6" t="n"/>
      <c r="D12" s="6" t="n"/>
      <c r="E12" s="6" t="n"/>
      <c r="F12" s="6" t="n">
        <v>25791136</v>
      </c>
      <c r="G12" s="6" t="n">
        <v>67124074</v>
      </c>
      <c r="H12" s="6" t="n"/>
      <c r="I12" s="6" t="n"/>
      <c r="J12" s="6" t="n"/>
      <c r="K12" s="6" t="n"/>
    </row>
    <row r="13">
      <c r="A13" s="6" t="inlineStr">
        <is>
          <t>Debt securities - Financial institutions (available for sale)</t>
        </is>
      </c>
      <c r="B13" s="6" t="n"/>
      <c r="C13" s="6" t="n"/>
      <c r="D13" s="6" t="n"/>
      <c r="E13" s="6" t="n"/>
      <c r="F13" s="6" t="n">
        <v>54297596</v>
      </c>
      <c r="G13" s="6" t="n">
        <v>62870405</v>
      </c>
      <c r="H13" s="6" t="n"/>
      <c r="I13" s="6" t="n"/>
      <c r="J13" s="6" t="n"/>
      <c r="K13" s="6" t="n"/>
    </row>
    <row r="14">
      <c r="A14" s="6" t="inlineStr">
        <is>
          <t>Debt securities - Corporates (available for sale)</t>
        </is>
      </c>
      <c r="B14" s="6" t="n"/>
      <c r="C14" s="6" t="n"/>
      <c r="D14" s="6" t="n"/>
      <c r="E14" s="6" t="n"/>
      <c r="F14" s="6" t="n">
        <v>12131034</v>
      </c>
      <c r="G14" s="6" t="n">
        <v>18069699</v>
      </c>
      <c r="H14" s="6" t="n"/>
      <c r="I14" s="6" t="n"/>
      <c r="J14" s="6" t="n"/>
      <c r="K14" s="6" t="n"/>
    </row>
    <row r="15">
      <c r="A15" s="6" t="inlineStr">
        <is>
          <t>Prepayments and accrued income</t>
        </is>
      </c>
      <c r="B15" s="6" t="n">
        <v>1387861</v>
      </c>
      <c r="C15" s="6" t="n">
        <v>1002759</v>
      </c>
      <c r="D15" s="6" t="n">
        <v>1140078</v>
      </c>
      <c r="E15" s="6" t="n">
        <v>772017</v>
      </c>
      <c r="F15" s="6" t="n">
        <v>827884</v>
      </c>
      <c r="G15" s="6" t="n">
        <v>546073</v>
      </c>
      <c r="H15" s="6" t="n">
        <v>389754</v>
      </c>
      <c r="I15" s="6" t="n">
        <v>434839</v>
      </c>
      <c r="J15" s="6" t="n">
        <v>293327</v>
      </c>
      <c r="K15" s="6" t="n">
        <v>643737</v>
      </c>
    </row>
    <row r="16">
      <c r="A16" s="6" t="inlineStr">
        <is>
          <t>Other assets</t>
        </is>
      </c>
      <c r="B16" s="6" t="n">
        <v>6369330</v>
      </c>
      <c r="C16" s="6" t="n">
        <v>8673325</v>
      </c>
      <c r="D16" s="6" t="n">
        <v>6382510</v>
      </c>
      <c r="E16" s="6" t="n">
        <v>1906588</v>
      </c>
      <c r="F16" s="6" t="n">
        <v>1503458</v>
      </c>
      <c r="G16" s="6" t="n">
        <v>2556378</v>
      </c>
      <c r="H16" s="6" t="n">
        <v>1826419</v>
      </c>
      <c r="I16" s="6" t="n">
        <v>3377080</v>
      </c>
      <c r="J16" s="6" t="n">
        <v>4856662</v>
      </c>
      <c r="K16" s="6" t="n">
        <v>3924840</v>
      </c>
    </row>
    <row r="17">
      <c r="A17" s="6" t="inlineStr">
        <is>
          <t>Investment property</t>
        </is>
      </c>
      <c r="B17" s="6" t="n">
        <v>2900000</v>
      </c>
      <c r="C17" s="6" t="n">
        <v>2960000</v>
      </c>
      <c r="D17" s="6" t="n">
        <v>9604343</v>
      </c>
      <c r="E17" s="6" t="n">
        <v>9446895</v>
      </c>
      <c r="F17" s="6" t="n">
        <v>9446895</v>
      </c>
      <c r="G17" s="6" t="n">
        <v>8239267</v>
      </c>
      <c r="H17" s="6" t="n">
        <v>8187309</v>
      </c>
      <c r="I17" s="6" t="n">
        <v>8757309</v>
      </c>
      <c r="J17" s="6" t="n">
        <v>7970068</v>
      </c>
      <c r="K17" s="6" t="n">
        <v>7970068</v>
      </c>
    </row>
    <row r="18">
      <c r="A18" s="6" t="inlineStr">
        <is>
          <t>Tangible fixed assets</t>
        </is>
      </c>
      <c r="B18" s="6" t="n">
        <v>29230135</v>
      </c>
      <c r="C18" s="6" t="n">
        <v>28954170</v>
      </c>
      <c r="D18" s="6" t="n">
        <v>21774348</v>
      </c>
      <c r="E18" s="6" t="n">
        <v>21122931</v>
      </c>
      <c r="F18" s="6" t="n">
        <v>21854142</v>
      </c>
      <c r="G18" s="6" t="n">
        <v>19453579</v>
      </c>
      <c r="H18" s="6" t="n">
        <v>18651189</v>
      </c>
      <c r="I18" s="6" t="n">
        <v>19160217</v>
      </c>
      <c r="J18" s="6" t="n">
        <v>17616883</v>
      </c>
      <c r="K18" s="6" t="n">
        <v>17881812</v>
      </c>
    </row>
    <row r="19">
      <c r="A19" s="6" t="inlineStr">
        <is>
          <t>Intangible assets</t>
        </is>
      </c>
      <c r="B19" s="6" t="n">
        <v>2928124</v>
      </c>
      <c r="C19" s="6" t="n">
        <v>153494</v>
      </c>
      <c r="D19" s="6" t="n">
        <v>157144</v>
      </c>
      <c r="E19" s="6" t="n">
        <v>254630</v>
      </c>
      <c r="F19" s="6" t="n">
        <v>538802</v>
      </c>
      <c r="G19" s="6" t="n">
        <v>638479</v>
      </c>
      <c r="H19" s="6" t="n">
        <v>468847</v>
      </c>
      <c r="I19" s="6" t="n">
        <v>485176</v>
      </c>
      <c r="J19" s="6" t="n">
        <v>587124</v>
      </c>
      <c r="K19" s="6" t="n">
        <v>656451</v>
      </c>
    </row>
    <row r="20">
      <c r="A20" s="5" t="inlineStr">
        <is>
          <t>Total assets</t>
        </is>
      </c>
      <c r="B20" s="5" t="n">
        <v>1917558171</v>
      </c>
      <c r="C20" s="5" t="n">
        <v>1283627101</v>
      </c>
      <c r="D20" s="5" t="n">
        <v>919933512</v>
      </c>
      <c r="E20" s="5" t="n">
        <v>806196622</v>
      </c>
      <c r="F20" s="5" t="n">
        <v>668720870</v>
      </c>
      <c r="G20" s="5" t="n">
        <v>606162522</v>
      </c>
      <c r="H20" s="5" t="n">
        <v>511049613</v>
      </c>
      <c r="I20" s="5" t="n">
        <v>497986048</v>
      </c>
      <c r="J20" s="5" t="n">
        <v>522062227</v>
      </c>
      <c r="K20" s="5" t="n">
        <v>522262531</v>
      </c>
    </row>
    <row r="21">
      <c r="A21" s="5" t="inlineStr">
        <is>
          <t>Liabilities</t>
        </is>
      </c>
      <c r="B21" s="6" t="n"/>
      <c r="C21" s="6" t="n"/>
      <c r="D21" s="6" t="n"/>
      <c r="E21" s="6" t="n"/>
      <c r="F21" s="6" t="n"/>
      <c r="G21" s="6" t="n"/>
      <c r="H21" s="6" t="n"/>
      <c r="I21" s="6" t="n"/>
      <c r="J21" s="6" t="n"/>
      <c r="K21" s="6" t="n"/>
    </row>
    <row r="22">
      <c r="A22" s="6" t="inlineStr">
        <is>
          <t>Derivative financial liabilities</t>
        </is>
      </c>
      <c r="B22" s="6" t="n">
        <v>4578229</v>
      </c>
      <c r="C22" s="6" t="n">
        <v>302453</v>
      </c>
      <c r="D22" s="6" t="n">
        <v>151115</v>
      </c>
      <c r="E22" s="6" t="n">
        <v>213652</v>
      </c>
      <c r="F22" s="6" t="n">
        <v>1699142</v>
      </c>
      <c r="G22" s="6" t="n">
        <v>267337</v>
      </c>
      <c r="H22" s="6" t="n">
        <v>75835</v>
      </c>
      <c r="I22" s="6" t="n">
        <v>1458058</v>
      </c>
      <c r="J22" s="6" t="n">
        <v>8672</v>
      </c>
      <c r="K22" s="6" t="n">
        <v>2801297</v>
      </c>
    </row>
    <row r="23">
      <c r="A23" s="6" t="inlineStr">
        <is>
          <t>Provision for liabilities</t>
        </is>
      </c>
      <c r="B23" s="6" t="n">
        <v>9565009</v>
      </c>
      <c r="C23" s="6" t="n">
        <v>9788808</v>
      </c>
      <c r="D23" s="6" t="n">
        <v>7577361</v>
      </c>
      <c r="E23" s="6" t="n">
        <v>4881234</v>
      </c>
      <c r="F23" s="6" t="n">
        <v>5220425</v>
      </c>
      <c r="G23" s="6" t="n">
        <v>3921161</v>
      </c>
      <c r="H23" s="6" t="n">
        <v>3006943</v>
      </c>
      <c r="I23" s="6" t="n">
        <v>3181730</v>
      </c>
      <c r="J23" s="6" t="n">
        <v>3097429</v>
      </c>
      <c r="K23" s="6" t="n">
        <v>3908429</v>
      </c>
    </row>
    <row r="24">
      <c r="A24" s="6" t="inlineStr">
        <is>
          <t>Other liabilities</t>
        </is>
      </c>
      <c r="B24" s="6" t="n">
        <v>5808142</v>
      </c>
      <c r="C24" s="6" t="n">
        <v>3011086</v>
      </c>
      <c r="D24" s="6" t="n">
        <v>3534309</v>
      </c>
      <c r="E24" s="6" t="n">
        <v>2711282</v>
      </c>
      <c r="F24" s="6" t="n">
        <v>3963156</v>
      </c>
      <c r="G24" s="6" t="n">
        <v>2928630</v>
      </c>
      <c r="H24" s="6" t="n">
        <v>2468305</v>
      </c>
      <c r="I24" s="6" t="n">
        <v>2957737</v>
      </c>
      <c r="J24" s="6" t="n">
        <v>4487164</v>
      </c>
      <c r="K24" s="6" t="n">
        <v>5984752</v>
      </c>
    </row>
    <row r="25">
      <c r="A25" s="6" t="inlineStr">
        <is>
          <t>Deferred income</t>
        </is>
      </c>
      <c r="B25" s="6" t="n"/>
      <c r="C25" s="6" t="n"/>
      <c r="D25" s="6" t="n"/>
      <c r="E25" s="6" t="n">
        <v>2299569</v>
      </c>
      <c r="F25" s="6" t="n">
        <v>2170663</v>
      </c>
      <c r="G25" s="6" t="n"/>
      <c r="H25" s="6" t="n"/>
      <c r="I25" s="6" t="n"/>
      <c r="J25" s="6" t="n"/>
      <c r="K25" s="6" t="n"/>
    </row>
    <row r="26">
      <c r="A26" s="6" t="inlineStr">
        <is>
          <t>Accruals and deferred income</t>
        </is>
      </c>
      <c r="B26" s="6" t="n"/>
      <c r="C26" s="6" t="n"/>
      <c r="D26" s="6" t="n"/>
      <c r="E26" s="6" t="n"/>
      <c r="F26" s="6" t="n"/>
      <c r="G26" s="6" t="n">
        <v>2312541</v>
      </c>
      <c r="H26" s="6" t="n">
        <v>1627665</v>
      </c>
      <c r="I26" s="6" t="n">
        <v>1317518</v>
      </c>
      <c r="J26" s="6" t="n">
        <v>821209</v>
      </c>
      <c r="K26" s="6" t="n">
        <v>606853</v>
      </c>
    </row>
    <row r="27">
      <c r="A27" s="6" t="inlineStr">
        <is>
          <t>Subordinated debt</t>
        </is>
      </c>
      <c r="B27" s="6" t="n"/>
      <c r="C27" s="6" t="n"/>
      <c r="D27" s="6" t="n"/>
      <c r="E27" s="6" t="n"/>
      <c r="F27" s="6" t="n"/>
      <c r="G27" s="6" t="n"/>
      <c r="H27" s="6" t="n"/>
      <c r="I27" s="6" t="n">
        <v>0</v>
      </c>
      <c r="J27" s="6" t="n">
        <v>2014857</v>
      </c>
      <c r="K27" s="6" t="n">
        <v>2013009</v>
      </c>
    </row>
    <row r="28">
      <c r="A28" s="6" t="inlineStr">
        <is>
          <t>Deposits by banks and credit unions</t>
        </is>
      </c>
      <c r="B28" s="6" t="n">
        <v>36695947</v>
      </c>
      <c r="C28" s="6" t="n">
        <v>19058682</v>
      </c>
      <c r="D28" s="6" t="n">
        <v>19917773</v>
      </c>
      <c r="E28" s="6" t="n">
        <v>21387884</v>
      </c>
      <c r="F28" s="6" t="n">
        <v>41317578</v>
      </c>
      <c r="G28" s="6" t="n">
        <v>14763891</v>
      </c>
      <c r="H28" s="6" t="n">
        <v>15720883</v>
      </c>
      <c r="I28" s="6" t="n">
        <v>5349870</v>
      </c>
      <c r="J28" s="6" t="n">
        <v>9638462</v>
      </c>
      <c r="K28" s="6" t="n">
        <v>12841595</v>
      </c>
    </row>
    <row r="29">
      <c r="A29" s="6" t="inlineStr">
        <is>
          <t>Repurchase agreements</t>
        </is>
      </c>
      <c r="B29" s="6" t="n"/>
      <c r="C29" s="6" t="n"/>
      <c r="D29" s="6" t="n">
        <v>19284670</v>
      </c>
      <c r="E29" s="6" t="n"/>
      <c r="F29" s="6" t="n"/>
      <c r="G29" s="6" t="n">
        <v>0</v>
      </c>
      <c r="H29" s="6" t="n">
        <v>18259683</v>
      </c>
      <c r="I29" s="6" t="n">
        <v>10303788</v>
      </c>
      <c r="J29" s="6" t="n">
        <v>18343054</v>
      </c>
      <c r="K29" s="6" t="n">
        <v>10298714</v>
      </c>
    </row>
    <row r="30">
      <c r="A30" s="6" t="inlineStr">
        <is>
          <t>Customer accounts</t>
        </is>
      </c>
      <c r="B30" s="6" t="n">
        <v>1743862044</v>
      </c>
      <c r="C30" s="6" t="n">
        <v>1146536321</v>
      </c>
      <c r="D30" s="6" t="n">
        <v>777311509</v>
      </c>
      <c r="E30" s="6" t="n">
        <v>700089790</v>
      </c>
      <c r="F30" s="6" t="n">
        <v>534268186</v>
      </c>
      <c r="G30" s="6" t="n">
        <v>505856479</v>
      </c>
      <c r="H30" s="6" t="n">
        <v>392097803</v>
      </c>
      <c r="I30" s="6" t="n">
        <v>402810377</v>
      </c>
      <c r="J30" s="6" t="n">
        <v>399838771</v>
      </c>
      <c r="K30" s="6" t="n">
        <v>404285205</v>
      </c>
    </row>
    <row r="31">
      <c r="A31" s="5" t="inlineStr">
        <is>
          <t>Total liabilities</t>
        </is>
      </c>
      <c r="B31" s="5" t="n">
        <v>1800509371</v>
      </c>
      <c r="C31" s="5" t="n">
        <v>1178697350</v>
      </c>
      <c r="D31" s="5" t="n">
        <v>827776737</v>
      </c>
      <c r="E31" s="5" t="n">
        <v>731583411</v>
      </c>
      <c r="F31" s="5" t="n">
        <v>588639150</v>
      </c>
      <c r="G31" s="5" t="n">
        <v>530050039</v>
      </c>
      <c r="H31" s="5" t="n">
        <v>433257117</v>
      </c>
      <c r="I31" s="5" t="n">
        <v>427379078</v>
      </c>
      <c r="J31" s="5" t="n">
        <v>438249618</v>
      </c>
      <c r="K31" s="5" t="n">
        <v>442739854</v>
      </c>
    </row>
    <row r="32">
      <c r="A32" s="5" t="inlineStr">
        <is>
          <t>Net assets</t>
        </is>
      </c>
      <c r="B32" s="5" t="n">
        <v>117048800</v>
      </c>
      <c r="C32" s="5" t="n">
        <v>104929751</v>
      </c>
      <c r="D32" s="5" t="n">
        <v>92156775</v>
      </c>
      <c r="E32" s="5" t="n">
        <v>74613211</v>
      </c>
      <c r="F32" s="5" t="n">
        <v>80081720</v>
      </c>
      <c r="G32" s="5" t="n">
        <v>76112483</v>
      </c>
      <c r="H32" s="5" t="n">
        <v>77792496</v>
      </c>
      <c r="I32" s="5" t="n">
        <v>70606970</v>
      </c>
      <c r="J32" s="5" t="n">
        <v>83812609</v>
      </c>
      <c r="K32" s="5" t="n">
        <v>79522677</v>
      </c>
    </row>
    <row r="33">
      <c r="A33" s="5" t="inlineStr">
        <is>
          <t>Equity</t>
        </is>
      </c>
      <c r="B33" s="6" t="n"/>
      <c r="C33" s="6" t="n"/>
      <c r="D33" s="6" t="n"/>
      <c r="E33" s="6" t="n"/>
      <c r="F33" s="6" t="n"/>
      <c r="G33" s="6" t="n"/>
      <c r="H33" s="6" t="n"/>
      <c r="I33" s="6" t="n"/>
      <c r="J33" s="6" t="n"/>
      <c r="K33" s="6" t="n"/>
    </row>
    <row r="34">
      <c r="A34" s="6" t="inlineStr">
        <is>
          <t>Called up share capital</t>
        </is>
      </c>
      <c r="B34" s="6" t="n">
        <v>45000000</v>
      </c>
      <c r="C34" s="6" t="n">
        <v>45000000</v>
      </c>
      <c r="D34" s="6" t="n">
        <v>45000000</v>
      </c>
      <c r="E34" s="6" t="n">
        <v>45000000</v>
      </c>
      <c r="F34" s="6" t="n">
        <v>45000000</v>
      </c>
      <c r="G34" s="6" t="n">
        <v>45000000</v>
      </c>
      <c r="H34" s="6" t="n">
        <v>45000000</v>
      </c>
      <c r="I34" s="6" t="n">
        <v>45000000</v>
      </c>
      <c r="J34" s="6" t="n">
        <v>45000000</v>
      </c>
      <c r="K34" s="6" t="n">
        <v>45000000</v>
      </c>
    </row>
    <row r="35">
      <c r="A35" s="6" t="inlineStr">
        <is>
          <t>Property revaluation reserve</t>
        </is>
      </c>
      <c r="B35" s="6" t="n">
        <v>15764478</v>
      </c>
      <c r="C35" s="6" t="n">
        <v>15447589</v>
      </c>
      <c r="D35" s="6" t="n">
        <v>13672082</v>
      </c>
      <c r="E35" s="6" t="n">
        <v>13326168</v>
      </c>
      <c r="F35" s="6" t="n">
        <v>13646702</v>
      </c>
      <c r="G35" s="6" t="n">
        <v>12462475</v>
      </c>
      <c r="H35" s="6" t="n">
        <v>12561893</v>
      </c>
      <c r="I35" s="6" t="n">
        <v>12744491</v>
      </c>
      <c r="J35" s="6" t="n">
        <v>10472966</v>
      </c>
      <c r="K35" s="6" t="n">
        <v>10482684</v>
      </c>
    </row>
    <row r="36">
      <c r="A36" s="6" t="inlineStr">
        <is>
          <t>Investment revaluation reserve</t>
        </is>
      </c>
      <c r="B36" s="6" t="n">
        <v>-350290</v>
      </c>
      <c r="C36" s="6" t="n">
        <v>-1348598</v>
      </c>
      <c r="D36" s="6" t="n">
        <v>-4894285</v>
      </c>
      <c r="E36" s="6" t="n">
        <v>-13936218</v>
      </c>
      <c r="F36" s="6" t="n">
        <v>-3862585</v>
      </c>
      <c r="G36" s="6" t="n">
        <v>-3102989</v>
      </c>
      <c r="H36" s="6" t="n">
        <v>-4354181</v>
      </c>
      <c r="I36" s="6" t="n">
        <v>-12272279</v>
      </c>
      <c r="J36" s="6" t="n">
        <v>-1654351</v>
      </c>
      <c r="K36" s="6" t="n">
        <v>-8274621</v>
      </c>
    </row>
    <row r="37">
      <c r="A37" s="6" t="inlineStr">
        <is>
          <t>Profit and loss account</t>
        </is>
      </c>
      <c r="B37" s="6" t="n">
        <v>56634612</v>
      </c>
      <c r="C37" s="6" t="n">
        <v>45830760</v>
      </c>
      <c r="D37" s="6" t="n">
        <v>38378978</v>
      </c>
      <c r="E37" s="6" t="n">
        <v>30223261</v>
      </c>
      <c r="F37" s="6" t="n">
        <v>25297603</v>
      </c>
      <c r="G37" s="6" t="n">
        <v>21752997</v>
      </c>
      <c r="H37" s="6" t="n">
        <v>24584784</v>
      </c>
      <c r="I37" s="6" t="n">
        <v>25134758</v>
      </c>
      <c r="J37" s="6" t="n">
        <v>29993994</v>
      </c>
      <c r="K37" s="6" t="n">
        <v>32314614</v>
      </c>
    </row>
    <row r="38">
      <c r="A38" s="5" t="inlineStr">
        <is>
          <t>Total equity</t>
        </is>
      </c>
      <c r="B38" s="5" t="n">
        <v>117048800</v>
      </c>
      <c r="C38" s="5" t="n">
        <v>104929751</v>
      </c>
      <c r="D38" s="5" t="n">
        <v>92156775</v>
      </c>
      <c r="E38" s="5" t="n">
        <v>74613211</v>
      </c>
      <c r="F38" s="5" t="n">
        <v>80081720</v>
      </c>
      <c r="G38" s="5" t="n">
        <v>76112483</v>
      </c>
      <c r="H38" s="5" t="n">
        <v>77792496</v>
      </c>
      <c r="I38" s="5" t="n">
        <v>70606970</v>
      </c>
      <c r="J38" s="5" t="n">
        <v>83812609</v>
      </c>
      <c r="K38" s="5" t="n">
        <v>79522677</v>
      </c>
    </row>
    <row r="40" ht="409" customHeight="1">
      <c r="A40" s="8" t="inlineStr">
        <is>
          <t>Sources - all figures are United National Bank Limited's own statements, exact £ as reported (not rounded to £'000/£m):
FY2025 &amp; FY2024: Annual report and financial statements 2025 - p.22 (Statement of profit or loss), p.24 (Balance sheet), p.25 (Statement of changes in equity), p.42-43 (Note 9, Loans and advances to customers) - https://find-and-update.company-information.service.gov.uk/company/04146820/filing-history/MzUxODk3MTQ2NWFkaXF6a2N4/document?format=pdf
FY2023: Annual report and financial statements 2023 - p.28 (Statement of profit or loss), p.30 (Balance sheet), p.31 (Statement of changes in equity), p.47 (Note 9, Loans and advances to customers) - https://find-and-update.company-information.service.gov.uk/company/04146820/filing-history/MzQyNTcyMzI0MGFkaXF6a2N4/document?format=pdf
FY2022 (own originally-published figures, not the FY2023 report's restated comparative): Full accounts made up to 31 December 2022 (filed 10 May 2023) - p.27 (Statement of profit or loss), p.29 (Balance sheet), p.30 (Statement of changes in equity), p.45 (Note 8, Loans and advances to customers) - https://find-and-update.company-information.service.gov.uk/company/04146820/filing-history/MzM3ODQxMzg4MWFkaXF6a2N4/document?format=pdf
FY2021: Annual report and financial statements 2021 - p.26 (Statement of profit or loss), p.28 (Balance sheet), p.29 (Statement of changes in equity), p.43 (Note 8, Loans and advances to customers) - https://find-and-update.company-information.service.gov.uk/company/04146820/filing-history/MzMzNzgyNzI3OGFkaXF6a2N4/document?format=pdf
FY2020: Annual report and financial statements 2020 - p.24 (Statement of profit or loss), p.26 (Balance sheet), p.27 (Statement of changes in equity), p.41 (Note 8, Loans and advances to customers) - https://find-and-update.company-information.service.gov.uk/company/04146820/filing-history/MzI5OTQ5NjA4NWFkaXF6a2N4/document?format=pdf
FY2019: Annual Report and Financial Statements 2019 - p.25 (Statement of profit or loss), p.27 (Balance sheet), p.28 (Statement of changes in equity), p.41 (Note 7, Loans and advances to customers) - https://find-and-update.company-information.service.gov.uk/company/04146820/filing-history/MzI2NjczOTQyMmFkaXF6a2N4/document?format=pdf
FY2018: Annual report and financial statements 2018 - p.22 (Profit and loss account), p.24 (Balance sheet), p.25 (Statement of changes in equity), p.38 (Note 7, Loans and advances to customers) - https://find-and-update.company-information.service.gov.uk/company/04146820/filing-history/MzIzMjM1MjQ2N2FkaXF6a2N4/document?format=pdf
FY2017: Annual report and financial statements 2017 - p.22 (Profit and loss account), p.24 (Balance sheet), p.25 (Statement of changes in equity), p.38 (Note 7, Loans and advances to customers) - https://find-and-update.company-information.service.gov.uk/company/04146820/filing-history/MzIwMzc4OTY1M2FkaXF6a2N4/document?format=pdf
FY2016: Report and Financial Statements 2016 - p.18 (Profit and loss account), p.20 (Balance Sheet), p.21 (Statement of changes in equity), p.34 (Note 6, Loans and advances to customers) - https://find-and-update.company-information.service.gov.uk/company/04146820/filing-history/MzE4MjAzNTU0NWFkaXF6a2N4/document?format=pdf
All 6 of FY2016-FY2021's own-filing figures were verified against pdftotext extracting effectively zero real characters from each PDF (scanned/image-only, same as every other year) before transcribing from the rendered page images.
PRESENTATION NOTE: the Balance Sheet's own line items genuinely differ across FY2016-FY2021 filings (not a transcription gap): 'Loans and advances to banks' has no line at all in FY2016 (absent, not zero) and FY2019 (also absent that year), is an explicit disclosed nil in FY2018, and is a real balance in FY2017/FY2020/FY2021; 'Subordinated debt' is a real balance in FY2016/FY2017, an explicit disclosed nil in FY2018 (the subordinated loan was repaid in full on maturity in October 2018, per that year's own note), and no line at all thereafter; 'Repurchase agreements' is a real balance in FY2016-FY2019, an explicit disclosed nil in FY2020, and no line at all in FY2021; the combined 'Accruals and deferred income' line used in FY2016-FY2020 was split by FY2021 into a standalone 'Deferred income' line with no separate accruals line - shown here as two distinct rows rather than conflating a combined figure with a narrower later one.
DISCREPANCY: FY2018's own SOCIE 'As at 1 January 2018' opening balance (£45,000,000 / £29,993,994 / £(1,654,351) / £10,822,966 / £84,162,609 total) does not exactly match FY2017's own SOCIE closing balance at 31 December 2017 (£45,000,000 / £29,993,994 / £(1,654,351) / £10,472,966 / £83,812,609 total) - the Property revaluation reserve differs by £350,001 (£10,822,966 vs £10,472,966), a genuine restatement between the two filings' own figures for the same date. Both years' own SOCIE closing/opening rows are reproduced exactly as each filing states, not force-tied.
DISCREPANCY: FY2022's own net loans figure (£638,315,902, tying to its own Balance Sheet and Note 8) differs from the FY2023 report's restated FY2022 comparative (£636,057,857) by ~£2.26m - a genuine restatement between the two filings. This workbook uses FY2022's own originally-published figures throughout, per project convention, so this Balance Sheet / Profit &amp; Loss / Statement of Changes in Equity / Asset Quality sheet will not exactly match a later report's restated FY2022 comparative column.
DISCREPANCY: the FY2025 Statement of Changes in Equity's own 31 December 2025 closing Total (£117,048,805) does not exactly match the FY2025 Balance Sheet's own Total equity for the same date (£117,048,800) - both figures are transcribed exactly as each statement states; this ~£5 gap is a source-document-internal rounding artefact, not a transcription error, and is not forced to tie.</t>
        </is>
      </c>
    </row>
    <row r="42" ht="409" customHeight="1">
      <c r="A42" s="8" t="inlineStr">
        <is>
          <t>(continued)
ENTITY NOTE: United National Bank Limited (Companies House 04146820) was formed in 2001 from the merger of the UK branches of two Pakistani banks, United Bank Limited ('UBL') and National Bank of Pakistan ('NBP'), who had operated in the UK since the 1960s - historically 55% UBL / 45% NBP owned, trading as 'UBL UK'. In July 2024, following regulatory approval, Bestway Group Financial Services Limited (a wholly-owned subsidiary of Bestway Group, a UK diversified conglomerate) acquired 95.1% of the Company's shares from UBL and NBP - the Company is now majority UK-owned rather than a foreign subsidiary in the usual sense, though UBL/NBP retain a residual stake and a preference-share arrangement (see Notes). All financial statements are prepared under FRS 102 in Pound Sterling (the Company's functional currency) - no cash-flow-statement exemption is taken.
DATA AVAILABILITY NOTE: 10 years (FY2016-FY2025) sourced from nine Companies House annual report filings (FY2025/FY2024 from the 2025 filing, FY2023 from the 2023 filing, and FY2022 down to FY2016 each from that year's own filing rather than a later filing's restated comparative - all fully scanned/image-only PDFs, transcribed directly from the source page images; pdftotext extracts 0 real characters from every one of them, confirmed before transcription). Pillar 3: the pre-Bestway entity ('UBL UK') published 'Pillar 3 and Remuneration Code Disclosures' on its own site (ubluk.com) for every year FY2016-FY2024, and ALL NINE of those editions are live on the bank's own site today. CITATION CORRECTION 2026-09-16: an earlier build of this workbook said 'the live site no longer links to most of these (only the current year's edition is navigable from ubluk.com/resources)' and cited Wayback captures for FY2016-FY2022 accordingly. That statement is withdrawn - it was true of the /resources page but not of the bank's own document index at https://www.ubluk.com/footer-pages/annual-reports/, which links a 'Pillar III Disclosure' for every year 2016 to 2024. All nine were re-fetched from those live ubluk.com/media/&lt;slug&gt; paths on 16 September 2026, each returning HTTP 200, Content-Type application/pdf and %PDF magic bytes (0.94-1.97 MB), and every citation on every sheet now points at the bank's own live URL rather than a Wayback copy. No figure changed: the live FY2022 file is the same edition as the Wayback /media/1368/ copy it replaces (CET1 GBP 73,598,731, Total regulatory capital GBP 73,967,261, Total RWAs 385,707, Credit/CCR RWA 363,317 all present in it). Historical note, retained because it explains how these were first recovered: in the 2026-09-06 extension the first Wayback snapshot found for each of FY2016-FY2021's original media/NNNN URL was truncated at exactly 1,048,576 bytes (1 MiB), a known crawl-truncation artefact also seen on other banks' Wayback-recovered PDFs on this project, and a second, later (2024-2025) snapshot of each document's newer media/&lt;slug&gt; URL was untruncated and used instead, confirmed via `file`/`pdftotext` page-count and character-count checks before transcribing any figure.
FY2025 PILLAR 3 - ENUMERATED ABSENCE ON A CURRENT INDEX (upgraded from 'access gap' on 2026-09-15). The bank's own document index at https://www.ubluk.com/footer-pages/annual-reports/ was fetched and fully parsed on 15 September 2026. It is organised year by year, and each year from 2016 to 2024 carries BOTH an 'Annual Report' link and a 'Pillar III Disclosure' link. The 2025 block carries the Annual Report (/media/405naqby/ye2025-statutory-accounts-final-23apr2026_signed.pdf) but NO Pillar III Disclosure link at all. That distinction matters: because the index has already been updated with the 2025 statutory accounts, this is not a stale page lagging behind publication - the page is current and the FY2025 Pillar 3 is absent from it. So the gap is an enumerated negative, not a failure to find.
It is NOT, however, a permanent non-publication, and should stay on the re-check list. This bank publishes its Pillar 3 extremely late: the FY2024 edition linked from that same index is dated 1 July 2026, roughly 18 months after its year-end and over two months after the FY2025 Annual Report was signed (23 April 2026). On that cadence an FY2025 edition would not be due until well into 2027. The FY2025 Annual Report also still refers readers to 'the unaudited Pillar III disclosures' for capital management policy, so the bank has not said it has stopped publishing them.
Nothing exists before FY2016 on any basis: the index's earliest year block is 2016, for both document types.
Where a FY2025 figure appears on a sheet it is therefore Annual-Report-sourced and labelled as such.
DEBT SECURITIES BREAKDOWN: the 'Debt securities - ...' sub-rows below the headline 'Total debt securities' line are transcribed from each year's own 'Financial instruments and risk management' note (categorising the balance by measurement basis - available for sale ('AFS') vs held to maturity ('HTM') - and, for FY2020/FY2021 only, by issuer sector as well):
FY2025: Note 25, p.52 (2025 table, 100% AFS - no FVPL/amortised-cost component for debt securities) - https://find-and-update.company-information.service.gov.uk/company/04146820/filing-history/MzUxODk3MTQ2NWFkaXF6a2N4/document?format=pdf
FY2024: same FY2025 filing's own FY2024 comparative column, Note 25, p.53 (100% AFS)
FY2023: Note 26, p.59 (2023 table, 100% AFS) - https://find-and-update.company-information.service.gov.uk/company/04146820/filing-history/MzQyNTcyMzI0MGFkaXF6a2N4/document?format=pdf
FY2022: Note 24, p.56 (2022 table, 100% AFS - this is the Company's own FY2022 filing, not the FY2023 filing's restated comparative, per this workbook's own-year-filing convention) - https://find-and-update.company-information.service.gov.uk/company/04146820/filing-history/MzM3ODQxMzg4MWFkaXF6a2N4/document?format=pdf</t>
        </is>
      </c>
    </row>
    <row r="44" ht="409" customHeight="1">
      <c r="A44" s="8" t="inlineStr">
        <is>
          <t>(continued)
FY2021 and FY2020: Note 24, p.58 ('Analysis of sector concentration' table - Central government / Financial institutions / Corporates), both years' own columns disclosed side-by-side in the FY2021 filing - https://find-and-update.company-information.service.gov.uk/company/04146820/filing-history/MzMzNzgyNzI3OGFkaXF6a2N4/document?format=pdf. FY2020's own filing (Note 25, p.49-50) confirms the same 100% AFS carrying value (£148,064,178) but does not itself disclose the sector-concentration split - only the FY2021 filing's comparative column does.
FY2019: Note 23, p.53 (2019 table, 100% AFS), cross-checked against the FY2020 filing's own FY2019 comparative (Note 25, p.50, same figure) - https://find-and-update.company-information.service.gov.uk/company/04146820/filing-history/MzI2NjczOTQyMmFkaXF6a2N4/document?format=pdf
FY2018: Note 22, p.48 (2018 table - AFS/HTM/FVTPL/Loans&amp;receivables category table with an HTM column present but £Nil that year, i.e. already 100% AFS) - https://find-and-update.company-information.service.gov.uk/company/04146820/filing-history/MzIzMjM1MjQ2N2FkaXF6a2N4/document?format=pdf
FY2017 and FY2016: Note 22, p.48 (both years' own AFS/HTM/FVTPL/Loans&amp;receivables category table, stated to the nearest £'000) - https://find-and-update.company-information.service.gov.uk/company/04146820/filing-history/MzIwMzc4OTY1M2FkaXF6a2N4/document?format=pdf
Every year's sub-rows sum to that year's headline 'Total debt securities' line: exactly for FY2018-FY2025 (each sourced to the exact £ from its own category table) and to within £205 (FY2016) / £10 (FY2017) for the two years where the only available category table is stated at the nearest £'000 rather than the exact £ used in the primary statements - both genuine source-rounding gaps, not transcription errors, consistent with how £'000-only disclosures are already handled elsewhere in this workbook (see e.g. the Leverage Ratio sheet's FY2018 note).
MEASUREMENT BASIS: 100% of the debt securities balance was classified as available for sale ('AFS' - the FRS 102/IAS 39 predecessor to the mark-to-market 'FVOCI' terminology used at most other banks in this project) in every year FY2018-FY2025; FY2016 and FY2017 alone also carried a held-to-maturity ('HTM', amortised-cost) component (£53.5m and £57.2m respectively) that had been fully run off/reclassified by FY2018. No fair-value-through-profit-or-loss ('FVTPL') debt securities were disclosed in any year (the 'FVTPL' figures in each year's own category table relate only to derivatives, not debt securities).
ISSUER TYPE: only the FY2021 filing's own 'Analysis of sector concentration' table splits debt securities by issuer sector (for both FY2021 and its FY2020 comparative) - no other year's filing (FY2016-FY2019, FY2022-FY2025) discloses an equivalent issuer-type/country breakdown of the debt securities balance, only the Fitch-rating breakdown reproduced in the entity note above; this is a genuine year-by-year disclosure gap in the Company's own filings, not an omission on this workbook's part.</t>
        </is>
      </c>
    </row>
  </sheetData>
  <mergeCells count="3">
    <mergeCell ref="A44:K44"/>
    <mergeCell ref="A40:K40"/>
    <mergeCell ref="A42:K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Profit &amp; Loss</t>
        </is>
      </c>
    </row>
    <row r="2">
      <c r="A2" s="2" t="inlineStr">
        <is>
          <t>Company basis, exact £ (not £'000/£m) - see source note at bottom.</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c r="K3" s="4" t="inlineStr">
        <is>
          <t>FY2016 (£)</t>
        </is>
      </c>
    </row>
    <row r="4">
      <c r="A4" s="5" t="inlineStr">
        <is>
          <t>Interest income</t>
        </is>
      </c>
      <c r="B4" s="6" t="n"/>
      <c r="C4" s="6" t="n"/>
      <c r="D4" s="6" t="n"/>
      <c r="E4" s="6" t="n"/>
      <c r="F4" s="6" t="n"/>
      <c r="G4" s="6" t="n"/>
      <c r="H4" s="6" t="n"/>
      <c r="I4" s="6" t="n"/>
      <c r="J4" s="6" t="n"/>
      <c r="K4" s="6" t="n"/>
    </row>
    <row r="5">
      <c r="A5" s="6" t="inlineStr">
        <is>
          <t>Interest receivable from debt securities</t>
        </is>
      </c>
      <c r="B5" s="6" t="n">
        <v>12639358</v>
      </c>
      <c r="C5" s="6" t="n">
        <v>8810361</v>
      </c>
      <c r="D5" s="6" t="n">
        <v>6781043</v>
      </c>
      <c r="E5" s="6" t="n">
        <v>3402074</v>
      </c>
      <c r="F5" s="6" t="n">
        <v>1636909</v>
      </c>
      <c r="G5" s="6" t="n">
        <v>3137323</v>
      </c>
      <c r="H5" s="6" t="n">
        <v>5201026</v>
      </c>
      <c r="I5" s="6" t="n">
        <v>7974396</v>
      </c>
      <c r="J5" s="6" t="n">
        <v>8620957</v>
      </c>
      <c r="K5" s="6" t="n">
        <v>10087595</v>
      </c>
    </row>
    <row r="6">
      <c r="A6" s="6" t="inlineStr">
        <is>
          <t>Interest receivable from group undertakings</t>
        </is>
      </c>
      <c r="B6" s="6" t="n">
        <v>129941</v>
      </c>
      <c r="C6" s="6" t="n">
        <v>366363</v>
      </c>
      <c r="D6" s="6" t="n">
        <v>471110</v>
      </c>
      <c r="E6" s="6" t="n">
        <v>85430</v>
      </c>
      <c r="F6" s="6" t="n">
        <v>82669</v>
      </c>
      <c r="G6" s="6" t="n">
        <v>222018</v>
      </c>
      <c r="H6" s="6" t="n">
        <v>347080</v>
      </c>
      <c r="I6" s="6" t="n">
        <v>236006</v>
      </c>
      <c r="J6" s="6" t="n">
        <v>237693</v>
      </c>
      <c r="K6" s="6" t="n">
        <v>65142</v>
      </c>
    </row>
    <row r="7">
      <c r="A7" s="6" t="inlineStr">
        <is>
          <t>Other interest receivable and similar income</t>
        </is>
      </c>
      <c r="B7" s="6" t="n">
        <v>89261113</v>
      </c>
      <c r="C7" s="6" t="n">
        <v>54771776</v>
      </c>
      <c r="D7" s="6" t="n">
        <v>36417814</v>
      </c>
      <c r="E7" s="6" t="n">
        <v>26604318</v>
      </c>
      <c r="F7" s="6" t="n">
        <v>19462715</v>
      </c>
      <c r="G7" s="6" t="n">
        <v>14980696</v>
      </c>
      <c r="H7" s="6" t="n">
        <v>11365617</v>
      </c>
      <c r="I7" s="6" t="n">
        <v>11886359</v>
      </c>
      <c r="J7" s="6" t="n">
        <v>9972557</v>
      </c>
      <c r="K7" s="6" t="n">
        <v>9140372</v>
      </c>
    </row>
    <row r="8">
      <c r="A8" s="5" t="inlineStr">
        <is>
          <t>Total interest receivable</t>
        </is>
      </c>
      <c r="B8" s="5" t="n">
        <v>102030412</v>
      </c>
      <c r="C8" s="5" t="n">
        <v>63948500</v>
      </c>
      <c r="D8" s="5" t="n">
        <v>43669967</v>
      </c>
      <c r="E8" s="5" t="n">
        <v>30091822</v>
      </c>
      <c r="F8" s="5" t="n">
        <v>21182293</v>
      </c>
      <c r="G8" s="5" t="n">
        <v>18340037</v>
      </c>
      <c r="H8" s="5" t="n">
        <v>16913723</v>
      </c>
      <c r="I8" s="5" t="n">
        <v>20096761</v>
      </c>
      <c r="J8" s="5" t="n">
        <v>18831207</v>
      </c>
      <c r="K8" s="5" t="n">
        <v>19293109</v>
      </c>
    </row>
    <row r="9">
      <c r="A9" s="5" t="inlineStr">
        <is>
          <t>Interest expense</t>
        </is>
      </c>
      <c r="B9" s="6" t="n"/>
      <c r="C9" s="6" t="n"/>
      <c r="D9" s="6" t="n"/>
      <c r="E9" s="6" t="n"/>
      <c r="F9" s="6" t="n"/>
      <c r="G9" s="6" t="n"/>
      <c r="H9" s="6" t="n"/>
      <c r="I9" s="6" t="n"/>
      <c r="J9" s="6" t="n"/>
      <c r="K9" s="6" t="n"/>
    </row>
    <row r="10">
      <c r="A10" s="6" t="inlineStr">
        <is>
          <t>Interest payable to group undertakings</t>
        </is>
      </c>
      <c r="B10" s="6" t="n">
        <v>-36039</v>
      </c>
      <c r="C10" s="6" t="n">
        <v>-53937</v>
      </c>
      <c r="D10" s="6" t="n">
        <v>-291812</v>
      </c>
      <c r="E10" s="6" t="n">
        <v>-108360</v>
      </c>
      <c r="F10" s="6" t="n"/>
      <c r="G10" s="6" t="n">
        <v>-27460</v>
      </c>
      <c r="H10" s="6" t="n">
        <v>-48801</v>
      </c>
      <c r="I10" s="6" t="n">
        <v>-312180</v>
      </c>
      <c r="J10" s="6" t="n">
        <v>-830698</v>
      </c>
      <c r="K10" s="6" t="n">
        <v>-558126</v>
      </c>
    </row>
    <row r="11">
      <c r="A11" s="6" t="inlineStr">
        <is>
          <t>Interest payable</t>
        </is>
      </c>
      <c r="B11" s="6" t="n">
        <v>-70542609</v>
      </c>
      <c r="C11" s="6" t="n">
        <v>-39858637</v>
      </c>
      <c r="D11" s="6" t="n">
        <v>-22302031</v>
      </c>
      <c r="E11" s="6" t="n">
        <v>-11235244</v>
      </c>
      <c r="F11" s="6" t="n">
        <v>-7648141</v>
      </c>
      <c r="G11" s="6" t="n">
        <v>-8740927</v>
      </c>
      <c r="H11" s="6" t="n">
        <v>-9202679</v>
      </c>
      <c r="I11" s="6" t="n">
        <v>-10822647</v>
      </c>
      <c r="J11" s="6" t="n">
        <v>-9850892</v>
      </c>
      <c r="K11" s="6" t="n">
        <v>-9715587</v>
      </c>
    </row>
    <row r="12">
      <c r="A12" s="5" t="inlineStr">
        <is>
          <t>Total interest payable</t>
        </is>
      </c>
      <c r="B12" s="5" t="n">
        <v>-70578648</v>
      </c>
      <c r="C12" s="5" t="n">
        <v>-39912574</v>
      </c>
      <c r="D12" s="5" t="n">
        <v>-22593843</v>
      </c>
      <c r="E12" s="5" t="n">
        <v>-11343604</v>
      </c>
      <c r="F12" s="5" t="n">
        <v>-7648141</v>
      </c>
      <c r="G12" s="5" t="n">
        <v>-8768387</v>
      </c>
      <c r="H12" s="5" t="n">
        <v>-9251480</v>
      </c>
      <c r="I12" s="5" t="n">
        <v>-11134827</v>
      </c>
      <c r="J12" s="5" t="n">
        <v>-10681590</v>
      </c>
      <c r="K12" s="5" t="n">
        <v>-10273713</v>
      </c>
    </row>
    <row r="13">
      <c r="A13" s="5" t="inlineStr">
        <is>
          <t>Net interest income</t>
        </is>
      </c>
      <c r="B13" s="5" t="n">
        <v>31451764</v>
      </c>
      <c r="C13" s="5" t="n">
        <v>24035926</v>
      </c>
      <c r="D13" s="5" t="n">
        <v>21076124</v>
      </c>
      <c r="E13" s="5" t="n">
        <v>18748218</v>
      </c>
      <c r="F13" s="5" t="n">
        <v>13534152</v>
      </c>
      <c r="G13" s="5" t="n">
        <v>9571650</v>
      </c>
      <c r="H13" s="5" t="n">
        <v>7662243</v>
      </c>
      <c r="I13" s="5" t="n">
        <v>8961934</v>
      </c>
      <c r="J13" s="5" t="n">
        <v>8149617</v>
      </c>
      <c r="K13" s="5" t="n">
        <v>9019396</v>
      </c>
    </row>
    <row r="14">
      <c r="A14" s="5" t="inlineStr">
        <is>
          <t>Non-interest income</t>
        </is>
      </c>
      <c r="B14" s="6" t="n"/>
      <c r="C14" s="6" t="n"/>
      <c r="D14" s="6" t="n"/>
      <c r="E14" s="6" t="n"/>
      <c r="F14" s="6" t="n"/>
      <c r="G14" s="6" t="n"/>
      <c r="H14" s="6" t="n"/>
      <c r="I14" s="6" t="n"/>
      <c r="J14" s="6" t="n"/>
      <c r="K14" s="6" t="n"/>
    </row>
    <row r="15">
      <c r="A15" s="6" t="inlineStr">
        <is>
          <t>Fees and commissions receivable</t>
        </is>
      </c>
      <c r="B15" s="6" t="n">
        <v>465923</v>
      </c>
      <c r="C15" s="6" t="n">
        <v>574808</v>
      </c>
      <c r="D15" s="6" t="n">
        <v>531356</v>
      </c>
      <c r="E15" s="6" t="n">
        <v>463844</v>
      </c>
      <c r="F15" s="6" t="n">
        <v>364505</v>
      </c>
      <c r="G15" s="6" t="n">
        <v>759979</v>
      </c>
      <c r="H15" s="6" t="n">
        <v>925317</v>
      </c>
      <c r="I15" s="6" t="n">
        <v>1536106</v>
      </c>
      <c r="J15" s="6" t="n">
        <v>2334474</v>
      </c>
      <c r="K15" s="6" t="n">
        <v>3475840</v>
      </c>
    </row>
    <row r="16">
      <c r="A16" s="6" t="inlineStr">
        <is>
          <t>Profit from foreign exchange</t>
        </is>
      </c>
      <c r="B16" s="6" t="n">
        <v>380059</v>
      </c>
      <c r="C16" s="6" t="n">
        <v>270867</v>
      </c>
      <c r="D16" s="6" t="n">
        <v>623278</v>
      </c>
      <c r="E16" s="6" t="n">
        <v>720867</v>
      </c>
      <c r="F16" s="6" t="n">
        <v>695012</v>
      </c>
      <c r="G16" s="6" t="n">
        <v>775519</v>
      </c>
      <c r="H16" s="6" t="n">
        <v>708265</v>
      </c>
      <c r="I16" s="6" t="n">
        <v>970269</v>
      </c>
      <c r="J16" s="6" t="n">
        <v>-8672</v>
      </c>
      <c r="K16" s="6" t="n">
        <v>-2084527</v>
      </c>
    </row>
    <row r="17">
      <c r="A17" s="6" t="inlineStr">
        <is>
          <t>Fair value loss on investment properties</t>
        </is>
      </c>
      <c r="B17" s="6" t="n">
        <v>-60000</v>
      </c>
      <c r="C17" s="6" t="n">
        <v>-1692678</v>
      </c>
      <c r="D17" s="6" t="n"/>
      <c r="E17" s="6" t="n"/>
      <c r="F17" s="6" t="n">
        <v>1207628</v>
      </c>
      <c r="G17" s="6" t="n">
        <v>51958</v>
      </c>
      <c r="H17" s="6" t="n"/>
      <c r="I17" s="6" t="n">
        <v>787241</v>
      </c>
      <c r="J17" s="6" t="n"/>
      <c r="K17" s="6" t="n"/>
    </row>
    <row r="18">
      <c r="A18" s="6" t="inlineStr">
        <is>
          <t>Profit/(loss) on realised debt securities</t>
        </is>
      </c>
      <c r="B18" s="6" t="n">
        <v>255520</v>
      </c>
      <c r="C18" s="6" t="n">
        <v>-759855</v>
      </c>
      <c r="D18" s="6" t="n">
        <v>139910</v>
      </c>
      <c r="E18" s="6" t="n">
        <v>344705</v>
      </c>
      <c r="F18" s="6" t="n">
        <v>221247</v>
      </c>
      <c r="G18" s="6" t="n">
        <v>956817</v>
      </c>
      <c r="H18" s="6" t="n">
        <v>1089460</v>
      </c>
      <c r="I18" s="6" t="n">
        <v>-704103</v>
      </c>
      <c r="J18" s="6" t="n">
        <v>5358117</v>
      </c>
      <c r="K18" s="6" t="n">
        <v>5043480</v>
      </c>
    </row>
    <row r="19">
      <c r="A19" s="6" t="inlineStr">
        <is>
          <t>Other operating income</t>
        </is>
      </c>
      <c r="B19" s="6" t="n">
        <v>90942</v>
      </c>
      <c r="C19" s="6" t="n">
        <v>776648</v>
      </c>
      <c r="D19" s="6" t="n">
        <v>366513</v>
      </c>
      <c r="E19" s="6" t="n">
        <v>139404</v>
      </c>
      <c r="F19" s="6" t="n">
        <v>34028</v>
      </c>
      <c r="G19" s="6" t="n">
        <v>149007</v>
      </c>
      <c r="H19" s="6" t="n">
        <v>243870</v>
      </c>
      <c r="I19" s="6" t="n">
        <v>317882</v>
      </c>
      <c r="J19" s="6" t="n">
        <v>291796</v>
      </c>
      <c r="K19" s="6" t="n">
        <v>346832</v>
      </c>
    </row>
    <row r="20">
      <c r="A20" s="6" t="inlineStr">
        <is>
          <t>Profit on disposal of fixed assets</t>
        </is>
      </c>
      <c r="B20" s="6" t="n"/>
      <c r="C20" s="6" t="n">
        <v>46958</v>
      </c>
      <c r="D20" s="6" t="n"/>
      <c r="E20" s="6" t="n">
        <v>372270</v>
      </c>
      <c r="F20" s="6" t="n"/>
      <c r="G20" s="6" t="n"/>
      <c r="H20" s="6" t="n"/>
      <c r="I20" s="6" t="n"/>
      <c r="J20" s="6" t="n"/>
      <c r="K20" s="6" t="n"/>
    </row>
    <row r="21">
      <c r="A21" s="6" t="inlineStr">
        <is>
          <t>Gain on investment property disposal</t>
        </is>
      </c>
      <c r="B21" s="6" t="n"/>
      <c r="C21" s="6" t="n"/>
      <c r="D21" s="6" t="n"/>
      <c r="E21" s="6" t="n"/>
      <c r="F21" s="6" t="n"/>
      <c r="G21" s="6" t="n"/>
      <c r="H21" s="6" t="n">
        <v>208884</v>
      </c>
      <c r="I21" s="6" t="n"/>
      <c r="J21" s="6" t="n"/>
      <c r="K21" s="6" t="n"/>
    </row>
    <row r="22">
      <c r="A22" s="6" t="inlineStr">
        <is>
          <t>Fair value gains/(losses) on derivatives</t>
        </is>
      </c>
      <c r="B22" s="6" t="n">
        <v>-36260</v>
      </c>
      <c r="C22" s="6" t="n">
        <v>-8502</v>
      </c>
      <c r="D22" s="6" t="n">
        <v>-206509</v>
      </c>
      <c r="E22" s="6" t="n">
        <v>3635562</v>
      </c>
      <c r="F22" s="6" t="n"/>
      <c r="G22" s="6" t="n"/>
      <c r="H22" s="6" t="n"/>
      <c r="I22" s="6" t="n"/>
      <c r="J22" s="6" t="n">
        <v>1650504</v>
      </c>
      <c r="K22" s="6" t="n">
        <v>3744814</v>
      </c>
    </row>
    <row r="23">
      <c r="A23" s="5" t="inlineStr">
        <is>
          <t>Total income</t>
        </is>
      </c>
      <c r="B23" s="5" t="n">
        <v>32547948</v>
      </c>
      <c r="C23" s="5" t="n">
        <v>23244172</v>
      </c>
      <c r="D23" s="5" t="n">
        <v>22530672</v>
      </c>
      <c r="E23" s="5" t="n">
        <v>24424870</v>
      </c>
      <c r="F23" s="5" t="n">
        <v>16056572</v>
      </c>
      <c r="G23" s="5" t="n">
        <v>12264930</v>
      </c>
      <c r="H23" s="5" t="n">
        <v>10838039</v>
      </c>
      <c r="I23" s="5" t="n">
        <v>11869329</v>
      </c>
      <c r="J23" s="5" t="n">
        <v>17775836</v>
      </c>
      <c r="K23" s="5" t="n">
        <v>19545835</v>
      </c>
    </row>
    <row r="24">
      <c r="A24" s="5" t="inlineStr">
        <is>
          <t>Operating expenses</t>
        </is>
      </c>
      <c r="B24" s="6" t="n"/>
      <c r="C24" s="6" t="n"/>
      <c r="D24" s="6" t="n"/>
      <c r="E24" s="6" t="n"/>
      <c r="F24" s="6" t="n"/>
      <c r="G24" s="6" t="n"/>
      <c r="H24" s="6" t="n"/>
      <c r="I24" s="6" t="n"/>
      <c r="J24" s="6" t="n"/>
      <c r="K24" s="6" t="n"/>
    </row>
    <row r="25">
      <c r="A25" s="6" t="inlineStr">
        <is>
          <t>Administrative expenses</t>
        </is>
      </c>
      <c r="B25" s="6" t="n">
        <v>-16827131</v>
      </c>
      <c r="C25" s="6" t="n">
        <v>-14816212</v>
      </c>
      <c r="D25" s="6" t="n">
        <v>-12549595</v>
      </c>
      <c r="E25" s="6" t="n">
        <v>-12752766</v>
      </c>
      <c r="F25" s="6" t="n">
        <v>-12688136</v>
      </c>
      <c r="G25" s="6" t="n">
        <v>-11839897</v>
      </c>
      <c r="H25" s="6" t="n">
        <v>-11671393</v>
      </c>
      <c r="I25" s="6" t="n">
        <v>-12302513</v>
      </c>
      <c r="J25" s="6" t="n">
        <v>-11642444</v>
      </c>
      <c r="K25" s="6" t="n">
        <v>-10854031</v>
      </c>
    </row>
    <row r="26">
      <c r="A26" s="6" t="inlineStr">
        <is>
          <t>Remeasurement of financial liability</t>
        </is>
      </c>
      <c r="B26" s="6" t="n">
        <v>-291571</v>
      </c>
      <c r="C26" s="6" t="n">
        <v>-2561700</v>
      </c>
      <c r="D26" s="6" t="n">
        <v>-2650000</v>
      </c>
      <c r="E26" s="6" t="n"/>
      <c r="F26" s="6" t="n"/>
      <c r="G26" s="6" t="n"/>
      <c r="H26" s="6" t="n"/>
      <c r="I26" s="6" t="n"/>
      <c r="J26" s="6" t="n"/>
      <c r="K26" s="6" t="n"/>
    </row>
    <row r="27">
      <c r="A27" s="6" t="inlineStr">
        <is>
          <t>Depreciation and amortisation</t>
        </is>
      </c>
      <c r="B27" s="6" t="n">
        <v>-297373</v>
      </c>
      <c r="C27" s="6" t="n">
        <v>-344925</v>
      </c>
      <c r="D27" s="6" t="n">
        <v>-597021</v>
      </c>
      <c r="E27" s="6" t="n">
        <v>-755530</v>
      </c>
      <c r="F27" s="6" t="n">
        <v>-721946</v>
      </c>
      <c r="G27" s="6" t="n">
        <v>-540113</v>
      </c>
      <c r="H27" s="6" t="n">
        <v>-699285</v>
      </c>
      <c r="I27" s="6" t="n">
        <v>-912170</v>
      </c>
      <c r="J27" s="6" t="n">
        <v>-890889</v>
      </c>
      <c r="K27" s="6" t="n">
        <v>-883599</v>
      </c>
    </row>
    <row r="28">
      <c r="A28" s="5" t="inlineStr">
        <is>
          <t>Total operating expenses (sum of Administrative expenses + Depreciation and amortisation - excludes financial liability remeasurement, impairment (losses)/recoveries, and other debt recoveries)</t>
        </is>
      </c>
      <c r="B28" s="5" t="n">
        <v>-17124504</v>
      </c>
      <c r="C28" s="5" t="n">
        <v>-15161137</v>
      </c>
      <c r="D28" s="5" t="n">
        <v>-13146616</v>
      </c>
      <c r="E28" s="5" t="n">
        <v>-13508296</v>
      </c>
      <c r="F28" s="5" t="n">
        <v>-13410082</v>
      </c>
      <c r="G28" s="5" t="n">
        <v>-12380010</v>
      </c>
      <c r="H28" s="5" t="n">
        <v>-12370678</v>
      </c>
      <c r="I28" s="5" t="n">
        <v>-13214683</v>
      </c>
      <c r="J28" s="5" t="n">
        <v>-12533333</v>
      </c>
      <c r="K28" s="5" t="n">
        <v>-11737630</v>
      </c>
    </row>
    <row r="29">
      <c r="A29" s="6" t="inlineStr">
        <is>
          <t>Impairment (losses)/recoveries</t>
        </is>
      </c>
      <c r="B29" s="6" t="n">
        <v>-555015</v>
      </c>
      <c r="C29" s="6" t="n">
        <v>-277396</v>
      </c>
      <c r="D29" s="6" t="n">
        <v>177172</v>
      </c>
      <c r="E29" s="6" t="n">
        <v>-5620263</v>
      </c>
      <c r="F29" s="6" t="n">
        <v>579196</v>
      </c>
      <c r="G29" s="6" t="n">
        <v>-2263480</v>
      </c>
      <c r="H29" s="6" t="n">
        <v>523476</v>
      </c>
      <c r="I29" s="6" t="n">
        <v>-2651807</v>
      </c>
      <c r="J29" s="6" t="n">
        <v>-4798824</v>
      </c>
      <c r="K29" s="6" t="n">
        <v>-557756</v>
      </c>
    </row>
    <row r="30">
      <c r="A30" s="6" t="inlineStr">
        <is>
          <t>Other debt recoveries</t>
        </is>
      </c>
      <c r="B30" s="6" t="n"/>
      <c r="C30" s="6" t="n"/>
      <c r="D30" s="6" t="n"/>
      <c r="E30" s="6" t="n"/>
      <c r="F30" s="6" t="n"/>
      <c r="G30" s="6" t="n"/>
      <c r="H30" s="6" t="n"/>
      <c r="I30" s="6" t="n">
        <v>218430</v>
      </c>
      <c r="J30" s="6" t="n">
        <v>267203</v>
      </c>
      <c r="K30" s="6" t="n">
        <v>150000</v>
      </c>
    </row>
    <row r="31">
      <c r="A31" s="5" t="inlineStr">
        <is>
          <t>Profit before tax on ordinary activities</t>
        </is>
      </c>
      <c r="B31" s="5" t="n">
        <v>14576858</v>
      </c>
      <c r="C31" s="5" t="n">
        <v>5243939</v>
      </c>
      <c r="D31" s="5" t="n">
        <v>6911228</v>
      </c>
      <c r="E31" s="5" t="n">
        <v>5296311</v>
      </c>
      <c r="F31" s="5" t="n">
        <v>3225686</v>
      </c>
      <c r="G31" s="5" t="n">
        <v>-2378560</v>
      </c>
      <c r="H31" s="5" t="n">
        <v>-1009163</v>
      </c>
      <c r="I31" s="5" t="n">
        <v>-3778731</v>
      </c>
      <c r="J31" s="5" t="n">
        <v>710882</v>
      </c>
      <c r="K31" s="5" t="n">
        <v>7400449</v>
      </c>
    </row>
    <row r="32">
      <c r="A32" s="6" t="inlineStr">
        <is>
          <t>Income tax (expense)/credit</t>
        </is>
      </c>
      <c r="B32" s="6" t="n">
        <v>-3731753</v>
      </c>
      <c r="C32" s="6" t="n">
        <v>1894527</v>
      </c>
      <c r="D32" s="6" t="n">
        <v>1689239</v>
      </c>
      <c r="E32" s="6" t="n">
        <v>-754543</v>
      </c>
      <c r="F32" s="6" t="n">
        <v>-307680</v>
      </c>
      <c r="G32" s="6" t="n">
        <v>183161</v>
      </c>
      <c r="H32" s="6" t="n">
        <v>293640</v>
      </c>
      <c r="I32" s="6" t="n">
        <v>-1283194</v>
      </c>
      <c r="J32" s="6" t="n">
        <v>-1539350</v>
      </c>
      <c r="K32" s="6" t="n">
        <v>-3003823</v>
      </c>
    </row>
    <row r="33">
      <c r="A33" s="5" t="inlineStr">
        <is>
          <t>Profit for the year</t>
        </is>
      </c>
      <c r="B33" s="5" t="n">
        <v>10845105</v>
      </c>
      <c r="C33" s="5" t="n">
        <v>7138466</v>
      </c>
      <c r="D33" s="5" t="n">
        <v>8600467</v>
      </c>
      <c r="E33" s="5" t="n">
        <v>4541768</v>
      </c>
      <c r="F33" s="5" t="n">
        <v>2918006</v>
      </c>
      <c r="G33" s="5" t="n">
        <v>-2195399</v>
      </c>
      <c r="H33" s="5" t="n">
        <v>-715523</v>
      </c>
      <c r="I33" s="5" t="n">
        <v>-5061925</v>
      </c>
      <c r="J33" s="5" t="n">
        <v>-828468</v>
      </c>
      <c r="K33" s="5" t="n">
        <v>4396626</v>
      </c>
    </row>
    <row r="35" ht="390" customHeight="1">
      <c r="A35" s="8" t="inlineStr">
        <is>
          <t>Sources - all figures are United National Bank Limited's own statements, exact £ as reported (not rounded to £'000/£m):
FY2025 &amp; FY2024: Annual report and financial statements 2025 - p.22 (Statement of profit or loss), p.24 (Balance sheet), p.25 (Statement of changes in equity), p.42-43 (Note 9, Loans and advances to customers) - https://find-and-update.company-information.service.gov.uk/company/04146820/filing-history/MzUxODk3MTQ2NWFkaXF6a2N4/document?format=pdf
FY2023: Annual report and financial statements 2023 - p.28 (Statement of profit or loss), p.30 (Balance sheet), p.31 (Statement of changes in equity), p.47 (Note 9, Loans and advances to customers) - https://find-and-update.company-information.service.gov.uk/company/04146820/filing-history/MzQyNTcyMzI0MGFkaXF6a2N4/document?format=pdf
FY2022 (own originally-published figures, not the FY2023 report's restated comparative): Full accounts made up to 31 December 2022 (filed 10 May 2023) - p.27 (Statement of profit or loss), p.29 (Balance sheet), p.30 (Statement of changes in equity), p.45 (Note 8, Loans and advances to customers) - https://find-and-update.company-information.service.gov.uk/company/04146820/filing-history/MzM3ODQxMzg4MWFkaXF6a2N4/document?format=pdf
FY2021: Annual report and financial statements 2021 - p.26 (Statement of profit or loss), p.28 (Balance sheet), p.29 (Statement of changes in equity), p.43 (Note 8, Loans and advances to customers) - https://find-and-update.company-information.service.gov.uk/company/04146820/filing-history/MzMzNzgyNzI3OGFkaXF6a2N4/document?format=pdf
FY2020: Annual report and financial statements 2020 - p.24 (Statement of profit or loss), p.26 (Balance sheet), p.27 (Statement of changes in equity), p.41 (Note 8, Loans and advances to customers) - https://find-and-update.company-information.service.gov.uk/company/04146820/filing-history/MzI5OTQ5NjA4NWFkaXF6a2N4/document?format=pdf
FY2019: Annual Report and Financial Statements 2019 - p.25 (Statement of profit or loss), p.27 (Balance sheet), p.28 (Statement of changes in equity), p.41 (Note 7, Loans and advances to customers) - https://find-and-update.company-information.service.gov.uk/company/04146820/filing-history/MzI2NjczOTQyMmFkaXF6a2N4/document?format=pdf
FY2018: Annual report and financial statements 2018 - p.22 (Profit and loss account), p.24 (Balance sheet), p.25 (Statement of changes in equity), p.38 (Note 7, Loans and advances to customers) - https://find-and-update.company-information.service.gov.uk/company/04146820/filing-history/MzIzMjM1MjQ2N2FkaXF6a2N4/document?format=pdf
FY2017: Annual report and financial statements 2017 - p.22 (Profit and loss account), p.24 (Balance sheet), p.25 (Statement of changes in equity), p.38 (Note 7, Loans and advances to customers) - https://find-and-update.company-information.service.gov.uk/company/04146820/filing-history/MzIwMzc4OTY1M2FkaXF6a2N4/document?format=pdf
FY2016: Report and Financial Statements 2016 - p.18 (Profit and loss account), p.20 (Balance Sheet), p.21 (Statement of changes in equity), p.34 (Note 6, Loans and advances to customers) - https://find-and-update.company-information.service.gov.uk/company/04146820/filing-history/MzE4MjAzNTU0NWFkaXF6a2N4/document?format=pdf
All 6 of FY2016-FY2021's own-filing figures were verified against pdftotext extracting effectively zero real characters from each PDF (scanned/image-only, same as every other year) before transcribing from the rendered page images.
PRESENTATION NOTE: the Balance Sheet's own line items genuinely differ across FY2016-FY2021 filings (not a transcription gap): 'Loans and advances to banks' has no line at all in FY2016 (absent, not zero) and FY2019 (also absent that year), is an explicit disclosed nil in FY2018, and is a real balance in FY2017/FY2020/FY2021; 'Subordinated debt' is a real balance in FY2016/FY2017, an explicit disclosed nil in FY2018 (the subordinated loan was repaid in full on maturity in October 2018, per that year's own note), and no line at all thereafter; 'Repurchase agreements' is a real balance in FY2016-FY2019, an explicit disclosed nil in FY2020, and no line at all in FY2021; the combined 'Accruals and deferred income' line used in FY2016-FY2020 was split by FY2021 into a standalone 'Deferred income' line with no separate accruals line - shown here as two distinct rows rather than conflating a combined figure with a narrower later one.
DISCREPANCY: FY2018's own SOCIE 'As at 1 January 2018' opening balance (£45,000,000 / £29,993,994 / £(1,654,351) / £10,822,966 / £84,162,609 total) does not exactly match FY2017's own SOCIE closing balance at 31 December 2017 (£45,000,000 / £29,993,994 / £(1,654,351) / £10,472,966 / £83,812,609 total) - the Property revaluation reserve differs by £350,001 (£10,822,966 vs £10,472,966), a genuine restatement between the two filings' own figures for the same date. Both years' own SOCIE closing/opening rows are reproduced exactly as each filing states, not force-tied.
DISCREPANCY: FY2022's own net loans figure (£638,315,902, tying to its own Balance Sheet and Note 8) differs from the FY2023 report's restated FY2022 comparative (£636,057,857) by ~£2.26m - a genuine restatement between the two filings. This workbook uses FY2022's own originally-published figures throughout, per project convention, so this Balance Sheet / Profit &amp; Loss / Statement of Changes in Equity / Asset Quality sheet will not exactly match a later report's restated FY2022 comparative column.
DISCREPANCY: the FY2025 Statement of Changes in Equity's own 31 December 2025 closing Total (£117,048,805) does not exactly match the FY2025 Balance Sheet's own Total equity for the same date (£117,048,800) - both figures are transcribed exactly as each statement states; this ~£5 gap is a source-document-internal rounding artefact, not a transcription error, and is not forced to tie.</t>
        </is>
      </c>
    </row>
    <row r="37" ht="280" customHeight="1">
      <c r="A37" s="8" t="inlineStr">
        <is>
          <t>(continued)
ENTITY NOTE: United National Bank Limited (Companies House 04146820) was formed in 2001 from the merger of the UK branches of two Pakistani banks, United Bank Limited ('UBL') and National Bank of Pakistan ('NBP'), who had operated in the UK since the 1960s - historically 55% UBL / 45% NBP owned, trading as 'UBL UK'. In July 2024, following regulatory approval, Bestway Group Financial Services Limited (a wholly-owned subsidiary of Bestway Group, a UK diversified conglomerate) acquired 95.1% of the Company's shares from UBL and NBP - the Company is now majority UK-owned rather than a foreign subsidiary in the usual sense, though UBL/NBP retain a residual stake and a preference-share arrangement (see Notes). All financial statements are prepared under FRS 102 in Pound Sterling (the Company's functional currency) - no cash-flow-statement exemption is taken.
DATA AVAILABILITY NOTE: 10 years (FY2016-FY2025) sourced from nine Companies House annual report filings (FY2025/FY2024 from the 2025 filing, FY2023 from the 2023 filing, and FY2022 down to FY2016 each from that year's own filing rather than a later filing's restated comparative - all fully scanned/image-only PDFs, transcribed directly from the source page images; pdftotext extracts 0 real characters from every one of them, confirmed before transcription). Pillar 3: the pre-Bestway entity ('UBL UK') published 'Pillar 3 and Remuneration Code Disclosures' on its own site (ubluk.com) for every year FY2016-FY2024, and ALL NINE of those editions are live on the bank's own site today. CITATION CORRECTION 2026-09-16: an earlier build of this workbook said 'the live site no longer links to most of these (only the current year's edition is navigable from ubluk.com/resources)' and cited Wayback captures for FY2016-FY2022 accordingly. That statement is withdrawn - it was true of the /resources page but not of the bank's own document index at https://www.ubluk.com/footer-pages/annual-reports/, which links a 'Pillar III Disclosure' for every year 2016 to 2024. All nine were re-fetched from those live ubluk.com/media/&lt;slug&gt; paths on 16 September 2026, each returning HTTP 200, Content-Type application/pdf and %PDF magic bytes (0.94-1.97 MB), and every citation on every sheet now points at the bank's own live URL rather than a Wayback copy. No figure changed: the live FY2022 file is the same edition as the Wayback /media/1368/ copy it replaces (CET1 GBP 73,598,731, Total regulatory capital GBP 73,967,261, Total RWAs 385,707, Credit/CCR RWA 363,317 all present in it). Historical note, retained because it explains how these were first recovered: in the 2026-09-06 extension the first Wayback snapshot found for each of FY2016-FY2021's original media/NNNN URL was truncated at exactly 1,048,576 bytes (1 MiB), a known crawl-truncation artefact also seen on other banks' Wayback-recovered PDFs on this project, and a second, later (2024-2025) snapshot of each document's newer media/&lt;slug&gt; URL was untruncated and used instead, confirmed via `file`/`pdftotext` page-count and character-count checks before transcribing any figure.
FY2025 PILLAR 3 - ENUMERATED ABSENCE ON A CURRENT INDEX (upgraded from 'access gap' on 2026-09-15). The bank's own document index at https://www.ubluk.com/footer-pages/annual-reports/ was fetched and fully parsed on 15 September 2026. It is organised year by year, and each year from 2016 to 2024 carries BOTH an 'Annual Report' link and a 'Pillar III Disclosure' link. The 2025 block carries the Annual Report (/media/405naqby/ye2025-statutory-accounts-final-23apr2026_signed.pdf) but NO Pillar III Disclosure link at all. That distinction matters: because the index has already been updated with the 2025 statutory accounts, this is not a stale page lagging behind publication - the page is current and the FY2025 Pillar 3 is absent from it. So the gap is an enumerated negative, not a failure to find.
It is NOT, however, a permanent non-publication, and should stay on the re-check list. This bank publishes its Pillar 3 extremely late: the FY2024 edition linked from that same index is dated 1 July 2026, roughly 18 months after its year-end and over two months after the FY2025 Annual Report was signed (23 April 2026). On that cadence an FY2025 edition would not be due until well into 2027. The FY2025 Annual Report also still refers readers to 'the unaudited Pillar III disclosures' for capital management policy, so the bank has not said it has stopped publishing them.
Nothing exists before FY2016 on any basis: the index's earliest year block is 2016, for both document types.
Where a FY2025 figure appears on a sheet it is therefore Annual-Report-sourced and labelled as such.</t>
        </is>
      </c>
    </row>
  </sheetData>
  <mergeCells count="2">
    <mergeCell ref="A35:K35"/>
    <mergeCell ref="A37:K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2"/>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United National Bank Limited — Statement of Changes in Equity</t>
        </is>
      </c>
    </row>
    <row r="2">
      <c r="A2" s="2" t="inlineStr">
        <is>
          <t>Company basis, exact £ (not £'000/£m), chronological (oldest to newest) - see source note at bottom.</t>
        </is>
      </c>
    </row>
    <row r="3">
      <c r="A3" s="4" t="inlineStr">
        <is>
          <t>Movement</t>
        </is>
      </c>
      <c r="B3" s="4" t="inlineStr">
        <is>
          <t>Called up share capital</t>
        </is>
      </c>
      <c r="C3" s="4" t="inlineStr">
        <is>
          <t>Profit and Loss Account</t>
        </is>
      </c>
      <c r="D3" s="4" t="inlineStr">
        <is>
          <t>Investment revaluation reserve</t>
        </is>
      </c>
      <c r="E3" s="4" t="inlineStr">
        <is>
          <t>Property Revaluation reserve</t>
        </is>
      </c>
      <c r="F3" s="4" t="inlineStr">
        <is>
          <t>Total</t>
        </is>
      </c>
    </row>
    <row r="4">
      <c r="A4" s="5" t="inlineStr">
        <is>
          <t>Balance at 1 January 2016</t>
        </is>
      </c>
      <c r="B4" s="5" t="n">
        <v>45000000</v>
      </c>
      <c r="C4" s="5" t="n">
        <v>30972630</v>
      </c>
      <c r="D4" s="5" t="n">
        <v>-10864062</v>
      </c>
      <c r="E4" s="5" t="n">
        <v>9974209</v>
      </c>
      <c r="F4" s="5" t="n">
        <v>75082777</v>
      </c>
    </row>
    <row r="5">
      <c r="A5" s="6" t="inlineStr">
        <is>
          <t>Profit for the year</t>
        </is>
      </c>
      <c r="B5" s="6" t="n"/>
      <c r="C5" s="6" t="n">
        <v>4396626</v>
      </c>
      <c r="D5" s="6" t="n"/>
      <c r="E5" s="6" t="n"/>
      <c r="F5" s="6" t="n">
        <v>4396626</v>
      </c>
    </row>
    <row r="6">
      <c r="A6" s="6" t="inlineStr">
        <is>
          <t>Actuarial loss recognised relating to the pension scheme</t>
        </is>
      </c>
      <c r="B6" s="6" t="n"/>
      <c r="C6" s="6" t="n">
        <v>-682000</v>
      </c>
      <c r="D6" s="6" t="n"/>
      <c r="E6" s="6" t="n"/>
      <c r="F6" s="6" t="n">
        <v>-682000</v>
      </c>
    </row>
    <row r="7">
      <c r="A7" s="6" t="inlineStr">
        <is>
          <t>Movement on deferred tax relating to pension liability</t>
        </is>
      </c>
      <c r="B7" s="6" t="n"/>
      <c r="C7" s="6" t="n">
        <v>117640</v>
      </c>
      <c r="D7" s="6" t="n"/>
      <c r="E7" s="6" t="n"/>
      <c r="F7" s="6" t="n">
        <v>117640</v>
      </c>
    </row>
    <row r="8">
      <c r="A8" s="6" t="inlineStr">
        <is>
          <t>Fair value movement on available for sale investment</t>
        </is>
      </c>
      <c r="B8" s="6" t="n"/>
      <c r="C8" s="6" t="n"/>
      <c r="D8" s="6" t="n">
        <v>3234823</v>
      </c>
      <c r="E8" s="6" t="n"/>
      <c r="F8" s="6" t="n">
        <v>3234823</v>
      </c>
    </row>
    <row r="9">
      <c r="A9" s="6" t="inlineStr">
        <is>
          <t>Current tax related to available for sale debt securities</t>
        </is>
      </c>
      <c r="B9" s="6" t="n"/>
      <c r="C9" s="6" t="n"/>
      <c r="D9" s="6" t="n">
        <v>-645382</v>
      </c>
      <c r="E9" s="6" t="n"/>
      <c r="F9" s="6" t="n">
        <v>-645382</v>
      </c>
    </row>
    <row r="10">
      <c r="A10" s="6" t="inlineStr">
        <is>
          <t>Deferred tax adjustment due to rate reduction</t>
        </is>
      </c>
      <c r="B10" s="6" t="n"/>
      <c r="C10" s="6" t="n"/>
      <c r="D10" s="6" t="n"/>
      <c r="E10" s="6" t="n">
        <v>518193</v>
      </c>
      <c r="F10" s="6" t="n">
        <v>518193</v>
      </c>
    </row>
    <row r="11">
      <c r="A11" s="6" t="inlineStr">
        <is>
          <t>Dividend paid</t>
        </is>
      </c>
      <c r="B11" s="6" t="n"/>
      <c r="C11" s="6" t="n">
        <v>-2500000</v>
      </c>
      <c r="D11" s="6" t="n"/>
      <c r="E11" s="6" t="n"/>
      <c r="F11" s="6" t="n">
        <v>-2500000</v>
      </c>
    </row>
    <row r="12">
      <c r="A12" s="5" t="inlineStr">
        <is>
          <t>Total</t>
        </is>
      </c>
      <c r="B12" s="5" t="n">
        <v>45000000</v>
      </c>
      <c r="C12" s="5" t="n">
        <v>32304896</v>
      </c>
      <c r="D12" s="5" t="n">
        <v>-8274621</v>
      </c>
      <c r="E12" s="5" t="n">
        <v>10492402</v>
      </c>
      <c r="F12" s="5" t="n">
        <v>79522677</v>
      </c>
    </row>
    <row r="13">
      <c r="A13" s="6" t="inlineStr">
        <is>
          <t>Transfer of depreciation on revaluation surplus</t>
        </is>
      </c>
      <c r="B13" s="6" t="n"/>
      <c r="C13" s="6" t="n">
        <v>9718</v>
      </c>
      <c r="D13" s="6" t="n"/>
      <c r="E13" s="6" t="n">
        <v>-9718</v>
      </c>
      <c r="F13" s="6" t="n">
        <v>0</v>
      </c>
    </row>
    <row r="14">
      <c r="A14" s="5" t="inlineStr">
        <is>
          <t>Balance as at 31 December 2016</t>
        </is>
      </c>
      <c r="B14" s="5" t="n">
        <v>45000000</v>
      </c>
      <c r="C14" s="5" t="n">
        <v>32314614</v>
      </c>
      <c r="D14" s="5" t="n">
        <v>-8274621</v>
      </c>
      <c r="E14" s="5" t="n">
        <v>10482684</v>
      </c>
      <c r="F14" s="5" t="n">
        <v>79522677</v>
      </c>
    </row>
    <row r="15">
      <c r="A15" s="5" t="inlineStr">
        <is>
          <t>Balance at 1 January 2017</t>
        </is>
      </c>
      <c r="B15" s="5" t="n">
        <v>45000000</v>
      </c>
      <c r="C15" s="5" t="n">
        <v>32314614</v>
      </c>
      <c r="D15" s="5" t="n">
        <v>-8274621</v>
      </c>
      <c r="E15" s="5" t="n">
        <v>10482684</v>
      </c>
      <c r="F15" s="5" t="n">
        <v>79522677</v>
      </c>
    </row>
    <row r="16">
      <c r="A16" s="6" t="inlineStr">
        <is>
          <t>(Loss) for the year</t>
        </is>
      </c>
      <c r="B16" s="6" t="n"/>
      <c r="C16" s="6" t="n">
        <v>-828468</v>
      </c>
      <c r="D16" s="6" t="n"/>
      <c r="E16" s="6" t="n"/>
      <c r="F16" s="6" t="n">
        <v>-828468</v>
      </c>
    </row>
    <row r="17">
      <c r="A17" s="6" t="inlineStr">
        <is>
          <t>Actuarial gain recognised relating to the pension scheme</t>
        </is>
      </c>
      <c r="B17" s="6" t="n"/>
      <c r="C17" s="6" t="n">
        <v>836000</v>
      </c>
      <c r="D17" s="6" t="n"/>
      <c r="E17" s="6" t="n"/>
      <c r="F17" s="6" t="n">
        <v>836000</v>
      </c>
    </row>
    <row r="18">
      <c r="A18" s="6" t="inlineStr">
        <is>
          <t>Movement on deferred tax relating to pension liability</t>
        </is>
      </c>
      <c r="B18" s="6" t="n"/>
      <c r="C18" s="6" t="n">
        <v>-137870</v>
      </c>
      <c r="D18" s="6" t="n"/>
      <c r="E18" s="6" t="n"/>
      <c r="F18" s="6" t="n">
        <v>-137870</v>
      </c>
    </row>
    <row r="19">
      <c r="A19" s="6" t="inlineStr">
        <is>
          <t>Fair value movement on available for sale investments</t>
        </is>
      </c>
      <c r="B19" s="6" t="n"/>
      <c r="C19" s="6" t="n"/>
      <c r="D19" s="6" t="n">
        <v>5636046</v>
      </c>
      <c r="E19" s="6" t="n"/>
      <c r="F19" s="6" t="n">
        <v>5636046</v>
      </c>
    </row>
    <row r="20">
      <c r="A20" s="6" t="inlineStr">
        <is>
          <t>Tax related to available for sale investment</t>
        </is>
      </c>
      <c r="B20" s="6" t="n"/>
      <c r="C20" s="6" t="n"/>
      <c r="D20" s="6" t="n">
        <v>984224</v>
      </c>
      <c r="E20" s="6" t="n"/>
      <c r="F20" s="6" t="n">
        <v>984224</v>
      </c>
    </row>
    <row r="21">
      <c r="A21" s="6" t="inlineStr">
        <is>
          <t>Dividend paid</t>
        </is>
      </c>
      <c r="B21" s="6" t="n"/>
      <c r="C21" s="6" t="n">
        <v>-2200000</v>
      </c>
      <c r="D21" s="6" t="n"/>
      <c r="E21" s="6" t="n"/>
      <c r="F21" s="6" t="n">
        <v>-2200000</v>
      </c>
    </row>
    <row r="22">
      <c r="A22" s="5" t="inlineStr">
        <is>
          <t>Total</t>
        </is>
      </c>
      <c r="B22" s="5" t="n">
        <v>45000000</v>
      </c>
      <c r="C22" s="5" t="n">
        <v>29984276</v>
      </c>
      <c r="D22" s="5" t="n">
        <v>-1654351</v>
      </c>
      <c r="E22" s="5" t="n">
        <v>10482684</v>
      </c>
      <c r="F22" s="5" t="n">
        <v>83812609</v>
      </c>
    </row>
    <row r="23">
      <c r="A23" s="6" t="inlineStr">
        <is>
          <t>Transfer of depreciation on revaluation surplus</t>
        </is>
      </c>
      <c r="B23" s="6" t="n"/>
      <c r="C23" s="6" t="n">
        <v>9718</v>
      </c>
      <c r="D23" s="6" t="n"/>
      <c r="E23" s="6" t="n">
        <v>-9718</v>
      </c>
      <c r="F23" s="6" t="n">
        <v>0</v>
      </c>
    </row>
    <row r="24">
      <c r="A24" s="5" t="inlineStr">
        <is>
          <t>Balance as at 31 December 2017</t>
        </is>
      </c>
      <c r="B24" s="5" t="n">
        <v>45000000</v>
      </c>
      <c r="C24" s="5" t="n">
        <v>29993994</v>
      </c>
      <c r="D24" s="5" t="n">
        <v>-1654351</v>
      </c>
      <c r="E24" s="5" t="n">
        <v>10472966</v>
      </c>
      <c r="F24" s="5" t="n">
        <v>83812609</v>
      </c>
    </row>
    <row r="25">
      <c r="A25" s="5" t="inlineStr">
        <is>
          <t>Balance at 1 January 2018</t>
        </is>
      </c>
      <c r="B25" s="5" t="n">
        <v>45000000</v>
      </c>
      <c r="C25" s="5" t="n">
        <v>29993994</v>
      </c>
      <c r="D25" s="5" t="n">
        <v>-1654351</v>
      </c>
      <c r="E25" s="5" t="n">
        <v>10822966</v>
      </c>
      <c r="F25" s="5" t="n">
        <v>84162609</v>
      </c>
    </row>
    <row r="26">
      <c r="A26" s="6" t="inlineStr">
        <is>
          <t>Loss for the year</t>
        </is>
      </c>
      <c r="B26" s="6" t="n"/>
      <c r="C26" s="6" t="n">
        <v>-5061925</v>
      </c>
      <c r="D26" s="6" t="n"/>
      <c r="E26" s="6" t="n"/>
      <c r="F26" s="6" t="n">
        <v>-5061925</v>
      </c>
    </row>
    <row r="27">
      <c r="A27" s="6" t="inlineStr">
        <is>
          <t>Actuarial gain recognised relating to the pension scheme</t>
        </is>
      </c>
      <c r="B27" s="6" t="n"/>
      <c r="C27" s="6" t="n">
        <v>221000</v>
      </c>
      <c r="D27" s="6" t="n"/>
      <c r="E27" s="6" t="n"/>
      <c r="F27" s="6" t="n">
        <v>221000</v>
      </c>
    </row>
    <row r="28">
      <c r="A28" s="6" t="inlineStr">
        <is>
          <t>Movement on deferred tax relating to pension liability</t>
        </is>
      </c>
      <c r="B28" s="6" t="n"/>
      <c r="C28" s="6" t="n">
        <v>-27370</v>
      </c>
      <c r="D28" s="6" t="n"/>
      <c r="E28" s="6" t="n"/>
      <c r="F28" s="6" t="n">
        <v>-27370</v>
      </c>
    </row>
    <row r="29">
      <c r="A29" s="6" t="inlineStr">
        <is>
          <t>Fair value movement on available for sale investment</t>
        </is>
      </c>
      <c r="B29" s="6" t="n"/>
      <c r="C29" s="6" t="n"/>
      <c r="D29" s="6" t="n">
        <v>-10279086</v>
      </c>
      <c r="E29" s="6" t="n"/>
      <c r="F29" s="6" t="n">
        <v>-10279086</v>
      </c>
    </row>
    <row r="30">
      <c r="A30" s="6" t="inlineStr">
        <is>
          <t>Current tax related to available for sale debt securities</t>
        </is>
      </c>
      <c r="B30" s="6" t="n"/>
      <c r="C30" s="6" t="n"/>
      <c r="D30" s="6" t="n">
        <v>-338842</v>
      </c>
      <c r="E30" s="6" t="n"/>
      <c r="F30" s="6" t="n">
        <v>-338842</v>
      </c>
    </row>
    <row r="31">
      <c r="A31" s="6" t="inlineStr">
        <is>
          <t>Revaluation gain on freehold property</t>
        </is>
      </c>
      <c r="B31" s="6" t="n"/>
      <c r="C31" s="6" t="n"/>
      <c r="D31" s="6" t="n"/>
      <c r="E31" s="6" t="n">
        <v>1915014</v>
      </c>
      <c r="F31" s="6" t="n">
        <v>1915014</v>
      </c>
    </row>
    <row r="32">
      <c r="A32" s="6" t="inlineStr">
        <is>
          <t>Movement on deferred tax relating to freehold property</t>
        </is>
      </c>
      <c r="B32" s="6" t="n"/>
      <c r="C32" s="6" t="n"/>
      <c r="D32" s="6" t="n"/>
      <c r="E32" s="6" t="n">
        <v>-325552</v>
      </c>
      <c r="F32" s="6" t="n">
        <v>-325552</v>
      </c>
    </row>
    <row r="33">
      <c r="A33" s="6" t="inlineStr">
        <is>
          <t>Deferred tax adjustment due to change in calculation basis</t>
        </is>
      </c>
      <c r="B33" s="6" t="n"/>
      <c r="C33" s="6" t="n"/>
      <c r="D33" s="6" t="n"/>
      <c r="E33" s="6" t="n">
        <v>341122</v>
      </c>
      <c r="F33" s="6" t="n">
        <v>341122</v>
      </c>
    </row>
    <row r="34">
      <c r="A34" s="5" t="inlineStr">
        <is>
          <t>Total</t>
        </is>
      </c>
      <c r="B34" s="5" t="n">
        <v>45000000</v>
      </c>
      <c r="C34" s="5" t="n">
        <v>25125699</v>
      </c>
      <c r="D34" s="5" t="n">
        <v>-12272279</v>
      </c>
      <c r="E34" s="5" t="n">
        <v>12753550</v>
      </c>
      <c r="F34" s="5" t="n">
        <v>70606970</v>
      </c>
    </row>
    <row r="35">
      <c r="A35" s="6" t="inlineStr">
        <is>
          <t>Transfer of depreciation on revaluation surplus</t>
        </is>
      </c>
      <c r="B35" s="6" t="n"/>
      <c r="C35" s="6" t="n">
        <v>9059</v>
      </c>
      <c r="D35" s="6" t="n"/>
      <c r="E35" s="6" t="n">
        <v>-9059</v>
      </c>
      <c r="F35" s="6" t="n">
        <v>0</v>
      </c>
    </row>
    <row r="36">
      <c r="A36" s="5" t="inlineStr">
        <is>
          <t>Balance as at 31 December 2018</t>
        </is>
      </c>
      <c r="B36" s="5" t="n">
        <v>45000000</v>
      </c>
      <c r="C36" s="5" t="n">
        <v>25134758</v>
      </c>
      <c r="D36" s="5" t="n">
        <v>-12272279</v>
      </c>
      <c r="E36" s="5" t="n">
        <v>12744491</v>
      </c>
      <c r="F36" s="5" t="n">
        <v>70606970</v>
      </c>
    </row>
    <row r="37">
      <c r="A37" s="5" t="inlineStr">
        <is>
          <t>Balance as at 1 January 2019</t>
        </is>
      </c>
      <c r="B37" s="5" t="n">
        <v>45000000</v>
      </c>
      <c r="C37" s="5" t="n">
        <v>25134759</v>
      </c>
      <c r="D37" s="5" t="n">
        <v>-12272279</v>
      </c>
      <c r="E37" s="5" t="n">
        <v>12744490</v>
      </c>
      <c r="F37" s="5" t="n">
        <v>70606970</v>
      </c>
    </row>
    <row r="38">
      <c r="A38" s="6" t="inlineStr">
        <is>
          <t>Loss for the year</t>
        </is>
      </c>
      <c r="B38" s="6" t="n"/>
      <c r="C38" s="6" t="n">
        <v>-715523</v>
      </c>
      <c r="D38" s="6" t="n"/>
      <c r="E38" s="6" t="n"/>
      <c r="F38" s="6" t="n">
        <v>-715523</v>
      </c>
    </row>
    <row r="39">
      <c r="A39" s="6" t="inlineStr">
        <is>
          <t>Actuarial loss recognised relating to the pension scheme</t>
        </is>
      </c>
      <c r="B39" s="6" t="n"/>
      <c r="C39" s="6" t="n">
        <v>-225000</v>
      </c>
      <c r="D39" s="6" t="n"/>
      <c r="E39" s="6" t="n"/>
      <c r="F39" s="6" t="n">
        <v>-225000</v>
      </c>
    </row>
    <row r="40">
      <c r="A40" s="6" t="inlineStr">
        <is>
          <t>Fair value movement on available for sale investment</t>
        </is>
      </c>
      <c r="B40" s="6" t="n"/>
      <c r="C40" s="6" t="n"/>
      <c r="D40" s="6" t="n">
        <v>7918098</v>
      </c>
      <c r="E40" s="6" t="n"/>
      <c r="F40" s="6" t="n">
        <v>7918098</v>
      </c>
    </row>
    <row r="41">
      <c r="A41" s="6" t="inlineStr">
        <is>
          <t>Revaluation gain on freehold property</t>
        </is>
      </c>
      <c r="B41" s="6" t="n"/>
      <c r="C41" s="6" t="n"/>
      <c r="D41" s="6" t="n"/>
      <c r="E41" s="6" t="n">
        <v>72167</v>
      </c>
      <c r="F41" s="6" t="n">
        <v>72167</v>
      </c>
    </row>
    <row r="42">
      <c r="A42" s="6" t="inlineStr">
        <is>
          <t>Movement on deferred tax relating to freehold property</t>
        </is>
      </c>
      <c r="B42" s="6" t="n"/>
      <c r="C42" s="6" t="n"/>
      <c r="D42" s="6" t="n"/>
      <c r="E42" s="6" t="n">
        <v>11931</v>
      </c>
      <c r="F42" s="6" t="n">
        <v>11931</v>
      </c>
    </row>
    <row r="43">
      <c r="A43" s="6" t="inlineStr">
        <is>
          <t>Recycling of revaluation related to investment property disposal</t>
        </is>
      </c>
      <c r="B43" s="6" t="n"/>
      <c r="C43" s="6" t="n">
        <v>381724</v>
      </c>
      <c r="D43" s="6" t="n"/>
      <c r="E43" s="6" t="n">
        <v>-381724</v>
      </c>
      <c r="F43" s="6" t="n">
        <v>0</v>
      </c>
    </row>
    <row r="44">
      <c r="A44" s="6" t="inlineStr">
        <is>
          <t>Deferred tax adjustment</t>
        </is>
      </c>
      <c r="B44" s="6" t="n"/>
      <c r="C44" s="6" t="n"/>
      <c r="D44" s="6" t="n"/>
      <c r="E44" s="6" t="n">
        <v>123853</v>
      </c>
      <c r="F44" s="6" t="n">
        <v>123853</v>
      </c>
    </row>
    <row r="45">
      <c r="A45" s="5" t="inlineStr">
        <is>
          <t>Total</t>
        </is>
      </c>
      <c r="B45" s="5" t="n">
        <v>45000000</v>
      </c>
      <c r="C45" s="5" t="n">
        <v>24575960</v>
      </c>
      <c r="D45" s="5" t="n">
        <v>-4354181</v>
      </c>
      <c r="E45" s="5" t="n">
        <v>12570717</v>
      </c>
      <c r="F45" s="5" t="n">
        <v>77792496</v>
      </c>
    </row>
    <row r="46">
      <c r="A46" s="6" t="inlineStr">
        <is>
          <t>Transfer of depreciation on revaluation surplus</t>
        </is>
      </c>
      <c r="B46" s="6" t="n"/>
      <c r="C46" s="6" t="n">
        <v>8824</v>
      </c>
      <c r="D46" s="6" t="n"/>
      <c r="E46" s="6" t="n">
        <v>-8824</v>
      </c>
      <c r="F46" s="6" t="n">
        <v>0</v>
      </c>
    </row>
    <row r="47">
      <c r="A47" s="5" t="inlineStr">
        <is>
          <t>Balance as at 31 December 2019</t>
        </is>
      </c>
      <c r="B47" s="5" t="n">
        <v>45000000</v>
      </c>
      <c r="C47" s="5" t="n">
        <v>24584784</v>
      </c>
      <c r="D47" s="5" t="n">
        <v>-4354181</v>
      </c>
      <c r="E47" s="5" t="n">
        <v>12561893</v>
      </c>
      <c r="F47" s="5" t="n">
        <v>77792496</v>
      </c>
    </row>
    <row r="48">
      <c r="A48" s="5" t="inlineStr">
        <is>
          <t>Balance as at 1 January 2020</t>
        </is>
      </c>
      <c r="B48" s="5" t="n">
        <v>45000000</v>
      </c>
      <c r="C48" s="5" t="n">
        <v>24584784</v>
      </c>
      <c r="D48" s="5" t="n">
        <v>-4354181</v>
      </c>
      <c r="E48" s="5" t="n">
        <v>12561893</v>
      </c>
      <c r="F48" s="5" t="n">
        <v>77792496</v>
      </c>
    </row>
    <row r="49">
      <c r="A49" s="6" t="inlineStr">
        <is>
          <t>Loss for the year</t>
        </is>
      </c>
      <c r="B49" s="6" t="n"/>
      <c r="C49" s="6" t="n">
        <v>-2195399</v>
      </c>
      <c r="D49" s="6" t="n"/>
      <c r="E49" s="6" t="n"/>
      <c r="F49" s="6" t="n">
        <v>-2195399</v>
      </c>
    </row>
    <row r="50">
      <c r="A50" s="6" t="inlineStr">
        <is>
          <t>Actuarial loss recognised relating to the pension scheme</t>
        </is>
      </c>
      <c r="B50" s="6" t="n"/>
      <c r="C50" s="6" t="n">
        <v>-646000</v>
      </c>
      <c r="D50" s="6" t="n"/>
      <c r="E50" s="6" t="n"/>
      <c r="F50" s="6" t="n">
        <v>-646000</v>
      </c>
    </row>
    <row r="51">
      <c r="A51" s="6" t="inlineStr">
        <is>
          <t>Fair value movement on available for sale investment</t>
        </is>
      </c>
      <c r="B51" s="6" t="n"/>
      <c r="C51" s="6" t="n"/>
      <c r="D51" s="6" t="n">
        <v>1251192</v>
      </c>
      <c r="E51" s="6" t="n"/>
      <c r="F51" s="6" t="n">
        <v>1251192</v>
      </c>
    </row>
    <row r="52">
      <c r="A52" s="6" t="inlineStr">
        <is>
          <t>Revaluation gain on freehold property</t>
        </is>
      </c>
      <c r="B52" s="6" t="n"/>
      <c r="C52" s="6" t="n"/>
      <c r="D52" s="6" t="n"/>
      <c r="E52" s="6" t="n">
        <v>242804</v>
      </c>
      <c r="F52" s="6" t="n">
        <v>242804</v>
      </c>
    </row>
    <row r="53">
      <c r="A53" s="6" t="inlineStr">
        <is>
          <t>Movement on deferred tax relating to freehold property</t>
        </is>
      </c>
      <c r="B53" s="6" t="n"/>
      <c r="C53" s="6" t="n"/>
      <c r="D53" s="6" t="n"/>
      <c r="E53" s="6" t="n">
        <v>-46131</v>
      </c>
      <c r="F53" s="6" t="n">
        <v>-46131</v>
      </c>
    </row>
    <row r="54">
      <c r="A54" s="6" t="inlineStr">
        <is>
          <t>Deferred tax adjustment due to change in tax rates</t>
        </is>
      </c>
      <c r="B54" s="6" t="n"/>
      <c r="C54" s="6" t="n"/>
      <c r="D54" s="6" t="n"/>
      <c r="E54" s="6" t="n">
        <v>-286479</v>
      </c>
      <c r="F54" s="6" t="n">
        <v>-286479</v>
      </c>
    </row>
    <row r="55">
      <c r="A55" s="5" t="inlineStr">
        <is>
          <t>Total</t>
        </is>
      </c>
      <c r="B55" s="5" t="n">
        <v>45000000</v>
      </c>
      <c r="C55" s="5" t="n">
        <v>21743385</v>
      </c>
      <c r="D55" s="5" t="n">
        <v>-3102989</v>
      </c>
      <c r="E55" s="5" t="n">
        <v>12472087</v>
      </c>
      <c r="F55" s="5" t="n">
        <v>76112483</v>
      </c>
    </row>
    <row r="56">
      <c r="A56" s="6" t="inlineStr">
        <is>
          <t>Transfer of depreciation on revaluation surplus</t>
        </is>
      </c>
      <c r="B56" s="6" t="n"/>
      <c r="C56" s="6" t="n">
        <v>9612</v>
      </c>
      <c r="D56" s="6" t="n"/>
      <c r="E56" s="6" t="n">
        <v>-9612</v>
      </c>
      <c r="F56" s="6" t="n">
        <v>0</v>
      </c>
    </row>
    <row r="57">
      <c r="A57" s="5" t="inlineStr">
        <is>
          <t>Balance as at 31 December 2020</t>
        </is>
      </c>
      <c r="B57" s="5" t="n">
        <v>45000000</v>
      </c>
      <c r="C57" s="5" t="n">
        <v>21752997</v>
      </c>
      <c r="D57" s="5" t="n">
        <v>-3102989</v>
      </c>
      <c r="E57" s="5" t="n">
        <v>12462475</v>
      </c>
      <c r="F57" s="5" t="n">
        <v>76112483</v>
      </c>
    </row>
    <row r="58">
      <c r="A58" s="5" t="inlineStr">
        <is>
          <t>Balance as at 1 January 2021</t>
        </is>
      </c>
      <c r="B58" s="5" t="n">
        <v>45000000</v>
      </c>
      <c r="C58" s="5" t="n">
        <v>21752997</v>
      </c>
      <c r="D58" s="5" t="n">
        <v>-3102989</v>
      </c>
      <c r="E58" s="5" t="n">
        <v>12462475</v>
      </c>
      <c r="F58" s="5" t="n">
        <v>76112483</v>
      </c>
    </row>
    <row r="59">
      <c r="A59" s="6" t="inlineStr">
        <is>
          <t>Profit for the year</t>
        </is>
      </c>
      <c r="B59" s="6" t="n"/>
      <c r="C59" s="6" t="n">
        <v>2918006</v>
      </c>
      <c r="D59" s="6" t="n"/>
      <c r="E59" s="6" t="n"/>
      <c r="F59" s="6" t="n">
        <v>2918006</v>
      </c>
    </row>
    <row r="60">
      <c r="A60" s="6" t="inlineStr">
        <is>
          <t>Actuarial gain recognised relating to the pension scheme</t>
        </is>
      </c>
      <c r="B60" s="6" t="n"/>
      <c r="C60" s="6" t="n">
        <v>617000</v>
      </c>
      <c r="D60" s="6" t="n"/>
      <c r="E60" s="6" t="n"/>
      <c r="F60" s="6" t="n">
        <v>617000</v>
      </c>
    </row>
    <row r="61">
      <c r="A61" s="6" t="inlineStr">
        <is>
          <t>Fair value movement on available for sale investment</t>
        </is>
      </c>
      <c r="B61" s="6" t="n"/>
      <c r="C61" s="6" t="n"/>
      <c r="D61" s="6" t="n">
        <v>-759595</v>
      </c>
      <c r="E61" s="6" t="n"/>
      <c r="F61" s="6" t="n">
        <v>-759595</v>
      </c>
    </row>
    <row r="62">
      <c r="A62" s="6" t="inlineStr">
        <is>
          <t>Revaluation gain on freehold property</t>
        </is>
      </c>
      <c r="B62" s="6" t="n"/>
      <c r="C62" s="6" t="n"/>
      <c r="D62" s="6" t="n"/>
      <c r="E62" s="6" t="n">
        <v>2757109</v>
      </c>
      <c r="F62" s="6" t="n">
        <v>2757109</v>
      </c>
    </row>
    <row r="63">
      <c r="A63" s="6" t="inlineStr">
        <is>
          <t>Movement on deferred tax relating to freehold property</t>
        </is>
      </c>
      <c r="B63" s="6" t="n"/>
      <c r="C63" s="6" t="n"/>
      <c r="D63" s="6" t="n"/>
      <c r="E63" s="6" t="n">
        <v>-523851</v>
      </c>
      <c r="F63" s="6" t="n">
        <v>-523851</v>
      </c>
    </row>
    <row r="64">
      <c r="A64" s="6" t="inlineStr">
        <is>
          <t>Deferred tax adjustment due to change in tax rates</t>
        </is>
      </c>
      <c r="B64" s="6" t="n"/>
      <c r="C64" s="6" t="n"/>
      <c r="D64" s="6" t="n"/>
      <c r="E64" s="6" t="n">
        <v>-1039431</v>
      </c>
      <c r="F64" s="6" t="n">
        <v>-1039431</v>
      </c>
    </row>
    <row r="65">
      <c r="A65" s="5" t="inlineStr">
        <is>
          <t>Total</t>
        </is>
      </c>
      <c r="B65" s="5" t="n">
        <v>45000000</v>
      </c>
      <c r="C65" s="5" t="n">
        <v>25288003</v>
      </c>
      <c r="D65" s="5" t="n">
        <v>-3862585</v>
      </c>
      <c r="E65" s="5" t="n">
        <v>13656302</v>
      </c>
      <c r="F65" s="5" t="n">
        <v>80081720</v>
      </c>
    </row>
    <row r="66">
      <c r="A66" s="6" t="inlineStr">
        <is>
          <t>Transfer of depreciation on revaluation surplus</t>
        </is>
      </c>
      <c r="B66" s="6" t="n"/>
      <c r="C66" s="6" t="n">
        <v>9600</v>
      </c>
      <c r="D66" s="6" t="n"/>
      <c r="E66" s="6" t="n">
        <v>-9600</v>
      </c>
      <c r="F66" s="6" t="n">
        <v>0</v>
      </c>
    </row>
    <row r="67">
      <c r="A67" s="5" t="inlineStr">
        <is>
          <t>Balance at 1 January 2022</t>
        </is>
      </c>
      <c r="B67" s="5" t="n">
        <v>45000000</v>
      </c>
      <c r="C67" s="5" t="n">
        <v>25297603</v>
      </c>
      <c r="D67" s="5" t="n">
        <v>-3862585</v>
      </c>
      <c r="E67" s="5" t="n">
        <v>13646702</v>
      </c>
      <c r="F67" s="5" t="n">
        <v>80081720</v>
      </c>
    </row>
    <row r="68">
      <c r="A68" s="6" t="inlineStr">
        <is>
          <t>Profit for the year</t>
        </is>
      </c>
      <c r="B68" s="6" t="n"/>
      <c r="C68" s="6" t="n">
        <v>4541768</v>
      </c>
      <c r="D68" s="6" t="n"/>
      <c r="E68" s="6" t="n"/>
      <c r="F68" s="6" t="n">
        <v>4541768</v>
      </c>
    </row>
    <row r="69">
      <c r="A69" s="6" t="inlineStr">
        <is>
          <t>Actuarial gain recognised relating to the pension scheme</t>
        </is>
      </c>
      <c r="B69" s="6" t="n"/>
      <c r="C69" s="6" t="n">
        <v>889850</v>
      </c>
      <c r="D69" s="6" t="n"/>
      <c r="E69" s="6" t="n"/>
      <c r="F69" s="6" t="n">
        <v>889850</v>
      </c>
    </row>
    <row r="70">
      <c r="A70" s="6" t="inlineStr">
        <is>
          <t>Fair value loss on available for sale debt securities</t>
        </is>
      </c>
      <c r="B70" s="6" t="n"/>
      <c r="C70" s="6" t="n"/>
      <c r="D70" s="6" t="n">
        <v>-10073633</v>
      </c>
      <c r="E70" s="6" t="n"/>
      <c r="F70" s="6" t="n">
        <v>-10073633</v>
      </c>
    </row>
    <row r="71">
      <c r="A71" s="6" t="inlineStr">
        <is>
          <t>Gain on revaluation of freehold property</t>
        </is>
      </c>
      <c r="B71" s="6" t="n"/>
      <c r="C71" s="6" t="n"/>
      <c r="D71" s="6" t="n"/>
      <c r="E71" s="6" t="n">
        <v>98316</v>
      </c>
      <c r="F71" s="6" t="n">
        <v>98316</v>
      </c>
    </row>
    <row r="72">
      <c r="A72" s="6" t="inlineStr">
        <is>
          <t>Deferred tax relating to revaluation of freehold property</t>
        </is>
      </c>
      <c r="B72" s="6" t="n"/>
      <c r="C72" s="6" t="n"/>
      <c r="D72" s="6" t="n"/>
      <c r="E72" s="6" t="n">
        <v>90190</v>
      </c>
      <c r="F72" s="6" t="n">
        <v>90190</v>
      </c>
    </row>
    <row r="73">
      <c r="A73" s="6" t="inlineStr">
        <is>
          <t>Release of revaluation reserve on disposal of property</t>
        </is>
      </c>
      <c r="B73" s="6" t="n"/>
      <c r="C73" s="6" t="n">
        <v>499440</v>
      </c>
      <c r="D73" s="6" t="n"/>
      <c r="E73" s="6" t="n">
        <v>-499440</v>
      </c>
      <c r="F73" s="6" t="n">
        <v>0</v>
      </c>
    </row>
    <row r="74">
      <c r="A74" s="6" t="inlineStr">
        <is>
          <t>Dividend paid and declared</t>
        </is>
      </c>
      <c r="B74" s="6" t="n"/>
      <c r="C74" s="6" t="n">
        <v>-1015000</v>
      </c>
      <c r="D74" s="6" t="n"/>
      <c r="E74" s="6" t="n"/>
      <c r="F74" s="6" t="n">
        <v>-1015000</v>
      </c>
    </row>
    <row r="75">
      <c r="A75" s="5" t="inlineStr">
        <is>
          <t>Total</t>
        </is>
      </c>
      <c r="B75" s="5" t="n">
        <v>45000000</v>
      </c>
      <c r="C75" s="5" t="n">
        <v>30213661</v>
      </c>
      <c r="D75" s="5" t="n">
        <v>-13936218</v>
      </c>
      <c r="E75" s="5" t="n">
        <v>13335768</v>
      </c>
      <c r="F75" s="5" t="n">
        <v>74613211</v>
      </c>
    </row>
    <row r="76">
      <c r="A76" s="6" t="inlineStr">
        <is>
          <t>Transfer of depreciation on revaluation surplus</t>
        </is>
      </c>
      <c r="B76" s="6" t="n"/>
      <c r="C76" s="6" t="n">
        <v>9600</v>
      </c>
      <c r="D76" s="6" t="n"/>
      <c r="E76" s="6" t="n">
        <v>-9600</v>
      </c>
      <c r="F76" s="6" t="n">
        <v>0</v>
      </c>
    </row>
    <row r="77">
      <c r="A77" s="5" t="inlineStr">
        <is>
          <t>Balance as at 31 December 2022</t>
        </is>
      </c>
      <c r="B77" s="5" t="n">
        <v>45000000</v>
      </c>
      <c r="C77" s="5" t="n">
        <v>30223261</v>
      </c>
      <c r="D77" s="5" t="n">
        <v>-13936218</v>
      </c>
      <c r="E77" s="5" t="n">
        <v>13326168</v>
      </c>
      <c r="F77" s="5" t="n">
        <v>74613211</v>
      </c>
    </row>
    <row r="78">
      <c r="A78" s="5" t="inlineStr">
        <is>
          <t>Balance as at 1 January 2023</t>
        </is>
      </c>
      <c r="B78" s="5" t="n">
        <v>45000000</v>
      </c>
      <c r="C78" s="5" t="n">
        <v>30223261</v>
      </c>
      <c r="D78" s="5" t="n">
        <v>-13936218</v>
      </c>
      <c r="E78" s="5" t="n">
        <v>13326168</v>
      </c>
      <c r="F78" s="5" t="n">
        <v>74613211</v>
      </c>
    </row>
    <row r="79">
      <c r="A79" s="6" t="inlineStr">
        <is>
          <t>Profit for the year</t>
        </is>
      </c>
      <c r="B79" s="6" t="n"/>
      <c r="C79" s="6" t="n">
        <v>8600467</v>
      </c>
      <c r="D79" s="6" t="n"/>
      <c r="E79" s="6" t="n"/>
      <c r="F79" s="6" t="n">
        <v>8600467</v>
      </c>
    </row>
    <row r="80">
      <c r="A80" s="6" t="inlineStr">
        <is>
          <t>Actuarial loss recognised relating to the pension scheme</t>
        </is>
      </c>
      <c r="B80" s="6" t="n"/>
      <c r="C80" s="6" t="n">
        <v>-454350</v>
      </c>
      <c r="D80" s="6" t="n"/>
      <c r="E80" s="6" t="n"/>
      <c r="F80" s="6" t="n">
        <v>-454350</v>
      </c>
    </row>
    <row r="81">
      <c r="A81" s="6" t="inlineStr">
        <is>
          <t>Fair value gain on available for sale debt securities</t>
        </is>
      </c>
      <c r="B81" s="6" t="n"/>
      <c r="C81" s="6" t="n"/>
      <c r="D81" s="6" t="n">
        <v>7410504</v>
      </c>
      <c r="E81" s="6" t="n"/>
      <c r="F81" s="6" t="n">
        <v>7410504</v>
      </c>
    </row>
    <row r="82">
      <c r="A82" s="6" t="inlineStr">
        <is>
          <t>Deferred tax related to available for sale debt securities</t>
        </is>
      </c>
      <c r="B82" s="6" t="n"/>
      <c r="C82" s="6" t="n"/>
      <c r="D82" s="6" t="n">
        <v>1631429</v>
      </c>
      <c r="E82" s="6" t="n"/>
      <c r="F82" s="6" t="n">
        <v>1631429</v>
      </c>
    </row>
    <row r="83">
      <c r="A83" s="6" t="inlineStr">
        <is>
          <t>Gain on revaluation of freehold property</t>
        </is>
      </c>
      <c r="B83" s="6" t="n"/>
      <c r="C83" s="6" t="n"/>
      <c r="D83" s="6" t="n"/>
      <c r="E83" s="6" t="n">
        <v>440867</v>
      </c>
      <c r="F83" s="6" t="n">
        <v>440867</v>
      </c>
    </row>
    <row r="84">
      <c r="A84" s="6" t="inlineStr">
        <is>
          <t>Deferred tax relating to revaluation of freehold property</t>
        </is>
      </c>
      <c r="B84" s="6" t="n"/>
      <c r="C84" s="6" t="n"/>
      <c r="D84" s="6" t="n"/>
      <c r="E84" s="6" t="n">
        <v>-85353</v>
      </c>
      <c r="F84" s="6" t="n">
        <v>-85353</v>
      </c>
    </row>
    <row r="85">
      <c r="A85" s="5" t="inlineStr">
        <is>
          <t>Total</t>
        </is>
      </c>
      <c r="B85" s="5" t="n">
        <v>45000000</v>
      </c>
      <c r="C85" s="5" t="n">
        <v>38369378</v>
      </c>
      <c r="D85" s="5" t="n">
        <v>-4894285</v>
      </c>
      <c r="E85" s="5" t="n">
        <v>13681682</v>
      </c>
      <c r="F85" s="5" t="n">
        <v>92156775</v>
      </c>
    </row>
    <row r="86">
      <c r="A86" s="6" t="inlineStr">
        <is>
          <t>Transfer of depreciation on revaluation surplus</t>
        </is>
      </c>
      <c r="B86" s="6" t="n"/>
      <c r="C86" s="6" t="n">
        <v>9600</v>
      </c>
      <c r="D86" s="6" t="n"/>
      <c r="E86" s="6" t="n">
        <v>-9600</v>
      </c>
      <c r="F86" s="6" t="n">
        <v>0</v>
      </c>
    </row>
    <row r="87">
      <c r="A87" s="5" t="inlineStr">
        <is>
          <t>Balance as at 31 December 2023</t>
        </is>
      </c>
      <c r="B87" s="5" t="n">
        <v>45000000</v>
      </c>
      <c r="C87" s="5" t="n">
        <v>38378978</v>
      </c>
      <c r="D87" s="5" t="n">
        <v>-4894285</v>
      </c>
      <c r="E87" s="5" t="n">
        <v>13672082</v>
      </c>
      <c r="F87" s="5" t="n">
        <v>92156775</v>
      </c>
    </row>
    <row r="88">
      <c r="A88" s="5" t="inlineStr">
        <is>
          <t>Balance as at 1 January 2024</t>
        </is>
      </c>
      <c r="B88" s="5" t="n">
        <v>45000000</v>
      </c>
      <c r="C88" s="5" t="n">
        <v>38378978</v>
      </c>
      <c r="D88" s="5" t="n">
        <v>-4894285</v>
      </c>
      <c r="E88" s="5" t="n">
        <v>13672082</v>
      </c>
      <c r="F88" s="5" t="n">
        <v>92156775</v>
      </c>
    </row>
    <row r="89">
      <c r="A89" s="6" t="inlineStr">
        <is>
          <t>Profit for the year</t>
        </is>
      </c>
      <c r="B89" s="6" t="n"/>
      <c r="C89" s="6" t="n">
        <v>7138466</v>
      </c>
      <c r="D89" s="6" t="n"/>
      <c r="E89" s="6" t="n"/>
      <c r="F89" s="6" t="n">
        <v>7138466</v>
      </c>
    </row>
    <row r="90">
      <c r="A90" s="6" t="inlineStr">
        <is>
          <t>Actuarial gain recognised relating to the pension scheme</t>
        </is>
      </c>
      <c r="B90" s="6" t="n"/>
      <c r="C90" s="6" t="n">
        <v>185250</v>
      </c>
      <c r="D90" s="6" t="n"/>
      <c r="E90" s="6" t="n"/>
      <c r="F90" s="6" t="n">
        <v>185250</v>
      </c>
    </row>
    <row r="91">
      <c r="A91" s="6" t="inlineStr">
        <is>
          <t>Fair value movement on available for sale debt securities</t>
        </is>
      </c>
      <c r="B91" s="6" t="n"/>
      <c r="C91" s="6" t="n"/>
      <c r="D91" s="6" t="n">
        <v>4727584</v>
      </c>
      <c r="E91" s="6" t="n"/>
      <c r="F91" s="6" t="n">
        <v>4727584</v>
      </c>
    </row>
    <row r="92">
      <c r="A92" s="6" t="inlineStr">
        <is>
          <t>Deferred tax related to available for sale debt securities</t>
        </is>
      </c>
      <c r="B92" s="6" t="n"/>
      <c r="C92" s="6" t="n"/>
      <c r="D92" s="6" t="n">
        <v>-1181897</v>
      </c>
      <c r="E92" s="6" t="n"/>
      <c r="F92" s="6" t="n">
        <v>-1181897</v>
      </c>
    </row>
    <row r="93">
      <c r="A93" s="6" t="inlineStr">
        <is>
          <t>Gain on revaluation of freehold property</t>
        </is>
      </c>
      <c r="B93" s="6" t="n"/>
      <c r="C93" s="6" t="n"/>
      <c r="D93" s="6" t="n"/>
      <c r="E93" s="6" t="n">
        <v>2514243</v>
      </c>
      <c r="F93" s="6" t="n">
        <v>2514243</v>
      </c>
    </row>
    <row r="94">
      <c r="A94" s="6" t="inlineStr">
        <is>
          <t>Deferred tax relating to revaluation of freehold property</t>
        </is>
      </c>
      <c r="B94" s="6" t="n"/>
      <c r="C94" s="6" t="n"/>
      <c r="D94" s="6" t="n"/>
      <c r="E94" s="6" t="n">
        <v>-610670</v>
      </c>
      <c r="F94" s="6" t="n">
        <v>-610670</v>
      </c>
    </row>
    <row r="95">
      <c r="A95" s="6" t="inlineStr">
        <is>
          <t>Transfer of depreciation on disposal of property</t>
        </is>
      </c>
      <c r="B95" s="6" t="n"/>
      <c r="C95" s="6" t="n">
        <v>118466</v>
      </c>
      <c r="D95" s="6" t="n"/>
      <c r="E95" s="6" t="n">
        <v>-118466</v>
      </c>
      <c r="F95" s="6" t="n">
        <v>0</v>
      </c>
    </row>
    <row r="96">
      <c r="A96" s="5" t="inlineStr">
        <is>
          <t>Total</t>
        </is>
      </c>
      <c r="B96" s="5" t="n">
        <v>45000000</v>
      </c>
      <c r="C96" s="5" t="n">
        <v>45821160</v>
      </c>
      <c r="D96" s="5" t="n">
        <v>-1348598</v>
      </c>
      <c r="E96" s="5" t="n">
        <v>15457189</v>
      </c>
      <c r="F96" s="5" t="n">
        <v>104929751</v>
      </c>
    </row>
    <row r="97">
      <c r="A97" s="6" t="inlineStr">
        <is>
          <t>Transfer of depreciation on revaluation surplus</t>
        </is>
      </c>
      <c r="B97" s="6" t="n"/>
      <c r="C97" s="6" t="n">
        <v>9600</v>
      </c>
      <c r="D97" s="6" t="n"/>
      <c r="E97" s="6" t="n">
        <v>-9600</v>
      </c>
      <c r="F97" s="6" t="n">
        <v>0</v>
      </c>
    </row>
    <row r="98">
      <c r="A98" s="5" t="inlineStr">
        <is>
          <t>Balance as at 31 December 2024</t>
        </is>
      </c>
      <c r="B98" s="5" t="n">
        <v>45000000</v>
      </c>
      <c r="C98" s="5" t="n">
        <v>45830760</v>
      </c>
      <c r="D98" s="5" t="n">
        <v>-1348598</v>
      </c>
      <c r="E98" s="5" t="n">
        <v>15447589</v>
      </c>
      <c r="F98" s="5" t="n">
        <v>104929751</v>
      </c>
    </row>
    <row r="99">
      <c r="A99" s="5" t="inlineStr">
        <is>
          <t>Balance as at 1 January 2025</t>
        </is>
      </c>
      <c r="B99" s="5" t="n">
        <v>45000000</v>
      </c>
      <c r="C99" s="5" t="n">
        <v>45830760</v>
      </c>
      <c r="D99" s="5" t="n">
        <v>-1348598</v>
      </c>
      <c r="E99" s="5" t="n">
        <v>15447589</v>
      </c>
      <c r="F99" s="5" t="n">
        <v>104929751</v>
      </c>
    </row>
    <row r="100">
      <c r="A100" s="6" t="inlineStr">
        <is>
          <t>Profit for the year</t>
        </is>
      </c>
      <c r="B100" s="6" t="n"/>
      <c r="C100" s="6" t="n">
        <v>10845105</v>
      </c>
      <c r="D100" s="6" t="n"/>
      <c r="E100" s="6" t="n"/>
      <c r="F100" s="6" t="n">
        <v>10845105</v>
      </c>
    </row>
    <row r="101">
      <c r="A101" s="6" t="inlineStr">
        <is>
          <t>Actuarial (loss) recognised relating to the pension scheme</t>
        </is>
      </c>
      <c r="B101" s="6" t="n"/>
      <c r="C101" s="6" t="n">
        <v>-41250</v>
      </c>
      <c r="D101" s="6" t="n"/>
      <c r="E101" s="6" t="n"/>
      <c r="F101" s="6" t="n">
        <v>-41250</v>
      </c>
    </row>
    <row r="102">
      <c r="A102" s="6" t="inlineStr">
        <is>
          <t>Fair value gain on available for sale debt securities</t>
        </is>
      </c>
      <c r="B102" s="6" t="n"/>
      <c r="C102" s="6" t="n"/>
      <c r="D102" s="6" t="n">
        <v>1331077</v>
      </c>
      <c r="E102" s="6" t="n"/>
      <c r="F102" s="6" t="n">
        <v>1331077</v>
      </c>
    </row>
    <row r="103">
      <c r="A103" s="6" t="inlineStr">
        <is>
          <t>Deferred tax related to available for sale debt securities</t>
        </is>
      </c>
      <c r="B103" s="6" t="n"/>
      <c r="C103" s="6" t="n"/>
      <c r="D103" s="6" t="n">
        <v>-332769</v>
      </c>
      <c r="E103" s="6" t="n"/>
      <c r="F103" s="6" t="n">
        <v>-332769</v>
      </c>
    </row>
    <row r="104">
      <c r="A104" s="6" t="inlineStr">
        <is>
          <t>Gain on revaluation of freehold property</t>
        </is>
      </c>
      <c r="B104" s="6" t="n"/>
      <c r="C104" s="6" t="n"/>
      <c r="D104" s="6" t="n"/>
      <c r="E104" s="6" t="n">
        <v>394391</v>
      </c>
      <c r="F104" s="6" t="n">
        <v>394391</v>
      </c>
    </row>
    <row r="105">
      <c r="A105" s="6" t="inlineStr">
        <is>
          <t>Deferred tax relating to revaluation of freehold property</t>
        </is>
      </c>
      <c r="B105" s="6" t="n"/>
      <c r="C105" s="6" t="n"/>
      <c r="D105" s="6" t="n"/>
      <c r="E105" s="6" t="n">
        <v>-77500</v>
      </c>
      <c r="F105" s="6" t="n">
        <v>-77500</v>
      </c>
    </row>
    <row r="106">
      <c r="A106" s="5" t="inlineStr">
        <is>
          <t>Balance as at 31 December 2025</t>
        </is>
      </c>
      <c r="B106" s="5" t="n">
        <v>45000000</v>
      </c>
      <c r="C106" s="5" t="n">
        <v>56634615</v>
      </c>
      <c r="D106" s="5" t="n">
        <v>-350290</v>
      </c>
      <c r="E106" s="5" t="n">
        <v>15764480</v>
      </c>
      <c r="F106" s="5" t="n">
        <v>117048805</v>
      </c>
    </row>
    <row r="108" ht="364" customHeight="1">
      <c r="A108" s="8" t="inlineStr">
        <is>
          <t>Sources - all figures are United National Bank Limited's own statements, exact £ as reported (not rounded to £'000/£m):
FY2025 &amp; FY2024: Annual report and financial statements 2025 - p.22 (Statement of profit or loss), p.24 (Balance sheet), p.25 (Statement of changes in equity), p.42-43 (Note 9, Loans and advances to customers) - https://find-and-update.company-information.service.gov.uk/company/04146820/filing-history/MzUxODk3MTQ2NWFkaXF6a2N4/document?format=pdf
FY2023: Annual report and financial statements 2023 - p.28 (Statement of profit or loss), p.30 (Balance sheet), p.31 (Statement of changes in equity), p.47 (Note 9, Loans and advances to customers) - https://find-and-update.company-information.service.gov.uk/company/04146820/filing-history/MzQyNTcyMzI0MGFkaXF6a2N4/document?format=pdf
FY2022 (own originally-published figures, not the FY2023 report's restated comparative): Full accounts made up to 31 December 2022 (filed 10 May 2023) - p.27 (Statement of profit or loss), p.29 (Balance sheet), p.30 (Statement of changes in equity), p.45 (Note 8, Loans and advances to customers) - https://find-and-update.company-information.service.gov.uk/company/04146820/filing-history/MzM3ODQxMzg4MWFkaXF6a2N4/document?format=pdf
FY2021: Annual report and financial statements 2021 - p.26 (Statement of profit or loss), p.28 (Balance sheet), p.29 (Statement of changes in equity), p.43 (Note 8, Loans and advances to customers) - https://find-and-update.company-information.service.gov.uk/company/04146820/filing-history/MzMzNzgyNzI3OGFkaXF6a2N4/document?format=pdf
FY2020: Annual report and financial statements 2020 - p.24 (Statement of profit or loss), p.26 (Balance sheet), p.27 (Statement of changes in equity), p.41 (Note 8, Loans and advances to customers) - https://find-and-update.company-information.service.gov.uk/company/04146820/filing-history/MzI5OTQ5NjA4NWFkaXF6a2N4/document?format=pdf
FY2019: Annual Report and Financial Statements 2019 - p.25 (Statement of profit or loss), p.27 (Balance sheet), p.28 (Statement of changes in equity), p.41 (Note 7, Loans and advances to customers) - https://find-and-update.company-information.service.gov.uk/company/04146820/filing-history/MzI2NjczOTQyMmFkaXF6a2N4/document?format=pdf
FY2018: Annual report and financial statements 2018 - p.22 (Profit and loss account), p.24 (Balance sheet), p.25 (Statement of changes in equity), p.38 (Note 7, Loans and advances to customers) - https://find-and-update.company-information.service.gov.uk/company/04146820/filing-history/MzIzMjM1MjQ2N2FkaXF6a2N4/document?format=pdf
FY2017: Annual report and financial statements 2017 - p.22 (Profit and loss account), p.24 (Balance sheet), p.25 (Statement of changes in equity), p.38 (Note 7, Loans and advances to customers) - https://find-and-update.company-information.service.gov.uk/company/04146820/filing-history/MzIwMzc4OTY1M2FkaXF6a2N4/document?format=pdf
FY2016: Report and Financial Statements 2016 - p.18 (Profit and loss account), p.20 (Balance Sheet), p.21 (Statement of changes in equity), p.34 (Note 6, Loans and advances to customers) - https://find-and-update.company-information.service.gov.uk/company/04146820/filing-history/MzE4MjAzNTU0NWFkaXF6a2N4/document?format=pdf
All 6 of FY2016-FY2021's own-filing figures were verified against pdftotext extracting effectively zero real characters from each PDF (scanned/image-only, same as every other year) before transcribing from the rendered page images.
PRESENTATION NOTE: the Balance Sheet's own line items genuinely differ across FY2016-FY2021 filings (not a transcription gap): 'Loans and advances to banks' has no line at all in FY2016 (absent, not zero) and FY2019 (also absent that year), is an explicit disclosed nil in FY2018, and is a real balance in FY2017/FY2020/FY2021; 'Subordinated debt' is a real balance in FY2016/FY2017, an explicit disclosed nil in FY2018 (the subordinated loan was repaid in full on maturity in October 2018, per that year's own note), and no line at all thereafter; 'Repurchase agreements' is a real balance in FY2016-FY2019, an explicit disclosed nil in FY2020, and no line at all in FY2021; the combined 'Accruals and deferred income' line used in FY2016-FY2020 was split by FY2021 into a standalone 'Deferred income' line with no separate accruals line - shown here as two distinct rows rather than conflating a combined figure with a narrower later one.</t>
        </is>
      </c>
    </row>
    <row r="110" ht="403" customHeight="1">
      <c r="A110" s="8" t="inlineStr">
        <is>
          <t>(continued)
DISCREPANCY: FY2018's own SOCIE 'As at 1 January 2018' opening balance (£45,000,000 / £29,993,994 / £(1,654,351) / £10,822,966 / £84,162,609 total) does not exactly match FY2017's own SOCIE closing balance at 31 December 2017 (£45,000,000 / £29,993,994 / £(1,654,351) / £10,472,966 / £83,812,609 total) - the Property revaluation reserve differs by £350,001 (£10,822,966 vs £10,472,966), a genuine restatement between the two filings' own figures for the same date. Both years' own SOCIE closing/opening rows are reproduced exactly as each filing states, not force-tied.
DISCREPANCY: FY2022's own net loans figure (£638,315,902, tying to its own Balance Sheet and Note 8) differs from the FY2023 report's restated FY2022 comparative (£636,057,857) by ~£2.26m - a genuine restatement between the two filings. This workbook uses FY2022's own originally-published figures throughout, per project convention, so this Balance Sheet / Profit &amp; Loss / Statement of Changes in Equity / Asset Quality sheet will not exactly match a later report's restated FY2022 comparative column.
DISCREPANCY: the FY2025 Statement of Changes in Equity's own 31 December 2025 closing Total (£117,048,805) does not exactly match the FY2025 Balance Sheet's own Total equity for the same date (£117,048,800) - both figures are transcribed exactly as each statement states; this ~£5 gap is a source-document-internal rounding artefact, not a transcription error, and is not forced to tie.
ENTITY NOTE: United National Bank Limited (Companies House 04146820) was formed in 2001 from the merger of the UK branches of two Pakistani banks, United Bank Limited ('UBL') and National Bank of Pakistan ('NBP'), who had operated in the UK since the 1960s - historically 55% UBL / 45% NBP owned, trading as 'UBL UK'. In July 2024, following regulatory approval, Bestway Group Financial Services Limited (a wholly-owned subsidiary of Bestway Group, a UK diversified conglomerate) acquired 95.1% of the Company's shares from UBL and NBP - the Company is now majority UK-owned rather than a foreign subsidiary in the usual sense, though UBL/NBP retain a residual stake and a preference-share arrangement (see Notes). All financial statements are prepared under FRS 102 in Pound Sterling (the Company's functional currency) - no cash-flow-statement exemption is taken.
DATA AVAILABILITY NOTE: 10 years (FY2016-FY2025) sourced from nine Companies House annual report filings (FY2025/FY2024 from the 2025 filing, FY2023 from the 2023 filing, and FY2022 down to FY2016 each from that year's own filing rather than a later filing's restated comparative - all fully scanned/image-only PDFs, transcribed directly from the source page images; pdftotext extracts 0 real characters from every one of them, confirmed before transcription). Pillar 3: the pre-Bestway entity ('UBL UK') published 'Pillar 3 and Remuneration Code Disclosures' on its own site (ubluk.com) for every year FY2016-FY2024, and ALL NINE of those editions are live on the bank's own site today. CITATION CORRECTION 2026-09-16: an earlier build of this workbook said 'the live site no longer links to most of these (only the current year's edition is navigable from ubluk.com/resources)' and cited Wayback captures for FY2016-FY2022 accordingly. That statement is withdrawn - it was true of the /resources page but not of the bank's own document index at https://www.ubluk.com/footer-pages/annual-reports/, which links a 'Pillar III Disclosure' for every year 2016 to 2024. All nine were re-fetched from those live ubluk.com/media/&lt;slug&gt; paths on 16 September 2026, each returning HTTP 200, Content-Type application/pdf and %PDF magic bytes (0.94-1.97 MB), and every citation on every sheet now points at the bank's own live URL rather than a Wayback copy. No figure changed: the live FY2022 file is the same edition as the Wayback /media/1368/ copy it replaces (CET1 GBP 73,598,731, Total regulatory capital GBP 73,967,261, Total RWAs 385,707, Credit/CCR RWA 363,317 all present in it). Historical note, retained because it explains how these were first recovered: in the 2026-09-06 extension the first Wayback snapshot found for each of FY2016-FY2021's original media/NNNN URL was truncated at exactly 1,048,576 bytes (1 MiB), a known crawl-truncation artefact also seen on other banks' Wayback-recovered PDFs on this project, and a second, later (2024-2025) snapshot of each document's newer media/&lt;slug&gt; URL was untruncated and used instead, confirmed via `file`/`pdftotext` page-count and character-count checks before transcribing any figure.</t>
        </is>
      </c>
    </row>
    <row r="112" ht="280" customHeight="1">
      <c r="A112" s="8" t="inlineStr">
        <is>
          <t>(continued)
FY2025 PILLAR 3 - ENUMERATED ABSENCE ON A CURRENT INDEX (upgraded from 'access gap' on 2026-09-15). The bank's own document index at https://www.ubluk.com/footer-pages/annual-reports/ was fetched and fully parsed on 15 September 2026. It is organised year by year, and each year from 2016 to 2024 carries BOTH an 'Annual Report' link and a 'Pillar III Disclosure' link. The 2025 block carries the Annual Report (/media/405naqby/ye2025-statutory-accounts-final-23apr2026_signed.pdf) but NO Pillar III Disclosure link at all. That distinction matters: because the index has already been updated with the 2025 statutory accounts, this is not a stale page lagging behind publication - the page is current and the FY2025 Pillar 3 is absent from it. So the gap is an enumerated negative, not a failure to find.
It is NOT, however, a permanent non-publication, and should stay on the re-check list. This bank publishes its Pillar 3 extremely late: the FY2024 edition linked from that same index is dated 1 July 2026, roughly 18 months after its year-end and over two months after the FY2025 Annual Report was signed (23 April 2026). On that cadence an FY2025 edition would not be due until well into 2027. The FY2025 Annual Report also still refers readers to 'the unaudited Pillar III disclosures' for capital management policy, so the bank has not said it has stopped publishing them.
Nothing exists before FY2016 on any basis: the index's earliest year block is 2016, for both document types.
Where a FY2025 figure appears on a sheet it is therefore Annual-Report-sourced and labelled as such.</t>
        </is>
      </c>
    </row>
  </sheetData>
  <mergeCells count="3">
    <mergeCell ref="A108:F108"/>
    <mergeCell ref="A112:F112"/>
    <mergeCell ref="A110:F1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Cash Flow Statement</t>
        </is>
      </c>
    </row>
    <row r="2">
      <c r="A2" s="2" t="inlineStr">
        <is>
          <t>Company basis, exact £ (not £'000/£m) - see source note at bottom.</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c r="K3" s="4" t="inlineStr">
        <is>
          <t>FY2016 (£)</t>
        </is>
      </c>
    </row>
    <row r="4">
      <c r="A4" s="5" t="inlineStr">
        <is>
          <t>Operating activities</t>
        </is>
      </c>
      <c r="B4" s="6" t="n"/>
      <c r="C4" s="6" t="n"/>
      <c r="D4" s="6" t="n"/>
      <c r="E4" s="6" t="n"/>
      <c r="F4" s="6" t="n"/>
      <c r="G4" s="6" t="n"/>
      <c r="H4" s="6" t="n"/>
      <c r="I4" s="6" t="n"/>
      <c r="J4" s="6" t="n"/>
      <c r="K4" s="6" t="n"/>
    </row>
    <row r="5">
      <c r="A5" s="6" t="inlineStr">
        <is>
          <t>Profit before tax on ordinary activities for the year</t>
        </is>
      </c>
      <c r="B5" s="6" t="n">
        <v>14576858</v>
      </c>
      <c r="C5" s="6" t="n">
        <v>5243939</v>
      </c>
      <c r="D5" s="6" t="n">
        <v>6911228</v>
      </c>
      <c r="E5" s="6" t="n">
        <v>5296311</v>
      </c>
      <c r="F5" s="6" t="n">
        <v>3225686</v>
      </c>
      <c r="G5" s="6" t="n">
        <v>-2378560</v>
      </c>
      <c r="H5" s="6" t="n">
        <v>-1009163</v>
      </c>
      <c r="I5" s="6" t="n">
        <v>-3778731</v>
      </c>
      <c r="J5" s="6" t="n">
        <v>710882</v>
      </c>
      <c r="K5" s="6" t="n">
        <v>7400449</v>
      </c>
    </row>
    <row r="6">
      <c r="A6" s="6" t="inlineStr">
        <is>
          <t>Depreciation and amortisation</t>
        </is>
      </c>
      <c r="B6" s="6" t="n">
        <v>297373</v>
      </c>
      <c r="C6" s="6" t="n">
        <v>344925</v>
      </c>
      <c r="D6" s="6" t="n">
        <v>597021</v>
      </c>
      <c r="E6" s="6" t="n">
        <v>755530</v>
      </c>
      <c r="F6" s="6" t="n">
        <v>721946</v>
      </c>
      <c r="G6" s="6" t="n">
        <v>540113</v>
      </c>
      <c r="H6" s="6" t="n">
        <v>699285</v>
      </c>
      <c r="I6" s="6" t="n">
        <v>912170</v>
      </c>
      <c r="J6" s="6" t="n">
        <v>890889</v>
      </c>
      <c r="K6" s="6" t="n">
        <v>883599</v>
      </c>
    </row>
    <row r="7">
      <c r="A7" s="6" t="inlineStr">
        <is>
          <t>Remeasurement of financial liability</t>
        </is>
      </c>
      <c r="B7" s="6" t="n">
        <v>291571</v>
      </c>
      <c r="C7" s="6" t="n">
        <v>2561700</v>
      </c>
      <c r="D7" s="6" t="n">
        <v>2650000</v>
      </c>
      <c r="E7" s="6" t="n"/>
      <c r="F7" s="6" t="n"/>
      <c r="G7" s="6" t="n"/>
      <c r="H7" s="6" t="n"/>
      <c r="I7" s="6" t="n"/>
      <c r="J7" s="6" t="n"/>
      <c r="K7" s="6" t="n"/>
    </row>
    <row r="8">
      <c r="A8" s="6" t="inlineStr">
        <is>
          <t>Net (reversal)/charge in respect of defined benefit pension scheme</t>
        </is>
      </c>
      <c r="B8" s="6" t="n">
        <v>36000</v>
      </c>
      <c r="C8" s="6" t="n">
        <v>35000</v>
      </c>
      <c r="D8" s="6" t="n">
        <v>-54000</v>
      </c>
      <c r="E8" s="6" t="n">
        <v>3000</v>
      </c>
      <c r="F8" s="6" t="n">
        <v>11000</v>
      </c>
      <c r="G8" s="6" t="n">
        <v>6000</v>
      </c>
      <c r="H8" s="6" t="n">
        <v>-5000</v>
      </c>
      <c r="I8" s="6" t="n">
        <v>60000</v>
      </c>
      <c r="J8" s="6" t="n">
        <v>25000</v>
      </c>
      <c r="K8" s="6" t="n">
        <v>10000</v>
      </c>
    </row>
    <row r="9">
      <c r="A9" s="6" t="inlineStr">
        <is>
          <t>Impairment charge/(recoveries) on loans and advances and other items</t>
        </is>
      </c>
      <c r="B9" s="6" t="n">
        <v>555015</v>
      </c>
      <c r="C9" s="6" t="n">
        <v>277396</v>
      </c>
      <c r="D9" s="6" t="n">
        <v>-133448</v>
      </c>
      <c r="E9" s="6" t="n">
        <v>-190335</v>
      </c>
      <c r="F9" s="6" t="n">
        <v>-579196</v>
      </c>
      <c r="G9" s="6" t="n">
        <v>2263480</v>
      </c>
      <c r="H9" s="6" t="n">
        <v>-523476</v>
      </c>
      <c r="I9" s="6" t="n">
        <v>2433377</v>
      </c>
      <c r="J9" s="6" t="n">
        <v>4531621</v>
      </c>
      <c r="K9" s="6" t="n">
        <v>407757</v>
      </c>
    </row>
    <row r="10">
      <c r="A10" s="6" t="inlineStr">
        <is>
          <t>Impairment (recoveries)/charge on available for sale investments</t>
        </is>
      </c>
      <c r="B10" s="6" t="n"/>
      <c r="C10" s="6" t="n"/>
      <c r="D10" s="6" t="n">
        <v>-43724</v>
      </c>
      <c r="E10" s="6" t="n">
        <v>5081559</v>
      </c>
      <c r="F10" s="6" t="n"/>
      <c r="G10" s="6" t="n"/>
      <c r="H10" s="6" t="n"/>
      <c r="I10" s="6" t="n"/>
      <c r="J10" s="6" t="n"/>
      <c r="K10" s="6" t="n"/>
    </row>
    <row r="11">
      <c r="A11" s="6" t="inlineStr">
        <is>
          <t>Non-cash movements relating to AFS debt securities</t>
        </is>
      </c>
      <c r="B11" s="6" t="n">
        <v>1798841</v>
      </c>
      <c r="C11" s="6" t="n">
        <v>518237</v>
      </c>
      <c r="D11" s="6" t="n">
        <v>-38664</v>
      </c>
      <c r="E11" s="6" t="n">
        <v>472140</v>
      </c>
      <c r="F11" s="6" t="n"/>
      <c r="G11" s="6" t="n"/>
      <c r="H11" s="6" t="n"/>
      <c r="I11" s="6" t="n"/>
      <c r="J11" s="6" t="n"/>
      <c r="K11" s="6" t="n"/>
    </row>
    <row r="12">
      <c r="A12" s="6" t="inlineStr">
        <is>
          <t>Fair value (gain)/loss on investment properties</t>
        </is>
      </c>
      <c r="B12" s="6" t="n">
        <v>60000</v>
      </c>
      <c r="C12" s="6" t="n">
        <v>1692678</v>
      </c>
      <c r="D12" s="6" t="n">
        <v>-157448</v>
      </c>
      <c r="E12" s="6" t="n"/>
      <c r="F12" s="6" t="n">
        <v>-1207628</v>
      </c>
      <c r="G12" s="6" t="n">
        <v>-51958</v>
      </c>
      <c r="H12" s="6" t="n"/>
      <c r="I12" s="6" t="n">
        <v>-787241</v>
      </c>
      <c r="J12" s="6" t="n"/>
      <c r="K12" s="6" t="n"/>
    </row>
    <row r="13">
      <c r="A13" s="6" t="inlineStr">
        <is>
          <t>Fair value losses on derivatives</t>
        </is>
      </c>
      <c r="B13" s="6" t="n">
        <v>36260</v>
      </c>
      <c r="C13" s="6" t="n">
        <v>8502</v>
      </c>
      <c r="D13" s="6" t="n"/>
      <c r="E13" s="6" t="n"/>
      <c r="F13" s="6" t="n"/>
      <c r="G13" s="6" t="n"/>
      <c r="H13" s="6" t="n"/>
      <c r="I13" s="6" t="n"/>
      <c r="J13" s="6" t="n"/>
      <c r="K13" s="6" t="n"/>
    </row>
    <row r="14">
      <c r="A14" s="6" t="inlineStr">
        <is>
          <t>Disposal of fixed assets - non cash</t>
        </is>
      </c>
      <c r="B14" s="6" t="n"/>
      <c r="C14" s="6" t="n">
        <v>-46958</v>
      </c>
      <c r="D14" s="6" t="n"/>
      <c r="E14" s="6" t="n">
        <v>-950000</v>
      </c>
      <c r="F14" s="6" t="n"/>
      <c r="G14" s="6" t="n"/>
      <c r="H14" s="6" t="n"/>
      <c r="I14" s="6" t="n"/>
      <c r="J14" s="6" t="n"/>
      <c r="K14" s="6" t="n"/>
    </row>
    <row r="15">
      <c r="A15" s="6" t="inlineStr">
        <is>
          <t>Interest payable on preference shares</t>
        </is>
      </c>
      <c r="B15" s="6" t="n"/>
      <c r="C15" s="6" t="n"/>
      <c r="D15" s="6" t="n"/>
      <c r="E15" s="6" t="n"/>
      <c r="F15" s="6" t="n"/>
      <c r="G15" s="6" t="n"/>
      <c r="H15" s="6" t="n"/>
      <c r="I15" s="6" t="n">
        <v>233674</v>
      </c>
      <c r="J15" s="6" t="n">
        <v>777910</v>
      </c>
      <c r="K15" s="6" t="n">
        <v>479110</v>
      </c>
    </row>
    <row r="16">
      <c r="A16" s="6" t="inlineStr">
        <is>
          <t>Accretion of discounts and amortisation of premiums (Operating activities in the FY2016/FY2021 filings only - see source note)</t>
        </is>
      </c>
      <c r="B16" s="6" t="n"/>
      <c r="C16" s="6" t="n"/>
      <c r="D16" s="6" t="n"/>
      <c r="E16" s="6" t="n"/>
      <c r="F16" s="6" t="n">
        <v>-797587</v>
      </c>
      <c r="G16" s="6" t="n"/>
      <c r="H16" s="6" t="n"/>
      <c r="I16" s="6" t="n"/>
      <c r="J16" s="6" t="n"/>
      <c r="K16" s="6" t="n">
        <v>-7681412</v>
      </c>
    </row>
    <row r="17">
      <c r="A17" s="6" t="inlineStr">
        <is>
          <t>Effects of exchange rate changes on cash and cash equivalents (within adjustments)</t>
        </is>
      </c>
      <c r="B17" s="6" t="n">
        <v>78789</v>
      </c>
      <c r="C17" s="6" t="n">
        <v>203350</v>
      </c>
      <c r="D17" s="6" t="n">
        <v>-1040191</v>
      </c>
      <c r="E17" s="6" t="n">
        <v>1310294</v>
      </c>
      <c r="F17" s="6" t="n">
        <v>257687</v>
      </c>
      <c r="G17" s="6" t="n">
        <v>1171331</v>
      </c>
      <c r="H17" s="6" t="n">
        <v>144285</v>
      </c>
      <c r="I17" s="6" t="n">
        <v>-1244042</v>
      </c>
      <c r="J17" s="6" t="n">
        <v>-198765</v>
      </c>
      <c r="K17" s="6" t="n">
        <v>-8328960</v>
      </c>
    </row>
    <row r="18">
      <c r="A18" s="6" t="inlineStr">
        <is>
          <t>Change in loans to banks</t>
        </is>
      </c>
      <c r="B18" s="6" t="n">
        <v>-771732</v>
      </c>
      <c r="C18" s="6" t="n">
        <v>-9040080</v>
      </c>
      <c r="D18" s="6" t="n">
        <v>-11575956</v>
      </c>
      <c r="E18" s="6" t="n">
        <v>253159</v>
      </c>
      <c r="F18" s="6" t="n">
        <v>-1683487</v>
      </c>
      <c r="G18" s="6" t="n">
        <v>-570000</v>
      </c>
      <c r="H18" s="6" t="n"/>
      <c r="I18" s="6" t="n">
        <v>3500173</v>
      </c>
      <c r="J18" s="6" t="n">
        <v>-3500173</v>
      </c>
      <c r="K18" s="6" t="n"/>
    </row>
    <row r="19">
      <c r="A19" s="6" t="inlineStr">
        <is>
          <t>Change in loans and advances</t>
        </is>
      </c>
      <c r="B19" s="6" t="n">
        <v>-508526134</v>
      </c>
      <c r="C19" s="6" t="n">
        <v>-314034689</v>
      </c>
      <c r="D19" s="6" t="n">
        <v>-82406357</v>
      </c>
      <c r="E19" s="6" t="n">
        <v>-129900329</v>
      </c>
      <c r="F19" s="6" t="n">
        <v>-133538654</v>
      </c>
      <c r="G19" s="6" t="n">
        <v>-88045665</v>
      </c>
      <c r="H19" s="6" t="n">
        <v>-89140578</v>
      </c>
      <c r="I19" s="6" t="n">
        <v>27477802</v>
      </c>
      <c r="J19" s="6" t="n">
        <v>-47871405</v>
      </c>
      <c r="K19" s="6" t="n">
        <v>5932316</v>
      </c>
    </row>
    <row r="20">
      <c r="A20" s="6" t="inlineStr">
        <is>
          <t>Change in other operating assets</t>
        </is>
      </c>
      <c r="B20" s="6" t="n">
        <v>1574513</v>
      </c>
      <c r="C20" s="6" t="n">
        <v>-4401232</v>
      </c>
      <c r="D20" s="6" t="n">
        <v>-2726540</v>
      </c>
      <c r="E20" s="6" t="n">
        <v>-1703767</v>
      </c>
      <c r="F20" s="6" t="n">
        <v>3793897</v>
      </c>
      <c r="G20" s="6" t="n">
        <v>-1019407</v>
      </c>
      <c r="H20" s="6" t="n">
        <v>-1386364</v>
      </c>
      <c r="I20" s="6" t="n">
        <v>3855839</v>
      </c>
      <c r="J20" s="6" t="n">
        <v>-2519548</v>
      </c>
      <c r="K20" s="6" t="n">
        <v>773709</v>
      </c>
    </row>
    <row r="21">
      <c r="A21" s="6" t="inlineStr">
        <is>
          <t>Change in deposits from banks and customers</t>
        </is>
      </c>
      <c r="B21" s="6" t="n">
        <v>614962983</v>
      </c>
      <c r="C21" s="6" t="n">
        <v>368365721</v>
      </c>
      <c r="D21" s="6" t="n">
        <v>75751608</v>
      </c>
      <c r="E21" s="6" t="n">
        <v>145891909</v>
      </c>
      <c r="F21" s="6" t="n">
        <v>54965395</v>
      </c>
      <c r="G21" s="6" t="n">
        <v>112801684</v>
      </c>
      <c r="H21" s="6" t="n">
        <v>-341561</v>
      </c>
      <c r="I21" s="6" t="n">
        <v>-1316986</v>
      </c>
      <c r="J21" s="6" t="n">
        <v>-7649567</v>
      </c>
      <c r="K21" s="6" t="n">
        <v>55213062</v>
      </c>
    </row>
    <row r="22">
      <c r="A22" s="6" t="inlineStr">
        <is>
          <t>Change in other operating liabilities</t>
        </is>
      </c>
      <c r="B22" s="6" t="n">
        <v>4362320</v>
      </c>
      <c r="C22" s="6" t="n">
        <v>3532520</v>
      </c>
      <c r="D22" s="6" t="n">
        <v>4913759</v>
      </c>
      <c r="E22" s="6" t="n">
        <v>-5203335</v>
      </c>
      <c r="F22" s="6" t="n">
        <v>1767218</v>
      </c>
      <c r="G22" s="6" t="n">
        <v>2120938</v>
      </c>
      <c r="H22" s="6" t="n">
        <v>-1489551</v>
      </c>
      <c r="I22" s="6" t="n">
        <v>-187962</v>
      </c>
      <c r="J22" s="6" t="n">
        <v>-5740969</v>
      </c>
      <c r="K22" s="6" t="n">
        <v>-3877343</v>
      </c>
    </row>
    <row r="23">
      <c r="A23" s="6" t="inlineStr">
        <is>
          <t>Corporate income tax paid</t>
        </is>
      </c>
      <c r="B23" s="6" t="n">
        <v>-1630000</v>
      </c>
      <c r="C23" s="6" t="n">
        <v>-1440000</v>
      </c>
      <c r="D23" s="6" t="n">
        <v>-907009</v>
      </c>
      <c r="E23" s="6" t="n">
        <v>-563132</v>
      </c>
      <c r="F23" s="6" t="n"/>
      <c r="G23" s="6" t="n"/>
      <c r="H23" s="6" t="n"/>
      <c r="I23" s="6" t="n"/>
      <c r="J23" s="6" t="n"/>
      <c r="K23" s="6" t="n"/>
    </row>
    <row r="24">
      <c r="A24" s="5" t="inlineStr">
        <is>
          <t>Net cash from/(used in) operating activities</t>
        </is>
      </c>
      <c r="B24" s="5" t="n">
        <v>127702657</v>
      </c>
      <c r="C24" s="5" t="n">
        <v>53821009</v>
      </c>
      <c r="D24" s="5" t="n">
        <v>-8259721</v>
      </c>
      <c r="E24" s="5" t="n">
        <v>20553004</v>
      </c>
      <c r="F24" s="5" t="n">
        <v>-73063723</v>
      </c>
      <c r="G24" s="5" t="n">
        <v>26837956</v>
      </c>
      <c r="H24" s="5" t="n">
        <v>-93052123</v>
      </c>
      <c r="I24" s="5" t="n">
        <v>31158073</v>
      </c>
      <c r="J24" s="5" t="n">
        <v>-60544125</v>
      </c>
      <c r="K24" s="5" t="n">
        <v>51212287</v>
      </c>
    </row>
    <row r="25">
      <c r="A25" s="5" t="inlineStr">
        <is>
          <t>Investing activities</t>
        </is>
      </c>
      <c r="B25" s="6" t="n"/>
      <c r="C25" s="6" t="n"/>
      <c r="D25" s="6" t="n"/>
      <c r="E25" s="6" t="n"/>
      <c r="F25" s="6" t="n"/>
      <c r="G25" s="6" t="n"/>
      <c r="H25" s="6" t="n"/>
      <c r="I25" s="6" t="n"/>
      <c r="J25" s="6" t="n"/>
      <c r="K25" s="6" t="n"/>
    </row>
    <row r="26">
      <c r="A26" s="6" t="inlineStr">
        <is>
          <t>Purchase of tangible fixed and intangible assets</t>
        </is>
      </c>
      <c r="B26" s="6" t="n">
        <v>-2953578</v>
      </c>
      <c r="C26" s="6" t="n">
        <v>-246091</v>
      </c>
      <c r="D26" s="6" t="n">
        <v>-710084</v>
      </c>
      <c r="E26" s="6" t="n">
        <v>-216696</v>
      </c>
      <c r="F26" s="6" t="n">
        <v>-265723</v>
      </c>
      <c r="G26" s="6" t="n">
        <v>-1119343</v>
      </c>
      <c r="H26" s="6" t="n">
        <v>-383843</v>
      </c>
      <c r="I26" s="6" t="n">
        <v>-438486</v>
      </c>
      <c r="J26" s="6" t="n">
        <v>-556633</v>
      </c>
      <c r="K26" s="6" t="n">
        <v>-907238</v>
      </c>
    </row>
    <row r="27">
      <c r="A27" s="6" t="inlineStr">
        <is>
          <t>Proceeds from disposal of fixed assets</t>
        </is>
      </c>
      <c r="B27" s="6" t="n"/>
      <c r="C27" s="6" t="n">
        <v>237859</v>
      </c>
      <c r="D27" s="6" t="n"/>
      <c r="E27" s="6" t="n">
        <v>950000</v>
      </c>
      <c r="F27" s="6" t="n"/>
      <c r="G27" s="6" t="n"/>
      <c r="H27" s="6" t="n">
        <v>910603</v>
      </c>
      <c r="I27" s="6" t="n"/>
      <c r="J27" s="6" t="n"/>
      <c r="K27" s="6" t="n"/>
    </row>
    <row r="28">
      <c r="A28" s="6" t="inlineStr">
        <is>
          <t>Accretion of discounts and amortisation of premiums (Investing activities in the FY2017-FY2019 filings - see source note; FY2020's own filing shows a single net debt-securities line instead, see 'Purchase of debt securities' row)</t>
        </is>
      </c>
      <c r="B28" s="6" t="n"/>
      <c r="C28" s="6" t="n"/>
      <c r="D28" s="6" t="n"/>
      <c r="E28" s="6" t="n"/>
      <c r="F28" s="6" t="n"/>
      <c r="G28" s="6" t="n"/>
      <c r="H28" s="6" t="n">
        <v>423383454</v>
      </c>
      <c r="I28" s="6" t="n">
        <v>388733635</v>
      </c>
      <c r="J28" s="6" t="n">
        <v>172967224</v>
      </c>
      <c r="K28" s="6" t="n"/>
    </row>
    <row r="29">
      <c r="A29" s="6" t="inlineStr">
        <is>
          <t>Gain on investment property disposal</t>
        </is>
      </c>
      <c r="B29" s="6" t="n"/>
      <c r="C29" s="6" t="n"/>
      <c r="D29" s="6" t="n"/>
      <c r="E29" s="6" t="n"/>
      <c r="F29" s="6" t="n"/>
      <c r="G29" s="6" t="n"/>
      <c r="H29" s="6" t="n">
        <v>-208884</v>
      </c>
      <c r="I29" s="6" t="n"/>
      <c r="J29" s="6" t="n"/>
      <c r="K29" s="6" t="n"/>
    </row>
    <row r="30">
      <c r="A30" s="6" t="inlineStr">
        <is>
          <t>Purchase of debt securities</t>
        </is>
      </c>
      <c r="B30" s="6" t="n">
        <v>-1051570428</v>
      </c>
      <c r="C30" s="6" t="n">
        <v>-750228210</v>
      </c>
      <c r="D30" s="6" t="n">
        <v>-595299208</v>
      </c>
      <c r="E30" s="6" t="n">
        <v>-572112956</v>
      </c>
      <c r="F30" s="6" t="n">
        <v>-291404230</v>
      </c>
      <c r="G30" s="6" t="n">
        <v>-11238317</v>
      </c>
      <c r="H30" s="6" t="n">
        <v>-1417859464</v>
      </c>
      <c r="I30" s="6" t="n">
        <v>-2050650514</v>
      </c>
      <c r="J30" s="6" t="n">
        <v>-3130458713</v>
      </c>
      <c r="K30" s="6" t="n">
        <v>-197319973</v>
      </c>
    </row>
    <row r="31">
      <c r="A31" s="6" t="inlineStr">
        <is>
          <t>Sale and maturity of debt securities</t>
        </is>
      </c>
      <c r="B31" s="6" t="n">
        <v>931907787</v>
      </c>
      <c r="C31" s="6" t="n">
        <v>714471065</v>
      </c>
      <c r="D31" s="6" t="n">
        <v>586985878</v>
      </c>
      <c r="E31" s="6" t="n">
        <v>526168675</v>
      </c>
      <c r="F31" s="6" t="n">
        <v>347286633</v>
      </c>
      <c r="G31" s="6" t="n"/>
      <c r="H31" s="6" t="n">
        <v>1094533482</v>
      </c>
      <c r="I31" s="6" t="n">
        <v>1628428423</v>
      </c>
      <c r="J31" s="6" t="n">
        <v>2991168974</v>
      </c>
      <c r="K31" s="6" t="n">
        <v>180548002</v>
      </c>
    </row>
    <row r="32">
      <c r="A32" s="5" t="inlineStr">
        <is>
          <t>Net cash from/(used in) investing activities</t>
        </is>
      </c>
      <c r="B32" s="5" t="n">
        <v>-122616219</v>
      </c>
      <c r="C32" s="5" t="n">
        <v>-35765377</v>
      </c>
      <c r="D32" s="5" t="n">
        <v>-9023414</v>
      </c>
      <c r="E32" s="5" t="n">
        <v>-45210977</v>
      </c>
      <c r="F32" s="5" t="n">
        <v>55618680</v>
      </c>
      <c r="G32" s="5" t="n">
        <v>-12357660</v>
      </c>
      <c r="H32" s="5" t="n">
        <v>100375348</v>
      </c>
      <c r="I32" s="5" t="n">
        <v>-33926942</v>
      </c>
      <c r="J32" s="5" t="n">
        <v>33120852</v>
      </c>
      <c r="K32" s="5" t="n">
        <v>-17679209</v>
      </c>
    </row>
    <row r="33">
      <c r="A33" s="5" t="inlineStr">
        <is>
          <t>Financing activities</t>
        </is>
      </c>
      <c r="B33" s="6" t="n"/>
      <c r="C33" s="6" t="n"/>
      <c r="D33" s="6" t="n"/>
      <c r="E33" s="6" t="n"/>
      <c r="F33" s="6" t="n"/>
      <c r="G33" s="6" t="n"/>
      <c r="H33" s="6" t="n"/>
      <c r="I33" s="6" t="n"/>
      <c r="J33" s="6" t="n"/>
      <c r="K33" s="6" t="n"/>
    </row>
    <row r="34">
      <c r="A34" s="6" t="inlineStr">
        <is>
          <t>Repayment of obligations under finance lease</t>
        </is>
      </c>
      <c r="B34" s="6" t="n"/>
      <c r="C34" s="6" t="n">
        <v>-21710</v>
      </c>
      <c r="D34" s="6" t="n">
        <v>-19823</v>
      </c>
      <c r="E34" s="6" t="n">
        <v>-8263</v>
      </c>
      <c r="F34" s="6" t="n">
        <v>-25464</v>
      </c>
      <c r="G34" s="6" t="n">
        <v>-25466</v>
      </c>
      <c r="H34" s="6" t="n">
        <v>-37324</v>
      </c>
      <c r="I34" s="6" t="n">
        <v>-22954</v>
      </c>
      <c r="J34" s="6" t="n">
        <v>-12108</v>
      </c>
      <c r="K34" s="6" t="n">
        <v>-12107</v>
      </c>
    </row>
    <row r="35">
      <c r="A35" s="6" t="inlineStr">
        <is>
          <t>Proceeds from/(repayment of) repurchase agreements</t>
        </is>
      </c>
      <c r="B35" s="6" t="n"/>
      <c r="C35" s="6" t="n">
        <v>-19284670</v>
      </c>
      <c r="D35" s="6" t="n">
        <v>19284670</v>
      </c>
      <c r="E35" s="6" t="n"/>
      <c r="F35" s="6" t="n"/>
      <c r="G35" s="6" t="n">
        <v>-18259683</v>
      </c>
      <c r="H35" s="6" t="n">
        <v>7955895</v>
      </c>
      <c r="I35" s="6" t="n">
        <v>-8039266</v>
      </c>
      <c r="J35" s="6" t="n">
        <v>8044340</v>
      </c>
      <c r="K35" s="6" t="n">
        <v>10298714</v>
      </c>
    </row>
    <row r="36">
      <c r="A36" s="6" t="inlineStr">
        <is>
          <t>Payment to preference shareholders</t>
        </is>
      </c>
      <c r="B36" s="6" t="n"/>
      <c r="C36" s="6" t="n"/>
      <c r="D36" s="6" t="n"/>
      <c r="E36" s="6" t="n"/>
      <c r="F36" s="6" t="n"/>
      <c r="G36" s="6" t="n"/>
      <c r="H36" s="6" t="n"/>
      <c r="I36" s="6" t="n">
        <v>-306182</v>
      </c>
      <c r="J36" s="6" t="n">
        <v>-777910</v>
      </c>
      <c r="K36" s="6" t="n">
        <v>-2118294</v>
      </c>
    </row>
    <row r="37">
      <c r="A37" s="6" t="inlineStr">
        <is>
          <t>Net increase/(decrease) in subordinated debt</t>
        </is>
      </c>
      <c r="B37" s="6" t="n"/>
      <c r="C37" s="6" t="n"/>
      <c r="D37" s="6" t="n"/>
      <c r="E37" s="6" t="n"/>
      <c r="F37" s="6" t="n"/>
      <c r="G37" s="6" t="n"/>
      <c r="H37" s="6" t="n"/>
      <c r="I37" s="6" t="n">
        <v>-2014857</v>
      </c>
      <c r="J37" s="6" t="n">
        <v>1848</v>
      </c>
      <c r="K37" s="6" t="n">
        <v>-3252</v>
      </c>
    </row>
    <row r="38">
      <c r="A38" s="6" t="inlineStr">
        <is>
          <t>Dividends paid</t>
        </is>
      </c>
      <c r="B38" s="6" t="n"/>
      <c r="C38" s="6" t="n"/>
      <c r="D38" s="6" t="n"/>
      <c r="E38" s="6" t="n">
        <v>-1015000</v>
      </c>
      <c r="F38" s="6" t="n"/>
      <c r="G38" s="6" t="n"/>
      <c r="H38" s="6" t="n"/>
      <c r="I38" s="6" t="n"/>
      <c r="J38" s="6" t="n">
        <v>-2200000</v>
      </c>
      <c r="K38" s="6" t="n">
        <v>-2500000</v>
      </c>
    </row>
    <row r="39">
      <c r="A39" s="5" t="inlineStr">
        <is>
          <t>Net cash from/(used in) financing activities</t>
        </is>
      </c>
      <c r="B39" s="5" t="n"/>
      <c r="C39" s="5" t="n">
        <v>-19306380</v>
      </c>
      <c r="D39" s="5" t="n">
        <v>19264847</v>
      </c>
      <c r="E39" s="5" t="n">
        <v>-1023263</v>
      </c>
      <c r="F39" s="5" t="n">
        <v>-25464</v>
      </c>
      <c r="G39" s="5" t="n">
        <v>-18285149</v>
      </c>
      <c r="H39" s="5" t="n">
        <v>7918571</v>
      </c>
      <c r="I39" s="5" t="n">
        <v>-10383259</v>
      </c>
      <c r="J39" s="5" t="n">
        <v>5056170</v>
      </c>
      <c r="K39" s="5" t="n">
        <v>5665061</v>
      </c>
    </row>
    <row r="40">
      <c r="A40" s="5" t="inlineStr">
        <is>
          <t>Net increase/(decrease) in cash and cash equivalents</t>
        </is>
      </c>
      <c r="B40" s="5" t="n">
        <v>5086438</v>
      </c>
      <c r="C40" s="5" t="n">
        <v>-1250748</v>
      </c>
      <c r="D40" s="5" t="n">
        <v>1981712</v>
      </c>
      <c r="E40" s="5" t="n">
        <v>-25681236</v>
      </c>
      <c r="F40" s="5" t="n">
        <v>-17472507</v>
      </c>
      <c r="G40" s="5" t="n">
        <v>-3804853</v>
      </c>
      <c r="H40" s="5" t="n">
        <v>15241796</v>
      </c>
      <c r="I40" s="5" t="n">
        <v>-13152128</v>
      </c>
      <c r="J40" s="5" t="n">
        <v>-22367103</v>
      </c>
      <c r="K40" s="5" t="n">
        <v>39198139</v>
      </c>
    </row>
    <row r="41">
      <c r="A41" s="6" t="inlineStr">
        <is>
          <t>Cash and cash equivalents at the beginning of the financial year</t>
        </is>
      </c>
      <c r="B41" s="6" t="n">
        <v>8271317</v>
      </c>
      <c r="C41" s="6" t="n">
        <v>9725415</v>
      </c>
      <c r="D41" s="6" t="n">
        <v>6703512</v>
      </c>
      <c r="E41" s="6" t="n">
        <v>33695042</v>
      </c>
      <c r="F41" s="6" t="n">
        <v>51425237</v>
      </c>
      <c r="G41" s="6" t="n">
        <v>56401421</v>
      </c>
      <c r="H41" s="6" t="n">
        <v>41303910</v>
      </c>
      <c r="I41" s="6" t="n">
        <v>53211996</v>
      </c>
      <c r="J41" s="6" t="n">
        <v>75380334</v>
      </c>
      <c r="K41" s="6" t="n">
        <v>36182195</v>
      </c>
    </row>
    <row r="42">
      <c r="A42" s="6" t="inlineStr">
        <is>
          <t>Effects of exchange rate changes on cash and cash equivalents (tail)</t>
        </is>
      </c>
      <c r="B42" s="6" t="n">
        <v>-78789</v>
      </c>
      <c r="C42" s="6" t="n">
        <v>-203350</v>
      </c>
      <c r="D42" s="6" t="n">
        <v>1040191</v>
      </c>
      <c r="E42" s="6" t="n">
        <v>-1310294</v>
      </c>
      <c r="F42" s="6" t="n">
        <v>-257687</v>
      </c>
      <c r="G42" s="6" t="n">
        <v>-1171331</v>
      </c>
      <c r="H42" s="6" t="n">
        <v>-144285</v>
      </c>
      <c r="I42" s="6" t="n">
        <v>1244042</v>
      </c>
      <c r="J42" s="6" t="n">
        <v>198765</v>
      </c>
      <c r="K42" s="6" t="n"/>
    </row>
    <row r="43">
      <c r="A43" s="5" t="inlineStr">
        <is>
          <t>Cash and cash equivalents at the end of the financial year</t>
        </is>
      </c>
      <c r="B43" s="5" t="n">
        <v>13278966</v>
      </c>
      <c r="C43" s="5" t="n">
        <v>8271317</v>
      </c>
      <c r="D43" s="5" t="n">
        <v>9725415</v>
      </c>
      <c r="E43" s="5" t="n">
        <v>6703512</v>
      </c>
      <c r="F43" s="5" t="n">
        <v>33695043</v>
      </c>
      <c r="G43" s="5" t="n">
        <v>51425237</v>
      </c>
      <c r="H43" s="5" t="n">
        <v>56401421</v>
      </c>
      <c r="I43" s="5" t="n">
        <v>41303910</v>
      </c>
      <c r="J43" s="5" t="n">
        <v>53211996</v>
      </c>
      <c r="K43" s="5" t="n">
        <v>75380334</v>
      </c>
    </row>
    <row r="45" ht="351" customHeight="1">
      <c r="A45" s="8" t="inlineStr">
        <is>
          <t>Sources - all figures are United National Bank Limited's own Statement of Cash Flows, exact £ as reported (not rounded to £'000/£m):
FY2025 &amp; FY2024: Annual report and financial statements 2025, p.26 (Statement of cash flows) - https://find-and-update.company-information.service.gov.uk/company/04146820/filing-history/MzUxODk3MTQ2NWFkaXF6a2N4/document?format=pdf
FY2023 &amp; FY2022 (as restated): Annual report and financial statements 2023, p.32 (Statement of cash flows) - https://find-and-update.company-information.service.gov.uk/company/04146820/filing-history/MzQyNTcyMzI0MGFkaXF6a2N4/document?format=pdf
FY2021: Annual report and financial statements 2021, p.30 - https://find-and-update.company-information.service.gov.uk/company/04146820/filing-history/MzMzNzgyNzI3OGFkaXF6a2N4/document?format=pdf
FY2020: Annual report and financial statements 2020, p.28 - https://find-and-update.company-information.service.gov.uk/company/04146820/filing-history/MzI5OTQ5NjA4NWFkaXF6a2N4/document?format=pdf
FY2019: Annual Report and Financial Statements 2019, p.29 - https://find-and-update.company-information.service.gov.uk/company/04146820/filing-history/MzI2NjczOTQyMmFkaXF6a2N4/document?format=pdf
FY2018: Annual report and financial statements 2018, p.26 - https://find-and-update.company-information.service.gov.uk/company/04146820/filing-history/MzIzMjM1MjQ2N2FkaXF6a2N4/document?format=pdf
FY2017: Annual report and financial statements 2017, p.26 - https://find-and-update.company-information.service.gov.uk/company/04146820/filing-history/MzIwMzc4OTY1M2FkaXF6a2N4/document?format=pdf
FY2016: Report and Financial Statements 2016, p.22 - https://find-and-update.company-information.service.gov.uk/company/04146820/filing-history/MzE4MjAzNTU0NWFkaXF6a2N4/document?format=pdf
FY2023's own closing balance (£9,725,415) matches the FY2025 report's own FY2024 opening balance exactly, confirming consistency across the two source documents. FY2022 is labelled '(as restated)' in the FY2023 report; its own originally-published cash flow figures were not sourced separately here (unlike the new Balance Sheet / Profit &amp; Loss / Statement of Changes in Equity / Asset Quality sheets added in this build, which do use FY2022's own originally-published figures throughout - see those sheets' own source notes for the ~£2.26m net-loans restatement this creates between FY2022's own Balance Sheet and the FY2023 report's restated FY2022 comparative). Every one of FY2016-FY2021's own closing cash balance ties exactly to the following year's own opening balance - a clean unbroken chain across all 6 filings.
CASH FLOW PRESENTATION NOTE (FY2016-FY2021): the Company's own cash flow statement format (categorisation of adjustment/working-capital lines between Operating/Investing/Financing) genuinely changes across these filings - not a transcription artefact. 'Accretion of discounts and amortisation of premiums on debt securities' is classified within Operating activities in the FY2016 and FY2021 filings but within Investing activities in the FY2017-FY2020 filings (the FY2021 filing's own footnote confirms this: 'The statement of cash flows has been re-presented for 2020 to reflect a change applied in the year related to the presentation of debt securities' - so even FY2020's own re-presented comparative in the FY2021 filing differs from FY2020's own originally-published figures, which this workbook uses per project convention). This sheet keeps the 'Accretion...' row grouped under Investing (the majority classification) for all years for continuity; FY2016 and FY2021's own filings would place that year's figure under Operating instead. FY2016's 'Change in derivative financial instruments' (asset-side and liability-side) and FY2017's equivalent lines are folded into 'Change in other operating assets'/'Change in other operating liabilities' respectively (both disclosed sub-lines, netted for continuity with the row set used in later years - not a fabricated figure). FY2020's own filing shows debt securities purchases/sales as one net '(Increase)/decrease in debt securities' line rather than separate purchase/sale lines (unlike every other year); that net figure is recorded in the 'Purchase of debt securities' row with 'Sale and maturity of debt securities' left blank that year only. FY2019's 'Gain on investment property disposal' and 'Proceeds on disposal of investment property' are genuinely investment-property-specific (not tangible fixed assets) but are recorded in the existing 'Fair value (gain)/loss on investment properties' and 'Proceeds from disposal of fixed assets' rows respectively for continuity with the row set used elsewhere.
DISCREPANCY: FY2021's own filing does not self-foot exactly - operating (£(73,063,723)) + investing (£55,618,680) + financing (£(25,464)) = £(17,470,507), but the filing's own printed 'Net decrease in cash and cash equivalents' is £(17,472,507), a £2,000 gap. Reproduced exactly as printed, not force-tied.
FY2016's own filing presents 'Effects of exchange rate changes on cash and cash equivalents' at the bottom of the statement purely as a compositional breakdown of the closing cash balance (Cash at bank and in hand £67,051,374 + Effects of exchange rate changes £8,328,960 = £75,380,334), not as an additional reconciling step after opening+net change (opening £36,182,195 + net change £39,198,139 already equals the closing £75,380,334 exactly on its own) - unlike every other year FY2017-FY2025, where that same row IS an additional reconciling step. The 'Effects of exchange rate changes on cash and cash equivalents (tail)' row is therefore left blank for FY2016 only, to avoid implying a double-counted reconciling relationship that isn't in the source.
ENTITY NOTE: United National Bank Limited (Companies House 04146820) was formed in 2001 from the merger of the UK branches of two Pakistani banks, United Bank Limited ('UBL') and National Bank of Pakistan ('NBP'), who had operated in the UK since the 1960s - historically 55% UBL / 45% NBP owned, trading as 'UBL UK'. In July 2024, following regulatory approval, Bestway Group Financial Services Limited (a wholly-owned subsidiary of Bestway Group, a UK diversified conglomerate) acquired 95.1% of the Company's shares from UBL and NBP - the Company is now majority UK-owned rather than a foreign subsidiary in the usual sense, though UBL/NBP retain a residual stake and a preference-share arrangement (see Notes). All financial statements are prepared under FRS 102 in Pound Sterling (the Company's functional currency) - no cash-flow-statement exemption is taken.</t>
        </is>
      </c>
    </row>
    <row r="47" ht="260" customHeight="1">
      <c r="A47" s="8" t="inlineStr">
        <is>
          <t>(continued)
DATA AVAILABILITY NOTE: 10 years (FY2016-FY2025) sourced from nine Companies House annual report filings (FY2025/FY2024 from the 2025 filing, FY2023 from the 2023 filing, and FY2022 down to FY2016 each from that year's own filing rather than a later filing's restated comparative - all fully scanned/image-only PDFs, transcribed directly from the source page images; pdftotext extracts 0 real characters from every one of them, confirmed before transcription). Pillar 3: the pre-Bestway entity ('UBL UK') published 'Pillar 3 and Remuneration Code Disclosures' on its own site (ubluk.com) for every year FY2016-FY2024, and ALL NINE of those editions are live on the bank's own site today. CITATION CORRECTION 2026-09-16: an earlier build of this workbook said 'the live site no longer links to most of these (only the current year's edition is navigable from ubluk.com/resources)' and cited Wayback captures for FY2016-FY2022 accordingly. That statement is withdrawn - it was true of the /resources page but not of the bank's own document index at https://www.ubluk.com/footer-pages/annual-reports/, which links a 'Pillar III Disclosure' for every year 2016 to 2024. All nine were re-fetched from those live ubluk.com/media/&lt;slug&gt; paths on 16 September 2026, each returning HTTP 200, Content-Type application/pdf and %PDF magic bytes (0.94-1.97 MB), and every citation on every sheet now points at the bank's own live URL rather than a Wayback copy. No figure changed: the live FY2022 file is the same edition as the Wayback /media/1368/ copy it replaces (CET1 GBP 73,598,731, Total regulatory capital GBP 73,967,261, Total RWAs 385,707, Credit/CCR RWA 363,317 all present in it). Historical note, retained because it explains how these were first recovered: in the 2026-09-06 extension the first Wayback snapshot found for each of FY2016-FY2021's original media/NNNN URL was truncated at exactly 1,048,576 bytes (1 MiB), a known crawl-truncation artefact also seen on other banks' Wayback-recovered PDFs on this project, and a second, later (2024-2025) snapshot of each document's newer media/&lt;slug&gt; URL was untruncated and used instead, confirmed via `file`/`pdftotext` page-count and character-count checks before transcribing any figure.
FY2025 PILLAR 3 - ENUMERATED ABSENCE ON A CURRENT INDEX (upgraded from 'access gap' on 2026-09-15). The bank's own document index at https://www.ubluk.com/footer-pages/annual-reports/ was fetched and fully parsed on 15 September 2026. It is organised year by year, and each year from 2016 to 2024 carries BOTH an 'Annual Report' link and a 'Pillar III Disclosure' link. The 2025 block carries the Annual Report (/media/405naqby/ye2025-statutory-accounts-final-23apr2026_signed.pdf) but NO Pillar III Disclosure link at all. That distinction matters: because the index has already been updated with the 2025 statutory accounts, this is not a stale page lagging behind publication - the page is current and the FY2025 Pillar 3 is absent from it. So the gap is an enumerated negative, not a failure to find.
It is NOT, however, a permanent non-publication, and should stay on the re-check list. This bank publishes its Pillar 3 extremely late: the FY2024 edition linked from that same index is dated 1 July 2026, roughly 18 months after its year-end and over two months after the FY2025 Annual Report was signed (23 April 2026). On that cadence an FY2025 edition would not be due until well into 2027. The FY2025 Annual Report also still refers readers to 'the unaudited Pillar III disclosures' for capital management policy, so the bank has not said it has stopped publishing them.
Nothing exists before FY2016 on any basis: the index's earliest year block is 2016, for both document types.
Where a FY2025 figure appears on a sheet it is therefore Annual-Report-sourced and labelled as such.</t>
        </is>
      </c>
    </row>
  </sheetData>
  <mergeCells count="2">
    <mergeCell ref="A45:K45"/>
    <mergeCell ref="A47:K4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Asset Quality</t>
        </is>
      </c>
    </row>
    <row r="2">
      <c r="A2" s="2" t="inlineStr">
        <is>
          <t>Company basis, exact £ (not £'000/£m) - see source note at bottom.</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c r="K3" s="4" t="inlineStr">
        <is>
          <t>FY2016 (£)</t>
        </is>
      </c>
    </row>
    <row r="4">
      <c r="A4" s="5" t="inlineStr">
        <is>
          <t>Loans and advances to customers by impairment status (FRS 102 basis - not IFRS 9 stage 1/2/3)</t>
        </is>
      </c>
      <c r="B4" s="6" t="n"/>
      <c r="C4" s="6" t="n"/>
      <c r="D4" s="6" t="n"/>
      <c r="E4" s="6" t="n"/>
      <c r="F4" s="6" t="n"/>
      <c r="G4" s="6" t="n"/>
      <c r="H4" s="6" t="n"/>
      <c r="I4" s="6" t="n"/>
      <c r="J4" s="6" t="n"/>
      <c r="K4" s="6" t="n"/>
    </row>
    <row r="5">
      <c r="A5" s="6" t="inlineStr">
        <is>
          <t>Impaired loans</t>
        </is>
      </c>
      <c r="B5" s="6" t="n">
        <v>8563357</v>
      </c>
      <c r="C5" s="6" t="n">
        <v>7627387</v>
      </c>
      <c r="D5" s="6" t="n">
        <v>14038077</v>
      </c>
      <c r="E5" s="6" t="n">
        <v>8027926</v>
      </c>
      <c r="F5" s="6" t="n">
        <v>12673647</v>
      </c>
      <c r="G5" s="6" t="n">
        <v>7475832</v>
      </c>
      <c r="H5" s="6" t="n">
        <v>4162605</v>
      </c>
      <c r="I5" s="6" t="n">
        <v>2701236</v>
      </c>
      <c r="J5" s="6" t="n">
        <v>9519038</v>
      </c>
      <c r="K5" s="6" t="n">
        <v>10410395</v>
      </c>
    </row>
    <row r="6">
      <c r="A6" s="6" t="inlineStr">
        <is>
          <t>Non-impaired loans</t>
        </is>
      </c>
      <c r="B6" s="6" t="n">
        <v>1533904725</v>
      </c>
      <c r="C6" s="6" t="n">
        <v>1028820429</v>
      </c>
      <c r="D6" s="6" t="n">
        <v>707202735</v>
      </c>
      <c r="E6" s="6" t="n">
        <v>631590077</v>
      </c>
      <c r="F6" s="6" t="n">
        <v>494785983</v>
      </c>
      <c r="G6" s="6" t="n">
        <v>365853745</v>
      </c>
      <c r="H6" s="6" t="n">
        <v>281564926</v>
      </c>
      <c r="I6" s="6" t="n">
        <v>193884712</v>
      </c>
      <c r="J6" s="6" t="n">
        <v>224499328</v>
      </c>
      <c r="K6" s="6" t="n">
        <v>176436113</v>
      </c>
    </row>
    <row r="7">
      <c r="A7" s="5" t="inlineStr">
        <is>
          <t>Gross loans and advances to customers</t>
        </is>
      </c>
      <c r="B7" s="5" t="n">
        <v>1542468082</v>
      </c>
      <c r="C7" s="5" t="n">
        <v>1036447816</v>
      </c>
      <c r="D7" s="5" t="n">
        <v>721240812</v>
      </c>
      <c r="E7" s="5" t="n">
        <v>639618003</v>
      </c>
      <c r="F7" s="5" t="n">
        <v>507459630</v>
      </c>
      <c r="G7" s="5" t="n">
        <v>373329577</v>
      </c>
      <c r="H7" s="5" t="n">
        <v>285727531</v>
      </c>
      <c r="I7" s="5" t="n">
        <v>196585948</v>
      </c>
      <c r="J7" s="5" t="n">
        <v>234018366</v>
      </c>
      <c r="K7" s="5" t="n">
        <v>186846508</v>
      </c>
    </row>
    <row r="8">
      <c r="A8" s="6" t="inlineStr">
        <is>
          <t>Unamortised portion of loan fees</t>
        </is>
      </c>
      <c r="B8" s="6" t="n">
        <v>-5320210</v>
      </c>
      <c r="C8" s="6" t="n">
        <v>-3331731</v>
      </c>
      <c r="D8" s="6" t="n">
        <v>-2198275</v>
      </c>
      <c r="E8" s="6" t="n"/>
      <c r="F8" s="6" t="n"/>
      <c r="G8" s="6" t="n"/>
      <c r="H8" s="6" t="n"/>
      <c r="I8" s="6" t="n"/>
      <c r="J8" s="6" t="n"/>
      <c r="K8" s="6" t="n"/>
    </row>
    <row r="9">
      <c r="A9" s="6" t="inlineStr">
        <is>
          <t>Collective provision</t>
        </is>
      </c>
      <c r="B9" s="6" t="n">
        <v>-1261608</v>
      </c>
      <c r="C9" s="6" t="n">
        <v>-706593</v>
      </c>
      <c r="D9" s="6" t="n">
        <v>-444874</v>
      </c>
      <c r="E9" s="6" t="n">
        <v>-368530</v>
      </c>
      <c r="F9" s="6" t="n">
        <v>-411884</v>
      </c>
      <c r="G9" s="6" t="n">
        <v>-192412</v>
      </c>
      <c r="H9" s="6" t="n">
        <v>-575883</v>
      </c>
      <c r="I9" s="6" t="n">
        <v>-854078</v>
      </c>
      <c r="J9" s="6" t="n">
        <v>-1634905</v>
      </c>
      <c r="K9" s="6" t="n">
        <v>-1276069</v>
      </c>
    </row>
    <row r="10">
      <c r="A10" s="6" t="inlineStr">
        <is>
          <t>Specific impairment allowance on impaired loans</t>
        </is>
      </c>
      <c r="B10" s="6" t="n"/>
      <c r="C10" s="6" t="n"/>
      <c r="D10" s="6" t="n"/>
      <c r="E10" s="6" t="n">
        <v>-933571</v>
      </c>
      <c r="F10" s="6" t="n">
        <v>-1080552</v>
      </c>
      <c r="G10" s="6" t="n">
        <v>-1287820</v>
      </c>
      <c r="H10" s="6" t="n">
        <v>-1336964</v>
      </c>
      <c r="I10" s="6" t="n">
        <v>-1581240</v>
      </c>
      <c r="J10" s="6" t="n">
        <v>-8321651</v>
      </c>
      <c r="K10" s="6" t="n">
        <v>-4848413</v>
      </c>
    </row>
    <row r="11">
      <c r="A11" s="6" t="inlineStr">
        <is>
          <t>Fair value of hedged risk</t>
        </is>
      </c>
      <c r="B11" s="6" t="n">
        <v>4439811</v>
      </c>
      <c r="C11" s="6" t="n">
        <v>-54536</v>
      </c>
      <c r="D11" s="6" t="n"/>
      <c r="E11" s="6" t="n"/>
      <c r="F11" s="6" t="n"/>
      <c r="G11" s="6" t="n"/>
      <c r="H11" s="6" t="n"/>
      <c r="I11" s="6" t="n"/>
      <c r="J11" s="6" t="n"/>
      <c r="K11" s="6" t="n"/>
    </row>
    <row r="12">
      <c r="A12" s="5" t="inlineStr">
        <is>
          <t>Net loans and advances to customers</t>
        </is>
      </c>
      <c r="B12" s="5" t="n">
        <v>1540326075</v>
      </c>
      <c r="C12" s="5" t="n">
        <v>1032354956</v>
      </c>
      <c r="D12" s="5" t="n">
        <v>718597663</v>
      </c>
      <c r="E12" s="5" t="n">
        <v>638315902</v>
      </c>
      <c r="F12" s="5" t="n">
        <v>505967194</v>
      </c>
      <c r="G12" s="5" t="n">
        <v>371849345</v>
      </c>
      <c r="H12" s="5" t="n">
        <v>283814684</v>
      </c>
      <c r="I12" s="5" t="n">
        <v>194150630</v>
      </c>
      <c r="J12" s="5" t="n">
        <v>224061810</v>
      </c>
      <c r="K12" s="5" t="n">
        <v>180722026</v>
      </c>
    </row>
    <row r="13">
      <c r="A13" s="5" t="inlineStr">
        <is>
          <t>Asset quality ratios</t>
        </is>
      </c>
      <c r="B13" s="6" t="n"/>
      <c r="C13" s="6" t="n"/>
      <c r="D13" s="6" t="n"/>
      <c r="E13" s="6" t="n"/>
      <c r="F13" s="6" t="n"/>
      <c r="G13" s="6" t="n"/>
      <c r="H13" s="6" t="n"/>
      <c r="I13" s="6" t="n"/>
      <c r="J13" s="6" t="n"/>
      <c r="K13" s="6" t="n"/>
    </row>
    <row r="14">
      <c r="A14" s="6" t="inlineStr">
        <is>
          <t>Impaired loans as % of gross loans</t>
        </is>
      </c>
      <c r="B14" s="6" t="inlineStr">
        <is>
          <t>0.56%</t>
        </is>
      </c>
      <c r="C14" s="6" t="inlineStr">
        <is>
          <t>0.74%</t>
        </is>
      </c>
      <c r="D14" s="6" t="inlineStr">
        <is>
          <t>1.95%</t>
        </is>
      </c>
      <c r="E14" s="6" t="inlineStr">
        <is>
          <t>1.26%</t>
        </is>
      </c>
      <c r="F14" s="6" t="inlineStr">
        <is>
          <t>2.50%</t>
        </is>
      </c>
      <c r="G14" s="6" t="inlineStr">
        <is>
          <t>2.00%</t>
        </is>
      </c>
      <c r="H14" s="6" t="inlineStr">
        <is>
          <t>1.46%</t>
        </is>
      </c>
      <c r="I14" s="6" t="inlineStr">
        <is>
          <t>1.37%</t>
        </is>
      </c>
      <c r="J14" s="6" t="inlineStr">
        <is>
          <t>4.07%</t>
        </is>
      </c>
      <c r="K14" s="6" t="inlineStr">
        <is>
          <t>5.57%</t>
        </is>
      </c>
    </row>
    <row r="15">
      <c r="A15" s="6" t="inlineStr">
        <is>
          <t>Total provisions as % of gross loans</t>
        </is>
      </c>
      <c r="B15" s="6" t="inlineStr">
        <is>
          <t>0.08%</t>
        </is>
      </c>
      <c r="C15" s="6" t="inlineStr">
        <is>
          <t>0.07%</t>
        </is>
      </c>
      <c r="D15" s="6" t="inlineStr">
        <is>
          <t>0.06%</t>
        </is>
      </c>
      <c r="E15" s="6" t="inlineStr">
        <is>
          <t>2.04%</t>
        </is>
      </c>
      <c r="F15" s="6" t="inlineStr">
        <is>
          <t>0.29%</t>
        </is>
      </c>
      <c r="G15" s="6" t="inlineStr">
        <is>
          <t>0.40%</t>
        </is>
      </c>
      <c r="H15" s="6" t="inlineStr">
        <is>
          <t>0.67%</t>
        </is>
      </c>
      <c r="I15" s="6" t="inlineStr">
        <is>
          <t>1.24%</t>
        </is>
      </c>
      <c r="J15" s="6" t="inlineStr">
        <is>
          <t>4.25%</t>
        </is>
      </c>
      <c r="K15" s="6" t="inlineStr">
        <is>
          <t>3.28%</t>
        </is>
      </c>
    </row>
    <row r="17" ht="390" customHeight="1">
      <c r="A17" s="8" t="inlineStr">
        <is>
          <t>Sources - all figures are United National Bank Limited's own statements, exact £ as reported (not rounded to £'000/£m):
FY2025 &amp; FY2024: Annual report and financial statements 2025 - p.22 (Statement of profit or loss), p.24 (Balance sheet), p.25 (Statement of changes in equity), p.42-43 (Note 9, Loans and advances to customers) - https://find-and-update.company-information.service.gov.uk/company/04146820/filing-history/MzUxODk3MTQ2NWFkaXF6a2N4/document?format=pdf
FY2023: Annual report and financial statements 2023 - p.28 (Statement of profit or loss), p.30 (Balance sheet), p.31 (Statement of changes in equity), p.47 (Note 9, Loans and advances to customers) - https://find-and-update.company-information.service.gov.uk/company/04146820/filing-history/MzQyNTcyMzI0MGFkaXF6a2N4/document?format=pdf
FY2022 (own originally-published figures, not the FY2023 report's restated comparative): Full accounts made up to 31 December 2022 (filed 10 May 2023) - p.27 (Statement of profit or loss), p.29 (Balance sheet), p.30 (Statement of changes in equity), p.45 (Note 8, Loans and advances to customers) - https://find-and-update.company-information.service.gov.uk/company/04146820/filing-history/MzM3ODQxMzg4MWFkaXF6a2N4/document?format=pdf
FY2021: Annual report and financial statements 2021 - p.26 (Statement of profit or loss), p.28 (Balance sheet), p.29 (Statement of changes in equity), p.43 (Note 8, Loans and advances to customers) - https://find-and-update.company-information.service.gov.uk/company/04146820/filing-history/MzMzNzgyNzI3OGFkaXF6a2N4/document?format=pdf
FY2020: Annual report and financial statements 2020 - p.24 (Statement of profit or loss), p.26 (Balance sheet), p.27 (Statement of changes in equity), p.41 (Note 8, Loans and advances to customers) - https://find-and-update.company-information.service.gov.uk/company/04146820/filing-history/MzI5OTQ5NjA4NWFkaXF6a2N4/document?format=pdf
FY2019: Annual Report and Financial Statements 2019 - p.25 (Statement of profit or loss), p.27 (Balance sheet), p.28 (Statement of changes in equity), p.41 (Note 7, Loans and advances to customers) - https://find-and-update.company-information.service.gov.uk/company/04146820/filing-history/MzI2NjczOTQyMmFkaXF6a2N4/document?format=pdf
FY2018: Annual report and financial statements 2018 - p.22 (Profit and loss account), p.24 (Balance sheet), p.25 (Statement of changes in equity), p.38 (Note 7, Loans and advances to customers) - https://find-and-update.company-information.service.gov.uk/company/04146820/filing-history/MzIzMjM1MjQ2N2FkaXF6a2N4/document?format=pdf
FY2017: Annual report and financial statements 2017 - p.22 (Profit and loss account), p.24 (Balance sheet), p.25 (Statement of changes in equity), p.38 (Note 7, Loans and advances to customers) - https://find-and-update.company-information.service.gov.uk/company/04146820/filing-history/MzIwMzc4OTY1M2FkaXF6a2N4/document?format=pdf
FY2016: Report and Financial Statements 2016 - p.18 (Profit and loss account), p.20 (Balance Sheet), p.21 (Statement of changes in equity), p.34 (Note 6, Loans and advances to customers) - https://find-and-update.company-information.service.gov.uk/company/04146820/filing-history/MzE4MjAzNTU0NWFkaXF6a2N4/document?format=pdf
All 6 of FY2016-FY2021's own-filing figures were verified against pdftotext extracting effectively zero real characters from each PDF (scanned/image-only, same as every other year) before transcribing from the rendered page images.
PRESENTATION NOTE: the Balance Sheet's own line items genuinely differ across FY2016-FY2021 filings (not a transcription gap): 'Loans and advances to banks' has no line at all in FY2016 (absent, not zero) and FY2019 (also absent that year), is an explicit disclosed nil in FY2018, and is a real balance in FY2017/FY2020/FY2021; 'Subordinated debt' is a real balance in FY2016/FY2017, an explicit disclosed nil in FY2018 (the subordinated loan was repaid in full on maturity in October 2018, per that year's own note), and no line at all thereafter; 'Repurchase agreements' is a real balance in FY2016-FY2019, an explicit disclosed nil in FY2020, and no line at all in FY2021; the combined 'Accruals and deferred income' line used in FY2016-FY2020 was split by FY2021 into a standalone 'Deferred income' line with no separate accruals line - shown here as two distinct rows rather than conflating a combined figure with a narrower later one.
DISCREPANCY: FY2018's own SOCIE 'As at 1 January 2018' opening balance (£45,000,000 / £29,993,994 / £(1,654,351) / £10,822,966 / £84,162,609 total) does not exactly match FY2017's own SOCIE closing balance at 31 December 2017 (£45,000,000 / £29,993,994 / £(1,654,351) / £10,472,966 / £83,812,609 total) - the Property revaluation reserve differs by £350,001 (£10,822,966 vs £10,472,966), a genuine restatement between the two filings' own figures for the same date. Both years' own SOCIE closing/opening rows are reproduced exactly as each filing states, not force-tied.
DISCREPANCY: FY2022's own net loans figure (£638,315,902, tying to its own Balance Sheet and Note 8) differs from the FY2023 report's restated FY2022 comparative (£636,057,857) by ~£2.26m - a genuine restatement between the two filings. This workbook uses FY2022's own originally-published figures throughout, per project convention, so this Balance Sheet / Profit &amp; Loss / Statement of Changes in Equity / Asset Quality sheet will not exactly match a later report's restated FY2022 comparative column.
DISCREPANCY: the FY2025 Statement of Changes in Equity's own 31 December 2025 closing Total (£117,048,805) does not exactly match the FY2025 Balance Sheet's own Total equity for the same date (£117,048,800) - both figures are transcribed exactly as each statement states; this ~£5 gap is a source-document-internal rounding artefact, not a transcription error, and is not forced to tie.</t>
        </is>
      </c>
    </row>
    <row r="19" ht="364" customHeight="1">
      <c r="A19" s="8" t="inlineStr">
        <is>
          <t>(continued)
ENTITY NOTE: United National Bank Limited (Companies House 04146820) was formed in 2001 from the merger of the UK branches of two Pakistani banks, United Bank Limited ('UBL') and National Bank of Pakistan ('NBP'), who had operated in the UK since the 1960s - historically 55% UBL / 45% NBP owned, trading as 'UBL UK'. In July 2024, following regulatory approval, Bestway Group Financial Services Limited (a wholly-owned subsidiary of Bestway Group, a UK diversified conglomerate) acquired 95.1% of the Company's shares from UBL and NBP - the Company is now majority UK-owned rather than a foreign subsidiary in the usual sense, though UBL/NBP retain a residual stake and a preference-share arrangement (see Notes). All financial statements are prepared under FRS 102 in Pound Sterling (the Company's functional currency) - no cash-flow-statement exemption is taken.
DATA AVAILABILITY NOTE: 10 years (FY2016-FY2025) sourced from nine Companies House annual report filings (FY2025/FY2024 from the 2025 filing, FY2023 from the 2023 filing, and FY2022 down to FY2016 each from that year's own filing rather than a later filing's restated comparative - all fully scanned/image-only PDFs, transcribed directly from the source page images; pdftotext extracts 0 real characters from every one of them, confirmed before transcription). Pillar 3: the pre-Bestway entity ('UBL UK') published 'Pillar 3 and Remuneration Code Disclosures' on its own site (ubluk.com) for every year FY2016-FY2024, and ALL NINE of those editions are live on the bank's own site today. CITATION CORRECTION 2026-09-16: an earlier build of this workbook said 'the live site no longer links to most of these (only the current year's edition is navigable from ubluk.com/resources)' and cited Wayback captures for FY2016-FY2022 accordingly. That statement is withdrawn - it was true of the /resources page but not of the bank's own document index at https://www.ubluk.com/footer-pages/annual-reports/, which links a 'Pillar III Disclosure' for every year 2016 to 2024. All nine were re-fetched from those live ubluk.com/media/&lt;slug&gt; paths on 16 September 2026, each returning HTTP 200, Content-Type application/pdf and %PDF magic bytes (0.94-1.97 MB), and every citation on every sheet now points at the bank's own live URL rather than a Wayback copy. No figure changed: the live FY2022 file is the same edition as the Wayback /media/1368/ copy it replaces (CET1 GBP 73,598,731, Total regulatory capital GBP 73,967,261, Total RWAs 385,707, Credit/CCR RWA 363,317 all present in it). Historical note, retained because it explains how these were first recovered: in the 2026-09-06 extension the first Wayback snapshot found for each of FY2016-FY2021's original media/NNNN URL was truncated at exactly 1,048,576 bytes (1 MiB), a known crawl-truncation artefact also seen on other banks' Wayback-recovered PDFs on this project, and a second, later (2024-2025) snapshot of each document's newer media/&lt;slug&gt; URL was untruncated and used instead, confirmed via `file`/`pdftotext` page-count and character-count checks before transcribing any figure.
FY2025 PILLAR 3 - ENUMERATED ABSENCE ON A CURRENT INDEX (upgraded from 'access gap' on 2026-09-15). The bank's own document index at https://www.ubluk.com/footer-pages/annual-reports/ was fetched and fully parsed on 15 September 2026. It is organised year by year, and each year from 2016 to 2024 carries BOTH an 'Annual Report' link and a 'Pillar III Disclosure' link. The 2025 block carries the Annual Report (/media/405naqby/ye2025-statutory-accounts-final-23apr2026_signed.pdf) but NO Pillar III Disclosure link at all. That distinction matters: because the index has already been updated with the 2025 statutory accounts, this is not a stale page lagging behind publication - the page is current and the FY2025 Pillar 3 is absent from it. So the gap is an enumerated negative, not a failure to find.
It is NOT, however, a permanent non-publication, and should stay on the re-check list. This bank publishes its Pillar 3 extremely late: the FY2024 edition linked from that same index is dated 1 July 2026, roughly 18 months after its year-end and over two months after the FY2025 Annual Report was signed (23 April 2026). On that cadence an FY2025 edition would not be due until well into 2027. The FY2025 Annual Report also still refers readers to 'the unaudited Pillar III disclosures' for capital management policy, so the bank has not said it has stopped publishing them.
Nothing exists before FY2016 on any basis: the index's earliest year block is 2016, for both document types.
Where a FY2025 figure appears on a sheet it is therefore Annual-Report-sourced and labelled as such.
ACCOUNTING BASIS NOTE: the Company reports under FRS 102 (not IFRS 9), so its own loan-book disclosure categorises loans as 'Impaired'/'Non-Impaired' with 'Specific'/'Collective' provisions, rather than the IFRS 9 stage-1/2/3 staging used by most other banks in this project - this sheet reproduces the Company's own categories rather than forcing an IFRS 9 shape onto FRS 102 data. FY2022's collective provision (£368,530) plus specific impairment allowance (£933,571) together give total provisions of £1,302,101 against gross loans of £639,618,003 (2.04%) - materially higher than other years because FY2022 carried a specific impairment allowance against impaired loans (later years show £Nil specific allowance, impaired loans covered entirely by collective provision and/or expected recovery).
TERMINOLOGY NOTE: FY2016-FY2018's own filings use 'Non-performing'/'Performing' loans as the category labels (not 'Impaired'/'Non-Impaired', which only appears from FY2019 onward) - the same underlying concept (loans overdue/individually provisioned vs not), shown here under the later terminology for row continuity across all years rather than adding a third label pair. FY2016-FY2020's 'Specific impairment allowance on impaired loans' figure is each year's own Note 6/7/8 'Impairment losses on loans and advances' balance (occasionally net of amounts written off in the same note, e.g. FY2020); FY2016-FY2020 carry no separate 'Unamortised portion of loan fees' or 'Fair value of hedged risk' line (both first appear later) - gross less the two provision rows ties to net loans exactly in every one of these years.</t>
        </is>
      </c>
    </row>
  </sheetData>
  <mergeCells count="2">
    <mergeCell ref="A19:K19"/>
    <mergeCell ref="A17:K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(UBL UK) - KM1 Key Metrics</t>
        </is>
      </c>
    </row>
    <row r="2">
      <c r="A2" s="2" t="inlineStr">
        <is>
          <t>Not applicable - this bank publishes a Pillar 3 disclosure every year FY2016-FY2024 but does not use the UK KM1 key-metrics template in any of them. The 'Key metrics' section each edition does carry is a nine-tile infographic, not the template; it is described in the source note below rather than reproduced here, because it does not carry the template's row set. See the individual Pillar 3 metric sheets that follow for what the bank does disclose.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UK KM1 key-metrics template</t>
        </is>
      </c>
      <c r="B4" s="6" t="inlineStr">
        <is>
          <t>No Pillar 3 edition published</t>
        </is>
      </c>
      <c r="C4" s="6" t="inlineStr">
        <is>
          <t>Pillar 3 published; template not used</t>
        </is>
      </c>
      <c r="D4" s="6" t="inlineStr">
        <is>
          <t>Pillar 3 published; template not used</t>
        </is>
      </c>
      <c r="E4" s="6" t="inlineStr">
        <is>
          <t>Pillar 3 published; template not used</t>
        </is>
      </c>
      <c r="F4" s="6" t="inlineStr">
        <is>
          <t>Pillar 3 published; template not used</t>
        </is>
      </c>
      <c r="G4" s="6" t="inlineStr">
        <is>
          <t>Pillar 3 published; template not used</t>
        </is>
      </c>
      <c r="H4" s="6" t="inlineStr">
        <is>
          <t>Pillar 3 published; template not used</t>
        </is>
      </c>
      <c r="I4" s="6" t="inlineStr">
        <is>
          <t>Pillar 3 published; template not used</t>
        </is>
      </c>
      <c r="J4" s="6" t="inlineStr">
        <is>
          <t>Pillar 3 published; template not used</t>
        </is>
      </c>
      <c r="K4" s="6" t="inlineStr">
        <is>
          <t>Pillar 3 published; template not used</t>
        </is>
      </c>
    </row>
    <row r="6" ht="390" customHeight="1">
      <c r="A6" s="8" t="inlineStr">
        <is>
          <t>Sources - none, because no UK KM1 key-metrics template exists to reproduce. United National Bank Limited ('UBL UK') publishes a Pillar 3 disclosure every year from FY2016 to FY2024, and NOT ONE of those nine editions contains the KM1 template.
This is the 'Pillar 3 is published but the template is not used' finding, which is a different and much narrower statement than 'no Pillar 3 is published'. The evidence is affirmative, and the instrument was checked before the conclusion was drawn:
1. ALL NINE editions were downloaded from the bank's OWN live media paths on 16 September 2026 (not from Wayback, not from this project's citation list) and each verified by HTTP status, Content-Type application/pdf and %PDF magic bytes. Nothing here rests on a blocked or partial fetch.
2. The string 'KM1' appears ZERO times in all nine, and a zero was not taken at face value: text extraction is demonstrably RICH in every edition on neighbouring terms - case-insensitively, 220-242 hits for 'capital', 174-197 for 'ratio', 16-28 for 'leverage' and 30-40 for 'buffer' per edition. The zero is therefore a fact about the documents rather than about the search.
3. Each edition's 'Key metrics' section (printed p.4 in the FY2021-FY2024 editions, p.3 in FY2016-FY2020) was read in full and is NOT the template. It is a nine-tile infographic dashboard: CET1 / Tier 1 / Total capital ratios, CET1 / Tier 1 / Total capital amounts, Total RWAs, Total Assets and Profit After Tax, each tile showing the prior year beneath it. It has no row numbers, no 'Additional own funds requirements' (SREP) block, no combined-buffer block, no leverage row, no LCR rows and no NSFR rows - and it carries Total Assets and Profit After Tax, which are not KM1 rows at all. Mapping it onto template row numbers would invent a correspondence the bank never published.
4. The template is absent rather than merely unfindable in the text layer. Every embedded image larger than 300x200 pixels across the nine editions was listed and traced back to its page: the UBL UK masthead, a footer logo mark, the 'Board and Management Committees' reporting-lines chart, two pie charts on the FY2022 edition's p.5 ('Capital Requirement by Risk Type' and 'Geographical concentration of loans and advances'), and the 'revised capital framework' Pillar 2B/PRA-buffer diagram. There is no page-filling table bitmap in any edition, and no page where a key-metrics heading is followed by blank space.
5. The templates this bank DOES publish are enumerated in its own contents page: Own Funds (section 4), Leverage Ratio (section 7, an LRSum/LRCom-style pair), Asset Encumbrance (section 8), Capital Instruments main features (Appendix V) and the Own funds disclosure / CC1 composition table (Appendix VI). Appendix VI's rows 64 and 65 are CC1's institution-specific capital-requirement rows, not KM1 rows, and are not treated as such anywhere in this workbook.
6. No parent's Pillar 3 can supply one either, which is the question a missing entity-level disclosure always raises. The FY2024 edition states its own basis: 'The Bank is a single entity and no consolidation is performed' (section 1.2), and its capital-instruments template row 6 - 'Eligible at solo/(sub-)consolidated/solo and (sub-)consolidated' - reads Solo. Above the Bank sits Bestway Group Financial Services Limited (95.1% since 4 July 2024), a wholly-owned subsidiary of Bestway Group, described in the same document as 'a diversified multinational business with annual turnover in excess of GBP 4.5 billion' - a non-financial conglomerate, not a UK financial holding company under consolidated supervision, and its website carries no Pillar 3 disclosure of any kind. The two former parents, United Bank Limited and National Bank of Pakistan, are Pakistani banks disclosing under State Bank of Pakistan rules, not under the UK Disclosure (CRR) Part. So there is no UK Pillar 3 anywhere above this entity that could carry a subsidiary KM1 block for it.
FY2025 is a separate and already-documented absence: no FY2025 Pillar 3 edition exists at all yet (the bank's own current index lists an Annual Report for 2025 but no Pillar III Disclosure, and this bank publishes very late - its FY2024 edition is dated 1 July 2026). See the Cash Flow Statement sheet's entity note for that in full.
Editions checked, all live on the bank's own site on 16 September 2026:
FY2024 - https://www.ubluk.com/media/sr5puvji/unb-2024-pillar3-approved-finalplusamended.pdf
FY2023 - https://www.ubluk.com/media/lupbssja/annual-report-unb-2023-pillar3-final-approved.pdf
FY2022 - https://www.ubluk.com/media/2unkh0m2/pillar-iii-disclosure-2022.pdf
FY2021 - https://www.ubluk.com/media/pqqda2ng/pillar-iii-disclosure-2021.pdf
FY2020 - https://www.ubluk.com/media/xq1lvuuj/pillar-iii-disclosure-2020.pdf
FY2019 - https://www.ubluk.com/media/sqgdszjz/pillar-iii-disclosure-2019.pdf</t>
        </is>
      </c>
    </row>
    <row r="8" ht="330" customHeight="1">
      <c r="A8" s="8" t="inlineStr">
        <is>
          <t>(continued)
FY2018 - https://www.ubluk.com/media/5avboizc/pillar-iii-disclosure-2018.pdf
FY2017 - https://www.ubluk.com/media/o0bp44wd/pillar-iii-disclosure-2017.pdf
FY2016 - https://www.ubluk.com/media/sp5brt0v/pillar-iii-disclosure-2016.pdf
Index: https://www.ubluk.com/footer-pages/annual-reports/</t>
        </is>
      </c>
    </row>
  </sheetData>
  <mergeCells count="2">
    <mergeCell ref="A6:K6"/>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CET1 Capital</t>
        </is>
      </c>
    </row>
    <row r="2">
      <c r="A2" s="2" t="inlineStr">
        <is>
          <t>Company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capital</t>
        </is>
      </c>
      <c r="B4" s="6" t="n">
        <v>108644570</v>
      </c>
      <c r="C4" s="6" t="n">
        <v>97948100</v>
      </c>
      <c r="D4" s="6" t="n">
        <v>88559510</v>
      </c>
      <c r="E4" s="6" t="n">
        <v>73598731</v>
      </c>
      <c r="F4" s="6" t="n">
        <v>79542918</v>
      </c>
      <c r="G4" s="6" t="n">
        <v>75474004</v>
      </c>
      <c r="H4" s="6" t="n">
        <v>77323649</v>
      </c>
      <c r="I4" s="6" t="n">
        <v>70121794</v>
      </c>
      <c r="J4" s="6" t="n">
        <v>81564327</v>
      </c>
      <c r="K4" s="6" t="n">
        <v>74666226</v>
      </c>
    </row>
    <row r="5" ht="39" customHeight="1">
      <c r="A5" s="7" t="inlineStr">
        <is>
          <t>Note: Equal to Tier 1 capital in every year - the Company has no Additional Tier 1 (AT1) instruments. FY2023's figure is confirmed to the nearest £'000 by the Pillar 3 document's own Appendix VI (£88,559k). FY2016-FY2021 are each year's own Own Funds Disclosure table (Appendix), consistent with FY2022-FY2024's sourcing - not the rounded £m figure in that year's own front-page Key Metrics box, which for FY2016 in particular differs materially (£78.9m) from this table's £74.7m; see the Total RWAs/RWA Breakdown sheet notes for the related FY2016 RWA inconsistency.</t>
        </is>
      </c>
    </row>
    <row r="7" ht="364" customHeight="1">
      <c r="A7"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t>
        </is>
      </c>
    </row>
  </sheetData>
  <mergeCells count="2">
    <mergeCell ref="A5:K5"/>
    <mergeCell ref="A7:K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CET1 Ratio</t>
        </is>
      </c>
    </row>
    <row r="2">
      <c r="A2" s="2" t="inlineStr">
        <is>
          <t>Company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ratio</t>
        </is>
      </c>
      <c r="B4" s="6" t="inlineStr">
        <is>
          <t>Not published yet – FY2025 Pillar 3 not on bank's index at 2026-09-19; FY2024 edition was dated 1 Jul 2026, so due c. mid-2027. AR2025 KPI table prints no such figure</t>
        </is>
      </c>
      <c r="C4" s="6" t="inlineStr">
        <is>
          <t>19.86%</t>
        </is>
      </c>
      <c r="D4" s="6" t="inlineStr">
        <is>
          <t>21.46%</t>
        </is>
      </c>
      <c r="E4" s="6" t="inlineStr">
        <is>
          <t>19.08%</t>
        </is>
      </c>
      <c r="F4" s="6" t="inlineStr">
        <is>
          <t>22.2%</t>
        </is>
      </c>
      <c r="G4" s="6" t="inlineStr">
        <is>
          <t>23.9%</t>
        </is>
      </c>
      <c r="H4" s="6" t="inlineStr">
        <is>
          <t>21.4%</t>
        </is>
      </c>
      <c r="I4" s="6" t="inlineStr">
        <is>
          <t>21.1%</t>
        </is>
      </c>
      <c r="J4" s="6" t="inlineStr">
        <is>
          <t>18.6%</t>
        </is>
      </c>
      <c r="K4" s="6" t="inlineStr">
        <is>
          <t>17.6%</t>
        </is>
      </c>
    </row>
    <row r="5" ht="65" customHeight="1">
      <c r="A5" s="7" t="inlineStr">
        <is>
          <t>Note: FY2023 is directly stated in that year's Pillar 3 document (equal to its stated Tier 1 ratio, since CET1=Tier 1 capital exactly that year). FY2022 and FY2024 are computed here (CET1 capital ÷ Total RWAs, both from that year's own Pillar 3 document - see Total RWAs sheet) since neither document states the ratio as text. FY2025: no Pillar 3 edition is published - an ENUMERATED absence, since the bank's own index lists a Pillar III Disclosure for every year 2016-2024 but only an Annual Report for 2025, and that index is current (it already carries the 2025 statutory accounts). Re-checkable, not permanent: this bank publishes very late (FY2024's edition is dated 1 July 2026). FY2016-FY2021 are each stated directly as text in that year's own front-page Key Metrics box (unlike FY2022/FY2024, which are computed) - reproduced as stated even though the same document's detailed Table CC1 shows a different (in FY2021's case, implausibly halved: 11% vs this 22.2%) percentage in its row 61; the Key Metrics box figure is used throughout FY2016-FY2021 for consistency and because it is the document's own headline disclosure.</t>
        </is>
      </c>
    </row>
    <row r="7" ht="364" customHeight="1">
      <c r="A7"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t>
        </is>
      </c>
    </row>
  </sheetData>
  <mergeCells count="2">
    <mergeCell ref="A5:K5"/>
    <mergeCell ref="A7:K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Tier 1 Capital</t>
        </is>
      </c>
    </row>
    <row r="2">
      <c r="A2" s="2" t="inlineStr">
        <is>
          <t>Company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capital</t>
        </is>
      </c>
      <c r="B4" s="6" t="n">
        <v>108644570</v>
      </c>
      <c r="C4" s="6" t="n">
        <v>97948100</v>
      </c>
      <c r="D4" s="6" t="n">
        <v>88559510</v>
      </c>
      <c r="E4" s="6" t="n">
        <v>73598731</v>
      </c>
      <c r="F4" s="6" t="n">
        <v>79542918</v>
      </c>
      <c r="G4" s="6" t="n">
        <v>75474004</v>
      </c>
      <c r="H4" s="6" t="n">
        <v>77323649</v>
      </c>
      <c r="I4" s="6" t="n">
        <v>70121794</v>
      </c>
      <c r="J4" s="6" t="n">
        <v>81564327</v>
      </c>
      <c r="K4" s="6" t="n">
        <v>74666226</v>
      </c>
    </row>
    <row r="6" ht="364" customHeight="1">
      <c r="A6"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t>
        </is>
      </c>
    </row>
  </sheetData>
  <mergeCells count="1">
    <mergeCell ref="A6:K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Tier 1 Ratio</t>
        </is>
      </c>
    </row>
    <row r="2">
      <c r="A2" s="2" t="inlineStr">
        <is>
          <t>Company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ratio</t>
        </is>
      </c>
      <c r="B4" s="6" t="inlineStr">
        <is>
          <t>Not published yet – FY2025 Pillar 3 not on bank's index at 2026-09-19; FY2024 edition was dated 1 Jul 2026, so due c. mid-2027. AR2025 KPI table prints no such figure</t>
        </is>
      </c>
      <c r="C4" s="6" t="inlineStr">
        <is>
          <t>19.86%</t>
        </is>
      </c>
      <c r="D4" s="6" t="inlineStr">
        <is>
          <t>21.46%</t>
        </is>
      </c>
      <c r="E4" s="6" t="inlineStr">
        <is>
          <t>19.08%</t>
        </is>
      </c>
      <c r="F4" s="6" t="inlineStr">
        <is>
          <t>22.2%</t>
        </is>
      </c>
      <c r="G4" s="6" t="inlineStr">
        <is>
          <t>23.9%</t>
        </is>
      </c>
      <c r="H4" s="6" t="inlineStr">
        <is>
          <t>21.4%</t>
        </is>
      </c>
      <c r="I4" s="6" t="inlineStr">
        <is>
          <t>21.1%</t>
        </is>
      </c>
      <c r="J4" s="6" t="inlineStr">
        <is>
          <t>18.6%</t>
        </is>
      </c>
      <c r="K4" s="6" t="inlineStr">
        <is>
          <t>17.6%</t>
        </is>
      </c>
    </row>
    <row r="5" ht="30" customHeight="1">
      <c r="A5" s="7" t="inlineStr">
        <is>
          <t>Note: Equal to the CET1 Ratio in every year - the Company has no Additional Tier 1 (AT1) instruments. FY2023 is directly stated in that year's Pillar 3 document (Table CC1, row 62); FY2022/FY2024 computed (see CET1 Ratio sheet note); FY2025 not disclosed (no Pillar 3 edition is published - enumerated absence on the bank's own current index); FY2016-FY2021 stated directly in that year's own Key Metrics box (see CET1 Ratio sheet note re the FY2021 Table CC1 discrepancy).</t>
        </is>
      </c>
    </row>
    <row r="7" ht="364" customHeight="1">
      <c r="A7"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t>
        </is>
      </c>
    </row>
  </sheetData>
  <mergeCells count="2">
    <mergeCell ref="A5:K5"/>
    <mergeCell ref="A7:K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Total Capital</t>
        </is>
      </c>
    </row>
    <row r="2">
      <c r="A2" s="2" t="inlineStr">
        <is>
          <t>Company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t>
        </is>
      </c>
      <c r="B4" s="6" t="n">
        <v>109906178</v>
      </c>
      <c r="C4" s="6" t="n">
        <v>98654693</v>
      </c>
      <c r="D4" s="6" t="n">
        <v>89004384</v>
      </c>
      <c r="E4" s="6" t="n">
        <v>73967261</v>
      </c>
      <c r="F4" s="6" t="n">
        <v>79954802</v>
      </c>
      <c r="G4" s="6" t="n">
        <v>75666416</v>
      </c>
      <c r="H4" s="6" t="n">
        <v>77899532</v>
      </c>
      <c r="I4" s="6" t="n">
        <v>70975872</v>
      </c>
      <c r="J4" s="6" t="n">
        <v>83532099</v>
      </c>
      <c r="K4" s="6" t="n">
        <v>76676144</v>
      </c>
    </row>
    <row r="5" ht="30" customHeight="1">
      <c r="A5" s="7" t="inlineStr">
        <is>
          <t>Note: Tier 1 capital plus a Tier 2 collective provision figure disclosed in each year's own Annual Report. FY2016-FY2021 from each year's own Own Funds Disclosure table (Appendix), consistent with FY2022-FY2024.</t>
        </is>
      </c>
    </row>
    <row r="7" ht="364" customHeight="1">
      <c r="A7"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t>
        </is>
      </c>
    </row>
  </sheetData>
  <mergeCells count="2">
    <mergeCell ref="A5:K5"/>
    <mergeCell ref="A7:K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Total Capital Ratio</t>
        </is>
      </c>
    </row>
    <row r="2">
      <c r="A2" s="2" t="inlineStr">
        <is>
          <t>Company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 ratio</t>
        </is>
      </c>
      <c r="B4" s="6" t="inlineStr">
        <is>
          <t>16.3%</t>
        </is>
      </c>
      <c r="C4" s="6" t="inlineStr">
        <is>
          <t>20.00%</t>
        </is>
      </c>
      <c r="D4" s="6" t="inlineStr">
        <is>
          <t>21.56%</t>
        </is>
      </c>
      <c r="E4" s="6" t="inlineStr">
        <is>
          <t>19.18%</t>
        </is>
      </c>
      <c r="F4" s="6" t="inlineStr">
        <is>
          <t>22.3%</t>
        </is>
      </c>
      <c r="G4" s="6" t="inlineStr">
        <is>
          <t>24%</t>
        </is>
      </c>
      <c r="H4" s="6" t="inlineStr">
        <is>
          <t>21.6%</t>
        </is>
      </c>
      <c r="I4" s="6" t="inlineStr">
        <is>
          <t>21.4%</t>
        </is>
      </c>
      <c r="J4" s="6" t="inlineStr">
        <is>
          <t>19.0%</t>
        </is>
      </c>
      <c r="K4" s="6" t="inlineStr">
        <is>
          <t>18.3%</t>
        </is>
      </c>
    </row>
    <row r="5" ht="65" customHeight="1">
      <c r="A5" s="7" t="inlineStr">
        <is>
          <t>Note: FY2023 directly stated in that year's Pillar 3 document (Table CC1, row 63). FY2022/FY2024 computed (Total capital ÷ Total RWAs, both from that year's own Pillar 3 document). FY2016-FY2021 stated directly in that year's own Key Metrics box (see CET1 Ratio sheet note re the FY2021 Table CC1 discrepancy, which is also present in this ratio: 11.1% vs 22.3%). BASIS CAVEAT - FY2025 (16.3%) is the ONLY year here taken from the Annual Report rather than a Pillar 3 document: no FY2025 Pillar 3 edition is published (enumerated absence on the bank's own current index), but the FY2025 Annual Report's own KPI table (p.5, 'Capital Adequacy Ratio = Total Capital / risk-weighted assets') states it directly. That table is NOT on the same basis as the Pillar 3-derived years above it - it restates FY2024 as 18.8%, against the 20.00% computed here from the FY2024 Pillar 3's own Total capital and Total RWAs. The two sources disagree by ~120bps on the same year, so FY2025 is not strictly comparable with FY2016-FY2024 in this row. Retained because it is a genuine, directly-stated disclosure; revisit and restate onto the Pillar 3 basis once the FY2025 Pillar 3 is published - which on this bank's demonstrated cadence (its FY2024 edition is dated 1 July 2026, some 18 months after that year-end) would not be before well into 2027.</t>
        </is>
      </c>
    </row>
    <row r="7" ht="364" customHeight="1">
      <c r="A7"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t>
        </is>
      </c>
    </row>
  </sheetData>
  <mergeCells count="2">
    <mergeCell ref="A5:K5"/>
    <mergeCell ref="A7:K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Total RWAs</t>
        </is>
      </c>
    </row>
    <row r="2">
      <c r="A2" s="2" t="inlineStr">
        <is>
          <t>Company basis,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risk-weighted exposure amount</t>
        </is>
      </c>
      <c r="B4" s="6" t="inlineStr">
        <is>
          <t>Not published yet – FY2025 Pillar 3 not on bank's index at 2026-09-19; FY2024 edition was dated 1 Jul 2026, so due c. mid-2027. AR2025 KPI table prints no such figure</t>
        </is>
      </c>
      <c r="C4" s="6" t="n">
        <v>493153000</v>
      </c>
      <c r="D4" s="6" t="n">
        <v>412732000</v>
      </c>
      <c r="E4" s="6" t="n">
        <v>385707000</v>
      </c>
      <c r="F4" s="6" t="n">
        <v>342987000</v>
      </c>
      <c r="G4" s="6" t="n">
        <v>316139000</v>
      </c>
      <c r="H4" s="6" t="n">
        <v>361460000</v>
      </c>
      <c r="I4" s="6" t="n">
        <v>331832000</v>
      </c>
      <c r="J4" s="6" t="n">
        <v>438970000</v>
      </c>
      <c r="K4" s="6" t="n">
        <v>434265000</v>
      </c>
    </row>
    <row r="5" ht="52" customHeight="1">
      <c r="A5" s="7" t="inlineStr">
        <is>
          <t>Note: Each year's own Pillar 1 Capital Requirement table (Credit &amp; Counterparty Credit Risk + Market Risk + CVA Risk + Operational Risk RWAs, summed) - see the RWA Breakdown sheet for the category-level split. FY2025: no Pillar 3 edition is published - an ENUMERATED absence, since the bank's own index lists a Pillar III Disclosure for every year 2016-2024 but only an Annual Report for 2025, and that index is current (it already carries the 2025 statutory accounts). Re-checkable, not permanent: this bank publishes very late (FY2024's edition is dated 1 July 2026). FY2016's figure here (£434,265,000, Table CC1 row 60 / Key Metrics box) does NOT equal the FY2016 Pillar 1 table's own category sum (£424,125,000) - a genuine ~£10.1m internal inconsistency in that year's own document, reproduced as stated rather than forced to tie (see RWA Breakdown sheet note); FY2017-FY2021 all sum exactly (to the nearest £1,000 rounding) to their category-level breakdown.</t>
        </is>
      </c>
    </row>
    <row r="7" ht="364" customHeight="1">
      <c r="A7"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t>
        </is>
      </c>
    </row>
  </sheetData>
  <mergeCells count="2">
    <mergeCell ref="A5:K5"/>
    <mergeCell ref="A7:K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RWA Breakdown</t>
        </is>
      </c>
    </row>
    <row r="2">
      <c r="A2" s="2" t="inlineStr">
        <is>
          <t>Company basis, exact £ (not £'000/£m) - see source note at bottom.</t>
        </is>
      </c>
    </row>
    <row r="3">
      <c r="A3" s="4" t="inlineStr">
        <is>
          <t>Line item</t>
        </is>
      </c>
      <c r="B3" s="4" t="inlineStr">
        <is>
          <t>FY2025 (£)</t>
        </is>
      </c>
      <c r="C3" s="4" t="inlineStr">
        <is>
          <t>FY2024 (£)</t>
        </is>
      </c>
      <c r="D3" s="4" t="inlineStr">
        <is>
          <t>FY2023 (£)</t>
        </is>
      </c>
      <c r="E3" s="4" t="inlineStr">
        <is>
          <t>FY2022 (£)</t>
        </is>
      </c>
      <c r="F3" s="4" t="inlineStr">
        <is>
          <t>FY2021 (£)</t>
        </is>
      </c>
      <c r="G3" s="4" t="inlineStr">
        <is>
          <t>FY2020 (£)</t>
        </is>
      </c>
      <c r="H3" s="4" t="inlineStr">
        <is>
          <t>FY2019 (£)</t>
        </is>
      </c>
      <c r="I3" s="4" t="inlineStr">
        <is>
          <t>FY2018 (£)</t>
        </is>
      </c>
      <c r="J3" s="4" t="inlineStr">
        <is>
          <t>FY2017 (£)</t>
        </is>
      </c>
      <c r="K3" s="4" t="inlineStr">
        <is>
          <t>FY2016 (£)</t>
        </is>
      </c>
    </row>
    <row r="4">
      <c r="A4" s="5" t="inlineStr">
        <is>
          <t>RWA by risk category (Pillar 1 Minimum Capital Requirement)</t>
        </is>
      </c>
      <c r="B4" s="6" t="n"/>
      <c r="C4" s="6" t="n"/>
      <c r="D4" s="6" t="n"/>
      <c r="E4" s="6" t="n"/>
      <c r="F4" s="6" t="n"/>
      <c r="G4" s="6" t="n"/>
      <c r="H4" s="6" t="n"/>
      <c r="I4" s="6" t="n"/>
      <c r="J4" s="6" t="n"/>
      <c r="K4" s="6" t="n"/>
    </row>
    <row r="5">
      <c r="A5" s="6" t="inlineStr">
        <is>
          <t>Credit and Counterparty Credit Risk (Standardised)</t>
        </is>
      </c>
      <c r="B5" s="6" t="n"/>
      <c r="C5" s="6" t="n">
        <v>456897000</v>
      </c>
      <c r="D5" s="6" t="n">
        <v>382394000</v>
      </c>
      <c r="E5" s="6" t="n">
        <v>363317000</v>
      </c>
      <c r="F5" s="6" t="n">
        <v>322069000</v>
      </c>
      <c r="G5" s="6" t="n">
        <v>294787000</v>
      </c>
      <c r="H5" s="6" t="n">
        <v>336098000</v>
      </c>
      <c r="I5" s="6" t="n">
        <v>304923000</v>
      </c>
      <c r="J5" s="6" t="n">
        <v>410796000</v>
      </c>
      <c r="K5" s="6" t="n">
        <v>397610000</v>
      </c>
    </row>
    <row r="6">
      <c r="A6" s="6" t="inlineStr">
        <is>
          <t>Market Risk (Position Risk Requirement)</t>
        </is>
      </c>
      <c r="B6" s="6" t="n"/>
      <c r="C6" s="6" t="n">
        <v>0</v>
      </c>
      <c r="D6" s="6" t="n">
        <v>1222000</v>
      </c>
      <c r="E6" s="6" t="n">
        <v>0</v>
      </c>
      <c r="F6" s="6" t="n">
        <v>0</v>
      </c>
      <c r="G6" s="6" t="n">
        <v>0</v>
      </c>
      <c r="H6" s="6" t="n">
        <v>0</v>
      </c>
      <c r="I6" s="6" t="n">
        <v>0</v>
      </c>
      <c r="J6" s="6" t="n">
        <v>0</v>
      </c>
      <c r="K6" s="6" t="n">
        <v>0</v>
      </c>
    </row>
    <row r="7">
      <c r="A7" s="6" t="inlineStr">
        <is>
          <t>Credit Valuation Adjustment Risk (Simplified Method)</t>
        </is>
      </c>
      <c r="B7" s="6" t="n"/>
      <c r="C7" s="6" t="n">
        <v>311000</v>
      </c>
      <c r="D7" s="6" t="n">
        <v>161000</v>
      </c>
      <c r="E7" s="6" t="n">
        <v>250000</v>
      </c>
      <c r="F7" s="6" t="n">
        <v>522000</v>
      </c>
      <c r="G7" s="6" t="n">
        <v>262000</v>
      </c>
      <c r="H7" s="6" t="n">
        <v>1171000</v>
      </c>
      <c r="I7" s="6" t="n">
        <v>411000</v>
      </c>
      <c r="J7" s="6" t="n">
        <v>931000</v>
      </c>
      <c r="K7" s="6" t="n">
        <v>1033000</v>
      </c>
    </row>
    <row r="8">
      <c r="A8" s="6" t="inlineStr">
        <is>
          <t>Operational Risk (Basic Indicator Approach)</t>
        </is>
      </c>
      <c r="B8" s="6" t="n"/>
      <c r="C8" s="6" t="n">
        <v>35945000</v>
      </c>
      <c r="D8" s="6" t="n">
        <v>28955000</v>
      </c>
      <c r="E8" s="6" t="n">
        <v>22140000</v>
      </c>
      <c r="F8" s="6" t="n">
        <v>20396000</v>
      </c>
      <c r="G8" s="6" t="n">
        <v>21090000</v>
      </c>
      <c r="H8" s="6" t="n">
        <v>24191000</v>
      </c>
      <c r="I8" s="6" t="n">
        <v>26497000</v>
      </c>
      <c r="J8" s="6" t="n">
        <v>27243000</v>
      </c>
      <c r="K8" s="6" t="n">
        <v>25482000</v>
      </c>
    </row>
    <row r="9">
      <c r="A9" s="5" t="inlineStr">
        <is>
          <t>Total risk-weighted exposure amount</t>
        </is>
      </c>
      <c r="B9" s="5" t="inlineStr">
        <is>
          <t>Not published yet – FY2025 Pillar 3 not on bank's index at 2026-09-19; FY2024 edition was dated 1 Jul 2026, so due c. mid-2027. AR2025 KPI table prints no such figure</t>
        </is>
      </c>
      <c r="C9" s="5" t="n">
        <v>493153000</v>
      </c>
      <c r="D9" s="5" t="n">
        <v>412732000</v>
      </c>
      <c r="E9" s="5" t="n">
        <v>385707000</v>
      </c>
      <c r="F9" s="5" t="n">
        <v>342987000</v>
      </c>
      <c r="G9" s="5" t="n">
        <v>316139000</v>
      </c>
      <c r="H9" s="5" t="n">
        <v>361460000</v>
      </c>
      <c r="I9" s="5" t="n">
        <v>331832000</v>
      </c>
      <c r="J9" s="5" t="n">
        <v>438970000</v>
      </c>
      <c r="K9" s="5" t="n">
        <v>434265000</v>
      </c>
    </row>
    <row r="11" ht="351" customHeight="1">
      <c r="A11"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t>
        </is>
      </c>
    </row>
    <row r="13" ht="180" customHeight="1">
      <c r="A13" s="8" t="inlineStr">
        <is>
          <t>(continued)
Each year's category-level RWAs are its own Pillar 1 Capital Requirement table (same table cited on the Total RWAs sheet). FY2017-FY2024 all sum exactly (to the nearest £1,000 rounding) to that year's Total RWAs row above. FY2016 is a genuine exception: the Pillar 1 table's own category-level figures here (Credit £397,610,000 + Market £0 + CVA £1,033,000 + Operational £25,482,000 = £424,125,000, per that table's own 'Pillar 1 Capital Resources Requirement' line) do not sum to the £434,265,000 Total RWAs figure used on the Total RWAs sheet (from Table CC1 row 60 / the Key Metrics box) - both figures are each exactly as stated in the FY2016 document's own two tables, reproduced without forcing a tie. FY2025: no Pillar 3 edition is published - an enumerated absence on the bank's own current index, re-checkable given its very late publication cadence (FY2024's edition is dated 1 July 2026).</t>
        </is>
      </c>
    </row>
  </sheetData>
  <mergeCells count="2">
    <mergeCell ref="A11:K11"/>
    <mergeCell ref="A13:K1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Leverage Ratio</t>
        </is>
      </c>
    </row>
    <row r="2">
      <c r="A2" s="2" t="inlineStr">
        <is>
          <t>Company basis, £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exposure measure</t>
        </is>
      </c>
      <c r="B4" s="6" t="n"/>
      <c r="C4" s="6" t="n">
        <v>1310997000</v>
      </c>
      <c r="D4" s="6" t="n">
        <v>954151000</v>
      </c>
      <c r="E4" s="6" t="n">
        <v>815698000</v>
      </c>
      <c r="F4" s="6" t="n">
        <v>694808000</v>
      </c>
      <c r="G4" s="6" t="n">
        <v>604467000</v>
      </c>
      <c r="H4" s="6" t="n">
        <v>501223000</v>
      </c>
      <c r="I4" s="6" t="n">
        <v>502571597</v>
      </c>
      <c r="J4" s="6" t="n">
        <v>515832000</v>
      </c>
      <c r="K4" s="6" t="n">
        <v>533423000</v>
      </c>
    </row>
    <row r="5">
      <c r="A5" s="6" t="inlineStr">
        <is>
          <t>Tier 1 capital used in leverage ratio calculation</t>
        </is>
      </c>
      <c r="B5" s="6" t="n"/>
      <c r="C5" s="6" t="n">
        <v>93996000</v>
      </c>
      <c r="D5" s="6" t="n"/>
      <c r="E5" s="6" t="n">
        <v>73599000</v>
      </c>
      <c r="F5" s="6" t="n">
        <v>76227000</v>
      </c>
      <c r="G5" s="6" t="n">
        <v>75844000</v>
      </c>
      <c r="H5" s="6" t="n">
        <v>77766000</v>
      </c>
      <c r="I5" s="6" t="n">
        <v>70122000</v>
      </c>
      <c r="J5" s="6" t="n">
        <v>81564000</v>
      </c>
      <c r="K5" s="6" t="n">
        <v>76866000</v>
      </c>
    </row>
    <row r="6">
      <c r="A6" s="6" t="inlineStr">
        <is>
          <t>Leverage ratio (%) - including claims on central banks; the Bank's own Table LRSum deducts none (see note)</t>
        </is>
      </c>
      <c r="B6" s="6" t="inlineStr">
        <is>
          <t>Not published yet – FY2025 Pillar 3 not on bank's index at 2026-09-19; FY2024 edition was dated 1 Jul 2026, so due c. mid-2027. AR2025 KPI table prints no such figure</t>
        </is>
      </c>
      <c r="C6" s="6" t="inlineStr">
        <is>
          <t>7.17%</t>
        </is>
      </c>
      <c r="D6" s="6" t="inlineStr">
        <is>
          <t>8.52%</t>
        </is>
      </c>
      <c r="E6" s="6" t="inlineStr">
        <is>
          <t>8.43%</t>
        </is>
      </c>
      <c r="F6" s="6" t="inlineStr">
        <is>
          <t>10.97%</t>
        </is>
      </c>
      <c r="G6" s="6" t="inlineStr">
        <is>
          <t>12.55%</t>
        </is>
      </c>
      <c r="H6" s="6" t="inlineStr">
        <is>
          <t>15.51%</t>
        </is>
      </c>
      <c r="I6" s="6" t="inlineStr">
        <is>
          <t>13.95%</t>
        </is>
      </c>
      <c r="J6" s="6" t="inlineStr">
        <is>
          <t>15.8%</t>
        </is>
      </c>
      <c r="K6" s="6" t="inlineStr">
        <is>
          <t>14.4%</t>
        </is>
      </c>
    </row>
    <row r="7" ht="182" customHeight="1">
      <c r="A7" s="7" t="inlineStr">
        <is>
          <t>Note: FY2022 and FY2024 now fully evidenced by each year's own Pillar 3 document (Table LRSum/LRCom), not just the narrative comparator this workbook previously relied on for FY2022. DISCREPANCY: FY2024's Pillar 3 leverage-ratio Tier 1 capital (£93,996,000, Table LRCom row 20) is ~£3.95m lower than the CET1/Tier 1 capital figure used elsewhere in this workbook for FY2024 (£97,948,100, per that same document's own Appendix VI Own Funds disclosure) - both figures are reproduced exactly as each table states, not forced to tie; the FY2022 document shows no such gap (£73,599,000 vs £73,598,731, a rounding-only difference). FY2025 not disclosed (no Pillar 3 edition is published - enumerated absence on the bank's own current index; see entity note on the Cash Flow Statement sheet). FY2016-FY2021's Table LRCom Tier 1 capital also diverges from the CET1/Tier 1 Capital sheet figure in every one of these years (by amounts ranging from a rounding-only ~£300 in FY2017/FY2018 up to ~£3.3m in FY2021) - each year's Table LRCom is its own distinct disclosure from the Own Funds Disclosure table and both are reproduced exactly as stated, not reconciled. FY2018's total exposure measure is given to the exact £ in that year's own Table LRSum (£502,571,597), unlike other years which state it only to the nearest £'000 (multiplied by 1,000 here).
LEVERAGE BASIS: ONE RATIO IS PUBLISHED, AND IT IS THE INCLUDING-CENTRAL-BANK-CLAIMS BASIS - THE BANK'S OWN LRSum SHOWS NO DEDUCTION (GA-026, 2026-10-10). UBL UK does not print the UK version of the leverage templates at all. Its FY2024 Pillar 3 states in terms that 'the tables below follow the Commission Implementing Regulations (EU) 2017/200 format for Leverage Ratio disclosure', and its Table LRCom is numbered in the old EU style - rows 1, 2, 3, 4, 5, 11, 12, 16, 17, 18, 19, 20, 21 - with no row 24, UK-24a, UK-24b, 25 or UK-25c anywhere. The two-basis presentation those UK rows carry therefore does not arise, and this is worth recording in itself: a PRA-authorised bank still disclosing on the EU 2017/200 format in a 31 December 2024 document.
The basis is nonetheless readable, because the Bank prints its workings. Table LRSum, 'Summary reconciliation of accounting assets and leverage ratio exposures', runs from 'Total assets as per published financial statements' £1,283,627k through adjustments for derivative financial instruments 0, securities financing transactions 0, off-balance sheet items 25,608 and other adjustments 1,762, to a 'Leverage ratio total exposure measure' of £1,310,997k. There is NO line deducting claims on, or reserves placed with, central banks: the measure starts at total assets and is only added to. The exposure measure therefore INCLUDES claims on central banks, which is the row 24 basis, and the 7.17% above is an including-basis ratio.
This is the same test that places Jordan International Bank (no deduction line, including basis) and Bank of Ceylon UK (an explicit 'Deduction: funds placed with the Bank of England', excluding basis). Where no UK LR2 is printed, the presence or absence of that one line in the reconciliation is what makes a basis readable; where no reconciliation is printed either, no basis can be read.</t>
        </is>
      </c>
    </row>
    <row r="9" ht="364" customHeight="1">
      <c r="A9"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t>
        </is>
      </c>
    </row>
  </sheetData>
  <mergeCells count="2">
    <mergeCell ref="A7:K7"/>
    <mergeCell ref="A9:K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8" customWidth="1" min="1" max="1"/>
    <col width="15" customWidth="1" min="2" max="2"/>
    <col width="15" customWidth="1" min="3" max="3"/>
  </cols>
  <sheetData>
    <row r="1">
      <c r="A1" s="1" t="inlineStr">
        <is>
          <t>United National Bank Limited — LCR</t>
        </is>
      </c>
    </row>
    <row r="2">
      <c r="A2" s="2" t="inlineStr">
        <is>
          <t>Company basis, %</t>
        </is>
      </c>
    </row>
    <row r="3">
      <c r="A3" s="4" t="inlineStr">
        <is>
          <t>Metric</t>
        </is>
      </c>
      <c r="B3" s="4" t="inlineStr">
        <is>
          <t>FY2025</t>
        </is>
      </c>
      <c r="C3" s="4" t="inlineStr">
        <is>
          <t>FY2024</t>
        </is>
      </c>
    </row>
    <row r="4">
      <c r="A4" s="6" t="inlineStr">
        <is>
          <t>Liquidity Coverage Ratio (%) (Annual Report KPI basis)</t>
        </is>
      </c>
      <c r="B4" s="6" t="inlineStr">
        <is>
          <t>196.0%</t>
        </is>
      </c>
      <c r="C4" s="6" t="inlineStr">
        <is>
          <t>199.8%</t>
        </is>
      </c>
    </row>
    <row r="5" ht="273" customHeight="1">
      <c r="A5" s="7" t="inlineStr">
        <is>
          <t>Note: CORRECTION (2026-09-15): this sheet previously stated that no LCR figure was disclosed in any year. That was wrong for FY2025 and FY2024 - the FY2025 Annual Report introduces an LCR row in its Key Performance Indicators table, giving 196.0% with a 199.8% comparative.
BASIS CAVEAT - THIS IS NOT A PILLAR 3 LCR, and it is labelled accordingly. Every other liquidity or capital figure on this workbook's Pillar-3-sourced sheets comes from the Bank's own Pillar 3 documents, which do NOT disclose a numeric LCR in any year: the FY2024 Pillar 3 discusses the LCR and the NSFR only in narrative terms ("the principal measure used by the Bank for managing liquidity risk is the Liquidity Coverage Ratio"; "the Bank is also required to report the Net Stable Funding Ratio... monitored on a daily basis") and prints no figure for either. The KPI table gives no definition beyond the metric name, so whether it is a year-end point-in-time ratio or a 12-month average is not stated. Treat these two values as an Annual-Report KPI series in their own right, not as the start of a Pillar 3 LCR series.
RELATED BASIS EVIDENCE: the same KPI table reports the Capital Adequacy Ratio as 16.3% (2025) and 18.8% (2024), where the FY2024 Pillar 3 gives 20.00% for FY2024 - a ~120bp disagreement between the Bank's own two documents for the same year-end. That is the clearest demonstration that the AR-KPI and Pillar 3 bases are genuinely different for this bank, and why these LCR values are kept on a distinctly labelled row.
FY2016-FY2023 remain blank: no LCR figure, numeric or tabular, appears in any of those years' Pillar 3 documents, and the FY2021-FY2024 Annual Reports were each searched in full (real text layers) with zero occurrences of "LCR" or "liquidity coverage ratio" - the KPI row is new in the FY2025 report.</t>
        </is>
      </c>
    </row>
    <row r="7" ht="364" customHeight="1">
      <c r="A7"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t>
        </is>
      </c>
    </row>
    <row r="9" ht="364" customHeight="1">
      <c r="A9" s="8" t="inlineStr">
        <is>
          <t>(continued)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t>
        </is>
      </c>
    </row>
    <row r="11" ht="325" customHeight="1">
      <c r="A11" s="8" t="inlineStr">
        <is>
          <t xml:space="preserve">(continued)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
FY2025/FY2024 LCR SOURCE (added 2026-09-15): United National Bank Limited, Annual Report and Financial Statements for the year ended 31 December 2025, Strategic Report, "Key Performance Indicators ('KPI')" table, p.5 - the row labelled "LCR / Liquidity Coverage Ratio", which prints 196.0% for 2025 against 199.8% for 2024. Retrieved from the Bank's own annual-reports page (https://www.ubluk.com/footer-pages/annual-reports/, document /media/405naqby/ye2025-statutory-accounts-final-23apr2026_signed.pdf).
</t>
        </is>
      </c>
    </row>
  </sheetData>
  <mergeCells count="4">
    <mergeCell ref="A5:C5"/>
    <mergeCell ref="A7:C7"/>
    <mergeCell ref="A9:C9"/>
    <mergeCell ref="A11:C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NSFR</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NSFR</t>
        </is>
      </c>
      <c r="B4" s="6" t="inlineStr">
        <is>
          <t>Not published yet – FY2025 Pillar 3 not on bank's index at 2026-09-19; FY2024 edition was dated 1 Jul 2026, so due c. mid-2027. AR2025 KPI table prints no such figure</t>
        </is>
      </c>
      <c r="C4" s="6" t="inlineStr">
        <is>
          <t>Not published – this year's Pillar III Disclosure mentions the NSFR only in narrative (no ratio printed); text-searched 2026-09-19</t>
        </is>
      </c>
      <c r="D4" s="6" t="inlineStr">
        <is>
          <t>Not published – this year's Pillar III Disclosure mentions the NSFR only in narrative (no ratio printed); text-searched 2026-09-19</t>
        </is>
      </c>
      <c r="E4" s="6" t="inlineStr">
        <is>
          <t>Not published – this year's Pillar III Disclosure mentions the NSFR only in narrative (no ratio printed); text-searched 2026-09-19</t>
        </is>
      </c>
      <c r="F4" s="6" t="inlineStr">
        <is>
          <t>Not published – this year's Pillar III Disclosure mentions the NSFR only in narrative (no ratio printed); text-searched 2026-09-19</t>
        </is>
      </c>
      <c r="G4" s="6" t="inlineStr">
        <is>
          <t>Not published – this year's Pillar III Disclosure mentions the NSFR only in narrative (no ratio printed); text-searched 2026-09-19</t>
        </is>
      </c>
      <c r="H4" s="6" t="inlineStr">
        <is>
          <t>Not published – this year's Pillar III Disclosure mentions the NSFR only in narrative (no ratio printed); text-searched 2026-09-19</t>
        </is>
      </c>
      <c r="I4" s="6" t="inlineStr">
        <is>
          <t>Not published – this year's Pillar III Disclosure mentions the NSFR only in narrative (no ratio printed); text-searched 2026-09-19</t>
        </is>
      </c>
      <c r="J4" s="6" t="inlineStr">
        <is>
          <t>Not published – this year's Pillar III Disclosure mentions the NSFR only in narrative (no ratio printed); text-searched 2026-09-19</t>
        </is>
      </c>
      <c r="K4" s="6" t="inlineStr">
        <is>
          <t>Not published – this year's Pillar III Disclosure mentions the NSFR only in narrative (no ratio printed); text-searched 2026-09-19</t>
        </is>
      </c>
    </row>
    <row r="5" ht="39" customHeight="1">
      <c r="A5" s="7" t="inlineStr">
        <is>
          <t>Note: No numeric NSFR is disclosed in any year. Re-verified 2026-09-15 against the FY2024 Pillar 3 document and the FY2021-FY2025 Annual Reports: the FY2024 Pillar 3 refers to the NSFR only in narrative terms ("the Bank is also required to report the Net Stable Funding Ratio (NSFR), and to ensure that the ratio remains above 100%. The NSFR position is monitored on a daily basis") without ever printing the ratio, and no Annual Report carries an NSFR figure. Note the FY2025 Annual Report DID introduce an LCR row into its KPI table (see the LCR sheet) but added no NSFR row alongside it. Nothing has been derived.</t>
        </is>
      </c>
    </row>
    <row r="7" ht="364" customHeight="1">
      <c r="A7"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t>
        </is>
      </c>
    </row>
  </sheetData>
  <mergeCells count="2">
    <mergeCell ref="A5:K5"/>
    <mergeCell ref="A7:K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United National Bank Limited — MREL Ratio</t>
        </is>
      </c>
    </row>
    <row r="2">
      <c r="A2" s="2" t="inlineStr">
        <is>
          <t>Company basis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MREL ratio</t>
        </is>
      </c>
      <c r="B4" s="6" t="inlineStr">
        <is>
          <t>Not published yet – FY2025 Pillar 3 not on bank's index at 2026-09-19; FY2024 edition was dated 1 Jul 2026, so due c. mid-2027. AR2025 KPI table prints no such figure</t>
        </is>
      </c>
      <c r="C4" s="6" t="inlineStr">
        <is>
          <t>Not published – no MREL figure or mention in this year's Pillar III Disclosure (text-searched 2026-09-19)</t>
        </is>
      </c>
      <c r="D4" s="6" t="inlineStr">
        <is>
          <t>Not published – no MREL figure or mention in this year's Pillar III Disclosure (text-searched 2026-09-19)</t>
        </is>
      </c>
      <c r="E4" s="6" t="inlineStr">
        <is>
          <t>Not published – no MREL figure or mention in this year's Pillar III Disclosure (text-searched 2026-09-19)</t>
        </is>
      </c>
      <c r="F4" s="6" t="inlineStr">
        <is>
          <t>Not published – no MREL figure or mention in this year's Pillar III Disclosure (text-searched 2026-09-19)</t>
        </is>
      </c>
      <c r="G4" s="6" t="inlineStr">
        <is>
          <t>Not published – no MREL figure or mention in this year's Pillar III Disclosure (text-searched 2026-09-19)</t>
        </is>
      </c>
      <c r="H4" s="6" t="inlineStr">
        <is>
          <t>Not published – no MREL figure or mention in this year's Pillar III Disclosure (text-searched 2026-09-19)</t>
        </is>
      </c>
      <c r="I4" s="6" t="inlineStr">
        <is>
          <t>Not published – no MREL figure or mention in this year's Pillar III Disclosure (text-searched 2026-09-19)</t>
        </is>
      </c>
      <c r="J4" s="6" t="inlineStr">
        <is>
          <t>Not published – no MREL figure or mention in this year's Pillar III Disclosure (text-searched 2026-09-19)</t>
        </is>
      </c>
      <c r="K4" s="6" t="inlineStr">
        <is>
          <t>Not published – no MREL figure or mention in this year's Pillar III Disclosure (text-searched 2026-09-19)</t>
        </is>
      </c>
    </row>
    <row r="5" ht="30" customHeight="1">
      <c r="A5" s="7" t="inlineStr">
        <is>
          <t>Note: No numeric or qualitative MREL disclosure of any kind was found for this bank in any year reviewed. GA-020 re-check 2026-09-19: all nine Pillar III Disclosures FY2016-FY2024 (native text, from the bank's own index) and the FY2025 Annual Report were searched for 'MREL' - zero hits. FY2025's Pillar 3 is not yet published (see UNB_P3_PENDING wording).</t>
        </is>
      </c>
    </row>
    <row r="7" ht="364" customHeight="1">
      <c r="A7" s="8" t="inlineStr">
        <is>
          <t>Sources - United National Bank Limited (trading as 'UBL UK' at the time) Pillar 3 basis:
FY2023: UBL UK Pillar 3 and Remuneration Code Disclosures at 31 December 2023, various pages (Table LRSum/LRCom p.47-48; Appendix VI Own funds disclosure p.61-63) - https://www.ubluk.com/media/lupbssja/annual-report-unb-2023-pillar3-final-approved.pdf
FY2022: UBL UK Pillar 3 and Remuneration Code Disclosures at 31 December 2022, p.27 (Pillar 1 capital requirements), p.48-49 (Leverage Ratio), p.22-23 (Own Funds) - https://www.ubluk.com/media/2unkh0m2/pillar-iii-disclosure-2022.pdf (the bank's own live URL, verified 16 September 2026: HTTP 200, application/pdf, %PDF. It supersedes the Wayback capture of the older path https://web.archive.org/web/20230923163742id_/https://www.ubluk.com/media/1368/ubl-2022-pillar-3-final-published.pdf that this workbook used to cite; same edition, same figures).
FY2024: UBL UK Pillar 3 and Remuneration Code Disclosures at 31 December 2024, p.26 (Pillar 1 capital requirements), p.46-47 (Leverage Ratio), p.22 (Own Funds) - https://www.ubluk.com/media/sr5puvji/unb-2024-pillar3-approved-finalplusamended.pdf (the approved final edition, linked from the bank's own index at https://www.ubluk.com/footer-pages/annual-reports/ and dated 1 July 2026). PROVENANCE CORRECTION 2026-09-15: an earlier build cited https://www.ubluk.com/media/vsvfbmui/pillar260825.pdf instead, recovered via Wayback CDX and flagged then as 'not linked from the live site's resources page'. That file is a PRE-FINAL DRAFT - it still prints an unresolved internal reviewer query inside the CCR Mark to Market Method table ('Interest rate contract (Why is this blank - we had IRS notional of 66.019 m?)') and is dated 26 August 2025. Every FY2024 figure used in this workbook is byte-identical between the two documents (CET1/Tier 1 capital 97,948,100; Total capital 98,654,693; Total RWAs 493,153k; Tier 2 collective provision 706,593), so no value changed - only the citation.
FY2021: UBL UK Pillar 3 and Remuneration Code Disclosures at 31 December 2021, p.4 (Key metrics), p.21-22 (Own Funds), p.25 (Pillar 1 capital requirements), p.46-48 (Leverage Ratio) - https://www.ubluk.com/media/pqqda2ng/pillar-iii-disclosure-2021.pdf
FY2020: UBL UK Pillar 3 and Remuneration Code Disclosures at 31 December 2020, p.3 (Key metrics), p.21 (Own Funds), p.25 (Pillar 1 capital requirements), p.45-46 (Leverage Ratio) - https://www.ubluk.com/media/xq1lvuuj/pillar-iii-disclosure-2020.pdf
FY2019: UBL UK Pillar 3 and Remuneration Code Disclosures at 31 December 2019, p.3 (Key metrics), p.20-21 (Own Funds), p.24 (Pillar 1 capital requirements), p.45-46 (Leverage Ratio) - https://www.ubluk.com/media/sqgdszjz/pillar-iii-disclosure-2019.pdf
FY2018: UBL UK Pillar 3 and Remuneration Code Disclosures at 31 December 2018, p.3 (Key metrics), p.20-21 (Own Funds), p.25 (Pillar 1 capital requirements), p.45-46 (Leverage Ratio) - https://www.ubluk.com/media/5avboizc/pillar-iii-disclosure-2018.pdf
FY2017: UBL UK Pillar 3 and Remuneration Code Disclosures at 31 December 2017, p.3 (Key metrics), p.20-21 (Own Funds), p.25 (Pillar 1 capital requirements), p.45-46 (Leverage Ratio) - https://www.ubluk.com/media/o0bp44wd/pillar-iii-disclosure-2017.pdf
FY2016: UBL UK Pillar 3 and Remuneration Code Disclosures at 31 December 2016, p.3 (Key metrics), p.20-21 (Own Funds), p.25 (Pillar 1 capital requirements), p.45-46 (Leverage Ratio) - https://www.ubluk.com/media/sp5brt0v/pillar-iii-disclosure-2016.pdf
FY2025: NO Pillar 3 edition is published. This is an enumerated absence, not a failed search - the bank's own index (https://www.ubluk.com/footer-pages/annual-reports/, fetched and fully parsed 15 September 2026) lists BOTH an Annual Report and a Pillar III Disclosure for every year 2016-2024, but its 2025 block lists the Annual Report ONLY. The index is demonstrably current, since it already carries the 2025 statutory accounts. Re-checkable rather than permanent: this bank publishes very late (its FY2024 edition is dated 1 July 2026), so an FY2025 edition would not be due until well into 2027. Where a FY2025 figure IS shown on a sheet, it is taken from the Annual report and financial statements 2025 instead: p.5 (Key Performance Indicators table) for the Capital Adequacy Ratio and LCR, p.13 (Capital resources table) for the Tier 1 / Total capital amounts - https://find-and-update.company-information.service.gov.uk/company/04146820/filing-history/MzUxODk3MTQ2NWFkaXF6a2N4/document?format=pdf
CET1/Tier 1/Total Capital ratios for FY2022 and FY2024 are computed here (capital ÷ Total RWAs, both directly from the sources above) since neither document states the ratio as text, unlike FY2023's document, which states its ratios directly; FY2016-FY2021 all state CET1/Tier1/Total Capital ratios directly as text in each document's own 'Key metrics' summary box (p.3/p.4), so those are used as-is rather than computed.
Tier 1 capital and Total capital £ amounts for FY2022-FY2025 cross-check exactly against each year's own audited Annual Report 'Capital resources' note (see Cash Flow Statement sheet source note for URLs). FY2016-FY2021 CET1/Tier1/Total Capital £ amounts are each year's own Appendix 'Own Funds' breakdown table (exact £, not rounded) rather than that same document's own rounded 'Key metrics' summary box figure (£m, 1 d.p.) - the two normally agree to the nearest £0.1m except FY2016, where the 'Key metrics' box states CET1 capital/Tier 1 capital as £78.9m, matching that year's Total regulatory capital (£78,876,144) rather than its own CET1/Tier 1 capital (£76,866,226, per the Own Funds table 2 pages later) - a genuine source-document internal inconsistency in the FY2016 filing, reproduced here using the Own Funds table's figure (consistent with every other year) rather than force-matched to the summary box. Total RWAs for FY2016-FY2021 are each year's own Pillar 1 capital requirements table (same convention as FY2022-2024); FY2016's table sums to £424,125,000, which is ~£10.2m below that same document's own 'Key metrics' box figure of £434.3m - another instance of the same FY2016 box/detail-table mismatch, again resolved in favour of the detailed table (used consistently with every other year, and the only version with a category-level breakdown that ties to the RWA Breakdown sheet). FY2016-FY2021 Leverage Ratio Tier 1 capital (Table LRCom row 20) matches that year's own CET1/Tier 1 capital almost exactly in most years (FY2016: exact; FY2017: exact; FY2018: exact) but diverges in FY2019 (£77,766k vs £77,324k), FY2020 (£75,844k vs £75,474k) and FY2021 (£76,227k vs £79,543k, the largest gap) - the same kind of same-document capital-figure inconsistency already documented for FY2024 below; reproduced exactly as each table states, not forced to tie.</t>
        </is>
      </c>
    </row>
  </sheetData>
  <mergeCells count="2">
    <mergeCell ref="A5:K5"/>
    <mergeCell ref="A7:K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2026-10-10T15:08:44Z</dcterms:created>
  <dcterms:modified xmlns:dcterms="http://purl.org/dc/terms/" xmlns:xsi="http://www.w3.org/2001/XMLSchema-instance" xsi:type="dcterms:W3CDTF">2026-10-10T15:08:44Z</dcterms:modified>
</cp:coreProperties>
</file>