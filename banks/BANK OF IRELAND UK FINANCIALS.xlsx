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of Ireland (UK)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 from operating activities</t>
        </is>
      </c>
      <c r="B6" s="5" t="n">
        <v>730</v>
      </c>
      <c r="C6" s="5" t="n">
        <v>-888</v>
      </c>
      <c r="D6" s="5" t="n">
        <v>-14</v>
      </c>
      <c r="E6" s="5" t="n">
        <v>-1249</v>
      </c>
      <c r="F6" s="5" t="n">
        <v>-1155</v>
      </c>
      <c r="I6" t="inlineStr">
        <is>
          <t>Net cash flow from operating activities</t>
        </is>
      </c>
      <c r="J6" t="n">
        <v>-1155</v>
      </c>
      <c r="K6" t="n">
        <v>-1249</v>
      </c>
      <c r="L6" t="n">
        <v>-14</v>
      </c>
      <c r="M6" t="n">
        <v>-888</v>
      </c>
      <c r="N6" t="n">
        <v>730</v>
      </c>
      <c r="Q6" t="inlineStr">
        <is>
          <t>CET1 Ratio</t>
        </is>
      </c>
      <c r="R6" t="n">
        <v>17.2</v>
      </c>
      <c r="S6" t="n">
        <v>18.2</v>
      </c>
      <c r="T6" t="n">
        <v>17.8</v>
      </c>
      <c r="U6" t="n">
        <v>19.9</v>
      </c>
      <c r="V6" t="n">
        <v>19.6</v>
      </c>
    </row>
    <row r="7">
      <c r="A7" s="5" t="inlineStr">
        <is>
          <t>Cash flows from investing activities</t>
        </is>
      </c>
      <c r="B7" s="5" t="n">
        <v>-437</v>
      </c>
      <c r="C7" s="5" t="n">
        <v>659</v>
      </c>
      <c r="D7" s="5" t="n">
        <v>27</v>
      </c>
      <c r="E7" s="5" t="n">
        <v>196</v>
      </c>
      <c r="F7" s="5" t="n">
        <v>3013</v>
      </c>
      <c r="I7" t="inlineStr">
        <is>
          <t>Cash flows from investing activities</t>
        </is>
      </c>
      <c r="J7" t="n">
        <v>3013</v>
      </c>
      <c r="K7" t="n">
        <v>196</v>
      </c>
      <c r="L7" t="n">
        <v>27</v>
      </c>
      <c r="M7" t="n">
        <v>659</v>
      </c>
      <c r="N7" t="n">
        <v>-437</v>
      </c>
      <c r="Q7" t="inlineStr">
        <is>
          <t>Tier 1 Ratio</t>
        </is>
      </c>
      <c r="R7" t="n">
        <v>19</v>
      </c>
      <c r="S7" t="n">
        <v>20.1</v>
      </c>
      <c r="T7" t="n">
        <v>19.7</v>
      </c>
      <c r="U7" t="n">
        <v>21.9</v>
      </c>
      <c r="V7" t="n">
        <v>21.4</v>
      </c>
    </row>
    <row r="8">
      <c r="A8" s="5" t="inlineStr">
        <is>
          <t>Cash flows from financing activities</t>
        </is>
      </c>
      <c r="B8" s="5" t="n">
        <v>-38</v>
      </c>
      <c r="C8" s="5" t="n">
        <v>-43</v>
      </c>
      <c r="D8" s="5" t="n">
        <v>-297</v>
      </c>
      <c r="E8" s="5" t="n">
        <v>-277</v>
      </c>
      <c r="F8" s="5" t="n">
        <v>-546</v>
      </c>
      <c r="I8" t="inlineStr">
        <is>
          <t>Cash flows from financing activities</t>
        </is>
      </c>
      <c r="J8" t="n">
        <v>-546</v>
      </c>
      <c r="K8" t="n">
        <v>-277</v>
      </c>
      <c r="L8" t="n">
        <v>-297</v>
      </c>
      <c r="M8" t="n">
        <v>-43</v>
      </c>
      <c r="N8" t="n">
        <v>-38</v>
      </c>
      <c r="Q8" t="inlineStr">
        <is>
          <t>Total Capital Ratio</t>
        </is>
      </c>
      <c r="R8" t="n">
        <v>21.2</v>
      </c>
      <c r="S8" t="n">
        <v>22.5</v>
      </c>
      <c r="T8" t="n">
        <v>22.1</v>
      </c>
      <c r="U8" t="n">
        <v>24.3</v>
      </c>
      <c r="V8" t="n">
        <v>23.7</v>
      </c>
    </row>
    <row r="9">
      <c r="A9" s="5" t="inlineStr">
        <is>
          <t>Closing cash and cash equivalents</t>
        </is>
      </c>
      <c r="B9" s="5" t="n">
        <v>3370</v>
      </c>
      <c r="C9" s="5" t="n">
        <v>3115</v>
      </c>
      <c r="D9" s="5" t="n">
        <v>3387</v>
      </c>
      <c r="E9" s="5" t="n">
        <v>3671</v>
      </c>
      <c r="F9" s="5" t="n">
        <v>5001</v>
      </c>
      <c r="I9" t="inlineStr">
        <is>
          <t>Closing cash and cash equivalents</t>
        </is>
      </c>
      <c r="J9" t="n">
        <v>5001</v>
      </c>
      <c r="K9" t="n">
        <v>3671</v>
      </c>
      <c r="L9" t="n">
        <v>3387</v>
      </c>
      <c r="M9" t="n">
        <v>3115</v>
      </c>
      <c r="N9" t="n">
        <v>3370</v>
      </c>
      <c r="Q9" t="inlineStr">
        <is>
          <t>Leverage Ratio</t>
        </is>
      </c>
      <c r="R9" t="n">
        <v>7.2</v>
      </c>
      <c r="S9" t="n">
        <v>9.1</v>
      </c>
      <c r="T9" t="n">
        <v>9.300000000000001</v>
      </c>
      <c r="U9" t="n">
        <v>9.6</v>
      </c>
      <c r="V9" t="n">
        <v>9</v>
      </c>
    </row>
    <row r="10">
      <c r="Q10" t="inlineStr">
        <is>
          <t>LCR</t>
        </is>
      </c>
      <c r="R10" t="n">
        <v>268</v>
      </c>
      <c r="S10" t="n">
        <v>178</v>
      </c>
      <c r="T10" t="n">
        <v>168</v>
      </c>
      <c r="U10" t="n">
        <v>154</v>
      </c>
      <c r="V10" t="n">
        <v>161</v>
      </c>
    </row>
    <row r="11">
      <c r="A11" s="3" t="inlineStr">
        <is>
          <t>Pillar 3 Key Metrics</t>
        </is>
      </c>
      <c r="Q11" t="inlineStr">
        <is>
          <t>NSFR</t>
        </is>
      </c>
      <c r="R11" t="n">
        <v>139</v>
      </c>
      <c r="S11" t="n">
        <v>135</v>
      </c>
      <c r="T11" t="n">
        <v>135</v>
      </c>
      <c r="U11" t="n">
        <v>130</v>
      </c>
      <c r="V11" t="n">
        <v>135</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19.6%</t>
        </is>
      </c>
      <c r="C13" s="6" t="inlineStr">
        <is>
          <t>19.9%</t>
        </is>
      </c>
      <c r="D13" s="6" t="inlineStr">
        <is>
          <t>17.8%</t>
        </is>
      </c>
      <c r="E13" s="6" t="inlineStr">
        <is>
          <t>18.2%</t>
        </is>
      </c>
      <c r="F13" s="6" t="inlineStr">
        <is>
          <t>17.2%</t>
        </is>
      </c>
    </row>
    <row r="14">
      <c r="A14" s="6" t="inlineStr">
        <is>
          <t>Tier 1 Ratio</t>
        </is>
      </c>
      <c r="B14" s="6" t="inlineStr">
        <is>
          <t>21.4%</t>
        </is>
      </c>
      <c r="C14" s="6" t="inlineStr">
        <is>
          <t>21.9%</t>
        </is>
      </c>
      <c r="D14" s="6" t="inlineStr">
        <is>
          <t>19.7%</t>
        </is>
      </c>
      <c r="E14" s="6" t="inlineStr">
        <is>
          <t>20.1%</t>
        </is>
      </c>
      <c r="F14" s="6" t="inlineStr">
        <is>
          <t>19.0%</t>
        </is>
      </c>
    </row>
    <row r="15">
      <c r="A15" s="6" t="inlineStr">
        <is>
          <t>Total Capital Ratio</t>
        </is>
      </c>
      <c r="B15" s="6" t="inlineStr">
        <is>
          <t>23.7%</t>
        </is>
      </c>
      <c r="C15" s="6" t="inlineStr">
        <is>
          <t>24.3%</t>
        </is>
      </c>
      <c r="D15" s="6" t="inlineStr">
        <is>
          <t>22.1%</t>
        </is>
      </c>
      <c r="E15" s="6" t="inlineStr">
        <is>
          <t>22.5%</t>
        </is>
      </c>
      <c r="F15" s="6" t="inlineStr">
        <is>
          <t>21.2%</t>
        </is>
      </c>
    </row>
    <row r="16">
      <c r="A16" s="6" t="inlineStr">
        <is>
          <t>Leverage Ratio</t>
        </is>
      </c>
      <c r="B16" s="6" t="inlineStr">
        <is>
          <t>9.0%</t>
        </is>
      </c>
      <c r="C16" s="6" t="inlineStr">
        <is>
          <t>9.6%</t>
        </is>
      </c>
      <c r="D16" s="6" t="inlineStr">
        <is>
          <t>9.3%</t>
        </is>
      </c>
      <c r="E16" s="6" t="inlineStr">
        <is>
          <t>9.1%</t>
        </is>
      </c>
      <c r="F16" s="6" t="inlineStr">
        <is>
          <t>7.2%</t>
        </is>
      </c>
    </row>
    <row r="17">
      <c r="A17" s="6" t="inlineStr">
        <is>
          <t>LCR</t>
        </is>
      </c>
      <c r="B17" s="6" t="inlineStr">
        <is>
          <t>161%</t>
        </is>
      </c>
      <c r="C17" s="6" t="inlineStr">
        <is>
          <t>154%</t>
        </is>
      </c>
      <c r="D17" s="6" t="inlineStr">
        <is>
          <t>168%</t>
        </is>
      </c>
      <c r="E17" s="6" t="inlineStr">
        <is>
          <t>178%</t>
        </is>
      </c>
      <c r="F17" s="6" t="inlineStr">
        <is>
          <t>268%</t>
        </is>
      </c>
    </row>
    <row r="18">
      <c r="A18" s="6" t="inlineStr">
        <is>
          <t>NSFR</t>
        </is>
      </c>
      <c r="B18" s="6" t="inlineStr">
        <is>
          <t>135%</t>
        </is>
      </c>
      <c r="C18" s="6" t="inlineStr">
        <is>
          <t>130%</t>
        </is>
      </c>
      <c r="D18" s="6" t="inlineStr">
        <is>
          <t>135%</t>
        </is>
      </c>
      <c r="E18" s="6" t="inlineStr">
        <is>
          <t>135%</t>
        </is>
      </c>
      <c r="F18" s="6" t="inlineStr">
        <is>
          <t>139%</t>
        </is>
      </c>
    </row>
    <row r="20" ht="45" customHeight="1">
      <c r="A2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Profit/(loss) before taxation</t>
        </is>
      </c>
      <c r="B5" s="6" t="n">
        <v>-12</v>
      </c>
      <c r="C5" s="6" t="n">
        <v>181</v>
      </c>
      <c r="D5" s="6" t="n">
        <v>331</v>
      </c>
      <c r="E5" s="6" t="n">
        <v>251</v>
      </c>
      <c r="F5" s="6" t="n">
        <v>410</v>
      </c>
    </row>
    <row r="6">
      <c r="A6" s="6" t="inlineStr">
        <is>
          <t>Interest expense on subordinated liabilities and other capital instruments</t>
        </is>
      </c>
      <c r="B6" s="6" t="n">
        <v>28</v>
      </c>
      <c r="C6" s="6" t="n">
        <v>31</v>
      </c>
      <c r="D6" s="6" t="n">
        <v>34</v>
      </c>
      <c r="E6" s="6" t="n">
        <v>14</v>
      </c>
      <c r="F6" s="6" t="n">
        <v>17</v>
      </c>
    </row>
    <row r="7">
      <c r="A7" s="6" t="inlineStr">
        <is>
          <t>Interest expense on lease liabilities</t>
        </is>
      </c>
      <c r="B7" s="6" t="n">
        <v>1</v>
      </c>
      <c r="C7" s="6" t="n">
        <v>1</v>
      </c>
      <c r="D7" s="6" t="n">
        <v>1</v>
      </c>
      <c r="E7" s="6" t="n">
        <v>1</v>
      </c>
      <c r="F7" s="6" t="n"/>
    </row>
    <row r="8">
      <c r="A8" s="6" t="inlineStr">
        <is>
          <t>Depreciation and amortisation</t>
        </is>
      </c>
      <c r="B8" s="6" t="n">
        <v>48</v>
      </c>
      <c r="C8" s="6" t="n">
        <v>46</v>
      </c>
      <c r="D8" s="6" t="n">
        <v>34</v>
      </c>
      <c r="E8" s="6" t="n">
        <v>27</v>
      </c>
      <c r="F8" s="6" t="n">
        <v>31</v>
      </c>
    </row>
    <row r="9">
      <c r="A9" s="6" t="inlineStr">
        <is>
          <t>Net impairment losses/(gains) on financial instruments</t>
        </is>
      </c>
      <c r="B9" s="6" t="n">
        <v>25</v>
      </c>
      <c r="C9" s="6" t="n">
        <v>-8</v>
      </c>
      <c r="D9" s="6" t="n">
        <v>43</v>
      </c>
      <c r="E9" s="6" t="n">
        <v>64</v>
      </c>
      <c r="F9" s="6" t="n">
        <v>-54</v>
      </c>
    </row>
    <row r="10">
      <c r="A10" s="6" t="inlineStr">
        <is>
          <t>Profit on sale of financial assets</t>
        </is>
      </c>
      <c r="B10" s="6" t="n"/>
      <c r="C10" s="6" t="n">
        <v>-33</v>
      </c>
      <c r="D10" s="6" t="n"/>
      <c r="E10" s="6" t="n"/>
      <c r="F10" s="6" t="n"/>
    </row>
    <row r="11">
      <c r="A11" s="6" t="inlineStr">
        <is>
          <t>(Gain)/loss on disposal of financial assets</t>
        </is>
      </c>
      <c r="B11" s="6" t="n"/>
      <c r="C11" s="6" t="n"/>
      <c r="D11" s="6" t="n"/>
      <c r="E11" s="6" t="n"/>
      <c r="F11" s="6" t="n">
        <v>-94</v>
      </c>
    </row>
    <row r="12">
      <c r="A12" s="6" t="inlineStr">
        <is>
          <t>(Gain)/loss on disposal of business activities</t>
        </is>
      </c>
      <c r="B12" s="6" t="n"/>
      <c r="C12" s="6" t="n"/>
      <c r="D12" s="6" t="n"/>
      <c r="E12" s="6" t="n"/>
      <c r="F12" s="6" t="n">
        <v>-1</v>
      </c>
    </row>
    <row r="13">
      <c r="A13" s="6" t="inlineStr">
        <is>
          <t>(Gain)/loss on sale of property, plant, equipment</t>
        </is>
      </c>
      <c r="B13" s="6" t="n"/>
      <c r="C13" s="6" t="n"/>
      <c r="D13" s="6" t="n"/>
      <c r="E13" s="6" t="n">
        <v>-1</v>
      </c>
      <c r="F13" s="6" t="n"/>
    </row>
    <row r="14">
      <c r="A14" s="6" t="inlineStr">
        <is>
          <t>Share of results of joint venture</t>
        </is>
      </c>
      <c r="B14" s="6" t="n">
        <v>-22</v>
      </c>
      <c r="C14" s="6" t="n">
        <v>-24</v>
      </c>
      <c r="D14" s="6" t="n">
        <v>-25</v>
      </c>
      <c r="E14" s="6" t="n">
        <v>-28</v>
      </c>
      <c r="F14" s="6" t="n">
        <v>2</v>
      </c>
    </row>
    <row r="15">
      <c r="A15" s="6" t="inlineStr">
        <is>
          <t>Net change in prepayments and interest receivable</t>
        </is>
      </c>
      <c r="B15" s="6" t="n">
        <v>-5</v>
      </c>
      <c r="C15" s="6" t="n">
        <v>9</v>
      </c>
      <c r="D15" s="6" t="n"/>
      <c r="E15" s="6" t="n">
        <v>-4</v>
      </c>
      <c r="F15" s="6" t="n">
        <v>10</v>
      </c>
    </row>
    <row r="16">
      <c r="A16" s="6" t="inlineStr">
        <is>
          <t>Net change in accruals and interest payable</t>
        </is>
      </c>
      <c r="B16" s="6" t="n">
        <v>-9</v>
      </c>
      <c r="C16" s="6" t="n">
        <v>8</v>
      </c>
      <c r="D16" s="6" t="n">
        <v>94</v>
      </c>
      <c r="E16" s="6" t="n">
        <v>36</v>
      </c>
      <c r="F16" s="6" t="n">
        <v>-28</v>
      </c>
    </row>
    <row r="17">
      <c r="A17" s="6" t="inlineStr">
        <is>
          <t>Charge for provisions</t>
        </is>
      </c>
      <c r="B17" s="6" t="n">
        <v>236</v>
      </c>
      <c r="C17" s="6" t="n">
        <v>148</v>
      </c>
      <c r="D17" s="6" t="n">
        <v>3</v>
      </c>
      <c r="E17" s="6" t="n">
        <v>2</v>
      </c>
      <c r="F17" s="6" t="n">
        <v>13</v>
      </c>
    </row>
    <row r="18">
      <c r="A18" s="6" t="inlineStr">
        <is>
          <t>Other non-cash items</t>
        </is>
      </c>
      <c r="B18" s="6" t="n">
        <v>-18</v>
      </c>
      <c r="C18" s="6" t="n">
        <v>-98</v>
      </c>
      <c r="D18" s="6" t="n">
        <v>-127</v>
      </c>
      <c r="E18" s="6" t="n">
        <v>-45</v>
      </c>
      <c r="F18" s="6" t="n">
        <v>7</v>
      </c>
    </row>
    <row r="19">
      <c r="A19" s="5" t="inlineStr">
        <is>
          <t>Cash flows from operating activities before changes in operating assets and liabilities</t>
        </is>
      </c>
      <c r="B19" s="5" t="n">
        <v>272</v>
      </c>
      <c r="C19" s="5" t="n">
        <v>261</v>
      </c>
      <c r="D19" s="5" t="n">
        <v>388</v>
      </c>
      <c r="E19" s="5" t="n">
        <v>317</v>
      </c>
      <c r="F19" s="5" t="n">
        <v>313</v>
      </c>
    </row>
    <row r="20">
      <c r="A20" s="6" t="inlineStr">
        <is>
          <t>Net change in items in the course of collection to/from banks</t>
        </is>
      </c>
      <c r="B20" s="6" t="n">
        <v>35</v>
      </c>
      <c r="C20" s="6" t="n">
        <v>-19</v>
      </c>
      <c r="D20" s="6" t="n">
        <v>31</v>
      </c>
      <c r="E20" s="6" t="n">
        <v>24</v>
      </c>
      <c r="F20" s="6" t="n">
        <v>5</v>
      </c>
    </row>
    <row r="21">
      <c r="A21" s="6" t="inlineStr">
        <is>
          <t>Net change in derivative financial instruments</t>
        </is>
      </c>
      <c r="B21" s="6" t="n">
        <v>26</v>
      </c>
      <c r="C21" s="6" t="n">
        <v>97</v>
      </c>
      <c r="D21" s="6" t="n">
        <v>97</v>
      </c>
      <c r="E21" s="6" t="n">
        <v>30</v>
      </c>
      <c r="F21" s="6" t="n">
        <v>-9</v>
      </c>
    </row>
    <row r="22">
      <c r="A22" s="6" t="inlineStr">
        <is>
          <t>Net change in loans and advances to banks</t>
        </is>
      </c>
      <c r="B22" s="6" t="n">
        <v>32</v>
      </c>
      <c r="C22" s="6" t="n">
        <v>-51</v>
      </c>
      <c r="D22" s="6" t="n">
        <v>-45</v>
      </c>
      <c r="E22" s="6" t="n"/>
      <c r="F22" s="6" t="n">
        <v>4</v>
      </c>
    </row>
    <row r="23">
      <c r="A23" s="6" t="inlineStr">
        <is>
          <t>Net change in fair value changes due to interest rate risk of hedged items in portfolio hedges</t>
        </is>
      </c>
      <c r="B23" s="6" t="n"/>
      <c r="C23" s="6" t="n"/>
      <c r="D23" s="6" t="n">
        <v>-146</v>
      </c>
      <c r="E23" s="6" t="n"/>
      <c r="F23" s="6" t="n"/>
    </row>
    <row r="24">
      <c r="A24" s="6" t="inlineStr">
        <is>
          <t>Net change in loans and advances to customers</t>
        </is>
      </c>
      <c r="B24" s="6" t="n">
        <v>-536</v>
      </c>
      <c r="C24" s="6" t="n">
        <v>-671</v>
      </c>
      <c r="D24" s="6" t="n">
        <v>101</v>
      </c>
      <c r="E24" s="6" t="n">
        <v>2316</v>
      </c>
      <c r="F24" s="6" t="n">
        <v>2051</v>
      </c>
    </row>
    <row r="25">
      <c r="A25" s="6" t="inlineStr">
        <is>
          <t>Net change in deposits from banks</t>
        </is>
      </c>
      <c r="B25" s="6" t="n">
        <v>265</v>
      </c>
      <c r="C25" s="6" t="n">
        <v>-815</v>
      </c>
      <c r="D25" s="6" t="n">
        <v>130</v>
      </c>
      <c r="E25" s="6" t="n">
        <v>-292</v>
      </c>
      <c r="F25" s="6" t="n">
        <v>-803</v>
      </c>
    </row>
    <row r="26">
      <c r="A26" s="6" t="inlineStr">
        <is>
          <t>Net change in customer accounts</t>
        </is>
      </c>
      <c r="B26" s="6" t="n">
        <v>542</v>
      </c>
      <c r="C26" s="6" t="n">
        <v>408</v>
      </c>
      <c r="D26" s="6" t="n">
        <v>-537</v>
      </c>
      <c r="E26" s="6" t="n">
        <v>-3532</v>
      </c>
      <c r="F26" s="6" t="n">
        <v>-2495</v>
      </c>
    </row>
    <row r="27">
      <c r="A27" s="6" t="inlineStr">
        <is>
          <t>Net change in debt securities in issue</t>
        </is>
      </c>
      <c r="B27" s="6" t="n">
        <v>229</v>
      </c>
      <c r="C27" s="6" t="n">
        <v>-35</v>
      </c>
      <c r="D27" s="6" t="n">
        <v>170</v>
      </c>
      <c r="E27" s="6" t="n">
        <v>-69</v>
      </c>
      <c r="F27" s="6" t="n">
        <v>-63</v>
      </c>
    </row>
    <row r="28">
      <c r="A28" s="6" t="inlineStr">
        <is>
          <t>Net change in provisions</t>
        </is>
      </c>
      <c r="B28" s="6" t="n">
        <v>-18</v>
      </c>
      <c r="C28" s="6" t="n">
        <v>-8</v>
      </c>
      <c r="D28" s="6" t="n">
        <v>-4</v>
      </c>
      <c r="E28" s="6" t="n">
        <v>-7</v>
      </c>
      <c r="F28" s="6" t="n">
        <v>-14</v>
      </c>
    </row>
    <row r="29">
      <c r="A29" s="6" t="inlineStr">
        <is>
          <t>Net change in retirement benefit obligation</t>
        </is>
      </c>
      <c r="B29" s="6" t="n">
        <v>-1</v>
      </c>
      <c r="C29" s="6" t="n">
        <v>-1</v>
      </c>
      <c r="D29" s="6" t="n"/>
      <c r="E29" s="6" t="n">
        <v>-1</v>
      </c>
      <c r="F29" s="6" t="n">
        <v>-1</v>
      </c>
    </row>
    <row r="30">
      <c r="A30" s="6" t="inlineStr">
        <is>
          <t>Net change in other assets and other liabilities</t>
        </is>
      </c>
      <c r="B30" s="6" t="n">
        <v>-65</v>
      </c>
      <c r="C30" s="6" t="n">
        <v>-7</v>
      </c>
      <c r="D30" s="6" t="n">
        <v>-143</v>
      </c>
      <c r="E30" s="6" t="n">
        <v>-14</v>
      </c>
      <c r="F30" s="6" t="n">
        <v>-90</v>
      </c>
    </row>
    <row r="31">
      <c r="A31" s="5" t="inlineStr">
        <is>
          <t>Net cash flow from operating assets and liabilities</t>
        </is>
      </c>
      <c r="B31" s="5" t="n">
        <v>509</v>
      </c>
      <c r="C31" s="5" t="n">
        <v>-1102</v>
      </c>
      <c r="D31" s="5" t="n">
        <v>-346</v>
      </c>
      <c r="E31" s="5" t="n">
        <v>-1545</v>
      </c>
      <c r="F31" s="5" t="n">
        <v>-1415</v>
      </c>
    </row>
    <row r="32">
      <c r="A32" s="5" t="inlineStr">
        <is>
          <t>Net cash flow from operating activities before taxation</t>
        </is>
      </c>
      <c r="B32" s="5" t="n">
        <v>781</v>
      </c>
      <c r="C32" s="5" t="n">
        <v>-841</v>
      </c>
      <c r="D32" s="5" t="n">
        <v>42</v>
      </c>
      <c r="E32" s="5" t="n">
        <v>-1228</v>
      </c>
      <c r="F32" s="5" t="n">
        <v>-1102</v>
      </c>
    </row>
    <row r="33">
      <c r="A33" s="6" t="inlineStr">
        <is>
          <t>Taxation paid</t>
        </is>
      </c>
      <c r="B33" s="6" t="n">
        <v>-51</v>
      </c>
      <c r="C33" s="6" t="n">
        <v>-47</v>
      </c>
      <c r="D33" s="6" t="n">
        <v>-56</v>
      </c>
      <c r="E33" s="6" t="n">
        <v>-21</v>
      </c>
      <c r="F33" s="6" t="n">
        <v>-53</v>
      </c>
    </row>
    <row r="34">
      <c r="A34" s="5" t="inlineStr">
        <is>
          <t>Net cash flow from operating activities</t>
        </is>
      </c>
      <c r="B34" s="5" t="n">
        <v>730</v>
      </c>
      <c r="C34" s="5" t="n">
        <v>-888</v>
      </c>
      <c r="D34" s="5" t="n">
        <v>-14</v>
      </c>
      <c r="E34" s="5" t="n">
        <v>-1249</v>
      </c>
      <c r="F34" s="5" t="n">
        <v>-1155</v>
      </c>
    </row>
    <row r="35">
      <c r="A35" s="5" t="inlineStr">
        <is>
          <t>Investing activities</t>
        </is>
      </c>
      <c r="B35" s="6" t="n"/>
      <c r="C35" s="6" t="n"/>
      <c r="D35" s="6" t="n"/>
      <c r="E35" s="6" t="n"/>
      <c r="F35" s="6" t="n"/>
    </row>
    <row r="36">
      <c r="A36" s="6" t="inlineStr">
        <is>
          <t>Proceeds from sale of financial assets</t>
        </is>
      </c>
      <c r="B36" s="6" t="n"/>
      <c r="C36" s="6" t="n">
        <v>680</v>
      </c>
      <c r="D36" s="6" t="n"/>
      <c r="E36" s="6" t="n"/>
      <c r="F36" s="6" t="n">
        <v>2942</v>
      </c>
    </row>
    <row r="37">
      <c r="A37" s="6" t="inlineStr">
        <is>
          <t>Disposal of business activities</t>
        </is>
      </c>
      <c r="B37" s="6" t="n"/>
      <c r="C37" s="6" t="n"/>
      <c r="D37" s="6" t="n"/>
      <c r="E37" s="6" t="n"/>
      <c r="F37" s="6" t="n"/>
    </row>
    <row r="38">
      <c r="A38" s="6" t="inlineStr">
        <is>
          <t>Additions to debt securities at amortised cost</t>
        </is>
      </c>
      <c r="B38" s="6" t="n">
        <v>-461</v>
      </c>
      <c r="C38" s="6" t="n">
        <v>-77</v>
      </c>
      <c r="D38" s="6" t="n">
        <v>-145</v>
      </c>
      <c r="E38" s="6" t="n">
        <v>-26</v>
      </c>
      <c r="F38" s="6" t="n">
        <v>-252</v>
      </c>
    </row>
    <row r="39">
      <c r="A39" s="6" t="inlineStr">
        <is>
          <t>Disposal/redemption of debt securities at amortised cost</t>
        </is>
      </c>
      <c r="B39" s="6" t="n">
        <v>69</v>
      </c>
      <c r="C39" s="6" t="n">
        <v>90</v>
      </c>
      <c r="D39" s="6" t="n">
        <v>196</v>
      </c>
      <c r="E39" s="6" t="n">
        <v>266</v>
      </c>
      <c r="F39" s="6" t="n">
        <v>359</v>
      </c>
    </row>
    <row r="40">
      <c r="A40" s="6" t="inlineStr">
        <is>
          <t>Dividends received from joint venture</t>
        </is>
      </c>
      <c r="B40" s="6" t="n">
        <v>23</v>
      </c>
      <c r="C40" s="6" t="n">
        <v>30</v>
      </c>
      <c r="D40" s="6" t="n">
        <v>29</v>
      </c>
      <c r="E40" s="6" t="n">
        <v>3</v>
      </c>
      <c r="F40" s="6" t="n"/>
    </row>
    <row r="41">
      <c r="A41" s="6" t="inlineStr">
        <is>
          <t>Additions to intangible assets</t>
        </is>
      </c>
      <c r="B41" s="6" t="n"/>
      <c r="C41" s="6" t="n"/>
      <c r="D41" s="6" t="n"/>
      <c r="E41" s="6" t="n"/>
      <c r="F41" s="6" t="n"/>
    </row>
    <row r="42">
      <c r="A42" s="6" t="inlineStr">
        <is>
          <t>Additions to property, plant and equipment</t>
        </is>
      </c>
      <c r="B42" s="6" t="n">
        <v>-105</v>
      </c>
      <c r="C42" s="6" t="n">
        <v>-97</v>
      </c>
      <c r="D42" s="6" t="n">
        <v>-82</v>
      </c>
      <c r="E42" s="6" t="n">
        <v>-70</v>
      </c>
      <c r="F42" s="6" t="n">
        <v>-54</v>
      </c>
    </row>
    <row r="43">
      <c r="A43" s="6" t="inlineStr">
        <is>
          <t>Disposal of property, plant and equipment</t>
        </is>
      </c>
      <c r="B43" s="6" t="n">
        <v>37</v>
      </c>
      <c r="C43" s="6" t="n">
        <v>33</v>
      </c>
      <c r="D43" s="6" t="n">
        <v>29</v>
      </c>
      <c r="E43" s="6" t="n">
        <v>23</v>
      </c>
      <c r="F43" s="6" t="n">
        <v>18</v>
      </c>
    </row>
    <row r="44">
      <c r="A44" s="5" t="inlineStr">
        <is>
          <t>Cash flows from investing activities</t>
        </is>
      </c>
      <c r="B44" s="5" t="n">
        <v>-437</v>
      </c>
      <c r="C44" s="5" t="n">
        <v>659</v>
      </c>
      <c r="D44" s="5" t="n">
        <v>27</v>
      </c>
      <c r="E44" s="5" t="n">
        <v>196</v>
      </c>
      <c r="F44" s="5" t="n">
        <v>3013</v>
      </c>
    </row>
    <row r="45">
      <c r="A45" s="5" t="inlineStr">
        <is>
          <t>Financing activities</t>
        </is>
      </c>
      <c r="B45" s="6" t="n"/>
      <c r="C45" s="6" t="n"/>
      <c r="D45" s="6" t="n"/>
      <c r="E45" s="6" t="n"/>
      <c r="F45" s="6" t="n"/>
    </row>
    <row r="46">
      <c r="A46" s="6" t="inlineStr">
        <is>
          <t>Share repurchase</t>
        </is>
      </c>
      <c r="B46" s="6" t="n"/>
      <c r="C46" s="6" t="n"/>
      <c r="D46" s="6" t="n"/>
      <c r="E46" s="6" t="n"/>
      <c r="F46" s="6" t="n">
        <v>-250</v>
      </c>
    </row>
    <row r="47">
      <c r="A47" s="6" t="inlineStr">
        <is>
          <t>Dividend paid on ordinary shares</t>
        </is>
      </c>
      <c r="B47" s="6" t="n"/>
      <c r="C47" s="6" t="n"/>
      <c r="D47" s="6" t="n">
        <v>-250</v>
      </c>
      <c r="E47" s="6" t="n">
        <v>-250</v>
      </c>
      <c r="F47" s="6" t="n"/>
    </row>
    <row r="48">
      <c r="A48" s="6" t="inlineStr">
        <is>
          <t>Proceeds from issue of AT1</t>
        </is>
      </c>
      <c r="B48" s="6" t="n"/>
      <c r="C48" s="6" t="n"/>
      <c r="D48" s="6" t="n"/>
      <c r="E48" s="6" t="n"/>
      <c r="F48" s="6" t="n">
        <v>150</v>
      </c>
    </row>
    <row r="49">
      <c r="A49" s="6" t="inlineStr">
        <is>
          <t>Redemption of AT1</t>
        </is>
      </c>
      <c r="B49" s="6" t="n"/>
      <c r="C49" s="6" t="n"/>
      <c r="D49" s="6" t="n"/>
      <c r="E49" s="6" t="n"/>
      <c r="F49" s="6" t="n">
        <v>-300</v>
      </c>
    </row>
    <row r="50">
      <c r="A50" s="6" t="inlineStr">
        <is>
          <t>Additional tier 1 coupon paid</t>
        </is>
      </c>
      <c r="B50" s="6" t="n">
        <v>-9</v>
      </c>
      <c r="C50" s="6" t="n">
        <v>-9</v>
      </c>
      <c r="D50" s="6" t="n">
        <v>-9</v>
      </c>
      <c r="E50" s="6" t="n">
        <v>-9</v>
      </c>
      <c r="F50" s="6" t="n">
        <v>-25</v>
      </c>
    </row>
    <row r="51">
      <c r="A51" s="6" t="inlineStr">
        <is>
          <t>Redemption of subordinated liabilities</t>
        </is>
      </c>
      <c r="B51" s="6" t="n"/>
      <c r="C51" s="6" t="n"/>
      <c r="D51" s="6" t="n"/>
      <c r="E51" s="6" t="n">
        <v>-90</v>
      </c>
      <c r="F51" s="6" t="n">
        <v>-200</v>
      </c>
    </row>
    <row r="52">
      <c r="A52" s="6" t="inlineStr">
        <is>
          <t>Proceeds from issue of subordinated liabilities</t>
        </is>
      </c>
      <c r="B52" s="6" t="n"/>
      <c r="C52" s="6" t="n"/>
      <c r="D52" s="6" t="n"/>
      <c r="E52" s="6" t="n">
        <v>90</v>
      </c>
      <c r="F52" s="6" t="n">
        <v>100</v>
      </c>
    </row>
    <row r="53">
      <c r="A53" s="6" t="inlineStr">
        <is>
          <t>Interest paid on subordinated liabilities</t>
        </is>
      </c>
      <c r="B53" s="6" t="n">
        <v>-28</v>
      </c>
      <c r="C53" s="6" t="n">
        <v>-31</v>
      </c>
      <c r="D53" s="6" t="n">
        <v>-34</v>
      </c>
      <c r="E53" s="6" t="n">
        <v>-14</v>
      </c>
      <c r="F53" s="6" t="n">
        <v>-17</v>
      </c>
    </row>
    <row r="54">
      <c r="A54" s="6" t="inlineStr">
        <is>
          <t>Payment of lease liability</t>
        </is>
      </c>
      <c r="B54" s="6" t="n">
        <v>-1</v>
      </c>
      <c r="C54" s="6" t="n">
        <v>-3</v>
      </c>
      <c r="D54" s="6" t="n">
        <v>-4</v>
      </c>
      <c r="E54" s="6" t="n">
        <v>-4</v>
      </c>
      <c r="F54" s="6" t="n">
        <v>-4</v>
      </c>
    </row>
    <row r="55">
      <c r="A55" s="5" t="inlineStr">
        <is>
          <t>Cash flows from financing activities</t>
        </is>
      </c>
      <c r="B55" s="5" t="n">
        <v>-38</v>
      </c>
      <c r="C55" s="5" t="n">
        <v>-43</v>
      </c>
      <c r="D55" s="5" t="n">
        <v>-297</v>
      </c>
      <c r="E55" s="5" t="n">
        <v>-277</v>
      </c>
      <c r="F55" s="5" t="n">
        <v>-546</v>
      </c>
    </row>
    <row r="56">
      <c r="A56" s="5" t="inlineStr">
        <is>
          <t>Net change in cash and cash equivalents</t>
        </is>
      </c>
      <c r="B56" s="5" t="n">
        <v>255</v>
      </c>
      <c r="C56" s="5" t="n">
        <v>-272</v>
      </c>
      <c r="D56" s="5" t="n">
        <v>-284</v>
      </c>
      <c r="E56" s="5" t="n">
        <v>-1330</v>
      </c>
      <c r="F56" s="5" t="n">
        <v>1312</v>
      </c>
    </row>
    <row r="57">
      <c r="A57" s="6" t="inlineStr">
        <is>
          <t>Opening cash and cash equivalents</t>
        </is>
      </c>
      <c r="B57" s="6" t="n">
        <v>3115</v>
      </c>
      <c r="C57" s="6" t="n">
        <v>3387</v>
      </c>
      <c r="D57" s="6" t="n">
        <v>3671</v>
      </c>
      <c r="E57" s="6" t="n">
        <v>5001</v>
      </c>
      <c r="F57" s="6" t="n">
        <v>3689</v>
      </c>
    </row>
    <row r="58">
      <c r="A58" s="5" t="inlineStr">
        <is>
          <t>Closing cash and cash equivalents</t>
        </is>
      </c>
      <c r="B58" s="5" t="n">
        <v>3370</v>
      </c>
      <c r="C58" s="5" t="n">
        <v>3115</v>
      </c>
      <c r="D58" s="5" t="n">
        <v>3387</v>
      </c>
      <c r="E58" s="5" t="n">
        <v>3671</v>
      </c>
      <c r="F58" s="5" t="n">
        <v>5001</v>
      </c>
    </row>
    <row r="60" ht="260" customHeight="1">
      <c r="A60"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5 years.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60:F6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1601</v>
      </c>
      <c r="C4" s="6" t="n">
        <v>1548</v>
      </c>
      <c r="D4" s="6" t="n">
        <v>1412</v>
      </c>
      <c r="E4" s="6" t="n">
        <v>1394</v>
      </c>
      <c r="F4" s="6" t="n">
        <v>1497</v>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(fully loaded)</t>
        </is>
      </c>
      <c r="B4" s="6" t="inlineStr">
        <is>
          <t>19.6%</t>
        </is>
      </c>
      <c r="C4" s="6" t="inlineStr">
        <is>
          <t>19.9%</t>
        </is>
      </c>
      <c r="D4" s="6" t="inlineStr">
        <is>
          <t>17.8%</t>
        </is>
      </c>
      <c r="E4" s="6" t="inlineStr">
        <is>
          <t>18.2%</t>
        </is>
      </c>
      <c r="F4" s="6" t="inlineStr">
        <is>
          <t>17.2%</t>
        </is>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1751</v>
      </c>
      <c r="C4" s="6" t="n">
        <v>1698</v>
      </c>
      <c r="D4" s="6" t="n">
        <v>1562</v>
      </c>
      <c r="E4" s="6" t="n">
        <v>1544</v>
      </c>
      <c r="F4" s="6" t="n">
        <v>1647</v>
      </c>
    </row>
    <row r="5" ht="60" customHeight="1">
      <c r="A5" s="7" t="inlineStr">
        <is>
          <t>Note: Tier 1 ratio (see Tier 1 Ratio sheet) is calculated from this figure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(fully loaded; calculated as Tier 1 capital / RWA)</t>
        </is>
      </c>
      <c r="B4" s="6" t="inlineStr">
        <is>
          <t>21.4%</t>
        </is>
      </c>
      <c r="C4" s="6" t="inlineStr">
        <is>
          <t>21.9%</t>
        </is>
      </c>
      <c r="D4" s="6" t="inlineStr">
        <is>
          <t>19.7%</t>
        </is>
      </c>
      <c r="E4" s="6" t="inlineStr">
        <is>
          <t>20.1%</t>
        </is>
      </c>
      <c r="F4" s="6" t="inlineStr">
        <is>
          <t>19.0%</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1941</v>
      </c>
      <c r="C4" s="6" t="n">
        <v>1888</v>
      </c>
      <c r="D4" s="6" t="n">
        <v>1752</v>
      </c>
      <c r="E4" s="6" t="n">
        <v>1734</v>
      </c>
      <c r="F4" s="6" t="n">
        <v>1837</v>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(fully loaded)</t>
        </is>
      </c>
      <c r="B4" s="6" t="inlineStr">
        <is>
          <t>23.7%</t>
        </is>
      </c>
      <c r="C4" s="6" t="inlineStr">
        <is>
          <t>24.3%</t>
        </is>
      </c>
      <c r="D4" s="6" t="inlineStr">
        <is>
          <t>22.1%</t>
        </is>
      </c>
      <c r="E4" s="6" t="inlineStr">
        <is>
          <t>22.5%</t>
        </is>
      </c>
      <c r="F4" s="6" t="inlineStr">
        <is>
          <t>21.2%</t>
        </is>
      </c>
    </row>
    <row r="5" ht="60" customHeight="1">
      <c r="A5" s="7" t="inlineStr">
        <is>
          <t>Note: Explicitly stated on a fully loaded basis for FY2024/FY2025 only; FY2021-FY2023 are calculated as Total capital / RWA (both disclosed fully-loaded figures) since only a regulatory-basis ratio was stated as a headline figure those years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8180</v>
      </c>
      <c r="C4" s="6" t="n">
        <v>7767</v>
      </c>
      <c r="D4" s="6" t="n">
        <v>7939</v>
      </c>
      <c r="E4" s="6" t="n">
        <v>7699</v>
      </c>
      <c r="F4" s="6" t="n">
        <v>8686</v>
      </c>
    </row>
    <row r="6" ht="140" customHeight="1">
      <c r="A6"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leverage ratio exposures</t>
        </is>
      </c>
      <c r="B4" s="6" t="n">
        <v>19437</v>
      </c>
      <c r="C4" s="6" t="n">
        <v>17664</v>
      </c>
      <c r="D4" s="6" t="n">
        <v>16678</v>
      </c>
      <c r="E4" s="6" t="n">
        <v>16948</v>
      </c>
      <c r="F4" s="6" t="n">
        <v>22879</v>
      </c>
    </row>
    <row r="5">
      <c r="A5" s="6" t="inlineStr">
        <is>
          <t>Leverage ratio (fully loaded)</t>
        </is>
      </c>
      <c r="B5" s="6" t="inlineStr">
        <is>
          <t>9.0%</t>
        </is>
      </c>
      <c r="C5" s="6" t="inlineStr">
        <is>
          <t>9.6%</t>
        </is>
      </c>
      <c r="D5" s="6" t="inlineStr">
        <is>
          <t>9.3%</t>
        </is>
      </c>
      <c r="E5" s="6" t="inlineStr">
        <is>
          <t>9.1%</t>
        </is>
      </c>
      <c r="F5" s="6" t="inlineStr">
        <is>
          <t>7.2%</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161%</t>
        </is>
      </c>
      <c r="C4" s="6" t="inlineStr">
        <is>
          <t>154%</t>
        </is>
      </c>
      <c r="D4" s="6" t="inlineStr">
        <is>
          <t>168%</t>
        </is>
      </c>
      <c r="E4" s="6" t="inlineStr">
        <is>
          <t>178%</t>
        </is>
      </c>
      <c r="F4" s="6" t="inlineStr">
        <is>
          <t>268%</t>
        </is>
      </c>
    </row>
    <row r="5" ht="60" customHeight="1">
      <c r="A5" s="7" t="inlineStr">
        <is>
          <t>Note: Only the headline LCR percentage is disclosed in the Annual Report's Funding and liquidity risk section; the underlying £m components (HQLA, net cash outflows) are not published for FY2021-FY2025, since a formal Pillar 3 KM1-style template has not been published at this UK-entity level since FY2020.</t>
        </is>
      </c>
    </row>
    <row r="7" ht="140" customHeight="1">
      <c r="A7" s="8" t="inlineStr">
        <is>
          <t>Sources - Bank of Ireland (UK) Plc consolidated Group basis, from the Risk Management Report / Financial Review ('2.2 Funding and liquidity risk' / '3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135%</t>
        </is>
      </c>
      <c r="C4" s="6" t="inlineStr">
        <is>
          <t>130%</t>
        </is>
      </c>
      <c r="D4" s="6" t="inlineStr">
        <is>
          <t>135%</t>
        </is>
      </c>
      <c r="E4" s="6" t="inlineStr">
        <is>
          <t>135%</t>
        </is>
      </c>
      <c r="F4" s="6" t="inlineStr">
        <is>
          <t>139%</t>
        </is>
      </c>
    </row>
    <row r="5" ht="60" customHeight="1">
      <c r="A5" s="7" t="inlineStr">
        <is>
          <t>Note: Only the headline NSFR percentage is disclosed; the underlying £m components (available/required stable funding) are not published for FY2021-FY2025 - see the LCR sheet's note.</t>
        </is>
      </c>
    </row>
    <row r="7" ht="140" customHeight="1">
      <c r="A7" s="8" t="inlineStr">
        <is>
          <t>Sources - Bank of Ireland (UK) Plc consolidated Group basis, from the Risk Management Report / Financial Review ('2.2 Funding and liquidity risk' / '3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26.2%</t>
        </is>
      </c>
      <c r="C4" s="6" t="inlineStr">
        <is>
          <t>26.9%</t>
        </is>
      </c>
      <c r="D4" s="6" t="inlineStr">
        <is>
          <t>24.6%</t>
        </is>
      </c>
      <c r="E4" s="6" t="inlineStr">
        <is>
          <t>26.7%</t>
        </is>
      </c>
      <c r="F4" s="6" t="inlineStr">
        <is>
          <t>24.9%</t>
        </is>
      </c>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t>
        </is>
      </c>
    </row>
    <row r="7" ht="140" customHeight="1">
      <c r="A7" s="8" t="inlineStr">
        <is>
          <t>Sources - Bank of Ireland (UK) Plc consolidated Group basis, from the Risk Management Report / Financial Review ('2.2 Funding and liquidity risk' / '3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2026-08-27T19:12:37Z</dcterms:created>
  <dcterms:modified xsi:type="dcterms:W3CDTF">2026-08-27T19:12:37Z</dcterms:modified>
</cp:coreProperties>
</file>