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030A0"/>
        <bgColor rgb="007030A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Weatherbys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Weatherbys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'Overview'!AC12</f>
            </strRef>
          </tx>
          <spPr>
            <a:ln xmlns:a="http://schemas.openxmlformats.org/drawingml/2006/main">
              <a:prstDash val="solid"/>
            </a:ln>
          </spPr>
          <cat>
            <numRef>
              <f>'Overview'!$AD$11:$AN$11</f>
            </numRef>
          </cat>
          <val>
            <numRef>
              <f>'Overview'!$AD$12:$AN$12</f>
            </numRef>
          </val>
        </ser>
        <ser>
          <idx val="1"/>
          <order val="1"/>
          <tx>
            <strRef>
              <f>'Overview'!AC13</f>
            </strRef>
          </tx>
          <spPr>
            <a:ln xmlns:a="http://schemas.openxmlformats.org/drawingml/2006/main">
              <a:prstDash val="solid"/>
            </a:ln>
          </spPr>
          <cat>
            <numRef>
              <f>'Overview'!$AD$11:$AN$11</f>
            </numRef>
          </cat>
          <val>
            <numRef>
              <f>'Overview'!$AD$13:$AN$13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Weatherbys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'Overview'!AQ17</f>
            </strRef>
          </tx>
          <spPr>
            <a:ln xmlns:a="http://schemas.openxmlformats.org/drawingml/2006/main">
              <a:prstDash val="solid"/>
            </a:ln>
          </spPr>
          <cat>
            <numRef>
              <f>'Overview'!$AR$16:$BB$16</f>
            </numRef>
          </cat>
          <val>
            <numRef>
              <f>'Overview'!$AR$17:$BB$17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Weatherbys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'Overview'!BE21</f>
            </strRef>
          </tx>
          <spPr>
            <a:ln xmlns:a="http://schemas.openxmlformats.org/drawingml/2006/main">
              <a:prstDash val="solid"/>
            </a:ln>
          </spPr>
          <cat>
            <numRef>
              <f>'Overview'!$BF$20:$BP$20</f>
            </numRef>
          </cat>
          <val>
            <numRef>
              <f>'Overview'!$BF$21:$BP$21</f>
            </numRef>
          </val>
        </ser>
        <ser>
          <idx val="1"/>
          <order val="1"/>
          <tx>
            <strRef>
              <f>'Overview'!BE22</f>
            </strRef>
          </tx>
          <spPr>
            <a:ln xmlns:a="http://schemas.openxmlformats.org/drawingml/2006/main">
              <a:prstDash val="solid"/>
            </a:ln>
          </spPr>
          <cat>
            <numRef>
              <f>'Overview'!$BF$20:$BP$20</f>
            </numRef>
          </cat>
          <val>
            <numRef>
              <f>'Overview'!$BF$22:$BP$22</f>
            </numRef>
          </val>
        </ser>
        <ser>
          <idx val="2"/>
          <order val="2"/>
          <tx>
            <strRef>
              <f>'Overview'!BE23</f>
            </strRef>
          </tx>
          <spPr>
            <a:ln xmlns:a="http://schemas.openxmlformats.org/drawingml/2006/main">
              <a:prstDash val="solid"/>
            </a:ln>
          </spPr>
          <cat>
            <numRef>
              <f>'Overview'!$BF$20:$BP$20</f>
            </numRef>
          </cat>
          <val>
            <numRef>
              <f>'Overview'!$BF$23:$BP$23</f>
            </numRef>
          </val>
        </ser>
        <ser>
          <idx val="3"/>
          <order val="3"/>
          <tx>
            <strRef>
              <f>'Overview'!BE24</f>
            </strRef>
          </tx>
          <spPr>
            <a:ln xmlns:a="http://schemas.openxmlformats.org/drawingml/2006/main">
              <a:prstDash val="solid"/>
            </a:ln>
          </spPr>
          <cat>
            <numRef>
              <f>'Overview'!$BF$20:$BP$20</f>
            </numRef>
          </cat>
          <val>
            <numRef>
              <f>'Overview'!$BF$24:$BP$24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Weatherbys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Weatherbys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(GBP'000)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2053447</v>
      </c>
      <c r="C6" s="5" t="n">
        <v>1848494</v>
      </c>
      <c r="D6" s="5" t="n">
        <v>1637674</v>
      </c>
      <c r="E6" s="5" t="n">
        <v>1608564</v>
      </c>
      <c r="F6" s="5" t="n">
        <v>1476083</v>
      </c>
      <c r="G6" s="5" t="n">
        <v>1156429</v>
      </c>
      <c r="H6" s="5" t="n">
        <v>967101</v>
      </c>
      <c r="I6" s="5" t="n">
        <v>878368</v>
      </c>
      <c r="J6" s="5" t="n">
        <v>758839</v>
      </c>
      <c r="K6" s="5" t="n">
        <v>634559</v>
      </c>
      <c r="L6" s="5" t="n">
        <v>527361</v>
      </c>
      <c r="O6" t="inlineStr">
        <is>
          <t>Total assets</t>
        </is>
      </c>
      <c r="P6" t="n">
        <v>527361</v>
      </c>
      <c r="Q6" t="n">
        <v>634559</v>
      </c>
      <c r="R6" t="n">
        <v>758839</v>
      </c>
      <c r="S6" t="n">
        <v>878368</v>
      </c>
      <c r="T6" t="n">
        <v>967101</v>
      </c>
      <c r="U6" t="n">
        <v>1156429</v>
      </c>
      <c r="V6" t="n">
        <v>1476083</v>
      </c>
      <c r="W6" t="n">
        <v>1608564</v>
      </c>
      <c r="X6" t="n">
        <v>1637674</v>
      </c>
      <c r="Y6" t="n">
        <v>1848494</v>
      </c>
      <c r="Z6" t="n">
        <v>2053447</v>
      </c>
      <c r="BS6" t="inlineStr">
        <is>
          <t>CET1 Ratio</t>
        </is>
      </c>
      <c r="BY6" t="n">
        <v>11.69</v>
      </c>
      <c r="BZ6" t="n">
        <v>11.81</v>
      </c>
      <c r="CA6" t="n">
        <v>12.07</v>
      </c>
      <c r="CB6" t="n">
        <v>13.48</v>
      </c>
      <c r="CC6" t="n">
        <v>13.84</v>
      </c>
      <c r="CD6" t="n">
        <v>13.1</v>
      </c>
    </row>
    <row r="7">
      <c r="A7" s="5" t="inlineStr">
        <is>
          <t>Total liabilities</t>
        </is>
      </c>
      <c r="B7" s="5" t="n">
        <v>1942333</v>
      </c>
      <c r="C7" s="5" t="n">
        <v>1748451</v>
      </c>
      <c r="D7" s="5" t="n">
        <v>1552683</v>
      </c>
      <c r="E7" s="5" t="n">
        <v>1546064</v>
      </c>
      <c r="F7" s="5" t="n">
        <v>1423283</v>
      </c>
      <c r="G7" s="5" t="n">
        <v>1108043</v>
      </c>
      <c r="H7" s="5" t="n">
        <v>919779</v>
      </c>
      <c r="I7" s="5" t="n">
        <v>834806</v>
      </c>
      <c r="J7" s="5" t="n">
        <v>719637</v>
      </c>
      <c r="K7" s="5" t="n">
        <v>598547</v>
      </c>
      <c r="L7" s="5" t="n">
        <v>495207</v>
      </c>
      <c r="O7" t="inlineStr">
        <is>
          <t>Total liabilities</t>
        </is>
      </c>
      <c r="P7" t="n">
        <v>495207</v>
      </c>
      <c r="Q7" t="n">
        <v>598547</v>
      </c>
      <c r="R7" t="n">
        <v>719637</v>
      </c>
      <c r="S7" t="n">
        <v>834806</v>
      </c>
      <c r="T7" t="n">
        <v>919779</v>
      </c>
      <c r="U7" t="n">
        <v>1108043</v>
      </c>
      <c r="V7" t="n">
        <v>1423283</v>
      </c>
      <c r="W7" t="n">
        <v>1546064</v>
      </c>
      <c r="X7" t="n">
        <v>1552683</v>
      </c>
      <c r="Y7" t="n">
        <v>1748451</v>
      </c>
      <c r="Z7" t="n">
        <v>1942333</v>
      </c>
      <c r="BS7" t="inlineStr">
        <is>
          <t>Total Capital Ratio</t>
        </is>
      </c>
      <c r="BY7" t="n">
        <v>14.53</v>
      </c>
      <c r="BZ7" t="n">
        <v>14.48</v>
      </c>
      <c r="CA7" t="n">
        <v>14.5</v>
      </c>
      <c r="CB7" t="n">
        <v>16.17</v>
      </c>
      <c r="CC7" t="n">
        <v>16.26</v>
      </c>
      <c r="CD7" t="n">
        <v>15.3</v>
      </c>
    </row>
    <row r="8">
      <c r="A8" s="5" t="inlineStr">
        <is>
          <t>Total equity</t>
        </is>
      </c>
      <c r="B8" s="5" t="n">
        <v>111114</v>
      </c>
      <c r="C8" s="5" t="n">
        <v>100043</v>
      </c>
      <c r="D8" s="5" t="n">
        <v>84991</v>
      </c>
      <c r="E8" s="5" t="n">
        <v>62500</v>
      </c>
      <c r="F8" s="5" t="n">
        <v>52800</v>
      </c>
      <c r="G8" s="5" t="n">
        <v>48386</v>
      </c>
      <c r="H8" s="5" t="n">
        <v>47322</v>
      </c>
      <c r="I8" s="5" t="n">
        <v>43562</v>
      </c>
      <c r="J8" s="5" t="n">
        <v>39201</v>
      </c>
      <c r="K8" s="5" t="n">
        <v>36012</v>
      </c>
      <c r="L8" s="5" t="n">
        <v>32154</v>
      </c>
      <c r="O8" t="inlineStr">
        <is>
          <t>Total equity</t>
        </is>
      </c>
      <c r="P8" t="n">
        <v>32154</v>
      </c>
      <c r="Q8" t="n">
        <v>36012</v>
      </c>
      <c r="R8" t="n">
        <v>39201</v>
      </c>
      <c r="S8" t="n">
        <v>43562</v>
      </c>
      <c r="T8" t="n">
        <v>47322</v>
      </c>
      <c r="U8" t="n">
        <v>48386</v>
      </c>
      <c r="V8" t="n">
        <v>52800</v>
      </c>
      <c r="W8" t="n">
        <v>62500</v>
      </c>
      <c r="X8" t="n">
        <v>84991</v>
      </c>
      <c r="Y8" t="n">
        <v>100043</v>
      </c>
      <c r="Z8" t="n">
        <v>111114</v>
      </c>
    </row>
    <row r="10">
      <c r="A10" s="3" t="inlineStr">
        <is>
          <t>Profit &amp; Loss Summary (GBP'000)</t>
        </is>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K11" s="4" t="inlineStr">
        <is>
          <t>FY2016</t>
        </is>
      </c>
      <c r="L11" s="4" t="inlineStr">
        <is>
          <t>FY2015</t>
        </is>
      </c>
      <c r="AD11" t="inlineStr">
        <is>
          <t>FY2015</t>
        </is>
      </c>
      <c r="AE11" t="inlineStr">
        <is>
          <t>FY2016</t>
        </is>
      </c>
      <c r="AF11" t="inlineStr">
        <is>
          <t>FY2017</t>
        </is>
      </c>
      <c r="AG11" t="inlineStr">
        <is>
          <t>FY2018</t>
        </is>
      </c>
      <c r="AH11" t="inlineStr">
        <is>
          <t>FY2019</t>
        </is>
      </c>
      <c r="AI11" t="inlineStr">
        <is>
          <t>FY2020</t>
        </is>
      </c>
      <c r="AJ11" t="inlineStr">
        <is>
          <t>FY2021</t>
        </is>
      </c>
      <c r="AK11" t="inlineStr">
        <is>
          <t>FY2022</t>
        </is>
      </c>
      <c r="AL11" t="inlineStr">
        <is>
          <t>FY2023</t>
        </is>
      </c>
      <c r="AM11" t="inlineStr">
        <is>
          <t>FY2024</t>
        </is>
      </c>
      <c r="AN11" t="inlineStr">
        <is>
          <t>FY2025</t>
        </is>
      </c>
    </row>
    <row r="12">
      <c r="A12" s="5" t="inlineStr">
        <is>
          <t>Operating income</t>
        </is>
      </c>
      <c r="B12" s="5" t="n">
        <v>91095</v>
      </c>
      <c r="C12" s="5" t="n">
        <v>90426</v>
      </c>
      <c r="D12" s="5" t="n">
        <v>88426</v>
      </c>
      <c r="E12" s="5" t="n">
        <v>58029</v>
      </c>
      <c r="F12" s="5" t="n">
        <v>39775</v>
      </c>
      <c r="G12" s="5" t="n">
        <v>35695</v>
      </c>
      <c r="H12" s="5" t="n">
        <v>35970</v>
      </c>
      <c r="I12" s="5" t="n">
        <v>30789</v>
      </c>
      <c r="J12" s="5" t="n">
        <v>26382</v>
      </c>
      <c r="K12" s="5" t="n">
        <v>23021</v>
      </c>
      <c r="L12" s="5" t="n">
        <v>20502</v>
      </c>
      <c r="AC12" t="inlineStr">
        <is>
          <t>Operating income</t>
        </is>
      </c>
      <c r="AD12" t="n">
        <v>20502</v>
      </c>
      <c r="AE12" t="n">
        <v>23021</v>
      </c>
      <c r="AF12" t="n">
        <v>26382</v>
      </c>
      <c r="AG12" t="n">
        <v>30789</v>
      </c>
      <c r="AH12" t="n">
        <v>35970</v>
      </c>
      <c r="AI12" t="n">
        <v>35695</v>
      </c>
      <c r="AJ12" t="n">
        <v>39775</v>
      </c>
      <c r="AK12" t="n">
        <v>58029</v>
      </c>
      <c r="AL12" t="n">
        <v>88426</v>
      </c>
      <c r="AM12" t="n">
        <v>90426</v>
      </c>
      <c r="AN12" t="n">
        <v>91095</v>
      </c>
    </row>
    <row r="13">
      <c r="A13" s="5" t="inlineStr">
        <is>
          <t>Profit for the financial year</t>
        </is>
      </c>
      <c r="B13" s="5" t="n">
        <v>19244</v>
      </c>
      <c r="C13" s="5" t="n">
        <v>18270</v>
      </c>
      <c r="D13" s="5" t="n">
        <v>24735</v>
      </c>
      <c r="E13" s="5" t="n">
        <v>11909</v>
      </c>
      <c r="F13" s="5" t="n">
        <v>5206</v>
      </c>
      <c r="G13" s="5" t="n">
        <v>1931</v>
      </c>
      <c r="H13" s="5" t="n">
        <v>6146</v>
      </c>
      <c r="I13" s="5" t="n">
        <v>6084</v>
      </c>
      <c r="J13" s="5" t="n">
        <v>4428</v>
      </c>
      <c r="K13" s="5" t="n">
        <v>5321</v>
      </c>
      <c r="L13" s="5" t="n">
        <v>5942</v>
      </c>
      <c r="AC13" t="inlineStr">
        <is>
          <t>Profit for the financial year</t>
        </is>
      </c>
      <c r="AD13" t="n">
        <v>5942</v>
      </c>
      <c r="AE13" t="n">
        <v>5321</v>
      </c>
      <c r="AF13" t="n">
        <v>4428</v>
      </c>
      <c r="AG13" t="n">
        <v>6084</v>
      </c>
      <c r="AH13" t="n">
        <v>6146</v>
      </c>
      <c r="AI13" t="n">
        <v>1931</v>
      </c>
      <c r="AJ13" t="n">
        <v>5206</v>
      </c>
      <c r="AK13" t="n">
        <v>11909</v>
      </c>
      <c r="AL13" t="n">
        <v>24735</v>
      </c>
      <c r="AM13" t="n">
        <v>18270</v>
      </c>
      <c r="AN13" t="n">
        <v>19244</v>
      </c>
    </row>
    <row r="15">
      <c r="A15" s="3" t="inlineStr">
        <is>
          <t>Statement of Changes in Equity Summary (GBP'000)</t>
        </is>
      </c>
    </row>
    <row r="16">
      <c r="A16" s="4" t="inlineStr">
        <is>
          <t>Line item</t>
        </is>
      </c>
      <c r="B16" s="4" t="inlineStr">
        <is>
          <t>FY2025</t>
        </is>
      </c>
      <c r="C16" s="4" t="inlineStr">
        <is>
          <t>FY2024</t>
        </is>
      </c>
      <c r="D16" s="4" t="inlineStr">
        <is>
          <t>FY2023</t>
        </is>
      </c>
      <c r="E16" s="4" t="inlineStr">
        <is>
          <t>FY2022</t>
        </is>
      </c>
      <c r="F16" s="4" t="inlineStr">
        <is>
          <t>FY2021</t>
        </is>
      </c>
      <c r="G16" s="4" t="inlineStr">
        <is>
          <t>FY2020</t>
        </is>
      </c>
      <c r="H16" s="4" t="inlineStr">
        <is>
          <t>FY2019</t>
        </is>
      </c>
      <c r="I16" s="4" t="inlineStr">
        <is>
          <t>FY2018</t>
        </is>
      </c>
      <c r="J16" s="4" t="inlineStr">
        <is>
          <t>FY2017</t>
        </is>
      </c>
      <c r="K16" s="4" t="inlineStr">
        <is>
          <t>FY2016</t>
        </is>
      </c>
      <c r="L16" s="4" t="inlineStr">
        <is>
          <t>FY2015</t>
        </is>
      </c>
      <c r="AR16" t="inlineStr">
        <is>
          <t>FY2015</t>
        </is>
      </c>
      <c r="AS16" t="inlineStr">
        <is>
          <t>FY2016</t>
        </is>
      </c>
      <c r="AT16" t="inlineStr">
        <is>
          <t>FY2017</t>
        </is>
      </c>
      <c r="AU16" t="inlineStr">
        <is>
          <t>FY2018</t>
        </is>
      </c>
      <c r="AV16" t="inlineStr">
        <is>
          <t>FY2019</t>
        </is>
      </c>
      <c r="AW16" t="inlineStr">
        <is>
          <t>FY2020</t>
        </is>
      </c>
      <c r="AX16" t="inlineStr">
        <is>
          <t>FY2021</t>
        </is>
      </c>
      <c r="AY16" t="inlineStr">
        <is>
          <t>FY2022</t>
        </is>
      </c>
      <c r="AZ16" t="inlineStr">
        <is>
          <t>FY2023</t>
        </is>
      </c>
      <c r="BA16" t="inlineStr">
        <is>
          <t>FY2024</t>
        </is>
      </c>
      <c r="BB16" t="inlineStr">
        <is>
          <t>FY2025</t>
        </is>
      </c>
    </row>
    <row r="17">
      <c r="A17" s="5" t="inlineStr">
        <is>
          <t>Total equity (year-end)</t>
        </is>
      </c>
      <c r="B17" s="5" t="n">
        <v>111114</v>
      </c>
      <c r="C17" s="5" t="n">
        <v>100043</v>
      </c>
      <c r="D17" s="5" t="n">
        <v>84991</v>
      </c>
      <c r="E17" s="5" t="n">
        <v>62500</v>
      </c>
      <c r="F17" s="5" t="n">
        <v>52800</v>
      </c>
      <c r="G17" s="5" t="n">
        <v>48386</v>
      </c>
      <c r="H17" s="5" t="n">
        <v>47322</v>
      </c>
      <c r="I17" s="5" t="n">
        <v>43562</v>
      </c>
      <c r="J17" s="5" t="n">
        <v>39201</v>
      </c>
      <c r="K17" s="5" t="n">
        <v>36012</v>
      </c>
      <c r="L17" s="5" t="n">
        <v>32154</v>
      </c>
      <c r="AQ17" t="inlineStr">
        <is>
          <t>Total equity (year-end)</t>
        </is>
      </c>
      <c r="AR17" t="n">
        <v>32154</v>
      </c>
      <c r="AS17" t="n">
        <v>36012</v>
      </c>
      <c r="AT17" t="n">
        <v>39201</v>
      </c>
      <c r="AU17" t="n">
        <v>43562</v>
      </c>
      <c r="AV17" t="n">
        <v>47322</v>
      </c>
      <c r="AW17" t="n">
        <v>48386</v>
      </c>
      <c r="AX17" t="n">
        <v>52800</v>
      </c>
      <c r="AY17" t="n">
        <v>62500</v>
      </c>
      <c r="AZ17" t="n">
        <v>84991</v>
      </c>
      <c r="BA17" t="n">
        <v>100043</v>
      </c>
      <c r="BB17" t="n">
        <v>111114</v>
      </c>
    </row>
    <row r="19">
      <c r="A19" s="3" t="inlineStr">
        <is>
          <t>Cash Flow Summary (GBP'000)</t>
        </is>
      </c>
    </row>
    <row r="20">
      <c r="A20" s="4" t="inlineStr">
        <is>
          <t>Line item</t>
        </is>
      </c>
      <c r="B20" s="4" t="inlineStr">
        <is>
          <t>FY2025</t>
        </is>
      </c>
      <c r="C20" s="4" t="inlineStr">
        <is>
          <t>FY2024</t>
        </is>
      </c>
      <c r="D20" s="4" t="inlineStr">
        <is>
          <t>FY2023</t>
        </is>
      </c>
      <c r="E20" s="4" t="inlineStr">
        <is>
          <t>FY2022</t>
        </is>
      </c>
      <c r="F20" s="4" t="inlineStr">
        <is>
          <t>FY2021</t>
        </is>
      </c>
      <c r="G20" s="4" t="inlineStr">
        <is>
          <t>FY2020</t>
        </is>
      </c>
      <c r="H20" s="4" t="inlineStr">
        <is>
          <t>FY2019</t>
        </is>
      </c>
      <c r="I20" s="4" t="inlineStr">
        <is>
          <t>FY2018</t>
        </is>
      </c>
      <c r="J20" s="4" t="inlineStr">
        <is>
          <t>FY2017</t>
        </is>
      </c>
      <c r="K20" s="4" t="inlineStr">
        <is>
          <t>FY2016</t>
        </is>
      </c>
      <c r="L20" s="4" t="inlineStr">
        <is>
          <t>FY2015</t>
        </is>
      </c>
      <c r="BF20" t="inlineStr">
        <is>
          <t>FY2015</t>
        </is>
      </c>
      <c r="BG20" t="inlineStr">
        <is>
          <t>FY2016</t>
        </is>
      </c>
      <c r="BH20" t="inlineStr">
        <is>
          <t>FY2017</t>
        </is>
      </c>
      <c r="BI20" t="inlineStr">
        <is>
          <t>FY2018</t>
        </is>
      </c>
      <c r="BJ20" t="inlineStr">
        <is>
          <t>FY2019</t>
        </is>
      </c>
      <c r="BK20" t="inlineStr">
        <is>
          <t>FY2020</t>
        </is>
      </c>
      <c r="BL20" t="inlineStr">
        <is>
          <t>FY2021</t>
        </is>
      </c>
      <c r="BM20" t="inlineStr">
        <is>
          <t>FY2022</t>
        </is>
      </c>
      <c r="BN20" t="inlineStr">
        <is>
          <t>FY2023</t>
        </is>
      </c>
      <c r="BO20" t="inlineStr">
        <is>
          <t>FY2024</t>
        </is>
      </c>
      <c r="BP20" t="inlineStr">
        <is>
          <t>FY2025</t>
        </is>
      </c>
    </row>
    <row r="21">
      <c r="A21" s="5" t="inlineStr">
        <is>
          <t>Net cash generated/(used) from operating activities</t>
        </is>
      </c>
      <c r="B21" s="5" t="n">
        <v>69254</v>
      </c>
      <c r="C21" s="5" t="n">
        <v>177587</v>
      </c>
      <c r="D21" s="5" t="n">
        <v>-12129</v>
      </c>
      <c r="E21" s="5" t="n">
        <v>91999</v>
      </c>
      <c r="F21" s="5" t="n">
        <v>254993</v>
      </c>
      <c r="G21" s="5" t="n">
        <v>102664</v>
      </c>
      <c r="H21" s="5" t="n">
        <v>-22536</v>
      </c>
      <c r="I21" s="5" t="n">
        <v>27696</v>
      </c>
      <c r="J21" s="5" t="n">
        <v>64637</v>
      </c>
      <c r="K21" s="5" t="n">
        <v>59103</v>
      </c>
      <c r="L21" s="5" t="n">
        <v>-8852</v>
      </c>
      <c r="BE21" t="inlineStr">
        <is>
          <t>Net cash generated/(used) from operating activities</t>
        </is>
      </c>
      <c r="BF21" t="n">
        <v>-8852</v>
      </c>
      <c r="BG21" t="n">
        <v>59103</v>
      </c>
      <c r="BH21" t="n">
        <v>64637</v>
      </c>
      <c r="BI21" t="n">
        <v>27696</v>
      </c>
      <c r="BJ21" t="n">
        <v>-22536</v>
      </c>
      <c r="BK21" t="n">
        <v>102664</v>
      </c>
      <c r="BL21" t="n">
        <v>254993</v>
      </c>
      <c r="BM21" t="n">
        <v>91999</v>
      </c>
      <c r="BN21" t="n">
        <v>-12129</v>
      </c>
      <c r="BO21" t="n">
        <v>177587</v>
      </c>
      <c r="BP21" t="n">
        <v>69254</v>
      </c>
    </row>
    <row r="22">
      <c r="A22" s="5" t="inlineStr">
        <is>
          <t>Net cash (used)/generated from investing activities</t>
        </is>
      </c>
      <c r="B22" s="5" t="n">
        <v>-176680</v>
      </c>
      <c r="C22" s="5" t="n">
        <v>-110119</v>
      </c>
      <c r="D22" s="5" t="n">
        <v>53783</v>
      </c>
      <c r="E22" s="5" t="n">
        <v>-97158</v>
      </c>
      <c r="F22" s="5" t="n">
        <v>12550</v>
      </c>
      <c r="G22" s="5" t="n">
        <v>-37377</v>
      </c>
      <c r="H22" s="5" t="n">
        <v>-12138</v>
      </c>
      <c r="I22" s="5" t="n">
        <v>-10165</v>
      </c>
      <c r="J22" s="5" t="n">
        <v>-7183</v>
      </c>
      <c r="K22" s="5" t="n">
        <v>22261</v>
      </c>
      <c r="L22" s="5" t="n">
        <v>-11156</v>
      </c>
      <c r="BE22" t="inlineStr">
        <is>
          <t>Net cash (used)/generated from investing activities</t>
        </is>
      </c>
      <c r="BF22" t="n">
        <v>-11156</v>
      </c>
      <c r="BG22" t="n">
        <v>22261</v>
      </c>
      <c r="BH22" t="n">
        <v>-7183</v>
      </c>
      <c r="BI22" t="n">
        <v>-10165</v>
      </c>
      <c r="BJ22" t="n">
        <v>-12138</v>
      </c>
      <c r="BK22" t="n">
        <v>-37377</v>
      </c>
      <c r="BL22" t="n">
        <v>12550</v>
      </c>
      <c r="BM22" t="n">
        <v>-97158</v>
      </c>
      <c r="BN22" t="n">
        <v>53783</v>
      </c>
      <c r="BO22" t="n">
        <v>-110119</v>
      </c>
      <c r="BP22" t="n">
        <v>-176680</v>
      </c>
    </row>
    <row r="23">
      <c r="A23" s="5" t="inlineStr">
        <is>
          <t>Net cash (used)/generated from financing activities</t>
        </is>
      </c>
      <c r="B23" s="5" t="n">
        <v>-11100</v>
      </c>
      <c r="C23" s="5" t="n">
        <v>-5000</v>
      </c>
      <c r="D23" s="5" t="n">
        <v>-2000</v>
      </c>
      <c r="E23" s="5" t="n">
        <v>-2000</v>
      </c>
      <c r="F23" s="5" t="n">
        <v>-1250</v>
      </c>
      <c r="G23" s="5" t="n">
        <v>-250</v>
      </c>
      <c r="H23" s="5" t="n">
        <v>-2050</v>
      </c>
      <c r="I23" s="5" t="n">
        <v>8250</v>
      </c>
      <c r="J23" s="5" t="n">
        <v>-1250</v>
      </c>
      <c r="K23" s="5" t="n">
        <v>-1520</v>
      </c>
      <c r="L23" s="5" t="n">
        <v>-1140</v>
      </c>
      <c r="BE23" t="inlineStr">
        <is>
          <t>Net cash (used)/generated from financing activities</t>
        </is>
      </c>
      <c r="BF23" t="n">
        <v>-1140</v>
      </c>
      <c r="BG23" t="n">
        <v>-1520</v>
      </c>
      <c r="BH23" t="n">
        <v>-1250</v>
      </c>
      <c r="BI23" t="n">
        <v>8250</v>
      </c>
      <c r="BJ23" t="n">
        <v>-2050</v>
      </c>
      <c r="BK23" t="n">
        <v>-250</v>
      </c>
      <c r="BL23" t="n">
        <v>-1250</v>
      </c>
      <c r="BM23" t="n">
        <v>-2000</v>
      </c>
      <c r="BN23" t="n">
        <v>-2000</v>
      </c>
      <c r="BO23" t="n">
        <v>-5000</v>
      </c>
      <c r="BP23" t="n">
        <v>-11100</v>
      </c>
    </row>
    <row r="24">
      <c r="A24" s="5" t="inlineStr">
        <is>
          <t>Cash and cash equivalents at end of year</t>
        </is>
      </c>
      <c r="B24" s="5" t="n">
        <v>568817</v>
      </c>
      <c r="C24" s="5" t="n">
        <v>687343</v>
      </c>
      <c r="D24" s="5" t="n">
        <v>624875</v>
      </c>
      <c r="E24" s="5" t="n">
        <v>585221</v>
      </c>
      <c r="F24" s="5" t="n">
        <v>592380</v>
      </c>
      <c r="G24" s="5" t="n">
        <v>326087</v>
      </c>
      <c r="H24" s="5" t="n">
        <v>261050</v>
      </c>
      <c r="I24" s="5" t="n">
        <v>297773</v>
      </c>
      <c r="J24" s="5" t="n">
        <v>271992</v>
      </c>
      <c r="K24" s="5" t="n">
        <v>215788</v>
      </c>
      <c r="L24" s="5" t="n">
        <v>135944</v>
      </c>
      <c r="BE24" t="inlineStr">
        <is>
          <t>Cash and cash equivalents at end of year</t>
        </is>
      </c>
      <c r="BF24" t="n">
        <v>135944</v>
      </c>
      <c r="BG24" t="n">
        <v>215788</v>
      </c>
      <c r="BH24" t="n">
        <v>271992</v>
      </c>
      <c r="BI24" t="n">
        <v>297773</v>
      </c>
      <c r="BJ24" t="n">
        <v>261050</v>
      </c>
      <c r="BK24" t="n">
        <v>326087</v>
      </c>
      <c r="BL24" t="n">
        <v>592380</v>
      </c>
      <c r="BM24" t="n">
        <v>585221</v>
      </c>
      <c r="BN24" t="n">
        <v>624875</v>
      </c>
      <c r="BO24" t="n">
        <v>687343</v>
      </c>
      <c r="BP24" t="n">
        <v>568817</v>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row>
    <row r="28">
      <c r="A28" s="6" t="inlineStr">
        <is>
          <t>CET1 Ratio</t>
        </is>
      </c>
      <c r="B28" s="6" t="inlineStr">
        <is>
          <t>13.1%</t>
        </is>
      </c>
      <c r="C28" s="6" t="inlineStr">
        <is>
          <t>13.84%</t>
        </is>
      </c>
      <c r="D28" s="6" t="inlineStr">
        <is>
          <t>13.48%</t>
        </is>
      </c>
      <c r="E28" s="6" t="inlineStr">
        <is>
          <t>12.07%</t>
        </is>
      </c>
      <c r="F28" s="6" t="inlineStr">
        <is>
          <t>11.81%</t>
        </is>
      </c>
      <c r="G28" s="6" t="inlineStr">
        <is>
          <t>11.69%</t>
        </is>
      </c>
      <c r="H28" s="6" t="n"/>
      <c r="I28" s="6" t="n"/>
      <c r="J28" s="6" t="n"/>
      <c r="K28" s="6" t="n"/>
      <c r="L28" s="6" t="n"/>
    </row>
    <row r="29">
      <c r="A29" s="6" t="inlineStr">
        <is>
          <t>Total Capital Ratio</t>
        </is>
      </c>
      <c r="B29" s="6" t="inlineStr">
        <is>
          <t>15.3%</t>
        </is>
      </c>
      <c r="C29" s="6" t="inlineStr">
        <is>
          <t>16.26%</t>
        </is>
      </c>
      <c r="D29" s="6" t="inlineStr">
        <is>
          <t>16.17%</t>
        </is>
      </c>
      <c r="E29" s="6" t="inlineStr">
        <is>
          <t>14.50%</t>
        </is>
      </c>
      <c r="F29" s="6" t="inlineStr">
        <is>
          <t>14.48%</t>
        </is>
      </c>
      <c r="G29" s="6" t="inlineStr">
        <is>
          <t>14.53%</t>
        </is>
      </c>
      <c r="H29" s="6" t="n"/>
      <c r="I29" s="6" t="n"/>
      <c r="J29" s="6" t="n"/>
      <c r="K29" s="6" t="n"/>
      <c r="L29" s="6" t="n"/>
    </row>
    <row r="31" ht="45" customHeight="1">
      <c r="A31" s="7" t="inlineStr">
        <is>
          <t>Note: FY2025 has no Weatherbys Pillar 3 disclosure document (none published as at 15 September 2026), so its CET1 Ratio, Total Capital, Total Capital Ratio, Leverage Ratio, LCR and NSFR are taken from the Annual Report and Financial Accounts 2025 instead (consolidated basis, same basis as the Pillar 3 series - every FY2024 comparative printed there reproduces this workbook's Pillar 3-sourced FY2024 value); FY2025 CET1 Capital, Tier 1 Capital, Tier 1 Ratio and Total RWAs stay blank because that report states no such figure - all four now carry that statement in the cell rather than sitting blank (2026-09-18). FY2021-FY2024 values are the official Weatherbys Group/Solo disclosures. FY2020's Pillar 3 metrics are populated from Weatherbys' own FY2020 Pillar 3 Disclosures document (already reported under CRD IV/Basel III CET1/Tier 1/Tier 2 terminology - no Basel-II-era Tier-1/Total-Capital-only caveat applies). FY2015-FY2019 Pillar 3 metrics are blank: the only pre-2021 Pillar 3 document found for this bank is an unrecoverable, truncated Wayback Machine capture, a genuine access gap rather than a non-disclosure (see the Balance Sheet/Cash Flow/Asset Quality sheets' source notes). All other statements (Balance Sheet, Profit &amp; Loss, Statement of Changes in Equity, Cash Flow Statement, and the Asset Quality sheet's loan-book credit-quality rows) are populated back to FY2015, this bank's confirmed historical floor, sourced from Weatherbys' Companies-House-filed Group accounts.</t>
        </is>
      </c>
    </row>
  </sheetData>
  <mergeCells count="1">
    <mergeCell ref="A31:L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Balance Sheet</t>
        </is>
      </c>
    </row>
    <row r="2">
      <c r="A2" s="2" t="inlineStr">
        <is>
          <t>Weatherbys Banking Group consolidated statement of financial position,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Assets</t>
        </is>
      </c>
      <c r="B4" s="6" t="n"/>
      <c r="C4" s="6" t="n"/>
      <c r="D4" s="6" t="n"/>
      <c r="E4" s="6" t="n"/>
      <c r="F4" s="6" t="n"/>
      <c r="G4" s="6" t="n"/>
      <c r="H4" s="6" t="n"/>
      <c r="I4" s="6" t="n"/>
      <c r="J4" s="6" t="n"/>
      <c r="K4" s="6" t="n"/>
      <c r="L4" s="6" t="n"/>
    </row>
    <row r="5">
      <c r="A5" s="6" t="inlineStr">
        <is>
          <t>Cash at banks / Loans and advances to banks</t>
        </is>
      </c>
      <c r="B5" s="6" t="n">
        <v>575367</v>
      </c>
      <c r="C5" s="6" t="n">
        <v>687343</v>
      </c>
      <c r="D5" s="6" t="n">
        <v>624875</v>
      </c>
      <c r="E5" s="6" t="n">
        <v>585221</v>
      </c>
      <c r="F5" s="6" t="n">
        <v>592380</v>
      </c>
      <c r="G5" s="6" t="n">
        <v>326087</v>
      </c>
      <c r="H5" s="6" t="n">
        <v>261050</v>
      </c>
      <c r="I5" s="6" t="n">
        <v>297773</v>
      </c>
      <c r="J5" s="6" t="n">
        <v>271992</v>
      </c>
      <c r="K5" s="6" t="n">
        <v>215788</v>
      </c>
      <c r="L5" s="6" t="n">
        <v>135944</v>
      </c>
    </row>
    <row r="6">
      <c r="A6" s="6" t="inlineStr">
        <is>
          <t>Derivative financial assets</t>
        </is>
      </c>
      <c r="B6" s="6" t="n">
        <v>1394</v>
      </c>
      <c r="C6" s="6" t="n">
        <v>5018</v>
      </c>
      <c r="D6" s="6" t="n">
        <v>5194</v>
      </c>
      <c r="E6" s="6" t="n">
        <v>9813</v>
      </c>
      <c r="F6" s="6" t="n">
        <v>961</v>
      </c>
      <c r="G6" s="6" t="n">
        <v>30</v>
      </c>
      <c r="H6" s="6" t="n">
        <v>265</v>
      </c>
      <c r="I6" s="6" t="n">
        <v>377</v>
      </c>
      <c r="J6" s="6" t="n">
        <v>81</v>
      </c>
      <c r="K6" s="6" t="n">
        <v>37</v>
      </c>
      <c r="L6" s="6" t="n">
        <v>16</v>
      </c>
    </row>
    <row r="7">
      <c r="A7" s="6" t="inlineStr">
        <is>
          <t>Loans and advances to customers</t>
        </is>
      </c>
      <c r="B7" s="6" t="n">
        <v>1006160</v>
      </c>
      <c r="C7" s="6" t="n">
        <v>859672</v>
      </c>
      <c r="D7" s="6" t="n">
        <v>821700</v>
      </c>
      <c r="E7" s="6" t="n">
        <v>775573</v>
      </c>
      <c r="F7" s="6" t="n">
        <v>744591</v>
      </c>
      <c r="G7" s="6" t="n">
        <v>678564</v>
      </c>
      <c r="H7" s="6" t="n">
        <v>588924</v>
      </c>
      <c r="I7" s="6" t="n">
        <v>474728</v>
      </c>
      <c r="J7" s="6" t="n">
        <v>387504</v>
      </c>
      <c r="K7" s="6" t="n">
        <v>327384</v>
      </c>
      <c r="L7" s="6" t="n">
        <v>276621</v>
      </c>
    </row>
    <row r="8">
      <c r="A8" s="6" t="inlineStr">
        <is>
          <t>Debt securities (measured at amortised cost)</t>
        </is>
      </c>
      <c r="B8" s="6" t="n">
        <v>420989</v>
      </c>
      <c r="C8" s="6" t="n">
        <v>248749</v>
      </c>
      <c r="D8" s="6" t="n">
        <v>146097</v>
      </c>
      <c r="E8" s="6" t="n">
        <v>207605</v>
      </c>
      <c r="F8" s="6" t="n">
        <v>117625</v>
      </c>
      <c r="G8" s="6" t="n">
        <v>134258</v>
      </c>
      <c r="H8" s="6" t="n">
        <v>98093</v>
      </c>
      <c r="I8" s="6" t="n">
        <v>89545</v>
      </c>
      <c r="J8" s="6" t="n">
        <v>81265</v>
      </c>
      <c r="K8" s="6" t="n">
        <v>76021</v>
      </c>
      <c r="L8" s="6" t="n">
        <v>100903</v>
      </c>
    </row>
    <row r="9">
      <c r="A9" s="6" t="inlineStr">
        <is>
          <t>Investment in joint venture</t>
        </is>
      </c>
      <c r="B9" s="6" t="n"/>
      <c r="C9" s="6" t="n">
        <v>670</v>
      </c>
      <c r="D9" s="6" t="n">
        <v>670</v>
      </c>
      <c r="E9" s="6" t="n">
        <v>610</v>
      </c>
      <c r="F9" s="6" t="n">
        <v>330</v>
      </c>
      <c r="G9" s="6" t="n">
        <v>318</v>
      </c>
      <c r="H9" s="6" t="n">
        <v>320</v>
      </c>
      <c r="I9" s="6" t="n">
        <v>290</v>
      </c>
      <c r="J9" s="6" t="n">
        <v>230</v>
      </c>
      <c r="K9" s="6" t="n">
        <v>240</v>
      </c>
      <c r="L9" s="6" t="n">
        <v>234</v>
      </c>
    </row>
    <row r="10">
      <c r="A10" s="6" t="inlineStr">
        <is>
          <t>Subordinated term loan (Group's own asset, unrelated to the Tier 2 liability below)</t>
        </is>
      </c>
      <c r="B10" s="6" t="n"/>
      <c r="C10" s="6" t="n"/>
      <c r="D10" s="6" t="n"/>
      <c r="E10" s="6" t="n"/>
      <c r="F10" s="6" t="n"/>
      <c r="G10" s="6" t="n"/>
      <c r="H10" s="6" t="n"/>
      <c r="I10" s="6" t="n"/>
      <c r="J10" s="6" t="n"/>
      <c r="K10" s="6" t="n">
        <v>50</v>
      </c>
      <c r="L10" s="6" t="n">
        <v>50</v>
      </c>
    </row>
    <row r="11">
      <c r="A11" s="6" t="inlineStr">
        <is>
          <t>Investments</t>
        </is>
      </c>
      <c r="B11" s="6" t="n">
        <v>364</v>
      </c>
      <c r="C11" s="6" t="n">
        <v>384</v>
      </c>
      <c r="D11" s="6" t="n">
        <v>455</v>
      </c>
      <c r="E11" s="6" t="n">
        <v>438</v>
      </c>
      <c r="F11" s="6" t="n">
        <v>542</v>
      </c>
      <c r="G11" s="6" t="n">
        <v>546</v>
      </c>
      <c r="H11" s="6" t="n">
        <v>717</v>
      </c>
      <c r="I11" s="6" t="n">
        <v>331</v>
      </c>
      <c r="J11" s="6" t="n">
        <v>280</v>
      </c>
      <c r="K11" s="6" t="n">
        <v>235</v>
      </c>
      <c r="L11" s="6" t="n"/>
    </row>
    <row r="12">
      <c r="A12" s="6" t="inlineStr">
        <is>
          <t>Intangible fixed assets</t>
        </is>
      </c>
      <c r="B12" s="6" t="n">
        <v>24676</v>
      </c>
      <c r="C12" s="6" t="n">
        <v>16194</v>
      </c>
      <c r="D12" s="6" t="n">
        <v>12327</v>
      </c>
      <c r="E12" s="6" t="n">
        <v>6145</v>
      </c>
      <c r="F12" s="6" t="n">
        <v>3154</v>
      </c>
      <c r="G12" s="6" t="n">
        <v>1822</v>
      </c>
      <c r="H12" s="6" t="n">
        <v>1827</v>
      </c>
      <c r="I12" s="6" t="n">
        <v>2134</v>
      </c>
      <c r="J12" s="6" t="n">
        <v>2436</v>
      </c>
      <c r="K12" s="6" t="n">
        <v>4621</v>
      </c>
      <c r="L12" s="6" t="n">
        <v>3079</v>
      </c>
    </row>
    <row r="13">
      <c r="A13" s="6" t="inlineStr">
        <is>
          <t>Tangible fixed assets</t>
        </is>
      </c>
      <c r="B13" s="6" t="n">
        <v>10936</v>
      </c>
      <c r="C13" s="6" t="n">
        <v>9397</v>
      </c>
      <c r="D13" s="6" t="n">
        <v>9283</v>
      </c>
      <c r="E13" s="6" t="n">
        <v>11216</v>
      </c>
      <c r="F13" s="6" t="n">
        <v>10747</v>
      </c>
      <c r="G13" s="6" t="n">
        <v>10085</v>
      </c>
      <c r="H13" s="6" t="n">
        <v>11341</v>
      </c>
      <c r="I13" s="6" t="n">
        <v>9035</v>
      </c>
      <c r="J13" s="6" t="n">
        <v>7993</v>
      </c>
      <c r="K13" s="6" t="n">
        <v>4930</v>
      </c>
      <c r="L13" s="6" t="n">
        <v>4813</v>
      </c>
    </row>
    <row r="14">
      <c r="A14" s="6" t="inlineStr">
        <is>
          <t>Other assets</t>
        </is>
      </c>
      <c r="B14" s="6" t="n">
        <v>2753</v>
      </c>
      <c r="C14" s="6" t="n">
        <v>1875</v>
      </c>
      <c r="D14" s="6" t="n">
        <v>1913</v>
      </c>
      <c r="E14" s="6" t="n">
        <v>1711</v>
      </c>
      <c r="F14" s="6" t="n">
        <v>1803</v>
      </c>
      <c r="G14" s="6" t="n">
        <v>1823</v>
      </c>
      <c r="H14" s="6" t="n">
        <v>1672</v>
      </c>
      <c r="I14" s="6" t="n">
        <v>1711</v>
      </c>
      <c r="J14" s="6" t="n">
        <v>4994</v>
      </c>
      <c r="K14" s="6" t="n">
        <v>4090</v>
      </c>
      <c r="L14" s="6" t="n">
        <v>3791</v>
      </c>
    </row>
    <row r="15">
      <c r="A15" s="6" t="inlineStr">
        <is>
          <t>Prepayments and accrued income</t>
        </is>
      </c>
      <c r="B15" s="6" t="n">
        <v>10808</v>
      </c>
      <c r="C15" s="6" t="n">
        <v>19192</v>
      </c>
      <c r="D15" s="6" t="n">
        <v>15160</v>
      </c>
      <c r="E15" s="6" t="n">
        <v>10232</v>
      </c>
      <c r="F15" s="6" t="n">
        <v>3950</v>
      </c>
      <c r="G15" s="6" t="n">
        <v>2896</v>
      </c>
      <c r="H15" s="6" t="n">
        <v>2894</v>
      </c>
      <c r="I15" s="6" t="n">
        <v>2443</v>
      </c>
      <c r="J15" s="6" t="n">
        <v>2063</v>
      </c>
      <c r="K15" s="6" t="n">
        <v>1163</v>
      </c>
      <c r="L15" s="6" t="n">
        <v>1911</v>
      </c>
    </row>
    <row r="16">
      <c r="A16" s="5" t="inlineStr">
        <is>
          <t>Total assets</t>
        </is>
      </c>
      <c r="B16" s="5" t="n">
        <v>2053447</v>
      </c>
      <c r="C16" s="5" t="n">
        <v>1848494</v>
      </c>
      <c r="D16" s="5" t="n">
        <v>1637674</v>
      </c>
      <c r="E16" s="5" t="n">
        <v>1608564</v>
      </c>
      <c r="F16" s="5" t="n">
        <v>1476083</v>
      </c>
      <c r="G16" s="5" t="n">
        <v>1156429</v>
      </c>
      <c r="H16" s="5" t="n">
        <v>967101</v>
      </c>
      <c r="I16" s="5" t="n">
        <v>878368</v>
      </c>
      <c r="J16" s="5" t="n">
        <v>758839</v>
      </c>
      <c r="K16" s="5" t="n">
        <v>634559</v>
      </c>
      <c r="L16" s="5" t="n">
        <v>527361</v>
      </c>
    </row>
    <row r="17">
      <c r="A17" s="5" t="inlineStr">
        <is>
          <t>Liabilities</t>
        </is>
      </c>
      <c r="B17" s="6" t="n"/>
      <c r="C17" s="6" t="n"/>
      <c r="D17" s="6" t="n"/>
      <c r="E17" s="6" t="n"/>
      <c r="F17" s="6" t="n"/>
      <c r="G17" s="6" t="n"/>
      <c r="H17" s="6" t="n"/>
      <c r="I17" s="6" t="n"/>
      <c r="J17" s="6" t="n"/>
      <c r="K17" s="6" t="n"/>
      <c r="L17" s="6" t="n"/>
    </row>
    <row r="18">
      <c r="A18" s="6" t="inlineStr">
        <is>
          <t>Derivative financial liabilities</t>
        </is>
      </c>
      <c r="B18" s="6" t="n">
        <v>4075</v>
      </c>
      <c r="C18" s="6" t="n">
        <v>1269</v>
      </c>
      <c r="D18" s="6" t="n">
        <v>3069</v>
      </c>
      <c r="E18" s="6" t="n">
        <v>472</v>
      </c>
      <c r="F18" s="6" t="n">
        <v>238</v>
      </c>
      <c r="G18" s="6" t="n">
        <v>2377</v>
      </c>
      <c r="H18" s="6" t="n">
        <v>1258</v>
      </c>
      <c r="I18" s="6" t="n">
        <v>547</v>
      </c>
      <c r="J18" s="6" t="n">
        <v>387</v>
      </c>
      <c r="K18" s="6" t="n">
        <v>493</v>
      </c>
      <c r="L18" s="6" t="n">
        <v>220</v>
      </c>
    </row>
    <row r="19">
      <c r="A19" s="6" t="inlineStr">
        <is>
          <t>Customer accounts</t>
        </is>
      </c>
      <c r="B19" s="6" t="n">
        <v>1905431</v>
      </c>
      <c r="C19" s="6" t="n">
        <v>1707796</v>
      </c>
      <c r="D19" s="6" t="n">
        <v>1504566</v>
      </c>
      <c r="E19" s="6" t="n">
        <v>1521191</v>
      </c>
      <c r="F19" s="6" t="n">
        <v>1404601</v>
      </c>
      <c r="G19" s="6" t="n">
        <v>1088767</v>
      </c>
      <c r="H19" s="6" t="n">
        <v>899358</v>
      </c>
      <c r="I19" s="6" t="n">
        <v>816380</v>
      </c>
      <c r="J19" s="6" t="n">
        <v>708964</v>
      </c>
      <c r="K19" s="6" t="n">
        <v>587481</v>
      </c>
      <c r="L19" s="6" t="n">
        <v>484184</v>
      </c>
    </row>
    <row r="20">
      <c r="A20" s="6" t="inlineStr">
        <is>
          <t>Other liabilities</t>
        </is>
      </c>
      <c r="B20" s="6" t="n">
        <v>12734</v>
      </c>
      <c r="C20" s="6" t="n">
        <v>18287</v>
      </c>
      <c r="D20" s="6" t="n">
        <v>22583</v>
      </c>
      <c r="E20" s="6" t="n">
        <v>7903</v>
      </c>
      <c r="F20" s="6" t="n">
        <v>4568</v>
      </c>
      <c r="G20" s="6" t="n">
        <v>4147</v>
      </c>
      <c r="H20" s="6" t="n">
        <v>5646</v>
      </c>
      <c r="I20" s="6" t="n">
        <v>4984</v>
      </c>
      <c r="J20" s="6" t="n">
        <v>8006</v>
      </c>
      <c r="K20" s="6" t="n">
        <v>8629</v>
      </c>
      <c r="L20" s="6" t="n">
        <v>8617</v>
      </c>
    </row>
    <row r="21">
      <c r="A21" s="6" t="inlineStr">
        <is>
          <t>Accruals and deferred income</t>
        </is>
      </c>
      <c r="B21" s="6" t="n">
        <v>10093</v>
      </c>
      <c r="C21" s="6" t="n">
        <v>11099</v>
      </c>
      <c r="D21" s="6" t="n">
        <v>12465</v>
      </c>
      <c r="E21" s="6" t="n">
        <v>6498</v>
      </c>
      <c r="F21" s="6" t="n">
        <v>3876</v>
      </c>
      <c r="G21" s="6" t="n">
        <v>2752</v>
      </c>
      <c r="H21" s="6" t="n">
        <v>3518</v>
      </c>
      <c r="I21" s="6" t="n">
        <v>2887</v>
      </c>
      <c r="J21" s="6" t="n">
        <v>2266</v>
      </c>
      <c r="K21" s="6" t="n">
        <v>1912</v>
      </c>
      <c r="L21" s="6" t="n">
        <v>2133</v>
      </c>
    </row>
    <row r="22">
      <c r="A22" s="6" t="inlineStr">
        <is>
          <t>Subordinated loan</t>
        </is>
      </c>
      <c r="B22" s="6" t="n">
        <v>10000</v>
      </c>
      <c r="C22" s="6" t="n">
        <v>10000</v>
      </c>
      <c r="D22" s="6" t="n">
        <v>10000</v>
      </c>
      <c r="E22" s="6" t="n">
        <v>10000</v>
      </c>
      <c r="F22" s="6" t="n">
        <v>10000</v>
      </c>
      <c r="G22" s="6" t="n">
        <v>10000</v>
      </c>
      <c r="H22" s="6" t="n">
        <v>10000</v>
      </c>
      <c r="I22" s="6" t="n">
        <v>10000</v>
      </c>
      <c r="J22" s="6" t="n"/>
      <c r="K22" s="6" t="n"/>
      <c r="L22" s="6" t="n"/>
    </row>
    <row r="23">
      <c r="A23" s="6" t="inlineStr">
        <is>
          <t>Provisions for liabilities</t>
        </is>
      </c>
      <c r="B23" s="6" t="n"/>
      <c r="C23" s="6" t="n"/>
      <c r="D23" s="6" t="n"/>
      <c r="E23" s="6" t="n"/>
      <c r="F23" s="6" t="n"/>
      <c r="G23" s="6" t="n"/>
      <c r="H23" s="6" t="n"/>
      <c r="I23" s="6" t="n">
        <v>8</v>
      </c>
      <c r="J23" s="6" t="n">
        <v>16</v>
      </c>
      <c r="K23" s="6" t="n">
        <v>32</v>
      </c>
      <c r="L23" s="6" t="n">
        <v>53</v>
      </c>
    </row>
    <row r="24">
      <c r="A24" s="5" t="inlineStr">
        <is>
          <t>Total liabilities</t>
        </is>
      </c>
      <c r="B24" s="5" t="n">
        <v>1942333</v>
      </c>
      <c r="C24" s="5" t="n">
        <v>1748451</v>
      </c>
      <c r="D24" s="5" t="n">
        <v>1552683</v>
      </c>
      <c r="E24" s="5" t="n">
        <v>1546064</v>
      </c>
      <c r="F24" s="5" t="n">
        <v>1423283</v>
      </c>
      <c r="G24" s="5" t="n">
        <v>1108043</v>
      </c>
      <c r="H24" s="5" t="n">
        <v>919779</v>
      </c>
      <c r="I24" s="5" t="n">
        <v>834806</v>
      </c>
      <c r="J24" s="5" t="n">
        <v>719637</v>
      </c>
      <c r="K24" s="5" t="n">
        <v>598547</v>
      </c>
      <c r="L24" s="5" t="n">
        <v>495207</v>
      </c>
    </row>
    <row r="25">
      <c r="A25" s="5" t="inlineStr">
        <is>
          <t>Shareholders' funds</t>
        </is>
      </c>
      <c r="B25" s="6" t="n"/>
      <c r="C25" s="6" t="n"/>
      <c r="D25" s="6" t="n"/>
      <c r="E25" s="6" t="n"/>
      <c r="F25" s="6" t="n"/>
      <c r="G25" s="6" t="n"/>
      <c r="H25" s="6" t="n"/>
      <c r="I25" s="6" t="n"/>
      <c r="J25" s="6" t="n"/>
      <c r="K25" s="6" t="n"/>
      <c r="L25" s="6" t="n"/>
    </row>
    <row r="26">
      <c r="A26" s="6" t="inlineStr">
        <is>
          <t>Called up share capital</t>
        </is>
      </c>
      <c r="B26" s="6" t="n">
        <v>7000</v>
      </c>
      <c r="C26" s="6" t="n">
        <v>7000</v>
      </c>
      <c r="D26" s="6" t="n">
        <v>7000</v>
      </c>
      <c r="E26" s="6" t="n">
        <v>7000</v>
      </c>
      <c r="F26" s="6" t="n">
        <v>7000</v>
      </c>
      <c r="G26" s="6" t="n">
        <v>7000</v>
      </c>
      <c r="H26" s="6" t="n">
        <v>7000</v>
      </c>
      <c r="I26" s="6" t="n">
        <v>7000</v>
      </c>
      <c r="J26" s="6" t="n">
        <v>7000</v>
      </c>
      <c r="K26" s="6" t="n">
        <v>7000</v>
      </c>
      <c r="L26" s="6" t="n">
        <v>7000</v>
      </c>
    </row>
    <row r="27">
      <c r="A27" s="6" t="inlineStr">
        <is>
          <t>Contingent convertible securities</t>
        </is>
      </c>
      <c r="B27" s="6" t="n">
        <v>3000</v>
      </c>
      <c r="C27" s="6" t="n">
        <v>3000</v>
      </c>
      <c r="D27" s="6" t="n">
        <v>3000</v>
      </c>
      <c r="E27" s="6" t="n"/>
      <c r="F27" s="6" t="n"/>
      <c r="G27" s="6" t="n"/>
      <c r="H27" s="6" t="n"/>
      <c r="I27" s="6" t="n"/>
      <c r="J27" s="6" t="n"/>
      <c r="K27" s="6" t="n"/>
      <c r="L27" s="6" t="n"/>
    </row>
    <row r="28">
      <c r="A28" s="6" t="inlineStr">
        <is>
          <t>Revaluation reserve</t>
        </is>
      </c>
      <c r="B28" s="6" t="n">
        <v>231</v>
      </c>
      <c r="C28" s="6" t="n">
        <v>404</v>
      </c>
      <c r="D28" s="6" t="n">
        <v>522</v>
      </c>
      <c r="E28" s="6" t="n">
        <v>766</v>
      </c>
      <c r="F28" s="6" t="n">
        <v>975</v>
      </c>
      <c r="G28" s="6" t="n">
        <v>517</v>
      </c>
      <c r="H28" s="6" t="n">
        <v>1133</v>
      </c>
      <c r="I28" s="6" t="n">
        <v>1470</v>
      </c>
      <c r="J28" s="6" t="n">
        <v>1443</v>
      </c>
      <c r="K28" s="6" t="n">
        <v>1432</v>
      </c>
      <c r="L28" s="6" t="n">
        <v>1374</v>
      </c>
    </row>
    <row r="29">
      <c r="A29" s="6" t="inlineStr">
        <is>
          <t>Profit and loss account</t>
        </is>
      </c>
      <c r="B29" s="6" t="n">
        <v>100883</v>
      </c>
      <c r="C29" s="6" t="n">
        <v>89639</v>
      </c>
      <c r="D29" s="6" t="n">
        <v>74469</v>
      </c>
      <c r="E29" s="6" t="n">
        <v>54734</v>
      </c>
      <c r="F29" s="6" t="n">
        <v>44825</v>
      </c>
      <c r="G29" s="6" t="n">
        <v>40869</v>
      </c>
      <c r="H29" s="6" t="n">
        <v>39188</v>
      </c>
      <c r="I29" s="6" t="n">
        <v>35092</v>
      </c>
      <c r="J29" s="6" t="n">
        <v>30758</v>
      </c>
      <c r="K29" s="6" t="n">
        <v>27581</v>
      </c>
      <c r="L29" s="6" t="n">
        <v>23780</v>
      </c>
    </row>
    <row r="30">
      <c r="A30" s="5" t="inlineStr">
        <is>
          <t>Total equity</t>
        </is>
      </c>
      <c r="B30" s="5" t="n">
        <v>111114</v>
      </c>
      <c r="C30" s="5" t="n">
        <v>100043</v>
      </c>
      <c r="D30" s="5" t="n">
        <v>84991</v>
      </c>
      <c r="E30" s="5" t="n">
        <v>62500</v>
      </c>
      <c r="F30" s="5" t="n">
        <v>52800</v>
      </c>
      <c r="G30" s="5" t="n">
        <v>48386</v>
      </c>
      <c r="H30" s="5" t="n">
        <v>47322</v>
      </c>
      <c r="I30" s="5" t="n">
        <v>43562</v>
      </c>
      <c r="J30" s="5" t="n">
        <v>39201</v>
      </c>
      <c r="K30" s="5" t="n">
        <v>36012</v>
      </c>
      <c r="L30" s="5" t="n">
        <v>32154</v>
      </c>
    </row>
    <row r="31">
      <c r="A31" s="5" t="inlineStr">
        <is>
          <t>Total liabilities and equity</t>
        </is>
      </c>
      <c r="B31" s="5" t="n">
        <v>2053447</v>
      </c>
      <c r="C31" s="5" t="n">
        <v>1848494</v>
      </c>
      <c r="D31" s="5" t="n">
        <v>1637674</v>
      </c>
      <c r="E31" s="5" t="n">
        <v>1608564</v>
      </c>
      <c r="F31" s="5" t="n">
        <v>1476083</v>
      </c>
      <c r="G31" s="5" t="n">
        <v>1156429</v>
      </c>
      <c r="H31" s="5" t="n">
        <v>967101</v>
      </c>
      <c r="I31" s="5" t="n">
        <v>878368</v>
      </c>
      <c r="J31" s="5" t="n">
        <v>758839</v>
      </c>
      <c r="K31" s="5" t="n">
        <v>634559</v>
      </c>
      <c r="L31" s="5" t="n">
        <v>527361</v>
      </c>
    </row>
    <row r="33" ht="280" customHeight="1">
      <c r="A33" s="8" t="inlineStr">
        <is>
          <t>Sources - Weatherbys Banking Group consolidated statement of financial position, GBP'000: FY2025: Annual Report and Financial Accounts 2025, p.60 - https://www.weatherbys.bank/weatherbys-banking-group-annual-report-2025/; FY2024: Annual Report &amp; Accounts 2024, p.41 - https://www.weatherbys.bank/app/uploads/2025/04/Weatherbys-Banking-Group-Annual-Report-2024.pdf; FY2023: Annual Report &amp; Accounts 2023, p.46 - https://www.weatherbys.bank/app/uploads/2024/05/Weatherbys-Banking-Group-Annual-Report-2023.pdf; FY2022/FY2021: Annual Report &amp; Accounts 2022, p.42 - https://www.weatherbys.bank/app/uploads/2023/05/Weatherbys-Banking-Group-Annual_Report-2022.pdf; FY2020/FY2019: Group accounts made up to 31 Dec 2020, p.28 (Consolidated balance sheet) - https://find-and-update.company-information.service.gov.uk/company/02943300/filing-history/MzMxMjkxNjk5MmFkaXF6a2N4/document?format=pdf&amp;download=0; FY2018/FY2017: Group accounts made up to 31 Dec 2018, p.20 - https://find-and-update.company-information.service.gov.uk/company/02943300/filing-history/MzIzODIyOTM2NWFkaXF6a2N4/document?format=pdf&amp;download=0; FY2016/FY2015: Group accounts made up to 31 Dec 2016, p.10 (2015 shown restated per note 34; the FY2015 filing's own p.10 reports the same total, see BS_RESTATEMENT_NOTE) - https://find-and-update.company-information.service.gov.uk/company/02943300/filing-history/MzE3NTA2MDU3MmFkaXF6a2N4/document?format=pdf&amp;download=0 and (FY2015's own filing) https://find-and-update.company-information.service.gov.uk/company/02943300/filing-history/MzE1MDMxNDcxNGFkaXF6a2N4/document?format=pdf&amp;download=0.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AR2025's own restated FY2024 comparative balance sheet (note 36, 'Statement of financial position reclassification') moves broker commissions and interest receivable/payable between prepayments, loans and advances to customers, other liabilities and customer accounts, with no impact on profit or net assets - AR2025's FY2024 Total assets is £1,847,554k against AR2024's own originally published £1,848,494k, a further ~£940k gap beyond what note 36 explains. Per project convention, FY2024 uses AR2024's own originally published figures throughout (Total assets £1,848,494k), not the later restated comparative; the two years' FY2024 Total equity figures agree exactly (£100,043k) and the Profit &amp; Loss/ Statement of Changes in Equity figures for FY2024 are unaffected by the reclassification. Prior to 2024 the liquid-balances line is labelled 'Loans and advances to banks' (FY2021-FY2023); from 2024 it is labelled 'Cash at banks' - the same underlying balance, relabelled, not a new line.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FY2016's Group accounts restate FY2015's comparative balance sheet (note 34) splitting the single 'Tangible fixed assets' line (GBP7,942,105k combined, as FY2015's own filing shows it, net of the GBP50k Subordinated term loan asset) into separate Intangible/Tangible fixed asset lines (GBP3,079,139/GBP4,812,966) with an identical combined total and no equity impact; this workbook uses that split for FY2015 for structural consistency with all other years' Balance Sheet rows. 'Subordinated term loan' (an asset, GBP50k, FY2015-FY2016 only) is a small third-party loan note the Group held, unrelated to the GBP10m Tier 2 'Subordinated loan' liability the Bank itself issued in 2018 (see FY2018's Cash Flow Statement). 'Provisions for liabilities' (a small liability-side balance, FY2015-FY2018 only) was not separately disclosed on the Balance Sheet from FY2019 onward. DEBT SECURITIES MEASUREMENT BASIS: Note 32 'Financial instruments' of each Annual Report (the table of financial assets/liabilities by IFRS 9 measurement category) states 'Debt Securities' is entirely within 'Instruments measured at amortised cost' - not fair value through OCI or fair value through profit or loss - confirmed identically in AR2024 (p.71, FY2024/FY2023 columns: GBP248,749k/GBP146,097k - https://www.weatherbys.bank/app/uploads/2025/04/Weatherbys-Banking-Group-Annual-Report-2024.pdf) and AR2022 (Note 32, FY2022/FY2021 columns: GBP207,605k/GBP117,625k - https://www.weatherbys.bank/app/uploads/2023/05/Weatherbys-Banking-Group-Annual_Report-2022.pdf). No note discloses a further split of the balance by issuer type (UK government gilts/treasury bills/sovereign vs supranational/corporate/other) in any year reviewed - Note 17 'Debt securities' only reconciles cost, premiums/discounts and book value, and the maturity-gap table (Note 33) breaks the balance down by remaining term, not issuer, so the label below is a relabel of the existing single line (measurement basis only), not a multi-row split. FY2015-FY2020 are Companies House scanned-image filings with no machine-readable Note 32 equivalent to verify against; given the consistent 'amortised cost' classification across every machine-readable year (FY2021-FY2025) and no indication of a change in accounting policy, the same measurement basis is assumed - not independently re-verified - for FY2015-FY2020.</t>
        </is>
      </c>
    </row>
  </sheetData>
  <mergeCells count="1">
    <mergeCell ref="A33:L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Profit &amp; Loss</t>
        </is>
      </c>
    </row>
    <row r="2">
      <c r="A2" s="2" t="inlineStr">
        <is>
          <t>Weatherbys Banking Group consolidated income statement,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Income</t>
        </is>
      </c>
      <c r="B4" s="6" t="n"/>
      <c r="C4" s="6" t="n"/>
      <c r="D4" s="6" t="n"/>
      <c r="E4" s="6" t="n"/>
      <c r="F4" s="6" t="n"/>
      <c r="G4" s="6" t="n"/>
      <c r="H4" s="6" t="n"/>
      <c r="I4" s="6" t="n"/>
      <c r="J4" s="6" t="n"/>
      <c r="K4" s="6" t="n"/>
      <c r="L4" s="6" t="n"/>
    </row>
    <row r="5">
      <c r="A5" s="6" t="inlineStr">
        <is>
          <t>Interest receivable - arising from debt securities</t>
        </is>
      </c>
      <c r="B5" s="6" t="n">
        <v>12442</v>
      </c>
      <c r="C5" s="6" t="n">
        <v>12235</v>
      </c>
      <c r="D5" s="6" t="n">
        <v>8846</v>
      </c>
      <c r="E5" s="6" t="n">
        <v>2642</v>
      </c>
      <c r="F5" s="6" t="n">
        <v>655</v>
      </c>
      <c r="G5" s="6" t="n">
        <v>766</v>
      </c>
      <c r="H5" s="6" t="n">
        <v>1147</v>
      </c>
      <c r="I5" s="6" t="n">
        <v>804</v>
      </c>
      <c r="J5" s="6" t="n">
        <v>758</v>
      </c>
      <c r="K5" s="6" t="n">
        <v>762</v>
      </c>
      <c r="L5" s="6" t="n">
        <v>974</v>
      </c>
    </row>
    <row r="6">
      <c r="A6" s="6" t="inlineStr">
        <is>
          <t>Interest receivable - other interest and similar income</t>
        </is>
      </c>
      <c r="B6" s="6" t="n">
        <v>102751</v>
      </c>
      <c r="C6" s="6" t="n">
        <v>104058</v>
      </c>
      <c r="D6" s="6" t="n">
        <v>93591</v>
      </c>
      <c r="E6" s="6" t="n">
        <v>51278</v>
      </c>
      <c r="F6" s="6" t="n">
        <v>35361</v>
      </c>
      <c r="G6" s="6" t="n">
        <v>33377</v>
      </c>
      <c r="H6" s="6" t="n">
        <v>30938</v>
      </c>
      <c r="I6" s="6" t="n">
        <v>25935</v>
      </c>
      <c r="J6" s="6" t="n">
        <v>21645</v>
      </c>
      <c r="K6" s="6" t="n">
        <v>18852</v>
      </c>
      <c r="L6" s="6" t="n">
        <v>17024</v>
      </c>
    </row>
    <row r="7">
      <c r="A7" s="6" t="inlineStr">
        <is>
          <t>Interest payable</t>
        </is>
      </c>
      <c r="B7" s="6" t="n">
        <v>-36240</v>
      </c>
      <c r="C7" s="6" t="n">
        <v>-37279</v>
      </c>
      <c r="D7" s="6" t="n">
        <v>-24283</v>
      </c>
      <c r="E7" s="6" t="n">
        <v>-4733</v>
      </c>
      <c r="F7" s="6" t="n">
        <v>-3996</v>
      </c>
      <c r="G7" s="6" t="n">
        <v>-4706</v>
      </c>
      <c r="H7" s="6" t="n">
        <v>-3564</v>
      </c>
      <c r="I7" s="6" t="n">
        <v>-2788</v>
      </c>
      <c r="J7" s="6" t="n">
        <v>-2559</v>
      </c>
      <c r="K7" s="6" t="n">
        <v>-2377</v>
      </c>
      <c r="L7" s="6" t="n">
        <v>-2923</v>
      </c>
    </row>
    <row r="8">
      <c r="A8" s="5" t="inlineStr">
        <is>
          <t>Net interest income</t>
        </is>
      </c>
      <c r="B8" s="5" t="n">
        <v>78953</v>
      </c>
      <c r="C8" s="5" t="n">
        <v>79014</v>
      </c>
      <c r="D8" s="5" t="n">
        <v>78154</v>
      </c>
      <c r="E8" s="5" t="n">
        <v>49187</v>
      </c>
      <c r="F8" s="5" t="n">
        <v>32020</v>
      </c>
      <c r="G8" s="5" t="n">
        <v>29437</v>
      </c>
      <c r="H8" s="5" t="n">
        <v>28521</v>
      </c>
      <c r="I8" s="5" t="n">
        <v>23951</v>
      </c>
      <c r="J8" s="5" t="n">
        <v>19845</v>
      </c>
      <c r="K8" s="5" t="n">
        <v>17237</v>
      </c>
      <c r="L8" s="5" t="n">
        <v>15074</v>
      </c>
    </row>
    <row r="9">
      <c r="A9" s="6" t="inlineStr">
        <is>
          <t>Fees and commissions receivable: Group and share of joint venture (gross, FY2015-FY2020 only)</t>
        </is>
      </c>
      <c r="B9" s="6" t="n"/>
      <c r="C9" s="6" t="n"/>
      <c r="D9" s="6" t="n"/>
      <c r="E9" s="6" t="n"/>
      <c r="F9" s="6" t="n"/>
      <c r="G9" s="6" t="n">
        <v>5770</v>
      </c>
      <c r="H9" s="6" t="n">
        <v>6826</v>
      </c>
      <c r="I9" s="6" t="n">
        <v>6079</v>
      </c>
      <c r="J9" s="6" t="n">
        <v>5670</v>
      </c>
      <c r="K9" s="6" t="n">
        <v>4944</v>
      </c>
      <c r="L9" s="6" t="n">
        <v>4562</v>
      </c>
    </row>
    <row r="10">
      <c r="A10" s="6" t="inlineStr">
        <is>
          <t>Less: share of joint venture (fees, FY2015-FY2020 only)</t>
        </is>
      </c>
      <c r="B10" s="6" t="n"/>
      <c r="C10" s="6" t="n"/>
      <c r="D10" s="6" t="n"/>
      <c r="E10" s="6" t="n"/>
      <c r="F10" s="6" t="n"/>
      <c r="G10" s="6" t="n">
        <v>-1493</v>
      </c>
      <c r="H10" s="6" t="n">
        <v>-1698</v>
      </c>
      <c r="I10" s="6" t="n">
        <v>-1453</v>
      </c>
      <c r="J10" s="6" t="n">
        <v>-1274</v>
      </c>
      <c r="K10" s="6" t="n">
        <v>-1149</v>
      </c>
      <c r="L10" s="6" t="n">
        <v>-923</v>
      </c>
    </row>
    <row r="11">
      <c r="A11" s="6" t="inlineStr">
        <is>
          <t>Fees and commissions receivable</t>
        </is>
      </c>
      <c r="B11" s="6" t="n">
        <v>8973</v>
      </c>
      <c r="C11" s="6" t="n">
        <v>7852</v>
      </c>
      <c r="D11" s="6" t="n">
        <v>6796</v>
      </c>
      <c r="E11" s="6" t="n">
        <v>5862</v>
      </c>
      <c r="F11" s="6" t="n">
        <v>5118</v>
      </c>
      <c r="G11" s="6" t="n">
        <v>4278</v>
      </c>
      <c r="H11" s="6" t="n">
        <v>5127</v>
      </c>
      <c r="I11" s="6" t="n">
        <v>4627</v>
      </c>
      <c r="J11" s="6" t="n">
        <v>4396</v>
      </c>
      <c r="K11" s="6" t="n">
        <v>3795</v>
      </c>
      <c r="L11" s="6" t="n">
        <v>3639</v>
      </c>
    </row>
    <row r="12">
      <c r="A12" s="6" t="inlineStr">
        <is>
          <t>Fees and commissions payable</t>
        </is>
      </c>
      <c r="B12" s="6" t="n">
        <v>-1130</v>
      </c>
      <c r="C12" s="6" t="n">
        <v>-942</v>
      </c>
      <c r="D12" s="6" t="n">
        <v>-615</v>
      </c>
      <c r="E12" s="6" t="n">
        <v>-546</v>
      </c>
      <c r="F12" s="6" t="n">
        <v>-493</v>
      </c>
      <c r="G12" s="6" t="n">
        <v>-673</v>
      </c>
      <c r="H12" s="6" t="n">
        <v>-685</v>
      </c>
      <c r="I12" s="6" t="n">
        <v>-539</v>
      </c>
      <c r="J12" s="6" t="n">
        <v>-380</v>
      </c>
      <c r="K12" s="6" t="n">
        <v>-385</v>
      </c>
      <c r="L12" s="6" t="n">
        <v>-518</v>
      </c>
    </row>
    <row r="13">
      <c r="A13" s="6" t="inlineStr">
        <is>
          <t>Rent receivable</t>
        </is>
      </c>
      <c r="B13" s="6" t="n"/>
      <c r="C13" s="6" t="n"/>
      <c r="D13" s="6" t="n">
        <v>84</v>
      </c>
      <c r="E13" s="6" t="n"/>
      <c r="F13" s="6" t="n"/>
      <c r="G13" s="6" t="n">
        <v>130</v>
      </c>
      <c r="H13" s="6" t="n">
        <v>310</v>
      </c>
      <c r="I13" s="6" t="n">
        <v>310</v>
      </c>
      <c r="J13" s="6" t="n">
        <v>310</v>
      </c>
      <c r="K13" s="6" t="n">
        <v>310</v>
      </c>
      <c r="L13" s="6" t="n">
        <v>363</v>
      </c>
    </row>
    <row r="14">
      <c r="A14" s="6" t="inlineStr">
        <is>
          <t>Other operating income</t>
        </is>
      </c>
      <c r="B14" s="6" t="n">
        <v>4299</v>
      </c>
      <c r="C14" s="6" t="n">
        <v>4502</v>
      </c>
      <c r="D14" s="6" t="n">
        <v>4007</v>
      </c>
      <c r="E14" s="6" t="n">
        <v>3526</v>
      </c>
      <c r="F14" s="6" t="n">
        <v>3130</v>
      </c>
      <c r="G14" s="6" t="n">
        <v>2523</v>
      </c>
      <c r="H14" s="6" t="n">
        <v>2697</v>
      </c>
      <c r="I14" s="6" t="n">
        <v>2440</v>
      </c>
      <c r="J14" s="6" t="n">
        <v>2211</v>
      </c>
      <c r="K14" s="6" t="n">
        <v>2064</v>
      </c>
      <c r="L14" s="6" t="n">
        <v>1944</v>
      </c>
    </row>
    <row r="15">
      <c r="A15" s="5" t="inlineStr">
        <is>
          <t>Operating income</t>
        </is>
      </c>
      <c r="B15" s="5" t="n">
        <v>91095</v>
      </c>
      <c r="C15" s="5" t="n">
        <v>90426</v>
      </c>
      <c r="D15" s="5" t="n">
        <v>88426</v>
      </c>
      <c r="E15" s="5" t="n">
        <v>58029</v>
      </c>
      <c r="F15" s="5" t="n">
        <v>39775</v>
      </c>
      <c r="G15" s="5" t="n">
        <v>35695</v>
      </c>
      <c r="H15" s="5" t="n">
        <v>35970</v>
      </c>
      <c r="I15" s="5" t="n">
        <v>30789</v>
      </c>
      <c r="J15" s="5" t="n">
        <v>26382</v>
      </c>
      <c r="K15" s="5" t="n">
        <v>23021</v>
      </c>
      <c r="L15" s="5" t="n">
        <v>20502</v>
      </c>
    </row>
    <row r="16">
      <c r="A16" s="5" t="inlineStr">
        <is>
          <t>Operating expenses</t>
        </is>
      </c>
      <c r="B16" s="6" t="n"/>
      <c r="C16" s="6" t="n"/>
      <c r="D16" s="6" t="n"/>
      <c r="E16" s="6" t="n"/>
      <c r="F16" s="6" t="n"/>
      <c r="G16" s="6" t="n"/>
      <c r="H16" s="6" t="n"/>
      <c r="I16" s="6" t="n"/>
      <c r="J16" s="6" t="n"/>
      <c r="K16" s="6" t="n"/>
      <c r="L16" s="6" t="n"/>
    </row>
    <row r="17">
      <c r="A17" s="6" t="inlineStr">
        <is>
          <t>(Loss)/gain on value of derivatives</t>
        </is>
      </c>
      <c r="B17" s="6" t="n">
        <v>-673</v>
      </c>
      <c r="C17" s="6" t="n">
        <v>117</v>
      </c>
      <c r="D17" s="6" t="n">
        <v>75</v>
      </c>
      <c r="E17" s="6" t="n">
        <v>76</v>
      </c>
      <c r="F17" s="6" t="n">
        <v>2362</v>
      </c>
      <c r="G17" s="6" t="n">
        <v>-1355</v>
      </c>
      <c r="H17" s="6" t="n">
        <v>-822</v>
      </c>
      <c r="I17" s="6" t="n">
        <v>136</v>
      </c>
      <c r="J17" s="6" t="n">
        <v>150</v>
      </c>
      <c r="K17" s="6" t="n">
        <v>-252</v>
      </c>
      <c r="L17" s="6" t="n">
        <v>29</v>
      </c>
    </row>
    <row r="18">
      <c r="A18" s="6" t="inlineStr">
        <is>
          <t>(Loss)/Gain on investment property</t>
        </is>
      </c>
      <c r="B18" s="6" t="n"/>
      <c r="C18" s="6" t="n"/>
      <c r="D18" s="6" t="n"/>
      <c r="E18" s="6" t="n"/>
      <c r="F18" s="6" t="n"/>
      <c r="G18" s="6" t="n"/>
      <c r="H18" s="6" t="n"/>
      <c r="I18" s="6" t="n"/>
      <c r="J18" s="6" t="n"/>
      <c r="K18" s="6" t="n">
        <v>-149</v>
      </c>
      <c r="L18" s="6" t="n">
        <v>1055</v>
      </c>
    </row>
    <row r="19">
      <c r="A19" s="6" t="inlineStr">
        <is>
          <t>Administrative expenses</t>
        </is>
      </c>
      <c r="B19" s="6" t="n">
        <v>-65873</v>
      </c>
      <c r="C19" s="6" t="n">
        <v>-55163</v>
      </c>
      <c r="D19" s="6" t="n">
        <v>-50274</v>
      </c>
      <c r="E19" s="6" t="n">
        <v>-39014</v>
      </c>
      <c r="F19" s="6" t="n">
        <v>-31654</v>
      </c>
      <c r="G19" s="6" t="n">
        <v>-26942</v>
      </c>
      <c r="H19" s="6" t="n">
        <v>-25426</v>
      </c>
      <c r="I19" s="6" t="n">
        <v>-21661</v>
      </c>
      <c r="J19" s="6" t="n">
        <v>-19315</v>
      </c>
      <c r="K19" s="6" t="n">
        <v>-16391</v>
      </c>
      <c r="L19" s="6" t="n">
        <v>-13534</v>
      </c>
    </row>
    <row r="20">
      <c r="A20" s="6" t="inlineStr">
        <is>
          <t>Depreciation and amortisation</t>
        </is>
      </c>
      <c r="B20" s="6" t="n">
        <v>-7065</v>
      </c>
      <c r="C20" s="6" t="n">
        <v>-4505</v>
      </c>
      <c r="D20" s="6" t="n">
        <v>-2758</v>
      </c>
      <c r="E20" s="6" t="n">
        <v>-2786</v>
      </c>
      <c r="F20" s="6" t="n">
        <v>-2402</v>
      </c>
      <c r="G20" s="6" t="n">
        <v>-1794</v>
      </c>
      <c r="H20" s="6" t="n">
        <v>-1204</v>
      </c>
      <c r="I20" s="6" t="n">
        <v>-1060</v>
      </c>
      <c r="J20" s="6" t="n">
        <v>-805</v>
      </c>
      <c r="K20" s="6" t="n">
        <v>-434</v>
      </c>
      <c r="L20" s="6" t="n">
        <v>-115</v>
      </c>
    </row>
    <row r="21">
      <c r="A21" s="5" t="inlineStr">
        <is>
          <t>Total operating expenses (sum of Administrative expenses + Depreciation and amortisation - excludes derivative/property valuation movements, credit impairment, and joint venture share)</t>
        </is>
      </c>
      <c r="B21" s="5" t="n">
        <v>-72938</v>
      </c>
      <c r="C21" s="5" t="n">
        <v>-59668</v>
      </c>
      <c r="D21" s="5" t="n">
        <v>-53032</v>
      </c>
      <c r="E21" s="5" t="n">
        <v>-41800</v>
      </c>
      <c r="F21" s="5" t="n">
        <v>-34056</v>
      </c>
      <c r="G21" s="5" t="n">
        <v>-28736</v>
      </c>
      <c r="H21" s="5" t="n">
        <v>-26630</v>
      </c>
      <c r="I21" s="5" t="n">
        <v>-22721</v>
      </c>
      <c r="J21" s="5" t="n">
        <v>-20120</v>
      </c>
      <c r="K21" s="5" t="n">
        <v>-16825</v>
      </c>
      <c r="L21" s="5" t="n">
        <v>-13649</v>
      </c>
    </row>
    <row r="22">
      <c r="A22" s="6" t="inlineStr">
        <is>
          <t>Impairment charge on loans and advances</t>
        </is>
      </c>
      <c r="B22" s="6" t="n">
        <v>-4648</v>
      </c>
      <c r="C22" s="6" t="n">
        <v>-4571</v>
      </c>
      <c r="D22" s="6" t="n">
        <v>-2784</v>
      </c>
      <c r="E22" s="6" t="n">
        <v>-1400</v>
      </c>
      <c r="F22" s="6" t="n">
        <v>-1559</v>
      </c>
      <c r="G22" s="6" t="n">
        <v>-3298</v>
      </c>
      <c r="H22" s="6" t="n">
        <v>-795</v>
      </c>
      <c r="I22" s="6" t="n">
        <v>-809</v>
      </c>
      <c r="J22" s="6" t="n">
        <v>-836</v>
      </c>
      <c r="K22" s="6" t="n">
        <v>-250</v>
      </c>
      <c r="L22" s="6" t="n">
        <v>-497</v>
      </c>
    </row>
    <row r="23">
      <c r="A23" s="6" t="inlineStr">
        <is>
          <t>Other provisions for liabilities</t>
        </is>
      </c>
      <c r="B23" s="6" t="n"/>
      <c r="C23" s="6" t="n"/>
      <c r="D23" s="6" t="n"/>
      <c r="E23" s="6" t="n"/>
      <c r="F23" s="6" t="n"/>
      <c r="G23" s="6" t="n"/>
      <c r="H23" s="6" t="n">
        <v>8</v>
      </c>
      <c r="I23" s="6" t="n">
        <v>0</v>
      </c>
      <c r="J23" s="6" t="n">
        <v>-15</v>
      </c>
      <c r="K23" s="6" t="n">
        <v>-30</v>
      </c>
      <c r="L23" s="6" t="n">
        <v>-95</v>
      </c>
    </row>
    <row r="24">
      <c r="A24" s="6" t="inlineStr">
        <is>
          <t>Share of operating profit in joint venture</t>
        </is>
      </c>
      <c r="B24" s="6" t="n"/>
      <c r="C24" s="6" t="n">
        <v>400</v>
      </c>
      <c r="D24" s="6" t="n">
        <v>400</v>
      </c>
      <c r="E24" s="6" t="n">
        <v>340</v>
      </c>
      <c r="F24" s="6" t="n">
        <v>280</v>
      </c>
      <c r="G24" s="6" t="n">
        <v>268</v>
      </c>
      <c r="H24" s="6" t="n">
        <v>270</v>
      </c>
      <c r="I24" s="6" t="n">
        <v>240</v>
      </c>
      <c r="J24" s="6" t="n">
        <v>180</v>
      </c>
      <c r="K24" s="6" t="n">
        <v>190</v>
      </c>
      <c r="L24" s="6" t="n">
        <v>184</v>
      </c>
    </row>
    <row r="25">
      <c r="A25" s="5" t="inlineStr">
        <is>
          <t>Operating profit before exceptional items and tax</t>
        </is>
      </c>
      <c r="B25" s="5" t="n">
        <v>12836</v>
      </c>
      <c r="C25" s="5" t="n">
        <v>26704</v>
      </c>
      <c r="D25" s="5" t="n">
        <v>33085</v>
      </c>
      <c r="E25" s="5" t="n">
        <v>15245</v>
      </c>
      <c r="F25" s="5" t="n">
        <v>6802</v>
      </c>
      <c r="G25" s="5" t="n">
        <v>2573</v>
      </c>
      <c r="H25" s="5" t="n">
        <v>8001</v>
      </c>
      <c r="I25" s="5" t="n">
        <v>7634</v>
      </c>
      <c r="J25" s="5" t="n">
        <v>5740</v>
      </c>
      <c r="K25" s="5" t="n">
        <v>5705</v>
      </c>
      <c r="L25" s="5" t="n">
        <v>7529</v>
      </c>
    </row>
    <row r="26">
      <c r="A26" s="6" t="inlineStr">
        <is>
          <t>Exceptional item</t>
        </is>
      </c>
      <c r="B26" s="6" t="n">
        <v>10238</v>
      </c>
      <c r="C26" s="6" t="n">
        <v>-2128</v>
      </c>
      <c r="D26" s="6" t="n"/>
      <c r="E26" s="6" t="n"/>
      <c r="F26" s="6" t="n"/>
      <c r="G26" s="6" t="n"/>
      <c r="H26" s="6" t="n"/>
      <c r="I26" s="6" t="n"/>
      <c r="J26" s="6" t="n"/>
      <c r="K26" s="6" t="n">
        <v>1079</v>
      </c>
      <c r="L26" s="6" t="n"/>
    </row>
    <row r="27">
      <c r="A27" s="5" t="inlineStr">
        <is>
          <t>Operating profit before tax</t>
        </is>
      </c>
      <c r="B27" s="5" t="n">
        <v>23074</v>
      </c>
      <c r="C27" s="5" t="n">
        <v>24576</v>
      </c>
      <c r="D27" s="5" t="n">
        <v>33085</v>
      </c>
      <c r="E27" s="5" t="n">
        <v>15245</v>
      </c>
      <c r="F27" s="5" t="n">
        <v>6802</v>
      </c>
      <c r="G27" s="5" t="n">
        <v>2573</v>
      </c>
      <c r="H27" s="5" t="n">
        <v>8001</v>
      </c>
      <c r="I27" s="5" t="n">
        <v>7634</v>
      </c>
      <c r="J27" s="5" t="n">
        <v>5740</v>
      </c>
      <c r="K27" s="5" t="n">
        <v>6784</v>
      </c>
      <c r="L27" s="5" t="n">
        <v>7529</v>
      </c>
    </row>
    <row r="28">
      <c r="A28" s="6" t="inlineStr">
        <is>
          <t>Taxation on profit</t>
        </is>
      </c>
      <c r="B28" s="6" t="n">
        <v>-3830</v>
      </c>
      <c r="C28" s="6" t="n">
        <v>-6306</v>
      </c>
      <c r="D28" s="6" t="n">
        <v>-8350</v>
      </c>
      <c r="E28" s="6" t="n">
        <v>-3336</v>
      </c>
      <c r="F28" s="6" t="n">
        <v>-1596</v>
      </c>
      <c r="G28" s="6" t="n">
        <v>-642</v>
      </c>
      <c r="H28" s="6" t="n">
        <v>-1855</v>
      </c>
      <c r="I28" s="6" t="n">
        <v>-1550</v>
      </c>
      <c r="J28" s="6" t="n">
        <v>-1313</v>
      </c>
      <c r="K28" s="6" t="n">
        <v>-1463</v>
      </c>
      <c r="L28" s="6" t="n">
        <v>-1587</v>
      </c>
    </row>
    <row r="29">
      <c r="A29" s="5" t="inlineStr">
        <is>
          <t>Profit for the financial year</t>
        </is>
      </c>
      <c r="B29" s="5" t="n">
        <v>19244</v>
      </c>
      <c r="C29" s="5" t="n">
        <v>18270</v>
      </c>
      <c r="D29" s="5" t="n">
        <v>24735</v>
      </c>
      <c r="E29" s="5" t="n">
        <v>11909</v>
      </c>
      <c r="F29" s="5" t="n">
        <v>5206</v>
      </c>
      <c r="G29" s="5" t="n">
        <v>1931</v>
      </c>
      <c r="H29" s="5" t="n">
        <v>6146</v>
      </c>
      <c r="I29" s="5" t="n">
        <v>6084</v>
      </c>
      <c r="J29" s="5" t="n">
        <v>4428</v>
      </c>
      <c r="K29" s="5" t="n">
        <v>5321</v>
      </c>
      <c r="L29" s="5" t="n">
        <v>5942</v>
      </c>
    </row>
    <row r="30">
      <c r="A30" s="5" t="inlineStr">
        <is>
          <t>Other comprehensive income</t>
        </is>
      </c>
      <c r="B30" s="6" t="n"/>
      <c r="C30" s="6" t="n"/>
      <c r="D30" s="6" t="n"/>
      <c r="E30" s="6" t="n"/>
      <c r="F30" s="6" t="n"/>
      <c r="G30" s="6" t="n"/>
      <c r="H30" s="6" t="n"/>
      <c r="I30" s="6" t="n"/>
      <c r="J30" s="6" t="n"/>
      <c r="K30" s="6" t="n"/>
      <c r="L30" s="6" t="n"/>
    </row>
    <row r="31">
      <c r="A31" s="6" t="inlineStr">
        <is>
          <t>Revaluation of tangible fixed assets</t>
        </is>
      </c>
      <c r="B31" s="6" t="n">
        <v>-173</v>
      </c>
      <c r="C31" s="6" t="n">
        <v>-118</v>
      </c>
      <c r="D31" s="6" t="n">
        <v>-244</v>
      </c>
      <c r="E31" s="6" t="n">
        <v>-209</v>
      </c>
      <c r="F31" s="6" t="n">
        <v>458</v>
      </c>
      <c r="G31" s="6" t="n">
        <v>-617</v>
      </c>
      <c r="H31" s="6" t="n">
        <v>-336</v>
      </c>
      <c r="I31" s="6" t="n">
        <v>27</v>
      </c>
      <c r="J31" s="6" t="n">
        <v>11</v>
      </c>
      <c r="K31" s="6" t="n">
        <v>58</v>
      </c>
      <c r="L31" s="6" t="n">
        <v>338</v>
      </c>
    </row>
    <row r="32">
      <c r="A32" s="5" t="inlineStr">
        <is>
          <t>Total comprehensive income for the year</t>
        </is>
      </c>
      <c r="B32" s="5" t="n">
        <v>19071</v>
      </c>
      <c r="C32" s="5" t="n">
        <v>18152</v>
      </c>
      <c r="D32" s="5" t="n">
        <v>24491</v>
      </c>
      <c r="E32" s="5" t="n">
        <v>11700</v>
      </c>
      <c r="F32" s="5" t="n">
        <v>5664</v>
      </c>
      <c r="G32" s="5" t="n">
        <v>1314</v>
      </c>
      <c r="H32" s="5" t="n">
        <v>5810</v>
      </c>
      <c r="I32" s="5" t="n">
        <v>6111</v>
      </c>
      <c r="J32" s="5" t="n">
        <v>4439</v>
      </c>
      <c r="K32" s="5" t="n">
        <v>5379</v>
      </c>
      <c r="L32" s="5" t="n">
        <v>6280</v>
      </c>
    </row>
    <row r="34" ht="220" customHeight="1">
      <c r="A34" s="8" t="inlineStr">
        <is>
          <t>Sources - Weatherbys Banking Group consolidated income statement, GBP'000: FY2025: Annual Report and Financial Accounts 2025, p.58 - https://www.weatherbys.bank/weatherbys-banking-group-annual-report-2025/; FY2024: Annual Report &amp; Accounts 2024, p.39 - https://www.weatherbys.bank/app/uploads/2025/04/Weatherbys-Banking-Group-Annual-Report-2024.pdf; FY2023: Annual Report &amp; Accounts 2023, pp.44-45 - https://www.weatherbys.bank/app/uploads/2024/05/Weatherbys-Banking-Group-Annual-Report-2023.pdf; FY2022/FY2021: Annual Report &amp; Accounts 2022, p.40 - https://www.weatherbys.bank/app/uploads/2023/05/Weatherbys-Banking-Group-Annual_Report-2022.pdf; FY2020/FY2019: Group accounts made up to 31 Dec 2020, p.26 (Consolidated income statement) - https://find-and-update.company-information.service.gov.uk/company/02943300/filing-history/MzMxMjkxNjk5MmFkaXF6a2N4/document?format=pdf&amp;download=0; FY2018/FY2017: Group accounts made up to 31 Dec 2018, p.18 - https://find-and-update.company-information.service.gov.uk/company/02943300/filing-history/MzIzODIyOTM2NWFkaXF6a2N4/document?format=pdf&amp;download=0; FY2016/FY2015: Group accounts made up to 31 Dec 2016, p.8 -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FY2025's exceptional item is a £10,238k gain (sale of subsidiary/tangible fixed assets, matching the Cash Flow Statement's disposal line); FY2024's exceptional item is a £2,128k charge; FY2016's exceptional item is a £1,079k gain (per its own income statement, no further breakdown given); FY2023/FY2022/FY2021/FY2020/FY2019/FY2018/FY2017/FY2015 had no exceptional item line. FY2023 additionally discloses a small Rent Receivable line (£84k); FY2015-FY2020 all disclose a Rent Receivable line too (this stopped being separately reported FY2021-FY2022, briefly resumed FY2023, then stopped again).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FY2015-FY2020's income statements break Fees and commissions receivable into a gross 'Group and share of joint venture' figure less a 'Less: share of joint venture' deduction, arriving at the net Fees and commissions receivable figure this workbook's row of that name always shows (FY2021 onward's income statement no longer discloses that gross/deduction split, only the net-equivalent figure - the JV's operating-profit share is instead only shown via the separate 'Share of operating profit in joint venture' line, present in all years). FY2015/FY2016 uniquely disclose a '(Loss)/Gain on investment property' line (the Bank held an investment property in those years); FY2015-FY2019 uniquely disclose an 'Other provisions for liabilities' line (a small non-loan provision movement) that is nil/not separately shown from FY2020 onward.</t>
        </is>
      </c>
    </row>
  </sheetData>
  <mergeCells count="1">
    <mergeCell ref="A34:L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Weatherbys Bank Limited — Statement of Changes in Equity</t>
        </is>
      </c>
    </row>
    <row r="2">
      <c r="A2" s="2" t="inlineStr">
        <is>
          <t>Weatherbys Banking Group consolidated statement of changes in equity, GBP'000. Chronological, oldest to newest.</t>
        </is>
      </c>
    </row>
    <row r="3">
      <c r="A3" s="4" t="inlineStr">
        <is>
          <t>Movement</t>
        </is>
      </c>
      <c r="B3" s="4" t="inlineStr">
        <is>
          <t>Share capital</t>
        </is>
      </c>
      <c r="C3" s="4" t="inlineStr">
        <is>
          <t>Contingent Convertible Securities</t>
        </is>
      </c>
      <c r="D3" s="4" t="inlineStr">
        <is>
          <t>Revaluation reserve</t>
        </is>
      </c>
      <c r="E3" s="4" t="inlineStr">
        <is>
          <t>Profit &amp; loss account</t>
        </is>
      </c>
      <c r="F3" s="4" t="inlineStr">
        <is>
          <t>Total equity</t>
        </is>
      </c>
    </row>
    <row r="4">
      <c r="A4" s="6" t="inlineStr">
        <is>
          <t>1 January 2015</t>
        </is>
      </c>
      <c r="B4" s="6" t="n">
        <v>7000</v>
      </c>
      <c r="C4" s="6" t="n"/>
      <c r="D4" s="6" t="n">
        <v>1036</v>
      </c>
      <c r="E4" s="6" t="n">
        <v>18978</v>
      </c>
      <c r="F4" s="6" t="n">
        <v>27014</v>
      </c>
    </row>
    <row r="5">
      <c r="A5" s="6" t="inlineStr">
        <is>
          <t>Profit for the year</t>
        </is>
      </c>
      <c r="B5" s="6" t="n"/>
      <c r="C5" s="6" t="n"/>
      <c r="D5" s="6" t="n"/>
      <c r="E5" s="6" t="n">
        <v>5942</v>
      </c>
      <c r="F5" s="6" t="n">
        <v>5942</v>
      </c>
    </row>
    <row r="6">
      <c r="A6" s="6" t="inlineStr">
        <is>
          <t>Revaluation of non-investment property</t>
        </is>
      </c>
      <c r="B6" s="6" t="n"/>
      <c r="C6" s="6" t="n"/>
      <c r="D6" s="6" t="n">
        <v>338</v>
      </c>
      <c r="E6" s="6" t="n"/>
      <c r="F6" s="6" t="n">
        <v>338</v>
      </c>
    </row>
    <row r="7">
      <c r="A7" s="5" t="inlineStr">
        <is>
          <t>Total comprehensive income for the year</t>
        </is>
      </c>
      <c r="B7" s="5" t="n"/>
      <c r="C7" s="5" t="n"/>
      <c r="D7" s="5" t="n">
        <v>338</v>
      </c>
      <c r="E7" s="5" t="n">
        <v>5942</v>
      </c>
      <c r="F7" s="5" t="n">
        <v>6280</v>
      </c>
    </row>
    <row r="8">
      <c r="A8" s="6" t="inlineStr">
        <is>
          <t>Dividends</t>
        </is>
      </c>
      <c r="B8" s="6" t="n"/>
      <c r="C8" s="6" t="n"/>
      <c r="D8" s="6" t="n"/>
      <c r="E8" s="6" t="n">
        <v>-1140</v>
      </c>
      <c r="F8" s="6" t="n">
        <v>-1140</v>
      </c>
    </row>
    <row r="9">
      <c r="A9" s="5" t="inlineStr">
        <is>
          <t>31 December 2015</t>
        </is>
      </c>
      <c r="B9" s="5" t="n">
        <v>7000</v>
      </c>
      <c r="C9" s="5" t="n"/>
      <c r="D9" s="5" t="n">
        <v>1374</v>
      </c>
      <c r="E9" s="5" t="n">
        <v>23780</v>
      </c>
      <c r="F9" s="5" t="n">
        <v>32154</v>
      </c>
    </row>
    <row r="10">
      <c r="A10" s="6" t="inlineStr">
        <is>
          <t>Profit for the year</t>
        </is>
      </c>
      <c r="B10" s="6" t="n"/>
      <c r="C10" s="6" t="n"/>
      <c r="D10" s="6" t="n"/>
      <c r="E10" s="6" t="n">
        <v>5321</v>
      </c>
      <c r="F10" s="6" t="n">
        <v>5321</v>
      </c>
    </row>
    <row r="11">
      <c r="A11" s="6" t="inlineStr">
        <is>
          <t>Revaluation of non-investment property</t>
        </is>
      </c>
      <c r="B11" s="6" t="n"/>
      <c r="C11" s="6" t="n"/>
      <c r="D11" s="6" t="n">
        <v>58</v>
      </c>
      <c r="E11" s="6" t="n"/>
      <c r="F11" s="6" t="n">
        <v>58</v>
      </c>
    </row>
    <row r="12">
      <c r="A12" s="5" t="inlineStr">
        <is>
          <t>Total comprehensive income for the year</t>
        </is>
      </c>
      <c r="B12" s="5" t="n"/>
      <c r="C12" s="5" t="n"/>
      <c r="D12" s="5" t="n">
        <v>58</v>
      </c>
      <c r="E12" s="5" t="n">
        <v>5321</v>
      </c>
      <c r="F12" s="5" t="n">
        <v>5379</v>
      </c>
    </row>
    <row r="13">
      <c r="A13" s="6" t="inlineStr">
        <is>
          <t>Dividends</t>
        </is>
      </c>
      <c r="B13" s="6" t="n"/>
      <c r="C13" s="6" t="n"/>
      <c r="D13" s="6" t="n"/>
      <c r="E13" s="6" t="n">
        <v>-1520</v>
      </c>
      <c r="F13" s="6" t="n">
        <v>-1520</v>
      </c>
    </row>
    <row r="14">
      <c r="A14" s="5" t="inlineStr">
        <is>
          <t>31 December 2016</t>
        </is>
      </c>
      <c r="B14" s="5" t="n">
        <v>7000</v>
      </c>
      <c r="C14" s="5" t="n"/>
      <c r="D14" s="5" t="n">
        <v>1432</v>
      </c>
      <c r="E14" s="5" t="n">
        <v>27581</v>
      </c>
      <c r="F14" s="5" t="n">
        <v>36012</v>
      </c>
    </row>
    <row r="15">
      <c r="A15" s="6" t="inlineStr">
        <is>
          <t>Profit for the year</t>
        </is>
      </c>
      <c r="B15" s="6" t="n"/>
      <c r="C15" s="6" t="n"/>
      <c r="D15" s="6" t="n"/>
      <c r="E15" s="6" t="n">
        <v>4428</v>
      </c>
      <c r="F15" s="6" t="n">
        <v>4428</v>
      </c>
    </row>
    <row r="16">
      <c r="A16" s="6" t="inlineStr">
        <is>
          <t>Revaluation of tangible fixed assets</t>
        </is>
      </c>
      <c r="B16" s="6" t="n"/>
      <c r="C16" s="6" t="n"/>
      <c r="D16" s="6" t="n">
        <v>11</v>
      </c>
      <c r="E16" s="6" t="n"/>
      <c r="F16" s="6" t="n">
        <v>11</v>
      </c>
    </row>
    <row r="17">
      <c r="A17" s="5" t="inlineStr">
        <is>
          <t>Total comprehensive income for the year</t>
        </is>
      </c>
      <c r="B17" s="5" t="n"/>
      <c r="C17" s="5" t="n"/>
      <c r="D17" s="5" t="n">
        <v>11</v>
      </c>
      <c r="E17" s="5" t="n">
        <v>4428</v>
      </c>
      <c r="F17" s="5" t="n">
        <v>4439</v>
      </c>
    </row>
    <row r="18">
      <c r="A18" s="6" t="inlineStr">
        <is>
          <t>Dividends</t>
        </is>
      </c>
      <c r="B18" s="6" t="n"/>
      <c r="C18" s="6" t="n"/>
      <c r="D18" s="6" t="n"/>
      <c r="E18" s="6" t="n">
        <v>-1250</v>
      </c>
      <c r="F18" s="6" t="n">
        <v>-1250</v>
      </c>
    </row>
    <row r="19">
      <c r="A19" s="5" t="inlineStr">
        <is>
          <t>31 December 2017</t>
        </is>
      </c>
      <c r="B19" s="5" t="n">
        <v>7000</v>
      </c>
      <c r="C19" s="5" t="n"/>
      <c r="D19" s="5" t="n">
        <v>1443</v>
      </c>
      <c r="E19" s="5" t="n">
        <v>30758</v>
      </c>
      <c r="F19" s="5" t="n">
        <v>39201</v>
      </c>
    </row>
    <row r="20">
      <c r="A20" s="6" t="inlineStr">
        <is>
          <t>Profit for the year</t>
        </is>
      </c>
      <c r="B20" s="6" t="n"/>
      <c r="C20" s="6" t="n"/>
      <c r="D20" s="6" t="n"/>
      <c r="E20" s="6" t="n">
        <v>6084</v>
      </c>
      <c r="F20" s="6" t="n">
        <v>6084</v>
      </c>
    </row>
    <row r="21">
      <c r="A21" s="6" t="inlineStr">
        <is>
          <t>Revaluation of tangible fixed assets</t>
        </is>
      </c>
      <c r="B21" s="6" t="n"/>
      <c r="C21" s="6" t="n"/>
      <c r="D21" s="6" t="n">
        <v>27</v>
      </c>
      <c r="E21" s="6" t="n"/>
      <c r="F21" s="6" t="n">
        <v>27</v>
      </c>
    </row>
    <row r="22">
      <c r="A22" s="5" t="inlineStr">
        <is>
          <t>Total comprehensive income for the year</t>
        </is>
      </c>
      <c r="B22" s="5" t="n"/>
      <c r="C22" s="5" t="n"/>
      <c r="D22" s="5" t="n">
        <v>27</v>
      </c>
      <c r="E22" s="5" t="n">
        <v>6084</v>
      </c>
      <c r="F22" s="5" t="n">
        <v>6111</v>
      </c>
    </row>
    <row r="23">
      <c r="A23" s="6" t="inlineStr">
        <is>
          <t>Dividends</t>
        </is>
      </c>
      <c r="B23" s="6" t="n"/>
      <c r="C23" s="6" t="n"/>
      <c r="D23" s="6" t="n"/>
      <c r="E23" s="6" t="n">
        <v>-1750</v>
      </c>
      <c r="F23" s="6" t="n">
        <v>-1750</v>
      </c>
    </row>
    <row r="24">
      <c r="A24" s="5" t="inlineStr">
        <is>
          <t>31 December 2018</t>
        </is>
      </c>
      <c r="B24" s="5" t="n">
        <v>7000</v>
      </c>
      <c r="C24" s="5" t="n"/>
      <c r="D24" s="5" t="n">
        <v>1470</v>
      </c>
      <c r="E24" s="5" t="n">
        <v>35092</v>
      </c>
      <c r="F24" s="5" t="n">
        <v>43562</v>
      </c>
    </row>
    <row r="25">
      <c r="A25" s="6" t="inlineStr">
        <is>
          <t>Profit for the year</t>
        </is>
      </c>
      <c r="B25" s="6" t="n"/>
      <c r="C25" s="6" t="n"/>
      <c r="D25" s="6" t="n"/>
      <c r="E25" s="6" t="n">
        <v>6146</v>
      </c>
      <c r="F25" s="6" t="n">
        <v>6146</v>
      </c>
    </row>
    <row r="26">
      <c r="A26" s="6" t="inlineStr">
        <is>
          <t>Revaluation of tangible fixed assets</t>
        </is>
      </c>
      <c r="B26" s="6" t="n"/>
      <c r="C26" s="6" t="n"/>
      <c r="D26" s="6" t="n">
        <v>-336</v>
      </c>
      <c r="E26" s="6" t="n"/>
      <c r="F26" s="6" t="n">
        <v>-336</v>
      </c>
    </row>
    <row r="27">
      <c r="A27" s="5" t="inlineStr">
        <is>
          <t>Total comprehensive income for the year</t>
        </is>
      </c>
      <c r="B27" s="5" t="n"/>
      <c r="C27" s="5" t="n"/>
      <c r="D27" s="5" t="n">
        <v>-336</v>
      </c>
      <c r="E27" s="5" t="n">
        <v>6146</v>
      </c>
      <c r="F27" s="5" t="n">
        <v>5810</v>
      </c>
    </row>
    <row r="28">
      <c r="A28" s="6" t="inlineStr">
        <is>
          <t>Dividends</t>
        </is>
      </c>
      <c r="B28" s="6" t="n"/>
      <c r="C28" s="6" t="n"/>
      <c r="D28" s="6" t="n"/>
      <c r="E28" s="6" t="n">
        <v>-2050</v>
      </c>
      <c r="F28" s="6" t="n">
        <v>-2050</v>
      </c>
    </row>
    <row r="29">
      <c r="A29" s="5" t="inlineStr">
        <is>
          <t>31 December 2019</t>
        </is>
      </c>
      <c r="B29" s="5" t="n">
        <v>7000</v>
      </c>
      <c r="C29" s="5" t="n"/>
      <c r="D29" s="5" t="n">
        <v>1133</v>
      </c>
      <c r="E29" s="5" t="n">
        <v>39188</v>
      </c>
      <c r="F29" s="5" t="n">
        <v>47322</v>
      </c>
    </row>
    <row r="30">
      <c r="A30" s="6" t="inlineStr">
        <is>
          <t>Profit for the year</t>
        </is>
      </c>
      <c r="B30" s="6" t="n"/>
      <c r="C30" s="6" t="n"/>
      <c r="D30" s="6" t="n"/>
      <c r="E30" s="6" t="n">
        <v>1931</v>
      </c>
      <c r="F30" s="6" t="n">
        <v>1931</v>
      </c>
    </row>
    <row r="31">
      <c r="A31" s="6" t="inlineStr">
        <is>
          <t>Revaluation of tangible fixed assets</t>
        </is>
      </c>
      <c r="B31" s="6" t="n"/>
      <c r="C31" s="6" t="n"/>
      <c r="D31" s="6" t="n">
        <v>-617</v>
      </c>
      <c r="E31" s="6" t="n"/>
      <c r="F31" s="6" t="n">
        <v>-617</v>
      </c>
    </row>
    <row r="32">
      <c r="A32" s="5" t="inlineStr">
        <is>
          <t>Total comprehensive income for the year</t>
        </is>
      </c>
      <c r="B32" s="5" t="n"/>
      <c r="C32" s="5" t="n"/>
      <c r="D32" s="5" t="n">
        <v>-617</v>
      </c>
      <c r="E32" s="5" t="n">
        <v>1931</v>
      </c>
      <c r="F32" s="5" t="n">
        <v>1314</v>
      </c>
    </row>
    <row r="33">
      <c r="A33" s="6" t="inlineStr">
        <is>
          <t>Dividends</t>
        </is>
      </c>
      <c r="B33" s="6" t="n"/>
      <c r="C33" s="6" t="n"/>
      <c r="D33" s="6" t="n"/>
      <c r="E33" s="6" t="n">
        <v>-250</v>
      </c>
      <c r="F33" s="6" t="n">
        <v>-250</v>
      </c>
    </row>
    <row r="34">
      <c r="A34" s="5" t="inlineStr">
        <is>
          <t>31 December 2020</t>
        </is>
      </c>
      <c r="B34" s="5" t="n">
        <v>7000</v>
      </c>
      <c r="C34" s="5" t="n"/>
      <c r="D34" s="5" t="n">
        <v>517</v>
      </c>
      <c r="E34" s="5" t="n">
        <v>40869</v>
      </c>
      <c r="F34" s="5" t="n">
        <v>48386</v>
      </c>
    </row>
    <row r="35">
      <c r="A35" s="6" t="inlineStr">
        <is>
          <t>1 January 2021</t>
        </is>
      </c>
      <c r="B35" s="6" t="n">
        <v>7000</v>
      </c>
      <c r="C35" s="6" t="n"/>
      <c r="D35" s="6" t="n">
        <v>517</v>
      </c>
      <c r="E35" s="6" t="n">
        <v>40869</v>
      </c>
      <c r="F35" s="6" t="n">
        <v>48386</v>
      </c>
    </row>
    <row r="36">
      <c r="A36" s="6" t="inlineStr">
        <is>
          <t>Profit for the year</t>
        </is>
      </c>
      <c r="B36" s="6" t="n"/>
      <c r="C36" s="6" t="n"/>
      <c r="D36" s="6" t="n"/>
      <c r="E36" s="6" t="n">
        <v>5206</v>
      </c>
      <c r="F36" s="6" t="n">
        <v>5206</v>
      </c>
    </row>
    <row r="37">
      <c r="A37" s="6" t="inlineStr">
        <is>
          <t>Revaluation of tangible fixed assets</t>
        </is>
      </c>
      <c r="B37" s="6" t="n"/>
      <c r="C37" s="6" t="n"/>
      <c r="D37" s="6" t="n">
        <v>458</v>
      </c>
      <c r="E37" s="6" t="n"/>
      <c r="F37" s="6" t="n">
        <v>458</v>
      </c>
    </row>
    <row r="38">
      <c r="A38" s="5" t="inlineStr">
        <is>
          <t>Total comprehensive income for the year</t>
        </is>
      </c>
      <c r="B38" s="5" t="n"/>
      <c r="C38" s="5" t="n"/>
      <c r="D38" s="5" t="n">
        <v>458</v>
      </c>
      <c r="E38" s="5" t="n">
        <v>5206</v>
      </c>
      <c r="F38" s="5" t="n">
        <v>5664</v>
      </c>
    </row>
    <row r="39">
      <c r="A39" s="6" t="inlineStr">
        <is>
          <t>Dividends</t>
        </is>
      </c>
      <c r="B39" s="6" t="n"/>
      <c r="C39" s="6" t="n"/>
      <c r="D39" s="6" t="n"/>
      <c r="E39" s="6" t="n">
        <v>-1250</v>
      </c>
      <c r="F39" s="6" t="n">
        <v>-1250</v>
      </c>
    </row>
    <row r="40">
      <c r="A40" s="5" t="inlineStr">
        <is>
          <t>31 December 2021</t>
        </is>
      </c>
      <c r="B40" s="5" t="n">
        <v>7000</v>
      </c>
      <c r="C40" s="5" t="n"/>
      <c r="D40" s="5" t="n">
        <v>975</v>
      </c>
      <c r="E40" s="5" t="n">
        <v>44825</v>
      </c>
      <c r="F40" s="5" t="n">
        <v>52800</v>
      </c>
    </row>
    <row r="41">
      <c r="A41" s="6" t="inlineStr">
        <is>
          <t>Profit for the year</t>
        </is>
      </c>
      <c r="B41" s="6" t="n"/>
      <c r="C41" s="6" t="n"/>
      <c r="D41" s="6" t="n"/>
      <c r="E41" s="6" t="n">
        <v>11909</v>
      </c>
      <c r="F41" s="6" t="n">
        <v>11909</v>
      </c>
    </row>
    <row r="42">
      <c r="A42" s="6" t="inlineStr">
        <is>
          <t>Revaluation of tangible fixed assets</t>
        </is>
      </c>
      <c r="B42" s="6" t="n"/>
      <c r="C42" s="6" t="n"/>
      <c r="D42" s="6" t="n">
        <v>-209</v>
      </c>
      <c r="E42" s="6" t="n"/>
      <c r="F42" s="6" t="n">
        <v>-209</v>
      </c>
    </row>
    <row r="43">
      <c r="A43" s="5" t="inlineStr">
        <is>
          <t>Total comprehensive income for the year</t>
        </is>
      </c>
      <c r="B43" s="5" t="n"/>
      <c r="C43" s="5" t="n"/>
      <c r="D43" s="5" t="n">
        <v>-209</v>
      </c>
      <c r="E43" s="5" t="n">
        <v>11909</v>
      </c>
      <c r="F43" s="5" t="n">
        <v>11700</v>
      </c>
    </row>
    <row r="44">
      <c r="A44" s="6" t="inlineStr">
        <is>
          <t>Dividends</t>
        </is>
      </c>
      <c r="B44" s="6" t="n"/>
      <c r="C44" s="6" t="n"/>
      <c r="D44" s="6" t="n"/>
      <c r="E44" s="6" t="n">
        <v>-2000</v>
      </c>
      <c r="F44" s="6" t="n">
        <v>-2000</v>
      </c>
    </row>
    <row r="45">
      <c r="A45" s="5" t="inlineStr">
        <is>
          <t>31 December 2022</t>
        </is>
      </c>
      <c r="B45" s="5" t="n">
        <v>7000</v>
      </c>
      <c r="C45" s="5" t="n"/>
      <c r="D45" s="5" t="n">
        <v>766</v>
      </c>
      <c r="E45" s="5" t="n">
        <v>54734</v>
      </c>
      <c r="F45" s="5" t="n">
        <v>62500</v>
      </c>
    </row>
    <row r="46">
      <c r="A46" s="6" t="inlineStr">
        <is>
          <t>Profit for the year</t>
        </is>
      </c>
      <c r="B46" s="6" t="n"/>
      <c r="C46" s="6" t="n"/>
      <c r="D46" s="6" t="n"/>
      <c r="E46" s="6" t="n">
        <v>24735</v>
      </c>
      <c r="F46" s="6" t="n">
        <v>24735</v>
      </c>
    </row>
    <row r="47">
      <c r="A47" s="6" t="inlineStr">
        <is>
          <t>Revaluation of tangible fixed assets</t>
        </is>
      </c>
      <c r="B47" s="6" t="n"/>
      <c r="C47" s="6" t="n"/>
      <c r="D47" s="6" t="n">
        <v>-244</v>
      </c>
      <c r="E47" s="6" t="n"/>
      <c r="F47" s="6" t="n">
        <v>-244</v>
      </c>
    </row>
    <row r="48">
      <c r="A48" s="5" t="inlineStr">
        <is>
          <t>Total comprehensive income for the year</t>
        </is>
      </c>
      <c r="B48" s="5" t="n"/>
      <c r="C48" s="5" t="n"/>
      <c r="D48" s="5" t="n">
        <v>-244</v>
      </c>
      <c r="E48" s="5" t="n">
        <v>24735</v>
      </c>
      <c r="F48" s="5" t="n">
        <v>24491</v>
      </c>
    </row>
    <row r="49">
      <c r="A49" s="6" t="inlineStr">
        <is>
          <t>Dividends</t>
        </is>
      </c>
      <c r="B49" s="6" t="n"/>
      <c r="C49" s="6" t="n"/>
      <c r="D49" s="6" t="n"/>
      <c r="E49" s="6" t="n">
        <v>-5000</v>
      </c>
      <c r="F49" s="6" t="n">
        <v>-5000</v>
      </c>
    </row>
    <row r="50">
      <c r="A50" s="6" t="inlineStr">
        <is>
          <t>Issue of contingent convertible securities</t>
        </is>
      </c>
      <c r="B50" s="6" t="n"/>
      <c r="C50" s="6" t="n">
        <v>3000</v>
      </c>
      <c r="D50" s="6" t="n"/>
      <c r="E50" s="6" t="n"/>
      <c r="F50" s="6" t="n">
        <v>3000</v>
      </c>
    </row>
    <row r="51">
      <c r="A51" s="5" t="inlineStr">
        <is>
          <t>31 December 2023</t>
        </is>
      </c>
      <c r="B51" s="5" t="n">
        <v>7000</v>
      </c>
      <c r="C51" s="5" t="n">
        <v>3000</v>
      </c>
      <c r="D51" s="5" t="n">
        <v>522</v>
      </c>
      <c r="E51" s="5" t="n">
        <v>74469</v>
      </c>
      <c r="F51" s="5" t="n">
        <v>84991</v>
      </c>
    </row>
    <row r="52">
      <c r="A52" s="6" t="inlineStr">
        <is>
          <t>Profit for the year</t>
        </is>
      </c>
      <c r="B52" s="6" t="n"/>
      <c r="C52" s="6" t="n"/>
      <c r="D52" s="6" t="n"/>
      <c r="E52" s="6" t="n">
        <v>18270</v>
      </c>
      <c r="F52" s="6" t="n">
        <v>18270</v>
      </c>
    </row>
    <row r="53">
      <c r="A53" s="6" t="inlineStr">
        <is>
          <t>Revaluation of tangible fixed assets</t>
        </is>
      </c>
      <c r="B53" s="6" t="n"/>
      <c r="C53" s="6" t="n"/>
      <c r="D53" s="6" t="n">
        <v>-118</v>
      </c>
      <c r="E53" s="6" t="n"/>
      <c r="F53" s="6" t="n">
        <v>-118</v>
      </c>
    </row>
    <row r="54">
      <c r="A54" s="5" t="inlineStr">
        <is>
          <t>Total comprehensive income for the year</t>
        </is>
      </c>
      <c r="B54" s="5" t="n"/>
      <c r="C54" s="5" t="n"/>
      <c r="D54" s="5" t="n">
        <v>-118</v>
      </c>
      <c r="E54" s="5" t="n">
        <v>18270</v>
      </c>
      <c r="F54" s="5" t="n">
        <v>18152</v>
      </c>
    </row>
    <row r="55">
      <c r="A55" s="6" t="inlineStr">
        <is>
          <t>Dividends</t>
        </is>
      </c>
      <c r="B55" s="6" t="n"/>
      <c r="C55" s="6" t="n"/>
      <c r="D55" s="6" t="n"/>
      <c r="E55" s="6" t="n">
        <v>-3100</v>
      </c>
      <c r="F55" s="6" t="n">
        <v>-3100</v>
      </c>
    </row>
    <row r="56">
      <c r="A56" s="5" t="inlineStr">
        <is>
          <t>31 December 2024</t>
        </is>
      </c>
      <c r="B56" s="5" t="n">
        <v>7000</v>
      </c>
      <c r="C56" s="5" t="n">
        <v>3000</v>
      </c>
      <c r="D56" s="5" t="n">
        <v>404</v>
      </c>
      <c r="E56" s="5" t="n">
        <v>89639</v>
      </c>
      <c r="F56" s="5" t="n">
        <v>100043</v>
      </c>
    </row>
    <row r="57">
      <c r="A57" s="6" t="inlineStr">
        <is>
          <t>Profit for the year</t>
        </is>
      </c>
      <c r="B57" s="6" t="n"/>
      <c r="C57" s="6" t="n"/>
      <c r="D57" s="6" t="n"/>
      <c r="E57" s="6" t="n">
        <v>19244</v>
      </c>
      <c r="F57" s="6" t="n">
        <v>19244</v>
      </c>
    </row>
    <row r="58">
      <c r="A58" s="6" t="inlineStr">
        <is>
          <t>Revaluation of tangible fixed assets</t>
        </is>
      </c>
      <c r="B58" s="6" t="n"/>
      <c r="C58" s="6" t="n"/>
      <c r="D58" s="6" t="n">
        <v>-173</v>
      </c>
      <c r="E58" s="6" t="n"/>
      <c r="F58" s="6" t="n">
        <v>-173</v>
      </c>
    </row>
    <row r="59">
      <c r="A59" s="5" t="inlineStr">
        <is>
          <t>Total comprehensive income for the year</t>
        </is>
      </c>
      <c r="B59" s="5" t="n"/>
      <c r="C59" s="5" t="n"/>
      <c r="D59" s="5" t="n">
        <v>-173</v>
      </c>
      <c r="E59" s="5" t="n">
        <v>19244</v>
      </c>
      <c r="F59" s="5" t="n">
        <v>19071</v>
      </c>
    </row>
    <row r="60">
      <c r="A60" s="6" t="inlineStr">
        <is>
          <t>Dividends</t>
        </is>
      </c>
      <c r="B60" s="6" t="n"/>
      <c r="C60" s="6" t="n"/>
      <c r="D60" s="6" t="n"/>
      <c r="E60" s="6" t="n">
        <v>-8000</v>
      </c>
      <c r="F60" s="6" t="n">
        <v>-8000</v>
      </c>
    </row>
    <row r="61">
      <c r="A61" s="5" t="inlineStr">
        <is>
          <t>31 December 2025</t>
        </is>
      </c>
      <c r="B61" s="5" t="n">
        <v>7000</v>
      </c>
      <c r="C61" s="5" t="n">
        <v>3000</v>
      </c>
      <c r="D61" s="5" t="n">
        <v>231</v>
      </c>
      <c r="E61" s="5" t="n">
        <v>100883</v>
      </c>
      <c r="F61" s="5" t="n">
        <v>111114</v>
      </c>
    </row>
    <row r="63" ht="180" customHeight="1">
      <c r="A63" s="8" t="inlineStr">
        <is>
          <t>Sources - Weatherbys Banking Group consolidated statement of changes in equity, GBP'000: AR2025, p.62 - https://www.weatherbys.bank/weatherbys-banking-group-annual-report-2025/; AR2024, p.43 - https://www.weatherbys.bank/app/uploads/2025/04/Weatherbys-Banking-Group-Annual-Report-2024.pdf; AR2023, p.48 - https://www.weatherbys.bank/app/uploads/2024/05/Weatherbys-Banking-Group-Annual-Report-2023.pdf; AR2022, p.44 - https://www.weatherbys.bank/app/uploads/2023/05/Weatherbys-Banking-Group-Annual_Report-2022.pdf; FY2020/FY2019: Group accounts made up to 31 Dec 2020, pp.29-30 - https://find-and-update.company-information.service.gov.uk/company/02943300/filing-history/MzMxMjkxNjk5MmFkaXF6a2N4/document?format=pdf&amp;download=0; FY2018/FY2017: Group accounts made up to 31 Dec 2018, pp.22-23 - https://find-and-update.company-information.service.gov.uk/company/02943300/filing-history/MzIzODIyOTM2NWFkaXF6a2N4/document?format=pdf&amp;download=0; FY2016/FY2015: Group accounts made up to 31 Dec 2016, pp.12-13 -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Every year's closing balance ties exactly to the next year's opening balance and to that year's own Balance Sheet Total equity - zero undocumented plug rows, all the way back to 1 January 2015 (which itself ties to FY2014's own closing balance, one year beyond this workbook's floor, per the FY2015 Group accounts' own comparative column). Contingent Convertible Securities first appear in FY2023 (a £3,000k issuance).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t>
        </is>
      </c>
    </row>
  </sheetData>
  <mergeCells count="1">
    <mergeCell ref="A63:F6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Cash Flow Statement</t>
        </is>
      </c>
    </row>
    <row r="2">
      <c r="A2" s="2" t="inlineStr">
        <is>
          <t>Weatherbys Banking Group consolidated basis,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Operating activities</t>
        </is>
      </c>
      <c r="B4" s="6" t="n"/>
      <c r="C4" s="6" t="n"/>
      <c r="D4" s="6" t="n"/>
      <c r="E4" s="6" t="n"/>
      <c r="F4" s="6" t="n"/>
      <c r="G4" s="6" t="n"/>
      <c r="H4" s="6" t="n"/>
      <c r="I4" s="6" t="n"/>
      <c r="J4" s="6" t="n"/>
      <c r="K4" s="6" t="n"/>
      <c r="L4" s="6" t="n"/>
    </row>
    <row r="5">
      <c r="A5" s="6" t="inlineStr">
        <is>
          <t>Profit for the financial year before exceptional items</t>
        </is>
      </c>
      <c r="B5" s="6" t="n">
        <v>19244</v>
      </c>
      <c r="C5" s="6" t="n">
        <v>18270</v>
      </c>
      <c r="D5" s="6" t="n">
        <v>24735</v>
      </c>
      <c r="E5" s="6" t="n">
        <v>11909</v>
      </c>
      <c r="F5" s="6" t="n">
        <v>5206</v>
      </c>
      <c r="G5" s="6" t="n">
        <v>1931</v>
      </c>
      <c r="H5" s="6" t="n">
        <v>6146</v>
      </c>
      <c r="I5" s="6" t="n">
        <v>6084</v>
      </c>
      <c r="J5" s="6" t="n">
        <v>4428</v>
      </c>
      <c r="K5" s="6" t="n">
        <v>4242</v>
      </c>
      <c r="L5" s="6" t="n">
        <v>5942</v>
      </c>
    </row>
    <row r="6">
      <c r="A6" s="6" t="inlineStr">
        <is>
          <t>Exceptional items</t>
        </is>
      </c>
      <c r="B6" s="6" t="n"/>
      <c r="C6" s="6" t="n"/>
      <c r="D6" s="6" t="n"/>
      <c r="E6" s="6" t="n"/>
      <c r="F6" s="6" t="n"/>
      <c r="G6" s="6" t="n"/>
      <c r="H6" s="6" t="n"/>
      <c r="I6" s="6" t="n"/>
      <c r="J6" s="6" t="n"/>
      <c r="K6" s="6" t="n">
        <v>1079</v>
      </c>
      <c r="L6" s="6" t="n"/>
    </row>
    <row r="7">
      <c r="A7" s="6" t="inlineStr">
        <is>
          <t>Depreciation, impairment and amortisation of fixed assets</t>
        </is>
      </c>
      <c r="B7" s="6" t="n">
        <v>7065</v>
      </c>
      <c r="C7" s="6" t="n">
        <v>4506</v>
      </c>
      <c r="D7" s="6" t="n">
        <v>2758</v>
      </c>
      <c r="E7" s="6" t="n">
        <v>2786</v>
      </c>
      <c r="F7" s="6" t="n">
        <v>2402</v>
      </c>
      <c r="G7" s="6" t="n">
        <v>1794</v>
      </c>
      <c r="H7" s="6" t="n">
        <v>1204</v>
      </c>
      <c r="I7" s="6" t="n">
        <v>1060</v>
      </c>
      <c r="J7" s="6" t="n">
        <v>805</v>
      </c>
      <c r="K7" s="6" t="n">
        <v>434</v>
      </c>
      <c r="L7" s="6" t="n">
        <v>259</v>
      </c>
    </row>
    <row r="8">
      <c r="A8" s="6" t="inlineStr">
        <is>
          <t>Amortisation of debt securities</t>
        </is>
      </c>
      <c r="B8" s="6" t="n">
        <v>-1870</v>
      </c>
      <c r="C8" s="6" t="n">
        <v>-1138</v>
      </c>
      <c r="D8" s="6" t="n">
        <v>413</v>
      </c>
      <c r="E8" s="6" t="n">
        <v>443</v>
      </c>
      <c r="F8" s="6" t="n">
        <v>133</v>
      </c>
      <c r="G8" s="6" t="n">
        <v>63</v>
      </c>
      <c r="H8" s="6" t="n">
        <v>21</v>
      </c>
      <c r="I8" s="6" t="n">
        <v>51</v>
      </c>
      <c r="J8" s="6" t="n">
        <v>328</v>
      </c>
      <c r="K8" s="6" t="n">
        <v>379</v>
      </c>
      <c r="L8" s="6" t="n"/>
    </row>
    <row r="9">
      <c r="A9" s="6" t="inlineStr">
        <is>
          <t>Taxation expense</t>
        </is>
      </c>
      <c r="B9" s="6" t="n">
        <v>3830</v>
      </c>
      <c r="C9" s="6" t="n">
        <v>6306</v>
      </c>
      <c r="D9" s="6" t="n">
        <v>8348</v>
      </c>
      <c r="E9" s="6" t="n">
        <v>3504</v>
      </c>
      <c r="F9" s="6" t="n">
        <v>1596</v>
      </c>
      <c r="G9" s="6" t="n">
        <v>642</v>
      </c>
      <c r="H9" s="6" t="n">
        <v>1855</v>
      </c>
      <c r="I9" s="6" t="n">
        <v>1550</v>
      </c>
      <c r="J9" s="6" t="n">
        <v>1313</v>
      </c>
      <c r="K9" s="6" t="n">
        <v>1463</v>
      </c>
      <c r="L9" s="6" t="n">
        <v>1587</v>
      </c>
    </row>
    <row r="10">
      <c r="A10" s="6" t="inlineStr">
        <is>
          <t>Increase in prepayments and accrued income</t>
        </is>
      </c>
      <c r="B10" s="6" t="n">
        <v>-1508</v>
      </c>
      <c r="C10" s="6" t="n">
        <v>-4032</v>
      </c>
      <c r="D10" s="6" t="n">
        <v>-4930</v>
      </c>
      <c r="E10" s="6" t="n">
        <v>-6282</v>
      </c>
      <c r="F10" s="6" t="n">
        <v>-1055</v>
      </c>
      <c r="G10" s="6" t="n">
        <v>-2</v>
      </c>
      <c r="H10" s="6" t="n">
        <v>-450</v>
      </c>
      <c r="I10" s="6" t="n">
        <v>-381</v>
      </c>
      <c r="J10" s="6" t="n">
        <v>-900</v>
      </c>
      <c r="K10" s="6" t="n">
        <v>748</v>
      </c>
      <c r="L10" s="6" t="n">
        <v>-157</v>
      </c>
    </row>
    <row r="11">
      <c r="A11" s="6" t="inlineStr">
        <is>
          <t>Decrease/(increase) in trade and other debtors</t>
        </is>
      </c>
      <c r="B11" s="6" t="n">
        <v>-678</v>
      </c>
      <c r="C11" s="6" t="n">
        <v>38</v>
      </c>
      <c r="D11" s="6" t="n">
        <v>-201</v>
      </c>
      <c r="E11" s="6" t="n">
        <v>-364</v>
      </c>
      <c r="F11" s="6" t="n">
        <v>20</v>
      </c>
      <c r="G11" s="6" t="n">
        <v>-161</v>
      </c>
      <c r="H11" s="6" t="n">
        <v>39</v>
      </c>
      <c r="I11" s="6" t="n">
        <v>3283</v>
      </c>
      <c r="J11" s="6" t="n">
        <v>-1142</v>
      </c>
      <c r="K11" s="6" t="n">
        <v>-424</v>
      </c>
      <c r="L11" s="6" t="n">
        <v>-39</v>
      </c>
    </row>
    <row r="12">
      <c r="A12" s="6" t="inlineStr">
        <is>
          <t>Change in fair value of financial instruments</t>
        </is>
      </c>
      <c r="B12" s="6" t="n">
        <v>6430</v>
      </c>
      <c r="C12" s="6" t="n">
        <v>-1624</v>
      </c>
      <c r="D12" s="6" t="n">
        <v>7216</v>
      </c>
      <c r="E12" s="6" t="n">
        <v>-8619</v>
      </c>
      <c r="F12" s="6" t="n">
        <v>-3069</v>
      </c>
      <c r="G12" s="6" t="n">
        <v>1355</v>
      </c>
      <c r="H12" s="6" t="n">
        <v>822</v>
      </c>
      <c r="I12" s="6" t="n">
        <v>-136</v>
      </c>
      <c r="J12" s="6" t="n">
        <v>-150</v>
      </c>
      <c r="K12" s="6" t="n">
        <v>252</v>
      </c>
      <c r="L12" s="6" t="n">
        <v>-29</v>
      </c>
    </row>
    <row r="13">
      <c r="A13" s="6" t="inlineStr">
        <is>
          <t>Movement in margin call</t>
        </is>
      </c>
      <c r="B13" s="6" t="n">
        <v>-6550</v>
      </c>
      <c r="C13" s="6" t="n"/>
      <c r="D13" s="6" t="n"/>
      <c r="E13" s="6" t="n"/>
      <c r="F13" s="6" t="n"/>
      <c r="G13" s="6" t="n"/>
      <c r="H13" s="6" t="n"/>
      <c r="I13" s="6" t="n"/>
      <c r="J13" s="6" t="n"/>
      <c r="K13" s="6" t="n"/>
      <c r="L13" s="6" t="n"/>
    </row>
    <row r="14">
      <c r="A14" s="6" t="inlineStr">
        <is>
          <t>Loss/(gain) on investments</t>
        </is>
      </c>
      <c r="B14" s="6" t="n">
        <v>20</v>
      </c>
      <c r="C14" s="6" t="n">
        <v>71</v>
      </c>
      <c r="D14" s="6" t="n">
        <v>-17</v>
      </c>
      <c r="E14" s="6" t="n">
        <v>104</v>
      </c>
      <c r="F14" s="6" t="n">
        <v>3</v>
      </c>
      <c r="G14" s="6" t="n">
        <v>171</v>
      </c>
      <c r="H14" s="6" t="n">
        <v>-386</v>
      </c>
      <c r="I14" s="6" t="n"/>
      <c r="J14" s="6" t="n"/>
      <c r="K14" s="6" t="n"/>
      <c r="L14" s="6" t="n"/>
    </row>
    <row r="15">
      <c r="A15" s="6" t="inlineStr">
        <is>
          <t>Gain on Visa convertible preferred stock</t>
        </is>
      </c>
      <c r="B15" s="6" t="n"/>
      <c r="C15" s="6" t="n"/>
      <c r="D15" s="6" t="n"/>
      <c r="E15" s="6" t="n"/>
      <c r="F15" s="6" t="n"/>
      <c r="G15" s="6" t="n"/>
      <c r="H15" s="6" t="n"/>
      <c r="I15" s="6" t="n">
        <v>-51</v>
      </c>
      <c r="J15" s="6" t="n">
        <v>-45</v>
      </c>
      <c r="K15" s="6" t="n">
        <v>-185</v>
      </c>
      <c r="L15" s="6" t="n"/>
    </row>
    <row r="16">
      <c r="A16" s="6" t="inlineStr">
        <is>
          <t>Loss/(gain) on disposal of subsidiary/tangible fixed assets</t>
        </is>
      </c>
      <c r="B16" s="6" t="n">
        <v>-10235</v>
      </c>
      <c r="C16" s="6" t="n"/>
      <c r="D16" s="6" t="n"/>
      <c r="E16" s="6" t="n"/>
      <c r="F16" s="6" t="n"/>
      <c r="G16" s="6" t="n"/>
      <c r="H16" s="6" t="n"/>
      <c r="I16" s="6" t="n"/>
      <c r="J16" s="6" t="n"/>
      <c r="K16" s="6" t="n"/>
      <c r="L16" s="6" t="n"/>
    </row>
    <row r="17">
      <c r="A17" s="6" t="inlineStr">
        <is>
          <t>Change in trade and other creditors</t>
        </is>
      </c>
      <c r="B17" s="6" t="n">
        <v>2299</v>
      </c>
      <c r="C17" s="6" t="n">
        <v>-2982</v>
      </c>
      <c r="D17" s="6" t="n">
        <v>11753</v>
      </c>
      <c r="E17" s="6" t="n">
        <v>2607</v>
      </c>
      <c r="F17" s="6" t="n">
        <v>-496</v>
      </c>
      <c r="G17" s="6" t="n">
        <v>-753</v>
      </c>
      <c r="H17" s="6" t="n">
        <v>428</v>
      </c>
      <c r="I17" s="6" t="n">
        <v>-3665</v>
      </c>
      <c r="J17" s="6" t="n">
        <v>-715</v>
      </c>
      <c r="K17" s="6" t="n">
        <v>367</v>
      </c>
      <c r="L17" s="6" t="n">
        <v>1166</v>
      </c>
    </row>
    <row r="18">
      <c r="A18" s="6" t="inlineStr">
        <is>
          <t>Net decrease/(increase) in provisions</t>
        </is>
      </c>
      <c r="B18" s="6" t="n">
        <v>-64</v>
      </c>
      <c r="C18" s="6" t="n">
        <v>-1366</v>
      </c>
      <c r="D18" s="6" t="n">
        <v>5968</v>
      </c>
      <c r="E18" s="6" t="n">
        <v>2623</v>
      </c>
      <c r="F18" s="6" t="n">
        <v>1123</v>
      </c>
      <c r="G18" s="6" t="n">
        <v>-766</v>
      </c>
      <c r="H18" s="6" t="n">
        <v>623</v>
      </c>
      <c r="I18" s="6" t="n">
        <v>613</v>
      </c>
      <c r="J18" s="6" t="n">
        <v>337</v>
      </c>
      <c r="K18" s="6" t="n">
        <v>-241</v>
      </c>
      <c r="L18" s="6" t="n">
        <v>907</v>
      </c>
    </row>
    <row r="19">
      <c r="A19" s="6" t="inlineStr">
        <is>
          <t>Increase/(decrease) in provision for bad and doubtful debts</t>
        </is>
      </c>
      <c r="B19" s="6" t="n">
        <v>1074</v>
      </c>
      <c r="C19" s="6" t="n">
        <v>46</v>
      </c>
      <c r="D19" s="6" t="n">
        <v>184</v>
      </c>
      <c r="E19" s="6" t="n">
        <v>-25</v>
      </c>
      <c r="F19" s="6" t="n">
        <v>-518</v>
      </c>
      <c r="G19" s="6" t="n">
        <v>2202</v>
      </c>
      <c r="H19" s="6" t="n">
        <v>-80</v>
      </c>
      <c r="I19" s="6" t="n">
        <v>154</v>
      </c>
      <c r="J19" s="6" t="n">
        <v>539</v>
      </c>
      <c r="K19" s="6" t="n">
        <v>105</v>
      </c>
      <c r="L19" s="6" t="n">
        <v>-27</v>
      </c>
    </row>
    <row r="20">
      <c r="A20" s="6" t="inlineStr">
        <is>
          <t>Loss on sale of assets</t>
        </is>
      </c>
      <c r="B20" s="6" t="n"/>
      <c r="C20" s="6" t="n"/>
      <c r="D20" s="6" t="n"/>
      <c r="E20" s="6" t="n"/>
      <c r="F20" s="6" t="n"/>
      <c r="G20" s="6" t="n"/>
      <c r="H20" s="6" t="n"/>
      <c r="I20" s="6" t="n"/>
      <c r="J20" s="6" t="n"/>
      <c r="K20" s="6" t="n">
        <v>1</v>
      </c>
      <c r="L20" s="6" t="n"/>
    </row>
    <row r="21">
      <c r="A21" s="6" t="inlineStr">
        <is>
          <t>(Loss)/gain on investment property</t>
        </is>
      </c>
      <c r="B21" s="6" t="n"/>
      <c r="C21" s="6" t="n"/>
      <c r="D21" s="6" t="n"/>
      <c r="E21" s="6" t="n"/>
      <c r="F21" s="6" t="n"/>
      <c r="G21" s="6" t="n"/>
      <c r="H21" s="6" t="n"/>
      <c r="I21" s="6" t="n"/>
      <c r="J21" s="6" t="n"/>
      <c r="K21" s="6" t="n">
        <v>149</v>
      </c>
      <c r="L21" s="6" t="n">
        <v>-1055</v>
      </c>
    </row>
    <row r="22">
      <c r="A22" s="6" t="inlineStr">
        <is>
          <t>Net increase/(decrease) in deposits from customers</t>
        </is>
      </c>
      <c r="B22" s="6" t="n">
        <v>193121</v>
      </c>
      <c r="C22" s="6" t="n">
        <v>203231</v>
      </c>
      <c r="D22" s="6" t="n">
        <v>-16626</v>
      </c>
      <c r="E22" s="6" t="n">
        <v>116590</v>
      </c>
      <c r="F22" s="6" t="n">
        <v>315834</v>
      </c>
      <c r="G22" s="6" t="n">
        <v>189410</v>
      </c>
      <c r="H22" s="6" t="n">
        <v>82977</v>
      </c>
      <c r="I22" s="6" t="n">
        <v>107417</v>
      </c>
      <c r="J22" s="6" t="n">
        <v>121483</v>
      </c>
      <c r="K22" s="6" t="n">
        <v>103297</v>
      </c>
      <c r="L22" s="6" t="n">
        <v>27022</v>
      </c>
    </row>
    <row r="23">
      <c r="A23" s="6" t="inlineStr">
        <is>
          <t>Net increase in loans and advances to customers</t>
        </is>
      </c>
      <c r="B23" s="6" t="n">
        <v>-138623</v>
      </c>
      <c r="C23" s="6" t="n">
        <v>-38018</v>
      </c>
      <c r="D23" s="6" t="n">
        <v>-46309</v>
      </c>
      <c r="E23" s="6" t="n">
        <v>-30957</v>
      </c>
      <c r="F23" s="6" t="n">
        <v>-65508</v>
      </c>
      <c r="G23" s="6" t="n">
        <v>-91843</v>
      </c>
      <c r="H23" s="6" t="n">
        <v>-114115</v>
      </c>
      <c r="I23" s="6" t="n">
        <v>-87378</v>
      </c>
      <c r="J23" s="6" t="n">
        <v>-60659</v>
      </c>
      <c r="K23" s="6" t="n">
        <v>-50867</v>
      </c>
      <c r="L23" s="6" t="n">
        <v>-43264</v>
      </c>
    </row>
    <row r="24">
      <c r="A24" s="5" t="inlineStr">
        <is>
          <t>Cash from operations</t>
        </is>
      </c>
      <c r="B24" s="5" t="n">
        <v>73555</v>
      </c>
      <c r="C24" s="5" t="n">
        <v>183308</v>
      </c>
      <c r="D24" s="5" t="n">
        <v>-6708</v>
      </c>
      <c r="E24" s="5" t="n">
        <v>94319</v>
      </c>
      <c r="F24" s="5" t="n">
        <v>255671</v>
      </c>
      <c r="G24" s="5" t="n">
        <v>104053</v>
      </c>
      <c r="H24" s="5" t="n">
        <v>-20915</v>
      </c>
      <c r="I24" s="5" t="n">
        <v>28602</v>
      </c>
      <c r="J24" s="5" t="n">
        <v>65620</v>
      </c>
      <c r="K24" s="5" t="n">
        <v>60798</v>
      </c>
      <c r="L24" s="5" t="n">
        <v>-7687</v>
      </c>
    </row>
    <row r="25">
      <c r="A25" s="6" t="inlineStr">
        <is>
          <t>Taxation paid</t>
        </is>
      </c>
      <c r="B25" s="6" t="n">
        <v>-4301</v>
      </c>
      <c r="C25" s="6" t="n">
        <v>-5721</v>
      </c>
      <c r="D25" s="6" t="n">
        <v>-5421</v>
      </c>
      <c r="E25" s="6" t="n">
        <v>-2320</v>
      </c>
      <c r="F25" s="6" t="n">
        <v>-678</v>
      </c>
      <c r="G25" s="6" t="n">
        <v>-1389</v>
      </c>
      <c r="H25" s="6" t="n">
        <v>-1621</v>
      </c>
      <c r="I25" s="6" t="n">
        <v>-906</v>
      </c>
      <c r="J25" s="6" t="n">
        <v>-983</v>
      </c>
      <c r="K25" s="6" t="n">
        <v>-1694</v>
      </c>
      <c r="L25" s="6" t="n">
        <v>-1166</v>
      </c>
    </row>
    <row r="26">
      <c r="A26" s="5" t="inlineStr">
        <is>
          <t>Net cash generated/(used) from operating activities</t>
        </is>
      </c>
      <c r="B26" s="5" t="n">
        <v>69254</v>
      </c>
      <c r="C26" s="5" t="n">
        <v>177587</v>
      </c>
      <c r="D26" s="5" t="n">
        <v>-12129</v>
      </c>
      <c r="E26" s="5" t="n">
        <v>91999</v>
      </c>
      <c r="F26" s="5" t="n">
        <v>254993</v>
      </c>
      <c r="G26" s="5" t="n">
        <v>102664</v>
      </c>
      <c r="H26" s="5" t="n">
        <v>-22536</v>
      </c>
      <c r="I26" s="5" t="n">
        <v>27696</v>
      </c>
      <c r="J26" s="5" t="n">
        <v>64637</v>
      </c>
      <c r="K26" s="5" t="n">
        <v>59103</v>
      </c>
      <c r="L26" s="5" t="n">
        <v>-8852</v>
      </c>
    </row>
    <row r="27">
      <c r="A27" s="5" t="inlineStr">
        <is>
          <t>Investing activities</t>
        </is>
      </c>
      <c r="B27" s="6" t="n"/>
      <c r="C27" s="6" t="n"/>
      <c r="D27" s="6" t="n"/>
      <c r="E27" s="6" t="n"/>
      <c r="F27" s="6" t="n"/>
      <c r="G27" s="6" t="n"/>
      <c r="H27" s="6" t="n"/>
      <c r="I27" s="6" t="n"/>
      <c r="J27" s="6" t="n"/>
      <c r="K27" s="6" t="n"/>
      <c r="L27" s="6" t="n"/>
    </row>
    <row r="28">
      <c r="A28" s="6" t="inlineStr">
        <is>
          <t>Sale of subsidiary undertaking</t>
        </is>
      </c>
      <c r="B28" s="6" t="n">
        <v>10552</v>
      </c>
      <c r="C28" s="6" t="n"/>
      <c r="D28" s="6" t="n"/>
      <c r="E28" s="6" t="n"/>
      <c r="F28" s="6" t="n"/>
      <c r="G28" s="6" t="n"/>
      <c r="H28" s="6" t="n"/>
      <c r="I28" s="6" t="n"/>
      <c r="J28" s="6" t="n"/>
      <c r="K28" s="6" t="n"/>
      <c r="L28" s="6" t="n"/>
    </row>
    <row r="29">
      <c r="A29" s="6" t="inlineStr">
        <is>
          <t>Income from joint venture</t>
        </is>
      </c>
      <c r="B29" s="6" t="n">
        <v>400</v>
      </c>
      <c r="C29" s="6" t="n"/>
      <c r="D29" s="6" t="n"/>
      <c r="E29" s="6" t="n"/>
      <c r="F29" s="6" t="n"/>
      <c r="G29" s="6" t="n"/>
      <c r="H29" s="6" t="n"/>
      <c r="I29" s="6" t="n"/>
      <c r="J29" s="6" t="n"/>
      <c r="K29" s="6" t="n"/>
      <c r="L29" s="6" t="n"/>
    </row>
    <row r="30">
      <c r="A30" s="6" t="inlineStr">
        <is>
          <t>Investment in joint venture</t>
        </is>
      </c>
      <c r="B30" s="6" t="n"/>
      <c r="C30" s="6" t="n"/>
      <c r="D30" s="6" t="n">
        <v>-60</v>
      </c>
      <c r="E30" s="6" t="n">
        <v>-280</v>
      </c>
      <c r="F30" s="6" t="n">
        <v>-12</v>
      </c>
      <c r="G30" s="6" t="n">
        <v>2</v>
      </c>
      <c r="H30" s="6" t="n">
        <v>-30</v>
      </c>
      <c r="I30" s="6" t="n">
        <v>-60</v>
      </c>
      <c r="J30" s="6" t="n">
        <v>10</v>
      </c>
      <c r="K30" s="6" t="n">
        <v>-6</v>
      </c>
      <c r="L30" s="6" t="n">
        <v>-125</v>
      </c>
    </row>
    <row r="31">
      <c r="A31" s="6" t="inlineStr">
        <is>
          <t>Loan repayment from joint venture</t>
        </is>
      </c>
      <c r="B31" s="6" t="n"/>
      <c r="C31" s="6" t="n"/>
      <c r="D31" s="6" t="n"/>
      <c r="E31" s="6" t="n"/>
      <c r="F31" s="6" t="n"/>
      <c r="G31" s="6" t="n"/>
      <c r="H31" s="6" t="n"/>
      <c r="I31" s="6" t="n"/>
      <c r="J31" s="6" t="n">
        <v>50</v>
      </c>
      <c r="K31" s="6" t="n"/>
      <c r="L31" s="6" t="n">
        <v>50</v>
      </c>
    </row>
    <row r="32">
      <c r="A32" s="6" t="inlineStr">
        <is>
          <t>Investment in unlisted equities</t>
        </is>
      </c>
      <c r="B32" s="6" t="n"/>
      <c r="C32" s="6" t="n"/>
      <c r="D32" s="6" t="n"/>
      <c r="E32" s="6" t="n"/>
      <c r="F32" s="6" t="n"/>
      <c r="G32" s="6" t="n"/>
      <c r="H32" s="6" t="n"/>
      <c r="I32" s="6" t="n"/>
      <c r="J32" s="6" t="n"/>
      <c r="K32" s="6" t="n">
        <v>-50</v>
      </c>
      <c r="L32" s="6" t="n"/>
    </row>
    <row r="33">
      <c r="A33" s="6" t="inlineStr">
        <is>
          <t>Purchase of investment securities</t>
        </is>
      </c>
      <c r="B33" s="6" t="n">
        <v>-361092</v>
      </c>
      <c r="C33" s="6" t="n">
        <v>-173844</v>
      </c>
      <c r="D33" s="6" t="n">
        <v>-66857</v>
      </c>
      <c r="E33" s="6" t="n">
        <v>-136837</v>
      </c>
      <c r="F33" s="6" t="n">
        <v>-22148</v>
      </c>
      <c r="G33" s="6" t="n">
        <v>-46838</v>
      </c>
      <c r="H33" s="6" t="n">
        <v>-54873</v>
      </c>
      <c r="I33" s="6" t="n">
        <v>-36761</v>
      </c>
      <c r="J33" s="6" t="n">
        <v>-49361</v>
      </c>
      <c r="K33" s="6" t="n">
        <v>-22097</v>
      </c>
      <c r="L33" s="6" t="n">
        <v>-45893</v>
      </c>
    </row>
    <row r="34">
      <c r="A34" s="6" t="inlineStr">
        <is>
          <t>Sale and maturities of investment securities</t>
        </is>
      </c>
      <c r="B34" s="6" t="n">
        <v>190722</v>
      </c>
      <c r="C34" s="6" t="n">
        <v>72330</v>
      </c>
      <c r="D34" s="6" t="n">
        <v>127951</v>
      </c>
      <c r="E34" s="6" t="n">
        <v>46415</v>
      </c>
      <c r="F34" s="6" t="n">
        <v>38649</v>
      </c>
      <c r="G34" s="6" t="n">
        <v>10610</v>
      </c>
      <c r="H34" s="6" t="n">
        <v>46304</v>
      </c>
      <c r="I34" s="6" t="n">
        <v>28430</v>
      </c>
      <c r="J34" s="6" t="n">
        <v>43790</v>
      </c>
      <c r="K34" s="6" t="n">
        <v>46600</v>
      </c>
      <c r="L34" s="6" t="n">
        <v>38000</v>
      </c>
    </row>
    <row r="35">
      <c r="A35" s="6" t="inlineStr">
        <is>
          <t>Purchase of tangible fixed assets</t>
        </is>
      </c>
      <c r="B35" s="6" t="n">
        <v>-4139</v>
      </c>
      <c r="C35" s="6" t="n">
        <v>-2103</v>
      </c>
      <c r="D35" s="6" t="n"/>
      <c r="E35" s="6" t="n"/>
      <c r="F35" s="6" t="n">
        <v>-3939</v>
      </c>
      <c r="G35" s="6" t="n">
        <v>-1150</v>
      </c>
      <c r="H35" s="6" t="n">
        <v>-3539</v>
      </c>
      <c r="I35" s="6" t="n"/>
      <c r="J35" s="6" t="n"/>
      <c r="K35" s="6" t="n">
        <v>-2186</v>
      </c>
      <c r="L35" s="6" t="n">
        <v>-3189</v>
      </c>
    </row>
    <row r="36">
      <c r="A36" s="6" t="inlineStr">
        <is>
          <t>Purchase of intangible fixed assets</t>
        </is>
      </c>
      <c r="B36" s="6" t="n">
        <v>-13123</v>
      </c>
      <c r="C36" s="6" t="n">
        <v>-6502</v>
      </c>
      <c r="D36" s="6" t="n"/>
      <c r="E36" s="6" t="n"/>
      <c r="F36" s="6" t="n"/>
      <c r="G36" s="6" t="n"/>
      <c r="H36" s="6" t="n"/>
      <c r="I36" s="6" t="n"/>
      <c r="J36" s="6" t="n"/>
      <c r="K36" s="6" t="n"/>
      <c r="L36" s="6" t="n"/>
    </row>
    <row r="37">
      <c r="A37" s="6" t="inlineStr">
        <is>
          <t>Purchase of intangible/tangible fixed assets</t>
        </is>
      </c>
      <c r="B37" s="6" t="n"/>
      <c r="C37" s="6" t="n"/>
      <c r="D37" s="6" t="n">
        <v>-7251</v>
      </c>
      <c r="E37" s="6" t="n">
        <v>-6456</v>
      </c>
      <c r="F37" s="6" t="n"/>
      <c r="G37" s="6" t="n"/>
      <c r="H37" s="6" t="n"/>
      <c r="I37" s="6" t="n">
        <v>-1773</v>
      </c>
      <c r="J37" s="6" t="n">
        <v>-1672</v>
      </c>
      <c r="K37" s="6" t="n"/>
      <c r="L37" s="6" t="n"/>
    </row>
    <row r="38">
      <c r="A38" s="5" t="inlineStr">
        <is>
          <t>Net cash (used)/generated from investing activities</t>
        </is>
      </c>
      <c r="B38" s="5" t="n">
        <v>-176680</v>
      </c>
      <c r="C38" s="5" t="n">
        <v>-110119</v>
      </c>
      <c r="D38" s="5" t="n">
        <v>53783</v>
      </c>
      <c r="E38" s="5" t="n">
        <v>-97158</v>
      </c>
      <c r="F38" s="5" t="n">
        <v>12550</v>
      </c>
      <c r="G38" s="5" t="n">
        <v>-37377</v>
      </c>
      <c r="H38" s="5" t="n">
        <v>-12138</v>
      </c>
      <c r="I38" s="5" t="n">
        <v>-10165</v>
      </c>
      <c r="J38" s="5" t="n">
        <v>-7183</v>
      </c>
      <c r="K38" s="5" t="n">
        <v>22261</v>
      </c>
      <c r="L38" s="5" t="n">
        <v>-11156</v>
      </c>
    </row>
    <row r="39">
      <c r="A39" s="5" t="inlineStr">
        <is>
          <t>Financing activities</t>
        </is>
      </c>
      <c r="B39" s="6" t="n"/>
      <c r="C39" s="6" t="n"/>
      <c r="D39" s="6" t="n"/>
      <c r="E39" s="6" t="n"/>
      <c r="F39" s="6" t="n"/>
      <c r="G39" s="6" t="n"/>
      <c r="H39" s="6" t="n"/>
      <c r="I39" s="6" t="n"/>
      <c r="J39" s="6" t="n"/>
      <c r="K39" s="6" t="n"/>
      <c r="L39" s="6" t="n"/>
    </row>
    <row r="40">
      <c r="A40" s="6" t="inlineStr">
        <is>
          <t>Issue of contingent convertible securities</t>
        </is>
      </c>
      <c r="B40" s="6" t="n"/>
      <c r="C40" s="6" t="n"/>
      <c r="D40" s="6" t="n">
        <v>3000</v>
      </c>
      <c r="E40" s="6" t="n"/>
      <c r="F40" s="6" t="n"/>
      <c r="G40" s="6" t="n"/>
      <c r="H40" s="6" t="n"/>
      <c r="I40" s="6" t="n"/>
      <c r="J40" s="6" t="n"/>
      <c r="K40" s="6" t="n"/>
      <c r="L40" s="6" t="n"/>
    </row>
    <row r="41">
      <c r="A41" s="6" t="inlineStr">
        <is>
          <t>Subordinated loan</t>
        </is>
      </c>
      <c r="B41" s="6" t="n"/>
      <c r="C41" s="6" t="n"/>
      <c r="D41" s="6" t="n"/>
      <c r="E41" s="6" t="n"/>
      <c r="F41" s="6" t="n"/>
      <c r="G41" s="6" t="n"/>
      <c r="H41" s="6" t="n"/>
      <c r="I41" s="6" t="n">
        <v>10000</v>
      </c>
      <c r="J41" s="6" t="n"/>
      <c r="K41" s="6" t="n"/>
      <c r="L41" s="6" t="n"/>
    </row>
    <row r="42">
      <c r="A42" s="6" t="inlineStr">
        <is>
          <t>Equity dividends paid</t>
        </is>
      </c>
      <c r="B42" s="6" t="n">
        <v>-11100</v>
      </c>
      <c r="C42" s="6" t="n">
        <v>-5000</v>
      </c>
      <c r="D42" s="6" t="n">
        <v>-5000</v>
      </c>
      <c r="E42" s="6" t="n">
        <v>-2000</v>
      </c>
      <c r="F42" s="6" t="n">
        <v>-1250</v>
      </c>
      <c r="G42" s="6" t="n">
        <v>-250</v>
      </c>
      <c r="H42" s="6" t="n">
        <v>-2050</v>
      </c>
      <c r="I42" s="6" t="n">
        <v>-1750</v>
      </c>
      <c r="J42" s="6" t="n">
        <v>-1250</v>
      </c>
      <c r="K42" s="6" t="n">
        <v>-1520</v>
      </c>
      <c r="L42" s="6" t="n">
        <v>-1140</v>
      </c>
    </row>
    <row r="43">
      <c r="A43" s="5" t="inlineStr">
        <is>
          <t>Net cash (used)/generated from financing activities</t>
        </is>
      </c>
      <c r="B43" s="5" t="n">
        <v>-11100</v>
      </c>
      <c r="C43" s="5" t="n">
        <v>-5000</v>
      </c>
      <c r="D43" s="5" t="n">
        <v>-2000</v>
      </c>
      <c r="E43" s="5" t="n">
        <v>-2000</v>
      </c>
      <c r="F43" s="5" t="n">
        <v>-1250</v>
      </c>
      <c r="G43" s="5" t="n">
        <v>-250</v>
      </c>
      <c r="H43" s="5" t="n">
        <v>-2050</v>
      </c>
      <c r="I43" s="5" t="n">
        <v>8250</v>
      </c>
      <c r="J43" s="5" t="n">
        <v>-1250</v>
      </c>
      <c r="K43" s="5" t="n">
        <v>-1520</v>
      </c>
      <c r="L43" s="5" t="n">
        <v>-1140</v>
      </c>
    </row>
    <row r="44">
      <c r="A44" s="5" t="inlineStr">
        <is>
          <t>Net increase/(decrease) in cash and cash equivalents</t>
        </is>
      </c>
      <c r="B44" s="5" t="n">
        <v>-118526</v>
      </c>
      <c r="C44" s="5" t="n">
        <v>62468</v>
      </c>
      <c r="D44" s="5" t="n">
        <v>39654</v>
      </c>
      <c r="E44" s="5" t="n">
        <v>-7159</v>
      </c>
      <c r="F44" s="5" t="n">
        <v>266293</v>
      </c>
      <c r="G44" s="5" t="n">
        <v>65038</v>
      </c>
      <c r="H44" s="5" t="n">
        <v>-36724</v>
      </c>
      <c r="I44" s="5" t="n">
        <v>25781</v>
      </c>
      <c r="J44" s="5" t="n">
        <v>56204</v>
      </c>
      <c r="K44" s="5" t="n">
        <v>79844</v>
      </c>
      <c r="L44" s="5" t="n">
        <v>-21148</v>
      </c>
    </row>
    <row r="45">
      <c r="A45" s="6" t="inlineStr">
        <is>
          <t>Cash and cash equivalents at beginning of year</t>
        </is>
      </c>
      <c r="B45" s="6" t="n">
        <v>687343</v>
      </c>
      <c r="C45" s="6" t="n">
        <v>624875</v>
      </c>
      <c r="D45" s="6" t="n">
        <v>585221</v>
      </c>
      <c r="E45" s="6" t="n">
        <v>592380</v>
      </c>
      <c r="F45" s="6" t="n">
        <v>326087</v>
      </c>
      <c r="G45" s="6" t="n">
        <v>261050</v>
      </c>
      <c r="H45" s="6" t="n">
        <v>297773</v>
      </c>
      <c r="I45" s="6" t="n">
        <v>271992</v>
      </c>
      <c r="J45" s="6" t="n">
        <v>215788</v>
      </c>
      <c r="K45" s="6" t="n">
        <v>135944</v>
      </c>
      <c r="L45" s="6" t="n">
        <v>157092</v>
      </c>
    </row>
    <row r="46">
      <c r="A46" s="5" t="inlineStr">
        <is>
          <t>Cash and cash equivalents at end of year</t>
        </is>
      </c>
      <c r="B46" s="5" t="n">
        <v>568817</v>
      </c>
      <c r="C46" s="5" t="n">
        <v>687343</v>
      </c>
      <c r="D46" s="5" t="n">
        <v>624875</v>
      </c>
      <c r="E46" s="5" t="n">
        <v>585221</v>
      </c>
      <c r="F46" s="5" t="n">
        <v>592380</v>
      </c>
      <c r="G46" s="5" t="n">
        <v>326087</v>
      </c>
      <c r="H46" s="5" t="n">
        <v>261050</v>
      </c>
      <c r="I46" s="5" t="n">
        <v>297773</v>
      </c>
      <c r="J46" s="5" t="n">
        <v>271992</v>
      </c>
      <c r="K46" s="5" t="n">
        <v>215788</v>
      </c>
      <c r="L46" s="5" t="n">
        <v>135944</v>
      </c>
    </row>
    <row r="48" ht="360" customHeight="1">
      <c r="A48" s="8" t="inlineStr">
        <is>
          <t>Sources - Weatherbys Banking Group consolidated statement of cash flows, GBP'000: FY2025/FY2024: Annual Report and Financial Accounts 2025, p.64 - https://www.weatherbys.bank/weatherbys-banking-group-annual-report-2025/; FY2024/FY2023: Annual Report &amp; Accounts 2024, p.45 - https://www.weatherbys.bank/app/uploads/2025/04/Weatherbys-Banking-Group-Annual-Report-2024.pdf; FY2023/FY2022: Annual Report &amp; Accounts 2023, p.50 - https://www.weatherbys.bank/app/uploads/2024/05/Weatherbys-Banking-Group-Annual-Report-2023.pdf; FY2022/FY2021: Annual Report &amp; Accounts 2022, p.46 - https://www.weatherbys.bank/app/uploads/2023/05/Weatherbys-Banking-Group-Annual_Report-2022.pdf; FY2020/FY2019: Group accounts made up to 31 Dec 2020, p.34 (Consolidated statement of cash flows) - https://find-and-update.company-information.service.gov.uk/company/02943300/filing-history/MzMxMjkxNjk5MmFkaXF6a2N4/document?format=pdf&amp;download=0; FY2018/FY2017: Group accounts made up to 31 Dec 2018, pp.25-26 - https://find-and-update.company-information.service.gov.uk/company/02943300/filing-history/MzIzODIyOTM2NWFkaXF6a2N4/document?format=pdf&amp;download=0; FY2016/FY2015: Group accounts made up to 31 Dec 2016, p.15 -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The 2024 statement labels the financing section's subtotal as investing activities, but its placement and figures are the financing cash flows; the source presentation is retained with a corrected descriptive label.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FY2015's own cash flow statement combines fixed-asset and debt-securities depreciation/amortisation into one line (GBP259k); it is placed in this workbook's 'Depreciation, impairment and amortisation of fixed assets' row, with 'Amortisation of debt securities' left blank for FY2015 only (all other years split the two). FY2016-FY2018 disclose a one-off 'Gain on Visa convertible preferred stock' adjustment (Visa Inc.'s 2016 acquisition of Visa Europe, which several UK banks including Weatherbys held preferred stock in) not present before or after those years. FY2020's own filed 'Cash from operations' subtotal (GBP104,053,076) exceeds the sum of its own listed adjustment lines (GBP104,043,076) by GBP10,000 - a small internal footing discrepancy in the source document, reproduced as-stated rather than forced to tie (all other years' subtotals reconcile to their component lines to within normal independent-rounding tolerance, +/-GBP2k).</t>
        </is>
      </c>
    </row>
  </sheetData>
  <mergeCells count="1">
    <mergeCell ref="A48:L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Asset Quality</t>
        </is>
      </c>
    </row>
    <row r="2">
      <c r="A2" s="2" t="inlineStr">
        <is>
          <t>Weatherbys Banking Group loan book credit quality and regulatory credit risk exposure, GBP'000.</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Loans and advances to customers - credit quality (Banking Group)</t>
        </is>
      </c>
      <c r="B4" s="6" t="n"/>
      <c r="C4" s="6" t="n"/>
      <c r="D4" s="6" t="n"/>
      <c r="E4" s="6" t="n"/>
      <c r="F4" s="6" t="n"/>
      <c r="G4" s="6" t="n"/>
      <c r="H4" s="6" t="n"/>
      <c r="I4" s="6" t="n"/>
      <c r="J4" s="6" t="n"/>
      <c r="K4" s="6" t="n"/>
      <c r="L4" s="6" t="n"/>
    </row>
    <row r="5">
      <c r="A5" s="6" t="inlineStr">
        <is>
          <t>Gross loans and advances to customers</t>
        </is>
      </c>
      <c r="B5" s="6" t="n">
        <v>1011493</v>
      </c>
      <c r="C5" s="6" t="n">
        <v>863936</v>
      </c>
      <c r="D5" s="6" t="n">
        <v>825925</v>
      </c>
      <c r="E5" s="6" t="n">
        <v>779193</v>
      </c>
      <c r="F5" s="6" t="n">
        <v>748236</v>
      </c>
      <c r="G5" s="6" t="n">
        <v>682727</v>
      </c>
      <c r="H5" s="6" t="n">
        <v>590885</v>
      </c>
      <c r="I5" s="6" t="n">
        <v>476770</v>
      </c>
      <c r="J5" s="6" t="n">
        <v>389398</v>
      </c>
      <c r="K5" s="6" t="n">
        <v>328735</v>
      </c>
      <c r="L5" s="6" t="n">
        <v>277870</v>
      </c>
    </row>
    <row r="6">
      <c r="A6" s="6" t="inlineStr">
        <is>
          <t>Loan loss provision (Balance Sheet, Note 15)</t>
        </is>
      </c>
      <c r="B6" s="6" t="n">
        <v>-5333</v>
      </c>
      <c r="C6" s="6" t="n">
        <v>-4264</v>
      </c>
      <c r="D6" s="6" t="n">
        <v>-4225</v>
      </c>
      <c r="E6" s="6" t="n">
        <v>-3620</v>
      </c>
      <c r="F6" s="6" t="n">
        <v>-3645</v>
      </c>
      <c r="G6" s="6" t="n">
        <v>-4163</v>
      </c>
      <c r="H6" s="6" t="n">
        <v>-1961</v>
      </c>
      <c r="I6" s="6" t="n">
        <v>-2042</v>
      </c>
      <c r="J6" s="6" t="n">
        <v>-1894</v>
      </c>
      <c r="K6" s="6" t="n">
        <v>-1351</v>
      </c>
      <c r="L6" s="6" t="n">
        <v>-1249</v>
      </c>
    </row>
    <row r="7">
      <c r="A7" s="5" t="inlineStr">
        <is>
          <t>Net loans and advances to customers</t>
        </is>
      </c>
      <c r="B7" s="5" t="n">
        <v>1006160</v>
      </c>
      <c r="C7" s="5" t="n">
        <v>859672</v>
      </c>
      <c r="D7" s="5" t="n">
        <v>821700</v>
      </c>
      <c r="E7" s="5" t="n">
        <v>775573</v>
      </c>
      <c r="F7" s="5" t="n">
        <v>744591</v>
      </c>
      <c r="G7" s="5" t="n">
        <v>678564</v>
      </c>
      <c r="H7" s="5" t="n">
        <v>588924</v>
      </c>
      <c r="I7" s="5" t="n">
        <v>474728</v>
      </c>
      <c r="J7" s="5" t="n">
        <v>387504</v>
      </c>
      <c r="K7" s="5" t="n">
        <v>327384</v>
      </c>
      <c r="L7" s="5" t="n">
        <v>276621</v>
      </c>
    </row>
    <row r="8">
      <c r="A8" s="6" t="inlineStr">
        <is>
          <t>Total provisions for bad and doubtful debts (Note 16 cumulative)</t>
        </is>
      </c>
      <c r="B8" s="6" t="n">
        <v>5338</v>
      </c>
      <c r="C8" s="6" t="n">
        <v>4264</v>
      </c>
      <c r="D8" s="6" t="n">
        <v>4225</v>
      </c>
      <c r="E8" s="6" t="n">
        <v>3620</v>
      </c>
      <c r="F8" s="6" t="n">
        <v>3645</v>
      </c>
      <c r="G8" s="6" t="n">
        <v>4163</v>
      </c>
      <c r="H8" s="6" t="n">
        <v>1961</v>
      </c>
      <c r="I8" s="6" t="n">
        <v>2042</v>
      </c>
      <c r="J8" s="6" t="n">
        <v>1894</v>
      </c>
      <c r="K8" s="6" t="n">
        <v>1351</v>
      </c>
      <c r="L8" s="6" t="n">
        <v>1249</v>
      </c>
    </row>
    <row r="9">
      <c r="A9" s="6" t="inlineStr">
        <is>
          <t>Non-performing loans and advances to customers (before provisions)</t>
        </is>
      </c>
      <c r="B9" s="6" t="n">
        <v>11193</v>
      </c>
      <c r="C9" s="6" t="n">
        <v>10452</v>
      </c>
      <c r="D9" s="6" t="n">
        <v>9628</v>
      </c>
      <c r="E9" s="6" t="n">
        <v>6847</v>
      </c>
      <c r="F9" s="6" t="n">
        <v>6372</v>
      </c>
      <c r="G9" s="6" t="n">
        <v>6102</v>
      </c>
      <c r="H9" s="6" t="n">
        <v>3593</v>
      </c>
      <c r="I9" s="6" t="n">
        <v>2435</v>
      </c>
      <c r="J9" s="6" t="n">
        <v>2461</v>
      </c>
      <c r="K9" s="6" t="n">
        <v>891</v>
      </c>
      <c r="L9" s="6" t="n">
        <v>716</v>
      </c>
    </row>
    <row r="10">
      <c r="A10" s="6" t="inlineStr">
        <is>
          <t>NPL ratio (non-performing loans / gross loans)</t>
        </is>
      </c>
      <c r="B10" s="6" t="inlineStr">
        <is>
          <t>1.11%</t>
        </is>
      </c>
      <c r="C10" s="6" t="inlineStr">
        <is>
          <t>1.21%</t>
        </is>
      </c>
      <c r="D10" s="6" t="inlineStr">
        <is>
          <t>1.17%</t>
        </is>
      </c>
      <c r="E10" s="6" t="inlineStr">
        <is>
          <t>0.88%</t>
        </is>
      </c>
      <c r="F10" s="6" t="inlineStr">
        <is>
          <t>0.85%</t>
        </is>
      </c>
      <c r="G10" s="6" t="inlineStr">
        <is>
          <t>0.89%</t>
        </is>
      </c>
      <c r="H10" s="6" t="inlineStr">
        <is>
          <t>0.61%</t>
        </is>
      </c>
      <c r="I10" s="6" t="inlineStr">
        <is>
          <t>0.51%</t>
        </is>
      </c>
      <c r="J10" s="6" t="inlineStr">
        <is>
          <t>0.63%</t>
        </is>
      </c>
      <c r="K10" s="6" t="inlineStr">
        <is>
          <t>0.27%</t>
        </is>
      </c>
      <c r="L10" s="6" t="inlineStr">
        <is>
          <t>0.26%</t>
        </is>
      </c>
    </row>
    <row r="11">
      <c r="A11" s="6" t="inlineStr">
        <is>
          <t>Coverage ratio (total provisions / non-performing loans)</t>
        </is>
      </c>
      <c r="B11" s="6" t="inlineStr">
        <is>
          <t>47.69%</t>
        </is>
      </c>
      <c r="C11" s="6" t="inlineStr">
        <is>
          <t>40.80%</t>
        </is>
      </c>
      <c r="D11" s="6" t="inlineStr">
        <is>
          <t>43.88%</t>
        </is>
      </c>
      <c r="E11" s="6" t="inlineStr">
        <is>
          <t>52.87%</t>
        </is>
      </c>
      <c r="F11" s="6" t="inlineStr">
        <is>
          <t>57.20%</t>
        </is>
      </c>
      <c r="G11" s="6" t="inlineStr">
        <is>
          <t>68.22%</t>
        </is>
      </c>
      <c r="H11" s="6" t="inlineStr">
        <is>
          <t>54.58%</t>
        </is>
      </c>
      <c r="I11" s="6" t="inlineStr">
        <is>
          <t>83.86%</t>
        </is>
      </c>
      <c r="J11" s="6" t="inlineStr">
        <is>
          <t>76.96%</t>
        </is>
      </c>
      <c r="K11" s="6" t="inlineStr">
        <is>
          <t>151.63%</t>
        </is>
      </c>
      <c r="L11" s="6" t="inlineStr">
        <is>
          <t>174.44%</t>
        </is>
      </c>
    </row>
    <row r="12">
      <c r="A12" s="5" t="inlineStr">
        <is>
          <t>Regulatory credit risk exposure by class (Pillar 3 Table 6, before credit risk mitigation)</t>
        </is>
      </c>
      <c r="B12" s="6" t="n"/>
      <c r="C12" s="6" t="n"/>
      <c r="D12" s="6" t="n"/>
      <c r="E12" s="6" t="n"/>
      <c r="F12" s="6" t="n"/>
      <c r="G12" s="6" t="n"/>
      <c r="H12" s="6" t="n"/>
      <c r="I12" s="6" t="n"/>
      <c r="J12" s="6" t="n"/>
      <c r="K12" s="6" t="n"/>
      <c r="L12" s="6" t="n"/>
    </row>
    <row r="13">
      <c r="A13" s="6" t="inlineStr">
        <is>
          <t>Central Government and Central Banks</t>
        </is>
      </c>
      <c r="B13" s="6" t="n"/>
      <c r="C13" s="6" t="n">
        <v>760594</v>
      </c>
      <c r="D13" s="6" t="n">
        <v>645464</v>
      </c>
      <c r="E13" s="6" t="n">
        <v>646149</v>
      </c>
      <c r="F13" s="6" t="n">
        <v>577637</v>
      </c>
      <c r="G13" s="6" t="n">
        <v>287639</v>
      </c>
      <c r="H13" s="6" t="n"/>
      <c r="I13" s="6" t="n"/>
      <c r="J13" s="6" t="n"/>
      <c r="K13" s="6" t="n"/>
      <c r="L13" s="6" t="n"/>
    </row>
    <row r="14">
      <c r="A14" s="6" t="inlineStr">
        <is>
          <t>Financial institutions</t>
        </is>
      </c>
      <c r="B14" s="6" t="n"/>
      <c r="C14" s="6" t="n">
        <v>65986</v>
      </c>
      <c r="D14" s="6" t="n">
        <v>40329</v>
      </c>
      <c r="E14" s="6" t="n">
        <v>48477</v>
      </c>
      <c r="F14" s="6" t="n">
        <v>38362</v>
      </c>
      <c r="G14" s="6" t="n">
        <v>56136</v>
      </c>
      <c r="H14" s="6" t="n"/>
      <c r="I14" s="6" t="n"/>
      <c r="J14" s="6" t="n"/>
      <c r="K14" s="6" t="n"/>
      <c r="L14" s="6" t="n"/>
    </row>
    <row r="15">
      <c r="A15" s="6" t="inlineStr">
        <is>
          <t>Covered Bonds</t>
        </is>
      </c>
      <c r="B15" s="6" t="n"/>
      <c r="C15" s="6" t="n">
        <v>86742</v>
      </c>
      <c r="D15" s="6" t="n">
        <v>60875</v>
      </c>
      <c r="E15" s="6" t="n">
        <v>67566</v>
      </c>
      <c r="F15" s="6" t="n">
        <v>51916</v>
      </c>
      <c r="G15" s="6" t="n">
        <v>69489</v>
      </c>
      <c r="H15" s="6" t="n"/>
      <c r="I15" s="6" t="n"/>
      <c r="J15" s="6" t="n"/>
      <c r="K15" s="6" t="n"/>
      <c r="L15" s="6" t="n"/>
    </row>
    <row r="16">
      <c r="A16" s="6" t="inlineStr">
        <is>
          <t>Multilateral Development Banks</t>
        </is>
      </c>
      <c r="B16" s="6" t="n"/>
      <c r="C16" s="6" t="n">
        <v>38424</v>
      </c>
      <c r="D16" s="6" t="n">
        <v>29455</v>
      </c>
      <c r="E16" s="6" t="n">
        <v>37092</v>
      </c>
      <c r="F16" s="6" t="n">
        <v>43634</v>
      </c>
      <c r="G16" s="6" t="n">
        <v>48783</v>
      </c>
      <c r="H16" s="6" t="n"/>
      <c r="I16" s="6" t="n"/>
      <c r="J16" s="6" t="n"/>
      <c r="K16" s="6" t="n"/>
      <c r="L16" s="6" t="n"/>
    </row>
    <row r="17">
      <c r="A17" s="6" t="inlineStr">
        <is>
          <t>Corporates</t>
        </is>
      </c>
      <c r="B17" s="6" t="n"/>
      <c r="C17" s="6" t="n">
        <v>0</v>
      </c>
      <c r="D17" s="6" t="n">
        <v>0</v>
      </c>
      <c r="E17" s="6" t="n">
        <v>15</v>
      </c>
      <c r="F17" s="6" t="n">
        <v>99</v>
      </c>
      <c r="G17" s="6" t="n">
        <v>232</v>
      </c>
      <c r="H17" s="6" t="n"/>
      <c r="I17" s="6" t="n"/>
      <c r="J17" s="6" t="n"/>
      <c r="K17" s="6" t="n"/>
      <c r="L17" s="6" t="n"/>
    </row>
    <row r="18">
      <c r="A18" s="6" t="inlineStr">
        <is>
          <t>Retail</t>
        </is>
      </c>
      <c r="B18" s="6" t="n"/>
      <c r="C18" s="6" t="n">
        <v>273745</v>
      </c>
      <c r="D18" s="6" t="n">
        <v>239489</v>
      </c>
      <c r="E18" s="6" t="n">
        <v>196497</v>
      </c>
      <c r="F18" s="6" t="n">
        <v>131874</v>
      </c>
      <c r="G18" s="6" t="n">
        <v>150260</v>
      </c>
      <c r="H18" s="6" t="n"/>
      <c r="I18" s="6" t="n"/>
      <c r="J18" s="6" t="n"/>
      <c r="K18" s="6" t="n"/>
      <c r="L18" s="6" t="n"/>
    </row>
    <row r="19">
      <c r="A19" s="6" t="inlineStr">
        <is>
          <t>CBILs - Government Guaranteed</t>
        </is>
      </c>
      <c r="B19" s="6" t="n"/>
      <c r="C19" s="6" t="n">
        <v>15644</v>
      </c>
      <c r="D19" s="6" t="n">
        <v>10628</v>
      </c>
      <c r="E19" s="6" t="n">
        <v>12793</v>
      </c>
      <c r="F19" s="6" t="n">
        <v>13240</v>
      </c>
      <c r="G19" s="6" t="n"/>
      <c r="H19" s="6" t="n"/>
      <c r="I19" s="6" t="n"/>
      <c r="J19" s="6" t="n"/>
      <c r="K19" s="6" t="n"/>
      <c r="L19" s="6" t="n"/>
    </row>
    <row r="20">
      <c r="A20" s="6" t="inlineStr">
        <is>
          <t>Secured on real estate property</t>
        </is>
      </c>
      <c r="B20" s="6" t="n"/>
      <c r="C20" s="6" t="n">
        <v>578244</v>
      </c>
      <c r="D20" s="6" t="n">
        <v>571853</v>
      </c>
      <c r="E20" s="6" t="n">
        <v>568369</v>
      </c>
      <c r="F20" s="6" t="n">
        <v>581162</v>
      </c>
      <c r="G20" s="6" t="n">
        <v>528553</v>
      </c>
      <c r="H20" s="6" t="n"/>
      <c r="I20" s="6" t="n"/>
      <c r="J20" s="6" t="n"/>
      <c r="K20" s="6" t="n"/>
      <c r="L20" s="6" t="n"/>
    </row>
    <row r="21">
      <c r="A21" s="6" t="inlineStr">
        <is>
          <t>Other items</t>
        </is>
      </c>
      <c r="B21" s="6" t="n"/>
      <c r="C21" s="6" t="n">
        <v>42329</v>
      </c>
      <c r="D21" s="6" t="n">
        <v>35556</v>
      </c>
      <c r="E21" s="6" t="n">
        <v>22514</v>
      </c>
      <c r="F21" s="6" t="n">
        <v>34363</v>
      </c>
      <c r="G21" s="6" t="n">
        <v>29989</v>
      </c>
      <c r="H21" s="6" t="n"/>
      <c r="I21" s="6" t="n"/>
      <c r="J21" s="6" t="n"/>
      <c r="K21" s="6" t="n"/>
      <c r="L21" s="6" t="n"/>
    </row>
    <row r="22">
      <c r="A22" s="6" t="inlineStr">
        <is>
          <t>Exposures In Default</t>
        </is>
      </c>
      <c r="B22" s="6" t="n"/>
      <c r="C22" s="6" t="n">
        <v>12703</v>
      </c>
      <c r="D22" s="6" t="n">
        <v>14760</v>
      </c>
      <c r="E22" s="6" t="n">
        <v>9269</v>
      </c>
      <c r="F22" s="6" t="n">
        <v>7139</v>
      </c>
      <c r="G22" s="6" t="n">
        <v>4403</v>
      </c>
      <c r="H22" s="6" t="n"/>
      <c r="I22" s="6" t="n"/>
      <c r="J22" s="6" t="n"/>
      <c r="K22" s="6" t="n"/>
      <c r="L22" s="6" t="n"/>
    </row>
    <row r="23">
      <c r="A23" s="6" t="inlineStr">
        <is>
          <t>Credit Value Adjustment</t>
        </is>
      </c>
      <c r="B23" s="6" t="n"/>
      <c r="C23" s="6" t="n">
        <v>6164</v>
      </c>
      <c r="D23" s="6" t="n">
        <v>1784</v>
      </c>
      <c r="E23" s="6" t="n"/>
      <c r="F23" s="6" t="n">
        <v>1549</v>
      </c>
      <c r="G23" s="6" t="n">
        <v>598</v>
      </c>
      <c r="H23" s="6" t="n"/>
      <c r="I23" s="6" t="n"/>
      <c r="J23" s="6" t="n"/>
      <c r="K23" s="6" t="n"/>
      <c r="L23" s="6" t="n"/>
    </row>
    <row r="24">
      <c r="A24" s="5" t="inlineStr">
        <is>
          <t>Total regulatory credit risk exposure</t>
        </is>
      </c>
      <c r="B24" s="5" t="n"/>
      <c r="C24" s="5" t="n">
        <v>1880575</v>
      </c>
      <c r="D24" s="5" t="n">
        <v>1650193</v>
      </c>
      <c r="E24" s="5" t="n">
        <v>1608741</v>
      </c>
      <c r="F24" s="5" t="n">
        <v>1480975</v>
      </c>
      <c r="G24" s="5" t="n">
        <v>1176082</v>
      </c>
      <c r="H24" s="5" t="n"/>
      <c r="I24" s="5" t="n"/>
      <c r="J24" s="5" t="n"/>
      <c r="K24" s="5" t="n"/>
      <c r="L24" s="5" t="n"/>
    </row>
    <row r="26" ht="260" customHeight="1">
      <c r="A26" s="8" t="inlineStr">
        <is>
          <t>Sources - Weatherbys Bank Limited Pillar 3 Disclosures, Group and Solo (identical, Table 5/Table 6), GBP'000: FY2025 impairment/NPL data from Annual Report and Financial Accounts 2025, pp.79-80 (Banking Group basis) - https://www.weatherbys.bank/weatherbys-banking-group-annual-report-2025/; FY2024 from Annual Report &amp; Accounts 2024, p.60 and Pillar 3 Disclosures 2024, pp.7-8 - https://www.weatherbys.bank/app/uploads/2025/04/Weatherbys-Banking-Group-Annual-Report-2024.pdf and https://www.weatherbys.bank/app/uploads/2025/04/Weatherbys-Bank-Pillar-3-Disclosures-2024.pdf; FY2023 from Annual Report &amp; Accounts 2023, p.65 and Pillar 3 Disclosures 2023, pp.6-7 - https://www.weatherbys.bank/app/uploads/2024/05/Weatherbys-Banking-Group-Annual-Report-2023.pdf and https://weatherbys.bank/app/uploads/2024/05/Weatherbys-Bank-Pillar-3-Dislcosures-2023.pdf; FY2022 from Annual Report &amp; Accounts 2022, p.62 and Pillar 3 Disclosures 2022, pp.8-9 - https://www.weatherbys.bank/app/uploads/2023/05/Weatherbys-Banking-Group-Annual_Report-2022.pdf and https://weatherbys.bank/app/uploads/2023/05/Weatherbys-Bank-Pillar-3-Dislcosures-2022.pdf; FY2021 from Annual Report &amp; Accounts 2022, p.62 (2021 comparative) and Pillar 3 Disclosures 2021, pp.7-8 - https://www.weatherbys.bank/app/uploads/2023/05/Weatherbys-Banking-Group-Annual_Report-2022.pdf and https://www.weatherbys.bank/app/uploads/2022/05/Pillar-3-2021-v2.0-Weatherbys-Bank.pdf; FY2020 impairment/NPL from Group accounts made up to 31 Dec 2020, p.34 (Note 15/16) and Pillar 3 Disclosures 2020, Table 6, p.8 - https://find-and-update.company-information.service.gov.uk/company/02943300/filing-history/MzMxMjkxNjk5MmFkaXF6a2N4/document?format=pdf&amp;download=0 and https://www.weatherbys.bank/app/uploads/2021/08/Pillar3-2020.pdf; FY2019 impairment/NPL from the same Group accounts' FY2019 comparative column - https://find-and-update.company-information.service.gov.uk/company/02943300/filing-history/MzMxMjkxNjk5MmFkaXF6a2N4/document?format=pdf&amp;download=0; FY2018/FY2017 impairment/NPL from Group accounts made up to 31 Dec 2018, p.33 (Note 15/16) - https://find-and-update.company-information.service.gov.uk/company/02943300/filing-history/MzIzODIyOTM2NWFkaXF6a2N4/document?format=pdf&amp;download=0; FY2016/FY2015 impairment/NPL from Group accounts made up to 31 Dec 2016, p.25 (Note 15/16)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Gross loans and advances to customers is derived as the Balance Sheet's net Loans and advances to customers plus the Loan loss provision balance from each year's own Note 15/16 (Banking Group basis); this ties exactly to the Balance Sheet's net figure every year. FY2025's Note 15 Balance Sheet loan loss provision (£5,333k) differs by £5k from Note 16's cumulative provision total (£5,338k) - a small internal document discrepancy, reproduced as-stated rather than forced to tie; both figures are shown. The regulatory credit risk exposure table (Pillar 3 Table 6) is a broader Pillar 1 exposure-class measure before credit risk mitigation (includes central bank/financial institution/covered bond exposures, not just customer loans) and does not tie to the narrower Balance Sheet loans line - shown as supplementary risk categorisation, not forced to reconcile.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FY2015-FY2019's loan loss provision (used for both the 'Balance Sheet' and 'Note 16 cumulative' rows, since the Companies House Group accounts for those years give only the single Note 16 movement table, not a separate Balance Sheet-note split) and NPL figures are Group accounts Note 15/16 disclosures, not Pillar 3 figures (no pre-FY2020 Pillar 3 document was recoverable - see PRE2021_NOTE); the regulatory credit risk exposure section (Pillar 3 Table 6) is therefore populated for FY2020 only and left blank for FY2015-FY2019, a genuine access gap rather than a non-disclosure.</t>
        </is>
      </c>
    </row>
  </sheetData>
  <mergeCells count="1">
    <mergeCell ref="A26:L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KM1 Key Metrics</t>
        </is>
      </c>
    </row>
    <row r="2">
      <c r="A2" s="2" t="inlineStr">
        <is>
          <t>Not applicable — Weatherbys Bank publishes Pillar 3 disclosures, but none of its FY2021–FY2024 editions uses the UK KM1 key-metrics template. The newest live edition is FY2024; FY2025 is covered by an Annual Report but no Pillar 3 publication. See the source note for the row-set test.</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UK KM1 key-metrics template</t>
        </is>
      </c>
      <c r="B4" s="6" t="inlineStr">
        <is>
          <t>Not used in any published edition</t>
        </is>
      </c>
      <c r="C4" s="6" t="inlineStr">
        <is>
          <t>Not used in any published edition</t>
        </is>
      </c>
      <c r="D4" s="6" t="inlineStr">
        <is>
          <t>Not used in any published edition</t>
        </is>
      </c>
      <c r="E4" s="6" t="inlineStr">
        <is>
          <t>Not used in any published edition</t>
        </is>
      </c>
      <c r="F4" s="6" t="inlineStr">
        <is>
          <t>Not used in any published edition</t>
        </is>
      </c>
      <c r="G4" s="6" t="inlineStr">
        <is>
          <t>Not used in any published edition</t>
        </is>
      </c>
      <c r="H4" s="6" t="inlineStr">
        <is>
          <t>Not used in any published edition</t>
        </is>
      </c>
      <c r="I4" s="6" t="inlineStr">
        <is>
          <t>Not used in any published edition</t>
        </is>
      </c>
      <c r="J4" s="6" t="inlineStr">
        <is>
          <t>Not used in any published edition</t>
        </is>
      </c>
      <c r="K4" s="6" t="inlineStr">
        <is>
          <t>Not used in any published edition</t>
        </is>
      </c>
      <c r="L4" s="6" t="inlineStr">
        <is>
          <t>Not used in any published edition</t>
        </is>
      </c>
    </row>
    <row r="6" ht="260" customHeight="1">
      <c r="A6" s="8" t="inlineStr">
        <is>
          <t>Sources — Weatherbys Bank Limited's own Pillar 3 disclosures, checked against the Bank's live annual-reporting page on 17 September 2026. The newest listed Pillar 3 remains the year ended 31 December 2024; the same page lists the Banking Group Annual Report and Accounts 2025, so the annual-report side of this workbook is current but no FY2025 Pillar 3 edition is published.
FY2024: Pillar 3 Disclosures 2024, printed pp.6 and 20-24 — https://www.weatherbys.bank/app/uploads/2025/04/Weatherbys-Bank-Pillar-3-Disclosures-2024.pdf
FY2023: Pillar 3 Disclosures 2023, printed pp.6 and 20-25 — https://weatherbys.bank/app/uploads/2024/05/Weatherbys-Bank-Pillar-3-Dislcosures-2023.pdf
FY2022: Pillar 3 Disclosures 2022, printed pp.7 and 21-25 — https://weatherbys.bank/app/uploads/2023/05/Weatherbys-Bank-Pillar-3-Dislcosures-2022.pdf
FY2021: Pillar 3 Disclosures 2021, printed pp.6 and 14-20 — https://www.weatherbys.bank/app/uploads/2022/05/Pillar-3-2021-v2.0-Weatherbys-Bank.pdf
Every edition was read through the end of its regulatory-template section. Each publishes capital, leverage and liquidity information, including CC1-style own-funds rows, but none publishes UK KM1: there is no single table carrying the template's own-funds, SREP/buffer, leverage, LCR and NSFR row set. The apparent bare row numbers in the documents belong to separate tables (for example the CC1 own-funds build-up) and are not KM1 row references. No later-edition comparative has been reshaped into a template, and no wider-group KM1 has been substituted. This is 'Pillar 3 is published but the template is not used', not a failed fetch or a claim that no Pillar 3 exists.</t>
        </is>
      </c>
    </row>
  </sheetData>
  <mergeCells count="1">
    <mergeCell ref="A6:L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Weatherbys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capital</t>
        </is>
      </c>
      <c r="B4" s="6" t="inlineStr">
        <is>
          <t>Not disclosed - AR 2025 states no such figure; no Pillar 3 (SDDT Rule 3.1 from 02/04/2025)</t>
        </is>
      </c>
      <c r="C4" s="6" t="n">
        <v>84898</v>
      </c>
      <c r="D4" s="6" t="n">
        <v>73192</v>
      </c>
      <c r="E4" s="6" t="n">
        <v>57524</v>
      </c>
      <c r="F4" s="6" t="n">
        <v>50247</v>
      </c>
      <c r="G4" s="6" t="n">
        <v>46910</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Weatherbys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13.1%</t>
        </is>
      </c>
      <c r="C4" s="6" t="inlineStr">
        <is>
          <t>13.84%</t>
        </is>
      </c>
      <c r="D4" s="6" t="inlineStr">
        <is>
          <t>13.48%</t>
        </is>
      </c>
      <c r="E4" s="6" t="inlineStr">
        <is>
          <t>12.07%</t>
        </is>
      </c>
      <c r="F4" s="6" t="inlineStr">
        <is>
          <t>11.81%</t>
        </is>
      </c>
      <c r="G4" s="6" t="inlineStr">
        <is>
          <t>11.69%</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Weatherbys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inlineStr">
        <is>
          <t>Not disclosed - AR 2025 states no such figure; no Pillar 3 (SDDT Rule 3.1 from 02/04/2025)</t>
        </is>
      </c>
      <c r="C4" s="6" t="n">
        <v>87898</v>
      </c>
      <c r="D4" s="6" t="n">
        <v>76192</v>
      </c>
      <c r="E4" s="6" t="n">
        <v>57524</v>
      </c>
      <c r="F4" s="6" t="n">
        <v>50247</v>
      </c>
      <c r="G4" s="6" t="n">
        <v>46910</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Weatherbys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Not disclosed - AR 2025 states no such figure; no Pillar 3 (SDDT Rule 3.1 from 02/04/2025)</t>
        </is>
      </c>
      <c r="C4" s="6" t="inlineStr">
        <is>
          <t>14.33%</t>
        </is>
      </c>
      <c r="D4" s="6" t="inlineStr">
        <is>
          <t>14.03%</t>
        </is>
      </c>
      <c r="E4" s="6" t="inlineStr">
        <is>
          <t>12.07%</t>
        </is>
      </c>
      <c r="F4" s="6" t="inlineStr">
        <is>
          <t>11.81%</t>
        </is>
      </c>
      <c r="G4" s="6" t="inlineStr">
        <is>
          <t>11.69%</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Weatherbys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105500</v>
      </c>
      <c r="C4" s="6" t="n">
        <v>99753</v>
      </c>
      <c r="D4" s="6" t="n">
        <v>87815</v>
      </c>
      <c r="E4" s="6" t="n">
        <v>69108</v>
      </c>
      <c r="F4" s="6" t="n">
        <v>61634</v>
      </c>
      <c r="G4" s="6" t="n">
        <v>58286</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Weatherbys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15.3%</t>
        </is>
      </c>
      <c r="C4" s="6" t="inlineStr">
        <is>
          <t>16.26%</t>
        </is>
      </c>
      <c r="D4" s="6" t="inlineStr">
        <is>
          <t>16.17%</t>
        </is>
      </c>
      <c r="E4" s="6" t="inlineStr">
        <is>
          <t>14.50%</t>
        </is>
      </c>
      <c r="F4" s="6" t="inlineStr">
        <is>
          <t>14.48%</t>
        </is>
      </c>
      <c r="G4" s="6" t="inlineStr">
        <is>
          <t>14.53%</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Weatherbys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 weighted assets</t>
        </is>
      </c>
      <c r="B4" s="6" t="inlineStr">
        <is>
          <t>Not disclosed - AR 2025 states no such figure; no Pillar 3 (SDDT Rule 3.1 from 02/04/2025)</t>
        </is>
      </c>
      <c r="C4" s="6" t="n">
        <v>613559</v>
      </c>
      <c r="D4" s="6" t="n">
        <v>543090</v>
      </c>
      <c r="E4" s="6" t="n">
        <v>476472</v>
      </c>
      <c r="F4" s="6" t="n">
        <v>425582</v>
      </c>
      <c r="G4" s="6" t="n">
        <v>401130</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Weatherbys Bank Limited — RWA Breakdown</t>
        </is>
      </c>
    </row>
    <row r="2">
      <c r="A2" s="2" t="inlineStr">
        <is>
          <t>Weatherbys Bank risk-weighted assets by category, GBP'000 — derived from Pillar 3 capital requirement tables (see sources). The FY2025 column stays visible and now carries an explicit stated negative on the status row rather than sitting blank: the Bank holds a PRA SDDT Rule 3.1 modification effective 2 April 2025 with no end date, preceding its 31 December 2025 year-end, so no FY2025 Pillar 3 exists, and the FY2025 Annual Report prints no risk-weighted-assets figure of any kind.</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row>
    <row r="4">
      <c r="A4" s="6" t="inlineStr">
        <is>
          <t>Pillar 3 edition status for this year (see source note)</t>
        </is>
      </c>
      <c r="B4" s="6" t="inlineStr">
        <is>
          <t>Not published - SDDT Rule 3.1 opt-in from 02/04/2025; AR 2025 prints no RWA figure</t>
        </is>
      </c>
      <c r="C4" s="6" t="n"/>
      <c r="D4" s="6" t="n"/>
      <c r="E4" s="6" t="n"/>
      <c r="F4" s="6" t="n"/>
      <c r="G4" s="6" t="n"/>
    </row>
    <row r="5">
      <c r="A5" s="5" t="inlineStr">
        <is>
          <t>Credit risk, by exposure class (derived, see sources)</t>
        </is>
      </c>
      <c r="B5" s="6" t="n"/>
      <c r="C5" s="6" t="n"/>
      <c r="D5" s="6" t="n"/>
      <c r="E5" s="6" t="n"/>
      <c r="F5" s="6" t="n"/>
      <c r="G5" s="6" t="n"/>
    </row>
    <row r="6">
      <c r="A6" s="6" t="inlineStr">
        <is>
          <t>Financial institutions</t>
        </is>
      </c>
      <c r="B6" s="6" t="n"/>
      <c r="C6" s="6" t="n">
        <v>14667</v>
      </c>
      <c r="D6" s="6" t="n">
        <v>8811</v>
      </c>
      <c r="E6" s="6" t="n">
        <v>10256</v>
      </c>
      <c r="F6" s="6" t="n">
        <v>8450</v>
      </c>
      <c r="G6" s="6" t="n">
        <v>11413</v>
      </c>
    </row>
    <row r="7">
      <c r="A7" s="6" t="inlineStr">
        <is>
          <t>Covered bonds</t>
        </is>
      </c>
      <c r="B7" s="6" t="n"/>
      <c r="C7" s="6" t="n">
        <v>8678</v>
      </c>
      <c r="D7" s="6" t="n">
        <v>6089</v>
      </c>
      <c r="E7" s="6" t="n">
        <v>6756</v>
      </c>
      <c r="F7" s="6" t="n">
        <v>5188</v>
      </c>
      <c r="G7" s="6" t="n">
        <v>6950</v>
      </c>
    </row>
    <row r="8">
      <c r="A8" s="6" t="inlineStr">
        <is>
          <t>Corporates</t>
        </is>
      </c>
      <c r="B8" s="6" t="n"/>
      <c r="C8" s="6" t="n">
        <v>0</v>
      </c>
      <c r="D8" s="6" t="n">
        <v>0</v>
      </c>
      <c r="E8" s="6" t="n">
        <v>11</v>
      </c>
      <c r="F8" s="6" t="n">
        <v>100</v>
      </c>
      <c r="G8" s="6" t="n">
        <v>238</v>
      </c>
    </row>
    <row r="9">
      <c r="A9" s="6" t="inlineStr">
        <is>
          <t>Retail</t>
        </is>
      </c>
      <c r="B9" s="6" t="n"/>
      <c r="C9" s="6" t="n">
        <v>149878</v>
      </c>
      <c r="D9" s="6" t="n">
        <v>131600</v>
      </c>
      <c r="E9" s="6" t="n">
        <v>106233</v>
      </c>
      <c r="F9" s="6" t="n">
        <v>81438</v>
      </c>
      <c r="G9" s="6" t="n">
        <v>90825</v>
      </c>
    </row>
    <row r="10">
      <c r="A10" s="6" t="inlineStr">
        <is>
          <t>Secured by mortgages on immovable property</t>
        </is>
      </c>
      <c r="B10" s="6" t="n"/>
      <c r="C10" s="6" t="n">
        <v>216322</v>
      </c>
      <c r="D10" s="6" t="n">
        <v>213678</v>
      </c>
      <c r="E10" s="6" t="n">
        <v>212289</v>
      </c>
      <c r="F10" s="6" t="n">
        <v>218838</v>
      </c>
      <c r="G10" s="6" t="n">
        <v>197013</v>
      </c>
    </row>
    <row r="11">
      <c r="A11" s="6" t="inlineStr">
        <is>
          <t>Exposures in default</t>
        </is>
      </c>
      <c r="B11" s="6" t="n"/>
      <c r="C11" s="6" t="n">
        <v>16278</v>
      </c>
      <c r="D11" s="6" t="n">
        <v>18400</v>
      </c>
      <c r="E11" s="6" t="n">
        <v>12456</v>
      </c>
      <c r="F11" s="6" t="n">
        <v>8888</v>
      </c>
      <c r="G11" s="6" t="n">
        <v>5525</v>
      </c>
    </row>
    <row r="12">
      <c r="A12" s="6" t="inlineStr">
        <is>
          <t>Other items</t>
        </is>
      </c>
      <c r="B12" s="6" t="n"/>
      <c r="C12" s="6" t="n">
        <v>52400</v>
      </c>
      <c r="D12" s="6" t="n">
        <v>46544</v>
      </c>
      <c r="E12" s="6" t="n">
        <v>43689</v>
      </c>
      <c r="F12" s="6" t="n">
        <v>32050</v>
      </c>
      <c r="G12" s="6" t="n">
        <v>30913</v>
      </c>
    </row>
    <row r="13">
      <c r="A13" s="6" t="inlineStr">
        <is>
          <t>Credit Value Adjustment</t>
        </is>
      </c>
      <c r="B13" s="6" t="n"/>
      <c r="C13" s="6" t="n">
        <v>6167</v>
      </c>
      <c r="D13" s="6" t="n">
        <v>1778</v>
      </c>
      <c r="E13" s="6" t="n"/>
      <c r="F13" s="6" t="n"/>
      <c r="G13" s="6" t="n"/>
    </row>
    <row r="14">
      <c r="A14" s="5" t="inlineStr">
        <is>
          <t>Credit risk (subtotal)</t>
        </is>
      </c>
      <c r="B14" s="5" t="n"/>
      <c r="C14" s="5" t="n">
        <v>464390</v>
      </c>
      <c r="D14" s="5" t="n">
        <v>426900</v>
      </c>
      <c r="E14" s="5" t="n">
        <v>391690</v>
      </c>
      <c r="F14" s="5" t="n">
        <v>354952</v>
      </c>
      <c r="G14" s="5" t="n">
        <v>342877</v>
      </c>
    </row>
    <row r="15">
      <c r="A15" s="5" t="inlineStr">
        <is>
          <t>Other risk categories</t>
        </is>
      </c>
      <c r="B15" s="6" t="n"/>
      <c r="C15" s="6" t="n"/>
      <c r="D15" s="6" t="n"/>
      <c r="E15" s="6" t="n"/>
      <c r="F15" s="6" t="n"/>
      <c r="G15" s="6" t="n"/>
    </row>
    <row r="16">
      <c r="A16" s="6" t="inlineStr">
        <is>
          <t>Market risk</t>
        </is>
      </c>
      <c r="B16" s="6" t="n"/>
      <c r="C16" s="6" t="n"/>
      <c r="D16" s="6" t="n"/>
      <c r="E16" s="6" t="n"/>
      <c r="F16" s="6" t="n">
        <v>975</v>
      </c>
      <c r="G16" s="6" t="n"/>
    </row>
    <row r="17">
      <c r="A17" s="6" t="inlineStr">
        <is>
          <t>Operational risk</t>
        </is>
      </c>
      <c r="B17" s="6" t="n"/>
      <c r="C17" s="6" t="n">
        <v>148056</v>
      </c>
      <c r="D17" s="6" t="n">
        <v>116389</v>
      </c>
      <c r="E17" s="6" t="n">
        <v>83433</v>
      </c>
      <c r="F17" s="6" t="n">
        <v>69650</v>
      </c>
      <c r="G17" s="6" t="n">
        <v>58213</v>
      </c>
    </row>
    <row r="18">
      <c r="A18" s="5" t="inlineStr">
        <is>
          <t>Total RWAs (derived - see sources for reconciliation to the directly disclosed Total RWAs sheet)</t>
        </is>
      </c>
      <c r="B18" s="5" t="n"/>
      <c r="C18" s="5" t="n">
        <v>612446</v>
      </c>
      <c r="D18" s="5" t="n">
        <v>543289</v>
      </c>
      <c r="E18" s="5" t="n">
        <v>475123</v>
      </c>
      <c r="F18" s="5" t="n">
        <v>425577</v>
      </c>
      <c r="G18" s="5" t="n">
        <v>401090</v>
      </c>
    </row>
    <row r="20" ht="340" customHeight="1">
      <c r="A20" s="8" t="inlineStr">
        <is>
          <t>Sources - Weatherbys Bank Limited Pillar 3 Disclosures, Group/Solo (identical), Tables 3-4, GBP'000: FY2024, pp.6-7 - https://www.weatherbys.bank/app/uploads/2025/04/Weatherbys-Bank-Pillar-3-Disclosures-2024.pdf; FY2023, p.7 - https://weatherbys.bank/app/uploads/2024/05/Weatherbys-Bank-Pillar-3-Dislcosures-2023.pdf; FY2022, pp.7-8 - https://weatherbys.bank/app/uploads/2023/05/Weatherbys-Bank-Pillar-3-Dislcosures-2022.pdf; FY2021, pp.5-7 -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Weatherbys does not publish a UK OV1-style risk-weighted-exposure-amount table by category - instead each Pillar 3 disclosure gives the minimum capital requirement per credit risk exposure class (Table 3) and per Pillar 1 risk type (Table 4). This RWA Breakdown derives each category's risk-weighted-asset equivalent by dividing its capital requirement by the disclosed conversion rate: FY2021's Table 3 header explicitly states 'Minimum Capital Requirement 8%' (the standard CRR Pillar 1 rate, confirmed in the accompanying text - 'a factor of 8% is applied to the risk weighted exposure amounts'), so FY2021 uses 8%. From FY2022 onward, the PRA set the Bank's own Total Capital Requirement (TCR) at 9% of RWAs (per the FY2022 disclosure's own text: 'In September 2022 the PRA set the Bank's TCR at 9% of RWAs plus a static add-on of £4.4m'), and Table 3/4's own 'minimum capital requirement' figures for FY2022-FY2024 are computed at this firm-specific 9% rate rather than the generic 8% - confirmed by summing each year's credit-risk and operational-risk capital requirement components and dividing by 9%, which reconciles to the separately and directly disclosed Total RWAs figure (see the Total RWAs sheet) to within 0.3% every year, versus a &gt;10% mismatch at 8%. This is therefore a derived breakdown, not a directly published RWEA/OV1 table - the small remaining gap to the disclosed Total RWAs headline (FY2021: £5k/0.001%; FY2022: £1,349k/0.28%; FY2023: £199k/0.04%; FY2024: £1,113k/0.18%) reflects rounding in the underlying, more precise Bank calculation. The Static Pension add-on (a Pillar 2 item, not RWA-based) is excluded from this breakdown. FY2025 is blank because no FY2025 Pillar 3 disclosure was located (same access gap already noted on the other Pillar 3 sheets). FY2020 uses the same 8% conversion rate as FY2021 (its own Table 3 header states 'Minimum Capital Requirement 8%', predating the PRA's September-2022 9%-TCR determination); it reconciles to the directly disclosed Total RWAs figure (401,130) to within 0.01% (FY2020: GBP40k/0.01%). FY2015-FY2019 are blank - no Pillar 3 document was recoverable for those years (see PRE2021_NOTE).</t>
        </is>
      </c>
    </row>
  </sheetData>
  <mergeCells count="1">
    <mergeCell ref="A20:G2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Weatherbys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inlineStr">
        <is>
          <t>6.05%</t>
        </is>
      </c>
      <c r="C4" s="6" t="inlineStr">
        <is>
          <t>7.08%</t>
        </is>
      </c>
      <c r="D4" s="6" t="inlineStr">
        <is>
          <t>7.13%</t>
        </is>
      </c>
      <c r="E4" s="6" t="inlineStr">
        <is>
          <t>5.30%</t>
        </is>
      </c>
      <c r="F4" s="6" t="inlineStr">
        <is>
          <t>3.37%</t>
        </is>
      </c>
      <c r="G4" s="6" t="inlineStr">
        <is>
          <t>3.92%</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1080%</t>
        </is>
      </c>
      <c r="C4" s="6" t="inlineStr">
        <is>
          <t>1017%</t>
        </is>
      </c>
      <c r="D4" s="6" t="inlineStr">
        <is>
          <t>896%</t>
        </is>
      </c>
      <c r="E4" s="6" t="inlineStr">
        <is>
          <t>650%</t>
        </is>
      </c>
      <c r="F4" s="6" t="inlineStr">
        <is>
          <t>531%</t>
        </is>
      </c>
      <c r="G4" s="6" t="inlineStr">
        <is>
          <t>683%</t>
        </is>
      </c>
      <c r="H4" s="6" t="inlineStr">
        <is>
          <t>586%</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inlineStr">
        <is>
          <t>252%</t>
        </is>
      </c>
      <c r="C4" s="6" t="inlineStr">
        <is>
          <t>266%</t>
        </is>
      </c>
      <c r="D4" s="6" t="inlineStr">
        <is>
          <t>254%</t>
        </is>
      </c>
      <c r="E4" s="6" t="inlineStr">
        <is>
          <t>259.7%</t>
        </is>
      </c>
      <c r="F4" s="6" t="inlineStr">
        <is>
          <t>268.2%</t>
        </is>
      </c>
      <c r="G4" s="6" t="inlineStr">
        <is>
          <t>227.8%</t>
        </is>
      </c>
      <c r="H4" s="6" t="inlineStr">
        <is>
          <t>207.6%</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MREL was not separately disclosed in the Weatherbys 2021-2024 Pillar 3 documents reviewed; FY2025 has no official Pillar 3 document located. This is an explicit non-disclosure, not a zero.</t>
        </is>
      </c>
    </row>
    <row r="7" ht="150" customHeight="1">
      <c r="A7"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2026-09-18T19:38:56Z</dcterms:created>
  <dcterms:modified xmlns:dcterms="http://purl.org/dc/terms/" xmlns:xsi="http://www.w3.org/2001/XMLSchema-instance" xsi:type="dcterms:W3CDTF">2026-09-18T19:38:56Z</dcterms:modified>
</cp:coreProperties>
</file>