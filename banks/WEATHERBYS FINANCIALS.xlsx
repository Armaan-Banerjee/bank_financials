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030A0"/>
        <bgColor rgb="007030A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Weatherbys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a:prstDash val="solid"/>
            </a:ln>
          </spPr>
          <cat>
            <numRef>
              <f>'Overview'!$P$5:$Z$5</f>
            </numRef>
          </cat>
          <val>
            <numRef>
              <f>'Overview'!$P$6:$Z$6</f>
            </numRef>
          </val>
        </ser>
        <ser>
          <idx val="1"/>
          <order val="1"/>
          <tx>
            <strRef>
              <f>'Overview'!O7</f>
            </strRef>
          </tx>
          <spPr>
            <a:ln>
              <a:prstDash val="solid"/>
            </a:ln>
          </spPr>
          <cat>
            <numRef>
              <f>'Overview'!$P$5:$Z$5</f>
            </numRef>
          </cat>
          <val>
            <numRef>
              <f>'Overview'!$P$7:$Z$7</f>
            </numRef>
          </val>
        </ser>
        <ser>
          <idx val="2"/>
          <order val="2"/>
          <tx>
            <strRef>
              <f>'Overview'!O8</f>
            </strRef>
          </tx>
          <spPr>
            <a:ln>
              <a:prstDash val="solid"/>
            </a:ln>
          </spPr>
          <cat>
            <numRef>
              <f>'Overview'!$P$5:$Z$5</f>
            </numRef>
          </cat>
          <val>
            <numRef>
              <f>'Overview'!$P$8:$Z$8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Weatherbys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'Overview'!AC12</f>
            </strRef>
          </tx>
          <spPr>
            <a:ln>
              <a:prstDash val="solid"/>
            </a:ln>
          </spPr>
          <cat>
            <numRef>
              <f>'Overview'!$AD$11:$AN$11</f>
            </numRef>
          </cat>
          <val>
            <numRef>
              <f>'Overview'!$AD$12:$AN$12</f>
            </numRef>
          </val>
        </ser>
        <ser>
          <idx val="1"/>
          <order val="1"/>
          <tx>
            <strRef>
              <f>'Overview'!AC13</f>
            </strRef>
          </tx>
          <spPr>
            <a:ln>
              <a:prstDash val="solid"/>
            </a:ln>
          </spPr>
          <cat>
            <numRef>
              <f>'Overview'!$AD$11:$AN$11</f>
            </numRef>
          </cat>
          <val>
            <numRef>
              <f>'Overview'!$AD$13:$AN$13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Weatherbys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'Overview'!AQ17</f>
            </strRef>
          </tx>
          <spPr>
            <a:ln>
              <a:prstDash val="solid"/>
            </a:ln>
          </spPr>
          <cat>
            <numRef>
              <f>'Overview'!$AR$16:$BB$16</f>
            </numRef>
          </cat>
          <val>
            <numRef>
              <f>'Overview'!$AR$17:$BB$17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Weatherbys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'Overview'!BE21</f>
            </strRef>
          </tx>
          <spPr>
            <a:ln>
              <a:prstDash val="solid"/>
            </a:ln>
          </spPr>
          <cat>
            <numRef>
              <f>'Overview'!$BF$20:$BP$20</f>
            </numRef>
          </cat>
          <val>
            <numRef>
              <f>'Overview'!$BF$21:$BP$21</f>
            </numRef>
          </val>
        </ser>
        <ser>
          <idx val="1"/>
          <order val="1"/>
          <tx>
            <strRef>
              <f>'Overview'!BE22</f>
            </strRef>
          </tx>
          <spPr>
            <a:ln>
              <a:prstDash val="solid"/>
            </a:ln>
          </spPr>
          <cat>
            <numRef>
              <f>'Overview'!$BF$20:$BP$20</f>
            </numRef>
          </cat>
          <val>
            <numRef>
              <f>'Overview'!$BF$22:$BP$22</f>
            </numRef>
          </val>
        </ser>
        <ser>
          <idx val="2"/>
          <order val="2"/>
          <tx>
            <strRef>
              <f>'Overview'!BE23</f>
            </strRef>
          </tx>
          <spPr>
            <a:ln>
              <a:prstDash val="solid"/>
            </a:ln>
          </spPr>
          <cat>
            <numRef>
              <f>'Overview'!$BF$20:$BP$20</f>
            </numRef>
          </cat>
          <val>
            <numRef>
              <f>'Overview'!$BF$23:$BP$23</f>
            </numRef>
          </val>
        </ser>
        <ser>
          <idx val="3"/>
          <order val="3"/>
          <tx>
            <strRef>
              <f>'Overview'!BE24</f>
            </strRef>
          </tx>
          <spPr>
            <a:ln>
              <a:prstDash val="solid"/>
            </a:ln>
          </spPr>
          <cat>
            <numRef>
              <f>'Overview'!$BF$20:$BP$20</f>
            </numRef>
          </cat>
          <val>
            <numRef>
              <f>'Overview'!$BF$24:$BP$24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Weatherbys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a:prstDash val="solid"/>
            </a:ln>
          </spPr>
          <marker>
            <symbol val="none"/>
            <spPr>
              <a:ln>
                <a:prstDash val="solid"/>
              </a:ln>
            </spPr>
          </marker>
          <cat>
            <numRef>
              <f>'Overview'!$BT$5:$CD$5</f>
            </numRef>
          </cat>
          <val>
            <numRef>
              <f>'Overview'!$BT$6:$CD$6</f>
            </numRef>
          </val>
          <smooth val="0"/>
        </ser>
        <ser>
          <idx val="1"/>
          <order val="1"/>
          <tx>
            <strRef>
              <f>'Overview'!BS7</f>
            </strRef>
          </tx>
          <spPr>
            <a:ln>
              <a:prstDash val="solid"/>
            </a:ln>
          </spPr>
          <marker>
            <symbol val="none"/>
            <spPr>
              <a:l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33</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55</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77</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99</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121</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D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Weatherbys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2053447</v>
      </c>
      <c r="C6" s="5" t="n">
        <v>1848494</v>
      </c>
      <c r="D6" s="5" t="n">
        <v>1637674</v>
      </c>
      <c r="E6" s="5" t="n">
        <v>1608564</v>
      </c>
      <c r="F6" s="5" t="n">
        <v>1476083</v>
      </c>
      <c r="G6" s="5" t="n">
        <v>1156429</v>
      </c>
      <c r="H6" s="5" t="n">
        <v>967101</v>
      </c>
      <c r="I6" s="5" t="n">
        <v>878368</v>
      </c>
      <c r="J6" s="5" t="n">
        <v>758839</v>
      </c>
      <c r="K6" s="5" t="n">
        <v>634559</v>
      </c>
      <c r="L6" s="5" t="n">
        <v>527361</v>
      </c>
      <c r="O6" t="inlineStr">
        <is>
          <t>Total assets</t>
        </is>
      </c>
      <c r="P6" t="n">
        <v>527361</v>
      </c>
      <c r="Q6" t="n">
        <v>634559</v>
      </c>
      <c r="R6" t="n">
        <v>758839</v>
      </c>
      <c r="S6" t="n">
        <v>878368</v>
      </c>
      <c r="T6" t="n">
        <v>967101</v>
      </c>
      <c r="U6" t="n">
        <v>1156429</v>
      </c>
      <c r="V6" t="n">
        <v>1476083</v>
      </c>
      <c r="W6" t="n">
        <v>1608564</v>
      </c>
      <c r="X6" t="n">
        <v>1637674</v>
      </c>
      <c r="Y6" t="n">
        <v>1848494</v>
      </c>
      <c r="Z6" t="n">
        <v>2053447</v>
      </c>
      <c r="BS6" t="inlineStr">
        <is>
          <t>CET1 Ratio</t>
        </is>
      </c>
      <c r="BY6" t="n">
        <v>11.69</v>
      </c>
      <c r="BZ6" t="n">
        <v>11.81</v>
      </c>
      <c r="CA6" t="n">
        <v>12.07</v>
      </c>
      <c r="CB6" t="n">
        <v>13.48</v>
      </c>
      <c r="CC6" t="n">
        <v>13.84</v>
      </c>
    </row>
    <row r="7">
      <c r="A7" s="5" t="inlineStr">
        <is>
          <t>Total liabilities</t>
        </is>
      </c>
      <c r="B7" s="5" t="n">
        <v>1942333</v>
      </c>
      <c r="C7" s="5" t="n">
        <v>1748451</v>
      </c>
      <c r="D7" s="5" t="n">
        <v>1552683</v>
      </c>
      <c r="E7" s="5" t="n">
        <v>1546064</v>
      </c>
      <c r="F7" s="5" t="n">
        <v>1423283</v>
      </c>
      <c r="G7" s="5" t="n">
        <v>1108043</v>
      </c>
      <c r="H7" s="5" t="n">
        <v>919779</v>
      </c>
      <c r="I7" s="5" t="n">
        <v>834806</v>
      </c>
      <c r="J7" s="5" t="n">
        <v>719637</v>
      </c>
      <c r="K7" s="5" t="n">
        <v>598547</v>
      </c>
      <c r="L7" s="5" t="n">
        <v>495207</v>
      </c>
      <c r="O7" t="inlineStr">
        <is>
          <t>Total liabilities</t>
        </is>
      </c>
      <c r="P7" t="n">
        <v>495207</v>
      </c>
      <c r="Q7" t="n">
        <v>598547</v>
      </c>
      <c r="R7" t="n">
        <v>719637</v>
      </c>
      <c r="S7" t="n">
        <v>834806</v>
      </c>
      <c r="T7" t="n">
        <v>919779</v>
      </c>
      <c r="U7" t="n">
        <v>1108043</v>
      </c>
      <c r="V7" t="n">
        <v>1423283</v>
      </c>
      <c r="W7" t="n">
        <v>1546064</v>
      </c>
      <c r="X7" t="n">
        <v>1552683</v>
      </c>
      <c r="Y7" t="n">
        <v>1748451</v>
      </c>
      <c r="Z7" t="n">
        <v>1942333</v>
      </c>
      <c r="BS7" t="inlineStr">
        <is>
          <t>Total Capital Ratio</t>
        </is>
      </c>
      <c r="BY7" t="n">
        <v>14.53</v>
      </c>
      <c r="BZ7" t="n">
        <v>14.48</v>
      </c>
      <c r="CA7" t="n">
        <v>14.5</v>
      </c>
      <c r="CB7" t="n">
        <v>16.17</v>
      </c>
      <c r="CC7" t="n">
        <v>16.26</v>
      </c>
    </row>
    <row r="8">
      <c r="A8" s="5" t="inlineStr">
        <is>
          <t>Total equity</t>
        </is>
      </c>
      <c r="B8" s="5" t="n">
        <v>111114</v>
      </c>
      <c r="C8" s="5" t="n">
        <v>100043</v>
      </c>
      <c r="D8" s="5" t="n">
        <v>84991</v>
      </c>
      <c r="E8" s="5" t="n">
        <v>62500</v>
      </c>
      <c r="F8" s="5" t="n">
        <v>52800</v>
      </c>
      <c r="G8" s="5" t="n">
        <v>48386</v>
      </c>
      <c r="H8" s="5" t="n">
        <v>47322</v>
      </c>
      <c r="I8" s="5" t="n">
        <v>43562</v>
      </c>
      <c r="J8" s="5" t="n">
        <v>39201</v>
      </c>
      <c r="K8" s="5" t="n">
        <v>36012</v>
      </c>
      <c r="L8" s="5" t="n">
        <v>32154</v>
      </c>
      <c r="O8" t="inlineStr">
        <is>
          <t>Total equity</t>
        </is>
      </c>
      <c r="P8" t="n">
        <v>32154</v>
      </c>
      <c r="Q8" t="n">
        <v>36012</v>
      </c>
      <c r="R8" t="n">
        <v>39201</v>
      </c>
      <c r="S8" t="n">
        <v>43562</v>
      </c>
      <c r="T8" t="n">
        <v>47322</v>
      </c>
      <c r="U8" t="n">
        <v>48386</v>
      </c>
      <c r="V8" t="n">
        <v>52800</v>
      </c>
      <c r="W8" t="n">
        <v>62500</v>
      </c>
      <c r="X8" t="n">
        <v>84991</v>
      </c>
      <c r="Y8" t="n">
        <v>100043</v>
      </c>
      <c r="Z8" t="n">
        <v>111114</v>
      </c>
    </row>
    <row r="10">
      <c r="A10" s="3" t="inlineStr">
        <is>
          <t>Profit &amp; Loss Summary (GBP'000)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AD11" t="inlineStr">
        <is>
          <t>FY2015</t>
        </is>
      </c>
      <c r="AE11" t="inlineStr">
        <is>
          <t>FY2016</t>
        </is>
      </c>
      <c r="AF11" t="inlineStr">
        <is>
          <t>FY2017</t>
        </is>
      </c>
      <c r="AG11" t="inlineStr">
        <is>
          <t>FY2018</t>
        </is>
      </c>
      <c r="AH11" t="inlineStr">
        <is>
          <t>FY2019</t>
        </is>
      </c>
      <c r="AI11" t="inlineStr">
        <is>
          <t>FY2020</t>
        </is>
      </c>
      <c r="AJ11" t="inlineStr">
        <is>
          <t>FY2021</t>
        </is>
      </c>
      <c r="AK11" t="inlineStr">
        <is>
          <t>FY2022</t>
        </is>
      </c>
      <c r="AL11" t="inlineStr">
        <is>
          <t>FY2023</t>
        </is>
      </c>
      <c r="AM11" t="inlineStr">
        <is>
          <t>FY2024</t>
        </is>
      </c>
      <c r="AN11" t="inlineStr">
        <is>
          <t>FY2025</t>
        </is>
      </c>
    </row>
    <row r="12">
      <c r="A12" s="5" t="inlineStr">
        <is>
          <t>Operating income</t>
        </is>
      </c>
      <c r="B12" s="5" t="n">
        <v>91095</v>
      </c>
      <c r="C12" s="5" t="n">
        <v>90426</v>
      </c>
      <c r="D12" s="5" t="n">
        <v>88426</v>
      </c>
      <c r="E12" s="5" t="n">
        <v>58029</v>
      </c>
      <c r="F12" s="5" t="n">
        <v>39775</v>
      </c>
      <c r="G12" s="5" t="n">
        <v>35695</v>
      </c>
      <c r="H12" s="5" t="n">
        <v>35970</v>
      </c>
      <c r="I12" s="5" t="n">
        <v>30789</v>
      </c>
      <c r="J12" s="5" t="n">
        <v>26382</v>
      </c>
      <c r="K12" s="5" t="n">
        <v>23021</v>
      </c>
      <c r="L12" s="5" t="n">
        <v>20502</v>
      </c>
      <c r="AC12" t="inlineStr">
        <is>
          <t>Operating income</t>
        </is>
      </c>
      <c r="AD12" t="n">
        <v>20502</v>
      </c>
      <c r="AE12" t="n">
        <v>23021</v>
      </c>
      <c r="AF12" t="n">
        <v>26382</v>
      </c>
      <c r="AG12" t="n">
        <v>30789</v>
      </c>
      <c r="AH12" t="n">
        <v>35970</v>
      </c>
      <c r="AI12" t="n">
        <v>35695</v>
      </c>
      <c r="AJ12" t="n">
        <v>39775</v>
      </c>
      <c r="AK12" t="n">
        <v>58029</v>
      </c>
      <c r="AL12" t="n">
        <v>88426</v>
      </c>
      <c r="AM12" t="n">
        <v>90426</v>
      </c>
      <c r="AN12" t="n">
        <v>91095</v>
      </c>
    </row>
    <row r="13">
      <c r="A13" s="5" t="inlineStr">
        <is>
          <t>Profit for the financial year</t>
        </is>
      </c>
      <c r="B13" s="5" t="n">
        <v>19244</v>
      </c>
      <c r="C13" s="5" t="n">
        <v>18270</v>
      </c>
      <c r="D13" s="5" t="n">
        <v>24735</v>
      </c>
      <c r="E13" s="5" t="n">
        <v>11909</v>
      </c>
      <c r="F13" s="5" t="n">
        <v>5206</v>
      </c>
      <c r="G13" s="5" t="n">
        <v>1931</v>
      </c>
      <c r="H13" s="5" t="n">
        <v>6146</v>
      </c>
      <c r="I13" s="5" t="n">
        <v>6084</v>
      </c>
      <c r="J13" s="5" t="n">
        <v>4428</v>
      </c>
      <c r="K13" s="5" t="n">
        <v>5321</v>
      </c>
      <c r="L13" s="5" t="n">
        <v>5942</v>
      </c>
      <c r="AC13" t="inlineStr">
        <is>
          <t>Profit for the financial year</t>
        </is>
      </c>
      <c r="AD13" t="n">
        <v>5942</v>
      </c>
      <c r="AE13" t="n">
        <v>5321</v>
      </c>
      <c r="AF13" t="n">
        <v>4428</v>
      </c>
      <c r="AG13" t="n">
        <v>6084</v>
      </c>
      <c r="AH13" t="n">
        <v>6146</v>
      </c>
      <c r="AI13" t="n">
        <v>1931</v>
      </c>
      <c r="AJ13" t="n">
        <v>5206</v>
      </c>
      <c r="AK13" t="n">
        <v>11909</v>
      </c>
      <c r="AL13" t="n">
        <v>24735</v>
      </c>
      <c r="AM13" t="n">
        <v>18270</v>
      </c>
      <c r="AN13" t="n">
        <v>19244</v>
      </c>
    </row>
    <row r="15">
      <c r="A15" s="3" t="inlineStr">
        <is>
          <t>Statement of Changes in Equity Summary (GBP'000)</t>
        </is>
      </c>
    </row>
    <row r="16">
      <c r="A16" s="4" t="inlineStr">
        <is>
          <t>Line item</t>
        </is>
      </c>
      <c r="B16" s="4" t="inlineStr">
        <is>
          <t>FY2025</t>
        </is>
      </c>
      <c r="C16" s="4" t="inlineStr">
        <is>
          <t>FY2024</t>
        </is>
      </c>
      <c r="D16" s="4" t="inlineStr">
        <is>
          <t>FY2023</t>
        </is>
      </c>
      <c r="E16" s="4" t="inlineStr">
        <is>
          <t>FY2022</t>
        </is>
      </c>
      <c r="F16" s="4" t="inlineStr">
        <is>
          <t>FY2021</t>
        </is>
      </c>
      <c r="G16" s="4" t="inlineStr">
        <is>
          <t>FY2020</t>
        </is>
      </c>
      <c r="H16" s="4" t="inlineStr">
        <is>
          <t>FY2019</t>
        </is>
      </c>
      <c r="I16" s="4" t="inlineStr">
        <is>
          <t>FY2018</t>
        </is>
      </c>
      <c r="J16" s="4" t="inlineStr">
        <is>
          <t>FY2017</t>
        </is>
      </c>
      <c r="K16" s="4" t="inlineStr">
        <is>
          <t>FY2016</t>
        </is>
      </c>
      <c r="L16" s="4" t="inlineStr">
        <is>
          <t>FY2015</t>
        </is>
      </c>
      <c r="AR16" t="inlineStr">
        <is>
          <t>FY2015</t>
        </is>
      </c>
      <c r="AS16" t="inlineStr">
        <is>
          <t>FY2016</t>
        </is>
      </c>
      <c r="AT16" t="inlineStr">
        <is>
          <t>FY2017</t>
        </is>
      </c>
      <c r="AU16" t="inlineStr">
        <is>
          <t>FY2018</t>
        </is>
      </c>
      <c r="AV16" t="inlineStr">
        <is>
          <t>FY2019</t>
        </is>
      </c>
      <c r="AW16" t="inlineStr">
        <is>
          <t>FY2020</t>
        </is>
      </c>
      <c r="AX16" t="inlineStr">
        <is>
          <t>FY2021</t>
        </is>
      </c>
      <c r="AY16" t="inlineStr">
        <is>
          <t>FY2022</t>
        </is>
      </c>
      <c r="AZ16" t="inlineStr">
        <is>
          <t>FY2023</t>
        </is>
      </c>
      <c r="BA16" t="inlineStr">
        <is>
          <t>FY2024</t>
        </is>
      </c>
      <c r="BB16" t="inlineStr">
        <is>
          <t>FY2025</t>
        </is>
      </c>
    </row>
    <row r="17">
      <c r="A17" s="5" t="inlineStr">
        <is>
          <t>Total equity (year-end)</t>
        </is>
      </c>
      <c r="B17" s="5" t="n">
        <v>111114</v>
      </c>
      <c r="C17" s="5" t="n">
        <v>100043</v>
      </c>
      <c r="D17" s="5" t="n">
        <v>84991</v>
      </c>
      <c r="E17" s="5" t="n">
        <v>62500</v>
      </c>
      <c r="F17" s="5" t="n">
        <v>52800</v>
      </c>
      <c r="G17" s="5" t="n">
        <v>48386</v>
      </c>
      <c r="H17" s="5" t="n">
        <v>47322</v>
      </c>
      <c r="I17" s="5" t="n">
        <v>43562</v>
      </c>
      <c r="J17" s="5" t="n">
        <v>39201</v>
      </c>
      <c r="K17" s="5" t="n">
        <v>36012</v>
      </c>
      <c r="L17" s="5" t="n">
        <v>32154</v>
      </c>
      <c r="AQ17" t="inlineStr">
        <is>
          <t>Total equity (year-end)</t>
        </is>
      </c>
      <c r="AR17" t="n">
        <v>32154</v>
      </c>
      <c r="AS17" t="n">
        <v>36012</v>
      </c>
      <c r="AT17" t="n">
        <v>39201</v>
      </c>
      <c r="AU17" t="n">
        <v>43562</v>
      </c>
      <c r="AV17" t="n">
        <v>47322</v>
      </c>
      <c r="AW17" t="n">
        <v>48386</v>
      </c>
      <c r="AX17" t="n">
        <v>52800</v>
      </c>
      <c r="AY17" t="n">
        <v>62500</v>
      </c>
      <c r="AZ17" t="n">
        <v>84991</v>
      </c>
      <c r="BA17" t="n">
        <v>100043</v>
      </c>
      <c r="BB17" t="n">
        <v>111114</v>
      </c>
    </row>
    <row r="19">
      <c r="A19" s="3" t="inlineStr">
        <is>
          <t>Cash Flow Summary (GBP'000)</t>
        </is>
      </c>
    </row>
    <row r="20">
      <c r="A20" s="4" t="inlineStr">
        <is>
          <t>Line item</t>
        </is>
      </c>
      <c r="B20" s="4" t="inlineStr">
        <is>
          <t>FY2025</t>
        </is>
      </c>
      <c r="C20" s="4" t="inlineStr">
        <is>
          <t>FY2024</t>
        </is>
      </c>
      <c r="D20" s="4" t="inlineStr">
        <is>
          <t>FY2023</t>
        </is>
      </c>
      <c r="E20" s="4" t="inlineStr">
        <is>
          <t>FY2022</t>
        </is>
      </c>
      <c r="F20" s="4" t="inlineStr">
        <is>
          <t>FY2021</t>
        </is>
      </c>
      <c r="G20" s="4" t="inlineStr">
        <is>
          <t>FY2020</t>
        </is>
      </c>
      <c r="H20" s="4" t="inlineStr">
        <is>
          <t>FY2019</t>
        </is>
      </c>
      <c r="I20" s="4" t="inlineStr">
        <is>
          <t>FY2018</t>
        </is>
      </c>
      <c r="J20" s="4" t="inlineStr">
        <is>
          <t>FY2017</t>
        </is>
      </c>
      <c r="K20" s="4" t="inlineStr">
        <is>
          <t>FY2016</t>
        </is>
      </c>
      <c r="L20" s="4" t="inlineStr">
        <is>
          <t>FY2015</t>
        </is>
      </c>
      <c r="BF20" t="inlineStr">
        <is>
          <t>FY2015</t>
        </is>
      </c>
      <c r="BG20" t="inlineStr">
        <is>
          <t>FY2016</t>
        </is>
      </c>
      <c r="BH20" t="inlineStr">
        <is>
          <t>FY2017</t>
        </is>
      </c>
      <c r="BI20" t="inlineStr">
        <is>
          <t>FY2018</t>
        </is>
      </c>
      <c r="BJ20" t="inlineStr">
        <is>
          <t>FY2019</t>
        </is>
      </c>
      <c r="BK20" t="inlineStr">
        <is>
          <t>FY2020</t>
        </is>
      </c>
      <c r="BL20" t="inlineStr">
        <is>
          <t>FY2021</t>
        </is>
      </c>
      <c r="BM20" t="inlineStr">
        <is>
          <t>FY2022</t>
        </is>
      </c>
      <c r="BN20" t="inlineStr">
        <is>
          <t>FY2023</t>
        </is>
      </c>
      <c r="BO20" t="inlineStr">
        <is>
          <t>FY2024</t>
        </is>
      </c>
      <c r="BP20" t="inlineStr">
        <is>
          <t>FY2025</t>
        </is>
      </c>
    </row>
    <row r="21">
      <c r="A21" s="5" t="inlineStr">
        <is>
          <t>Net cash generated/(used) from operating activities</t>
        </is>
      </c>
      <c r="B21" s="5" t="n">
        <v>69254</v>
      </c>
      <c r="C21" s="5" t="n">
        <v>177587</v>
      </c>
      <c r="D21" s="5" t="n">
        <v>-12129</v>
      </c>
      <c r="E21" s="5" t="n">
        <v>91999</v>
      </c>
      <c r="F21" s="5" t="n">
        <v>254993</v>
      </c>
      <c r="G21" s="5" t="n">
        <v>102664</v>
      </c>
      <c r="H21" s="5" t="n">
        <v>-22536</v>
      </c>
      <c r="I21" s="5" t="n">
        <v>27696</v>
      </c>
      <c r="J21" s="5" t="n">
        <v>64637</v>
      </c>
      <c r="K21" s="5" t="n">
        <v>59103</v>
      </c>
      <c r="L21" s="5" t="n">
        <v>-8852</v>
      </c>
      <c r="BE21" t="inlineStr">
        <is>
          <t>Net cash generated/(used) from operating activities</t>
        </is>
      </c>
      <c r="BF21" t="n">
        <v>-8852</v>
      </c>
      <c r="BG21" t="n">
        <v>59103</v>
      </c>
      <c r="BH21" t="n">
        <v>64637</v>
      </c>
      <c r="BI21" t="n">
        <v>27696</v>
      </c>
      <c r="BJ21" t="n">
        <v>-22536</v>
      </c>
      <c r="BK21" t="n">
        <v>102664</v>
      </c>
      <c r="BL21" t="n">
        <v>254993</v>
      </c>
      <c r="BM21" t="n">
        <v>91999</v>
      </c>
      <c r="BN21" t="n">
        <v>-12129</v>
      </c>
      <c r="BO21" t="n">
        <v>177587</v>
      </c>
      <c r="BP21" t="n">
        <v>69254</v>
      </c>
    </row>
    <row r="22">
      <c r="A22" s="5" t="inlineStr">
        <is>
          <t>Net cash (used)/generated from investing activities</t>
        </is>
      </c>
      <c r="B22" s="5" t="n">
        <v>-176680</v>
      </c>
      <c r="C22" s="5" t="n">
        <v>-110119</v>
      </c>
      <c r="D22" s="5" t="n">
        <v>53783</v>
      </c>
      <c r="E22" s="5" t="n">
        <v>-97158</v>
      </c>
      <c r="F22" s="5" t="n">
        <v>12550</v>
      </c>
      <c r="G22" s="5" t="n">
        <v>-37377</v>
      </c>
      <c r="H22" s="5" t="n">
        <v>-12138</v>
      </c>
      <c r="I22" s="5" t="n">
        <v>-10165</v>
      </c>
      <c r="J22" s="5" t="n">
        <v>-7183</v>
      </c>
      <c r="K22" s="5" t="n">
        <v>22261</v>
      </c>
      <c r="L22" s="5" t="n">
        <v>-11156</v>
      </c>
      <c r="BE22" t="inlineStr">
        <is>
          <t>Net cash (used)/generated from investing activities</t>
        </is>
      </c>
      <c r="BF22" t="n">
        <v>-11156</v>
      </c>
      <c r="BG22" t="n">
        <v>22261</v>
      </c>
      <c r="BH22" t="n">
        <v>-7183</v>
      </c>
      <c r="BI22" t="n">
        <v>-10165</v>
      </c>
      <c r="BJ22" t="n">
        <v>-12138</v>
      </c>
      <c r="BK22" t="n">
        <v>-37377</v>
      </c>
      <c r="BL22" t="n">
        <v>12550</v>
      </c>
      <c r="BM22" t="n">
        <v>-97158</v>
      </c>
      <c r="BN22" t="n">
        <v>53783</v>
      </c>
      <c r="BO22" t="n">
        <v>-110119</v>
      </c>
      <c r="BP22" t="n">
        <v>-176680</v>
      </c>
    </row>
    <row r="23">
      <c r="A23" s="5" t="inlineStr">
        <is>
          <t>Net cash (used)/generated from financing activities</t>
        </is>
      </c>
      <c r="B23" s="5" t="n">
        <v>-11100</v>
      </c>
      <c r="C23" s="5" t="n">
        <v>-5000</v>
      </c>
      <c r="D23" s="5" t="n">
        <v>-2000</v>
      </c>
      <c r="E23" s="5" t="n">
        <v>-2000</v>
      </c>
      <c r="F23" s="5" t="n">
        <v>-1250</v>
      </c>
      <c r="G23" s="5" t="n">
        <v>-250</v>
      </c>
      <c r="H23" s="5" t="n">
        <v>-2050</v>
      </c>
      <c r="I23" s="5" t="n">
        <v>8250</v>
      </c>
      <c r="J23" s="5" t="n">
        <v>-1250</v>
      </c>
      <c r="K23" s="5" t="n">
        <v>-1520</v>
      </c>
      <c r="L23" s="5" t="n">
        <v>-1140</v>
      </c>
      <c r="BE23" t="inlineStr">
        <is>
          <t>Net cash (used)/generated from financing activities</t>
        </is>
      </c>
      <c r="BF23" t="n">
        <v>-1140</v>
      </c>
      <c r="BG23" t="n">
        <v>-1520</v>
      </c>
      <c r="BH23" t="n">
        <v>-1250</v>
      </c>
      <c r="BI23" t="n">
        <v>8250</v>
      </c>
      <c r="BJ23" t="n">
        <v>-2050</v>
      </c>
      <c r="BK23" t="n">
        <v>-250</v>
      </c>
      <c r="BL23" t="n">
        <v>-1250</v>
      </c>
      <c r="BM23" t="n">
        <v>-2000</v>
      </c>
      <c r="BN23" t="n">
        <v>-2000</v>
      </c>
      <c r="BO23" t="n">
        <v>-5000</v>
      </c>
      <c r="BP23" t="n">
        <v>-11100</v>
      </c>
    </row>
    <row r="24">
      <c r="A24" s="5" t="inlineStr">
        <is>
          <t>Cash and cash equivalents at end of year</t>
        </is>
      </c>
      <c r="B24" s="5" t="n">
        <v>568817</v>
      </c>
      <c r="C24" s="5" t="n">
        <v>687343</v>
      </c>
      <c r="D24" s="5" t="n">
        <v>624875</v>
      </c>
      <c r="E24" s="5" t="n">
        <v>585221</v>
      </c>
      <c r="F24" s="5" t="n">
        <v>592380</v>
      </c>
      <c r="G24" s="5" t="n">
        <v>326087</v>
      </c>
      <c r="H24" s="5" t="n">
        <v>261050</v>
      </c>
      <c r="I24" s="5" t="n">
        <v>297773</v>
      </c>
      <c r="J24" s="5" t="n">
        <v>271992</v>
      </c>
      <c r="K24" s="5" t="n">
        <v>215788</v>
      </c>
      <c r="L24" s="5" t="n">
        <v>135944</v>
      </c>
      <c r="BE24" t="inlineStr">
        <is>
          <t>Cash and cash equivalents at end of year</t>
        </is>
      </c>
      <c r="BF24" t="n">
        <v>135944</v>
      </c>
      <c r="BG24" t="n">
        <v>215788</v>
      </c>
      <c r="BH24" t="n">
        <v>271992</v>
      </c>
      <c r="BI24" t="n">
        <v>297773</v>
      </c>
      <c r="BJ24" t="n">
        <v>261050</v>
      </c>
      <c r="BK24" t="n">
        <v>326087</v>
      </c>
      <c r="BL24" t="n">
        <v>592380</v>
      </c>
      <c r="BM24" t="n">
        <v>585221</v>
      </c>
      <c r="BN24" t="n">
        <v>624875</v>
      </c>
      <c r="BO24" t="n">
        <v>687343</v>
      </c>
      <c r="BP24" t="n">
        <v>568817</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row>
    <row r="28">
      <c r="A28" s="6" t="inlineStr">
        <is>
          <t>CET1 Ratio</t>
        </is>
      </c>
      <c r="B28" s="6" t="n"/>
      <c r="C28" s="6" t="inlineStr">
        <is>
          <t>13.84%</t>
        </is>
      </c>
      <c r="D28" s="6" t="inlineStr">
        <is>
          <t>13.48%</t>
        </is>
      </c>
      <c r="E28" s="6" t="inlineStr">
        <is>
          <t>12.07%</t>
        </is>
      </c>
      <c r="F28" s="6" t="inlineStr">
        <is>
          <t>11.81%</t>
        </is>
      </c>
      <c r="G28" s="6" t="inlineStr">
        <is>
          <t>11.69%</t>
        </is>
      </c>
      <c r="H28" s="6" t="n"/>
      <c r="I28" s="6" t="n"/>
      <c r="J28" s="6" t="n"/>
      <c r="K28" s="6" t="n"/>
      <c r="L28" s="6" t="n"/>
    </row>
    <row r="29">
      <c r="A29" s="6" t="inlineStr">
        <is>
          <t>Total Capital Ratio</t>
        </is>
      </c>
      <c r="B29" s="6" t="n"/>
      <c r="C29" s="6" t="inlineStr">
        <is>
          <t>16.26%</t>
        </is>
      </c>
      <c r="D29" s="6" t="inlineStr">
        <is>
          <t>16.17%</t>
        </is>
      </c>
      <c r="E29" s="6" t="inlineStr">
        <is>
          <t>14.50%</t>
        </is>
      </c>
      <c r="F29" s="6" t="inlineStr">
        <is>
          <t>14.48%</t>
        </is>
      </c>
      <c r="G29" s="6" t="inlineStr">
        <is>
          <t>14.53%</t>
        </is>
      </c>
      <c r="H29" s="6" t="n"/>
      <c r="I29" s="6" t="n"/>
      <c r="J29" s="6" t="n"/>
      <c r="K29" s="6" t="n"/>
      <c r="L29" s="6" t="n"/>
    </row>
    <row r="31" ht="45" customHeight="1">
      <c r="A31" s="7" t="inlineStr">
        <is>
          <t>Note: FY2025 Pillar 3 metrics are blank because no 2025 official disclosure was located; FY2021-FY2024 values are the official Weatherbys Group/Solo disclosures. FY2020's Pillar 3 metrics are populated from Weatherbys' own FY2020 Pillar 3 Disclosures document (already reported under CRD IV/Basel III CET1/Tier 1/Tier 2 terminology - no Basel-II-era Tier-1/Total-Capital-only caveat applies). FY2015-FY2019 Pillar 3 metrics are blank: the only pre-2021 Pillar 3 document found for this bank is an unrecoverable, truncated Wayback Machine capture, a genuine access gap rather than a non-disclosure (see the Balance Sheet/Cash Flow/Asset Quality sheets' source notes). All other statements (Balance Sheet, Profit &amp; Loss, Statement of Changes in Equity, Cash Flow Statement, and the Asset Quality sheet's loan-book credit-quality rows) are populated back to FY2015, this bank's confirmed historical floor, sourced from Weatherbys' Companies-House-filed Group accounts.</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Balance Sheet</t>
        </is>
      </c>
    </row>
    <row r="2">
      <c r="A2" s="2" t="inlineStr">
        <is>
          <t>Weatherbys Banking Group consolidated statement of financial position,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Assets</t>
        </is>
      </c>
      <c r="B4" s="6" t="n"/>
      <c r="C4" s="6" t="n"/>
      <c r="D4" s="6" t="n"/>
      <c r="E4" s="6" t="n"/>
      <c r="F4" s="6" t="n"/>
      <c r="G4" s="6" t="n"/>
      <c r="H4" s="6" t="n"/>
      <c r="I4" s="6" t="n"/>
      <c r="J4" s="6" t="n"/>
      <c r="K4" s="6" t="n"/>
      <c r="L4" s="6" t="n"/>
    </row>
    <row r="5">
      <c r="A5" s="6" t="inlineStr">
        <is>
          <t>Cash at banks / Loans and advances to banks</t>
        </is>
      </c>
      <c r="B5" s="6" t="n">
        <v>575367</v>
      </c>
      <c r="C5" s="6" t="n">
        <v>687343</v>
      </c>
      <c r="D5" s="6" t="n">
        <v>624875</v>
      </c>
      <c r="E5" s="6" t="n">
        <v>585221</v>
      </c>
      <c r="F5" s="6" t="n">
        <v>592380</v>
      </c>
      <c r="G5" s="6" t="n">
        <v>326087</v>
      </c>
      <c r="H5" s="6" t="n">
        <v>261050</v>
      </c>
      <c r="I5" s="6" t="n">
        <v>297773</v>
      </c>
      <c r="J5" s="6" t="n">
        <v>271992</v>
      </c>
      <c r="K5" s="6" t="n">
        <v>215788</v>
      </c>
      <c r="L5" s="6" t="n">
        <v>135944</v>
      </c>
    </row>
    <row r="6">
      <c r="A6" s="6" t="inlineStr">
        <is>
          <t>Derivative financial assets</t>
        </is>
      </c>
      <c r="B6" s="6" t="n">
        <v>1394</v>
      </c>
      <c r="C6" s="6" t="n">
        <v>5018</v>
      </c>
      <c r="D6" s="6" t="n">
        <v>5194</v>
      </c>
      <c r="E6" s="6" t="n">
        <v>9813</v>
      </c>
      <c r="F6" s="6" t="n">
        <v>961</v>
      </c>
      <c r="G6" s="6" t="n">
        <v>30</v>
      </c>
      <c r="H6" s="6" t="n">
        <v>265</v>
      </c>
      <c r="I6" s="6" t="n">
        <v>377</v>
      </c>
      <c r="J6" s="6" t="n">
        <v>81</v>
      </c>
      <c r="K6" s="6" t="n">
        <v>37</v>
      </c>
      <c r="L6" s="6" t="n">
        <v>16</v>
      </c>
    </row>
    <row r="7">
      <c r="A7" s="6" t="inlineStr">
        <is>
          <t>Loans and advances to customers</t>
        </is>
      </c>
      <c r="B7" s="6" t="n">
        <v>1006160</v>
      </c>
      <c r="C7" s="6" t="n">
        <v>859672</v>
      </c>
      <c r="D7" s="6" t="n">
        <v>821700</v>
      </c>
      <c r="E7" s="6" t="n">
        <v>775573</v>
      </c>
      <c r="F7" s="6" t="n">
        <v>744591</v>
      </c>
      <c r="G7" s="6" t="n">
        <v>678564</v>
      </c>
      <c r="H7" s="6" t="n">
        <v>588924</v>
      </c>
      <c r="I7" s="6" t="n">
        <v>474728</v>
      </c>
      <c r="J7" s="6" t="n">
        <v>387504</v>
      </c>
      <c r="K7" s="6" t="n">
        <v>327384</v>
      </c>
      <c r="L7" s="6" t="n">
        <v>276621</v>
      </c>
    </row>
    <row r="8">
      <c r="A8" s="6" t="inlineStr">
        <is>
          <t>Debt securities</t>
        </is>
      </c>
      <c r="B8" s="6" t="n">
        <v>420989</v>
      </c>
      <c r="C8" s="6" t="n">
        <v>248749</v>
      </c>
      <c r="D8" s="6" t="n">
        <v>146097</v>
      </c>
      <c r="E8" s="6" t="n">
        <v>207605</v>
      </c>
      <c r="F8" s="6" t="n">
        <v>117625</v>
      </c>
      <c r="G8" s="6" t="n">
        <v>134258</v>
      </c>
      <c r="H8" s="6" t="n">
        <v>98093</v>
      </c>
      <c r="I8" s="6" t="n">
        <v>89545</v>
      </c>
      <c r="J8" s="6" t="n">
        <v>81265</v>
      </c>
      <c r="K8" s="6" t="n">
        <v>76021</v>
      </c>
      <c r="L8" s="6" t="n">
        <v>100903</v>
      </c>
    </row>
    <row r="9">
      <c r="A9" s="6" t="inlineStr">
        <is>
          <t>Investment in joint venture</t>
        </is>
      </c>
      <c r="B9" s="6" t="n"/>
      <c r="C9" s="6" t="n">
        <v>670</v>
      </c>
      <c r="D9" s="6" t="n">
        <v>670</v>
      </c>
      <c r="E9" s="6" t="n">
        <v>610</v>
      </c>
      <c r="F9" s="6" t="n">
        <v>330</v>
      </c>
      <c r="G9" s="6" t="n">
        <v>318</v>
      </c>
      <c r="H9" s="6" t="n">
        <v>320</v>
      </c>
      <c r="I9" s="6" t="n">
        <v>290</v>
      </c>
      <c r="J9" s="6" t="n">
        <v>230</v>
      </c>
      <c r="K9" s="6" t="n">
        <v>240</v>
      </c>
      <c r="L9" s="6" t="n">
        <v>234</v>
      </c>
    </row>
    <row r="10">
      <c r="A10" s="6" t="inlineStr">
        <is>
          <t>Subordinated term loan (Group's own asset, unrelated to the Tier 2 liability below)</t>
        </is>
      </c>
      <c r="B10" s="6" t="n"/>
      <c r="C10" s="6" t="n"/>
      <c r="D10" s="6" t="n"/>
      <c r="E10" s="6" t="n"/>
      <c r="F10" s="6" t="n"/>
      <c r="G10" s="6" t="n"/>
      <c r="H10" s="6" t="n"/>
      <c r="I10" s="6" t="n"/>
      <c r="J10" s="6" t="n"/>
      <c r="K10" s="6" t="n">
        <v>50</v>
      </c>
      <c r="L10" s="6" t="n">
        <v>50</v>
      </c>
    </row>
    <row r="11">
      <c r="A11" s="6" t="inlineStr">
        <is>
          <t>Investments</t>
        </is>
      </c>
      <c r="B11" s="6" t="n">
        <v>364</v>
      </c>
      <c r="C11" s="6" t="n">
        <v>384</v>
      </c>
      <c r="D11" s="6" t="n">
        <v>455</v>
      </c>
      <c r="E11" s="6" t="n">
        <v>438</v>
      </c>
      <c r="F11" s="6" t="n">
        <v>542</v>
      </c>
      <c r="G11" s="6" t="n">
        <v>546</v>
      </c>
      <c r="H11" s="6" t="n">
        <v>717</v>
      </c>
      <c r="I11" s="6" t="n">
        <v>331</v>
      </c>
      <c r="J11" s="6" t="n">
        <v>280</v>
      </c>
      <c r="K11" s="6" t="n">
        <v>235</v>
      </c>
      <c r="L11" s="6" t="n"/>
    </row>
    <row r="12">
      <c r="A12" s="6" t="inlineStr">
        <is>
          <t>Intangible fixed assets</t>
        </is>
      </c>
      <c r="B12" s="6" t="n">
        <v>24676</v>
      </c>
      <c r="C12" s="6" t="n">
        <v>16194</v>
      </c>
      <c r="D12" s="6" t="n">
        <v>12327</v>
      </c>
      <c r="E12" s="6" t="n">
        <v>6145</v>
      </c>
      <c r="F12" s="6" t="n">
        <v>3154</v>
      </c>
      <c r="G12" s="6" t="n">
        <v>1822</v>
      </c>
      <c r="H12" s="6" t="n">
        <v>1827</v>
      </c>
      <c r="I12" s="6" t="n">
        <v>2134</v>
      </c>
      <c r="J12" s="6" t="n">
        <v>2436</v>
      </c>
      <c r="K12" s="6" t="n">
        <v>4621</v>
      </c>
      <c r="L12" s="6" t="n">
        <v>3079</v>
      </c>
    </row>
    <row r="13">
      <c r="A13" s="6" t="inlineStr">
        <is>
          <t>Tangible fixed assets</t>
        </is>
      </c>
      <c r="B13" s="6" t="n">
        <v>10936</v>
      </c>
      <c r="C13" s="6" t="n">
        <v>9397</v>
      </c>
      <c r="D13" s="6" t="n">
        <v>9283</v>
      </c>
      <c r="E13" s="6" t="n">
        <v>11216</v>
      </c>
      <c r="F13" s="6" t="n">
        <v>10747</v>
      </c>
      <c r="G13" s="6" t="n">
        <v>10085</v>
      </c>
      <c r="H13" s="6" t="n">
        <v>11341</v>
      </c>
      <c r="I13" s="6" t="n">
        <v>9035</v>
      </c>
      <c r="J13" s="6" t="n">
        <v>7993</v>
      </c>
      <c r="K13" s="6" t="n">
        <v>4930</v>
      </c>
      <c r="L13" s="6" t="n">
        <v>4813</v>
      </c>
    </row>
    <row r="14">
      <c r="A14" s="6" t="inlineStr">
        <is>
          <t>Other assets</t>
        </is>
      </c>
      <c r="B14" s="6" t="n">
        <v>2753</v>
      </c>
      <c r="C14" s="6" t="n">
        <v>1875</v>
      </c>
      <c r="D14" s="6" t="n">
        <v>1913</v>
      </c>
      <c r="E14" s="6" t="n">
        <v>1711</v>
      </c>
      <c r="F14" s="6" t="n">
        <v>1803</v>
      </c>
      <c r="G14" s="6" t="n">
        <v>1823</v>
      </c>
      <c r="H14" s="6" t="n">
        <v>1672</v>
      </c>
      <c r="I14" s="6" t="n">
        <v>1711</v>
      </c>
      <c r="J14" s="6" t="n">
        <v>4994</v>
      </c>
      <c r="K14" s="6" t="n">
        <v>4090</v>
      </c>
      <c r="L14" s="6" t="n">
        <v>3791</v>
      </c>
    </row>
    <row r="15">
      <c r="A15" s="6" t="inlineStr">
        <is>
          <t>Prepayments and accrued income</t>
        </is>
      </c>
      <c r="B15" s="6" t="n">
        <v>10808</v>
      </c>
      <c r="C15" s="6" t="n">
        <v>19192</v>
      </c>
      <c r="D15" s="6" t="n">
        <v>15160</v>
      </c>
      <c r="E15" s="6" t="n">
        <v>10232</v>
      </c>
      <c r="F15" s="6" t="n">
        <v>3950</v>
      </c>
      <c r="G15" s="6" t="n">
        <v>2896</v>
      </c>
      <c r="H15" s="6" t="n">
        <v>2894</v>
      </c>
      <c r="I15" s="6" t="n">
        <v>2443</v>
      </c>
      <c r="J15" s="6" t="n">
        <v>2063</v>
      </c>
      <c r="K15" s="6" t="n">
        <v>1163</v>
      </c>
      <c r="L15" s="6" t="n">
        <v>1911</v>
      </c>
    </row>
    <row r="16">
      <c r="A16" s="5" t="inlineStr">
        <is>
          <t>Total assets</t>
        </is>
      </c>
      <c r="B16" s="5" t="n">
        <v>2053447</v>
      </c>
      <c r="C16" s="5" t="n">
        <v>1848494</v>
      </c>
      <c r="D16" s="5" t="n">
        <v>1637674</v>
      </c>
      <c r="E16" s="5" t="n">
        <v>1608564</v>
      </c>
      <c r="F16" s="5" t="n">
        <v>1476083</v>
      </c>
      <c r="G16" s="5" t="n">
        <v>1156429</v>
      </c>
      <c r="H16" s="5" t="n">
        <v>967101</v>
      </c>
      <c r="I16" s="5" t="n">
        <v>878368</v>
      </c>
      <c r="J16" s="5" t="n">
        <v>758839</v>
      </c>
      <c r="K16" s="5" t="n">
        <v>634559</v>
      </c>
      <c r="L16" s="5" t="n">
        <v>527361</v>
      </c>
    </row>
    <row r="17">
      <c r="A17" s="5" t="inlineStr">
        <is>
          <t>Liabilities</t>
        </is>
      </c>
      <c r="B17" s="6" t="n"/>
      <c r="C17" s="6" t="n"/>
      <c r="D17" s="6" t="n"/>
      <c r="E17" s="6" t="n"/>
      <c r="F17" s="6" t="n"/>
      <c r="G17" s="6" t="n"/>
      <c r="H17" s="6" t="n"/>
      <c r="I17" s="6" t="n"/>
      <c r="J17" s="6" t="n"/>
      <c r="K17" s="6" t="n"/>
      <c r="L17" s="6" t="n"/>
    </row>
    <row r="18">
      <c r="A18" s="6" t="inlineStr">
        <is>
          <t>Derivative financial liabilities</t>
        </is>
      </c>
      <c r="B18" s="6" t="n">
        <v>4075</v>
      </c>
      <c r="C18" s="6" t="n">
        <v>1269</v>
      </c>
      <c r="D18" s="6" t="n">
        <v>3069</v>
      </c>
      <c r="E18" s="6" t="n">
        <v>472</v>
      </c>
      <c r="F18" s="6" t="n">
        <v>238</v>
      </c>
      <c r="G18" s="6" t="n">
        <v>2377</v>
      </c>
      <c r="H18" s="6" t="n">
        <v>1258</v>
      </c>
      <c r="I18" s="6" t="n">
        <v>547</v>
      </c>
      <c r="J18" s="6" t="n">
        <v>387</v>
      </c>
      <c r="K18" s="6" t="n">
        <v>493</v>
      </c>
      <c r="L18" s="6" t="n">
        <v>220</v>
      </c>
    </row>
    <row r="19">
      <c r="A19" s="6" t="inlineStr">
        <is>
          <t>Customer accounts</t>
        </is>
      </c>
      <c r="B19" s="6" t="n">
        <v>1905431</v>
      </c>
      <c r="C19" s="6" t="n">
        <v>1707796</v>
      </c>
      <c r="D19" s="6" t="n">
        <v>1504566</v>
      </c>
      <c r="E19" s="6" t="n">
        <v>1521191</v>
      </c>
      <c r="F19" s="6" t="n">
        <v>1404601</v>
      </c>
      <c r="G19" s="6" t="n">
        <v>1088767</v>
      </c>
      <c r="H19" s="6" t="n">
        <v>899358</v>
      </c>
      <c r="I19" s="6" t="n">
        <v>816380</v>
      </c>
      <c r="J19" s="6" t="n">
        <v>708964</v>
      </c>
      <c r="K19" s="6" t="n">
        <v>587481</v>
      </c>
      <c r="L19" s="6" t="n">
        <v>484184</v>
      </c>
    </row>
    <row r="20">
      <c r="A20" s="6" t="inlineStr">
        <is>
          <t>Other liabilities</t>
        </is>
      </c>
      <c r="B20" s="6" t="n">
        <v>12734</v>
      </c>
      <c r="C20" s="6" t="n">
        <v>18287</v>
      </c>
      <c r="D20" s="6" t="n">
        <v>22583</v>
      </c>
      <c r="E20" s="6" t="n">
        <v>7903</v>
      </c>
      <c r="F20" s="6" t="n">
        <v>4568</v>
      </c>
      <c r="G20" s="6" t="n">
        <v>4147</v>
      </c>
      <c r="H20" s="6" t="n">
        <v>5646</v>
      </c>
      <c r="I20" s="6" t="n">
        <v>4984</v>
      </c>
      <c r="J20" s="6" t="n">
        <v>8006</v>
      </c>
      <c r="K20" s="6" t="n">
        <v>8629</v>
      </c>
      <c r="L20" s="6" t="n">
        <v>8617</v>
      </c>
    </row>
    <row r="21">
      <c r="A21" s="6" t="inlineStr">
        <is>
          <t>Accruals and deferred income</t>
        </is>
      </c>
      <c r="B21" s="6" t="n">
        <v>10093</v>
      </c>
      <c r="C21" s="6" t="n">
        <v>11099</v>
      </c>
      <c r="D21" s="6" t="n">
        <v>12465</v>
      </c>
      <c r="E21" s="6" t="n">
        <v>6498</v>
      </c>
      <c r="F21" s="6" t="n">
        <v>3876</v>
      </c>
      <c r="G21" s="6" t="n">
        <v>2752</v>
      </c>
      <c r="H21" s="6" t="n">
        <v>3518</v>
      </c>
      <c r="I21" s="6" t="n">
        <v>2887</v>
      </c>
      <c r="J21" s="6" t="n">
        <v>2266</v>
      </c>
      <c r="K21" s="6" t="n">
        <v>1912</v>
      </c>
      <c r="L21" s="6" t="n">
        <v>2133</v>
      </c>
    </row>
    <row r="22">
      <c r="A22" s="6" t="inlineStr">
        <is>
          <t>Subordinated loan</t>
        </is>
      </c>
      <c r="B22" s="6" t="n">
        <v>10000</v>
      </c>
      <c r="C22" s="6" t="n">
        <v>10000</v>
      </c>
      <c r="D22" s="6" t="n">
        <v>10000</v>
      </c>
      <c r="E22" s="6" t="n">
        <v>10000</v>
      </c>
      <c r="F22" s="6" t="n">
        <v>10000</v>
      </c>
      <c r="G22" s="6" t="n">
        <v>10000</v>
      </c>
      <c r="H22" s="6" t="n">
        <v>10000</v>
      </c>
      <c r="I22" s="6" t="n">
        <v>10000</v>
      </c>
      <c r="J22" s="6" t="n"/>
      <c r="K22" s="6" t="n"/>
      <c r="L22" s="6" t="n"/>
    </row>
    <row r="23">
      <c r="A23" s="6" t="inlineStr">
        <is>
          <t>Provisions for liabilities</t>
        </is>
      </c>
      <c r="B23" s="6" t="n"/>
      <c r="C23" s="6" t="n"/>
      <c r="D23" s="6" t="n"/>
      <c r="E23" s="6" t="n"/>
      <c r="F23" s="6" t="n"/>
      <c r="G23" s="6" t="n"/>
      <c r="H23" s="6" t="n"/>
      <c r="I23" s="6" t="n">
        <v>8</v>
      </c>
      <c r="J23" s="6" t="n">
        <v>16</v>
      </c>
      <c r="K23" s="6" t="n">
        <v>32</v>
      </c>
      <c r="L23" s="6" t="n">
        <v>53</v>
      </c>
    </row>
    <row r="24">
      <c r="A24" s="5" t="inlineStr">
        <is>
          <t>Total liabilities</t>
        </is>
      </c>
      <c r="B24" s="5" t="n">
        <v>1942333</v>
      </c>
      <c r="C24" s="5" t="n">
        <v>1748451</v>
      </c>
      <c r="D24" s="5" t="n">
        <v>1552683</v>
      </c>
      <c r="E24" s="5" t="n">
        <v>1546064</v>
      </c>
      <c r="F24" s="5" t="n">
        <v>1423283</v>
      </c>
      <c r="G24" s="5" t="n">
        <v>1108043</v>
      </c>
      <c r="H24" s="5" t="n">
        <v>919779</v>
      </c>
      <c r="I24" s="5" t="n">
        <v>834806</v>
      </c>
      <c r="J24" s="5" t="n">
        <v>719637</v>
      </c>
      <c r="K24" s="5" t="n">
        <v>598547</v>
      </c>
      <c r="L24" s="5" t="n">
        <v>495207</v>
      </c>
    </row>
    <row r="25">
      <c r="A25" s="5" t="inlineStr">
        <is>
          <t>Shareholders' funds</t>
        </is>
      </c>
      <c r="B25" s="6" t="n"/>
      <c r="C25" s="6" t="n"/>
      <c r="D25" s="6" t="n"/>
      <c r="E25" s="6" t="n"/>
      <c r="F25" s="6" t="n"/>
      <c r="G25" s="6" t="n"/>
      <c r="H25" s="6" t="n"/>
      <c r="I25" s="6" t="n"/>
      <c r="J25" s="6" t="n"/>
      <c r="K25" s="6" t="n"/>
      <c r="L25" s="6" t="n"/>
    </row>
    <row r="26">
      <c r="A26" s="6" t="inlineStr">
        <is>
          <t>Called up share capital</t>
        </is>
      </c>
      <c r="B26" s="6" t="n">
        <v>7000</v>
      </c>
      <c r="C26" s="6" t="n">
        <v>7000</v>
      </c>
      <c r="D26" s="6" t="n">
        <v>7000</v>
      </c>
      <c r="E26" s="6" t="n">
        <v>7000</v>
      </c>
      <c r="F26" s="6" t="n">
        <v>7000</v>
      </c>
      <c r="G26" s="6" t="n">
        <v>7000</v>
      </c>
      <c r="H26" s="6" t="n">
        <v>7000</v>
      </c>
      <c r="I26" s="6" t="n">
        <v>7000</v>
      </c>
      <c r="J26" s="6" t="n">
        <v>7000</v>
      </c>
      <c r="K26" s="6" t="n">
        <v>7000</v>
      </c>
      <c r="L26" s="6" t="n">
        <v>7000</v>
      </c>
    </row>
    <row r="27">
      <c r="A27" s="6" t="inlineStr">
        <is>
          <t>Contingent convertible securities</t>
        </is>
      </c>
      <c r="B27" s="6" t="n">
        <v>3000</v>
      </c>
      <c r="C27" s="6" t="n">
        <v>3000</v>
      </c>
      <c r="D27" s="6" t="n">
        <v>3000</v>
      </c>
      <c r="E27" s="6" t="n"/>
      <c r="F27" s="6" t="n"/>
      <c r="G27" s="6" t="n"/>
      <c r="H27" s="6" t="n"/>
      <c r="I27" s="6" t="n"/>
      <c r="J27" s="6" t="n"/>
      <c r="K27" s="6" t="n"/>
      <c r="L27" s="6" t="n"/>
    </row>
    <row r="28">
      <c r="A28" s="6" t="inlineStr">
        <is>
          <t>Revaluation reserve</t>
        </is>
      </c>
      <c r="B28" s="6" t="n">
        <v>231</v>
      </c>
      <c r="C28" s="6" t="n">
        <v>404</v>
      </c>
      <c r="D28" s="6" t="n">
        <v>522</v>
      </c>
      <c r="E28" s="6" t="n">
        <v>766</v>
      </c>
      <c r="F28" s="6" t="n">
        <v>975</v>
      </c>
      <c r="G28" s="6" t="n">
        <v>517</v>
      </c>
      <c r="H28" s="6" t="n">
        <v>1133</v>
      </c>
      <c r="I28" s="6" t="n">
        <v>1470</v>
      </c>
      <c r="J28" s="6" t="n">
        <v>1443</v>
      </c>
      <c r="K28" s="6" t="n">
        <v>1432</v>
      </c>
      <c r="L28" s="6" t="n">
        <v>1374</v>
      </c>
    </row>
    <row r="29">
      <c r="A29" s="6" t="inlineStr">
        <is>
          <t>Profit and loss account</t>
        </is>
      </c>
      <c r="B29" s="6" t="n">
        <v>100883</v>
      </c>
      <c r="C29" s="6" t="n">
        <v>89639</v>
      </c>
      <c r="D29" s="6" t="n">
        <v>74469</v>
      </c>
      <c r="E29" s="6" t="n">
        <v>54734</v>
      </c>
      <c r="F29" s="6" t="n">
        <v>44825</v>
      </c>
      <c r="G29" s="6" t="n">
        <v>40869</v>
      </c>
      <c r="H29" s="6" t="n">
        <v>39188</v>
      </c>
      <c r="I29" s="6" t="n">
        <v>35092</v>
      </c>
      <c r="J29" s="6" t="n">
        <v>30758</v>
      </c>
      <c r="K29" s="6" t="n">
        <v>27581</v>
      </c>
      <c r="L29" s="6" t="n">
        <v>23780</v>
      </c>
    </row>
    <row r="30">
      <c r="A30" s="5" t="inlineStr">
        <is>
          <t>Total equity</t>
        </is>
      </c>
      <c r="B30" s="5" t="n">
        <v>111114</v>
      </c>
      <c r="C30" s="5" t="n">
        <v>100043</v>
      </c>
      <c r="D30" s="5" t="n">
        <v>84991</v>
      </c>
      <c r="E30" s="5" t="n">
        <v>62500</v>
      </c>
      <c r="F30" s="5" t="n">
        <v>52800</v>
      </c>
      <c r="G30" s="5" t="n">
        <v>48386</v>
      </c>
      <c r="H30" s="5" t="n">
        <v>47322</v>
      </c>
      <c r="I30" s="5" t="n">
        <v>43562</v>
      </c>
      <c r="J30" s="5" t="n">
        <v>39201</v>
      </c>
      <c r="K30" s="5" t="n">
        <v>36012</v>
      </c>
      <c r="L30" s="5" t="n">
        <v>32154</v>
      </c>
    </row>
    <row r="31">
      <c r="A31" s="5" t="inlineStr">
        <is>
          <t>Total liabilities and equity</t>
        </is>
      </c>
      <c r="B31" s="5" t="n">
        <v>2053447</v>
      </c>
      <c r="C31" s="5" t="n">
        <v>1848494</v>
      </c>
      <c r="D31" s="5" t="n">
        <v>1637674</v>
      </c>
      <c r="E31" s="5" t="n">
        <v>1608564</v>
      </c>
      <c r="F31" s="5" t="n">
        <v>1476083</v>
      </c>
      <c r="G31" s="5" t="n">
        <v>1156429</v>
      </c>
      <c r="H31" s="5" t="n">
        <v>967101</v>
      </c>
      <c r="I31" s="5" t="n">
        <v>878368</v>
      </c>
      <c r="J31" s="5" t="n">
        <v>758839</v>
      </c>
      <c r="K31" s="5" t="n">
        <v>634559</v>
      </c>
      <c r="L31" s="5" t="n">
        <v>527361</v>
      </c>
    </row>
    <row r="33" ht="280" customHeight="1">
      <c r="A33" s="8" t="inlineStr">
        <is>
          <t>Sources - Weatherbys Banking Group consolidated statement of financial position, GBP'000: FY2025: Annual Report and Financial Accounts 2025, p.60 - https://www.weatherbys.bank/weatherbys-banking-group-annual-report-2025/; FY2024: Annual Report &amp; Accounts 2024, p.41 - https://www.weatherbys.bank/app/uploads/2025/04/Weatherbys-Banking-Group-Annual-Report-2024.pdf; FY2023: Annual Report &amp; Accounts 2023, p.46 - https://www.weatherbys.bank/app/uploads/2024/05/Weatherbys-Banking-Group-Annual-Report-2023.pdf; FY2022/FY2021: Annual Report &amp; Accounts 2022, p.42 - https://www.weatherbys.bank/app/uploads/2023/05/Weatherbys-Banking-Group-Annual_Report-2022.pdf; FY2020/FY2019: Group accounts made up to 31 Dec 2020, p.28 (Consolidated balance sheet) - https://find-and-update.company-information.service.gov.uk/company/02943300/filing-history/MzMxMjkxNjk5MmFkaXF6a2N4/document?format=pdf&amp;download=0; FY2018/FY2017: Group accounts made up to 31 Dec 2018, p.20 - https://find-and-update.company-information.service.gov.uk/company/02943300/filing-history/MzIzODIyOTM2NWFkaXF6a2N4/document?format=pdf&amp;download=0; FY2016/FY2015: Group accounts made up to 31 Dec 2016, p.10 (2015 shown restated per note 34; the FY2015 filing's own p.10 reports the same total, see BS_RESTATEMENT_NOTE) - https://find-and-update.company-information.service.gov.uk/company/02943300/filing-history/MzE3NTA2MDU3MmFkaXF6a2N4/document?format=pdf&amp;download=0 and (FY2015's own filing) https://find-and-update.company-information.service.gov.uk/company/02943300/filing-history/MzE1MDMxNDcxNGFkaXF6a2N4/document?format=pdf&amp;download=0.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AR2025's own restated FY2024 comparative balance sheet (note 36, 'Statement of financial position reclassification') moves broker commissions and interest receivable/payable between prepayments, loans and advances to customers, other liabilities and customer accounts, with no impact on profit or net assets - AR2025's FY2024 Total assets is £1,847,554k against AR2024's own originally published £1,848,494k, a further ~£940k gap beyond what note 36 explains. Per project convention, FY2024 uses AR2024's own originally published figures throughout (Total assets £1,848,494k), not the later restated comparative; the two years' FY2024 Total equity figures agree exactly (£100,043k) and the Profit &amp; Loss/ Statement of Changes in Equity figures for FY2024 are unaffected by the reclassification. Prior to 2024 the liquid-balances line is labelled 'Loans and advances to banks' (FY2021-FY2023); from 2024 it is labelled 'Cash at banks' - the same underlying balance, relabelled, not a new line.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FY2016's Group accounts restate FY2015's comparative balance sheet (note 34) splitting the single 'Tangible fixed assets' line (GBP7,942,105k combined, as FY2015's own filing shows it, net of the GBP50k Subordinated term loan asset) into separate Intangible/Tangible fixed asset lines (GBP3,079,139/GBP4,812,966) with an identical combined total and no equity impact; this workbook uses that split for FY2015 for structural consistency with all other years' Balance Sheet rows. 'Subordinated term loan' (an asset, GBP50k, FY2015-FY2016 only) is a small third-party loan note the Group held, unrelated to the GBP10m Tier 2 'Subordinated loan' liability the Bank itself issued in 2018 (see FY2018's Cash Flow Statement). 'Provisions for liabilities' (a small liability-side balance, FY2015-FY2018 only) was not separately disclosed on the Balance Sheet from FY2019 onward.</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Profit &amp; Loss</t>
        </is>
      </c>
    </row>
    <row r="2">
      <c r="A2" s="2" t="inlineStr">
        <is>
          <t>Weatherbys Banking Group consolidated income statement,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Income</t>
        </is>
      </c>
      <c r="B4" s="6" t="n"/>
      <c r="C4" s="6" t="n"/>
      <c r="D4" s="6" t="n"/>
      <c r="E4" s="6" t="n"/>
      <c r="F4" s="6" t="n"/>
      <c r="G4" s="6" t="n"/>
      <c r="H4" s="6" t="n"/>
      <c r="I4" s="6" t="n"/>
      <c r="J4" s="6" t="n"/>
      <c r="K4" s="6" t="n"/>
      <c r="L4" s="6" t="n"/>
    </row>
    <row r="5">
      <c r="A5" s="6" t="inlineStr">
        <is>
          <t>Interest receivable - arising from debt securities</t>
        </is>
      </c>
      <c r="B5" s="6" t="n">
        <v>12442</v>
      </c>
      <c r="C5" s="6" t="n">
        <v>12235</v>
      </c>
      <c r="D5" s="6" t="n">
        <v>8846</v>
      </c>
      <c r="E5" s="6" t="n">
        <v>2642</v>
      </c>
      <c r="F5" s="6" t="n">
        <v>655</v>
      </c>
      <c r="G5" s="6" t="n">
        <v>766</v>
      </c>
      <c r="H5" s="6" t="n">
        <v>1147</v>
      </c>
      <c r="I5" s="6" t="n">
        <v>804</v>
      </c>
      <c r="J5" s="6" t="n">
        <v>758</v>
      </c>
      <c r="K5" s="6" t="n">
        <v>762</v>
      </c>
      <c r="L5" s="6" t="n">
        <v>974</v>
      </c>
    </row>
    <row r="6">
      <c r="A6" s="6" t="inlineStr">
        <is>
          <t>Interest receivable - other interest and similar income</t>
        </is>
      </c>
      <c r="B6" s="6" t="n">
        <v>102751</v>
      </c>
      <c r="C6" s="6" t="n">
        <v>104058</v>
      </c>
      <c r="D6" s="6" t="n">
        <v>93591</v>
      </c>
      <c r="E6" s="6" t="n">
        <v>51278</v>
      </c>
      <c r="F6" s="6" t="n">
        <v>35361</v>
      </c>
      <c r="G6" s="6" t="n">
        <v>33377</v>
      </c>
      <c r="H6" s="6" t="n">
        <v>30938</v>
      </c>
      <c r="I6" s="6" t="n">
        <v>25935</v>
      </c>
      <c r="J6" s="6" t="n">
        <v>21645</v>
      </c>
      <c r="K6" s="6" t="n">
        <v>18852</v>
      </c>
      <c r="L6" s="6" t="n">
        <v>17024</v>
      </c>
    </row>
    <row r="7">
      <c r="A7" s="6" t="inlineStr">
        <is>
          <t>Interest payable</t>
        </is>
      </c>
      <c r="B7" s="6" t="n">
        <v>-36240</v>
      </c>
      <c r="C7" s="6" t="n">
        <v>-37279</v>
      </c>
      <c r="D7" s="6" t="n">
        <v>-24283</v>
      </c>
      <c r="E7" s="6" t="n">
        <v>-4733</v>
      </c>
      <c r="F7" s="6" t="n">
        <v>-3996</v>
      </c>
      <c r="G7" s="6" t="n">
        <v>-4706</v>
      </c>
      <c r="H7" s="6" t="n">
        <v>-3564</v>
      </c>
      <c r="I7" s="6" t="n">
        <v>-2788</v>
      </c>
      <c r="J7" s="6" t="n">
        <v>-2559</v>
      </c>
      <c r="K7" s="6" t="n">
        <v>-2377</v>
      </c>
      <c r="L7" s="6" t="n">
        <v>-2923</v>
      </c>
    </row>
    <row r="8">
      <c r="A8" s="5" t="inlineStr">
        <is>
          <t>Net interest income</t>
        </is>
      </c>
      <c r="B8" s="5" t="n">
        <v>78953</v>
      </c>
      <c r="C8" s="5" t="n">
        <v>79014</v>
      </c>
      <c r="D8" s="5" t="n">
        <v>78154</v>
      </c>
      <c r="E8" s="5" t="n">
        <v>49187</v>
      </c>
      <c r="F8" s="5" t="n">
        <v>32020</v>
      </c>
      <c r="G8" s="5" t="n">
        <v>29437</v>
      </c>
      <c r="H8" s="5" t="n">
        <v>28521</v>
      </c>
      <c r="I8" s="5" t="n">
        <v>23951</v>
      </c>
      <c r="J8" s="5" t="n">
        <v>19845</v>
      </c>
      <c r="K8" s="5" t="n">
        <v>17237</v>
      </c>
      <c r="L8" s="5" t="n">
        <v>15074</v>
      </c>
    </row>
    <row r="9">
      <c r="A9" s="6" t="inlineStr">
        <is>
          <t>Fees and commissions receivable: Group and share of joint venture (gross, FY2015-FY2020 only)</t>
        </is>
      </c>
      <c r="B9" s="6" t="n"/>
      <c r="C9" s="6" t="n"/>
      <c r="D9" s="6" t="n"/>
      <c r="E9" s="6" t="n"/>
      <c r="F9" s="6" t="n"/>
      <c r="G9" s="6" t="n">
        <v>5770</v>
      </c>
      <c r="H9" s="6" t="n">
        <v>6826</v>
      </c>
      <c r="I9" s="6" t="n">
        <v>6079</v>
      </c>
      <c r="J9" s="6" t="n">
        <v>5670</v>
      </c>
      <c r="K9" s="6" t="n">
        <v>4944</v>
      </c>
      <c r="L9" s="6" t="n">
        <v>4562</v>
      </c>
    </row>
    <row r="10">
      <c r="A10" s="6" t="inlineStr">
        <is>
          <t>Less: share of joint venture (fees, FY2015-FY2020 only)</t>
        </is>
      </c>
      <c r="B10" s="6" t="n"/>
      <c r="C10" s="6" t="n"/>
      <c r="D10" s="6" t="n"/>
      <c r="E10" s="6" t="n"/>
      <c r="F10" s="6" t="n"/>
      <c r="G10" s="6" t="n">
        <v>-1493</v>
      </c>
      <c r="H10" s="6" t="n">
        <v>-1698</v>
      </c>
      <c r="I10" s="6" t="n">
        <v>-1453</v>
      </c>
      <c r="J10" s="6" t="n">
        <v>-1274</v>
      </c>
      <c r="K10" s="6" t="n">
        <v>-1149</v>
      </c>
      <c r="L10" s="6" t="n">
        <v>-923</v>
      </c>
    </row>
    <row r="11">
      <c r="A11" s="6" t="inlineStr">
        <is>
          <t>Fees and commissions receivable</t>
        </is>
      </c>
      <c r="B11" s="6" t="n">
        <v>8973</v>
      </c>
      <c r="C11" s="6" t="n">
        <v>7852</v>
      </c>
      <c r="D11" s="6" t="n">
        <v>6796</v>
      </c>
      <c r="E11" s="6" t="n">
        <v>5862</v>
      </c>
      <c r="F11" s="6" t="n">
        <v>5118</v>
      </c>
      <c r="G11" s="6" t="n">
        <v>4278</v>
      </c>
      <c r="H11" s="6" t="n">
        <v>5127</v>
      </c>
      <c r="I11" s="6" t="n">
        <v>4627</v>
      </c>
      <c r="J11" s="6" t="n">
        <v>4396</v>
      </c>
      <c r="K11" s="6" t="n">
        <v>3795</v>
      </c>
      <c r="L11" s="6" t="n">
        <v>3639</v>
      </c>
    </row>
    <row r="12">
      <c r="A12" s="6" t="inlineStr">
        <is>
          <t>Fees and commissions payable</t>
        </is>
      </c>
      <c r="B12" s="6" t="n">
        <v>-1130</v>
      </c>
      <c r="C12" s="6" t="n">
        <v>-942</v>
      </c>
      <c r="D12" s="6" t="n">
        <v>-615</v>
      </c>
      <c r="E12" s="6" t="n">
        <v>-546</v>
      </c>
      <c r="F12" s="6" t="n">
        <v>-493</v>
      </c>
      <c r="G12" s="6" t="n">
        <v>-673</v>
      </c>
      <c r="H12" s="6" t="n">
        <v>-685</v>
      </c>
      <c r="I12" s="6" t="n">
        <v>-539</v>
      </c>
      <c r="J12" s="6" t="n">
        <v>-380</v>
      </c>
      <c r="K12" s="6" t="n">
        <v>-385</v>
      </c>
      <c r="L12" s="6" t="n">
        <v>-518</v>
      </c>
    </row>
    <row r="13">
      <c r="A13" s="6" t="inlineStr">
        <is>
          <t>Rent receivable</t>
        </is>
      </c>
      <c r="B13" s="6" t="n"/>
      <c r="C13" s="6" t="n"/>
      <c r="D13" s="6" t="n">
        <v>84</v>
      </c>
      <c r="E13" s="6" t="n"/>
      <c r="F13" s="6" t="n"/>
      <c r="G13" s="6" t="n">
        <v>130</v>
      </c>
      <c r="H13" s="6" t="n">
        <v>310</v>
      </c>
      <c r="I13" s="6" t="n">
        <v>310</v>
      </c>
      <c r="J13" s="6" t="n">
        <v>310</v>
      </c>
      <c r="K13" s="6" t="n">
        <v>310</v>
      </c>
      <c r="L13" s="6" t="n">
        <v>363</v>
      </c>
    </row>
    <row r="14">
      <c r="A14" s="6" t="inlineStr">
        <is>
          <t>Other operating income</t>
        </is>
      </c>
      <c r="B14" s="6" t="n">
        <v>4299</v>
      </c>
      <c r="C14" s="6" t="n">
        <v>4502</v>
      </c>
      <c r="D14" s="6" t="n">
        <v>4007</v>
      </c>
      <c r="E14" s="6" t="n">
        <v>3526</v>
      </c>
      <c r="F14" s="6" t="n">
        <v>3130</v>
      </c>
      <c r="G14" s="6" t="n">
        <v>2523</v>
      </c>
      <c r="H14" s="6" t="n">
        <v>2697</v>
      </c>
      <c r="I14" s="6" t="n">
        <v>2440</v>
      </c>
      <c r="J14" s="6" t="n">
        <v>2211</v>
      </c>
      <c r="K14" s="6" t="n">
        <v>2064</v>
      </c>
      <c r="L14" s="6" t="n">
        <v>1944</v>
      </c>
    </row>
    <row r="15">
      <c r="A15" s="5" t="inlineStr">
        <is>
          <t>Operating income</t>
        </is>
      </c>
      <c r="B15" s="5" t="n">
        <v>91095</v>
      </c>
      <c r="C15" s="5" t="n">
        <v>90426</v>
      </c>
      <c r="D15" s="5" t="n">
        <v>88426</v>
      </c>
      <c r="E15" s="5" t="n">
        <v>58029</v>
      </c>
      <c r="F15" s="5" t="n">
        <v>39775</v>
      </c>
      <c r="G15" s="5" t="n">
        <v>35695</v>
      </c>
      <c r="H15" s="5" t="n">
        <v>35970</v>
      </c>
      <c r="I15" s="5" t="n">
        <v>30789</v>
      </c>
      <c r="J15" s="5" t="n">
        <v>26382</v>
      </c>
      <c r="K15" s="5" t="n">
        <v>23021</v>
      </c>
      <c r="L15" s="5" t="n">
        <v>20502</v>
      </c>
    </row>
    <row r="16">
      <c r="A16" s="5" t="inlineStr">
        <is>
          <t>Operating expenses</t>
        </is>
      </c>
      <c r="B16" s="6" t="n"/>
      <c r="C16" s="6" t="n"/>
      <c r="D16" s="6" t="n"/>
      <c r="E16" s="6" t="n"/>
      <c r="F16" s="6" t="n"/>
      <c r="G16" s="6" t="n"/>
      <c r="H16" s="6" t="n"/>
      <c r="I16" s="6" t="n"/>
      <c r="J16" s="6" t="n"/>
      <c r="K16" s="6" t="n"/>
      <c r="L16" s="6" t="n"/>
    </row>
    <row r="17">
      <c r="A17" s="6" t="inlineStr">
        <is>
          <t>(Loss)/gain on value of derivatives</t>
        </is>
      </c>
      <c r="B17" s="6" t="n">
        <v>-673</v>
      </c>
      <c r="C17" s="6" t="n">
        <v>117</v>
      </c>
      <c r="D17" s="6" t="n">
        <v>75</v>
      </c>
      <c r="E17" s="6" t="n">
        <v>76</v>
      </c>
      <c r="F17" s="6" t="n">
        <v>2362</v>
      </c>
      <c r="G17" s="6" t="n">
        <v>-1355</v>
      </c>
      <c r="H17" s="6" t="n">
        <v>-822</v>
      </c>
      <c r="I17" s="6" t="n">
        <v>136</v>
      </c>
      <c r="J17" s="6" t="n">
        <v>150</v>
      </c>
      <c r="K17" s="6" t="n">
        <v>-252</v>
      </c>
      <c r="L17" s="6" t="n">
        <v>29</v>
      </c>
    </row>
    <row r="18">
      <c r="A18" s="6" t="inlineStr">
        <is>
          <t>(Loss)/Gain on investment property</t>
        </is>
      </c>
      <c r="B18" s="6" t="n"/>
      <c r="C18" s="6" t="n"/>
      <c r="D18" s="6" t="n"/>
      <c r="E18" s="6" t="n"/>
      <c r="F18" s="6" t="n"/>
      <c r="G18" s="6" t="n"/>
      <c r="H18" s="6" t="n"/>
      <c r="I18" s="6" t="n"/>
      <c r="J18" s="6" t="n"/>
      <c r="K18" s="6" t="n">
        <v>-149</v>
      </c>
      <c r="L18" s="6" t="n">
        <v>1055</v>
      </c>
    </row>
    <row r="19">
      <c r="A19" s="6" t="inlineStr">
        <is>
          <t>Administrative expenses</t>
        </is>
      </c>
      <c r="B19" s="6" t="n">
        <v>-65873</v>
      </c>
      <c r="C19" s="6" t="n">
        <v>-55163</v>
      </c>
      <c r="D19" s="6" t="n">
        <v>-50274</v>
      </c>
      <c r="E19" s="6" t="n">
        <v>-39014</v>
      </c>
      <c r="F19" s="6" t="n">
        <v>-31654</v>
      </c>
      <c r="G19" s="6" t="n">
        <v>-26942</v>
      </c>
      <c r="H19" s="6" t="n">
        <v>-25426</v>
      </c>
      <c r="I19" s="6" t="n">
        <v>-21661</v>
      </c>
      <c r="J19" s="6" t="n">
        <v>-19315</v>
      </c>
      <c r="K19" s="6" t="n">
        <v>-16391</v>
      </c>
      <c r="L19" s="6" t="n">
        <v>-13534</v>
      </c>
    </row>
    <row r="20">
      <c r="A20" s="6" t="inlineStr">
        <is>
          <t>Depreciation and amortisation</t>
        </is>
      </c>
      <c r="B20" s="6" t="n">
        <v>-7065</v>
      </c>
      <c r="C20" s="6" t="n">
        <v>-4505</v>
      </c>
      <c r="D20" s="6" t="n">
        <v>-2758</v>
      </c>
      <c r="E20" s="6" t="n">
        <v>-2786</v>
      </c>
      <c r="F20" s="6" t="n">
        <v>-2402</v>
      </c>
      <c r="G20" s="6" t="n">
        <v>-1794</v>
      </c>
      <c r="H20" s="6" t="n">
        <v>-1204</v>
      </c>
      <c r="I20" s="6" t="n">
        <v>-1060</v>
      </c>
      <c r="J20" s="6" t="n">
        <v>-805</v>
      </c>
      <c r="K20" s="6" t="n">
        <v>-434</v>
      </c>
      <c r="L20" s="6" t="n">
        <v>-115</v>
      </c>
    </row>
    <row r="21">
      <c r="A21" s="6" t="inlineStr">
        <is>
          <t>Impairment charge on loans and advances</t>
        </is>
      </c>
      <c r="B21" s="6" t="n">
        <v>-4648</v>
      </c>
      <c r="C21" s="6" t="n">
        <v>-4571</v>
      </c>
      <c r="D21" s="6" t="n">
        <v>-2784</v>
      </c>
      <c r="E21" s="6" t="n">
        <v>-1400</v>
      </c>
      <c r="F21" s="6" t="n">
        <v>-1559</v>
      </c>
      <c r="G21" s="6" t="n">
        <v>-3298</v>
      </c>
      <c r="H21" s="6" t="n">
        <v>-795</v>
      </c>
      <c r="I21" s="6" t="n">
        <v>-809</v>
      </c>
      <c r="J21" s="6" t="n">
        <v>-836</v>
      </c>
      <c r="K21" s="6" t="n">
        <v>-250</v>
      </c>
      <c r="L21" s="6" t="n">
        <v>-497</v>
      </c>
    </row>
    <row r="22">
      <c r="A22" s="6" t="inlineStr">
        <is>
          <t>Other provisions for liabilities</t>
        </is>
      </c>
      <c r="B22" s="6" t="n"/>
      <c r="C22" s="6" t="n"/>
      <c r="D22" s="6" t="n"/>
      <c r="E22" s="6" t="n"/>
      <c r="F22" s="6" t="n"/>
      <c r="G22" s="6" t="n"/>
      <c r="H22" s="6" t="n">
        <v>8</v>
      </c>
      <c r="I22" s="6" t="n">
        <v>0</v>
      </c>
      <c r="J22" s="6" t="n">
        <v>-15</v>
      </c>
      <c r="K22" s="6" t="n">
        <v>-30</v>
      </c>
      <c r="L22" s="6" t="n">
        <v>-95</v>
      </c>
    </row>
    <row r="23">
      <c r="A23" s="6" t="inlineStr">
        <is>
          <t>Share of operating profit in joint venture</t>
        </is>
      </c>
      <c r="B23" s="6" t="n"/>
      <c r="C23" s="6" t="n">
        <v>400</v>
      </c>
      <c r="D23" s="6" t="n">
        <v>400</v>
      </c>
      <c r="E23" s="6" t="n">
        <v>340</v>
      </c>
      <c r="F23" s="6" t="n">
        <v>280</v>
      </c>
      <c r="G23" s="6" t="n">
        <v>268</v>
      </c>
      <c r="H23" s="6" t="n">
        <v>270</v>
      </c>
      <c r="I23" s="6" t="n">
        <v>240</v>
      </c>
      <c r="J23" s="6" t="n">
        <v>180</v>
      </c>
      <c r="K23" s="6" t="n">
        <v>190</v>
      </c>
      <c r="L23" s="6" t="n">
        <v>184</v>
      </c>
    </row>
    <row r="24">
      <c r="A24" s="5" t="inlineStr">
        <is>
          <t>Operating profit before exceptional items and tax</t>
        </is>
      </c>
      <c r="B24" s="5" t="n">
        <v>12836</v>
      </c>
      <c r="C24" s="5" t="n">
        <v>26704</v>
      </c>
      <c r="D24" s="5" t="n">
        <v>33085</v>
      </c>
      <c r="E24" s="5" t="n">
        <v>15245</v>
      </c>
      <c r="F24" s="5" t="n">
        <v>6802</v>
      </c>
      <c r="G24" s="5" t="n">
        <v>2573</v>
      </c>
      <c r="H24" s="5" t="n">
        <v>8001</v>
      </c>
      <c r="I24" s="5" t="n">
        <v>7634</v>
      </c>
      <c r="J24" s="5" t="n">
        <v>5740</v>
      </c>
      <c r="K24" s="5" t="n">
        <v>5705</v>
      </c>
      <c r="L24" s="5" t="n">
        <v>7529</v>
      </c>
    </row>
    <row r="25">
      <c r="A25" s="6" t="inlineStr">
        <is>
          <t>Exceptional item</t>
        </is>
      </c>
      <c r="B25" s="6" t="n">
        <v>10238</v>
      </c>
      <c r="C25" s="6" t="n">
        <v>-2128</v>
      </c>
      <c r="D25" s="6" t="n"/>
      <c r="E25" s="6" t="n"/>
      <c r="F25" s="6" t="n"/>
      <c r="G25" s="6" t="n"/>
      <c r="H25" s="6" t="n"/>
      <c r="I25" s="6" t="n"/>
      <c r="J25" s="6" t="n"/>
      <c r="K25" s="6" t="n">
        <v>1079</v>
      </c>
      <c r="L25" s="6" t="n"/>
    </row>
    <row r="26">
      <c r="A26" s="5" t="inlineStr">
        <is>
          <t>Operating profit before tax</t>
        </is>
      </c>
      <c r="B26" s="5" t="n">
        <v>23074</v>
      </c>
      <c r="C26" s="5" t="n">
        <v>24576</v>
      </c>
      <c r="D26" s="5" t="n">
        <v>33085</v>
      </c>
      <c r="E26" s="5" t="n">
        <v>15245</v>
      </c>
      <c r="F26" s="5" t="n">
        <v>6802</v>
      </c>
      <c r="G26" s="5" t="n">
        <v>2573</v>
      </c>
      <c r="H26" s="5" t="n">
        <v>8001</v>
      </c>
      <c r="I26" s="5" t="n">
        <v>7634</v>
      </c>
      <c r="J26" s="5" t="n">
        <v>5740</v>
      </c>
      <c r="K26" s="5" t="n">
        <v>6784</v>
      </c>
      <c r="L26" s="5" t="n">
        <v>7529</v>
      </c>
    </row>
    <row r="27">
      <c r="A27" s="6" t="inlineStr">
        <is>
          <t>Taxation on profit</t>
        </is>
      </c>
      <c r="B27" s="6" t="n">
        <v>-3830</v>
      </c>
      <c r="C27" s="6" t="n">
        <v>-6306</v>
      </c>
      <c r="D27" s="6" t="n">
        <v>-8350</v>
      </c>
      <c r="E27" s="6" t="n">
        <v>-3336</v>
      </c>
      <c r="F27" s="6" t="n">
        <v>-1596</v>
      </c>
      <c r="G27" s="6" t="n">
        <v>-642</v>
      </c>
      <c r="H27" s="6" t="n">
        <v>-1855</v>
      </c>
      <c r="I27" s="6" t="n">
        <v>-1550</v>
      </c>
      <c r="J27" s="6" t="n">
        <v>-1313</v>
      </c>
      <c r="K27" s="6" t="n">
        <v>-1463</v>
      </c>
      <c r="L27" s="6" t="n">
        <v>-1587</v>
      </c>
    </row>
    <row r="28">
      <c r="A28" s="5" t="inlineStr">
        <is>
          <t>Profit for the financial year</t>
        </is>
      </c>
      <c r="B28" s="5" t="n">
        <v>19244</v>
      </c>
      <c r="C28" s="5" t="n">
        <v>18270</v>
      </c>
      <c r="D28" s="5" t="n">
        <v>24735</v>
      </c>
      <c r="E28" s="5" t="n">
        <v>11909</v>
      </c>
      <c r="F28" s="5" t="n">
        <v>5206</v>
      </c>
      <c r="G28" s="5" t="n">
        <v>1931</v>
      </c>
      <c r="H28" s="5" t="n">
        <v>6146</v>
      </c>
      <c r="I28" s="5" t="n">
        <v>6084</v>
      </c>
      <c r="J28" s="5" t="n">
        <v>4428</v>
      </c>
      <c r="K28" s="5" t="n">
        <v>5321</v>
      </c>
      <c r="L28" s="5" t="n">
        <v>5942</v>
      </c>
    </row>
    <row r="29">
      <c r="A29" s="5" t="inlineStr">
        <is>
          <t>Other comprehensive income</t>
        </is>
      </c>
      <c r="B29" s="6" t="n"/>
      <c r="C29" s="6" t="n"/>
      <c r="D29" s="6" t="n"/>
      <c r="E29" s="6" t="n"/>
      <c r="F29" s="6" t="n"/>
      <c r="G29" s="6" t="n"/>
      <c r="H29" s="6" t="n"/>
      <c r="I29" s="6" t="n"/>
      <c r="J29" s="6" t="n"/>
      <c r="K29" s="6" t="n"/>
      <c r="L29" s="6" t="n"/>
    </row>
    <row r="30">
      <c r="A30" s="6" t="inlineStr">
        <is>
          <t>Revaluation of tangible fixed assets</t>
        </is>
      </c>
      <c r="B30" s="6" t="n">
        <v>-173</v>
      </c>
      <c r="C30" s="6" t="n">
        <v>-118</v>
      </c>
      <c r="D30" s="6" t="n">
        <v>-244</v>
      </c>
      <c r="E30" s="6" t="n">
        <v>-209</v>
      </c>
      <c r="F30" s="6" t="n">
        <v>458</v>
      </c>
      <c r="G30" s="6" t="n">
        <v>-617</v>
      </c>
      <c r="H30" s="6" t="n">
        <v>-336</v>
      </c>
      <c r="I30" s="6" t="n">
        <v>27</v>
      </c>
      <c r="J30" s="6" t="n">
        <v>11</v>
      </c>
      <c r="K30" s="6" t="n">
        <v>58</v>
      </c>
      <c r="L30" s="6" t="n">
        <v>338</v>
      </c>
    </row>
    <row r="31">
      <c r="A31" s="5" t="inlineStr">
        <is>
          <t>Total comprehensive income for the year</t>
        </is>
      </c>
      <c r="B31" s="5" t="n">
        <v>19071</v>
      </c>
      <c r="C31" s="5" t="n">
        <v>18152</v>
      </c>
      <c r="D31" s="5" t="n">
        <v>24491</v>
      </c>
      <c r="E31" s="5" t="n">
        <v>11700</v>
      </c>
      <c r="F31" s="5" t="n">
        <v>5664</v>
      </c>
      <c r="G31" s="5" t="n">
        <v>1314</v>
      </c>
      <c r="H31" s="5" t="n">
        <v>5810</v>
      </c>
      <c r="I31" s="5" t="n">
        <v>6111</v>
      </c>
      <c r="J31" s="5" t="n">
        <v>4439</v>
      </c>
      <c r="K31" s="5" t="n">
        <v>5379</v>
      </c>
      <c r="L31" s="5" t="n">
        <v>6280</v>
      </c>
    </row>
    <row r="33" ht="220" customHeight="1">
      <c r="A33" s="8" t="inlineStr">
        <is>
          <t>Sources - Weatherbys Banking Group consolidated income statement, GBP'000: FY2025: Annual Report and Financial Accounts 2025, p.58 - https://www.weatherbys.bank/weatherbys-banking-group-annual-report-2025/; FY2024: Annual Report &amp; Accounts 2024, p.39 - https://www.weatherbys.bank/app/uploads/2025/04/Weatherbys-Banking-Group-Annual-Report-2024.pdf; FY2023: Annual Report &amp; Accounts 2023, pp.44-45 - https://www.weatherbys.bank/app/uploads/2024/05/Weatherbys-Banking-Group-Annual-Report-2023.pdf; FY2022/FY2021: Annual Report &amp; Accounts 2022, p.40 - https://www.weatherbys.bank/app/uploads/2023/05/Weatherbys-Banking-Group-Annual_Report-2022.pdf; FY2020/FY2019: Group accounts made up to 31 Dec 2020, p.26 (Consolidated income statement) - https://find-and-update.company-information.service.gov.uk/company/02943300/filing-history/MzMxMjkxNjk5MmFkaXF6a2N4/document?format=pdf&amp;download=0; FY2018/FY2017: Group accounts made up to 31 Dec 2018, p.18 - https://find-and-update.company-information.service.gov.uk/company/02943300/filing-history/MzIzODIyOTM2NWFkaXF6a2N4/document?format=pdf&amp;download=0; FY2016/FY2015: Group accounts made up to 31 Dec 2016, p.8 -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FY2025's exceptional item is a £10,238k gain (sale of subsidiary/tangible fixed assets, matching the Cash Flow Statement's disposal line); FY2024's exceptional item is a £2,128k charge; FY2016's exceptional item is a £1,079k gain (per its own income statement, no further breakdown given); FY2023/FY2022/FY2021/FY2020/FY2019/FY2018/FY2017/FY2015 had no exceptional item line. FY2023 additionally discloses a small Rent Receivable line (£84k); FY2015-FY2020 all disclose a Rent Receivable line too (this stopped being separately reported FY2021-FY2022, briefly resumed FY2023, then stopped again).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FY2015-FY2020's income statements break Fees and commissions receivable into a gross 'Group and share of joint venture' figure less a 'Less: share of joint venture' deduction, arriving at the net Fees and commissions receivable figure this workbook's row of that name always shows (FY2021 onward's income statement no longer discloses that gross/deduction split, only the net-equivalent figure - the JV's operating-profit share is instead only shown via the separate 'Share of operating profit in joint venture' line, present in all years). FY2015/FY2016 uniquely disclose a '(Loss)/Gain on investment property' line (the Bank held an investment property in those years); FY2015-FY2019 uniquely disclose an 'Other provisions for liabilities' line (a small non-loan provision movement) that is nil/not separately shown from FY2020 onward.</t>
        </is>
      </c>
    </row>
  </sheetData>
  <mergeCells count="1">
    <mergeCell ref="A33:L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Weatherbys Bank Limited — Statement of Changes in Equity</t>
        </is>
      </c>
    </row>
    <row r="2">
      <c r="A2" s="2" t="inlineStr">
        <is>
          <t>Weatherbys Banking Group consolidated statement of changes in equity, GBP'000. Chronological, oldest to newest.</t>
        </is>
      </c>
    </row>
    <row r="3">
      <c r="A3" s="4" t="inlineStr">
        <is>
          <t>Movement</t>
        </is>
      </c>
      <c r="B3" s="4" t="inlineStr">
        <is>
          <t>Share capital</t>
        </is>
      </c>
      <c r="C3" s="4" t="inlineStr">
        <is>
          <t>Contingent Convertible Securities</t>
        </is>
      </c>
      <c r="D3" s="4" t="inlineStr">
        <is>
          <t>Revaluation reserve</t>
        </is>
      </c>
      <c r="E3" s="4" t="inlineStr">
        <is>
          <t>Profit &amp; loss account</t>
        </is>
      </c>
      <c r="F3" s="4" t="inlineStr">
        <is>
          <t>Total equity</t>
        </is>
      </c>
    </row>
    <row r="4">
      <c r="A4" s="6" t="inlineStr">
        <is>
          <t>1 January 2015</t>
        </is>
      </c>
      <c r="B4" s="6" t="n">
        <v>7000</v>
      </c>
      <c r="C4" s="6" t="n"/>
      <c r="D4" s="6" t="n">
        <v>1036</v>
      </c>
      <c r="E4" s="6" t="n">
        <v>18978</v>
      </c>
      <c r="F4" s="6" t="n">
        <v>27014</v>
      </c>
    </row>
    <row r="5">
      <c r="A5" s="6" t="inlineStr">
        <is>
          <t>Profit for the year</t>
        </is>
      </c>
      <c r="B5" s="6" t="n"/>
      <c r="C5" s="6" t="n"/>
      <c r="D5" s="6" t="n"/>
      <c r="E5" s="6" t="n">
        <v>5942</v>
      </c>
      <c r="F5" s="6" t="n">
        <v>5942</v>
      </c>
    </row>
    <row r="6">
      <c r="A6" s="6" t="inlineStr">
        <is>
          <t>Revaluation of non-investment property</t>
        </is>
      </c>
      <c r="B6" s="6" t="n"/>
      <c r="C6" s="6" t="n"/>
      <c r="D6" s="6" t="n">
        <v>338</v>
      </c>
      <c r="E6" s="6" t="n"/>
      <c r="F6" s="6" t="n">
        <v>338</v>
      </c>
    </row>
    <row r="7">
      <c r="A7" s="5" t="inlineStr">
        <is>
          <t>Total comprehensive income for the year</t>
        </is>
      </c>
      <c r="B7" s="5" t="n"/>
      <c r="C7" s="5" t="n"/>
      <c r="D7" s="5" t="n">
        <v>338</v>
      </c>
      <c r="E7" s="5" t="n">
        <v>5942</v>
      </c>
      <c r="F7" s="5" t="n">
        <v>6280</v>
      </c>
    </row>
    <row r="8">
      <c r="A8" s="6" t="inlineStr">
        <is>
          <t>Dividends</t>
        </is>
      </c>
      <c r="B8" s="6" t="n"/>
      <c r="C8" s="6" t="n"/>
      <c r="D8" s="6" t="n"/>
      <c r="E8" s="6" t="n">
        <v>-1140</v>
      </c>
      <c r="F8" s="6" t="n">
        <v>-1140</v>
      </c>
    </row>
    <row r="9">
      <c r="A9" s="5" t="inlineStr">
        <is>
          <t>31 December 2015</t>
        </is>
      </c>
      <c r="B9" s="5" t="n">
        <v>7000</v>
      </c>
      <c r="C9" s="5" t="n"/>
      <c r="D9" s="5" t="n">
        <v>1374</v>
      </c>
      <c r="E9" s="5" t="n">
        <v>23780</v>
      </c>
      <c r="F9" s="5" t="n">
        <v>32154</v>
      </c>
    </row>
    <row r="10">
      <c r="A10" s="6" t="inlineStr">
        <is>
          <t>Profit for the year</t>
        </is>
      </c>
      <c r="B10" s="6" t="n"/>
      <c r="C10" s="6" t="n"/>
      <c r="D10" s="6" t="n"/>
      <c r="E10" s="6" t="n">
        <v>5321</v>
      </c>
      <c r="F10" s="6" t="n">
        <v>5321</v>
      </c>
    </row>
    <row r="11">
      <c r="A11" s="6" t="inlineStr">
        <is>
          <t>Revaluation of non-investment property</t>
        </is>
      </c>
      <c r="B11" s="6" t="n"/>
      <c r="C11" s="6" t="n"/>
      <c r="D11" s="6" t="n">
        <v>58</v>
      </c>
      <c r="E11" s="6" t="n"/>
      <c r="F11" s="6" t="n">
        <v>58</v>
      </c>
    </row>
    <row r="12">
      <c r="A12" s="5" t="inlineStr">
        <is>
          <t>Total comprehensive income for the year</t>
        </is>
      </c>
      <c r="B12" s="5" t="n"/>
      <c r="C12" s="5" t="n"/>
      <c r="D12" s="5" t="n">
        <v>58</v>
      </c>
      <c r="E12" s="5" t="n">
        <v>5321</v>
      </c>
      <c r="F12" s="5" t="n">
        <v>5379</v>
      </c>
    </row>
    <row r="13">
      <c r="A13" s="6" t="inlineStr">
        <is>
          <t>Dividends</t>
        </is>
      </c>
      <c r="B13" s="6" t="n"/>
      <c r="C13" s="6" t="n"/>
      <c r="D13" s="6" t="n"/>
      <c r="E13" s="6" t="n">
        <v>-1520</v>
      </c>
      <c r="F13" s="6" t="n">
        <v>-1520</v>
      </c>
    </row>
    <row r="14">
      <c r="A14" s="5" t="inlineStr">
        <is>
          <t>31 December 2016</t>
        </is>
      </c>
      <c r="B14" s="5" t="n">
        <v>7000</v>
      </c>
      <c r="C14" s="5" t="n"/>
      <c r="D14" s="5" t="n">
        <v>1432</v>
      </c>
      <c r="E14" s="5" t="n">
        <v>27581</v>
      </c>
      <c r="F14" s="5" t="n">
        <v>36012</v>
      </c>
    </row>
    <row r="15">
      <c r="A15" s="6" t="inlineStr">
        <is>
          <t>Profit for the year</t>
        </is>
      </c>
      <c r="B15" s="6" t="n"/>
      <c r="C15" s="6" t="n"/>
      <c r="D15" s="6" t="n"/>
      <c r="E15" s="6" t="n">
        <v>4428</v>
      </c>
      <c r="F15" s="6" t="n">
        <v>4428</v>
      </c>
    </row>
    <row r="16">
      <c r="A16" s="6" t="inlineStr">
        <is>
          <t>Revaluation of tangible fixed assets</t>
        </is>
      </c>
      <c r="B16" s="6" t="n"/>
      <c r="C16" s="6" t="n"/>
      <c r="D16" s="6" t="n">
        <v>11</v>
      </c>
      <c r="E16" s="6" t="n"/>
      <c r="F16" s="6" t="n">
        <v>11</v>
      </c>
    </row>
    <row r="17">
      <c r="A17" s="5" t="inlineStr">
        <is>
          <t>Total comprehensive income for the year</t>
        </is>
      </c>
      <c r="B17" s="5" t="n"/>
      <c r="C17" s="5" t="n"/>
      <c r="D17" s="5" t="n">
        <v>11</v>
      </c>
      <c r="E17" s="5" t="n">
        <v>4428</v>
      </c>
      <c r="F17" s="5" t="n">
        <v>4439</v>
      </c>
    </row>
    <row r="18">
      <c r="A18" s="6" t="inlineStr">
        <is>
          <t>Dividends</t>
        </is>
      </c>
      <c r="B18" s="6" t="n"/>
      <c r="C18" s="6" t="n"/>
      <c r="D18" s="6" t="n"/>
      <c r="E18" s="6" t="n">
        <v>-1250</v>
      </c>
      <c r="F18" s="6" t="n">
        <v>-1250</v>
      </c>
    </row>
    <row r="19">
      <c r="A19" s="5" t="inlineStr">
        <is>
          <t>31 December 2017</t>
        </is>
      </c>
      <c r="B19" s="5" t="n">
        <v>7000</v>
      </c>
      <c r="C19" s="5" t="n"/>
      <c r="D19" s="5" t="n">
        <v>1443</v>
      </c>
      <c r="E19" s="5" t="n">
        <v>30758</v>
      </c>
      <c r="F19" s="5" t="n">
        <v>39201</v>
      </c>
    </row>
    <row r="20">
      <c r="A20" s="6" t="inlineStr">
        <is>
          <t>Profit for the year</t>
        </is>
      </c>
      <c r="B20" s="6" t="n"/>
      <c r="C20" s="6" t="n"/>
      <c r="D20" s="6" t="n"/>
      <c r="E20" s="6" t="n">
        <v>6084</v>
      </c>
      <c r="F20" s="6" t="n">
        <v>6084</v>
      </c>
    </row>
    <row r="21">
      <c r="A21" s="6" t="inlineStr">
        <is>
          <t>Revaluation of tangible fixed assets</t>
        </is>
      </c>
      <c r="B21" s="6" t="n"/>
      <c r="C21" s="6" t="n"/>
      <c r="D21" s="6" t="n">
        <v>27</v>
      </c>
      <c r="E21" s="6" t="n"/>
      <c r="F21" s="6" t="n">
        <v>27</v>
      </c>
    </row>
    <row r="22">
      <c r="A22" s="5" t="inlineStr">
        <is>
          <t>Total comprehensive income for the year</t>
        </is>
      </c>
      <c r="B22" s="5" t="n"/>
      <c r="C22" s="5" t="n"/>
      <c r="D22" s="5" t="n">
        <v>27</v>
      </c>
      <c r="E22" s="5" t="n">
        <v>6084</v>
      </c>
      <c r="F22" s="5" t="n">
        <v>6111</v>
      </c>
    </row>
    <row r="23">
      <c r="A23" s="6" t="inlineStr">
        <is>
          <t>Dividends</t>
        </is>
      </c>
      <c r="B23" s="6" t="n"/>
      <c r="C23" s="6" t="n"/>
      <c r="D23" s="6" t="n"/>
      <c r="E23" s="6" t="n">
        <v>-1750</v>
      </c>
      <c r="F23" s="6" t="n">
        <v>-1750</v>
      </c>
    </row>
    <row r="24">
      <c r="A24" s="5" t="inlineStr">
        <is>
          <t>31 December 2018</t>
        </is>
      </c>
      <c r="B24" s="5" t="n">
        <v>7000</v>
      </c>
      <c r="C24" s="5" t="n"/>
      <c r="D24" s="5" t="n">
        <v>1470</v>
      </c>
      <c r="E24" s="5" t="n">
        <v>35092</v>
      </c>
      <c r="F24" s="5" t="n">
        <v>43562</v>
      </c>
    </row>
    <row r="25">
      <c r="A25" s="6" t="inlineStr">
        <is>
          <t>Profit for the year</t>
        </is>
      </c>
      <c r="B25" s="6" t="n"/>
      <c r="C25" s="6" t="n"/>
      <c r="D25" s="6" t="n"/>
      <c r="E25" s="6" t="n">
        <v>6146</v>
      </c>
      <c r="F25" s="6" t="n">
        <v>6146</v>
      </c>
    </row>
    <row r="26">
      <c r="A26" s="6" t="inlineStr">
        <is>
          <t>Revaluation of tangible fixed assets</t>
        </is>
      </c>
      <c r="B26" s="6" t="n"/>
      <c r="C26" s="6" t="n"/>
      <c r="D26" s="6" t="n">
        <v>-336</v>
      </c>
      <c r="E26" s="6" t="n"/>
      <c r="F26" s="6" t="n">
        <v>-336</v>
      </c>
    </row>
    <row r="27">
      <c r="A27" s="5" t="inlineStr">
        <is>
          <t>Total comprehensive income for the year</t>
        </is>
      </c>
      <c r="B27" s="5" t="n"/>
      <c r="C27" s="5" t="n"/>
      <c r="D27" s="5" t="n">
        <v>-336</v>
      </c>
      <c r="E27" s="5" t="n">
        <v>6146</v>
      </c>
      <c r="F27" s="5" t="n">
        <v>5810</v>
      </c>
    </row>
    <row r="28">
      <c r="A28" s="6" t="inlineStr">
        <is>
          <t>Dividends</t>
        </is>
      </c>
      <c r="B28" s="6" t="n"/>
      <c r="C28" s="6" t="n"/>
      <c r="D28" s="6" t="n"/>
      <c r="E28" s="6" t="n">
        <v>-2050</v>
      </c>
      <c r="F28" s="6" t="n">
        <v>-2050</v>
      </c>
    </row>
    <row r="29">
      <c r="A29" s="5" t="inlineStr">
        <is>
          <t>31 December 2019</t>
        </is>
      </c>
      <c r="B29" s="5" t="n">
        <v>7000</v>
      </c>
      <c r="C29" s="5" t="n"/>
      <c r="D29" s="5" t="n">
        <v>1133</v>
      </c>
      <c r="E29" s="5" t="n">
        <v>39188</v>
      </c>
      <c r="F29" s="5" t="n">
        <v>47322</v>
      </c>
    </row>
    <row r="30">
      <c r="A30" s="6" t="inlineStr">
        <is>
          <t>Profit for the year</t>
        </is>
      </c>
      <c r="B30" s="6" t="n"/>
      <c r="C30" s="6" t="n"/>
      <c r="D30" s="6" t="n"/>
      <c r="E30" s="6" t="n">
        <v>1931</v>
      </c>
      <c r="F30" s="6" t="n">
        <v>1931</v>
      </c>
    </row>
    <row r="31">
      <c r="A31" s="6" t="inlineStr">
        <is>
          <t>Revaluation of tangible fixed assets</t>
        </is>
      </c>
      <c r="B31" s="6" t="n"/>
      <c r="C31" s="6" t="n"/>
      <c r="D31" s="6" t="n">
        <v>-617</v>
      </c>
      <c r="E31" s="6" t="n"/>
      <c r="F31" s="6" t="n">
        <v>-617</v>
      </c>
    </row>
    <row r="32">
      <c r="A32" s="5" t="inlineStr">
        <is>
          <t>Total comprehensive income for the year</t>
        </is>
      </c>
      <c r="B32" s="5" t="n"/>
      <c r="C32" s="5" t="n"/>
      <c r="D32" s="5" t="n">
        <v>-617</v>
      </c>
      <c r="E32" s="5" t="n">
        <v>1931</v>
      </c>
      <c r="F32" s="5" t="n">
        <v>1314</v>
      </c>
    </row>
    <row r="33">
      <c r="A33" s="6" t="inlineStr">
        <is>
          <t>Dividends</t>
        </is>
      </c>
      <c r="B33" s="6" t="n"/>
      <c r="C33" s="6" t="n"/>
      <c r="D33" s="6" t="n"/>
      <c r="E33" s="6" t="n">
        <v>-250</v>
      </c>
      <c r="F33" s="6" t="n">
        <v>-250</v>
      </c>
    </row>
    <row r="34">
      <c r="A34" s="5" t="inlineStr">
        <is>
          <t>31 December 2020</t>
        </is>
      </c>
      <c r="B34" s="5" t="n">
        <v>7000</v>
      </c>
      <c r="C34" s="5" t="n"/>
      <c r="D34" s="5" t="n">
        <v>517</v>
      </c>
      <c r="E34" s="5" t="n">
        <v>40869</v>
      </c>
      <c r="F34" s="5" t="n">
        <v>48386</v>
      </c>
    </row>
    <row r="35">
      <c r="A35" s="6" t="inlineStr">
        <is>
          <t>1 January 2021</t>
        </is>
      </c>
      <c r="B35" s="6" t="n">
        <v>7000</v>
      </c>
      <c r="C35" s="6" t="n"/>
      <c r="D35" s="6" t="n">
        <v>517</v>
      </c>
      <c r="E35" s="6" t="n">
        <v>40869</v>
      </c>
      <c r="F35" s="6" t="n">
        <v>48386</v>
      </c>
    </row>
    <row r="36">
      <c r="A36" s="6" t="inlineStr">
        <is>
          <t>Profit for the year</t>
        </is>
      </c>
      <c r="B36" s="6" t="n"/>
      <c r="C36" s="6" t="n"/>
      <c r="D36" s="6" t="n"/>
      <c r="E36" s="6" t="n">
        <v>5206</v>
      </c>
      <c r="F36" s="6" t="n">
        <v>5206</v>
      </c>
    </row>
    <row r="37">
      <c r="A37" s="6" t="inlineStr">
        <is>
          <t>Revaluation of tangible fixed assets</t>
        </is>
      </c>
      <c r="B37" s="6" t="n"/>
      <c r="C37" s="6" t="n"/>
      <c r="D37" s="6" t="n">
        <v>458</v>
      </c>
      <c r="E37" s="6" t="n"/>
      <c r="F37" s="6" t="n">
        <v>458</v>
      </c>
    </row>
    <row r="38">
      <c r="A38" s="5" t="inlineStr">
        <is>
          <t>Total comprehensive income for the year</t>
        </is>
      </c>
      <c r="B38" s="5" t="n"/>
      <c r="C38" s="5" t="n"/>
      <c r="D38" s="5" t="n">
        <v>458</v>
      </c>
      <c r="E38" s="5" t="n">
        <v>5206</v>
      </c>
      <c r="F38" s="5" t="n">
        <v>5664</v>
      </c>
    </row>
    <row r="39">
      <c r="A39" s="6" t="inlineStr">
        <is>
          <t>Dividends</t>
        </is>
      </c>
      <c r="B39" s="6" t="n"/>
      <c r="C39" s="6" t="n"/>
      <c r="D39" s="6" t="n"/>
      <c r="E39" s="6" t="n">
        <v>-1250</v>
      </c>
      <c r="F39" s="6" t="n">
        <v>-1250</v>
      </c>
    </row>
    <row r="40">
      <c r="A40" s="5" t="inlineStr">
        <is>
          <t>31 December 2021</t>
        </is>
      </c>
      <c r="B40" s="5" t="n">
        <v>7000</v>
      </c>
      <c r="C40" s="5" t="n"/>
      <c r="D40" s="5" t="n">
        <v>975</v>
      </c>
      <c r="E40" s="5" t="n">
        <v>44825</v>
      </c>
      <c r="F40" s="5" t="n">
        <v>52800</v>
      </c>
    </row>
    <row r="41">
      <c r="A41" s="6" t="inlineStr">
        <is>
          <t>Profit for the year</t>
        </is>
      </c>
      <c r="B41" s="6" t="n"/>
      <c r="C41" s="6" t="n"/>
      <c r="D41" s="6" t="n"/>
      <c r="E41" s="6" t="n">
        <v>11909</v>
      </c>
      <c r="F41" s="6" t="n">
        <v>11909</v>
      </c>
    </row>
    <row r="42">
      <c r="A42" s="6" t="inlineStr">
        <is>
          <t>Revaluation of tangible fixed assets</t>
        </is>
      </c>
      <c r="B42" s="6" t="n"/>
      <c r="C42" s="6" t="n"/>
      <c r="D42" s="6" t="n">
        <v>-209</v>
      </c>
      <c r="E42" s="6" t="n"/>
      <c r="F42" s="6" t="n">
        <v>-209</v>
      </c>
    </row>
    <row r="43">
      <c r="A43" s="5" t="inlineStr">
        <is>
          <t>Total comprehensive income for the year</t>
        </is>
      </c>
      <c r="B43" s="5" t="n"/>
      <c r="C43" s="5" t="n"/>
      <c r="D43" s="5" t="n">
        <v>-209</v>
      </c>
      <c r="E43" s="5" t="n">
        <v>11909</v>
      </c>
      <c r="F43" s="5" t="n">
        <v>11700</v>
      </c>
    </row>
    <row r="44">
      <c r="A44" s="6" t="inlineStr">
        <is>
          <t>Dividends</t>
        </is>
      </c>
      <c r="B44" s="6" t="n"/>
      <c r="C44" s="6" t="n"/>
      <c r="D44" s="6" t="n"/>
      <c r="E44" s="6" t="n">
        <v>-2000</v>
      </c>
      <c r="F44" s="6" t="n">
        <v>-2000</v>
      </c>
    </row>
    <row r="45">
      <c r="A45" s="5" t="inlineStr">
        <is>
          <t>31 December 2022</t>
        </is>
      </c>
      <c r="B45" s="5" t="n">
        <v>7000</v>
      </c>
      <c r="C45" s="5" t="n"/>
      <c r="D45" s="5" t="n">
        <v>766</v>
      </c>
      <c r="E45" s="5" t="n">
        <v>54734</v>
      </c>
      <c r="F45" s="5" t="n">
        <v>62500</v>
      </c>
    </row>
    <row r="46">
      <c r="A46" s="6" t="inlineStr">
        <is>
          <t>Profit for the year</t>
        </is>
      </c>
      <c r="B46" s="6" t="n"/>
      <c r="C46" s="6" t="n"/>
      <c r="D46" s="6" t="n"/>
      <c r="E46" s="6" t="n">
        <v>24735</v>
      </c>
      <c r="F46" s="6" t="n">
        <v>24735</v>
      </c>
    </row>
    <row r="47">
      <c r="A47" s="6" t="inlineStr">
        <is>
          <t>Revaluation of tangible fixed assets</t>
        </is>
      </c>
      <c r="B47" s="6" t="n"/>
      <c r="C47" s="6" t="n"/>
      <c r="D47" s="6" t="n">
        <v>-244</v>
      </c>
      <c r="E47" s="6" t="n"/>
      <c r="F47" s="6" t="n">
        <v>-244</v>
      </c>
    </row>
    <row r="48">
      <c r="A48" s="5" t="inlineStr">
        <is>
          <t>Total comprehensive income for the year</t>
        </is>
      </c>
      <c r="B48" s="5" t="n"/>
      <c r="C48" s="5" t="n"/>
      <c r="D48" s="5" t="n">
        <v>-244</v>
      </c>
      <c r="E48" s="5" t="n">
        <v>24735</v>
      </c>
      <c r="F48" s="5" t="n">
        <v>24491</v>
      </c>
    </row>
    <row r="49">
      <c r="A49" s="6" t="inlineStr">
        <is>
          <t>Dividends</t>
        </is>
      </c>
      <c r="B49" s="6" t="n"/>
      <c r="C49" s="6" t="n"/>
      <c r="D49" s="6" t="n"/>
      <c r="E49" s="6" t="n">
        <v>-5000</v>
      </c>
      <c r="F49" s="6" t="n">
        <v>-5000</v>
      </c>
    </row>
    <row r="50">
      <c r="A50" s="6" t="inlineStr">
        <is>
          <t>Issue of contingent convertible securities</t>
        </is>
      </c>
      <c r="B50" s="6" t="n"/>
      <c r="C50" s="6" t="n">
        <v>3000</v>
      </c>
      <c r="D50" s="6" t="n"/>
      <c r="E50" s="6" t="n"/>
      <c r="F50" s="6" t="n">
        <v>3000</v>
      </c>
    </row>
    <row r="51">
      <c r="A51" s="5" t="inlineStr">
        <is>
          <t>31 December 2023</t>
        </is>
      </c>
      <c r="B51" s="5" t="n">
        <v>7000</v>
      </c>
      <c r="C51" s="5" t="n">
        <v>3000</v>
      </c>
      <c r="D51" s="5" t="n">
        <v>522</v>
      </c>
      <c r="E51" s="5" t="n">
        <v>74469</v>
      </c>
      <c r="F51" s="5" t="n">
        <v>84991</v>
      </c>
    </row>
    <row r="52">
      <c r="A52" s="6" t="inlineStr">
        <is>
          <t>Profit for the year</t>
        </is>
      </c>
      <c r="B52" s="6" t="n"/>
      <c r="C52" s="6" t="n"/>
      <c r="D52" s="6" t="n"/>
      <c r="E52" s="6" t="n">
        <v>18270</v>
      </c>
      <c r="F52" s="6" t="n">
        <v>18270</v>
      </c>
    </row>
    <row r="53">
      <c r="A53" s="6" t="inlineStr">
        <is>
          <t>Revaluation of tangible fixed assets</t>
        </is>
      </c>
      <c r="B53" s="6" t="n"/>
      <c r="C53" s="6" t="n"/>
      <c r="D53" s="6" t="n">
        <v>-118</v>
      </c>
      <c r="E53" s="6" t="n"/>
      <c r="F53" s="6" t="n">
        <v>-118</v>
      </c>
    </row>
    <row r="54">
      <c r="A54" s="5" t="inlineStr">
        <is>
          <t>Total comprehensive income for the year</t>
        </is>
      </c>
      <c r="B54" s="5" t="n"/>
      <c r="C54" s="5" t="n"/>
      <c r="D54" s="5" t="n">
        <v>-118</v>
      </c>
      <c r="E54" s="5" t="n">
        <v>18270</v>
      </c>
      <c r="F54" s="5" t="n">
        <v>18152</v>
      </c>
    </row>
    <row r="55">
      <c r="A55" s="6" t="inlineStr">
        <is>
          <t>Dividends</t>
        </is>
      </c>
      <c r="B55" s="6" t="n"/>
      <c r="C55" s="6" t="n"/>
      <c r="D55" s="6" t="n"/>
      <c r="E55" s="6" t="n">
        <v>-3100</v>
      </c>
      <c r="F55" s="6" t="n">
        <v>-3100</v>
      </c>
    </row>
    <row r="56">
      <c r="A56" s="5" t="inlineStr">
        <is>
          <t>31 December 2024</t>
        </is>
      </c>
      <c r="B56" s="5" t="n">
        <v>7000</v>
      </c>
      <c r="C56" s="5" t="n">
        <v>3000</v>
      </c>
      <c r="D56" s="5" t="n">
        <v>404</v>
      </c>
      <c r="E56" s="5" t="n">
        <v>89639</v>
      </c>
      <c r="F56" s="5" t="n">
        <v>100043</v>
      </c>
    </row>
    <row r="57">
      <c r="A57" s="6" t="inlineStr">
        <is>
          <t>Profit for the year</t>
        </is>
      </c>
      <c r="B57" s="6" t="n"/>
      <c r="C57" s="6" t="n"/>
      <c r="D57" s="6" t="n"/>
      <c r="E57" s="6" t="n">
        <v>19244</v>
      </c>
      <c r="F57" s="6" t="n">
        <v>19244</v>
      </c>
    </row>
    <row r="58">
      <c r="A58" s="6" t="inlineStr">
        <is>
          <t>Revaluation of tangible fixed assets</t>
        </is>
      </c>
      <c r="B58" s="6" t="n"/>
      <c r="C58" s="6" t="n"/>
      <c r="D58" s="6" t="n">
        <v>-173</v>
      </c>
      <c r="E58" s="6" t="n"/>
      <c r="F58" s="6" t="n">
        <v>-173</v>
      </c>
    </row>
    <row r="59">
      <c r="A59" s="5" t="inlineStr">
        <is>
          <t>Total comprehensive income for the year</t>
        </is>
      </c>
      <c r="B59" s="5" t="n"/>
      <c r="C59" s="5" t="n"/>
      <c r="D59" s="5" t="n">
        <v>-173</v>
      </c>
      <c r="E59" s="5" t="n">
        <v>19244</v>
      </c>
      <c r="F59" s="5" t="n">
        <v>19071</v>
      </c>
    </row>
    <row r="60">
      <c r="A60" s="6" t="inlineStr">
        <is>
          <t>Dividends</t>
        </is>
      </c>
      <c r="B60" s="6" t="n"/>
      <c r="C60" s="6" t="n"/>
      <c r="D60" s="6" t="n"/>
      <c r="E60" s="6" t="n">
        <v>-8000</v>
      </c>
      <c r="F60" s="6" t="n">
        <v>-8000</v>
      </c>
    </row>
    <row r="61">
      <c r="A61" s="5" t="inlineStr">
        <is>
          <t>31 December 2025</t>
        </is>
      </c>
      <c r="B61" s="5" t="n">
        <v>7000</v>
      </c>
      <c r="C61" s="5" t="n">
        <v>3000</v>
      </c>
      <c r="D61" s="5" t="n">
        <v>231</v>
      </c>
      <c r="E61" s="5" t="n">
        <v>100883</v>
      </c>
      <c r="F61" s="5" t="n">
        <v>111114</v>
      </c>
    </row>
    <row r="63" ht="180" customHeight="1">
      <c r="A63" s="8" t="inlineStr">
        <is>
          <t>Sources - Weatherbys Banking Group consolidated statement of changes in equity, GBP'000: AR2025, p.62 - https://www.weatherbys.bank/weatherbys-banking-group-annual-report-2025/; AR2024, p.43 - https://www.weatherbys.bank/app/uploads/2025/04/Weatherbys-Banking-Group-Annual-Report-2024.pdf; AR2023, p.48 - https://www.weatherbys.bank/app/uploads/2024/05/Weatherbys-Banking-Group-Annual-Report-2023.pdf; AR2022, p.44 - https://www.weatherbys.bank/app/uploads/2023/05/Weatherbys-Banking-Group-Annual_Report-2022.pdf; FY2020/FY2019: Group accounts made up to 31 Dec 2020, pp.29-30 - https://find-and-update.company-information.service.gov.uk/company/02943300/filing-history/MzMxMjkxNjk5MmFkaXF6a2N4/document?format=pdf&amp;download=0; FY2018/FY2017: Group accounts made up to 31 Dec 2018, pp.22-23 - https://find-and-update.company-information.service.gov.uk/company/02943300/filing-history/MzIzODIyOTM2NWFkaXF6a2N4/document?format=pdf&amp;download=0; FY2016/FY2015: Group accounts made up to 31 Dec 2016, pp.12-13 -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Every year's closing balance ties exactly to the next year's opening balance and to that year's own Balance Sheet Total equity - zero undocumented plug rows, all the way back to 1 January 2015 (which itself ties to FY2014's own closing balance, one year beyond this workbook's floor, per the FY2015 Group accounts' own comparative column). Contingent Convertible Securities first appear in FY2023 (a £3,000k issuance).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t>
        </is>
      </c>
    </row>
  </sheetData>
  <mergeCells count="1">
    <mergeCell ref="A63:F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Cash Flow Statement</t>
        </is>
      </c>
    </row>
    <row r="2">
      <c r="A2" s="2" t="inlineStr">
        <is>
          <t>Weatherbys Banking Group consolidated basis,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Operating activities</t>
        </is>
      </c>
      <c r="B4" s="6" t="n"/>
      <c r="C4" s="6" t="n"/>
      <c r="D4" s="6" t="n"/>
      <c r="E4" s="6" t="n"/>
      <c r="F4" s="6" t="n"/>
      <c r="G4" s="6" t="n"/>
      <c r="H4" s="6" t="n"/>
      <c r="I4" s="6" t="n"/>
      <c r="J4" s="6" t="n"/>
      <c r="K4" s="6" t="n"/>
      <c r="L4" s="6" t="n"/>
    </row>
    <row r="5">
      <c r="A5" s="6" t="inlineStr">
        <is>
          <t>Profit for the financial year before exceptional items</t>
        </is>
      </c>
      <c r="B5" s="6" t="n">
        <v>19244</v>
      </c>
      <c r="C5" s="6" t="n">
        <v>18270</v>
      </c>
      <c r="D5" s="6" t="n">
        <v>24735</v>
      </c>
      <c r="E5" s="6" t="n">
        <v>11909</v>
      </c>
      <c r="F5" s="6" t="n">
        <v>5206</v>
      </c>
      <c r="G5" s="6" t="n">
        <v>1931</v>
      </c>
      <c r="H5" s="6" t="n">
        <v>6146</v>
      </c>
      <c r="I5" s="6" t="n">
        <v>6084</v>
      </c>
      <c r="J5" s="6" t="n">
        <v>4428</v>
      </c>
      <c r="K5" s="6" t="n">
        <v>4242</v>
      </c>
      <c r="L5" s="6" t="n">
        <v>5942</v>
      </c>
    </row>
    <row r="6">
      <c r="A6" s="6" t="inlineStr">
        <is>
          <t>Exceptional items</t>
        </is>
      </c>
      <c r="B6" s="6" t="n"/>
      <c r="C6" s="6" t="n"/>
      <c r="D6" s="6" t="n"/>
      <c r="E6" s="6" t="n"/>
      <c r="F6" s="6" t="n"/>
      <c r="G6" s="6" t="n"/>
      <c r="H6" s="6" t="n"/>
      <c r="I6" s="6" t="n"/>
      <c r="J6" s="6" t="n"/>
      <c r="K6" s="6" t="n">
        <v>1079</v>
      </c>
      <c r="L6" s="6" t="n"/>
    </row>
    <row r="7">
      <c r="A7" s="6" t="inlineStr">
        <is>
          <t>Depreciation, impairment and amortisation of fixed assets</t>
        </is>
      </c>
      <c r="B7" s="6" t="n">
        <v>7065</v>
      </c>
      <c r="C7" s="6" t="n">
        <v>4506</v>
      </c>
      <c r="D7" s="6" t="n">
        <v>2758</v>
      </c>
      <c r="E7" s="6" t="n">
        <v>2786</v>
      </c>
      <c r="F7" s="6" t="n">
        <v>2402</v>
      </c>
      <c r="G7" s="6" t="n">
        <v>1794</v>
      </c>
      <c r="H7" s="6" t="n">
        <v>1204</v>
      </c>
      <c r="I7" s="6" t="n">
        <v>1060</v>
      </c>
      <c r="J7" s="6" t="n">
        <v>805</v>
      </c>
      <c r="K7" s="6" t="n">
        <v>434</v>
      </c>
      <c r="L7" s="6" t="n">
        <v>259</v>
      </c>
    </row>
    <row r="8">
      <c r="A8" s="6" t="inlineStr">
        <is>
          <t>Amortisation of debt securities</t>
        </is>
      </c>
      <c r="B8" s="6" t="n">
        <v>-1870</v>
      </c>
      <c r="C8" s="6" t="n">
        <v>-1138</v>
      </c>
      <c r="D8" s="6" t="n">
        <v>413</v>
      </c>
      <c r="E8" s="6" t="n">
        <v>443</v>
      </c>
      <c r="F8" s="6" t="n">
        <v>133</v>
      </c>
      <c r="G8" s="6" t="n">
        <v>63</v>
      </c>
      <c r="H8" s="6" t="n">
        <v>21</v>
      </c>
      <c r="I8" s="6" t="n">
        <v>51</v>
      </c>
      <c r="J8" s="6" t="n">
        <v>328</v>
      </c>
      <c r="K8" s="6" t="n">
        <v>379</v>
      </c>
      <c r="L8" s="6" t="n"/>
    </row>
    <row r="9">
      <c r="A9" s="6" t="inlineStr">
        <is>
          <t>Taxation expense</t>
        </is>
      </c>
      <c r="B9" s="6" t="n">
        <v>3830</v>
      </c>
      <c r="C9" s="6" t="n">
        <v>6306</v>
      </c>
      <c r="D9" s="6" t="n">
        <v>8348</v>
      </c>
      <c r="E9" s="6" t="n">
        <v>3504</v>
      </c>
      <c r="F9" s="6" t="n">
        <v>1596</v>
      </c>
      <c r="G9" s="6" t="n">
        <v>642</v>
      </c>
      <c r="H9" s="6" t="n">
        <v>1855</v>
      </c>
      <c r="I9" s="6" t="n">
        <v>1550</v>
      </c>
      <c r="J9" s="6" t="n">
        <v>1313</v>
      </c>
      <c r="K9" s="6" t="n">
        <v>1463</v>
      </c>
      <c r="L9" s="6" t="n">
        <v>1587</v>
      </c>
    </row>
    <row r="10">
      <c r="A10" s="6" t="inlineStr">
        <is>
          <t>Increase in prepayments and accrued income</t>
        </is>
      </c>
      <c r="B10" s="6" t="n">
        <v>-1508</v>
      </c>
      <c r="C10" s="6" t="n">
        <v>-4032</v>
      </c>
      <c r="D10" s="6" t="n">
        <v>-4930</v>
      </c>
      <c r="E10" s="6" t="n">
        <v>-6282</v>
      </c>
      <c r="F10" s="6" t="n">
        <v>-1055</v>
      </c>
      <c r="G10" s="6" t="n">
        <v>-2</v>
      </c>
      <c r="H10" s="6" t="n">
        <v>-450</v>
      </c>
      <c r="I10" s="6" t="n">
        <v>-381</v>
      </c>
      <c r="J10" s="6" t="n">
        <v>-900</v>
      </c>
      <c r="K10" s="6" t="n">
        <v>748</v>
      </c>
      <c r="L10" s="6" t="n">
        <v>-157</v>
      </c>
    </row>
    <row r="11">
      <c r="A11" s="6" t="inlineStr">
        <is>
          <t>Decrease/(increase) in trade and other debtors</t>
        </is>
      </c>
      <c r="B11" s="6" t="n">
        <v>-678</v>
      </c>
      <c r="C11" s="6" t="n">
        <v>38</v>
      </c>
      <c r="D11" s="6" t="n">
        <v>-201</v>
      </c>
      <c r="E11" s="6" t="n">
        <v>-364</v>
      </c>
      <c r="F11" s="6" t="n">
        <v>20</v>
      </c>
      <c r="G11" s="6" t="n">
        <v>-161</v>
      </c>
      <c r="H11" s="6" t="n">
        <v>39</v>
      </c>
      <c r="I11" s="6" t="n">
        <v>3283</v>
      </c>
      <c r="J11" s="6" t="n">
        <v>-1142</v>
      </c>
      <c r="K11" s="6" t="n">
        <v>-424</v>
      </c>
      <c r="L11" s="6" t="n">
        <v>-39</v>
      </c>
    </row>
    <row r="12">
      <c r="A12" s="6" t="inlineStr">
        <is>
          <t>Change in fair value of financial instruments</t>
        </is>
      </c>
      <c r="B12" s="6" t="n">
        <v>6430</v>
      </c>
      <c r="C12" s="6" t="n">
        <v>-1624</v>
      </c>
      <c r="D12" s="6" t="n">
        <v>7216</v>
      </c>
      <c r="E12" s="6" t="n">
        <v>-8619</v>
      </c>
      <c r="F12" s="6" t="n">
        <v>-3069</v>
      </c>
      <c r="G12" s="6" t="n">
        <v>1355</v>
      </c>
      <c r="H12" s="6" t="n">
        <v>822</v>
      </c>
      <c r="I12" s="6" t="n">
        <v>-136</v>
      </c>
      <c r="J12" s="6" t="n">
        <v>-150</v>
      </c>
      <c r="K12" s="6" t="n">
        <v>252</v>
      </c>
      <c r="L12" s="6" t="n">
        <v>-29</v>
      </c>
    </row>
    <row r="13">
      <c r="A13" s="6" t="inlineStr">
        <is>
          <t>Movement in margin call</t>
        </is>
      </c>
      <c r="B13" s="6" t="n">
        <v>-6550</v>
      </c>
      <c r="C13" s="6" t="n"/>
      <c r="D13" s="6" t="n"/>
      <c r="E13" s="6" t="n"/>
      <c r="F13" s="6" t="n"/>
      <c r="G13" s="6" t="n"/>
      <c r="H13" s="6" t="n"/>
      <c r="I13" s="6" t="n"/>
      <c r="J13" s="6" t="n"/>
      <c r="K13" s="6" t="n"/>
      <c r="L13" s="6" t="n"/>
    </row>
    <row r="14">
      <c r="A14" s="6" t="inlineStr">
        <is>
          <t>Loss/(gain) on investments</t>
        </is>
      </c>
      <c r="B14" s="6" t="n">
        <v>20</v>
      </c>
      <c r="C14" s="6" t="n">
        <v>71</v>
      </c>
      <c r="D14" s="6" t="n">
        <v>-17</v>
      </c>
      <c r="E14" s="6" t="n">
        <v>104</v>
      </c>
      <c r="F14" s="6" t="n">
        <v>3</v>
      </c>
      <c r="G14" s="6" t="n">
        <v>171</v>
      </c>
      <c r="H14" s="6" t="n">
        <v>-386</v>
      </c>
      <c r="I14" s="6" t="n"/>
      <c r="J14" s="6" t="n"/>
      <c r="K14" s="6" t="n"/>
      <c r="L14" s="6" t="n"/>
    </row>
    <row r="15">
      <c r="A15" s="6" t="inlineStr">
        <is>
          <t>Gain on Visa convertible preferred stock</t>
        </is>
      </c>
      <c r="B15" s="6" t="n"/>
      <c r="C15" s="6" t="n"/>
      <c r="D15" s="6" t="n"/>
      <c r="E15" s="6" t="n"/>
      <c r="F15" s="6" t="n"/>
      <c r="G15" s="6" t="n"/>
      <c r="H15" s="6" t="n"/>
      <c r="I15" s="6" t="n">
        <v>-51</v>
      </c>
      <c r="J15" s="6" t="n">
        <v>-45</v>
      </c>
      <c r="K15" s="6" t="n">
        <v>-185</v>
      </c>
      <c r="L15" s="6" t="n"/>
    </row>
    <row r="16">
      <c r="A16" s="6" t="inlineStr">
        <is>
          <t>Loss/(gain) on disposal of subsidiary/tangible fixed assets</t>
        </is>
      </c>
      <c r="B16" s="6" t="n">
        <v>-10235</v>
      </c>
      <c r="C16" s="6" t="n"/>
      <c r="D16" s="6" t="n"/>
      <c r="E16" s="6" t="n"/>
      <c r="F16" s="6" t="n"/>
      <c r="G16" s="6" t="n"/>
      <c r="H16" s="6" t="n"/>
      <c r="I16" s="6" t="n"/>
      <c r="J16" s="6" t="n"/>
      <c r="K16" s="6" t="n"/>
      <c r="L16" s="6" t="n"/>
    </row>
    <row r="17">
      <c r="A17" s="6" t="inlineStr">
        <is>
          <t>Change in trade and other creditors</t>
        </is>
      </c>
      <c r="B17" s="6" t="n">
        <v>2299</v>
      </c>
      <c r="C17" s="6" t="n">
        <v>-2982</v>
      </c>
      <c r="D17" s="6" t="n">
        <v>11753</v>
      </c>
      <c r="E17" s="6" t="n">
        <v>2607</v>
      </c>
      <c r="F17" s="6" t="n">
        <v>-496</v>
      </c>
      <c r="G17" s="6" t="n">
        <v>-753</v>
      </c>
      <c r="H17" s="6" t="n">
        <v>428</v>
      </c>
      <c r="I17" s="6" t="n">
        <v>-3665</v>
      </c>
      <c r="J17" s="6" t="n">
        <v>-715</v>
      </c>
      <c r="K17" s="6" t="n">
        <v>367</v>
      </c>
      <c r="L17" s="6" t="n">
        <v>1166</v>
      </c>
    </row>
    <row r="18">
      <c r="A18" s="6" t="inlineStr">
        <is>
          <t>Net decrease/(increase) in provisions</t>
        </is>
      </c>
      <c r="B18" s="6" t="n">
        <v>-64</v>
      </c>
      <c r="C18" s="6" t="n">
        <v>-1366</v>
      </c>
      <c r="D18" s="6" t="n">
        <v>5968</v>
      </c>
      <c r="E18" s="6" t="n">
        <v>2623</v>
      </c>
      <c r="F18" s="6" t="n">
        <v>1123</v>
      </c>
      <c r="G18" s="6" t="n">
        <v>-766</v>
      </c>
      <c r="H18" s="6" t="n">
        <v>623</v>
      </c>
      <c r="I18" s="6" t="n">
        <v>613</v>
      </c>
      <c r="J18" s="6" t="n">
        <v>337</v>
      </c>
      <c r="K18" s="6" t="n">
        <v>-241</v>
      </c>
      <c r="L18" s="6" t="n">
        <v>907</v>
      </c>
    </row>
    <row r="19">
      <c r="A19" s="6" t="inlineStr">
        <is>
          <t>Increase/(decrease) in provision for bad and doubtful debts</t>
        </is>
      </c>
      <c r="B19" s="6" t="n">
        <v>1074</v>
      </c>
      <c r="C19" s="6" t="n">
        <v>46</v>
      </c>
      <c r="D19" s="6" t="n">
        <v>184</v>
      </c>
      <c r="E19" s="6" t="n">
        <v>-25</v>
      </c>
      <c r="F19" s="6" t="n">
        <v>-518</v>
      </c>
      <c r="G19" s="6" t="n">
        <v>2202</v>
      </c>
      <c r="H19" s="6" t="n">
        <v>-80</v>
      </c>
      <c r="I19" s="6" t="n">
        <v>154</v>
      </c>
      <c r="J19" s="6" t="n">
        <v>539</v>
      </c>
      <c r="K19" s="6" t="n">
        <v>105</v>
      </c>
      <c r="L19" s="6" t="n">
        <v>-27</v>
      </c>
    </row>
    <row r="20">
      <c r="A20" s="6" t="inlineStr">
        <is>
          <t>Loss on sale of assets</t>
        </is>
      </c>
      <c r="B20" s="6" t="n"/>
      <c r="C20" s="6" t="n"/>
      <c r="D20" s="6" t="n"/>
      <c r="E20" s="6" t="n"/>
      <c r="F20" s="6" t="n"/>
      <c r="G20" s="6" t="n"/>
      <c r="H20" s="6" t="n"/>
      <c r="I20" s="6" t="n"/>
      <c r="J20" s="6" t="n"/>
      <c r="K20" s="6" t="n">
        <v>1</v>
      </c>
      <c r="L20" s="6" t="n"/>
    </row>
    <row r="21">
      <c r="A21" s="6" t="inlineStr">
        <is>
          <t>(Loss)/gain on investment property</t>
        </is>
      </c>
      <c r="B21" s="6" t="n"/>
      <c r="C21" s="6" t="n"/>
      <c r="D21" s="6" t="n"/>
      <c r="E21" s="6" t="n"/>
      <c r="F21" s="6" t="n"/>
      <c r="G21" s="6" t="n"/>
      <c r="H21" s="6" t="n"/>
      <c r="I21" s="6" t="n"/>
      <c r="J21" s="6" t="n"/>
      <c r="K21" s="6" t="n">
        <v>149</v>
      </c>
      <c r="L21" s="6" t="n">
        <v>-1055</v>
      </c>
    </row>
    <row r="22">
      <c r="A22" s="6" t="inlineStr">
        <is>
          <t>Net increase/(decrease) in deposits from customers</t>
        </is>
      </c>
      <c r="B22" s="6" t="n">
        <v>193121</v>
      </c>
      <c r="C22" s="6" t="n">
        <v>203231</v>
      </c>
      <c r="D22" s="6" t="n">
        <v>-16626</v>
      </c>
      <c r="E22" s="6" t="n">
        <v>116590</v>
      </c>
      <c r="F22" s="6" t="n">
        <v>315834</v>
      </c>
      <c r="G22" s="6" t="n">
        <v>189410</v>
      </c>
      <c r="H22" s="6" t="n">
        <v>82977</v>
      </c>
      <c r="I22" s="6" t="n">
        <v>107417</v>
      </c>
      <c r="J22" s="6" t="n">
        <v>121483</v>
      </c>
      <c r="K22" s="6" t="n">
        <v>103297</v>
      </c>
      <c r="L22" s="6" t="n">
        <v>27022</v>
      </c>
    </row>
    <row r="23">
      <c r="A23" s="6" t="inlineStr">
        <is>
          <t>Net increase in loans and advances to customers</t>
        </is>
      </c>
      <c r="B23" s="6" t="n">
        <v>-138623</v>
      </c>
      <c r="C23" s="6" t="n">
        <v>-38018</v>
      </c>
      <c r="D23" s="6" t="n">
        <v>-46309</v>
      </c>
      <c r="E23" s="6" t="n">
        <v>-30957</v>
      </c>
      <c r="F23" s="6" t="n">
        <v>-65508</v>
      </c>
      <c r="G23" s="6" t="n">
        <v>-91843</v>
      </c>
      <c r="H23" s="6" t="n">
        <v>-114115</v>
      </c>
      <c r="I23" s="6" t="n">
        <v>-87378</v>
      </c>
      <c r="J23" s="6" t="n">
        <v>-60659</v>
      </c>
      <c r="K23" s="6" t="n">
        <v>-50867</v>
      </c>
      <c r="L23" s="6" t="n">
        <v>-43264</v>
      </c>
    </row>
    <row r="24">
      <c r="A24" s="5" t="inlineStr">
        <is>
          <t>Cash from operations</t>
        </is>
      </c>
      <c r="B24" s="5" t="n">
        <v>73555</v>
      </c>
      <c r="C24" s="5" t="n">
        <v>183308</v>
      </c>
      <c r="D24" s="5" t="n">
        <v>-6708</v>
      </c>
      <c r="E24" s="5" t="n">
        <v>94319</v>
      </c>
      <c r="F24" s="5" t="n">
        <v>255671</v>
      </c>
      <c r="G24" s="5" t="n">
        <v>104053</v>
      </c>
      <c r="H24" s="5" t="n">
        <v>-20915</v>
      </c>
      <c r="I24" s="5" t="n">
        <v>28602</v>
      </c>
      <c r="J24" s="5" t="n">
        <v>65620</v>
      </c>
      <c r="K24" s="5" t="n">
        <v>60798</v>
      </c>
      <c r="L24" s="5" t="n">
        <v>-7687</v>
      </c>
    </row>
    <row r="25">
      <c r="A25" s="6" t="inlineStr">
        <is>
          <t>Taxation paid</t>
        </is>
      </c>
      <c r="B25" s="6" t="n">
        <v>-4301</v>
      </c>
      <c r="C25" s="6" t="n">
        <v>-5721</v>
      </c>
      <c r="D25" s="6" t="n">
        <v>-5421</v>
      </c>
      <c r="E25" s="6" t="n">
        <v>-2320</v>
      </c>
      <c r="F25" s="6" t="n">
        <v>-678</v>
      </c>
      <c r="G25" s="6" t="n">
        <v>-1389</v>
      </c>
      <c r="H25" s="6" t="n">
        <v>-1621</v>
      </c>
      <c r="I25" s="6" t="n">
        <v>-906</v>
      </c>
      <c r="J25" s="6" t="n">
        <v>-983</v>
      </c>
      <c r="K25" s="6" t="n">
        <v>-1694</v>
      </c>
      <c r="L25" s="6" t="n">
        <v>-1166</v>
      </c>
    </row>
    <row r="26">
      <c r="A26" s="5" t="inlineStr">
        <is>
          <t>Net cash generated/(used) from operating activities</t>
        </is>
      </c>
      <c r="B26" s="5" t="n">
        <v>69254</v>
      </c>
      <c r="C26" s="5" t="n">
        <v>177587</v>
      </c>
      <c r="D26" s="5" t="n">
        <v>-12129</v>
      </c>
      <c r="E26" s="5" t="n">
        <v>91999</v>
      </c>
      <c r="F26" s="5" t="n">
        <v>254993</v>
      </c>
      <c r="G26" s="5" t="n">
        <v>102664</v>
      </c>
      <c r="H26" s="5" t="n">
        <v>-22536</v>
      </c>
      <c r="I26" s="5" t="n">
        <v>27696</v>
      </c>
      <c r="J26" s="5" t="n">
        <v>64637</v>
      </c>
      <c r="K26" s="5" t="n">
        <v>59103</v>
      </c>
      <c r="L26" s="5" t="n">
        <v>-8852</v>
      </c>
    </row>
    <row r="27">
      <c r="A27" s="5" t="inlineStr">
        <is>
          <t>Investing activities</t>
        </is>
      </c>
      <c r="B27" s="6" t="n"/>
      <c r="C27" s="6" t="n"/>
      <c r="D27" s="6" t="n"/>
      <c r="E27" s="6" t="n"/>
      <c r="F27" s="6" t="n"/>
      <c r="G27" s="6" t="n"/>
      <c r="H27" s="6" t="n"/>
      <c r="I27" s="6" t="n"/>
      <c r="J27" s="6" t="n"/>
      <c r="K27" s="6" t="n"/>
      <c r="L27" s="6" t="n"/>
    </row>
    <row r="28">
      <c r="A28" s="6" t="inlineStr">
        <is>
          <t>Sale of subsidiary undertaking</t>
        </is>
      </c>
      <c r="B28" s="6" t="n">
        <v>10552</v>
      </c>
      <c r="C28" s="6" t="n"/>
      <c r="D28" s="6" t="n"/>
      <c r="E28" s="6" t="n"/>
      <c r="F28" s="6" t="n"/>
      <c r="G28" s="6" t="n"/>
      <c r="H28" s="6" t="n"/>
      <c r="I28" s="6" t="n"/>
      <c r="J28" s="6" t="n"/>
      <c r="K28" s="6" t="n"/>
      <c r="L28" s="6" t="n"/>
    </row>
    <row r="29">
      <c r="A29" s="6" t="inlineStr">
        <is>
          <t>Income from joint venture</t>
        </is>
      </c>
      <c r="B29" s="6" t="n">
        <v>400</v>
      </c>
      <c r="C29" s="6" t="n"/>
      <c r="D29" s="6" t="n"/>
      <c r="E29" s="6" t="n"/>
      <c r="F29" s="6" t="n"/>
      <c r="G29" s="6" t="n"/>
      <c r="H29" s="6" t="n"/>
      <c r="I29" s="6" t="n"/>
      <c r="J29" s="6" t="n"/>
      <c r="K29" s="6" t="n"/>
      <c r="L29" s="6" t="n"/>
    </row>
    <row r="30">
      <c r="A30" s="6" t="inlineStr">
        <is>
          <t>Investment in joint venture</t>
        </is>
      </c>
      <c r="B30" s="6" t="n"/>
      <c r="C30" s="6" t="n"/>
      <c r="D30" s="6" t="n">
        <v>-60</v>
      </c>
      <c r="E30" s="6" t="n">
        <v>-280</v>
      </c>
      <c r="F30" s="6" t="n">
        <v>-12</v>
      </c>
      <c r="G30" s="6" t="n">
        <v>2</v>
      </c>
      <c r="H30" s="6" t="n">
        <v>-30</v>
      </c>
      <c r="I30" s="6" t="n">
        <v>-60</v>
      </c>
      <c r="J30" s="6" t="n">
        <v>10</v>
      </c>
      <c r="K30" s="6" t="n">
        <v>-6</v>
      </c>
      <c r="L30" s="6" t="n">
        <v>-125</v>
      </c>
    </row>
    <row r="31">
      <c r="A31" s="6" t="inlineStr">
        <is>
          <t>Loan repayment from joint venture</t>
        </is>
      </c>
      <c r="B31" s="6" t="n"/>
      <c r="C31" s="6" t="n"/>
      <c r="D31" s="6" t="n"/>
      <c r="E31" s="6" t="n"/>
      <c r="F31" s="6" t="n"/>
      <c r="G31" s="6" t="n"/>
      <c r="H31" s="6" t="n"/>
      <c r="I31" s="6" t="n"/>
      <c r="J31" s="6" t="n">
        <v>50</v>
      </c>
      <c r="K31" s="6" t="n"/>
      <c r="L31" s="6" t="n">
        <v>50</v>
      </c>
    </row>
    <row r="32">
      <c r="A32" s="6" t="inlineStr">
        <is>
          <t>Investment in unlisted equities</t>
        </is>
      </c>
      <c r="B32" s="6" t="n"/>
      <c r="C32" s="6" t="n"/>
      <c r="D32" s="6" t="n"/>
      <c r="E32" s="6" t="n"/>
      <c r="F32" s="6" t="n"/>
      <c r="G32" s="6" t="n"/>
      <c r="H32" s="6" t="n"/>
      <c r="I32" s="6" t="n"/>
      <c r="J32" s="6" t="n"/>
      <c r="K32" s="6" t="n">
        <v>-50</v>
      </c>
      <c r="L32" s="6" t="n"/>
    </row>
    <row r="33">
      <c r="A33" s="6" t="inlineStr">
        <is>
          <t>Purchase of investment securities</t>
        </is>
      </c>
      <c r="B33" s="6" t="n">
        <v>-361092</v>
      </c>
      <c r="C33" s="6" t="n">
        <v>-173844</v>
      </c>
      <c r="D33" s="6" t="n">
        <v>-66857</v>
      </c>
      <c r="E33" s="6" t="n">
        <v>-136837</v>
      </c>
      <c r="F33" s="6" t="n">
        <v>-22148</v>
      </c>
      <c r="G33" s="6" t="n">
        <v>-46838</v>
      </c>
      <c r="H33" s="6" t="n">
        <v>-54873</v>
      </c>
      <c r="I33" s="6" t="n">
        <v>-36761</v>
      </c>
      <c r="J33" s="6" t="n">
        <v>-49361</v>
      </c>
      <c r="K33" s="6" t="n">
        <v>-22097</v>
      </c>
      <c r="L33" s="6" t="n">
        <v>-45893</v>
      </c>
    </row>
    <row r="34">
      <c r="A34" s="6" t="inlineStr">
        <is>
          <t>Sale and maturities of investment securities</t>
        </is>
      </c>
      <c r="B34" s="6" t="n">
        <v>190722</v>
      </c>
      <c r="C34" s="6" t="n">
        <v>72330</v>
      </c>
      <c r="D34" s="6" t="n">
        <v>127951</v>
      </c>
      <c r="E34" s="6" t="n">
        <v>46415</v>
      </c>
      <c r="F34" s="6" t="n">
        <v>38649</v>
      </c>
      <c r="G34" s="6" t="n">
        <v>10610</v>
      </c>
      <c r="H34" s="6" t="n">
        <v>46304</v>
      </c>
      <c r="I34" s="6" t="n">
        <v>28430</v>
      </c>
      <c r="J34" s="6" t="n">
        <v>43790</v>
      </c>
      <c r="K34" s="6" t="n">
        <v>46600</v>
      </c>
      <c r="L34" s="6" t="n">
        <v>38000</v>
      </c>
    </row>
    <row r="35">
      <c r="A35" s="6" t="inlineStr">
        <is>
          <t>Purchase of tangible fixed assets</t>
        </is>
      </c>
      <c r="B35" s="6" t="n">
        <v>-4139</v>
      </c>
      <c r="C35" s="6" t="n">
        <v>-2103</v>
      </c>
      <c r="D35" s="6" t="n"/>
      <c r="E35" s="6" t="n"/>
      <c r="F35" s="6" t="n">
        <v>-3939</v>
      </c>
      <c r="G35" s="6" t="n">
        <v>-1150</v>
      </c>
      <c r="H35" s="6" t="n">
        <v>-3539</v>
      </c>
      <c r="I35" s="6" t="n"/>
      <c r="J35" s="6" t="n"/>
      <c r="K35" s="6" t="n">
        <v>-2186</v>
      </c>
      <c r="L35" s="6" t="n">
        <v>-3189</v>
      </c>
    </row>
    <row r="36">
      <c r="A36" s="6" t="inlineStr">
        <is>
          <t>Purchase of intangible fixed assets</t>
        </is>
      </c>
      <c r="B36" s="6" t="n">
        <v>-13123</v>
      </c>
      <c r="C36" s="6" t="n">
        <v>-6502</v>
      </c>
      <c r="D36" s="6" t="n"/>
      <c r="E36" s="6" t="n"/>
      <c r="F36" s="6" t="n"/>
      <c r="G36" s="6" t="n"/>
      <c r="H36" s="6" t="n"/>
      <c r="I36" s="6" t="n"/>
      <c r="J36" s="6" t="n"/>
      <c r="K36" s="6" t="n"/>
      <c r="L36" s="6" t="n"/>
    </row>
    <row r="37">
      <c r="A37" s="6" t="inlineStr">
        <is>
          <t>Purchase of intangible/tangible fixed assets</t>
        </is>
      </c>
      <c r="B37" s="6" t="n"/>
      <c r="C37" s="6" t="n"/>
      <c r="D37" s="6" t="n">
        <v>-7251</v>
      </c>
      <c r="E37" s="6" t="n">
        <v>-6456</v>
      </c>
      <c r="F37" s="6" t="n"/>
      <c r="G37" s="6" t="n"/>
      <c r="H37" s="6" t="n"/>
      <c r="I37" s="6" t="n">
        <v>-1773</v>
      </c>
      <c r="J37" s="6" t="n">
        <v>-1672</v>
      </c>
      <c r="K37" s="6" t="n"/>
      <c r="L37" s="6" t="n"/>
    </row>
    <row r="38">
      <c r="A38" s="5" t="inlineStr">
        <is>
          <t>Net cash (used)/generated from investing activities</t>
        </is>
      </c>
      <c r="B38" s="5" t="n">
        <v>-176680</v>
      </c>
      <c r="C38" s="5" t="n">
        <v>-110119</v>
      </c>
      <c r="D38" s="5" t="n">
        <v>53783</v>
      </c>
      <c r="E38" s="5" t="n">
        <v>-97158</v>
      </c>
      <c r="F38" s="5" t="n">
        <v>12550</v>
      </c>
      <c r="G38" s="5" t="n">
        <v>-37377</v>
      </c>
      <c r="H38" s="5" t="n">
        <v>-12138</v>
      </c>
      <c r="I38" s="5" t="n">
        <v>-10165</v>
      </c>
      <c r="J38" s="5" t="n">
        <v>-7183</v>
      </c>
      <c r="K38" s="5" t="n">
        <v>22261</v>
      </c>
      <c r="L38" s="5" t="n">
        <v>-11156</v>
      </c>
    </row>
    <row r="39">
      <c r="A39" s="5" t="inlineStr">
        <is>
          <t>Financing activities</t>
        </is>
      </c>
      <c r="B39" s="6" t="n"/>
      <c r="C39" s="6" t="n"/>
      <c r="D39" s="6" t="n"/>
      <c r="E39" s="6" t="n"/>
      <c r="F39" s="6" t="n"/>
      <c r="G39" s="6" t="n"/>
      <c r="H39" s="6" t="n"/>
      <c r="I39" s="6" t="n"/>
      <c r="J39" s="6" t="n"/>
      <c r="K39" s="6" t="n"/>
      <c r="L39" s="6" t="n"/>
    </row>
    <row r="40">
      <c r="A40" s="6" t="inlineStr">
        <is>
          <t>Issue of contingent convertible securities</t>
        </is>
      </c>
      <c r="B40" s="6" t="n"/>
      <c r="C40" s="6" t="n"/>
      <c r="D40" s="6" t="n">
        <v>3000</v>
      </c>
      <c r="E40" s="6" t="n"/>
      <c r="F40" s="6" t="n"/>
      <c r="G40" s="6" t="n"/>
      <c r="H40" s="6" t="n"/>
      <c r="I40" s="6" t="n"/>
      <c r="J40" s="6" t="n"/>
      <c r="K40" s="6" t="n"/>
      <c r="L40" s="6" t="n"/>
    </row>
    <row r="41">
      <c r="A41" s="6" t="inlineStr">
        <is>
          <t>Subordinated loan</t>
        </is>
      </c>
      <c r="B41" s="6" t="n"/>
      <c r="C41" s="6" t="n"/>
      <c r="D41" s="6" t="n"/>
      <c r="E41" s="6" t="n"/>
      <c r="F41" s="6" t="n"/>
      <c r="G41" s="6" t="n"/>
      <c r="H41" s="6" t="n"/>
      <c r="I41" s="6" t="n">
        <v>10000</v>
      </c>
      <c r="J41" s="6" t="n"/>
      <c r="K41" s="6" t="n"/>
      <c r="L41" s="6" t="n"/>
    </row>
    <row r="42">
      <c r="A42" s="6" t="inlineStr">
        <is>
          <t>Equity dividends paid</t>
        </is>
      </c>
      <c r="B42" s="6" t="n">
        <v>-11100</v>
      </c>
      <c r="C42" s="6" t="n">
        <v>-5000</v>
      </c>
      <c r="D42" s="6" t="n">
        <v>-5000</v>
      </c>
      <c r="E42" s="6" t="n">
        <v>-2000</v>
      </c>
      <c r="F42" s="6" t="n">
        <v>-1250</v>
      </c>
      <c r="G42" s="6" t="n">
        <v>-250</v>
      </c>
      <c r="H42" s="6" t="n">
        <v>-2050</v>
      </c>
      <c r="I42" s="6" t="n">
        <v>-1750</v>
      </c>
      <c r="J42" s="6" t="n">
        <v>-1250</v>
      </c>
      <c r="K42" s="6" t="n">
        <v>-1520</v>
      </c>
      <c r="L42" s="6" t="n">
        <v>-1140</v>
      </c>
    </row>
    <row r="43">
      <c r="A43" s="5" t="inlineStr">
        <is>
          <t>Net cash (used)/generated from financing activities</t>
        </is>
      </c>
      <c r="B43" s="5" t="n">
        <v>-11100</v>
      </c>
      <c r="C43" s="5" t="n">
        <v>-5000</v>
      </c>
      <c r="D43" s="5" t="n">
        <v>-2000</v>
      </c>
      <c r="E43" s="5" t="n">
        <v>-2000</v>
      </c>
      <c r="F43" s="5" t="n">
        <v>-1250</v>
      </c>
      <c r="G43" s="5" t="n">
        <v>-250</v>
      </c>
      <c r="H43" s="5" t="n">
        <v>-2050</v>
      </c>
      <c r="I43" s="5" t="n">
        <v>8250</v>
      </c>
      <c r="J43" s="5" t="n">
        <v>-1250</v>
      </c>
      <c r="K43" s="5" t="n">
        <v>-1520</v>
      </c>
      <c r="L43" s="5" t="n">
        <v>-1140</v>
      </c>
    </row>
    <row r="44">
      <c r="A44" s="5" t="inlineStr">
        <is>
          <t>Net increase/(decrease) in cash and cash equivalents</t>
        </is>
      </c>
      <c r="B44" s="5" t="n">
        <v>-118526</v>
      </c>
      <c r="C44" s="5" t="n">
        <v>62468</v>
      </c>
      <c r="D44" s="5" t="n">
        <v>39654</v>
      </c>
      <c r="E44" s="5" t="n">
        <v>-7159</v>
      </c>
      <c r="F44" s="5" t="n">
        <v>266293</v>
      </c>
      <c r="G44" s="5" t="n">
        <v>65038</v>
      </c>
      <c r="H44" s="5" t="n">
        <v>-36724</v>
      </c>
      <c r="I44" s="5" t="n">
        <v>25781</v>
      </c>
      <c r="J44" s="5" t="n">
        <v>56204</v>
      </c>
      <c r="K44" s="5" t="n">
        <v>79844</v>
      </c>
      <c r="L44" s="5" t="n">
        <v>-21148</v>
      </c>
    </row>
    <row r="45">
      <c r="A45" s="6" t="inlineStr">
        <is>
          <t>Cash and cash equivalents at beginning of year</t>
        </is>
      </c>
      <c r="B45" s="6" t="n">
        <v>687343</v>
      </c>
      <c r="C45" s="6" t="n">
        <v>624875</v>
      </c>
      <c r="D45" s="6" t="n">
        <v>585221</v>
      </c>
      <c r="E45" s="6" t="n">
        <v>592380</v>
      </c>
      <c r="F45" s="6" t="n">
        <v>326087</v>
      </c>
      <c r="G45" s="6" t="n">
        <v>261050</v>
      </c>
      <c r="H45" s="6" t="n">
        <v>297773</v>
      </c>
      <c r="I45" s="6" t="n">
        <v>271992</v>
      </c>
      <c r="J45" s="6" t="n">
        <v>215788</v>
      </c>
      <c r="K45" s="6" t="n">
        <v>135944</v>
      </c>
      <c r="L45" s="6" t="n">
        <v>157092</v>
      </c>
    </row>
    <row r="46">
      <c r="A46" s="5" t="inlineStr">
        <is>
          <t>Cash and cash equivalents at end of year</t>
        </is>
      </c>
      <c r="B46" s="5" t="n">
        <v>568817</v>
      </c>
      <c r="C46" s="5" t="n">
        <v>687343</v>
      </c>
      <c r="D46" s="5" t="n">
        <v>624875</v>
      </c>
      <c r="E46" s="5" t="n">
        <v>585221</v>
      </c>
      <c r="F46" s="5" t="n">
        <v>592380</v>
      </c>
      <c r="G46" s="5" t="n">
        <v>326087</v>
      </c>
      <c r="H46" s="5" t="n">
        <v>261050</v>
      </c>
      <c r="I46" s="5" t="n">
        <v>297773</v>
      </c>
      <c r="J46" s="5" t="n">
        <v>271992</v>
      </c>
      <c r="K46" s="5" t="n">
        <v>215788</v>
      </c>
      <c r="L46" s="5" t="n">
        <v>135944</v>
      </c>
    </row>
    <row r="48" ht="360" customHeight="1">
      <c r="A48" s="8" t="inlineStr">
        <is>
          <t>Sources - Weatherbys Banking Group consolidated statement of cash flows, GBP'000: FY2025/FY2024: Annual Report and Financial Accounts 2025, p.64 - https://www.weatherbys.bank/weatherbys-banking-group-annual-report-2025/; FY2024/FY2023: Annual Report &amp; Accounts 2024, p.45 - https://www.weatherbys.bank/app/uploads/2025/04/Weatherbys-Banking-Group-Annual-Report-2024.pdf; FY2023/FY2022: Annual Report &amp; Accounts 2023, p.50 - https://www.weatherbys.bank/app/uploads/2024/05/Weatherbys-Banking-Group-Annual-Report-2023.pdf; FY2022/FY2021: Annual Report &amp; Accounts 2022, p.46 - https://www.weatherbys.bank/app/uploads/2023/05/Weatherbys-Banking-Group-Annual_Report-2022.pdf; FY2020/FY2019: Group accounts made up to 31 Dec 2020, p.34 (Consolidated statement of cash flows) - https://find-and-update.company-information.service.gov.uk/company/02943300/filing-history/MzMxMjkxNjk5MmFkaXF6a2N4/document?format=pdf&amp;download=0; FY2018/FY2017: Group accounts made up to 31 Dec 2018, pp.25-26 - https://find-and-update.company-information.service.gov.uk/company/02943300/filing-history/MzIzODIyOTM2NWFkaXF6a2N4/document?format=pdf&amp;download=0; FY2016/FY2015: Group accounts made up to 31 Dec 2016, p.15 -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The 2024 statement labels the financing section's subtotal as investing activities, but its placement and figures are the financing cash flows; the source presentation is retained with a corrected descriptive label.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FY2015's own cash flow statement combines fixed-asset and debt-securities depreciation/amortisation into one line (GBP259k); it is placed in this workbook's 'Depreciation, impairment and amortisation of fixed assets' row, with 'Amortisation of debt securities' left blank for FY2015 only (all other years split the two). FY2016-FY2018 disclose a one-off 'Gain on Visa convertible preferred stock' adjustment (Visa Inc.'s 2016 acquisition of Visa Europe, which several UK banks including Weatherbys held preferred stock in) not present before or after those years. FY2020's own filed 'Cash from operations' subtotal (GBP104,053,076) exceeds the sum of its own listed adjustment lines (GBP104,043,076) by GBP10,000 - a small internal footing discrepancy in the source document, reproduced as-stated rather than forced to tie (all other years' subtotals reconcile to their component lines to within normal independent-rounding tolerance, +/-GBP2k).</t>
        </is>
      </c>
    </row>
  </sheetData>
  <mergeCells count="1">
    <mergeCell ref="A48:L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Asset Quality</t>
        </is>
      </c>
    </row>
    <row r="2">
      <c r="A2" s="2" t="inlineStr">
        <is>
          <t>Weatherbys Banking Group loan book credit quality and regulatory credit risk exposure, GBP'000.</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Loans and advances to customers - credit quality (Banking Group)</t>
        </is>
      </c>
      <c r="B4" s="6" t="n"/>
      <c r="C4" s="6" t="n"/>
      <c r="D4" s="6" t="n"/>
      <c r="E4" s="6" t="n"/>
      <c r="F4" s="6" t="n"/>
      <c r="G4" s="6" t="n"/>
      <c r="H4" s="6" t="n"/>
      <c r="I4" s="6" t="n"/>
      <c r="J4" s="6" t="n"/>
      <c r="K4" s="6" t="n"/>
      <c r="L4" s="6" t="n"/>
    </row>
    <row r="5">
      <c r="A5" s="6" t="inlineStr">
        <is>
          <t>Gross loans and advances to customers</t>
        </is>
      </c>
      <c r="B5" s="6" t="n">
        <v>1011493</v>
      </c>
      <c r="C5" s="6" t="n">
        <v>863936</v>
      </c>
      <c r="D5" s="6" t="n">
        <v>825925</v>
      </c>
      <c r="E5" s="6" t="n">
        <v>779193</v>
      </c>
      <c r="F5" s="6" t="n">
        <v>748236</v>
      </c>
      <c r="G5" s="6" t="n">
        <v>682727</v>
      </c>
      <c r="H5" s="6" t="n">
        <v>590885</v>
      </c>
      <c r="I5" s="6" t="n">
        <v>476770</v>
      </c>
      <c r="J5" s="6" t="n">
        <v>389398</v>
      </c>
      <c r="K5" s="6" t="n">
        <v>328735</v>
      </c>
      <c r="L5" s="6" t="n">
        <v>277870</v>
      </c>
    </row>
    <row r="6">
      <c r="A6" s="6" t="inlineStr">
        <is>
          <t>Loan loss provision (Balance Sheet, Note 15)</t>
        </is>
      </c>
      <c r="B6" s="6" t="n">
        <v>-5333</v>
      </c>
      <c r="C6" s="6" t="n">
        <v>-4264</v>
      </c>
      <c r="D6" s="6" t="n">
        <v>-4225</v>
      </c>
      <c r="E6" s="6" t="n">
        <v>-3620</v>
      </c>
      <c r="F6" s="6" t="n">
        <v>-3645</v>
      </c>
      <c r="G6" s="6" t="n">
        <v>-4163</v>
      </c>
      <c r="H6" s="6" t="n">
        <v>-1961</v>
      </c>
      <c r="I6" s="6" t="n">
        <v>-2042</v>
      </c>
      <c r="J6" s="6" t="n">
        <v>-1894</v>
      </c>
      <c r="K6" s="6" t="n">
        <v>-1351</v>
      </c>
      <c r="L6" s="6" t="n">
        <v>-1249</v>
      </c>
    </row>
    <row r="7">
      <c r="A7" s="5" t="inlineStr">
        <is>
          <t>Net loans and advances to customers</t>
        </is>
      </c>
      <c r="B7" s="5" t="n">
        <v>1006160</v>
      </c>
      <c r="C7" s="5" t="n">
        <v>859672</v>
      </c>
      <c r="D7" s="5" t="n">
        <v>821700</v>
      </c>
      <c r="E7" s="5" t="n">
        <v>775573</v>
      </c>
      <c r="F7" s="5" t="n">
        <v>744591</v>
      </c>
      <c r="G7" s="5" t="n">
        <v>678564</v>
      </c>
      <c r="H7" s="5" t="n">
        <v>588924</v>
      </c>
      <c r="I7" s="5" t="n">
        <v>474728</v>
      </c>
      <c r="J7" s="5" t="n">
        <v>387504</v>
      </c>
      <c r="K7" s="5" t="n">
        <v>327384</v>
      </c>
      <c r="L7" s="5" t="n">
        <v>276621</v>
      </c>
    </row>
    <row r="8">
      <c r="A8" s="6" t="inlineStr">
        <is>
          <t>Total provisions for bad and doubtful debts (Note 16 cumulative)</t>
        </is>
      </c>
      <c r="B8" s="6" t="n">
        <v>5338</v>
      </c>
      <c r="C8" s="6" t="n">
        <v>4264</v>
      </c>
      <c r="D8" s="6" t="n">
        <v>4225</v>
      </c>
      <c r="E8" s="6" t="n">
        <v>3620</v>
      </c>
      <c r="F8" s="6" t="n">
        <v>3645</v>
      </c>
      <c r="G8" s="6" t="n">
        <v>4163</v>
      </c>
      <c r="H8" s="6" t="n">
        <v>1961</v>
      </c>
      <c r="I8" s="6" t="n">
        <v>2042</v>
      </c>
      <c r="J8" s="6" t="n">
        <v>1894</v>
      </c>
      <c r="K8" s="6" t="n">
        <v>1351</v>
      </c>
      <c r="L8" s="6" t="n">
        <v>1249</v>
      </c>
    </row>
    <row r="9">
      <c r="A9" s="6" t="inlineStr">
        <is>
          <t>Non-performing loans and advances to customers (before provisions)</t>
        </is>
      </c>
      <c r="B9" s="6" t="n">
        <v>11193</v>
      </c>
      <c r="C9" s="6" t="n">
        <v>10452</v>
      </c>
      <c r="D9" s="6" t="n">
        <v>9628</v>
      </c>
      <c r="E9" s="6" t="n">
        <v>6847</v>
      </c>
      <c r="F9" s="6" t="n">
        <v>6372</v>
      </c>
      <c r="G9" s="6" t="n">
        <v>6102</v>
      </c>
      <c r="H9" s="6" t="n">
        <v>3593</v>
      </c>
      <c r="I9" s="6" t="n">
        <v>2435</v>
      </c>
      <c r="J9" s="6" t="n">
        <v>2461</v>
      </c>
      <c r="K9" s="6" t="n">
        <v>891</v>
      </c>
      <c r="L9" s="6" t="n">
        <v>716</v>
      </c>
    </row>
    <row r="10">
      <c r="A10" s="6" t="inlineStr">
        <is>
          <t>NPL ratio (non-performing loans / gross loans)</t>
        </is>
      </c>
      <c r="B10" s="6" t="inlineStr">
        <is>
          <t>1.11%</t>
        </is>
      </c>
      <c r="C10" s="6" t="inlineStr">
        <is>
          <t>1.21%</t>
        </is>
      </c>
      <c r="D10" s="6" t="inlineStr">
        <is>
          <t>1.17%</t>
        </is>
      </c>
      <c r="E10" s="6" t="inlineStr">
        <is>
          <t>0.88%</t>
        </is>
      </c>
      <c r="F10" s="6" t="inlineStr">
        <is>
          <t>0.85%</t>
        </is>
      </c>
      <c r="G10" s="6" t="inlineStr">
        <is>
          <t>0.89%</t>
        </is>
      </c>
      <c r="H10" s="6" t="inlineStr">
        <is>
          <t>0.61%</t>
        </is>
      </c>
      <c r="I10" s="6" t="inlineStr">
        <is>
          <t>0.51%</t>
        </is>
      </c>
      <c r="J10" s="6" t="inlineStr">
        <is>
          <t>0.63%</t>
        </is>
      </c>
      <c r="K10" s="6" t="inlineStr">
        <is>
          <t>0.27%</t>
        </is>
      </c>
      <c r="L10" s="6" t="inlineStr">
        <is>
          <t>0.26%</t>
        </is>
      </c>
    </row>
    <row r="11">
      <c r="A11" s="6" t="inlineStr">
        <is>
          <t>Coverage ratio (total provisions / non-performing loans)</t>
        </is>
      </c>
      <c r="B11" s="6" t="inlineStr">
        <is>
          <t>47.69%</t>
        </is>
      </c>
      <c r="C11" s="6" t="inlineStr">
        <is>
          <t>40.80%</t>
        </is>
      </c>
      <c r="D11" s="6" t="inlineStr">
        <is>
          <t>43.88%</t>
        </is>
      </c>
      <c r="E11" s="6" t="inlineStr">
        <is>
          <t>52.87%</t>
        </is>
      </c>
      <c r="F11" s="6" t="inlineStr">
        <is>
          <t>57.20%</t>
        </is>
      </c>
      <c r="G11" s="6" t="inlineStr">
        <is>
          <t>68.22%</t>
        </is>
      </c>
      <c r="H11" s="6" t="inlineStr">
        <is>
          <t>54.58%</t>
        </is>
      </c>
      <c r="I11" s="6" t="inlineStr">
        <is>
          <t>83.86%</t>
        </is>
      </c>
      <c r="J11" s="6" t="inlineStr">
        <is>
          <t>76.96%</t>
        </is>
      </c>
      <c r="K11" s="6" t="inlineStr">
        <is>
          <t>151.63%</t>
        </is>
      </c>
      <c r="L11" s="6" t="inlineStr">
        <is>
          <t>174.44%</t>
        </is>
      </c>
    </row>
    <row r="12">
      <c r="A12" s="5" t="inlineStr">
        <is>
          <t>Regulatory credit risk exposure by class (Pillar 3 Table 6, before credit risk mitigation)</t>
        </is>
      </c>
      <c r="B12" s="6" t="n"/>
      <c r="C12" s="6" t="n"/>
      <c r="D12" s="6" t="n"/>
      <c r="E12" s="6" t="n"/>
      <c r="F12" s="6" t="n"/>
      <c r="G12" s="6" t="n"/>
      <c r="H12" s="6" t="n"/>
      <c r="I12" s="6" t="n"/>
      <c r="J12" s="6" t="n"/>
      <c r="K12" s="6" t="n"/>
      <c r="L12" s="6" t="n"/>
    </row>
    <row r="13">
      <c r="A13" s="6" t="inlineStr">
        <is>
          <t>Central Government and Central Banks</t>
        </is>
      </c>
      <c r="B13" s="6" t="n"/>
      <c r="C13" s="6" t="n">
        <v>760594</v>
      </c>
      <c r="D13" s="6" t="n">
        <v>645464</v>
      </c>
      <c r="E13" s="6" t="n">
        <v>646149</v>
      </c>
      <c r="F13" s="6" t="n">
        <v>577637</v>
      </c>
      <c r="G13" s="6" t="n">
        <v>287639</v>
      </c>
      <c r="H13" s="6" t="n"/>
      <c r="I13" s="6" t="n"/>
      <c r="J13" s="6" t="n"/>
      <c r="K13" s="6" t="n"/>
      <c r="L13" s="6" t="n"/>
    </row>
    <row r="14">
      <c r="A14" s="6" t="inlineStr">
        <is>
          <t>Financial institutions</t>
        </is>
      </c>
      <c r="B14" s="6" t="n"/>
      <c r="C14" s="6" t="n">
        <v>65986</v>
      </c>
      <c r="D14" s="6" t="n">
        <v>40329</v>
      </c>
      <c r="E14" s="6" t="n">
        <v>48477</v>
      </c>
      <c r="F14" s="6" t="n">
        <v>38362</v>
      </c>
      <c r="G14" s="6" t="n">
        <v>56136</v>
      </c>
      <c r="H14" s="6" t="n"/>
      <c r="I14" s="6" t="n"/>
      <c r="J14" s="6" t="n"/>
      <c r="K14" s="6" t="n"/>
      <c r="L14" s="6" t="n"/>
    </row>
    <row r="15">
      <c r="A15" s="6" t="inlineStr">
        <is>
          <t>Covered Bonds</t>
        </is>
      </c>
      <c r="B15" s="6" t="n"/>
      <c r="C15" s="6" t="n">
        <v>86742</v>
      </c>
      <c r="D15" s="6" t="n">
        <v>60875</v>
      </c>
      <c r="E15" s="6" t="n">
        <v>67566</v>
      </c>
      <c r="F15" s="6" t="n">
        <v>51916</v>
      </c>
      <c r="G15" s="6" t="n">
        <v>69489</v>
      </c>
      <c r="H15" s="6" t="n"/>
      <c r="I15" s="6" t="n"/>
      <c r="J15" s="6" t="n"/>
      <c r="K15" s="6" t="n"/>
      <c r="L15" s="6" t="n"/>
    </row>
    <row r="16">
      <c r="A16" s="6" t="inlineStr">
        <is>
          <t>Multilateral Development Banks</t>
        </is>
      </c>
      <c r="B16" s="6" t="n"/>
      <c r="C16" s="6" t="n">
        <v>38424</v>
      </c>
      <c r="D16" s="6" t="n">
        <v>29455</v>
      </c>
      <c r="E16" s="6" t="n">
        <v>37092</v>
      </c>
      <c r="F16" s="6" t="n">
        <v>43634</v>
      </c>
      <c r="G16" s="6" t="n">
        <v>48783</v>
      </c>
      <c r="H16" s="6" t="n"/>
      <c r="I16" s="6" t="n"/>
      <c r="J16" s="6" t="n"/>
      <c r="K16" s="6" t="n"/>
      <c r="L16" s="6" t="n"/>
    </row>
    <row r="17">
      <c r="A17" s="6" t="inlineStr">
        <is>
          <t>Corporates</t>
        </is>
      </c>
      <c r="B17" s="6" t="n"/>
      <c r="C17" s="6" t="n">
        <v>0</v>
      </c>
      <c r="D17" s="6" t="n">
        <v>0</v>
      </c>
      <c r="E17" s="6" t="n">
        <v>15</v>
      </c>
      <c r="F17" s="6" t="n">
        <v>99</v>
      </c>
      <c r="G17" s="6" t="n">
        <v>232</v>
      </c>
      <c r="H17" s="6" t="n"/>
      <c r="I17" s="6" t="n"/>
      <c r="J17" s="6" t="n"/>
      <c r="K17" s="6" t="n"/>
      <c r="L17" s="6" t="n"/>
    </row>
    <row r="18">
      <c r="A18" s="6" t="inlineStr">
        <is>
          <t>Retail</t>
        </is>
      </c>
      <c r="B18" s="6" t="n"/>
      <c r="C18" s="6" t="n">
        <v>273745</v>
      </c>
      <c r="D18" s="6" t="n">
        <v>239489</v>
      </c>
      <c r="E18" s="6" t="n">
        <v>196497</v>
      </c>
      <c r="F18" s="6" t="n">
        <v>131874</v>
      </c>
      <c r="G18" s="6" t="n">
        <v>150260</v>
      </c>
      <c r="H18" s="6" t="n"/>
      <c r="I18" s="6" t="n"/>
      <c r="J18" s="6" t="n"/>
      <c r="K18" s="6" t="n"/>
      <c r="L18" s="6" t="n"/>
    </row>
    <row r="19">
      <c r="A19" s="6" t="inlineStr">
        <is>
          <t>CBILs - Government Guaranteed</t>
        </is>
      </c>
      <c r="B19" s="6" t="n"/>
      <c r="C19" s="6" t="n">
        <v>15644</v>
      </c>
      <c r="D19" s="6" t="n">
        <v>10628</v>
      </c>
      <c r="E19" s="6" t="n">
        <v>12793</v>
      </c>
      <c r="F19" s="6" t="n">
        <v>13240</v>
      </c>
      <c r="G19" s="6" t="n"/>
      <c r="H19" s="6" t="n"/>
      <c r="I19" s="6" t="n"/>
      <c r="J19" s="6" t="n"/>
      <c r="K19" s="6" t="n"/>
      <c r="L19" s="6" t="n"/>
    </row>
    <row r="20">
      <c r="A20" s="6" t="inlineStr">
        <is>
          <t>Secured on real estate property</t>
        </is>
      </c>
      <c r="B20" s="6" t="n"/>
      <c r="C20" s="6" t="n">
        <v>578244</v>
      </c>
      <c r="D20" s="6" t="n">
        <v>571853</v>
      </c>
      <c r="E20" s="6" t="n">
        <v>568369</v>
      </c>
      <c r="F20" s="6" t="n">
        <v>581162</v>
      </c>
      <c r="G20" s="6" t="n">
        <v>528553</v>
      </c>
      <c r="H20" s="6" t="n"/>
      <c r="I20" s="6" t="n"/>
      <c r="J20" s="6" t="n"/>
      <c r="K20" s="6" t="n"/>
      <c r="L20" s="6" t="n"/>
    </row>
    <row r="21">
      <c r="A21" s="6" t="inlineStr">
        <is>
          <t>Other items</t>
        </is>
      </c>
      <c r="B21" s="6" t="n"/>
      <c r="C21" s="6" t="n">
        <v>42329</v>
      </c>
      <c r="D21" s="6" t="n">
        <v>35556</v>
      </c>
      <c r="E21" s="6" t="n">
        <v>22514</v>
      </c>
      <c r="F21" s="6" t="n">
        <v>34363</v>
      </c>
      <c r="G21" s="6" t="n">
        <v>29989</v>
      </c>
      <c r="H21" s="6" t="n"/>
      <c r="I21" s="6" t="n"/>
      <c r="J21" s="6" t="n"/>
      <c r="K21" s="6" t="n"/>
      <c r="L21" s="6" t="n"/>
    </row>
    <row r="22">
      <c r="A22" s="6" t="inlineStr">
        <is>
          <t>Exposures In Default</t>
        </is>
      </c>
      <c r="B22" s="6" t="n"/>
      <c r="C22" s="6" t="n">
        <v>12703</v>
      </c>
      <c r="D22" s="6" t="n">
        <v>14760</v>
      </c>
      <c r="E22" s="6" t="n">
        <v>9269</v>
      </c>
      <c r="F22" s="6" t="n">
        <v>7139</v>
      </c>
      <c r="G22" s="6" t="n">
        <v>4403</v>
      </c>
      <c r="H22" s="6" t="n"/>
      <c r="I22" s="6" t="n"/>
      <c r="J22" s="6" t="n"/>
      <c r="K22" s="6" t="n"/>
      <c r="L22" s="6" t="n"/>
    </row>
    <row r="23">
      <c r="A23" s="6" t="inlineStr">
        <is>
          <t>Credit Value Adjustment</t>
        </is>
      </c>
      <c r="B23" s="6" t="n"/>
      <c r="C23" s="6" t="n">
        <v>6164</v>
      </c>
      <c r="D23" s="6" t="n">
        <v>1784</v>
      </c>
      <c r="E23" s="6" t="n"/>
      <c r="F23" s="6" t="n">
        <v>1549</v>
      </c>
      <c r="G23" s="6" t="n">
        <v>598</v>
      </c>
      <c r="H23" s="6" t="n"/>
      <c r="I23" s="6" t="n"/>
      <c r="J23" s="6" t="n"/>
      <c r="K23" s="6" t="n"/>
      <c r="L23" s="6" t="n"/>
    </row>
    <row r="24">
      <c r="A24" s="5" t="inlineStr">
        <is>
          <t>Total regulatory credit risk exposure</t>
        </is>
      </c>
      <c r="B24" s="5" t="n"/>
      <c r="C24" s="5" t="n">
        <v>1880575</v>
      </c>
      <c r="D24" s="5" t="n">
        <v>1650193</v>
      </c>
      <c r="E24" s="5" t="n">
        <v>1608741</v>
      </c>
      <c r="F24" s="5" t="n">
        <v>1480975</v>
      </c>
      <c r="G24" s="5" t="n">
        <v>1176082</v>
      </c>
      <c r="H24" s="5" t="n"/>
      <c r="I24" s="5" t="n"/>
      <c r="J24" s="5" t="n"/>
      <c r="K24" s="5" t="n"/>
      <c r="L24" s="5" t="n"/>
    </row>
    <row r="26" ht="260" customHeight="1">
      <c r="A26" s="8" t="inlineStr">
        <is>
          <t>Sources - Weatherbys Bank Limited Pillar 3 Disclosures, Group and Solo (identical, Table 5/Table 6), GBP'000: FY2025 impairment/NPL data from Annual Report and Financial Accounts 2025, pp.79-80 (Banking Group basis) - https://www.weatherbys.bank/weatherbys-banking-group-annual-report-2025/; FY2024 from Annual Report &amp; Accounts 2024, p.60 and Pillar 3 Disclosures 2024, pp.7-8 - https://www.weatherbys.bank/app/uploads/2025/04/Weatherbys-Banking-Group-Annual-Report-2024.pdf and https://www.weatherbys.bank/app/uploads/2025/04/Weatherbys-Bank-Pillar-3-Disclosures-2024.pdf; FY2023 from Annual Report &amp; Accounts 2023, p.65 and Pillar 3 Disclosures 2023, pp.6-7 - https://www.weatherbys.bank/app/uploads/2024/05/Weatherbys-Banking-Group-Annual-Report-2023.pdf and https://weatherbys.bank/app/uploads/2024/05/Weatherbys-Bank-Pillar-3-Dislcosures-2023.pdf; FY2022 from Annual Report &amp; Accounts 2022, p.62 and Pillar 3 Disclosures 2022, pp.8-9 - https://www.weatherbys.bank/app/uploads/2023/05/Weatherbys-Banking-Group-Annual_Report-2022.pdf and https://weatherbys.bank/app/uploads/2023/05/Weatherbys-Bank-Pillar-3-Dislcosures-2022.pdf; FY2021 from Annual Report &amp; Accounts 2022, p.62 (2021 comparative) and Pillar 3 Disclosures 2021, pp.7-8 - https://www.weatherbys.bank/app/uploads/2023/05/Weatherbys-Banking-Group-Annual_Report-2022.pdf and https://www.weatherbys.bank/app/uploads/2022/05/Pillar-3-2021-v2.0-Weatherbys-Bank.pdf; FY2020 impairment/NPL from Group accounts made up to 31 Dec 2020, p.34 (Note 15/16) and Pillar 3 Disclosures 2020, Table 6, p.8 - https://find-and-update.company-information.service.gov.uk/company/02943300/filing-history/MzMxMjkxNjk5MmFkaXF6a2N4/document?format=pdf&amp;download=0 and https://www.weatherbys.bank/app/uploads/2021/08/Pillar3-2020.pdf; FY2019 impairment/NPL from the same Group accounts' FY2019 comparative column - https://find-and-update.company-information.service.gov.uk/company/02943300/filing-history/MzMxMjkxNjk5MmFkaXF6a2N4/document?format=pdf&amp;download=0; FY2018/FY2017 impairment/NPL from Group accounts made up to 31 Dec 2018, p.33 (Note 15/16) - https://find-and-update.company-information.service.gov.uk/company/02943300/filing-history/MzIzODIyOTM2NWFkaXF6a2N4/document?format=pdf&amp;download=0; FY2016/FY2015 impairment/NPL from Group accounts made up to 31 Dec 2016, p.25 (Note 15/16)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Gross loans and advances to customers is derived as the Balance Sheet's net Loans and advances to customers plus the Loan loss provision balance from each year's own Note 15/16 (Banking Group basis); this ties exactly to the Balance Sheet's net figure every year. FY2025's Note 15 Balance Sheet loan loss provision (£5,333k) differs by £5k from Note 16's cumulative provision total (£5,338k) - a small internal document discrepancy, reproduced as-stated rather than forced to tie; both figures are shown. The regulatory credit risk exposure table (Pillar 3 Table 6) is a broader Pillar 1 exposure-class measure before credit risk mitigation (includes central bank/financial institution/covered bond exposures, not just customer loans) and does not tie to the narrower Balance Sheet loans line - shown as supplementary risk categorisation, not forced to reconcile.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FY2015-FY2019's loan loss provision (used for both the 'Balance Sheet' and 'Note 16 cumulative' rows, since the Companies House Group accounts for those years give only the single Note 16 movement table, not a separate Balance Sheet-note split) and NPL figures are Group accounts Note 15/16 disclosures, not Pillar 3 figures (no pre-FY2020 Pillar 3 document was recoverable - see PRE2021_NOTE); the regulatory credit risk exposure section (Pillar 3 Table 6) is therefore populated for FY2020 only and left blank for FY2015-FY2019, a genuine access gap rather than a non-disclosure.</t>
        </is>
      </c>
    </row>
  </sheetData>
  <mergeCells count="1">
    <mergeCell ref="A26:L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t>
        </is>
      </c>
      <c r="B4" s="6" t="n"/>
      <c r="C4" s="6" t="n">
        <v>84898</v>
      </c>
      <c r="D4" s="6" t="n">
        <v>73192</v>
      </c>
      <c r="E4" s="6" t="n">
        <v>57524</v>
      </c>
      <c r="F4" s="6" t="n">
        <v>50247</v>
      </c>
      <c r="G4" s="6" t="n">
        <v>46910</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n"/>
      <c r="C4" s="6" t="inlineStr">
        <is>
          <t>13.84%</t>
        </is>
      </c>
      <c r="D4" s="6" t="inlineStr">
        <is>
          <t>13.48%</t>
        </is>
      </c>
      <c r="E4" s="6" t="inlineStr">
        <is>
          <t>12.07%</t>
        </is>
      </c>
      <c r="F4" s="6" t="inlineStr">
        <is>
          <t>11.81%</t>
        </is>
      </c>
      <c r="G4" s="6" t="inlineStr">
        <is>
          <t>11.69%</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c r="C4" s="6" t="n">
        <v>87898</v>
      </c>
      <c r="D4" s="6" t="n">
        <v>76192</v>
      </c>
      <c r="E4" s="6" t="n">
        <v>57524</v>
      </c>
      <c r="F4" s="6" t="n">
        <v>50247</v>
      </c>
      <c r="G4" s="6" t="n">
        <v>46910</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n"/>
      <c r="C4" s="6" t="inlineStr">
        <is>
          <t>14.33%</t>
        </is>
      </c>
      <c r="D4" s="6" t="inlineStr">
        <is>
          <t>14.03%</t>
        </is>
      </c>
      <c r="E4" s="6" t="inlineStr">
        <is>
          <t>12.07%</t>
        </is>
      </c>
      <c r="F4" s="6" t="inlineStr">
        <is>
          <t>11.81%</t>
        </is>
      </c>
      <c r="G4" s="6" t="inlineStr">
        <is>
          <t>11.69%</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c r="C4" s="6" t="n">
        <v>99753</v>
      </c>
      <c r="D4" s="6" t="n">
        <v>87815</v>
      </c>
      <c r="E4" s="6" t="n">
        <v>69108</v>
      </c>
      <c r="F4" s="6" t="n">
        <v>61634</v>
      </c>
      <c r="G4" s="6" t="n">
        <v>58286</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n"/>
      <c r="C4" s="6" t="inlineStr">
        <is>
          <t>16.26%</t>
        </is>
      </c>
      <c r="D4" s="6" t="inlineStr">
        <is>
          <t>16.17%</t>
        </is>
      </c>
      <c r="E4" s="6" t="inlineStr">
        <is>
          <t>14.50%</t>
        </is>
      </c>
      <c r="F4" s="6" t="inlineStr">
        <is>
          <t>14.48%</t>
        </is>
      </c>
      <c r="G4" s="6" t="inlineStr">
        <is>
          <t>14.53%</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 weighted assets</t>
        </is>
      </c>
      <c r="B4" s="6" t="n"/>
      <c r="C4" s="6" t="n">
        <v>613559</v>
      </c>
      <c r="D4" s="6" t="n">
        <v>543090</v>
      </c>
      <c r="E4" s="6" t="n">
        <v>476472</v>
      </c>
      <c r="F4" s="6" t="n">
        <v>425582</v>
      </c>
      <c r="G4" s="6" t="n">
        <v>401130</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RWA Breakdown</t>
        </is>
      </c>
    </row>
    <row r="2">
      <c r="A2" s="2" t="inlineStr">
        <is>
          <t>Weatherbys Bank risk-weighted assets by category, GBP'000 — derived from Pillar 3 capital requirement tables (see sources).</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Credit risk, by exposure class (derived, see sources)</t>
        </is>
      </c>
      <c r="B4" s="6" t="n"/>
      <c r="C4" s="6" t="n"/>
      <c r="D4" s="6" t="n"/>
      <c r="E4" s="6" t="n"/>
      <c r="F4" s="6" t="n"/>
      <c r="G4" s="6" t="n"/>
      <c r="H4" s="6" t="n"/>
      <c r="I4" s="6" t="n"/>
      <c r="J4" s="6" t="n"/>
      <c r="K4" s="6" t="n"/>
      <c r="L4" s="6" t="n"/>
    </row>
    <row r="5">
      <c r="A5" s="6" t="inlineStr">
        <is>
          <t>Financial institutions</t>
        </is>
      </c>
      <c r="B5" s="6" t="n"/>
      <c r="C5" s="6" t="n">
        <v>14667</v>
      </c>
      <c r="D5" s="6" t="n">
        <v>8811</v>
      </c>
      <c r="E5" s="6" t="n">
        <v>10256</v>
      </c>
      <c r="F5" s="6" t="n">
        <v>8450</v>
      </c>
      <c r="G5" s="6" t="n">
        <v>11413</v>
      </c>
      <c r="H5" s="6" t="n"/>
      <c r="I5" s="6" t="n"/>
      <c r="J5" s="6" t="n"/>
      <c r="K5" s="6" t="n"/>
      <c r="L5" s="6" t="n"/>
    </row>
    <row r="6">
      <c r="A6" s="6" t="inlineStr">
        <is>
          <t>Covered bonds</t>
        </is>
      </c>
      <c r="B6" s="6" t="n"/>
      <c r="C6" s="6" t="n">
        <v>8678</v>
      </c>
      <c r="D6" s="6" t="n">
        <v>6089</v>
      </c>
      <c r="E6" s="6" t="n">
        <v>6756</v>
      </c>
      <c r="F6" s="6" t="n">
        <v>5188</v>
      </c>
      <c r="G6" s="6" t="n">
        <v>6950</v>
      </c>
      <c r="H6" s="6" t="n"/>
      <c r="I6" s="6" t="n"/>
      <c r="J6" s="6" t="n"/>
      <c r="K6" s="6" t="n"/>
      <c r="L6" s="6" t="n"/>
    </row>
    <row r="7">
      <c r="A7" s="6" t="inlineStr">
        <is>
          <t>Corporates</t>
        </is>
      </c>
      <c r="B7" s="6" t="n"/>
      <c r="C7" s="6" t="n">
        <v>0</v>
      </c>
      <c r="D7" s="6" t="n">
        <v>0</v>
      </c>
      <c r="E7" s="6" t="n">
        <v>11</v>
      </c>
      <c r="F7" s="6" t="n">
        <v>100</v>
      </c>
      <c r="G7" s="6" t="n">
        <v>238</v>
      </c>
      <c r="H7" s="6" t="n"/>
      <c r="I7" s="6" t="n"/>
      <c r="J7" s="6" t="n"/>
      <c r="K7" s="6" t="n"/>
      <c r="L7" s="6" t="n"/>
    </row>
    <row r="8">
      <c r="A8" s="6" t="inlineStr">
        <is>
          <t>Retail</t>
        </is>
      </c>
      <c r="B8" s="6" t="n"/>
      <c r="C8" s="6" t="n">
        <v>149878</v>
      </c>
      <c r="D8" s="6" t="n">
        <v>131600</v>
      </c>
      <c r="E8" s="6" t="n">
        <v>106233</v>
      </c>
      <c r="F8" s="6" t="n">
        <v>81438</v>
      </c>
      <c r="G8" s="6" t="n">
        <v>90825</v>
      </c>
      <c r="H8" s="6" t="n"/>
      <c r="I8" s="6" t="n"/>
      <c r="J8" s="6" t="n"/>
      <c r="K8" s="6" t="n"/>
      <c r="L8" s="6" t="n"/>
    </row>
    <row r="9">
      <c r="A9" s="6" t="inlineStr">
        <is>
          <t>Secured by mortgages on immovable property</t>
        </is>
      </c>
      <c r="B9" s="6" t="n"/>
      <c r="C9" s="6" t="n">
        <v>216322</v>
      </c>
      <c r="D9" s="6" t="n">
        <v>213678</v>
      </c>
      <c r="E9" s="6" t="n">
        <v>212289</v>
      </c>
      <c r="F9" s="6" t="n">
        <v>218838</v>
      </c>
      <c r="G9" s="6" t="n">
        <v>197013</v>
      </c>
      <c r="H9" s="6" t="n"/>
      <c r="I9" s="6" t="n"/>
      <c r="J9" s="6" t="n"/>
      <c r="K9" s="6" t="n"/>
      <c r="L9" s="6" t="n"/>
    </row>
    <row r="10">
      <c r="A10" s="6" t="inlineStr">
        <is>
          <t>Exposures in default</t>
        </is>
      </c>
      <c r="B10" s="6" t="n"/>
      <c r="C10" s="6" t="n">
        <v>16278</v>
      </c>
      <c r="D10" s="6" t="n">
        <v>18400</v>
      </c>
      <c r="E10" s="6" t="n">
        <v>12456</v>
      </c>
      <c r="F10" s="6" t="n">
        <v>8888</v>
      </c>
      <c r="G10" s="6" t="n">
        <v>5525</v>
      </c>
      <c r="H10" s="6" t="n"/>
      <c r="I10" s="6" t="n"/>
      <c r="J10" s="6" t="n"/>
      <c r="K10" s="6" t="n"/>
      <c r="L10" s="6" t="n"/>
    </row>
    <row r="11">
      <c r="A11" s="6" t="inlineStr">
        <is>
          <t>Other items</t>
        </is>
      </c>
      <c r="B11" s="6" t="n"/>
      <c r="C11" s="6" t="n">
        <v>52400</v>
      </c>
      <c r="D11" s="6" t="n">
        <v>46544</v>
      </c>
      <c r="E11" s="6" t="n">
        <v>43689</v>
      </c>
      <c r="F11" s="6" t="n">
        <v>32050</v>
      </c>
      <c r="G11" s="6" t="n">
        <v>30913</v>
      </c>
      <c r="H11" s="6" t="n"/>
      <c r="I11" s="6" t="n"/>
      <c r="J11" s="6" t="n"/>
      <c r="K11" s="6" t="n"/>
      <c r="L11" s="6" t="n"/>
    </row>
    <row r="12">
      <c r="A12" s="6" t="inlineStr">
        <is>
          <t>Credit Value Adjustment</t>
        </is>
      </c>
      <c r="B12" s="6" t="n"/>
      <c r="C12" s="6" t="n">
        <v>6167</v>
      </c>
      <c r="D12" s="6" t="n">
        <v>1778</v>
      </c>
      <c r="E12" s="6" t="n"/>
      <c r="F12" s="6" t="n"/>
      <c r="G12" s="6" t="n"/>
      <c r="H12" s="6" t="n"/>
      <c r="I12" s="6" t="n"/>
      <c r="J12" s="6" t="n"/>
      <c r="K12" s="6" t="n"/>
      <c r="L12" s="6" t="n"/>
    </row>
    <row r="13">
      <c r="A13" s="5" t="inlineStr">
        <is>
          <t>Credit risk (subtotal)</t>
        </is>
      </c>
      <c r="B13" s="5" t="n"/>
      <c r="C13" s="5" t="n">
        <v>464390</v>
      </c>
      <c r="D13" s="5" t="n">
        <v>426900</v>
      </c>
      <c r="E13" s="5" t="n">
        <v>391690</v>
      </c>
      <c r="F13" s="5" t="n">
        <v>354952</v>
      </c>
      <c r="G13" s="5" t="n">
        <v>342877</v>
      </c>
      <c r="H13" s="5" t="n"/>
      <c r="I13" s="5" t="n"/>
      <c r="J13" s="5" t="n"/>
      <c r="K13" s="5" t="n"/>
      <c r="L13" s="5" t="n"/>
    </row>
    <row r="14">
      <c r="A14" s="5" t="inlineStr">
        <is>
          <t>Other risk categories</t>
        </is>
      </c>
      <c r="B14" s="6" t="n"/>
      <c r="C14" s="6" t="n"/>
      <c r="D14" s="6" t="n"/>
      <c r="E14" s="6" t="n"/>
      <c r="F14" s="6" t="n"/>
      <c r="G14" s="6" t="n"/>
      <c r="H14" s="6" t="n"/>
      <c r="I14" s="6" t="n"/>
      <c r="J14" s="6" t="n"/>
      <c r="K14" s="6" t="n"/>
      <c r="L14" s="6" t="n"/>
    </row>
    <row r="15">
      <c r="A15" s="6" t="inlineStr">
        <is>
          <t>Market risk</t>
        </is>
      </c>
      <c r="B15" s="6" t="n"/>
      <c r="C15" s="6" t="n"/>
      <c r="D15" s="6" t="n"/>
      <c r="E15" s="6" t="n"/>
      <c r="F15" s="6" t="n">
        <v>975</v>
      </c>
      <c r="G15" s="6" t="n"/>
      <c r="H15" s="6" t="n"/>
      <c r="I15" s="6" t="n"/>
      <c r="J15" s="6" t="n"/>
      <c r="K15" s="6" t="n"/>
      <c r="L15" s="6" t="n"/>
    </row>
    <row r="16">
      <c r="A16" s="6" t="inlineStr">
        <is>
          <t>Operational risk</t>
        </is>
      </c>
      <c r="B16" s="6" t="n"/>
      <c r="C16" s="6" t="n">
        <v>148056</v>
      </c>
      <c r="D16" s="6" t="n">
        <v>116389</v>
      </c>
      <c r="E16" s="6" t="n">
        <v>83433</v>
      </c>
      <c r="F16" s="6" t="n">
        <v>69650</v>
      </c>
      <c r="G16" s="6" t="n">
        <v>58213</v>
      </c>
      <c r="H16" s="6" t="n"/>
      <c r="I16" s="6" t="n"/>
      <c r="J16" s="6" t="n"/>
      <c r="K16" s="6" t="n"/>
      <c r="L16" s="6" t="n"/>
    </row>
    <row r="17">
      <c r="A17" s="5" t="inlineStr">
        <is>
          <t>Total RWAs (derived - see sources for reconciliation to the directly disclosed Total RWAs sheet)</t>
        </is>
      </c>
      <c r="B17" s="5" t="n"/>
      <c r="C17" s="5" t="n">
        <v>612446</v>
      </c>
      <c r="D17" s="5" t="n">
        <v>543289</v>
      </c>
      <c r="E17" s="5" t="n">
        <v>475123</v>
      </c>
      <c r="F17" s="5" t="n">
        <v>425577</v>
      </c>
      <c r="G17" s="5" t="n">
        <v>401090</v>
      </c>
      <c r="H17" s="5" t="n"/>
      <c r="I17" s="5" t="n"/>
      <c r="J17" s="5" t="n"/>
      <c r="K17" s="5" t="n"/>
      <c r="L17" s="5" t="n"/>
    </row>
    <row r="19" ht="340" customHeight="1">
      <c r="A19" s="8" t="inlineStr">
        <is>
          <t>Sources - Weatherbys Bank Limited Pillar 3 Disclosures, Group/Solo (identical), Tables 3-4, GBP'000: FY2024, pp.6-7 - https://www.weatherbys.bank/app/uploads/2025/04/Weatherbys-Bank-Pillar-3-Disclosures-2024.pdf; FY2023, p.7 - https://weatherbys.bank/app/uploads/2024/05/Weatherbys-Bank-Pillar-3-Dislcosures-2023.pdf; FY2022, pp.7-8 - https://weatherbys.bank/app/uploads/2023/05/Weatherbys-Bank-Pillar-3-Dislcosures-2022.pdf; FY2021, pp.5-7 -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Weatherbys does not publish a UK OV1-style risk-weighted-exposure-amount table by category - instead each Pillar 3 disclosure gives the minimum capital requirement per credit risk exposure class (Table 3) and per Pillar 1 risk type (Table 4). This RWA Breakdown derives each category's risk-weighted-asset equivalent by dividing its capital requirement by the disclosed conversion rate: FY2021's Table 3 header explicitly states 'Minimum Capital Requirement 8%' (the standard CRR Pillar 1 rate, confirmed in the accompanying text - 'a factor of 8% is applied to the risk weighted exposure amounts'), so FY2021 uses 8%. From FY2022 onward, the PRA set the Bank's own Total Capital Requirement (TCR) at 9% of RWAs (per the FY2022 disclosure's own text: 'In September 2022 the PRA set the Bank's TCR at 9% of RWAs plus a static add-on of £4.4m'), and Table 3/4's own 'minimum capital requirement' figures for FY2022-FY2024 are computed at this firm-specific 9% rate rather than the generic 8% - confirmed by summing each year's credit-risk and operational-risk capital requirement components and dividing by 9%, which reconciles to the separately and directly disclosed Total RWAs figure (see the Total RWAs sheet) to within 0.3% every year, versus a &gt;10% mismatch at 8%. This is therefore a derived breakdown, not a directly published RWEA/OV1 table - the small remaining gap to the disclosed Total RWAs headline (FY2021: £5k/0.001%; FY2022: £1,349k/0.28%; FY2023: £199k/0.04%; FY2024: £1,113k/0.18%) reflects rounding in the underlying, more precise Bank calculation. The Static Pension add-on (a Pillar 2 item, not RWA-based) is excluded from this breakdown. FY2025 is blank because no FY2025 Pillar 3 disclosure was located (same access gap already noted on the other Pillar 3 sheets). FY2020 uses the same 8% conversion rate as FY2021 (its own Table 3 header states 'Minimum Capital Requirement 8%', predating the PRA's September-2022 9%-TCR determination); it reconciles to the directly disclosed Total RWAs figure (401,130) to within 0.01% (FY2020: GBP40k/0.01%). FY2015-FY2019 are blank - no Pillar 3 document was recoverable for those years (see PRE2021_NOTE).</t>
        </is>
      </c>
    </row>
  </sheetData>
  <mergeCells count="1">
    <mergeCell ref="A19:L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n"/>
      <c r="C4" s="6" t="inlineStr">
        <is>
          <t>7.08%</t>
        </is>
      </c>
      <c r="D4" s="6" t="inlineStr">
        <is>
          <t>7.13%</t>
        </is>
      </c>
      <c r="E4" s="6" t="inlineStr">
        <is>
          <t>5.30%</t>
        </is>
      </c>
      <c r="F4" s="6" t="inlineStr">
        <is>
          <t>3.37%</t>
        </is>
      </c>
      <c r="G4" s="6" t="inlineStr">
        <is>
          <t>3.92%</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n"/>
      <c r="C4" s="6" t="inlineStr">
        <is>
          <t>1017%</t>
        </is>
      </c>
      <c r="D4" s="6" t="inlineStr">
        <is>
          <t>896%</t>
        </is>
      </c>
      <c r="E4" s="6" t="inlineStr">
        <is>
          <t>650%</t>
        </is>
      </c>
      <c r="F4" s="6" t="inlineStr">
        <is>
          <t>531%</t>
        </is>
      </c>
      <c r="G4" s="6" t="inlineStr">
        <is>
          <t>683%</t>
        </is>
      </c>
      <c r="H4" s="6" t="inlineStr">
        <is>
          <t>586%</t>
        </is>
      </c>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Net stable funding ratio</t>
        </is>
      </c>
      <c r="B4" s="6" t="n"/>
      <c r="C4" s="6" t="inlineStr">
        <is>
          <t>266%</t>
        </is>
      </c>
      <c r="D4" s="6" t="inlineStr">
        <is>
          <t>254%</t>
        </is>
      </c>
      <c r="E4" s="6" t="inlineStr">
        <is>
          <t>259.7%</t>
        </is>
      </c>
      <c r="F4" s="6" t="inlineStr">
        <is>
          <t>268.2%</t>
        </is>
      </c>
      <c r="G4" s="6" t="inlineStr">
        <is>
          <t>227.8%</t>
        </is>
      </c>
      <c r="H4" s="6" t="inlineStr">
        <is>
          <t>207.6%</t>
        </is>
      </c>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MREL was not separately disclosed in the Weatherbys 2021-2024 Pillar 3 documents reviewed; FY2025 has no official Pillar 3 document located. This is an explicit non-disclosure, not a zero.</t>
        </is>
      </c>
    </row>
    <row r="7" ht="150" customHeight="1">
      <c r="A7"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2026-09-06T16:53:58Z</dcterms:created>
  <dcterms:modified xsi:type="dcterms:W3CDTF">2026-09-06T16:53:58Z</dcterms:modified>
</cp:coreProperties>
</file>