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7030A0"/>
        <bgColor rgb="007030A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Weatherbys Bank Limited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'Overview'!O6</f>
            </strRef>
          </tx>
          <spPr>
            <a:ln xmlns:a="http://schemas.openxmlformats.org/drawingml/2006/main">
              <a:prstDash val="solid"/>
            </a:ln>
          </spPr>
          <cat>
            <numRef>
              <f>'Overview'!$P$5:$Z$5</f>
            </numRef>
          </cat>
          <val>
            <numRef>
              <f>'Overview'!$P$6:$Z$6</f>
            </numRef>
          </val>
        </ser>
        <ser>
          <idx val="1"/>
          <order val="1"/>
          <tx>
            <strRef>
              <f>'Overview'!O7</f>
            </strRef>
          </tx>
          <spPr>
            <a:ln xmlns:a="http://schemas.openxmlformats.org/drawingml/2006/main">
              <a:prstDash val="solid"/>
            </a:ln>
          </spPr>
          <cat>
            <numRef>
              <f>'Overview'!$P$5:$Z$5</f>
            </numRef>
          </cat>
          <val>
            <numRef>
              <f>'Overview'!$P$7:$Z$7</f>
            </numRef>
          </val>
        </ser>
        <ser>
          <idx val="2"/>
          <order val="2"/>
          <tx>
            <strRef>
              <f>'Overview'!O8</f>
            </strRef>
          </tx>
          <spPr>
            <a:ln xmlns:a="http://schemas.openxmlformats.org/drawingml/2006/main">
              <a:prstDash val="solid"/>
            </a:ln>
          </spPr>
          <cat>
            <numRef>
              <f>'Overview'!$P$5:$Z$5</f>
            </numRef>
          </cat>
          <val>
            <numRef>
              <f>'Overview'!$P$8:$Z$8</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GBP'000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Weatherbys Bank Limited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'Overview'!AC12</f>
            </strRef>
          </tx>
          <spPr>
            <a:ln xmlns:a="http://schemas.openxmlformats.org/drawingml/2006/main">
              <a:prstDash val="solid"/>
            </a:ln>
          </spPr>
          <cat>
            <numRef>
              <f>'Overview'!$AD$11:$AN$11</f>
            </numRef>
          </cat>
          <val>
            <numRef>
              <f>'Overview'!$AD$12:$AN$12</f>
            </numRef>
          </val>
        </ser>
        <ser>
          <idx val="1"/>
          <order val="1"/>
          <tx>
            <strRef>
              <f>'Overview'!AC13</f>
            </strRef>
          </tx>
          <spPr>
            <a:ln xmlns:a="http://schemas.openxmlformats.org/drawingml/2006/main">
              <a:prstDash val="solid"/>
            </a:ln>
          </spPr>
          <cat>
            <numRef>
              <f>'Overview'!$AD$11:$AN$11</f>
            </numRef>
          </cat>
          <val>
            <numRef>
              <f>'Overview'!$AD$13:$AN$13</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GBP'000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Weatherbys Bank Limited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'Overview'!AQ17</f>
            </strRef>
          </tx>
          <spPr>
            <a:ln xmlns:a="http://schemas.openxmlformats.org/drawingml/2006/main">
              <a:prstDash val="solid"/>
            </a:ln>
          </spPr>
          <cat>
            <numRef>
              <f>'Overview'!$AR$16:$BB$16</f>
            </numRef>
          </cat>
          <val>
            <numRef>
              <f>'Overview'!$AR$17:$BB$17</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GBP'000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Weatherbys Bank Limited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'Overview'!BE21</f>
            </strRef>
          </tx>
          <spPr>
            <a:ln xmlns:a="http://schemas.openxmlformats.org/drawingml/2006/main">
              <a:prstDash val="solid"/>
            </a:ln>
          </spPr>
          <cat>
            <numRef>
              <f>'Overview'!$BF$20:$BP$20</f>
            </numRef>
          </cat>
          <val>
            <numRef>
              <f>'Overview'!$BF$21:$BP$21</f>
            </numRef>
          </val>
        </ser>
        <ser>
          <idx val="1"/>
          <order val="1"/>
          <tx>
            <strRef>
              <f>'Overview'!BE22</f>
            </strRef>
          </tx>
          <spPr>
            <a:ln xmlns:a="http://schemas.openxmlformats.org/drawingml/2006/main">
              <a:prstDash val="solid"/>
            </a:ln>
          </spPr>
          <cat>
            <numRef>
              <f>'Overview'!$BF$20:$BP$20</f>
            </numRef>
          </cat>
          <val>
            <numRef>
              <f>'Overview'!$BF$22:$BP$22</f>
            </numRef>
          </val>
        </ser>
        <ser>
          <idx val="2"/>
          <order val="2"/>
          <tx>
            <strRef>
              <f>'Overview'!BE23</f>
            </strRef>
          </tx>
          <spPr>
            <a:ln xmlns:a="http://schemas.openxmlformats.org/drawingml/2006/main">
              <a:prstDash val="solid"/>
            </a:ln>
          </spPr>
          <cat>
            <numRef>
              <f>'Overview'!$BF$20:$BP$20</f>
            </numRef>
          </cat>
          <val>
            <numRef>
              <f>'Overview'!$BF$23:$BP$23</f>
            </numRef>
          </val>
        </ser>
        <ser>
          <idx val="3"/>
          <order val="3"/>
          <tx>
            <strRef>
              <f>'Overview'!BE24</f>
            </strRef>
          </tx>
          <spPr>
            <a:ln xmlns:a="http://schemas.openxmlformats.org/drawingml/2006/main">
              <a:prstDash val="solid"/>
            </a:ln>
          </spPr>
          <cat>
            <numRef>
              <f>'Overview'!$BF$20:$BP$20</f>
            </numRef>
          </cat>
          <val>
            <numRef>
              <f>'Overview'!$BF$24:$BP$24</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GBP'000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Weatherbys Bank Limited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'Overview'!BS6</f>
            </strRef>
          </tx>
          <spPr>
            <a:ln xmlns:a="http://schemas.openxmlformats.org/drawingml/2006/main">
              <a:prstDash val="solid"/>
            </a:ln>
          </spPr>
          <marker>
            <symbol val="none"/>
            <spPr>
              <a:ln xmlns:a="http://schemas.openxmlformats.org/drawingml/2006/main">
                <a:prstDash val="solid"/>
              </a:ln>
            </spPr>
          </marker>
          <cat>
            <numRef>
              <f>'Overview'!$BT$5:$BZ$5</f>
            </numRef>
          </cat>
          <val>
            <numRef>
              <f>'Overview'!$BT$6:$BZ$6</f>
            </numRef>
          </val>
          <smooth val="0"/>
        </ser>
        <ser>
          <idx val="1"/>
          <order val="1"/>
          <tx>
            <strRef>
              <f>'Overview'!BS7</f>
            </strRef>
          </tx>
          <spPr>
            <a:ln xmlns:a="http://schemas.openxmlformats.org/drawingml/2006/main">
              <a:prstDash val="solid"/>
            </a:ln>
          </spPr>
          <marker>
            <symbol val="none"/>
            <spPr>
              <a:ln xmlns:a="http://schemas.openxmlformats.org/drawingml/2006/main">
                <a:prstDash val="solid"/>
              </a:ln>
            </spPr>
          </marker>
          <cat>
            <numRef>
              <f>'Overview'!$BT$5:$BZ$5</f>
            </numRef>
          </cat>
          <val>
            <numRef>
              <f>'Overview'!$BT$7:$BZ$7</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33</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55</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77</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99</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121</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Z31"/>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s>
  <sheetData>
    <row r="1">
      <c r="A1" s="1" t="inlineStr">
        <is>
          <t>Weatherbys Bank Limited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(GBP'000)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P5" t="inlineStr">
        <is>
          <t>FY2015</t>
        </is>
      </c>
      <c r="Q5" t="inlineStr">
        <is>
          <t>FY2016</t>
        </is>
      </c>
      <c r="R5" t="inlineStr">
        <is>
          <t>FY2017</t>
        </is>
      </c>
      <c r="S5" t="inlineStr">
        <is>
          <t>FY2018</t>
        </is>
      </c>
      <c r="T5" t="inlineStr">
        <is>
          <t>FY2019</t>
        </is>
      </c>
      <c r="U5" t="inlineStr">
        <is>
          <t>FY2020</t>
        </is>
      </c>
      <c r="V5" t="inlineStr">
        <is>
          <t>FY2021</t>
        </is>
      </c>
      <c r="W5" t="inlineStr">
        <is>
          <t>FY2022</t>
        </is>
      </c>
      <c r="X5" t="inlineStr">
        <is>
          <t>FY2023</t>
        </is>
      </c>
      <c r="Y5" t="inlineStr">
        <is>
          <t>FY2024</t>
        </is>
      </c>
      <c r="Z5" t="inlineStr">
        <is>
          <t>FY2025</t>
        </is>
      </c>
      <c r="BT5" t="inlineStr">
        <is>
          <t>FY2019</t>
        </is>
      </c>
      <c r="BU5" t="inlineStr">
        <is>
          <t>FY2020</t>
        </is>
      </c>
      <c r="BV5" t="inlineStr">
        <is>
          <t>FY2021</t>
        </is>
      </c>
      <c r="BW5" t="inlineStr">
        <is>
          <t>FY2022</t>
        </is>
      </c>
      <c r="BX5" t="inlineStr">
        <is>
          <t>FY2023</t>
        </is>
      </c>
      <c r="BY5" t="inlineStr">
        <is>
          <t>FY2024</t>
        </is>
      </c>
      <c r="BZ5" t="inlineStr">
        <is>
          <t>FY2025</t>
        </is>
      </c>
    </row>
    <row r="6">
      <c r="A6" s="5" t="inlineStr">
        <is>
          <t>Total assets</t>
        </is>
      </c>
      <c r="B6" s="5" t="n">
        <v>2053447</v>
      </c>
      <c r="C6" s="5" t="n">
        <v>1848494</v>
      </c>
      <c r="D6" s="5" t="n">
        <v>1637674</v>
      </c>
      <c r="E6" s="5" t="n">
        <v>1608564</v>
      </c>
      <c r="F6" s="5" t="n">
        <v>1476083</v>
      </c>
      <c r="G6" s="5" t="n">
        <v>1156429</v>
      </c>
      <c r="H6" s="5" t="n">
        <v>967101</v>
      </c>
      <c r="I6" s="5" t="n">
        <v>878368</v>
      </c>
      <c r="J6" s="5" t="n">
        <v>758839</v>
      </c>
      <c r="K6" s="5" t="n">
        <v>634559</v>
      </c>
      <c r="L6" s="5" t="n">
        <v>527361</v>
      </c>
      <c r="O6" t="inlineStr">
        <is>
          <t>Total assets</t>
        </is>
      </c>
      <c r="P6" t="n">
        <v>527361</v>
      </c>
      <c r="Q6" t="n">
        <v>634559</v>
      </c>
      <c r="R6" t="n">
        <v>758839</v>
      </c>
      <c r="S6" t="n">
        <v>878368</v>
      </c>
      <c r="T6" t="n">
        <v>967101</v>
      </c>
      <c r="U6" t="n">
        <v>1156429</v>
      </c>
      <c r="V6" t="n">
        <v>1476083</v>
      </c>
      <c r="W6" t="n">
        <v>1608564</v>
      </c>
      <c r="X6" t="n">
        <v>1637674</v>
      </c>
      <c r="Y6" t="n">
        <v>1848494</v>
      </c>
      <c r="Z6" t="n">
        <v>2053447</v>
      </c>
      <c r="BS6" t="inlineStr">
        <is>
          <t>CET1 Ratio</t>
        </is>
      </c>
      <c r="BT6" t="n">
        <v>12.67</v>
      </c>
      <c r="BU6" t="n">
        <v>11.69</v>
      </c>
      <c r="BV6" t="n">
        <v>11.81</v>
      </c>
      <c r="BW6" t="n">
        <v>12.07</v>
      </c>
      <c r="BX6" t="n">
        <v>13.48</v>
      </c>
      <c r="BY6" t="n">
        <v>13.84</v>
      </c>
      <c r="BZ6" t="n">
        <v>13.1</v>
      </c>
    </row>
    <row r="7">
      <c r="A7" s="5" t="inlineStr">
        <is>
          <t>Total liabilities</t>
        </is>
      </c>
      <c r="B7" s="5" t="n">
        <v>1942333</v>
      </c>
      <c r="C7" s="5" t="n">
        <v>1748451</v>
      </c>
      <c r="D7" s="5" t="n">
        <v>1552683</v>
      </c>
      <c r="E7" s="5" t="n">
        <v>1546064</v>
      </c>
      <c r="F7" s="5" t="n">
        <v>1423283</v>
      </c>
      <c r="G7" s="5" t="n">
        <v>1108043</v>
      </c>
      <c r="H7" s="5" t="n">
        <v>919779</v>
      </c>
      <c r="I7" s="5" t="n">
        <v>834806</v>
      </c>
      <c r="J7" s="5" t="n">
        <v>719637</v>
      </c>
      <c r="K7" s="5" t="n">
        <v>598547</v>
      </c>
      <c r="L7" s="5" t="n">
        <v>495207</v>
      </c>
      <c r="O7" t="inlineStr">
        <is>
          <t>Total liabilities</t>
        </is>
      </c>
      <c r="P7" t="n">
        <v>495207</v>
      </c>
      <c r="Q7" t="n">
        <v>598547</v>
      </c>
      <c r="R7" t="n">
        <v>719637</v>
      </c>
      <c r="S7" t="n">
        <v>834806</v>
      </c>
      <c r="T7" t="n">
        <v>919779</v>
      </c>
      <c r="U7" t="n">
        <v>1108043</v>
      </c>
      <c r="V7" t="n">
        <v>1423283</v>
      </c>
      <c r="W7" t="n">
        <v>1546064</v>
      </c>
      <c r="X7" t="n">
        <v>1552683</v>
      </c>
      <c r="Y7" t="n">
        <v>1748451</v>
      </c>
      <c r="Z7" t="n">
        <v>1942333</v>
      </c>
      <c r="BS7" t="inlineStr">
        <is>
          <t>Total Capital Ratio</t>
        </is>
      </c>
      <c r="BT7" t="n">
        <v>15.74</v>
      </c>
      <c r="BU7" t="n">
        <v>14.53</v>
      </c>
      <c r="BV7" t="n">
        <v>14.48</v>
      </c>
      <c r="BW7" t="n">
        <v>14.5</v>
      </c>
      <c r="BX7" t="n">
        <v>16.17</v>
      </c>
      <c r="BY7" t="n">
        <v>16.26</v>
      </c>
      <c r="BZ7" t="n">
        <v>15.3</v>
      </c>
    </row>
    <row r="8">
      <c r="A8" s="5" t="inlineStr">
        <is>
          <t>Total equity</t>
        </is>
      </c>
      <c r="B8" s="5" t="n">
        <v>111114</v>
      </c>
      <c r="C8" s="5" t="n">
        <v>100043</v>
      </c>
      <c r="D8" s="5" t="n">
        <v>84991</v>
      </c>
      <c r="E8" s="5" t="n">
        <v>62500</v>
      </c>
      <c r="F8" s="5" t="n">
        <v>52800</v>
      </c>
      <c r="G8" s="5" t="n">
        <v>48386</v>
      </c>
      <c r="H8" s="5" t="n">
        <v>47322</v>
      </c>
      <c r="I8" s="5" t="n">
        <v>43562</v>
      </c>
      <c r="J8" s="5" t="n">
        <v>39201</v>
      </c>
      <c r="K8" s="5" t="n">
        <v>36012</v>
      </c>
      <c r="L8" s="5" t="n">
        <v>32154</v>
      </c>
      <c r="O8" t="inlineStr">
        <is>
          <t>Total equity</t>
        </is>
      </c>
      <c r="P8" t="n">
        <v>32154</v>
      </c>
      <c r="Q8" t="n">
        <v>36012</v>
      </c>
      <c r="R8" t="n">
        <v>39201</v>
      </c>
      <c r="S8" t="n">
        <v>43562</v>
      </c>
      <c r="T8" t="n">
        <v>47322</v>
      </c>
      <c r="U8" t="n">
        <v>48386</v>
      </c>
      <c r="V8" t="n">
        <v>52800</v>
      </c>
      <c r="W8" t="n">
        <v>62500</v>
      </c>
      <c r="X8" t="n">
        <v>84991</v>
      </c>
      <c r="Y8" t="n">
        <v>100043</v>
      </c>
      <c r="Z8" t="n">
        <v>111114</v>
      </c>
    </row>
    <row r="10">
      <c r="A10" s="3" t="inlineStr">
        <is>
          <t>Profit &amp; Loss Summary (GBP'000)</t>
        </is>
      </c>
    </row>
    <row r="11">
      <c r="A11" s="4" t="inlineStr">
        <is>
          <t>Line item</t>
        </is>
      </c>
      <c r="B11" s="4" t="inlineStr">
        <is>
          <t>FY2025</t>
        </is>
      </c>
      <c r="C11" s="4" t="inlineStr">
        <is>
          <t>FY2024</t>
        </is>
      </c>
      <c r="D11" s="4" t="inlineStr">
        <is>
          <t>FY2023</t>
        </is>
      </c>
      <c r="E11" s="4" t="inlineStr">
        <is>
          <t>FY2022</t>
        </is>
      </c>
      <c r="F11" s="4" t="inlineStr">
        <is>
          <t>FY2021</t>
        </is>
      </c>
      <c r="G11" s="4" t="inlineStr">
        <is>
          <t>FY2020</t>
        </is>
      </c>
      <c r="H11" s="4" t="inlineStr">
        <is>
          <t>FY2019</t>
        </is>
      </c>
      <c r="I11" s="4" t="inlineStr">
        <is>
          <t>FY2018</t>
        </is>
      </c>
      <c r="J11" s="4" t="inlineStr">
        <is>
          <t>FY2017</t>
        </is>
      </c>
      <c r="K11" s="4" t="inlineStr">
        <is>
          <t>FY2016</t>
        </is>
      </c>
      <c r="L11" s="4" t="inlineStr">
        <is>
          <t>FY2015</t>
        </is>
      </c>
      <c r="AD11" t="inlineStr">
        <is>
          <t>FY2015</t>
        </is>
      </c>
      <c r="AE11" t="inlineStr">
        <is>
          <t>FY2016</t>
        </is>
      </c>
      <c r="AF11" t="inlineStr">
        <is>
          <t>FY2017</t>
        </is>
      </c>
      <c r="AG11" t="inlineStr">
        <is>
          <t>FY2018</t>
        </is>
      </c>
      <c r="AH11" t="inlineStr">
        <is>
          <t>FY2019</t>
        </is>
      </c>
      <c r="AI11" t="inlineStr">
        <is>
          <t>FY2020</t>
        </is>
      </c>
      <c r="AJ11" t="inlineStr">
        <is>
          <t>FY2021</t>
        </is>
      </c>
      <c r="AK11" t="inlineStr">
        <is>
          <t>FY2022</t>
        </is>
      </c>
      <c r="AL11" t="inlineStr">
        <is>
          <t>FY2023</t>
        </is>
      </c>
      <c r="AM11" t="inlineStr">
        <is>
          <t>FY2024</t>
        </is>
      </c>
      <c r="AN11" t="inlineStr">
        <is>
          <t>FY2025</t>
        </is>
      </c>
    </row>
    <row r="12">
      <c r="A12" s="5" t="inlineStr">
        <is>
          <t>Operating income</t>
        </is>
      </c>
      <c r="B12" s="5" t="n">
        <v>91095</v>
      </c>
      <c r="C12" s="5" t="n">
        <v>90426</v>
      </c>
      <c r="D12" s="5" t="n">
        <v>88426</v>
      </c>
      <c r="E12" s="5" t="n">
        <v>58029</v>
      </c>
      <c r="F12" s="5" t="n">
        <v>39775</v>
      </c>
      <c r="G12" s="5" t="n">
        <v>35695</v>
      </c>
      <c r="H12" s="5" t="n">
        <v>35970</v>
      </c>
      <c r="I12" s="5" t="n">
        <v>30789</v>
      </c>
      <c r="J12" s="5" t="n">
        <v>26382</v>
      </c>
      <c r="K12" s="5" t="n">
        <v>23021</v>
      </c>
      <c r="L12" s="5" t="n">
        <v>20502</v>
      </c>
      <c r="AC12" t="inlineStr">
        <is>
          <t>Operating income</t>
        </is>
      </c>
      <c r="AD12" t="n">
        <v>20502</v>
      </c>
      <c r="AE12" t="n">
        <v>23021</v>
      </c>
      <c r="AF12" t="n">
        <v>26382</v>
      </c>
      <c r="AG12" t="n">
        <v>30789</v>
      </c>
      <c r="AH12" t="n">
        <v>35970</v>
      </c>
      <c r="AI12" t="n">
        <v>35695</v>
      </c>
      <c r="AJ12" t="n">
        <v>39775</v>
      </c>
      <c r="AK12" t="n">
        <v>58029</v>
      </c>
      <c r="AL12" t="n">
        <v>88426</v>
      </c>
      <c r="AM12" t="n">
        <v>90426</v>
      </c>
      <c r="AN12" t="n">
        <v>91095</v>
      </c>
    </row>
    <row r="13">
      <c r="A13" s="5" t="inlineStr">
        <is>
          <t>Profit for the financial year</t>
        </is>
      </c>
      <c r="B13" s="5" t="n">
        <v>19244</v>
      </c>
      <c r="C13" s="5" t="n">
        <v>18270</v>
      </c>
      <c r="D13" s="5" t="n">
        <v>24735</v>
      </c>
      <c r="E13" s="5" t="n">
        <v>11909</v>
      </c>
      <c r="F13" s="5" t="n">
        <v>5206</v>
      </c>
      <c r="G13" s="5" t="n">
        <v>1931</v>
      </c>
      <c r="H13" s="5" t="n">
        <v>6146</v>
      </c>
      <c r="I13" s="5" t="n">
        <v>6084</v>
      </c>
      <c r="J13" s="5" t="n">
        <v>4428</v>
      </c>
      <c r="K13" s="5" t="n">
        <v>5321</v>
      </c>
      <c r="L13" s="5" t="n">
        <v>5942</v>
      </c>
      <c r="AC13" t="inlineStr">
        <is>
          <t>Profit for the financial year</t>
        </is>
      </c>
      <c r="AD13" t="n">
        <v>5942</v>
      </c>
      <c r="AE13" t="n">
        <v>5321</v>
      </c>
      <c r="AF13" t="n">
        <v>4428</v>
      </c>
      <c r="AG13" t="n">
        <v>6084</v>
      </c>
      <c r="AH13" t="n">
        <v>6146</v>
      </c>
      <c r="AI13" t="n">
        <v>1931</v>
      </c>
      <c r="AJ13" t="n">
        <v>5206</v>
      </c>
      <c r="AK13" t="n">
        <v>11909</v>
      </c>
      <c r="AL13" t="n">
        <v>24735</v>
      </c>
      <c r="AM13" t="n">
        <v>18270</v>
      </c>
      <c r="AN13" t="n">
        <v>19244</v>
      </c>
    </row>
    <row r="15">
      <c r="A15" s="3" t="inlineStr">
        <is>
          <t>Statement of Changes in Equity Summary (GBP'000)</t>
        </is>
      </c>
    </row>
    <row r="16">
      <c r="A16" s="4" t="inlineStr">
        <is>
          <t>Line item</t>
        </is>
      </c>
      <c r="B16" s="4" t="inlineStr">
        <is>
          <t>FY2025</t>
        </is>
      </c>
      <c r="C16" s="4" t="inlineStr">
        <is>
          <t>FY2024</t>
        </is>
      </c>
      <c r="D16" s="4" t="inlineStr">
        <is>
          <t>FY2023</t>
        </is>
      </c>
      <c r="E16" s="4" t="inlineStr">
        <is>
          <t>FY2022</t>
        </is>
      </c>
      <c r="F16" s="4" t="inlineStr">
        <is>
          <t>FY2021</t>
        </is>
      </c>
      <c r="G16" s="4" t="inlineStr">
        <is>
          <t>FY2020</t>
        </is>
      </c>
      <c r="H16" s="4" t="inlineStr">
        <is>
          <t>FY2019</t>
        </is>
      </c>
      <c r="I16" s="4" t="inlineStr">
        <is>
          <t>FY2018</t>
        </is>
      </c>
      <c r="J16" s="4" t="inlineStr">
        <is>
          <t>FY2017</t>
        </is>
      </c>
      <c r="K16" s="4" t="inlineStr">
        <is>
          <t>FY2016</t>
        </is>
      </c>
      <c r="L16" s="4" t="inlineStr">
        <is>
          <t>FY2015</t>
        </is>
      </c>
      <c r="AR16" t="inlineStr">
        <is>
          <t>FY2015</t>
        </is>
      </c>
      <c r="AS16" t="inlineStr">
        <is>
          <t>FY2016</t>
        </is>
      </c>
      <c r="AT16" t="inlineStr">
        <is>
          <t>FY2017</t>
        </is>
      </c>
      <c r="AU16" t="inlineStr">
        <is>
          <t>FY2018</t>
        </is>
      </c>
      <c r="AV16" t="inlineStr">
        <is>
          <t>FY2019</t>
        </is>
      </c>
      <c r="AW16" t="inlineStr">
        <is>
          <t>FY2020</t>
        </is>
      </c>
      <c r="AX16" t="inlineStr">
        <is>
          <t>FY2021</t>
        </is>
      </c>
      <c r="AY16" t="inlineStr">
        <is>
          <t>FY2022</t>
        </is>
      </c>
      <c r="AZ16" t="inlineStr">
        <is>
          <t>FY2023</t>
        </is>
      </c>
      <c r="BA16" t="inlineStr">
        <is>
          <t>FY2024</t>
        </is>
      </c>
      <c r="BB16" t="inlineStr">
        <is>
          <t>FY2025</t>
        </is>
      </c>
    </row>
    <row r="17">
      <c r="A17" s="5" t="inlineStr">
        <is>
          <t>Total equity (year-end)</t>
        </is>
      </c>
      <c r="B17" s="5" t="n">
        <v>111114</v>
      </c>
      <c r="C17" s="5" t="n">
        <v>100043</v>
      </c>
      <c r="D17" s="5" t="n">
        <v>84991</v>
      </c>
      <c r="E17" s="5" t="n">
        <v>62500</v>
      </c>
      <c r="F17" s="5" t="n">
        <v>52800</v>
      </c>
      <c r="G17" s="5" t="n">
        <v>48386</v>
      </c>
      <c r="H17" s="5" t="n">
        <v>47322</v>
      </c>
      <c r="I17" s="5" t="n">
        <v>43562</v>
      </c>
      <c r="J17" s="5" t="n">
        <v>39201</v>
      </c>
      <c r="K17" s="5" t="n">
        <v>36012</v>
      </c>
      <c r="L17" s="5" t="n">
        <v>32154</v>
      </c>
      <c r="AQ17" t="inlineStr">
        <is>
          <t>Total equity (year-end)</t>
        </is>
      </c>
      <c r="AR17" t="n">
        <v>32154</v>
      </c>
      <c r="AS17" t="n">
        <v>36012</v>
      </c>
      <c r="AT17" t="n">
        <v>39201</v>
      </c>
      <c r="AU17" t="n">
        <v>43562</v>
      </c>
      <c r="AV17" t="n">
        <v>47322</v>
      </c>
      <c r="AW17" t="n">
        <v>48386</v>
      </c>
      <c r="AX17" t="n">
        <v>52800</v>
      </c>
      <c r="AY17" t="n">
        <v>62500</v>
      </c>
      <c r="AZ17" t="n">
        <v>84991</v>
      </c>
      <c r="BA17" t="n">
        <v>100043</v>
      </c>
      <c r="BB17" t="n">
        <v>111114</v>
      </c>
    </row>
    <row r="19">
      <c r="A19" s="3" t="inlineStr">
        <is>
          <t>Cash Flow Summary (GBP'000)</t>
        </is>
      </c>
    </row>
    <row r="20">
      <c r="A20" s="4" t="inlineStr">
        <is>
          <t>Line item</t>
        </is>
      </c>
      <c r="B20" s="4" t="inlineStr">
        <is>
          <t>FY2025</t>
        </is>
      </c>
      <c r="C20" s="4" t="inlineStr">
        <is>
          <t>FY2024</t>
        </is>
      </c>
      <c r="D20" s="4" t="inlineStr">
        <is>
          <t>FY2023</t>
        </is>
      </c>
      <c r="E20" s="4" t="inlineStr">
        <is>
          <t>FY2022</t>
        </is>
      </c>
      <c r="F20" s="4" t="inlineStr">
        <is>
          <t>FY2021</t>
        </is>
      </c>
      <c r="G20" s="4" t="inlineStr">
        <is>
          <t>FY2020</t>
        </is>
      </c>
      <c r="H20" s="4" t="inlineStr">
        <is>
          <t>FY2019</t>
        </is>
      </c>
      <c r="I20" s="4" t="inlineStr">
        <is>
          <t>FY2018</t>
        </is>
      </c>
      <c r="J20" s="4" t="inlineStr">
        <is>
          <t>FY2017</t>
        </is>
      </c>
      <c r="K20" s="4" t="inlineStr">
        <is>
          <t>FY2016</t>
        </is>
      </c>
      <c r="L20" s="4" t="inlineStr">
        <is>
          <t>FY2015</t>
        </is>
      </c>
      <c r="BF20" t="inlineStr">
        <is>
          <t>FY2015</t>
        </is>
      </c>
      <c r="BG20" t="inlineStr">
        <is>
          <t>FY2016</t>
        </is>
      </c>
      <c r="BH20" t="inlineStr">
        <is>
          <t>FY2017</t>
        </is>
      </c>
      <c r="BI20" t="inlineStr">
        <is>
          <t>FY2018</t>
        </is>
      </c>
      <c r="BJ20" t="inlineStr">
        <is>
          <t>FY2019</t>
        </is>
      </c>
      <c r="BK20" t="inlineStr">
        <is>
          <t>FY2020</t>
        </is>
      </c>
      <c r="BL20" t="inlineStr">
        <is>
          <t>FY2021</t>
        </is>
      </c>
      <c r="BM20" t="inlineStr">
        <is>
          <t>FY2022</t>
        </is>
      </c>
      <c r="BN20" t="inlineStr">
        <is>
          <t>FY2023</t>
        </is>
      </c>
      <c r="BO20" t="inlineStr">
        <is>
          <t>FY2024</t>
        </is>
      </c>
      <c r="BP20" t="inlineStr">
        <is>
          <t>FY2025</t>
        </is>
      </c>
    </row>
    <row r="21">
      <c r="A21" s="5" t="inlineStr">
        <is>
          <t>Net cash generated/(used) from operating activities</t>
        </is>
      </c>
      <c r="B21" s="5" t="n">
        <v>69254</v>
      </c>
      <c r="C21" s="5" t="n">
        <v>177587</v>
      </c>
      <c r="D21" s="5" t="n">
        <v>-12129</v>
      </c>
      <c r="E21" s="5" t="n">
        <v>91999</v>
      </c>
      <c r="F21" s="5" t="n">
        <v>254993</v>
      </c>
      <c r="G21" s="5" t="n">
        <v>102664</v>
      </c>
      <c r="H21" s="5" t="n">
        <v>-22536</v>
      </c>
      <c r="I21" s="5" t="n">
        <v>27696</v>
      </c>
      <c r="J21" s="5" t="n">
        <v>64637</v>
      </c>
      <c r="K21" s="5" t="n">
        <v>59103</v>
      </c>
      <c r="L21" s="5" t="n">
        <v>-8852</v>
      </c>
      <c r="BE21" t="inlineStr">
        <is>
          <t>Net cash generated/(used) from operating activities</t>
        </is>
      </c>
      <c r="BF21" t="n">
        <v>-8852</v>
      </c>
      <c r="BG21" t="n">
        <v>59103</v>
      </c>
      <c r="BH21" t="n">
        <v>64637</v>
      </c>
      <c r="BI21" t="n">
        <v>27696</v>
      </c>
      <c r="BJ21" t="n">
        <v>-22536</v>
      </c>
      <c r="BK21" t="n">
        <v>102664</v>
      </c>
      <c r="BL21" t="n">
        <v>254993</v>
      </c>
      <c r="BM21" t="n">
        <v>91999</v>
      </c>
      <c r="BN21" t="n">
        <v>-12129</v>
      </c>
      <c r="BO21" t="n">
        <v>177587</v>
      </c>
      <c r="BP21" t="n">
        <v>69254</v>
      </c>
    </row>
    <row r="22">
      <c r="A22" s="5" t="inlineStr">
        <is>
          <t>Net cash (used)/generated from investing activities</t>
        </is>
      </c>
      <c r="B22" s="5" t="n">
        <v>-176680</v>
      </c>
      <c r="C22" s="5" t="n">
        <v>-110119</v>
      </c>
      <c r="D22" s="5" t="n">
        <v>53783</v>
      </c>
      <c r="E22" s="5" t="n">
        <v>-97158</v>
      </c>
      <c r="F22" s="5" t="n">
        <v>12550</v>
      </c>
      <c r="G22" s="5" t="n">
        <v>-37377</v>
      </c>
      <c r="H22" s="5" t="n">
        <v>-12138</v>
      </c>
      <c r="I22" s="5" t="n">
        <v>-10165</v>
      </c>
      <c r="J22" s="5" t="n">
        <v>-7183</v>
      </c>
      <c r="K22" s="5" t="n">
        <v>22261</v>
      </c>
      <c r="L22" s="5" t="n">
        <v>-11156</v>
      </c>
      <c r="BE22" t="inlineStr">
        <is>
          <t>Net cash (used)/generated from investing activities</t>
        </is>
      </c>
      <c r="BF22" t="n">
        <v>-11156</v>
      </c>
      <c r="BG22" t="n">
        <v>22261</v>
      </c>
      <c r="BH22" t="n">
        <v>-7183</v>
      </c>
      <c r="BI22" t="n">
        <v>-10165</v>
      </c>
      <c r="BJ22" t="n">
        <v>-12138</v>
      </c>
      <c r="BK22" t="n">
        <v>-37377</v>
      </c>
      <c r="BL22" t="n">
        <v>12550</v>
      </c>
      <c r="BM22" t="n">
        <v>-97158</v>
      </c>
      <c r="BN22" t="n">
        <v>53783</v>
      </c>
      <c r="BO22" t="n">
        <v>-110119</v>
      </c>
      <c r="BP22" t="n">
        <v>-176680</v>
      </c>
    </row>
    <row r="23">
      <c r="A23" s="5" t="inlineStr">
        <is>
          <t>Net cash (used)/generated from financing activities</t>
        </is>
      </c>
      <c r="B23" s="5" t="n">
        <v>-11100</v>
      </c>
      <c r="C23" s="5" t="n">
        <v>-5000</v>
      </c>
      <c r="D23" s="5" t="n">
        <v>-2000</v>
      </c>
      <c r="E23" s="5" t="n">
        <v>-2000</v>
      </c>
      <c r="F23" s="5" t="n">
        <v>-1250</v>
      </c>
      <c r="G23" s="5" t="n">
        <v>-250</v>
      </c>
      <c r="H23" s="5" t="n">
        <v>-2050</v>
      </c>
      <c r="I23" s="5" t="n">
        <v>8250</v>
      </c>
      <c r="J23" s="5" t="n">
        <v>-1250</v>
      </c>
      <c r="K23" s="5" t="n">
        <v>-1520</v>
      </c>
      <c r="L23" s="5" t="n">
        <v>-1140</v>
      </c>
      <c r="BE23" t="inlineStr">
        <is>
          <t>Net cash (used)/generated from financing activities</t>
        </is>
      </c>
      <c r="BF23" t="n">
        <v>-1140</v>
      </c>
      <c r="BG23" t="n">
        <v>-1520</v>
      </c>
      <c r="BH23" t="n">
        <v>-1250</v>
      </c>
      <c r="BI23" t="n">
        <v>8250</v>
      </c>
      <c r="BJ23" t="n">
        <v>-2050</v>
      </c>
      <c r="BK23" t="n">
        <v>-250</v>
      </c>
      <c r="BL23" t="n">
        <v>-1250</v>
      </c>
      <c r="BM23" t="n">
        <v>-2000</v>
      </c>
      <c r="BN23" t="n">
        <v>-2000</v>
      </c>
      <c r="BO23" t="n">
        <v>-5000</v>
      </c>
      <c r="BP23" t="n">
        <v>-11100</v>
      </c>
    </row>
    <row r="24">
      <c r="A24" s="5" t="inlineStr">
        <is>
          <t>Cash and cash equivalents at end of year</t>
        </is>
      </c>
      <c r="B24" s="5" t="n">
        <v>568817</v>
      </c>
      <c r="C24" s="5" t="n">
        <v>687343</v>
      </c>
      <c r="D24" s="5" t="n">
        <v>624875</v>
      </c>
      <c r="E24" s="5" t="n">
        <v>585221</v>
      </c>
      <c r="F24" s="5" t="n">
        <v>592380</v>
      </c>
      <c r="G24" s="5" t="n">
        <v>326087</v>
      </c>
      <c r="H24" s="5" t="n">
        <v>261050</v>
      </c>
      <c r="I24" s="5" t="n">
        <v>297773</v>
      </c>
      <c r="J24" s="5" t="n">
        <v>271992</v>
      </c>
      <c r="K24" s="5" t="n">
        <v>215788</v>
      </c>
      <c r="L24" s="5" t="n">
        <v>135944</v>
      </c>
      <c r="BE24" t="inlineStr">
        <is>
          <t>Cash and cash equivalents at end of year</t>
        </is>
      </c>
      <c r="BF24" t="n">
        <v>135944</v>
      </c>
      <c r="BG24" t="n">
        <v>215788</v>
      </c>
      <c r="BH24" t="n">
        <v>271992</v>
      </c>
      <c r="BI24" t="n">
        <v>297773</v>
      </c>
      <c r="BJ24" t="n">
        <v>261050</v>
      </c>
      <c r="BK24" t="n">
        <v>326087</v>
      </c>
      <c r="BL24" t="n">
        <v>592380</v>
      </c>
      <c r="BM24" t="n">
        <v>585221</v>
      </c>
      <c r="BN24" t="n">
        <v>624875</v>
      </c>
      <c r="BO24" t="n">
        <v>687343</v>
      </c>
      <c r="BP24" t="n">
        <v>568817</v>
      </c>
    </row>
    <row r="26">
      <c r="A26" s="3" t="inlineStr">
        <is>
          <t>Pillar 3 Key Metrics</t>
        </is>
      </c>
    </row>
    <row r="27">
      <c r="A27" s="4" t="inlineStr">
        <is>
          <t>Line item</t>
        </is>
      </c>
      <c r="B27" s="4" t="inlineStr">
        <is>
          <t>FY2025</t>
        </is>
      </c>
      <c r="C27" s="4" t="inlineStr">
        <is>
          <t>FY2024</t>
        </is>
      </c>
      <c r="D27" s="4" t="inlineStr">
        <is>
          <t>FY2023</t>
        </is>
      </c>
      <c r="E27" s="4" t="inlineStr">
        <is>
          <t>FY2022</t>
        </is>
      </c>
      <c r="F27" s="4" t="inlineStr">
        <is>
          <t>FY2021</t>
        </is>
      </c>
      <c r="G27" s="4" t="inlineStr">
        <is>
          <t>FY2020</t>
        </is>
      </c>
      <c r="H27" s="4" t="inlineStr">
        <is>
          <t>FY2019</t>
        </is>
      </c>
    </row>
    <row r="28">
      <c r="A28" s="6" t="inlineStr">
        <is>
          <t>CET1 Ratio</t>
        </is>
      </c>
      <c r="B28" s="6" t="inlineStr">
        <is>
          <t>13.1%</t>
        </is>
      </c>
      <c r="C28" s="6" t="inlineStr">
        <is>
          <t>13.84%</t>
        </is>
      </c>
      <c r="D28" s="6" t="inlineStr">
        <is>
          <t>13.48%</t>
        </is>
      </c>
      <c r="E28" s="6" t="inlineStr">
        <is>
          <t>12.07%</t>
        </is>
      </c>
      <c r="F28" s="6" t="inlineStr">
        <is>
          <t>11.81%</t>
        </is>
      </c>
      <c r="G28" s="6" t="inlineStr">
        <is>
          <t>11.69%</t>
        </is>
      </c>
      <c r="H28" s="6" t="inlineStr">
        <is>
          <t>12.67%</t>
        </is>
      </c>
    </row>
    <row r="29">
      <c r="A29" s="6" t="inlineStr">
        <is>
          <t>Total Capital Ratio</t>
        </is>
      </c>
      <c r="B29" s="6" t="inlineStr">
        <is>
          <t>15.3%</t>
        </is>
      </c>
      <c r="C29" s="6" t="inlineStr">
        <is>
          <t>16.26%</t>
        </is>
      </c>
      <c r="D29" s="6" t="inlineStr">
        <is>
          <t>16.17%</t>
        </is>
      </c>
      <c r="E29" s="6" t="inlineStr">
        <is>
          <t>14.50%</t>
        </is>
      </c>
      <c r="F29" s="6" t="inlineStr">
        <is>
          <t>14.48%</t>
        </is>
      </c>
      <c r="G29" s="6" t="inlineStr">
        <is>
          <t>14.53%</t>
        </is>
      </c>
      <c r="H29" s="6" t="inlineStr">
        <is>
          <t>15.74%</t>
        </is>
      </c>
    </row>
    <row r="31" ht="78" customHeight="1">
      <c r="A31" s="7" t="inlineStr">
        <is>
          <t>Note: FY2025 has no Weatherbys Pillar 3 disclosure document (none published as at 15 September 2026), so its CET1 Ratio, Total Capital, Total Capital Ratio, Leverage Ratio, LCR and NSFR are taken from the Annual Report and Financial Accounts 2025 instead (consolidated basis, same basis as the Pillar 3 series - every FY2024 comparative printed there reproduces this workbook's Pillar 3-sourced FY2024 value); FY2025 CET1 Capital, Tier 1 Capital, Tier 1 Ratio and Total RWAs stay blank because that report states no such figure - all four now carry that statement in the cell rather than sitting blank (2026-09-18). FY2021-FY2024 values are the official Weatherbys Group/Solo disclosures. FY2020's Pillar 3 metrics are populated from Weatherbys' own FY2020 Pillar 3 Disclosures document (already reported under CRD IV/Basel III CET1/Tier 1/Tier 2 terminology - no Basel-II-era Tier-1/Total-Capital-only caveat applies). FY2019 capital, RWA and leverage metrics come from the FY2019 Pillar 3, partly recovered (pp.1-13 of 16) from a truncated Wayback Machine capture. FY2015-FY2018 Pillar 3 metrics are blank: no edition for those years was recoverable, an access gap rather than a non-disclosure (see the Balance Sheet/Cash Flow/Asset Quality sheets' source notes). All other statements (Balance Sheet, Profit &amp; Loss, Statement of Changes in Equity, Cash Flow Statement, and the Asset Quality sheet's loan-book credit-quality rows) are populated back to FY2015, this bank's confirmed historical floor, sourced from Weatherbys' Companies-House-filed Group accounts.</t>
        </is>
      </c>
    </row>
  </sheetData>
  <mergeCells count="1">
    <mergeCell ref="A31:L3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Weatherbys Bank Limited — Balance Sheet</t>
        </is>
      </c>
    </row>
    <row r="2">
      <c r="A2" s="2" t="inlineStr">
        <is>
          <t>Weatherbys Banking Group consolidated statement of financial position, GBP'000. FY2015-FY2025.</t>
        </is>
      </c>
    </row>
    <row r="3">
      <c r="A3" s="4" t="inlineStr">
        <is>
          <t>Line item</t>
        </is>
      </c>
      <c r="B3" s="4" t="inlineStr">
        <is>
          <t>FY2025 (GBP'000)</t>
        </is>
      </c>
      <c r="C3" s="4" t="inlineStr">
        <is>
          <t>FY2024 (GBP'000)</t>
        </is>
      </c>
      <c r="D3" s="4" t="inlineStr">
        <is>
          <t>FY2023 (GBP'000)</t>
        </is>
      </c>
      <c r="E3" s="4" t="inlineStr">
        <is>
          <t>FY2022 (GBP'000)</t>
        </is>
      </c>
      <c r="F3" s="4" t="inlineStr">
        <is>
          <t>FY2021 (GBP'000)</t>
        </is>
      </c>
      <c r="G3" s="4" t="inlineStr">
        <is>
          <t>FY2020 (GBP'000)</t>
        </is>
      </c>
      <c r="H3" s="4" t="inlineStr">
        <is>
          <t>FY2019 (GBP'000)</t>
        </is>
      </c>
      <c r="I3" s="4" t="inlineStr">
        <is>
          <t>FY2018 (GBP'000)</t>
        </is>
      </c>
      <c r="J3" s="4" t="inlineStr">
        <is>
          <t>FY2017 (GBP'000)</t>
        </is>
      </c>
      <c r="K3" s="4" t="inlineStr">
        <is>
          <t>FY2016 (GBP'000)</t>
        </is>
      </c>
      <c r="L3" s="4" t="inlineStr">
        <is>
          <t>FY2015 (GBP'000)</t>
        </is>
      </c>
    </row>
    <row r="4">
      <c r="A4" s="5" t="inlineStr">
        <is>
          <t>Assets</t>
        </is>
      </c>
      <c r="B4" s="6" t="n"/>
      <c r="C4" s="6" t="n"/>
      <c r="D4" s="6" t="n"/>
      <c r="E4" s="6" t="n"/>
      <c r="F4" s="6" t="n"/>
      <c r="G4" s="6" t="n"/>
      <c r="H4" s="6" t="n"/>
      <c r="I4" s="6" t="n"/>
      <c r="J4" s="6" t="n"/>
      <c r="K4" s="6" t="n"/>
      <c r="L4" s="6" t="n"/>
    </row>
    <row r="5">
      <c r="A5" s="6" t="inlineStr">
        <is>
          <t>Cash at banks / Loans and advances to banks</t>
        </is>
      </c>
      <c r="B5" s="6" t="n">
        <v>575367</v>
      </c>
      <c r="C5" s="6" t="n">
        <v>687343</v>
      </c>
      <c r="D5" s="6" t="n">
        <v>624875</v>
      </c>
      <c r="E5" s="6" t="n">
        <v>585221</v>
      </c>
      <c r="F5" s="6" t="n">
        <v>592380</v>
      </c>
      <c r="G5" s="6" t="n">
        <v>326087</v>
      </c>
      <c r="H5" s="6" t="n">
        <v>261050</v>
      </c>
      <c r="I5" s="6" t="n">
        <v>297773</v>
      </c>
      <c r="J5" s="6" t="n">
        <v>271992</v>
      </c>
      <c r="K5" s="6" t="n">
        <v>215788</v>
      </c>
      <c r="L5" s="6" t="n">
        <v>135944</v>
      </c>
    </row>
    <row r="6">
      <c r="A6" s="6" t="inlineStr">
        <is>
          <t>Derivative financial assets</t>
        </is>
      </c>
      <c r="B6" s="6" t="n">
        <v>1394</v>
      </c>
      <c r="C6" s="6" t="n">
        <v>5018</v>
      </c>
      <c r="D6" s="6" t="n">
        <v>5194</v>
      </c>
      <c r="E6" s="6" t="n">
        <v>9813</v>
      </c>
      <c r="F6" s="6" t="n">
        <v>961</v>
      </c>
      <c r="G6" s="6" t="n">
        <v>30</v>
      </c>
      <c r="H6" s="6" t="n">
        <v>265</v>
      </c>
      <c r="I6" s="6" t="n">
        <v>377</v>
      </c>
      <c r="J6" s="6" t="n">
        <v>81</v>
      </c>
      <c r="K6" s="6" t="n">
        <v>37</v>
      </c>
      <c r="L6" s="6" t="n">
        <v>16</v>
      </c>
    </row>
    <row r="7">
      <c r="A7" s="6" t="inlineStr">
        <is>
          <t>Loans and advances to customers</t>
        </is>
      </c>
      <c r="B7" s="6" t="n">
        <v>1006160</v>
      </c>
      <c r="C7" s="6" t="n">
        <v>859672</v>
      </c>
      <c r="D7" s="6" t="n">
        <v>821700</v>
      </c>
      <c r="E7" s="6" t="n">
        <v>775573</v>
      </c>
      <c r="F7" s="6" t="n">
        <v>744591</v>
      </c>
      <c r="G7" s="6" t="n">
        <v>678564</v>
      </c>
      <c r="H7" s="6" t="n">
        <v>588924</v>
      </c>
      <c r="I7" s="6" t="n">
        <v>474728</v>
      </c>
      <c r="J7" s="6" t="n">
        <v>387504</v>
      </c>
      <c r="K7" s="6" t="n">
        <v>327384</v>
      </c>
      <c r="L7" s="6" t="n">
        <v>276621</v>
      </c>
    </row>
    <row r="8">
      <c r="A8" s="6" t="inlineStr">
        <is>
          <t>Debt securities (measured at amortised cost)</t>
        </is>
      </c>
      <c r="B8" s="6" t="n">
        <v>420989</v>
      </c>
      <c r="C8" s="6" t="n">
        <v>248749</v>
      </c>
      <c r="D8" s="6" t="n">
        <v>146097</v>
      </c>
      <c r="E8" s="6" t="n">
        <v>207605</v>
      </c>
      <c r="F8" s="6" t="n">
        <v>117625</v>
      </c>
      <c r="G8" s="6" t="n">
        <v>134258</v>
      </c>
      <c r="H8" s="6" t="n">
        <v>98093</v>
      </c>
      <c r="I8" s="6" t="n">
        <v>89545</v>
      </c>
      <c r="J8" s="6" t="n">
        <v>81265</v>
      </c>
      <c r="K8" s="6" t="n">
        <v>76021</v>
      </c>
      <c r="L8" s="6" t="n">
        <v>100903</v>
      </c>
    </row>
    <row r="9">
      <c r="A9" s="6" t="inlineStr">
        <is>
          <t>Investment in joint venture</t>
        </is>
      </c>
      <c r="B9" s="6" t="n"/>
      <c r="C9" s="6" t="n">
        <v>670</v>
      </c>
      <c r="D9" s="6" t="n">
        <v>670</v>
      </c>
      <c r="E9" s="6" t="n">
        <v>610</v>
      </c>
      <c r="F9" s="6" t="n">
        <v>330</v>
      </c>
      <c r="G9" s="6" t="n">
        <v>318</v>
      </c>
      <c r="H9" s="6" t="n">
        <v>320</v>
      </c>
      <c r="I9" s="6" t="n">
        <v>290</v>
      </c>
      <c r="J9" s="6" t="n">
        <v>230</v>
      </c>
      <c r="K9" s="6" t="n">
        <v>240</v>
      </c>
      <c r="L9" s="6" t="n">
        <v>234</v>
      </c>
    </row>
    <row r="10">
      <c r="A10" s="6" t="inlineStr">
        <is>
          <t>Subordinated term loan (Group's own asset, unrelated to the Tier 2 liability below)</t>
        </is>
      </c>
      <c r="B10" s="6" t="n"/>
      <c r="C10" s="6" t="n"/>
      <c r="D10" s="6" t="n"/>
      <c r="E10" s="6" t="n"/>
      <c r="F10" s="6" t="n"/>
      <c r="G10" s="6" t="n"/>
      <c r="H10" s="6" t="n"/>
      <c r="I10" s="6" t="n"/>
      <c r="J10" s="6" t="n"/>
      <c r="K10" s="6" t="n">
        <v>50</v>
      </c>
      <c r="L10" s="6" t="n">
        <v>50</v>
      </c>
    </row>
    <row r="11">
      <c r="A11" s="6" t="inlineStr">
        <is>
          <t>Investments</t>
        </is>
      </c>
      <c r="B11" s="6" t="n">
        <v>364</v>
      </c>
      <c r="C11" s="6" t="n">
        <v>384</v>
      </c>
      <c r="D11" s="6" t="n">
        <v>455</v>
      </c>
      <c r="E11" s="6" t="n">
        <v>438</v>
      </c>
      <c r="F11" s="6" t="n">
        <v>542</v>
      </c>
      <c r="G11" s="6" t="n">
        <v>546</v>
      </c>
      <c r="H11" s="6" t="n">
        <v>717</v>
      </c>
      <c r="I11" s="6" t="n">
        <v>331</v>
      </c>
      <c r="J11" s="6" t="n">
        <v>280</v>
      </c>
      <c r="K11" s="6" t="n">
        <v>235</v>
      </c>
      <c r="L11" s="6" t="n"/>
    </row>
    <row r="12">
      <c r="A12" s="6" t="inlineStr">
        <is>
          <t>Intangible fixed assets</t>
        </is>
      </c>
      <c r="B12" s="6" t="n">
        <v>24676</v>
      </c>
      <c r="C12" s="6" t="n">
        <v>16194</v>
      </c>
      <c r="D12" s="6" t="n">
        <v>12327</v>
      </c>
      <c r="E12" s="6" t="n">
        <v>6145</v>
      </c>
      <c r="F12" s="6" t="n">
        <v>3154</v>
      </c>
      <c r="G12" s="6" t="n">
        <v>1822</v>
      </c>
      <c r="H12" s="6" t="n">
        <v>1827</v>
      </c>
      <c r="I12" s="6" t="n">
        <v>2134</v>
      </c>
      <c r="J12" s="6" t="n">
        <v>2436</v>
      </c>
      <c r="K12" s="6" t="n">
        <v>4621</v>
      </c>
      <c r="L12" s="6" t="n">
        <v>3079</v>
      </c>
    </row>
    <row r="13">
      <c r="A13" s="6" t="inlineStr">
        <is>
          <t>Tangible fixed assets</t>
        </is>
      </c>
      <c r="B13" s="6" t="n">
        <v>10936</v>
      </c>
      <c r="C13" s="6" t="n">
        <v>9397</v>
      </c>
      <c r="D13" s="6" t="n">
        <v>9283</v>
      </c>
      <c r="E13" s="6" t="n">
        <v>11216</v>
      </c>
      <c r="F13" s="6" t="n">
        <v>10747</v>
      </c>
      <c r="G13" s="6" t="n">
        <v>10085</v>
      </c>
      <c r="H13" s="6" t="n">
        <v>11341</v>
      </c>
      <c r="I13" s="6" t="n">
        <v>9035</v>
      </c>
      <c r="J13" s="6" t="n">
        <v>7993</v>
      </c>
      <c r="K13" s="6" t="n">
        <v>4930</v>
      </c>
      <c r="L13" s="6" t="n">
        <v>4813</v>
      </c>
    </row>
    <row r="14">
      <c r="A14" s="6" t="inlineStr">
        <is>
          <t>Other assets</t>
        </is>
      </c>
      <c r="B14" s="6" t="n">
        <v>2753</v>
      </c>
      <c r="C14" s="6" t="n">
        <v>1875</v>
      </c>
      <c r="D14" s="6" t="n">
        <v>1913</v>
      </c>
      <c r="E14" s="6" t="n">
        <v>1711</v>
      </c>
      <c r="F14" s="6" t="n">
        <v>1803</v>
      </c>
      <c r="G14" s="6" t="n">
        <v>1823</v>
      </c>
      <c r="H14" s="6" t="n">
        <v>1672</v>
      </c>
      <c r="I14" s="6" t="n">
        <v>1711</v>
      </c>
      <c r="J14" s="6" t="n">
        <v>4994</v>
      </c>
      <c r="K14" s="6" t="n">
        <v>4090</v>
      </c>
      <c r="L14" s="6" t="n">
        <v>3791</v>
      </c>
    </row>
    <row r="15">
      <c r="A15" s="6" t="inlineStr">
        <is>
          <t>Prepayments and accrued income</t>
        </is>
      </c>
      <c r="B15" s="6" t="n">
        <v>10808</v>
      </c>
      <c r="C15" s="6" t="n">
        <v>19192</v>
      </c>
      <c r="D15" s="6" t="n">
        <v>15160</v>
      </c>
      <c r="E15" s="6" t="n">
        <v>10232</v>
      </c>
      <c r="F15" s="6" t="n">
        <v>3950</v>
      </c>
      <c r="G15" s="6" t="n">
        <v>2896</v>
      </c>
      <c r="H15" s="6" t="n">
        <v>2894</v>
      </c>
      <c r="I15" s="6" t="n">
        <v>2443</v>
      </c>
      <c r="J15" s="6" t="n">
        <v>2063</v>
      </c>
      <c r="K15" s="6" t="n">
        <v>1163</v>
      </c>
      <c r="L15" s="6" t="n">
        <v>1911</v>
      </c>
    </row>
    <row r="16">
      <c r="A16" s="5" t="inlineStr">
        <is>
          <t>Total assets</t>
        </is>
      </c>
      <c r="B16" s="5" t="n">
        <v>2053447</v>
      </c>
      <c r="C16" s="5" t="n">
        <v>1848494</v>
      </c>
      <c r="D16" s="5" t="n">
        <v>1637674</v>
      </c>
      <c r="E16" s="5" t="n">
        <v>1608564</v>
      </c>
      <c r="F16" s="5" t="n">
        <v>1476083</v>
      </c>
      <c r="G16" s="5" t="n">
        <v>1156429</v>
      </c>
      <c r="H16" s="5" t="n">
        <v>967101</v>
      </c>
      <c r="I16" s="5" t="n">
        <v>878368</v>
      </c>
      <c r="J16" s="5" t="n">
        <v>758839</v>
      </c>
      <c r="K16" s="5" t="n">
        <v>634559</v>
      </c>
      <c r="L16" s="5" t="n">
        <v>527361</v>
      </c>
    </row>
    <row r="17">
      <c r="A17" s="5" t="inlineStr">
        <is>
          <t>Liabilities</t>
        </is>
      </c>
      <c r="B17" s="6" t="n"/>
      <c r="C17" s="6" t="n"/>
      <c r="D17" s="6" t="n"/>
      <c r="E17" s="6" t="n"/>
      <c r="F17" s="6" t="n"/>
      <c r="G17" s="6" t="n"/>
      <c r="H17" s="6" t="n"/>
      <c r="I17" s="6" t="n"/>
      <c r="J17" s="6" t="n"/>
      <c r="K17" s="6" t="n"/>
      <c r="L17" s="6" t="n"/>
    </row>
    <row r="18">
      <c r="A18" s="6" t="inlineStr">
        <is>
          <t>Derivative financial liabilities</t>
        </is>
      </c>
      <c r="B18" s="6" t="n">
        <v>4075</v>
      </c>
      <c r="C18" s="6" t="n">
        <v>1269</v>
      </c>
      <c r="D18" s="6" t="n">
        <v>3069</v>
      </c>
      <c r="E18" s="6" t="n">
        <v>472</v>
      </c>
      <c r="F18" s="6" t="n">
        <v>238</v>
      </c>
      <c r="G18" s="6" t="n">
        <v>2377</v>
      </c>
      <c r="H18" s="6" t="n">
        <v>1258</v>
      </c>
      <c r="I18" s="6" t="n">
        <v>547</v>
      </c>
      <c r="J18" s="6" t="n">
        <v>387</v>
      </c>
      <c r="K18" s="6" t="n">
        <v>493</v>
      </c>
      <c r="L18" s="6" t="n">
        <v>220</v>
      </c>
    </row>
    <row r="19">
      <c r="A19" s="6" t="inlineStr">
        <is>
          <t>Customer accounts</t>
        </is>
      </c>
      <c r="B19" s="6" t="n">
        <v>1905431</v>
      </c>
      <c r="C19" s="6" t="n">
        <v>1707796</v>
      </c>
      <c r="D19" s="6" t="n">
        <v>1504566</v>
      </c>
      <c r="E19" s="6" t="n">
        <v>1521191</v>
      </c>
      <c r="F19" s="6" t="n">
        <v>1404601</v>
      </c>
      <c r="G19" s="6" t="n">
        <v>1088767</v>
      </c>
      <c r="H19" s="6" t="n">
        <v>899358</v>
      </c>
      <c r="I19" s="6" t="n">
        <v>816380</v>
      </c>
      <c r="J19" s="6" t="n">
        <v>708964</v>
      </c>
      <c r="K19" s="6" t="n">
        <v>587481</v>
      </c>
      <c r="L19" s="6" t="n">
        <v>484184</v>
      </c>
    </row>
    <row r="20">
      <c r="A20" s="6" t="inlineStr">
        <is>
          <t>Other liabilities</t>
        </is>
      </c>
      <c r="B20" s="6" t="n">
        <v>12734</v>
      </c>
      <c r="C20" s="6" t="n">
        <v>18287</v>
      </c>
      <c r="D20" s="6" t="n">
        <v>22583</v>
      </c>
      <c r="E20" s="6" t="n">
        <v>7903</v>
      </c>
      <c r="F20" s="6" t="n">
        <v>4568</v>
      </c>
      <c r="G20" s="6" t="n">
        <v>4147</v>
      </c>
      <c r="H20" s="6" t="n">
        <v>5646</v>
      </c>
      <c r="I20" s="6" t="n">
        <v>4984</v>
      </c>
      <c r="J20" s="6" t="n">
        <v>8006</v>
      </c>
      <c r="K20" s="6" t="n">
        <v>8629</v>
      </c>
      <c r="L20" s="6" t="n">
        <v>8617</v>
      </c>
    </row>
    <row r="21">
      <c r="A21" s="6" t="inlineStr">
        <is>
          <t>Accruals and deferred income</t>
        </is>
      </c>
      <c r="B21" s="6" t="n">
        <v>10093</v>
      </c>
      <c r="C21" s="6" t="n">
        <v>11099</v>
      </c>
      <c r="D21" s="6" t="n">
        <v>12465</v>
      </c>
      <c r="E21" s="6" t="n">
        <v>6498</v>
      </c>
      <c r="F21" s="6" t="n">
        <v>3876</v>
      </c>
      <c r="G21" s="6" t="n">
        <v>2752</v>
      </c>
      <c r="H21" s="6" t="n">
        <v>3518</v>
      </c>
      <c r="I21" s="6" t="n">
        <v>2887</v>
      </c>
      <c r="J21" s="6" t="n">
        <v>2266</v>
      </c>
      <c r="K21" s="6" t="n">
        <v>1912</v>
      </c>
      <c r="L21" s="6" t="n">
        <v>2133</v>
      </c>
    </row>
    <row r="22">
      <c r="A22" s="6" t="inlineStr">
        <is>
          <t>Subordinated loan</t>
        </is>
      </c>
      <c r="B22" s="6" t="n">
        <v>10000</v>
      </c>
      <c r="C22" s="6" t="n">
        <v>10000</v>
      </c>
      <c r="D22" s="6" t="n">
        <v>10000</v>
      </c>
      <c r="E22" s="6" t="n">
        <v>10000</v>
      </c>
      <c r="F22" s="6" t="n">
        <v>10000</v>
      </c>
      <c r="G22" s="6" t="n">
        <v>10000</v>
      </c>
      <c r="H22" s="6" t="n">
        <v>10000</v>
      </c>
      <c r="I22" s="6" t="n">
        <v>10000</v>
      </c>
      <c r="J22" s="6" t="n"/>
      <c r="K22" s="6" t="n"/>
      <c r="L22" s="6" t="n"/>
    </row>
    <row r="23">
      <c r="A23" s="6" t="inlineStr">
        <is>
          <t>Provisions for liabilities</t>
        </is>
      </c>
      <c r="B23" s="6" t="n"/>
      <c r="C23" s="6" t="n"/>
      <c r="D23" s="6" t="n"/>
      <c r="E23" s="6" t="n"/>
      <c r="F23" s="6" t="n"/>
      <c r="G23" s="6" t="n"/>
      <c r="H23" s="6" t="n"/>
      <c r="I23" s="6" t="n">
        <v>8</v>
      </c>
      <c r="J23" s="6" t="n">
        <v>16</v>
      </c>
      <c r="K23" s="6" t="n">
        <v>32</v>
      </c>
      <c r="L23" s="6" t="n">
        <v>53</v>
      </c>
    </row>
    <row r="24">
      <c r="A24" s="5" t="inlineStr">
        <is>
          <t>Total liabilities</t>
        </is>
      </c>
      <c r="B24" s="5" t="n">
        <v>1942333</v>
      </c>
      <c r="C24" s="5" t="n">
        <v>1748451</v>
      </c>
      <c r="D24" s="5" t="n">
        <v>1552683</v>
      </c>
      <c r="E24" s="5" t="n">
        <v>1546064</v>
      </c>
      <c r="F24" s="5" t="n">
        <v>1423283</v>
      </c>
      <c r="G24" s="5" t="n">
        <v>1108043</v>
      </c>
      <c r="H24" s="5" t="n">
        <v>919779</v>
      </c>
      <c r="I24" s="5" t="n">
        <v>834806</v>
      </c>
      <c r="J24" s="5" t="n">
        <v>719637</v>
      </c>
      <c r="K24" s="5" t="n">
        <v>598547</v>
      </c>
      <c r="L24" s="5" t="n">
        <v>495207</v>
      </c>
    </row>
    <row r="25">
      <c r="A25" s="5" t="inlineStr">
        <is>
          <t>Shareholders' funds</t>
        </is>
      </c>
      <c r="B25" s="6" t="n"/>
      <c r="C25" s="6" t="n"/>
      <c r="D25" s="6" t="n"/>
      <c r="E25" s="6" t="n"/>
      <c r="F25" s="6" t="n"/>
      <c r="G25" s="6" t="n"/>
      <c r="H25" s="6" t="n"/>
      <c r="I25" s="6" t="n"/>
      <c r="J25" s="6" t="n"/>
      <c r="K25" s="6" t="n"/>
      <c r="L25" s="6" t="n"/>
    </row>
    <row r="26">
      <c r="A26" s="6" t="inlineStr">
        <is>
          <t>Called up share capital</t>
        </is>
      </c>
      <c r="B26" s="6" t="n">
        <v>7000</v>
      </c>
      <c r="C26" s="6" t="n">
        <v>7000</v>
      </c>
      <c r="D26" s="6" t="n">
        <v>7000</v>
      </c>
      <c r="E26" s="6" t="n">
        <v>7000</v>
      </c>
      <c r="F26" s="6" t="n">
        <v>7000</v>
      </c>
      <c r="G26" s="6" t="n">
        <v>7000</v>
      </c>
      <c r="H26" s="6" t="n">
        <v>7000</v>
      </c>
      <c r="I26" s="6" t="n">
        <v>7000</v>
      </c>
      <c r="J26" s="6" t="n">
        <v>7000</v>
      </c>
      <c r="K26" s="6" t="n">
        <v>7000</v>
      </c>
      <c r="L26" s="6" t="n">
        <v>7000</v>
      </c>
    </row>
    <row r="27">
      <c r="A27" s="6" t="inlineStr">
        <is>
          <t>Contingent convertible securities</t>
        </is>
      </c>
      <c r="B27" s="6" t="n">
        <v>3000</v>
      </c>
      <c r="C27" s="6" t="n">
        <v>3000</v>
      </c>
      <c r="D27" s="6" t="n">
        <v>3000</v>
      </c>
      <c r="E27" s="6" t="n"/>
      <c r="F27" s="6" t="n"/>
      <c r="G27" s="6" t="n"/>
      <c r="H27" s="6" t="n"/>
      <c r="I27" s="6" t="n"/>
      <c r="J27" s="6" t="n"/>
      <c r="K27" s="6" t="n"/>
      <c r="L27" s="6" t="n"/>
    </row>
    <row r="28">
      <c r="A28" s="6" t="inlineStr">
        <is>
          <t>Revaluation reserve</t>
        </is>
      </c>
      <c r="B28" s="6" t="n">
        <v>231</v>
      </c>
      <c r="C28" s="6" t="n">
        <v>404</v>
      </c>
      <c r="D28" s="6" t="n">
        <v>522</v>
      </c>
      <c r="E28" s="6" t="n">
        <v>766</v>
      </c>
      <c r="F28" s="6" t="n">
        <v>975</v>
      </c>
      <c r="G28" s="6" t="n">
        <v>517</v>
      </c>
      <c r="H28" s="6" t="n">
        <v>1133</v>
      </c>
      <c r="I28" s="6" t="n">
        <v>1470</v>
      </c>
      <c r="J28" s="6" t="n">
        <v>1443</v>
      </c>
      <c r="K28" s="6" t="n">
        <v>1432</v>
      </c>
      <c r="L28" s="6" t="n">
        <v>1374</v>
      </c>
    </row>
    <row r="29">
      <c r="A29" s="6" t="inlineStr">
        <is>
          <t>Profit and loss account</t>
        </is>
      </c>
      <c r="B29" s="6" t="n">
        <v>100883</v>
      </c>
      <c r="C29" s="6" t="n">
        <v>89639</v>
      </c>
      <c r="D29" s="6" t="n">
        <v>74469</v>
      </c>
      <c r="E29" s="6" t="n">
        <v>54734</v>
      </c>
      <c r="F29" s="6" t="n">
        <v>44825</v>
      </c>
      <c r="G29" s="6" t="n">
        <v>40869</v>
      </c>
      <c r="H29" s="6" t="n">
        <v>39188</v>
      </c>
      <c r="I29" s="6" t="n">
        <v>35092</v>
      </c>
      <c r="J29" s="6" t="n">
        <v>30758</v>
      </c>
      <c r="K29" s="6" t="n">
        <v>27581</v>
      </c>
      <c r="L29" s="6" t="n">
        <v>23780</v>
      </c>
    </row>
    <row r="30">
      <c r="A30" s="5" t="inlineStr">
        <is>
          <t>Total equity</t>
        </is>
      </c>
      <c r="B30" s="5" t="n">
        <v>111114</v>
      </c>
      <c r="C30" s="5" t="n">
        <v>100043</v>
      </c>
      <c r="D30" s="5" t="n">
        <v>84991</v>
      </c>
      <c r="E30" s="5" t="n">
        <v>62500</v>
      </c>
      <c r="F30" s="5" t="n">
        <v>52800</v>
      </c>
      <c r="G30" s="5" t="n">
        <v>48386</v>
      </c>
      <c r="H30" s="5" t="n">
        <v>47322</v>
      </c>
      <c r="I30" s="5" t="n">
        <v>43562</v>
      </c>
      <c r="J30" s="5" t="n">
        <v>39201</v>
      </c>
      <c r="K30" s="5" t="n">
        <v>36012</v>
      </c>
      <c r="L30" s="5" t="n">
        <v>32154</v>
      </c>
    </row>
    <row r="31">
      <c r="A31" s="5" t="inlineStr">
        <is>
          <t>Total liabilities and equity</t>
        </is>
      </c>
      <c r="B31" s="5" t="n">
        <v>2053447</v>
      </c>
      <c r="C31" s="5" t="n">
        <v>1848494</v>
      </c>
      <c r="D31" s="5" t="n">
        <v>1637674</v>
      </c>
      <c r="E31" s="5" t="n">
        <v>1608564</v>
      </c>
      <c r="F31" s="5" t="n">
        <v>1476083</v>
      </c>
      <c r="G31" s="5" t="n">
        <v>1156429</v>
      </c>
      <c r="H31" s="5" t="n">
        <v>967101</v>
      </c>
      <c r="I31" s="5" t="n">
        <v>878368</v>
      </c>
      <c r="J31" s="5" t="n">
        <v>758839</v>
      </c>
      <c r="K31" s="5" t="n">
        <v>634559</v>
      </c>
      <c r="L31" s="5" t="n">
        <v>527361</v>
      </c>
    </row>
    <row r="33" ht="351" customHeight="1">
      <c r="A33" s="8" t="inlineStr">
        <is>
          <t>Sources - Weatherbys Banking Group consolidated statement of financial position, GBP'000: FY2025: Annual Report and Financial Accounts 2025, p.60 - https://www.weatherbys.bank/weatherbys-banking-group-annual-report-2025/; FY2024: Annual Report &amp; Accounts 2024, p.41 - https://www.weatherbys.bank/app/uploads/2025/04/Weatherbys-Banking-Group-Annual-Report-2024.pdf; FY2023: Annual Report &amp; Accounts 2023, p.46 - https://www.weatherbys.bank/app/uploads/2024/05/Weatherbys-Banking-Group-Annual-Report-2023.pdf; FY2022/FY2021: Annual Report &amp; Accounts 2022, p.42 - https://www.weatherbys.bank/app/uploads/2023/05/Weatherbys-Banking-Group-Annual_Report-2022.pdf; FY2020/FY2019: Group accounts made up to 31 Dec 2020, p.28 (Consolidated balance sheet) - https://find-and-update.company-information.service.gov.uk/company/02943300/filing-history/MzMxMjkxNjk5MmFkaXF6a2N4/document?format=pdf&amp;download=0; FY2018/FY2017: Group accounts made up to 31 Dec 2018, p.20 - https://find-and-update.company-information.service.gov.uk/company/02943300/filing-history/MzIzODIyOTM2NWFkaXF6a2N4/document?format=pdf&amp;download=0; FY2016/FY2015: Group accounts made up to 31 Dec 2016, p.10 (2015 shown restated per note 34; the FY2015 filing's own p.10 reports the same total, see BS_RESTATEMENT_NOTE) - https://find-and-update.company-information.service.gov.uk/company/02943300/filing-history/MzE3NTA2MDU3MmFkaXF6a2N4/document?format=pdf&amp;download=0 and (FY2015's own filing) https://find-and-update.company-information.service.gov.uk/company/02943300/filing-history/MzE1MDMxNDcxNGFkaXF6a2N4/document?format=pdf&amp;download=0.
Entity verification: Weatherbys Bank Limited, Companies House 02943300, FRN 204571, LEI 549300OF84KDPIFN4M17; the supplied Banks List 2608.xlsx, the Weatherbys corporate-information page, the PRA register, and Companies House identify the same legal bank. The workbook uses Weatherbys Banking Group's consolidated cash-flow statement because that is the audited cash-flow presentation in the annual reports. The official Pillar 3 disclosures are consolidated Group/Solo disclosures: the documents state that the solo-consolidated group includes Weatherbys Bank Limited and its subsidiaries and that there are no differences between accounting and prudential consolidation for the Group. Group figures are therefore used only where the source explicitly labels them Group and Solo; unrelated wider-group figures are not substituted. Amounts are GBP'000 unless stated otherwise. AR2025's own restated FY2024 comparative balance sheet (note 36, 'Statement of financial position reclassification') moves broker commissions and interest receivable/payable between prepayments, loans and advances to customers, other liabilities and customer accounts, with no impact on profit or net assets - AR2025's FY2024 Total assets is £1,847,554k against AR2024's own originally published £1,848,494k, a further ~£940k gap beyond what note 36 explains. Per project convention, FY2024 uses AR2024's own originally published figures throughout (Total assets £1,848,494k), not the later restated comparative; the two years' FY2024 Total equity figures agree exactly (£100,043k) and the Profit &amp; Loss/ Statement of Changes in Equity figures for FY2024 are unaffected by the reclassification. Prior to 2024 the liquid-balances line is labelled 'Loans and advances to banks' (FY2021-FY2023); from 2024 it is labelled 'Cash at banks' - the same underlying balance, relabelled, not a new line. FY2015-FY2020 figures are sourced from Weatherbys Bank Limited's Companies-House-filed Group accounts (CH_AR_URLS above), not from weatherbys.bank (which retains only ~5 years of annual reports). FY2019's own Pillar 3 ('Pillar 3 Disclosures For Year Ended 31st December 2019', dated April 2020, a 16-page scanned document) survives only as a Wayback Machine capture (20200921164839 of weatherbys.bank/WeatherbysBank/media/About-Us/WBL-Pillar3-Disclosures.pdf) truncated at 1,048,576 of 1,264,248 bytes. It was PARTLY RECOVERED on 2026-09-19: each page is one self-contained CCITT image, and pages 1-13 lie wholly before the cut, so the PDF was rebuilt from those 13 complete page objects and read off the page images; pages 14-16 (liquidity, remaining risk sections, remuneration) are lost. FY2019 capital, RWA and leverage figures come from its Table 1 (p.5) and Table 2 (p.6), Group column; its Table 6 (p.8, 'At 31 Dec 2019') fills FY2019's regulatory credit risk exposures on the Asset Quality sheet; its Tables 3-4 (pp.6-7) print Pillar 1 capital requirements only, recorded in the RWA Breakdown note rather than converted into RWAs. No FY2015-FY2018 Pillar 3 was recoverable: the FY2016-FY2018 editions are named on archived corporate-information pages (Weatherbys-Bank-Limited-Pillar-3-Disclosures-2016/2017/2018.pdf) but were never captured, so those years' capital/RWA metric sheets are left blank rather than estimated - an access gap, not a disclosure gap. The intact FY2020 document includes FY2019 comparative LCR (586%) and NSFR (207.6%), which are populated. FY2020's own Pillar 3 Disclosures document (Weatherbys Bank, Pillar3-2020.pdf) was independently located and is intact, so FY2020's Pillar 3 metrics ARE populated. Terminology note: Weatherbys' FY2020 Pillar 3 disclosure already reports capital under CRD IV/Basel III (CET1/Tier 1/Tier 2), not Basel II Tier 1/Total Capital-only terminology, so no Basel-II-era caveat applies to any extended year in this workbook. FY2016's Group accounts restate FY2015's comparative balance sheet (note 34) splitting the single 'Tangible fixed assets' line (GBP7,942,105k combined, as FY2015's own filing shows it, net of the GBP50k Subordinated term loan asset) into separate Intangible/Tangible fixed asset lines (GBP3,079,139/GBP4,812,966) with an identical combined total and no equity impact; this workbook uses that split for FY2015 for structural consistency with all other years' Balance Sheet rows. 'Subordinated term loan' (an asset, GBP50k, FY2015-FY2016 only) is a small third-party loan note the Group held, unrelated to the GBP10m Tier 2 'Subordinated loan' liability the Bank itself issued in 2018 (see FY2018's Cash Flow Statement). 'Provisions for liabilities' (a small liability-side balance, FY2015-FY2018 only) was not separately disclosed on the Balance Sheet from FY2019 onward. DEBT SECURITIES MEASUREMENT BASIS: Note 32 'Financial instruments' of each Annual Report (the table of financial assets/liabilities by IFRS 9 measurement category) states 'Debt Securities' is entirely within 'Instruments measured at amortised cost' - not fair value through OCI or fair value through profit or loss - confirmed identically in AR2024 (p.71, FY2024/FY2023 columns: GBP248,749k/GBP146,097k - https://www.weatherbys.bank/app/uploads/2025/04/Weatherbys-Banking-Group-Annual-Report-2024.pdf) and AR2022 (Note 32, FY2022/FY2021 columns: GBP207,605k/GBP117,625k - https://www.weatherbys.bank/app/uploads/2023/05/Weatherbys-Banking-Group-Annual_Report-2022.pdf). No note discloses a further split of the balance by issuer type (UK government gilts/treasury bills/sovereign vs supranational/corporate/other) in any year reviewed - Note 17 'Debt securities' only reconciles cost, premiums/discounts and book value, and the maturity-gap table (Note 33) breaks the balance down by remaining term, not issuer, so the label below is a relabel of the existing single line (measurement basis only), not a multi-row split. FY2015-FY2020 are Companies House scanned-image filings with no machine-readable Note 32 equivalent to verify against; given the consistent 'amortised cost' classification across every machine-readable year (FY2021-FY2025) and no indication of a change in accounting policy, the same measurement basis is assumed - not independently re-verified - for FY2015-FY2020.</t>
        </is>
      </c>
    </row>
  </sheetData>
  <mergeCells count="1">
    <mergeCell ref="A33:L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Weatherbys Bank Limited — Profit &amp; Loss</t>
        </is>
      </c>
    </row>
    <row r="2">
      <c r="A2" s="2" t="inlineStr">
        <is>
          <t>Weatherbys Banking Group consolidated income statement, GBP'000. FY2015-FY2025.</t>
        </is>
      </c>
    </row>
    <row r="3">
      <c r="A3" s="4" t="inlineStr">
        <is>
          <t>Line item</t>
        </is>
      </c>
      <c r="B3" s="4" t="inlineStr">
        <is>
          <t>FY2025 (GBP'000)</t>
        </is>
      </c>
      <c r="C3" s="4" t="inlineStr">
        <is>
          <t>FY2024 (GBP'000)</t>
        </is>
      </c>
      <c r="D3" s="4" t="inlineStr">
        <is>
          <t>FY2023 (GBP'000)</t>
        </is>
      </c>
      <c r="E3" s="4" t="inlineStr">
        <is>
          <t>FY2022 (GBP'000)</t>
        </is>
      </c>
      <c r="F3" s="4" t="inlineStr">
        <is>
          <t>FY2021 (GBP'000)</t>
        </is>
      </c>
      <c r="G3" s="4" t="inlineStr">
        <is>
          <t>FY2020 (GBP'000)</t>
        </is>
      </c>
      <c r="H3" s="4" t="inlineStr">
        <is>
          <t>FY2019 (GBP'000)</t>
        </is>
      </c>
      <c r="I3" s="4" t="inlineStr">
        <is>
          <t>FY2018 (GBP'000)</t>
        </is>
      </c>
      <c r="J3" s="4" t="inlineStr">
        <is>
          <t>FY2017 (GBP'000)</t>
        </is>
      </c>
      <c r="K3" s="4" t="inlineStr">
        <is>
          <t>FY2016 (GBP'000)</t>
        </is>
      </c>
      <c r="L3" s="4" t="inlineStr">
        <is>
          <t>FY2015 (GBP'000)</t>
        </is>
      </c>
    </row>
    <row r="4">
      <c r="A4" s="5" t="inlineStr">
        <is>
          <t>Income</t>
        </is>
      </c>
      <c r="B4" s="6" t="n"/>
      <c r="C4" s="6" t="n"/>
      <c r="D4" s="6" t="n"/>
      <c r="E4" s="6" t="n"/>
      <c r="F4" s="6" t="n"/>
      <c r="G4" s="6" t="n"/>
      <c r="H4" s="6" t="n"/>
      <c r="I4" s="6" t="n"/>
      <c r="J4" s="6" t="n"/>
      <c r="K4" s="6" t="n"/>
      <c r="L4" s="6" t="n"/>
    </row>
    <row r="5">
      <c r="A5" s="6" t="inlineStr">
        <is>
          <t>Interest receivable - arising from debt securities</t>
        </is>
      </c>
      <c r="B5" s="6" t="n">
        <v>12442</v>
      </c>
      <c r="C5" s="6" t="n">
        <v>12235</v>
      </c>
      <c r="D5" s="6" t="n">
        <v>8846</v>
      </c>
      <c r="E5" s="6" t="n">
        <v>2642</v>
      </c>
      <c r="F5" s="6" t="n">
        <v>655</v>
      </c>
      <c r="G5" s="6" t="n">
        <v>766</v>
      </c>
      <c r="H5" s="6" t="n">
        <v>1147</v>
      </c>
      <c r="I5" s="6" t="n">
        <v>804</v>
      </c>
      <c r="J5" s="6" t="n">
        <v>758</v>
      </c>
      <c r="K5" s="6" t="n">
        <v>762</v>
      </c>
      <c r="L5" s="6" t="n">
        <v>974</v>
      </c>
    </row>
    <row r="6">
      <c r="A6" s="6" t="inlineStr">
        <is>
          <t>Interest receivable - other interest and similar income</t>
        </is>
      </c>
      <c r="B6" s="6" t="n">
        <v>102751</v>
      </c>
      <c r="C6" s="6" t="n">
        <v>104058</v>
      </c>
      <c r="D6" s="6" t="n">
        <v>93591</v>
      </c>
      <c r="E6" s="6" t="n">
        <v>51278</v>
      </c>
      <c r="F6" s="6" t="n">
        <v>35361</v>
      </c>
      <c r="G6" s="6" t="n">
        <v>33377</v>
      </c>
      <c r="H6" s="6" t="n">
        <v>30938</v>
      </c>
      <c r="I6" s="6" t="n">
        <v>25935</v>
      </c>
      <c r="J6" s="6" t="n">
        <v>21645</v>
      </c>
      <c r="K6" s="6" t="n">
        <v>18852</v>
      </c>
      <c r="L6" s="6" t="n">
        <v>17024</v>
      </c>
    </row>
    <row r="7">
      <c r="A7" s="6" t="inlineStr">
        <is>
          <t>Interest payable</t>
        </is>
      </c>
      <c r="B7" s="6" t="n">
        <v>-36240</v>
      </c>
      <c r="C7" s="6" t="n">
        <v>-37279</v>
      </c>
      <c r="D7" s="6" t="n">
        <v>-24283</v>
      </c>
      <c r="E7" s="6" t="n">
        <v>-4733</v>
      </c>
      <c r="F7" s="6" t="n">
        <v>-3996</v>
      </c>
      <c r="G7" s="6" t="n">
        <v>-4706</v>
      </c>
      <c r="H7" s="6" t="n">
        <v>-3564</v>
      </c>
      <c r="I7" s="6" t="n">
        <v>-2788</v>
      </c>
      <c r="J7" s="6" t="n">
        <v>-2559</v>
      </c>
      <c r="K7" s="6" t="n">
        <v>-2377</v>
      </c>
      <c r="L7" s="6" t="n">
        <v>-2923</v>
      </c>
    </row>
    <row r="8">
      <c r="A8" s="5" t="inlineStr">
        <is>
          <t>Net interest income</t>
        </is>
      </c>
      <c r="B8" s="5" t="n">
        <v>78953</v>
      </c>
      <c r="C8" s="5" t="n">
        <v>79014</v>
      </c>
      <c r="D8" s="5" t="n">
        <v>78154</v>
      </c>
      <c r="E8" s="5" t="n">
        <v>49187</v>
      </c>
      <c r="F8" s="5" t="n">
        <v>32020</v>
      </c>
      <c r="G8" s="5" t="n">
        <v>29437</v>
      </c>
      <c r="H8" s="5" t="n">
        <v>28521</v>
      </c>
      <c r="I8" s="5" t="n">
        <v>23951</v>
      </c>
      <c r="J8" s="5" t="n">
        <v>19845</v>
      </c>
      <c r="K8" s="5" t="n">
        <v>17237</v>
      </c>
      <c r="L8" s="5" t="n">
        <v>15074</v>
      </c>
    </row>
    <row r="9">
      <c r="A9" s="6" t="inlineStr">
        <is>
          <t>Fees and commissions receivable: Group and share of joint venture (gross, FY2015-FY2020 only)</t>
        </is>
      </c>
      <c r="B9" s="6" t="n"/>
      <c r="C9" s="6" t="n"/>
      <c r="D9" s="6" t="n"/>
      <c r="E9" s="6" t="n"/>
      <c r="F9" s="6" t="n"/>
      <c r="G9" s="6" t="n">
        <v>5770</v>
      </c>
      <c r="H9" s="6" t="n">
        <v>6826</v>
      </c>
      <c r="I9" s="6" t="n">
        <v>6079</v>
      </c>
      <c r="J9" s="6" t="n">
        <v>5670</v>
      </c>
      <c r="K9" s="6" t="n">
        <v>4944</v>
      </c>
      <c r="L9" s="6" t="n">
        <v>4562</v>
      </c>
    </row>
    <row r="10">
      <c r="A10" s="6" t="inlineStr">
        <is>
          <t>Less: share of joint venture (fees, FY2015-FY2020 only)</t>
        </is>
      </c>
      <c r="B10" s="6" t="n"/>
      <c r="C10" s="6" t="n"/>
      <c r="D10" s="6" t="n"/>
      <c r="E10" s="6" t="n"/>
      <c r="F10" s="6" t="n"/>
      <c r="G10" s="6" t="n">
        <v>-1493</v>
      </c>
      <c r="H10" s="6" t="n">
        <v>-1698</v>
      </c>
      <c r="I10" s="6" t="n">
        <v>-1453</v>
      </c>
      <c r="J10" s="6" t="n">
        <v>-1274</v>
      </c>
      <c r="K10" s="6" t="n">
        <v>-1149</v>
      </c>
      <c r="L10" s="6" t="n">
        <v>-923</v>
      </c>
    </row>
    <row r="11">
      <c r="A11" s="6" t="inlineStr">
        <is>
          <t>Fees and commissions receivable</t>
        </is>
      </c>
      <c r="B11" s="6" t="n">
        <v>8973</v>
      </c>
      <c r="C11" s="6" t="n">
        <v>7852</v>
      </c>
      <c r="D11" s="6" t="n">
        <v>6796</v>
      </c>
      <c r="E11" s="6" t="n">
        <v>5862</v>
      </c>
      <c r="F11" s="6" t="n">
        <v>5118</v>
      </c>
      <c r="G11" s="6" t="n">
        <v>4278</v>
      </c>
      <c r="H11" s="6" t="n">
        <v>5127</v>
      </c>
      <c r="I11" s="6" t="n">
        <v>4627</v>
      </c>
      <c r="J11" s="6" t="n">
        <v>4396</v>
      </c>
      <c r="K11" s="6" t="n">
        <v>3795</v>
      </c>
      <c r="L11" s="6" t="n">
        <v>3639</v>
      </c>
    </row>
    <row r="12">
      <c r="A12" s="6" t="inlineStr">
        <is>
          <t>Fees and commissions payable</t>
        </is>
      </c>
      <c r="B12" s="6" t="n">
        <v>-1130</v>
      </c>
      <c r="C12" s="6" t="n">
        <v>-942</v>
      </c>
      <c r="D12" s="6" t="n">
        <v>-615</v>
      </c>
      <c r="E12" s="6" t="n">
        <v>-546</v>
      </c>
      <c r="F12" s="6" t="n">
        <v>-493</v>
      </c>
      <c r="G12" s="6" t="n">
        <v>-673</v>
      </c>
      <c r="H12" s="6" t="n">
        <v>-685</v>
      </c>
      <c r="I12" s="6" t="n">
        <v>-539</v>
      </c>
      <c r="J12" s="6" t="n">
        <v>-380</v>
      </c>
      <c r="K12" s="6" t="n">
        <v>-385</v>
      </c>
      <c r="L12" s="6" t="n">
        <v>-518</v>
      </c>
    </row>
    <row r="13">
      <c r="A13" s="6" t="inlineStr">
        <is>
          <t>Rent receivable</t>
        </is>
      </c>
      <c r="B13" s="6" t="n"/>
      <c r="C13" s="6" t="n"/>
      <c r="D13" s="6" t="n">
        <v>84</v>
      </c>
      <c r="E13" s="6" t="n"/>
      <c r="F13" s="6" t="n"/>
      <c r="G13" s="6" t="n">
        <v>130</v>
      </c>
      <c r="H13" s="6" t="n">
        <v>310</v>
      </c>
      <c r="I13" s="6" t="n">
        <v>310</v>
      </c>
      <c r="J13" s="6" t="n">
        <v>310</v>
      </c>
      <c r="K13" s="6" t="n">
        <v>310</v>
      </c>
      <c r="L13" s="6" t="n">
        <v>363</v>
      </c>
    </row>
    <row r="14">
      <c r="A14" s="6" t="inlineStr">
        <is>
          <t>Other operating income</t>
        </is>
      </c>
      <c r="B14" s="6" t="n">
        <v>4299</v>
      </c>
      <c r="C14" s="6" t="n">
        <v>4502</v>
      </c>
      <c r="D14" s="6" t="n">
        <v>4007</v>
      </c>
      <c r="E14" s="6" t="n">
        <v>3526</v>
      </c>
      <c r="F14" s="6" t="n">
        <v>3130</v>
      </c>
      <c r="G14" s="6" t="n">
        <v>2523</v>
      </c>
      <c r="H14" s="6" t="n">
        <v>2697</v>
      </c>
      <c r="I14" s="6" t="n">
        <v>2440</v>
      </c>
      <c r="J14" s="6" t="n">
        <v>2211</v>
      </c>
      <c r="K14" s="6" t="n">
        <v>2064</v>
      </c>
      <c r="L14" s="6" t="n">
        <v>1944</v>
      </c>
    </row>
    <row r="15">
      <c r="A15" s="5" t="inlineStr">
        <is>
          <t>Operating income</t>
        </is>
      </c>
      <c r="B15" s="5" t="n">
        <v>91095</v>
      </c>
      <c r="C15" s="5" t="n">
        <v>90426</v>
      </c>
      <c r="D15" s="5" t="n">
        <v>88426</v>
      </c>
      <c r="E15" s="5" t="n">
        <v>58029</v>
      </c>
      <c r="F15" s="5" t="n">
        <v>39775</v>
      </c>
      <c r="G15" s="5" t="n">
        <v>35695</v>
      </c>
      <c r="H15" s="5" t="n">
        <v>35970</v>
      </c>
      <c r="I15" s="5" t="n">
        <v>30789</v>
      </c>
      <c r="J15" s="5" t="n">
        <v>26382</v>
      </c>
      <c r="K15" s="5" t="n">
        <v>23021</v>
      </c>
      <c r="L15" s="5" t="n">
        <v>20502</v>
      </c>
    </row>
    <row r="16">
      <c r="A16" s="5" t="inlineStr">
        <is>
          <t>Operating expenses</t>
        </is>
      </c>
      <c r="B16" s="6" t="n"/>
      <c r="C16" s="6" t="n"/>
      <c r="D16" s="6" t="n"/>
      <c r="E16" s="6" t="n"/>
      <c r="F16" s="6" t="n"/>
      <c r="G16" s="6" t="n"/>
      <c r="H16" s="6" t="n"/>
      <c r="I16" s="6" t="n"/>
      <c r="J16" s="6" t="n"/>
      <c r="K16" s="6" t="n"/>
      <c r="L16" s="6" t="n"/>
    </row>
    <row r="17">
      <c r="A17" s="6" t="inlineStr">
        <is>
          <t>(Loss)/gain on value of derivatives</t>
        </is>
      </c>
      <c r="B17" s="6" t="n">
        <v>-673</v>
      </c>
      <c r="C17" s="6" t="n">
        <v>117</v>
      </c>
      <c r="D17" s="6" t="n">
        <v>75</v>
      </c>
      <c r="E17" s="6" t="n">
        <v>76</v>
      </c>
      <c r="F17" s="6" t="n">
        <v>2362</v>
      </c>
      <c r="G17" s="6" t="n">
        <v>-1355</v>
      </c>
      <c r="H17" s="6" t="n">
        <v>-822</v>
      </c>
      <c r="I17" s="6" t="n">
        <v>136</v>
      </c>
      <c r="J17" s="6" t="n">
        <v>150</v>
      </c>
      <c r="K17" s="6" t="n">
        <v>-252</v>
      </c>
      <c r="L17" s="6" t="n">
        <v>29</v>
      </c>
    </row>
    <row r="18">
      <c r="A18" s="6" t="inlineStr">
        <is>
          <t>(Loss)/Gain on investment property</t>
        </is>
      </c>
      <c r="B18" s="6" t="n"/>
      <c r="C18" s="6" t="n"/>
      <c r="D18" s="6" t="n"/>
      <c r="E18" s="6" t="n"/>
      <c r="F18" s="6" t="n"/>
      <c r="G18" s="6" t="n"/>
      <c r="H18" s="6" t="n"/>
      <c r="I18" s="6" t="n"/>
      <c r="J18" s="6" t="n"/>
      <c r="K18" s="6" t="n">
        <v>-149</v>
      </c>
      <c r="L18" s="6" t="n">
        <v>1055</v>
      </c>
    </row>
    <row r="19">
      <c r="A19" s="6" t="inlineStr">
        <is>
          <t>Administrative expenses</t>
        </is>
      </c>
      <c r="B19" s="6" t="n">
        <v>-65873</v>
      </c>
      <c r="C19" s="6" t="n">
        <v>-55163</v>
      </c>
      <c r="D19" s="6" t="n">
        <v>-50274</v>
      </c>
      <c r="E19" s="6" t="n">
        <v>-39014</v>
      </c>
      <c r="F19" s="6" t="n">
        <v>-31654</v>
      </c>
      <c r="G19" s="6" t="n">
        <v>-26942</v>
      </c>
      <c r="H19" s="6" t="n">
        <v>-25426</v>
      </c>
      <c r="I19" s="6" t="n">
        <v>-21661</v>
      </c>
      <c r="J19" s="6" t="n">
        <v>-19315</v>
      </c>
      <c r="K19" s="6" t="n">
        <v>-16391</v>
      </c>
      <c r="L19" s="6" t="n">
        <v>-13534</v>
      </c>
    </row>
    <row r="20">
      <c r="A20" s="6" t="inlineStr">
        <is>
          <t>Depreciation and amortisation</t>
        </is>
      </c>
      <c r="B20" s="6" t="n">
        <v>-7065</v>
      </c>
      <c r="C20" s="6" t="n">
        <v>-4505</v>
      </c>
      <c r="D20" s="6" t="n">
        <v>-2758</v>
      </c>
      <c r="E20" s="6" t="n">
        <v>-2786</v>
      </c>
      <c r="F20" s="6" t="n">
        <v>-2402</v>
      </c>
      <c r="G20" s="6" t="n">
        <v>-1794</v>
      </c>
      <c r="H20" s="6" t="n">
        <v>-1204</v>
      </c>
      <c r="I20" s="6" t="n">
        <v>-1060</v>
      </c>
      <c r="J20" s="6" t="n">
        <v>-805</v>
      </c>
      <c r="K20" s="6" t="n">
        <v>-434</v>
      </c>
      <c r="L20" s="6" t="n">
        <v>-115</v>
      </c>
    </row>
    <row r="21">
      <c r="A21" s="5" t="inlineStr">
        <is>
          <t>Total operating expenses (sum of Administrative expenses + Depreciation and amortisation - excludes derivative/property valuation movements, credit impairment, and joint venture share)</t>
        </is>
      </c>
      <c r="B21" s="5" t="n">
        <v>-72938</v>
      </c>
      <c r="C21" s="5" t="n">
        <v>-59668</v>
      </c>
      <c r="D21" s="5" t="n">
        <v>-53032</v>
      </c>
      <c r="E21" s="5" t="n">
        <v>-41800</v>
      </c>
      <c r="F21" s="5" t="n">
        <v>-34056</v>
      </c>
      <c r="G21" s="5" t="n">
        <v>-28736</v>
      </c>
      <c r="H21" s="5" t="n">
        <v>-26630</v>
      </c>
      <c r="I21" s="5" t="n">
        <v>-22721</v>
      </c>
      <c r="J21" s="5" t="n">
        <v>-20120</v>
      </c>
      <c r="K21" s="5" t="n">
        <v>-16825</v>
      </c>
      <c r="L21" s="5" t="n">
        <v>-13649</v>
      </c>
    </row>
    <row r="22">
      <c r="A22" s="6" t="inlineStr">
        <is>
          <t>Impairment charge on loans and advances</t>
        </is>
      </c>
      <c r="B22" s="6" t="n">
        <v>-4648</v>
      </c>
      <c r="C22" s="6" t="n">
        <v>-4571</v>
      </c>
      <c r="D22" s="6" t="n">
        <v>-2784</v>
      </c>
      <c r="E22" s="6" t="n">
        <v>-1400</v>
      </c>
      <c r="F22" s="6" t="n">
        <v>-1559</v>
      </c>
      <c r="G22" s="6" t="n">
        <v>-3298</v>
      </c>
      <c r="H22" s="6" t="n">
        <v>-795</v>
      </c>
      <c r="I22" s="6" t="n">
        <v>-809</v>
      </c>
      <c r="J22" s="6" t="n">
        <v>-836</v>
      </c>
      <c r="K22" s="6" t="n">
        <v>-250</v>
      </c>
      <c r="L22" s="6" t="n">
        <v>-497</v>
      </c>
    </row>
    <row r="23">
      <c r="A23" s="6" t="inlineStr">
        <is>
          <t>Other provisions for liabilities</t>
        </is>
      </c>
      <c r="B23" s="6" t="n"/>
      <c r="C23" s="6" t="n"/>
      <c r="D23" s="6" t="n"/>
      <c r="E23" s="6" t="n"/>
      <c r="F23" s="6" t="n"/>
      <c r="G23" s="6" t="n"/>
      <c r="H23" s="6" t="n">
        <v>8</v>
      </c>
      <c r="I23" s="6" t="n">
        <v>0</v>
      </c>
      <c r="J23" s="6" t="n">
        <v>-15</v>
      </c>
      <c r="K23" s="6" t="n">
        <v>-30</v>
      </c>
      <c r="L23" s="6" t="n">
        <v>-95</v>
      </c>
    </row>
    <row r="24">
      <c r="A24" s="6" t="inlineStr">
        <is>
          <t>Share of operating profit in joint venture</t>
        </is>
      </c>
      <c r="B24" s="6" t="n"/>
      <c r="C24" s="6" t="n">
        <v>400</v>
      </c>
      <c r="D24" s="6" t="n">
        <v>400</v>
      </c>
      <c r="E24" s="6" t="n">
        <v>340</v>
      </c>
      <c r="F24" s="6" t="n">
        <v>280</v>
      </c>
      <c r="G24" s="6" t="n">
        <v>268</v>
      </c>
      <c r="H24" s="6" t="n">
        <v>270</v>
      </c>
      <c r="I24" s="6" t="n">
        <v>240</v>
      </c>
      <c r="J24" s="6" t="n">
        <v>180</v>
      </c>
      <c r="K24" s="6" t="n">
        <v>190</v>
      </c>
      <c r="L24" s="6" t="n">
        <v>184</v>
      </c>
    </row>
    <row r="25">
      <c r="A25" s="5" t="inlineStr">
        <is>
          <t>Operating profit before exceptional items and tax</t>
        </is>
      </c>
      <c r="B25" s="5" t="n">
        <v>12836</v>
      </c>
      <c r="C25" s="5" t="n">
        <v>26704</v>
      </c>
      <c r="D25" s="5" t="n">
        <v>33085</v>
      </c>
      <c r="E25" s="5" t="n">
        <v>15245</v>
      </c>
      <c r="F25" s="5" t="n">
        <v>6802</v>
      </c>
      <c r="G25" s="5" t="n">
        <v>2573</v>
      </c>
      <c r="H25" s="5" t="n">
        <v>8001</v>
      </c>
      <c r="I25" s="5" t="n">
        <v>7634</v>
      </c>
      <c r="J25" s="5" t="n">
        <v>5740</v>
      </c>
      <c r="K25" s="5" t="n">
        <v>5705</v>
      </c>
      <c r="L25" s="5" t="n">
        <v>7529</v>
      </c>
    </row>
    <row r="26">
      <c r="A26" s="6" t="inlineStr">
        <is>
          <t>Exceptional item</t>
        </is>
      </c>
      <c r="B26" s="6" t="n">
        <v>10238</v>
      </c>
      <c r="C26" s="6" t="n">
        <v>-2128</v>
      </c>
      <c r="D26" s="6" t="n"/>
      <c r="E26" s="6" t="n"/>
      <c r="F26" s="6" t="n"/>
      <c r="G26" s="6" t="n"/>
      <c r="H26" s="6" t="n"/>
      <c r="I26" s="6" t="n"/>
      <c r="J26" s="6" t="n"/>
      <c r="K26" s="6" t="n">
        <v>1079</v>
      </c>
      <c r="L26" s="6" t="n"/>
    </row>
    <row r="27">
      <c r="A27" s="5" t="inlineStr">
        <is>
          <t>Operating profit before tax</t>
        </is>
      </c>
      <c r="B27" s="5" t="n">
        <v>23074</v>
      </c>
      <c r="C27" s="5" t="n">
        <v>24576</v>
      </c>
      <c r="D27" s="5" t="n">
        <v>33085</v>
      </c>
      <c r="E27" s="5" t="n">
        <v>15245</v>
      </c>
      <c r="F27" s="5" t="n">
        <v>6802</v>
      </c>
      <c r="G27" s="5" t="n">
        <v>2573</v>
      </c>
      <c r="H27" s="5" t="n">
        <v>8001</v>
      </c>
      <c r="I27" s="5" t="n">
        <v>7634</v>
      </c>
      <c r="J27" s="5" t="n">
        <v>5740</v>
      </c>
      <c r="K27" s="5" t="n">
        <v>6784</v>
      </c>
      <c r="L27" s="5" t="n">
        <v>7529</v>
      </c>
    </row>
    <row r="28">
      <c r="A28" s="6" t="inlineStr">
        <is>
          <t>Taxation on profit</t>
        </is>
      </c>
      <c r="B28" s="6" t="n">
        <v>-3830</v>
      </c>
      <c r="C28" s="6" t="n">
        <v>-6306</v>
      </c>
      <c r="D28" s="6" t="n">
        <v>-8350</v>
      </c>
      <c r="E28" s="6" t="n">
        <v>-3336</v>
      </c>
      <c r="F28" s="6" t="n">
        <v>-1596</v>
      </c>
      <c r="G28" s="6" t="n">
        <v>-642</v>
      </c>
      <c r="H28" s="6" t="n">
        <v>-1855</v>
      </c>
      <c r="I28" s="6" t="n">
        <v>-1550</v>
      </c>
      <c r="J28" s="6" t="n">
        <v>-1313</v>
      </c>
      <c r="K28" s="6" t="n">
        <v>-1463</v>
      </c>
      <c r="L28" s="6" t="n">
        <v>-1587</v>
      </c>
    </row>
    <row r="29">
      <c r="A29" s="5" t="inlineStr">
        <is>
          <t>Profit for the financial year</t>
        </is>
      </c>
      <c r="B29" s="5" t="n">
        <v>19244</v>
      </c>
      <c r="C29" s="5" t="n">
        <v>18270</v>
      </c>
      <c r="D29" s="5" t="n">
        <v>24735</v>
      </c>
      <c r="E29" s="5" t="n">
        <v>11909</v>
      </c>
      <c r="F29" s="5" t="n">
        <v>5206</v>
      </c>
      <c r="G29" s="5" t="n">
        <v>1931</v>
      </c>
      <c r="H29" s="5" t="n">
        <v>6146</v>
      </c>
      <c r="I29" s="5" t="n">
        <v>6084</v>
      </c>
      <c r="J29" s="5" t="n">
        <v>4428</v>
      </c>
      <c r="K29" s="5" t="n">
        <v>5321</v>
      </c>
      <c r="L29" s="5" t="n">
        <v>5942</v>
      </c>
    </row>
    <row r="30">
      <c r="A30" s="5" t="inlineStr">
        <is>
          <t>Other comprehensive income</t>
        </is>
      </c>
      <c r="B30" s="6" t="n"/>
      <c r="C30" s="6" t="n"/>
      <c r="D30" s="6" t="n"/>
      <c r="E30" s="6" t="n"/>
      <c r="F30" s="6" t="n"/>
      <c r="G30" s="6" t="n"/>
      <c r="H30" s="6" t="n"/>
      <c r="I30" s="6" t="n"/>
      <c r="J30" s="6" t="n"/>
      <c r="K30" s="6" t="n"/>
      <c r="L30" s="6" t="n"/>
    </row>
    <row r="31">
      <c r="A31" s="6" t="inlineStr">
        <is>
          <t>Revaluation of tangible fixed assets</t>
        </is>
      </c>
      <c r="B31" s="6" t="n">
        <v>-173</v>
      </c>
      <c r="C31" s="6" t="n">
        <v>-118</v>
      </c>
      <c r="D31" s="6" t="n">
        <v>-244</v>
      </c>
      <c r="E31" s="6" t="n">
        <v>-209</v>
      </c>
      <c r="F31" s="6" t="n">
        <v>458</v>
      </c>
      <c r="G31" s="6" t="n">
        <v>-617</v>
      </c>
      <c r="H31" s="6" t="n">
        <v>-336</v>
      </c>
      <c r="I31" s="6" t="n">
        <v>27</v>
      </c>
      <c r="J31" s="6" t="n">
        <v>11</v>
      </c>
      <c r="K31" s="6" t="n">
        <v>58</v>
      </c>
      <c r="L31" s="6" t="n">
        <v>338</v>
      </c>
    </row>
    <row r="32">
      <c r="A32" s="5" t="inlineStr">
        <is>
          <t>Total comprehensive income for the year</t>
        </is>
      </c>
      <c r="B32" s="5" t="n">
        <v>19071</v>
      </c>
      <c r="C32" s="5" t="n">
        <v>18152</v>
      </c>
      <c r="D32" s="5" t="n">
        <v>24491</v>
      </c>
      <c r="E32" s="5" t="n">
        <v>11700</v>
      </c>
      <c r="F32" s="5" t="n">
        <v>5664</v>
      </c>
      <c r="G32" s="5" t="n">
        <v>1314</v>
      </c>
      <c r="H32" s="5" t="n">
        <v>5810</v>
      </c>
      <c r="I32" s="5" t="n">
        <v>6111</v>
      </c>
      <c r="J32" s="5" t="n">
        <v>4439</v>
      </c>
      <c r="K32" s="5" t="n">
        <v>5379</v>
      </c>
      <c r="L32" s="5" t="n">
        <v>6280</v>
      </c>
    </row>
    <row r="34" ht="273" customHeight="1">
      <c r="A34" s="8" t="inlineStr">
        <is>
          <t>Sources - Weatherbys Banking Group consolidated income statement, GBP'000: FY2025: Annual Report and Financial Accounts 2025, p.58 - https://www.weatherbys.bank/weatherbys-banking-group-annual-report-2025/; FY2024: Annual Report &amp; Accounts 2024, p.39 - https://www.weatherbys.bank/app/uploads/2025/04/Weatherbys-Banking-Group-Annual-Report-2024.pdf; FY2023: Annual Report &amp; Accounts 2023, pp.44-45 - https://www.weatherbys.bank/app/uploads/2024/05/Weatherbys-Banking-Group-Annual-Report-2023.pdf; FY2022/FY2021: Annual Report &amp; Accounts 2022, p.40 - https://www.weatherbys.bank/app/uploads/2023/05/Weatherbys-Banking-Group-Annual_Report-2022.pdf; FY2020/FY2019: Group accounts made up to 31 Dec 2020, p.26 (Consolidated income statement) - https://find-and-update.company-information.service.gov.uk/company/02943300/filing-history/MzMxMjkxNjk5MmFkaXF6a2N4/document?format=pdf&amp;download=0; FY2018/FY2017: Group accounts made up to 31 Dec 2018, p.18 - https://find-and-update.company-information.service.gov.uk/company/02943300/filing-history/MzIzODIyOTM2NWFkaXF6a2N4/document?format=pdf&amp;download=0; FY2016/FY2015: Group accounts made up to 31 Dec 2016, p.8 - https://find-and-update.company-information.service.gov.uk/company/02943300/filing-history/MzE3NTA2MDU3MmFkaXF6a2N4/document?format=pdf&amp;download=0.
Entity verification: Weatherbys Bank Limited, Companies House 02943300, FRN 204571, LEI 549300OF84KDPIFN4M17; the supplied Banks List 2608.xlsx, the Weatherbys corporate-information page, the PRA register, and Companies House identify the same legal bank. The workbook uses Weatherbys Banking Group's consolidated cash-flow statement because that is the audited cash-flow presentation in the annual reports. The official Pillar 3 disclosures are consolidated Group/Solo disclosures: the documents state that the solo-consolidated group includes Weatherbys Bank Limited and its subsidiaries and that there are no differences between accounting and prudential consolidation for the Group. Group figures are therefore used only where the source explicitly labels them Group and Solo; unrelated wider-group figures are not substituted. Amounts are GBP'000 unless stated otherwise. FY2025's exceptional item is a £10,238k gain (sale of subsidiary/tangible fixed assets, matching the Cash Flow Statement's disposal line); FY2024's exceptional item is a £2,128k charge; FY2016's exceptional item is a £1,079k gain (per its own income statement, no further breakdown given); FY2023/FY2022/FY2021/FY2020/FY2019/FY2018/FY2017/FY2015 had no exceptional item line. FY2023 additionally discloses a small Rent Receivable line (£84k); FY2015-FY2020 all disclose a Rent Receivable line too (this stopped being separately reported FY2021-FY2022, briefly resumed FY2023, then stopped again). FY2015-FY2020 figures are sourced from Weatherbys Bank Limited's Companies-House-filed Group accounts (CH_AR_URLS above), not from weatherbys.bank (which retains only ~5 years of annual reports). FY2019's own Pillar 3 ('Pillar 3 Disclosures For Year Ended 31st December 2019', dated April 2020, a 16-page scanned document) survives only as a Wayback Machine capture (20200921164839 of weatherbys.bank/WeatherbysBank/media/About-Us/WBL-Pillar3-Disclosures.pdf) truncated at 1,048,576 of 1,264,248 bytes. It was PARTLY RECOVERED on 2026-09-19: each page is one self-contained CCITT image, and pages 1-13 lie wholly before the cut, so the PDF was rebuilt from those 13 complete page objects and read off the page images; pages 14-16 (liquidity, remaining risk sections, remuneration) are lost. FY2019 capital, RWA and leverage figures come from its Table 1 (p.5) and Table 2 (p.6), Group column; its Table 6 (p.8, 'At 31 Dec 2019') fills FY2019's regulatory credit risk exposures on the Asset Quality sheet; its Tables 3-4 (pp.6-7) print Pillar 1 capital requirements only, recorded in the RWA Breakdown note rather than converted into RWAs. No FY2015-FY2018 Pillar 3 was recoverable: the FY2016-FY2018 editions are named on archived corporate-information pages (Weatherbys-Bank-Limited-Pillar-3-Disclosures-2016/2017/2018.pdf) but were never captured, so those years' capital/RWA metric sheets are left blank rather than estimated - an access gap, not a disclosure gap. The intact FY2020 document includes FY2019 comparative LCR (586%) and NSFR (207.6%), which are populated. FY2020's own Pillar 3 Disclosures document (Weatherbys Bank, Pillar3-2020.pdf) was independently located and is intact, so FY2020's Pillar 3 metrics ARE populated. Terminology note: Weatherbys' FY2020 Pillar 3 disclosure already reports capital under CRD IV/Basel III (CET1/Tier 1/Tier 2), not Basel II Tier 1/Total Capital-only terminology, so no Basel-II-era caveat applies to any extended year in this workbook. FY2015-FY2020's income statements break Fees and commissions receivable into a gross 'Group and share of joint venture' figure less a 'Less: share of joint venture' deduction, arriving at the net Fees and commissions receivable figure this workbook's row of that name always shows (FY2021 onward's income statement no longer discloses that gross/deduction split, only the net-equivalent figure - the JV's operating-profit share is instead only shown via the separate 'Share of operating profit in joint venture' line, present in all years). FY2015/FY2016 uniquely disclose a '(Loss)/Gain on investment property' line (the Bank held an investment property in those years); FY2015-FY2019 uniquely disclose an 'Other provisions for liabilities' line (a small non-loan provision movement) that is nil/not separately shown from FY2020 onward.</t>
        </is>
      </c>
    </row>
  </sheetData>
  <mergeCells count="1">
    <mergeCell ref="A34:L3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3"/>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Weatherbys Bank Limited — Statement of Changes in Equity</t>
        </is>
      </c>
    </row>
    <row r="2">
      <c r="A2" s="2" t="inlineStr">
        <is>
          <t>Weatherbys Banking Group consolidated statement of changes in equity, GBP'000. Chronological, oldest to newest.</t>
        </is>
      </c>
    </row>
    <row r="3">
      <c r="A3" s="4" t="inlineStr">
        <is>
          <t>Movement</t>
        </is>
      </c>
      <c r="B3" s="4" t="inlineStr">
        <is>
          <t>Share capital</t>
        </is>
      </c>
      <c r="C3" s="4" t="inlineStr">
        <is>
          <t>Contingent Convertible Securities</t>
        </is>
      </c>
      <c r="D3" s="4" t="inlineStr">
        <is>
          <t>Revaluation reserve</t>
        </is>
      </c>
      <c r="E3" s="4" t="inlineStr">
        <is>
          <t>Profit &amp; loss account</t>
        </is>
      </c>
      <c r="F3" s="4" t="inlineStr">
        <is>
          <t>Total equity</t>
        </is>
      </c>
    </row>
    <row r="4">
      <c r="A4" s="6" t="inlineStr">
        <is>
          <t>1 January 2015</t>
        </is>
      </c>
      <c r="B4" s="6" t="n">
        <v>7000</v>
      </c>
      <c r="C4" s="6" t="n"/>
      <c r="D4" s="6" t="n">
        <v>1036</v>
      </c>
      <c r="E4" s="6" t="n">
        <v>18978</v>
      </c>
      <c r="F4" s="6" t="n">
        <v>27014</v>
      </c>
    </row>
    <row r="5">
      <c r="A5" s="6" t="inlineStr">
        <is>
          <t>Profit for the year</t>
        </is>
      </c>
      <c r="B5" s="6" t="n"/>
      <c r="C5" s="6" t="n"/>
      <c r="D5" s="6" t="n"/>
      <c r="E5" s="6" t="n">
        <v>5942</v>
      </c>
      <c r="F5" s="6" t="n">
        <v>5942</v>
      </c>
    </row>
    <row r="6">
      <c r="A6" s="6" t="inlineStr">
        <is>
          <t>Revaluation of non-investment property</t>
        </is>
      </c>
      <c r="B6" s="6" t="n"/>
      <c r="C6" s="6" t="n"/>
      <c r="D6" s="6" t="n">
        <v>338</v>
      </c>
      <c r="E6" s="6" t="n"/>
      <c r="F6" s="6" t="n">
        <v>338</v>
      </c>
    </row>
    <row r="7">
      <c r="A7" s="5" t="inlineStr">
        <is>
          <t>Total comprehensive income for the year</t>
        </is>
      </c>
      <c r="B7" s="5" t="n"/>
      <c r="C7" s="5" t="n"/>
      <c r="D7" s="5" t="n">
        <v>338</v>
      </c>
      <c r="E7" s="5" t="n">
        <v>5942</v>
      </c>
      <c r="F7" s="5" t="n">
        <v>6280</v>
      </c>
    </row>
    <row r="8">
      <c r="A8" s="6" t="inlineStr">
        <is>
          <t>Dividends</t>
        </is>
      </c>
      <c r="B8" s="6" t="n"/>
      <c r="C8" s="6" t="n"/>
      <c r="D8" s="6" t="n"/>
      <c r="E8" s="6" t="n">
        <v>-1140</v>
      </c>
      <c r="F8" s="6" t="n">
        <v>-1140</v>
      </c>
    </row>
    <row r="9">
      <c r="A9" s="5" t="inlineStr">
        <is>
          <t>31 December 2015</t>
        </is>
      </c>
      <c r="B9" s="5" t="n">
        <v>7000</v>
      </c>
      <c r="C9" s="5" t="n"/>
      <c r="D9" s="5" t="n">
        <v>1374</v>
      </c>
      <c r="E9" s="5" t="n">
        <v>23780</v>
      </c>
      <c r="F9" s="5" t="n">
        <v>32154</v>
      </c>
    </row>
    <row r="10">
      <c r="A10" s="6" t="inlineStr">
        <is>
          <t>Profit for the year</t>
        </is>
      </c>
      <c r="B10" s="6" t="n"/>
      <c r="C10" s="6" t="n"/>
      <c r="D10" s="6" t="n"/>
      <c r="E10" s="6" t="n">
        <v>5321</v>
      </c>
      <c r="F10" s="6" t="n">
        <v>5321</v>
      </c>
    </row>
    <row r="11">
      <c r="A11" s="6" t="inlineStr">
        <is>
          <t>Revaluation of non-investment property</t>
        </is>
      </c>
      <c r="B11" s="6" t="n"/>
      <c r="C11" s="6" t="n"/>
      <c r="D11" s="6" t="n">
        <v>58</v>
      </c>
      <c r="E11" s="6" t="n"/>
      <c r="F11" s="6" t="n">
        <v>58</v>
      </c>
    </row>
    <row r="12">
      <c r="A12" s="5" t="inlineStr">
        <is>
          <t>Total comprehensive income for the year</t>
        </is>
      </c>
      <c r="B12" s="5" t="n"/>
      <c r="C12" s="5" t="n"/>
      <c r="D12" s="5" t="n">
        <v>58</v>
      </c>
      <c r="E12" s="5" t="n">
        <v>5321</v>
      </c>
      <c r="F12" s="5" t="n">
        <v>5379</v>
      </c>
    </row>
    <row r="13">
      <c r="A13" s="6" t="inlineStr">
        <is>
          <t>Dividends</t>
        </is>
      </c>
      <c r="B13" s="6" t="n"/>
      <c r="C13" s="6" t="n"/>
      <c r="D13" s="6" t="n"/>
      <c r="E13" s="6" t="n">
        <v>-1520</v>
      </c>
      <c r="F13" s="6" t="n">
        <v>-1520</v>
      </c>
    </row>
    <row r="14">
      <c r="A14" s="5" t="inlineStr">
        <is>
          <t>31 December 2016</t>
        </is>
      </c>
      <c r="B14" s="5" t="n">
        <v>7000</v>
      </c>
      <c r="C14" s="5" t="n"/>
      <c r="D14" s="5" t="n">
        <v>1432</v>
      </c>
      <c r="E14" s="5" t="n">
        <v>27581</v>
      </c>
      <c r="F14" s="5" t="n">
        <v>36012</v>
      </c>
    </row>
    <row r="15">
      <c r="A15" s="6" t="inlineStr">
        <is>
          <t>Profit for the year</t>
        </is>
      </c>
      <c r="B15" s="6" t="n"/>
      <c r="C15" s="6" t="n"/>
      <c r="D15" s="6" t="n"/>
      <c r="E15" s="6" t="n">
        <v>4428</v>
      </c>
      <c r="F15" s="6" t="n">
        <v>4428</v>
      </c>
    </row>
    <row r="16">
      <c r="A16" s="6" t="inlineStr">
        <is>
          <t>Revaluation of tangible fixed assets</t>
        </is>
      </c>
      <c r="B16" s="6" t="n"/>
      <c r="C16" s="6" t="n"/>
      <c r="D16" s="6" t="n">
        <v>11</v>
      </c>
      <c r="E16" s="6" t="n"/>
      <c r="F16" s="6" t="n">
        <v>11</v>
      </c>
    </row>
    <row r="17">
      <c r="A17" s="5" t="inlineStr">
        <is>
          <t>Total comprehensive income for the year</t>
        </is>
      </c>
      <c r="B17" s="5" t="n"/>
      <c r="C17" s="5" t="n"/>
      <c r="D17" s="5" t="n">
        <v>11</v>
      </c>
      <c r="E17" s="5" t="n">
        <v>4428</v>
      </c>
      <c r="F17" s="5" t="n">
        <v>4439</v>
      </c>
    </row>
    <row r="18">
      <c r="A18" s="6" t="inlineStr">
        <is>
          <t>Dividends</t>
        </is>
      </c>
      <c r="B18" s="6" t="n"/>
      <c r="C18" s="6" t="n"/>
      <c r="D18" s="6" t="n"/>
      <c r="E18" s="6" t="n">
        <v>-1250</v>
      </c>
      <c r="F18" s="6" t="n">
        <v>-1250</v>
      </c>
    </row>
    <row r="19">
      <c r="A19" s="5" t="inlineStr">
        <is>
          <t>31 December 2017</t>
        </is>
      </c>
      <c r="B19" s="5" t="n">
        <v>7000</v>
      </c>
      <c r="C19" s="5" t="n"/>
      <c r="D19" s="5" t="n">
        <v>1443</v>
      </c>
      <c r="E19" s="5" t="n">
        <v>30758</v>
      </c>
      <c r="F19" s="5" t="n">
        <v>39201</v>
      </c>
    </row>
    <row r="20">
      <c r="A20" s="6" t="inlineStr">
        <is>
          <t>Profit for the year</t>
        </is>
      </c>
      <c r="B20" s="6" t="n"/>
      <c r="C20" s="6" t="n"/>
      <c r="D20" s="6" t="n"/>
      <c r="E20" s="6" t="n">
        <v>6084</v>
      </c>
      <c r="F20" s="6" t="n">
        <v>6084</v>
      </c>
    </row>
    <row r="21">
      <c r="A21" s="6" t="inlineStr">
        <is>
          <t>Revaluation of tangible fixed assets</t>
        </is>
      </c>
      <c r="B21" s="6" t="n"/>
      <c r="C21" s="6" t="n"/>
      <c r="D21" s="6" t="n">
        <v>27</v>
      </c>
      <c r="E21" s="6" t="n"/>
      <c r="F21" s="6" t="n">
        <v>27</v>
      </c>
    </row>
    <row r="22">
      <c r="A22" s="5" t="inlineStr">
        <is>
          <t>Total comprehensive income for the year</t>
        </is>
      </c>
      <c r="B22" s="5" t="n"/>
      <c r="C22" s="5" t="n"/>
      <c r="D22" s="5" t="n">
        <v>27</v>
      </c>
      <c r="E22" s="5" t="n">
        <v>6084</v>
      </c>
      <c r="F22" s="5" t="n">
        <v>6111</v>
      </c>
    </row>
    <row r="23">
      <c r="A23" s="6" t="inlineStr">
        <is>
          <t>Dividends</t>
        </is>
      </c>
      <c r="B23" s="6" t="n"/>
      <c r="C23" s="6" t="n"/>
      <c r="D23" s="6" t="n"/>
      <c r="E23" s="6" t="n">
        <v>-1750</v>
      </c>
      <c r="F23" s="6" t="n">
        <v>-1750</v>
      </c>
    </row>
    <row r="24">
      <c r="A24" s="5" t="inlineStr">
        <is>
          <t>31 December 2018</t>
        </is>
      </c>
      <c r="B24" s="5" t="n">
        <v>7000</v>
      </c>
      <c r="C24" s="5" t="n"/>
      <c r="D24" s="5" t="n">
        <v>1470</v>
      </c>
      <c r="E24" s="5" t="n">
        <v>35092</v>
      </c>
      <c r="F24" s="5" t="n">
        <v>43562</v>
      </c>
    </row>
    <row r="25">
      <c r="A25" s="6" t="inlineStr">
        <is>
          <t>Profit for the year</t>
        </is>
      </c>
      <c r="B25" s="6" t="n"/>
      <c r="C25" s="6" t="n"/>
      <c r="D25" s="6" t="n"/>
      <c r="E25" s="6" t="n">
        <v>6146</v>
      </c>
      <c r="F25" s="6" t="n">
        <v>6146</v>
      </c>
    </row>
    <row r="26">
      <c r="A26" s="6" t="inlineStr">
        <is>
          <t>Revaluation of tangible fixed assets</t>
        </is>
      </c>
      <c r="B26" s="6" t="n"/>
      <c r="C26" s="6" t="n"/>
      <c r="D26" s="6" t="n">
        <v>-336</v>
      </c>
      <c r="E26" s="6" t="n"/>
      <c r="F26" s="6" t="n">
        <v>-336</v>
      </c>
    </row>
    <row r="27">
      <c r="A27" s="5" t="inlineStr">
        <is>
          <t>Total comprehensive income for the year</t>
        </is>
      </c>
      <c r="B27" s="5" t="n"/>
      <c r="C27" s="5" t="n"/>
      <c r="D27" s="5" t="n">
        <v>-336</v>
      </c>
      <c r="E27" s="5" t="n">
        <v>6146</v>
      </c>
      <c r="F27" s="5" t="n">
        <v>5810</v>
      </c>
    </row>
    <row r="28">
      <c r="A28" s="6" t="inlineStr">
        <is>
          <t>Dividends</t>
        </is>
      </c>
      <c r="B28" s="6" t="n"/>
      <c r="C28" s="6" t="n"/>
      <c r="D28" s="6" t="n"/>
      <c r="E28" s="6" t="n">
        <v>-2050</v>
      </c>
      <c r="F28" s="6" t="n">
        <v>-2050</v>
      </c>
    </row>
    <row r="29">
      <c r="A29" s="5" t="inlineStr">
        <is>
          <t>31 December 2019</t>
        </is>
      </c>
      <c r="B29" s="5" t="n">
        <v>7000</v>
      </c>
      <c r="C29" s="5" t="n"/>
      <c r="D29" s="5" t="n">
        <v>1133</v>
      </c>
      <c r="E29" s="5" t="n">
        <v>39188</v>
      </c>
      <c r="F29" s="5" t="n">
        <v>47322</v>
      </c>
    </row>
    <row r="30">
      <c r="A30" s="6" t="inlineStr">
        <is>
          <t>Profit for the year</t>
        </is>
      </c>
      <c r="B30" s="6" t="n"/>
      <c r="C30" s="6" t="n"/>
      <c r="D30" s="6" t="n"/>
      <c r="E30" s="6" t="n">
        <v>1931</v>
      </c>
      <c r="F30" s="6" t="n">
        <v>1931</v>
      </c>
    </row>
    <row r="31">
      <c r="A31" s="6" t="inlineStr">
        <is>
          <t>Revaluation of tangible fixed assets</t>
        </is>
      </c>
      <c r="B31" s="6" t="n"/>
      <c r="C31" s="6" t="n"/>
      <c r="D31" s="6" t="n">
        <v>-617</v>
      </c>
      <c r="E31" s="6" t="n"/>
      <c r="F31" s="6" t="n">
        <v>-617</v>
      </c>
    </row>
    <row r="32">
      <c r="A32" s="5" t="inlineStr">
        <is>
          <t>Total comprehensive income for the year</t>
        </is>
      </c>
      <c r="B32" s="5" t="n"/>
      <c r="C32" s="5" t="n"/>
      <c r="D32" s="5" t="n">
        <v>-617</v>
      </c>
      <c r="E32" s="5" t="n">
        <v>1931</v>
      </c>
      <c r="F32" s="5" t="n">
        <v>1314</v>
      </c>
    </row>
    <row r="33">
      <c r="A33" s="6" t="inlineStr">
        <is>
          <t>Dividends</t>
        </is>
      </c>
      <c r="B33" s="6" t="n"/>
      <c r="C33" s="6" t="n"/>
      <c r="D33" s="6" t="n"/>
      <c r="E33" s="6" t="n">
        <v>-250</v>
      </c>
      <c r="F33" s="6" t="n">
        <v>-250</v>
      </c>
    </row>
    <row r="34">
      <c r="A34" s="5" t="inlineStr">
        <is>
          <t>31 December 2020</t>
        </is>
      </c>
      <c r="B34" s="5" t="n">
        <v>7000</v>
      </c>
      <c r="C34" s="5" t="n"/>
      <c r="D34" s="5" t="n">
        <v>517</v>
      </c>
      <c r="E34" s="5" t="n">
        <v>40869</v>
      </c>
      <c r="F34" s="5" t="n">
        <v>48386</v>
      </c>
    </row>
    <row r="35">
      <c r="A35" s="6" t="inlineStr">
        <is>
          <t>1 January 2021</t>
        </is>
      </c>
      <c r="B35" s="6" t="n">
        <v>7000</v>
      </c>
      <c r="C35" s="6" t="n"/>
      <c r="D35" s="6" t="n">
        <v>517</v>
      </c>
      <c r="E35" s="6" t="n">
        <v>40869</v>
      </c>
      <c r="F35" s="6" t="n">
        <v>48386</v>
      </c>
    </row>
    <row r="36">
      <c r="A36" s="6" t="inlineStr">
        <is>
          <t>Profit for the year</t>
        </is>
      </c>
      <c r="B36" s="6" t="n"/>
      <c r="C36" s="6" t="n"/>
      <c r="D36" s="6" t="n"/>
      <c r="E36" s="6" t="n">
        <v>5206</v>
      </c>
      <c r="F36" s="6" t="n">
        <v>5206</v>
      </c>
    </row>
    <row r="37">
      <c r="A37" s="6" t="inlineStr">
        <is>
          <t>Revaluation of tangible fixed assets</t>
        </is>
      </c>
      <c r="B37" s="6" t="n"/>
      <c r="C37" s="6" t="n"/>
      <c r="D37" s="6" t="n">
        <v>458</v>
      </c>
      <c r="E37" s="6" t="n"/>
      <c r="F37" s="6" t="n">
        <v>458</v>
      </c>
    </row>
    <row r="38">
      <c r="A38" s="5" t="inlineStr">
        <is>
          <t>Total comprehensive income for the year</t>
        </is>
      </c>
      <c r="B38" s="5" t="n"/>
      <c r="C38" s="5" t="n"/>
      <c r="D38" s="5" t="n">
        <v>458</v>
      </c>
      <c r="E38" s="5" t="n">
        <v>5206</v>
      </c>
      <c r="F38" s="5" t="n">
        <v>5664</v>
      </c>
    </row>
    <row r="39">
      <c r="A39" s="6" t="inlineStr">
        <is>
          <t>Dividends</t>
        </is>
      </c>
      <c r="B39" s="6" t="n"/>
      <c r="C39" s="6" t="n"/>
      <c r="D39" s="6" t="n"/>
      <c r="E39" s="6" t="n">
        <v>-1250</v>
      </c>
      <c r="F39" s="6" t="n">
        <v>-1250</v>
      </c>
    </row>
    <row r="40">
      <c r="A40" s="5" t="inlineStr">
        <is>
          <t>31 December 2021</t>
        </is>
      </c>
      <c r="B40" s="5" t="n">
        <v>7000</v>
      </c>
      <c r="C40" s="5" t="n"/>
      <c r="D40" s="5" t="n">
        <v>975</v>
      </c>
      <c r="E40" s="5" t="n">
        <v>44825</v>
      </c>
      <c r="F40" s="5" t="n">
        <v>52800</v>
      </c>
    </row>
    <row r="41">
      <c r="A41" s="6" t="inlineStr">
        <is>
          <t>Profit for the year</t>
        </is>
      </c>
      <c r="B41" s="6" t="n"/>
      <c r="C41" s="6" t="n"/>
      <c r="D41" s="6" t="n"/>
      <c r="E41" s="6" t="n">
        <v>11909</v>
      </c>
      <c r="F41" s="6" t="n">
        <v>11909</v>
      </c>
    </row>
    <row r="42">
      <c r="A42" s="6" t="inlineStr">
        <is>
          <t>Revaluation of tangible fixed assets</t>
        </is>
      </c>
      <c r="B42" s="6" t="n"/>
      <c r="C42" s="6" t="n"/>
      <c r="D42" s="6" t="n">
        <v>-209</v>
      </c>
      <c r="E42" s="6" t="n"/>
      <c r="F42" s="6" t="n">
        <v>-209</v>
      </c>
    </row>
    <row r="43">
      <c r="A43" s="5" t="inlineStr">
        <is>
          <t>Total comprehensive income for the year</t>
        </is>
      </c>
      <c r="B43" s="5" t="n"/>
      <c r="C43" s="5" t="n"/>
      <c r="D43" s="5" t="n">
        <v>-209</v>
      </c>
      <c r="E43" s="5" t="n">
        <v>11909</v>
      </c>
      <c r="F43" s="5" t="n">
        <v>11700</v>
      </c>
    </row>
    <row r="44">
      <c r="A44" s="6" t="inlineStr">
        <is>
          <t>Dividends</t>
        </is>
      </c>
      <c r="B44" s="6" t="n"/>
      <c r="C44" s="6" t="n"/>
      <c r="D44" s="6" t="n"/>
      <c r="E44" s="6" t="n">
        <v>-2000</v>
      </c>
      <c r="F44" s="6" t="n">
        <v>-2000</v>
      </c>
    </row>
    <row r="45">
      <c r="A45" s="5" t="inlineStr">
        <is>
          <t>31 December 2022</t>
        </is>
      </c>
      <c r="B45" s="5" t="n">
        <v>7000</v>
      </c>
      <c r="C45" s="5" t="n"/>
      <c r="D45" s="5" t="n">
        <v>766</v>
      </c>
      <c r="E45" s="5" t="n">
        <v>54734</v>
      </c>
      <c r="F45" s="5" t="n">
        <v>62500</v>
      </c>
    </row>
    <row r="46">
      <c r="A46" s="6" t="inlineStr">
        <is>
          <t>Profit for the year</t>
        </is>
      </c>
      <c r="B46" s="6" t="n"/>
      <c r="C46" s="6" t="n"/>
      <c r="D46" s="6" t="n"/>
      <c r="E46" s="6" t="n">
        <v>24735</v>
      </c>
      <c r="F46" s="6" t="n">
        <v>24735</v>
      </c>
    </row>
    <row r="47">
      <c r="A47" s="6" t="inlineStr">
        <is>
          <t>Revaluation of tangible fixed assets</t>
        </is>
      </c>
      <c r="B47" s="6" t="n"/>
      <c r="C47" s="6" t="n"/>
      <c r="D47" s="6" t="n">
        <v>-244</v>
      </c>
      <c r="E47" s="6" t="n"/>
      <c r="F47" s="6" t="n">
        <v>-244</v>
      </c>
    </row>
    <row r="48">
      <c r="A48" s="5" t="inlineStr">
        <is>
          <t>Total comprehensive income for the year</t>
        </is>
      </c>
      <c r="B48" s="5" t="n"/>
      <c r="C48" s="5" t="n"/>
      <c r="D48" s="5" t="n">
        <v>-244</v>
      </c>
      <c r="E48" s="5" t="n">
        <v>24735</v>
      </c>
      <c r="F48" s="5" t="n">
        <v>24491</v>
      </c>
    </row>
    <row r="49">
      <c r="A49" s="6" t="inlineStr">
        <is>
          <t>Dividends</t>
        </is>
      </c>
      <c r="B49" s="6" t="n"/>
      <c r="C49" s="6" t="n"/>
      <c r="D49" s="6" t="n"/>
      <c r="E49" s="6" t="n">
        <v>-5000</v>
      </c>
      <c r="F49" s="6" t="n">
        <v>-5000</v>
      </c>
    </row>
    <row r="50">
      <c r="A50" s="6" t="inlineStr">
        <is>
          <t>Issue of contingent convertible securities</t>
        </is>
      </c>
      <c r="B50" s="6" t="n"/>
      <c r="C50" s="6" t="n">
        <v>3000</v>
      </c>
      <c r="D50" s="6" t="n"/>
      <c r="E50" s="6" t="n"/>
      <c r="F50" s="6" t="n">
        <v>3000</v>
      </c>
    </row>
    <row r="51">
      <c r="A51" s="5" t="inlineStr">
        <is>
          <t>31 December 2023</t>
        </is>
      </c>
      <c r="B51" s="5" t="n">
        <v>7000</v>
      </c>
      <c r="C51" s="5" t="n">
        <v>3000</v>
      </c>
      <c r="D51" s="5" t="n">
        <v>522</v>
      </c>
      <c r="E51" s="5" t="n">
        <v>74469</v>
      </c>
      <c r="F51" s="5" t="n">
        <v>84991</v>
      </c>
    </row>
    <row r="52">
      <c r="A52" s="6" t="inlineStr">
        <is>
          <t>Profit for the year</t>
        </is>
      </c>
      <c r="B52" s="6" t="n"/>
      <c r="C52" s="6" t="n"/>
      <c r="D52" s="6" t="n"/>
      <c r="E52" s="6" t="n">
        <v>18270</v>
      </c>
      <c r="F52" s="6" t="n">
        <v>18270</v>
      </c>
    </row>
    <row r="53">
      <c r="A53" s="6" t="inlineStr">
        <is>
          <t>Revaluation of tangible fixed assets</t>
        </is>
      </c>
      <c r="B53" s="6" t="n"/>
      <c r="C53" s="6" t="n"/>
      <c r="D53" s="6" t="n">
        <v>-118</v>
      </c>
      <c r="E53" s="6" t="n"/>
      <c r="F53" s="6" t="n">
        <v>-118</v>
      </c>
    </row>
    <row r="54">
      <c r="A54" s="5" t="inlineStr">
        <is>
          <t>Total comprehensive income for the year</t>
        </is>
      </c>
      <c r="B54" s="5" t="n"/>
      <c r="C54" s="5" t="n"/>
      <c r="D54" s="5" t="n">
        <v>-118</v>
      </c>
      <c r="E54" s="5" t="n">
        <v>18270</v>
      </c>
      <c r="F54" s="5" t="n">
        <v>18152</v>
      </c>
    </row>
    <row r="55">
      <c r="A55" s="6" t="inlineStr">
        <is>
          <t>Dividends</t>
        </is>
      </c>
      <c r="B55" s="6" t="n"/>
      <c r="C55" s="6" t="n"/>
      <c r="D55" s="6" t="n"/>
      <c r="E55" s="6" t="n">
        <v>-3100</v>
      </c>
      <c r="F55" s="6" t="n">
        <v>-3100</v>
      </c>
    </row>
    <row r="56">
      <c r="A56" s="5" t="inlineStr">
        <is>
          <t>31 December 2024</t>
        </is>
      </c>
      <c r="B56" s="5" t="n">
        <v>7000</v>
      </c>
      <c r="C56" s="5" t="n">
        <v>3000</v>
      </c>
      <c r="D56" s="5" t="n">
        <v>404</v>
      </c>
      <c r="E56" s="5" t="n">
        <v>89639</v>
      </c>
      <c r="F56" s="5" t="n">
        <v>100043</v>
      </c>
    </row>
    <row r="57">
      <c r="A57" s="6" t="inlineStr">
        <is>
          <t>Profit for the year</t>
        </is>
      </c>
      <c r="B57" s="6" t="n"/>
      <c r="C57" s="6" t="n"/>
      <c r="D57" s="6" t="n"/>
      <c r="E57" s="6" t="n">
        <v>19244</v>
      </c>
      <c r="F57" s="6" t="n">
        <v>19244</v>
      </c>
    </row>
    <row r="58">
      <c r="A58" s="6" t="inlineStr">
        <is>
          <t>Revaluation of tangible fixed assets</t>
        </is>
      </c>
      <c r="B58" s="6" t="n"/>
      <c r="C58" s="6" t="n"/>
      <c r="D58" s="6" t="n">
        <v>-173</v>
      </c>
      <c r="E58" s="6" t="n"/>
      <c r="F58" s="6" t="n">
        <v>-173</v>
      </c>
    </row>
    <row r="59">
      <c r="A59" s="5" t="inlineStr">
        <is>
          <t>Total comprehensive income for the year</t>
        </is>
      </c>
      <c r="B59" s="5" t="n"/>
      <c r="C59" s="5" t="n"/>
      <c r="D59" s="5" t="n">
        <v>-173</v>
      </c>
      <c r="E59" s="5" t="n">
        <v>19244</v>
      </c>
      <c r="F59" s="5" t="n">
        <v>19071</v>
      </c>
    </row>
    <row r="60">
      <c r="A60" s="6" t="inlineStr">
        <is>
          <t>Dividends</t>
        </is>
      </c>
      <c r="B60" s="6" t="n"/>
      <c r="C60" s="6" t="n"/>
      <c r="D60" s="6" t="n"/>
      <c r="E60" s="6" t="n">
        <v>-8000</v>
      </c>
      <c r="F60" s="6" t="n">
        <v>-8000</v>
      </c>
    </row>
    <row r="61">
      <c r="A61" s="5" t="inlineStr">
        <is>
          <t>31 December 2025</t>
        </is>
      </c>
      <c r="B61" s="5" t="n">
        <v>7000</v>
      </c>
      <c r="C61" s="5" t="n">
        <v>3000</v>
      </c>
      <c r="D61" s="5" t="n">
        <v>231</v>
      </c>
      <c r="E61" s="5" t="n">
        <v>100883</v>
      </c>
      <c r="F61" s="5" t="n">
        <v>111114</v>
      </c>
    </row>
    <row r="63" ht="403" customHeight="1">
      <c r="A63" s="8" t="inlineStr">
        <is>
          <t>Sources - Weatherbys Banking Group consolidated statement of changes in equity, GBP'000: AR2025, p.62 - https://www.weatherbys.bank/weatherbys-banking-group-annual-report-2025/; AR2024, p.43 - https://www.weatherbys.bank/app/uploads/2025/04/Weatherbys-Banking-Group-Annual-Report-2024.pdf; AR2023, p.48 - https://www.weatherbys.bank/app/uploads/2024/05/Weatherbys-Banking-Group-Annual-Report-2023.pdf; AR2022, p.44 - https://www.weatherbys.bank/app/uploads/2023/05/Weatherbys-Banking-Group-Annual_Report-2022.pdf; FY2020/FY2019: Group accounts made up to 31 Dec 2020, pp.29-30 - https://find-and-update.company-information.service.gov.uk/company/02943300/filing-history/MzMxMjkxNjk5MmFkaXF6a2N4/document?format=pdf&amp;download=0; FY2018/FY2017: Group accounts made up to 31 Dec 2018, pp.22-23 - https://find-and-update.company-information.service.gov.uk/company/02943300/filing-history/MzIzODIyOTM2NWFkaXF6a2N4/document?format=pdf&amp;download=0; FY2016/FY2015: Group accounts made up to 31 Dec 2016, pp.12-13 - https://find-and-update.company-information.service.gov.uk/company/02943300/filing-history/MzE3NTA2MDU3MmFkaXF6a2N4/document?format=pdf&amp;download=0.
Entity verification: Weatherbys Bank Limited, Companies House 02943300, FRN 204571, LEI 549300OF84KDPIFN4M17; the supplied Banks List 2608.xlsx, the Weatherbys corporate-information page, the PRA register, and Companies House identify the same legal bank. The workbook uses Weatherbys Banking Group's consolidated cash-flow statement because that is the audited cash-flow presentation in the annual reports. The official Pillar 3 disclosures are consolidated Group/Solo disclosures: the documents state that the solo-consolidated group includes Weatherbys Bank Limited and its subsidiaries and that there are no differences between accounting and prudential consolidation for the Group. Group figures are therefore used only where the source explicitly labels them Group and Solo; unrelated wider-group figures are not substituted. Amounts are GBP'000 unless stated otherwise. Every year's closing balance ties exactly to the next year's opening balance and to that year's own Balance Sheet Total equity - zero undocumented plug rows, all the way back to 1 January 2015 (which itself ties to FY2014's own closing balance, one year beyond this workbook's floor, per the FY2015 Group accounts' own comparative column). Contingent Convertible Securities first appear in FY2023 (a £3,000k issuance). FY2015-FY2020 figures are sourced from Weatherbys Bank Limited's Companies-House-filed Group accounts (CH_AR_URLS above), not from weatherbys.bank (which retains only ~5 years of annual reports). FY2019's own Pillar 3 ('Pillar 3 Disclosures For Year Ended 31st December 2019', dated April 2020, a 16-page scanned document) survives only as a Wayback Machine capture (20200921164839 of weatherbys.bank/WeatherbysBank/media/About-Us/WBL-Pillar3-Disclosures.pdf) truncated at 1,048,576 of 1,264,248 bytes. It was PARTLY RECOVERED on 2026-09-19: each page is one self-contained CCITT image, and pages 1-13 lie wholly before the cut, so the PDF was rebuilt from those 13 complete page objects and read off the page images; pages 14-16 (liquidity, remaining risk sections, remuneration) are lost. FY2019 capital, RWA and leverage figures come from its Table 1 (p.5) and Table 2 (p.6), Group column; its Table 6 (p.8, 'At 31 Dec 2019') fills FY2019's regulatory credit risk exposures on the Asset Quality sheet; its Tables 3-4 (pp.6-7) print Pillar 1 capital requirements only, recorded in the RWA Breakdown note rather than converted into RWAs. No FY2015-FY2018 Pillar 3 was recoverable: the FY2016-FY2018 editions are named on archived corporate-information pages (Weatherbys-Bank-Limited-Pillar-3-Disclosures-2016/2017/2018.pdf) but were never captured, so those years' capital/RWA metric sheets are left blank rather than estimated - an access gap, not a disclosure gap. The intact FY2020 document includes FY2019 comparative LCR (586%) and NSFR (207.6%), which are populated. FY2020's own Pillar 3 Disclosures document (Weatherbys Bank, Pillar3-2020.pdf) was independently located and is intact, so FY2020's Pillar 3 metrics ARE populated. Terminology note: Weatherbys' FY2020 Pillar 3 disclosure already reports capital under CRD IV/Basel III (CET1/Tier 1/Tier 2), not Basel II Tier 1/Total Capital-only terminology, so no Basel-II-era caveat applies to any extended year in this workbook.</t>
        </is>
      </c>
    </row>
  </sheetData>
  <mergeCells count="1">
    <mergeCell ref="A63:F6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Weatherbys Bank Limited — Cash Flow Statement</t>
        </is>
      </c>
    </row>
    <row r="2">
      <c r="A2" s="2" t="inlineStr">
        <is>
          <t>Weatherbys Banking Group consolidated basis, GBP'000. FY2015-FY2025.</t>
        </is>
      </c>
    </row>
    <row r="3">
      <c r="A3" s="4" t="inlineStr">
        <is>
          <t>Line item</t>
        </is>
      </c>
      <c r="B3" s="4" t="inlineStr">
        <is>
          <t>FY2025 (GBP'000)</t>
        </is>
      </c>
      <c r="C3" s="4" t="inlineStr">
        <is>
          <t>FY2024 (GBP'000)</t>
        </is>
      </c>
      <c r="D3" s="4" t="inlineStr">
        <is>
          <t>FY2023 (GBP'000)</t>
        </is>
      </c>
      <c r="E3" s="4" t="inlineStr">
        <is>
          <t>FY2022 (GBP'000)</t>
        </is>
      </c>
      <c r="F3" s="4" t="inlineStr">
        <is>
          <t>FY2021 (GBP'000)</t>
        </is>
      </c>
      <c r="G3" s="4" t="inlineStr">
        <is>
          <t>FY2020 (GBP'000)</t>
        </is>
      </c>
      <c r="H3" s="4" t="inlineStr">
        <is>
          <t>FY2019 (GBP'000)</t>
        </is>
      </c>
      <c r="I3" s="4" t="inlineStr">
        <is>
          <t>FY2018 (GBP'000)</t>
        </is>
      </c>
      <c r="J3" s="4" t="inlineStr">
        <is>
          <t>FY2017 (GBP'000)</t>
        </is>
      </c>
      <c r="K3" s="4" t="inlineStr">
        <is>
          <t>FY2016 (GBP'000)</t>
        </is>
      </c>
      <c r="L3" s="4" t="inlineStr">
        <is>
          <t>FY2015 (GBP'000)</t>
        </is>
      </c>
    </row>
    <row r="4">
      <c r="A4" s="5" t="inlineStr">
        <is>
          <t>Operating activities</t>
        </is>
      </c>
      <c r="B4" s="6" t="n"/>
      <c r="C4" s="6" t="n"/>
      <c r="D4" s="6" t="n"/>
      <c r="E4" s="6" t="n"/>
      <c r="F4" s="6" t="n"/>
      <c r="G4" s="6" t="n"/>
      <c r="H4" s="6" t="n"/>
      <c r="I4" s="6" t="n"/>
      <c r="J4" s="6" t="n"/>
      <c r="K4" s="6" t="n"/>
      <c r="L4" s="6" t="n"/>
    </row>
    <row r="5">
      <c r="A5" s="6" t="inlineStr">
        <is>
          <t>Profit for the financial year before exceptional items</t>
        </is>
      </c>
      <c r="B5" s="6" t="n">
        <v>19244</v>
      </c>
      <c r="C5" s="6" t="n">
        <v>18270</v>
      </c>
      <c r="D5" s="6" t="n">
        <v>24735</v>
      </c>
      <c r="E5" s="6" t="n">
        <v>11909</v>
      </c>
      <c r="F5" s="6" t="n">
        <v>5206</v>
      </c>
      <c r="G5" s="6" t="n">
        <v>1931</v>
      </c>
      <c r="H5" s="6" t="n">
        <v>6146</v>
      </c>
      <c r="I5" s="6" t="n">
        <v>6084</v>
      </c>
      <c r="J5" s="6" t="n">
        <v>4428</v>
      </c>
      <c r="K5" s="6" t="n">
        <v>4242</v>
      </c>
      <c r="L5" s="6" t="n">
        <v>5942</v>
      </c>
    </row>
    <row r="6">
      <c r="A6" s="6" t="inlineStr">
        <is>
          <t>Exceptional items</t>
        </is>
      </c>
      <c r="B6" s="6" t="n"/>
      <c r="C6" s="6" t="n"/>
      <c r="D6" s="6" t="n"/>
      <c r="E6" s="6" t="n"/>
      <c r="F6" s="6" t="n"/>
      <c r="G6" s="6" t="n"/>
      <c r="H6" s="6" t="n"/>
      <c r="I6" s="6" t="n"/>
      <c r="J6" s="6" t="n"/>
      <c r="K6" s="6" t="n">
        <v>1079</v>
      </c>
      <c r="L6" s="6" t="n"/>
    </row>
    <row r="7">
      <c r="A7" s="6" t="inlineStr">
        <is>
          <t>Depreciation, impairment and amortisation of fixed assets</t>
        </is>
      </c>
      <c r="B7" s="6" t="n">
        <v>7065</v>
      </c>
      <c r="C7" s="6" t="n">
        <v>4506</v>
      </c>
      <c r="D7" s="6" t="n">
        <v>2758</v>
      </c>
      <c r="E7" s="6" t="n">
        <v>2786</v>
      </c>
      <c r="F7" s="6" t="n">
        <v>2402</v>
      </c>
      <c r="G7" s="6" t="n">
        <v>1794</v>
      </c>
      <c r="H7" s="6" t="n">
        <v>1204</v>
      </c>
      <c r="I7" s="6" t="n">
        <v>1060</v>
      </c>
      <c r="J7" s="6" t="n">
        <v>805</v>
      </c>
      <c r="K7" s="6" t="n">
        <v>434</v>
      </c>
      <c r="L7" s="6" t="n">
        <v>259</v>
      </c>
    </row>
    <row r="8">
      <c r="A8" s="6" t="inlineStr">
        <is>
          <t>Amortisation of debt securities</t>
        </is>
      </c>
      <c r="B8" s="6" t="n">
        <v>-1870</v>
      </c>
      <c r="C8" s="6" t="n">
        <v>-1138</v>
      </c>
      <c r="D8" s="6" t="n">
        <v>413</v>
      </c>
      <c r="E8" s="6" t="n">
        <v>443</v>
      </c>
      <c r="F8" s="6" t="n">
        <v>133</v>
      </c>
      <c r="G8" s="6" t="n">
        <v>63</v>
      </c>
      <c r="H8" s="6" t="n">
        <v>21</v>
      </c>
      <c r="I8" s="6" t="n">
        <v>51</v>
      </c>
      <c r="J8" s="6" t="n">
        <v>328</v>
      </c>
      <c r="K8" s="6" t="n">
        <v>379</v>
      </c>
      <c r="L8" s="6" t="n"/>
    </row>
    <row r="9">
      <c r="A9" s="6" t="inlineStr">
        <is>
          <t>Taxation expense</t>
        </is>
      </c>
      <c r="B9" s="6" t="n">
        <v>3830</v>
      </c>
      <c r="C9" s="6" t="n">
        <v>6306</v>
      </c>
      <c r="D9" s="6" t="n">
        <v>8348</v>
      </c>
      <c r="E9" s="6" t="n">
        <v>3504</v>
      </c>
      <c r="F9" s="6" t="n">
        <v>1596</v>
      </c>
      <c r="G9" s="6" t="n">
        <v>642</v>
      </c>
      <c r="H9" s="6" t="n">
        <v>1855</v>
      </c>
      <c r="I9" s="6" t="n">
        <v>1550</v>
      </c>
      <c r="J9" s="6" t="n">
        <v>1313</v>
      </c>
      <c r="K9" s="6" t="n">
        <v>1463</v>
      </c>
      <c r="L9" s="6" t="n">
        <v>1587</v>
      </c>
    </row>
    <row r="10">
      <c r="A10" s="6" t="inlineStr">
        <is>
          <t>Increase in prepayments and accrued income</t>
        </is>
      </c>
      <c r="B10" s="6" t="n">
        <v>-1508</v>
      </c>
      <c r="C10" s="6" t="n">
        <v>-4032</v>
      </c>
      <c r="D10" s="6" t="n">
        <v>-4930</v>
      </c>
      <c r="E10" s="6" t="n">
        <v>-6282</v>
      </c>
      <c r="F10" s="6" t="n">
        <v>-1055</v>
      </c>
      <c r="G10" s="6" t="n">
        <v>-2</v>
      </c>
      <c r="H10" s="6" t="n">
        <v>-450</v>
      </c>
      <c r="I10" s="6" t="n">
        <v>-381</v>
      </c>
      <c r="J10" s="6" t="n">
        <v>-900</v>
      </c>
      <c r="K10" s="6" t="n">
        <v>748</v>
      </c>
      <c r="L10" s="6" t="n">
        <v>-157</v>
      </c>
    </row>
    <row r="11">
      <c r="A11" s="6" t="inlineStr">
        <is>
          <t>Decrease/(increase) in trade and other debtors</t>
        </is>
      </c>
      <c r="B11" s="6" t="n">
        <v>-678</v>
      </c>
      <c r="C11" s="6" t="n">
        <v>38</v>
      </c>
      <c r="D11" s="6" t="n">
        <v>-201</v>
      </c>
      <c r="E11" s="6" t="n">
        <v>-364</v>
      </c>
      <c r="F11" s="6" t="n">
        <v>20</v>
      </c>
      <c r="G11" s="6" t="n">
        <v>-161</v>
      </c>
      <c r="H11" s="6" t="n">
        <v>39</v>
      </c>
      <c r="I11" s="6" t="n">
        <v>3283</v>
      </c>
      <c r="J11" s="6" t="n">
        <v>-1142</v>
      </c>
      <c r="K11" s="6" t="n">
        <v>-424</v>
      </c>
      <c r="L11" s="6" t="n">
        <v>-39</v>
      </c>
    </row>
    <row r="12">
      <c r="A12" s="6" t="inlineStr">
        <is>
          <t>Change in fair value of financial instruments</t>
        </is>
      </c>
      <c r="B12" s="6" t="n">
        <v>6430</v>
      </c>
      <c r="C12" s="6" t="n">
        <v>-1624</v>
      </c>
      <c r="D12" s="6" t="n">
        <v>7216</v>
      </c>
      <c r="E12" s="6" t="n">
        <v>-8619</v>
      </c>
      <c r="F12" s="6" t="n">
        <v>-3069</v>
      </c>
      <c r="G12" s="6" t="n">
        <v>1355</v>
      </c>
      <c r="H12" s="6" t="n">
        <v>822</v>
      </c>
      <c r="I12" s="6" t="n">
        <v>-136</v>
      </c>
      <c r="J12" s="6" t="n">
        <v>-150</v>
      </c>
      <c r="K12" s="6" t="n">
        <v>252</v>
      </c>
      <c r="L12" s="6" t="n">
        <v>-29</v>
      </c>
    </row>
    <row r="13">
      <c r="A13" s="6" t="inlineStr">
        <is>
          <t>Movement in margin call</t>
        </is>
      </c>
      <c r="B13" s="6" t="n">
        <v>-6550</v>
      </c>
      <c r="C13" s="6" t="n"/>
      <c r="D13" s="6" t="n"/>
      <c r="E13" s="6" t="n"/>
      <c r="F13" s="6" t="n"/>
      <c r="G13" s="6" t="n"/>
      <c r="H13" s="6" t="n"/>
      <c r="I13" s="6" t="n"/>
      <c r="J13" s="6" t="n"/>
      <c r="K13" s="6" t="n"/>
      <c r="L13" s="6" t="n"/>
    </row>
    <row r="14">
      <c r="A14" s="6" t="inlineStr">
        <is>
          <t>Loss/(gain) on investments</t>
        </is>
      </c>
      <c r="B14" s="6" t="n">
        <v>20</v>
      </c>
      <c r="C14" s="6" t="n">
        <v>71</v>
      </c>
      <c r="D14" s="6" t="n">
        <v>-17</v>
      </c>
      <c r="E14" s="6" t="n">
        <v>104</v>
      </c>
      <c r="F14" s="6" t="n">
        <v>3</v>
      </c>
      <c r="G14" s="6" t="n">
        <v>171</v>
      </c>
      <c r="H14" s="6" t="n">
        <v>-386</v>
      </c>
      <c r="I14" s="6" t="n"/>
      <c r="J14" s="6" t="n"/>
      <c r="K14" s="6" t="n"/>
      <c r="L14" s="6" t="n"/>
    </row>
    <row r="15">
      <c r="A15" s="6" t="inlineStr">
        <is>
          <t>Gain on Visa convertible preferred stock</t>
        </is>
      </c>
      <c r="B15" s="6" t="n"/>
      <c r="C15" s="6" t="n"/>
      <c r="D15" s="6" t="n"/>
      <c r="E15" s="6" t="n"/>
      <c r="F15" s="6" t="n"/>
      <c r="G15" s="6" t="n"/>
      <c r="H15" s="6" t="n"/>
      <c r="I15" s="6" t="n">
        <v>-51</v>
      </c>
      <c r="J15" s="6" t="n">
        <v>-45</v>
      </c>
      <c r="K15" s="6" t="n">
        <v>-185</v>
      </c>
      <c r="L15" s="6" t="n"/>
    </row>
    <row r="16">
      <c r="A16" s="6" t="inlineStr">
        <is>
          <t>Loss/(gain) on disposal of subsidiary/tangible fixed assets</t>
        </is>
      </c>
      <c r="B16" s="6" t="n">
        <v>-10235</v>
      </c>
      <c r="C16" s="6" t="n"/>
      <c r="D16" s="6" t="n"/>
      <c r="E16" s="6" t="n"/>
      <c r="F16" s="6" t="n"/>
      <c r="G16" s="6" t="n"/>
      <c r="H16" s="6" t="n"/>
      <c r="I16" s="6" t="n"/>
      <c r="J16" s="6" t="n"/>
      <c r="K16" s="6" t="n"/>
      <c r="L16" s="6" t="n"/>
    </row>
    <row r="17">
      <c r="A17" s="6" t="inlineStr">
        <is>
          <t>Change in trade and other creditors</t>
        </is>
      </c>
      <c r="B17" s="6" t="n">
        <v>2299</v>
      </c>
      <c r="C17" s="6" t="n">
        <v>-2982</v>
      </c>
      <c r="D17" s="6" t="n">
        <v>11753</v>
      </c>
      <c r="E17" s="6" t="n">
        <v>2607</v>
      </c>
      <c r="F17" s="6" t="n">
        <v>-496</v>
      </c>
      <c r="G17" s="6" t="n">
        <v>-753</v>
      </c>
      <c r="H17" s="6" t="n">
        <v>428</v>
      </c>
      <c r="I17" s="6" t="n">
        <v>-3665</v>
      </c>
      <c r="J17" s="6" t="n">
        <v>-715</v>
      </c>
      <c r="K17" s="6" t="n">
        <v>367</v>
      </c>
      <c r="L17" s="6" t="n">
        <v>1166</v>
      </c>
    </row>
    <row r="18">
      <c r="A18" s="6" t="inlineStr">
        <is>
          <t>Net decrease/(increase) in provisions</t>
        </is>
      </c>
      <c r="B18" s="6" t="n">
        <v>-64</v>
      </c>
      <c r="C18" s="6" t="n">
        <v>-1366</v>
      </c>
      <c r="D18" s="6" t="n">
        <v>5968</v>
      </c>
      <c r="E18" s="6" t="n">
        <v>2623</v>
      </c>
      <c r="F18" s="6" t="n">
        <v>1123</v>
      </c>
      <c r="G18" s="6" t="n">
        <v>-766</v>
      </c>
      <c r="H18" s="6" t="n">
        <v>623</v>
      </c>
      <c r="I18" s="6" t="n">
        <v>613</v>
      </c>
      <c r="J18" s="6" t="n">
        <v>337</v>
      </c>
      <c r="K18" s="6" t="n">
        <v>-241</v>
      </c>
      <c r="L18" s="6" t="n">
        <v>907</v>
      </c>
    </row>
    <row r="19">
      <c r="A19" s="6" t="inlineStr">
        <is>
          <t>Increase/(decrease) in provision for bad and doubtful debts</t>
        </is>
      </c>
      <c r="B19" s="6" t="n">
        <v>1074</v>
      </c>
      <c r="C19" s="6" t="n">
        <v>46</v>
      </c>
      <c r="D19" s="6" t="n">
        <v>184</v>
      </c>
      <c r="E19" s="6" t="n">
        <v>-25</v>
      </c>
      <c r="F19" s="6" t="n">
        <v>-518</v>
      </c>
      <c r="G19" s="6" t="n">
        <v>2202</v>
      </c>
      <c r="H19" s="6" t="n">
        <v>-80</v>
      </c>
      <c r="I19" s="6" t="n">
        <v>154</v>
      </c>
      <c r="J19" s="6" t="n">
        <v>539</v>
      </c>
      <c r="K19" s="6" t="n">
        <v>105</v>
      </c>
      <c r="L19" s="6" t="n">
        <v>-27</v>
      </c>
    </row>
    <row r="20">
      <c r="A20" s="6" t="inlineStr">
        <is>
          <t>Loss on sale of assets</t>
        </is>
      </c>
      <c r="B20" s="6" t="n"/>
      <c r="C20" s="6" t="n"/>
      <c r="D20" s="6" t="n"/>
      <c r="E20" s="6" t="n"/>
      <c r="F20" s="6" t="n"/>
      <c r="G20" s="6" t="n"/>
      <c r="H20" s="6" t="n"/>
      <c r="I20" s="6" t="n"/>
      <c r="J20" s="6" t="n"/>
      <c r="K20" s="6" t="n">
        <v>1</v>
      </c>
      <c r="L20" s="6" t="n"/>
    </row>
    <row r="21">
      <c r="A21" s="6" t="inlineStr">
        <is>
          <t>(Loss)/gain on investment property</t>
        </is>
      </c>
      <c r="B21" s="6" t="n"/>
      <c r="C21" s="6" t="n"/>
      <c r="D21" s="6" t="n"/>
      <c r="E21" s="6" t="n"/>
      <c r="F21" s="6" t="n"/>
      <c r="G21" s="6" t="n"/>
      <c r="H21" s="6" t="n"/>
      <c r="I21" s="6" t="n"/>
      <c r="J21" s="6" t="n"/>
      <c r="K21" s="6" t="n">
        <v>149</v>
      </c>
      <c r="L21" s="6" t="n">
        <v>-1055</v>
      </c>
    </row>
    <row r="22">
      <c r="A22" s="6" t="inlineStr">
        <is>
          <t>Net increase/(decrease) in deposits from customers</t>
        </is>
      </c>
      <c r="B22" s="6" t="n">
        <v>193121</v>
      </c>
      <c r="C22" s="6" t="n">
        <v>203231</v>
      </c>
      <c r="D22" s="6" t="n">
        <v>-16626</v>
      </c>
      <c r="E22" s="6" t="n">
        <v>116590</v>
      </c>
      <c r="F22" s="6" t="n">
        <v>315834</v>
      </c>
      <c r="G22" s="6" t="n">
        <v>189410</v>
      </c>
      <c r="H22" s="6" t="n">
        <v>82977</v>
      </c>
      <c r="I22" s="6" t="n">
        <v>107417</v>
      </c>
      <c r="J22" s="6" t="n">
        <v>121483</v>
      </c>
      <c r="K22" s="6" t="n">
        <v>103297</v>
      </c>
      <c r="L22" s="6" t="n">
        <v>27022</v>
      </c>
    </row>
    <row r="23">
      <c r="A23" s="6" t="inlineStr">
        <is>
          <t>Net increase in loans and advances to customers</t>
        </is>
      </c>
      <c r="B23" s="6" t="n">
        <v>-138623</v>
      </c>
      <c r="C23" s="6" t="n">
        <v>-38018</v>
      </c>
      <c r="D23" s="6" t="n">
        <v>-46309</v>
      </c>
      <c r="E23" s="6" t="n">
        <v>-30957</v>
      </c>
      <c r="F23" s="6" t="n">
        <v>-65508</v>
      </c>
      <c r="G23" s="6" t="n">
        <v>-91843</v>
      </c>
      <c r="H23" s="6" t="n">
        <v>-114115</v>
      </c>
      <c r="I23" s="6" t="n">
        <v>-87378</v>
      </c>
      <c r="J23" s="6" t="n">
        <v>-60659</v>
      </c>
      <c r="K23" s="6" t="n">
        <v>-50867</v>
      </c>
      <c r="L23" s="6" t="n">
        <v>-43264</v>
      </c>
    </row>
    <row r="24">
      <c r="A24" s="5" t="inlineStr">
        <is>
          <t>Cash from operations</t>
        </is>
      </c>
      <c r="B24" s="5" t="n">
        <v>73555</v>
      </c>
      <c r="C24" s="5" t="n">
        <v>183308</v>
      </c>
      <c r="D24" s="5" t="n">
        <v>-6708</v>
      </c>
      <c r="E24" s="5" t="n">
        <v>94319</v>
      </c>
      <c r="F24" s="5" t="n">
        <v>255671</v>
      </c>
      <c r="G24" s="5" t="n">
        <v>104053</v>
      </c>
      <c r="H24" s="5" t="n">
        <v>-20915</v>
      </c>
      <c r="I24" s="5" t="n">
        <v>28602</v>
      </c>
      <c r="J24" s="5" t="n">
        <v>65620</v>
      </c>
      <c r="K24" s="5" t="n">
        <v>60798</v>
      </c>
      <c r="L24" s="5" t="n">
        <v>-7687</v>
      </c>
    </row>
    <row r="25">
      <c r="A25" s="6" t="inlineStr">
        <is>
          <t>Taxation paid</t>
        </is>
      </c>
      <c r="B25" s="6" t="n">
        <v>-4301</v>
      </c>
      <c r="C25" s="6" t="n">
        <v>-5721</v>
      </c>
      <c r="D25" s="6" t="n">
        <v>-5421</v>
      </c>
      <c r="E25" s="6" t="n">
        <v>-2320</v>
      </c>
      <c r="F25" s="6" t="n">
        <v>-678</v>
      </c>
      <c r="G25" s="6" t="n">
        <v>-1389</v>
      </c>
      <c r="H25" s="6" t="n">
        <v>-1621</v>
      </c>
      <c r="I25" s="6" t="n">
        <v>-906</v>
      </c>
      <c r="J25" s="6" t="n">
        <v>-983</v>
      </c>
      <c r="K25" s="6" t="n">
        <v>-1694</v>
      </c>
      <c r="L25" s="6" t="n">
        <v>-1166</v>
      </c>
    </row>
    <row r="26">
      <c r="A26" s="5" t="inlineStr">
        <is>
          <t>Net cash generated/(used) from operating activities</t>
        </is>
      </c>
      <c r="B26" s="5" t="n">
        <v>69254</v>
      </c>
      <c r="C26" s="5" t="n">
        <v>177587</v>
      </c>
      <c r="D26" s="5" t="n">
        <v>-12129</v>
      </c>
      <c r="E26" s="5" t="n">
        <v>91999</v>
      </c>
      <c r="F26" s="5" t="n">
        <v>254993</v>
      </c>
      <c r="G26" s="5" t="n">
        <v>102664</v>
      </c>
      <c r="H26" s="5" t="n">
        <v>-22536</v>
      </c>
      <c r="I26" s="5" t="n">
        <v>27696</v>
      </c>
      <c r="J26" s="5" t="n">
        <v>64637</v>
      </c>
      <c r="K26" s="5" t="n">
        <v>59103</v>
      </c>
      <c r="L26" s="5" t="n">
        <v>-8852</v>
      </c>
    </row>
    <row r="27">
      <c r="A27" s="5" t="inlineStr">
        <is>
          <t>Investing activities</t>
        </is>
      </c>
      <c r="B27" s="6" t="n"/>
      <c r="C27" s="6" t="n"/>
      <c r="D27" s="6" t="n"/>
      <c r="E27" s="6" t="n"/>
      <c r="F27" s="6" t="n"/>
      <c r="G27" s="6" t="n"/>
      <c r="H27" s="6" t="n"/>
      <c r="I27" s="6" t="n"/>
      <c r="J27" s="6" t="n"/>
      <c r="K27" s="6" t="n"/>
      <c r="L27" s="6" t="n"/>
    </row>
    <row r="28">
      <c r="A28" s="6" t="inlineStr">
        <is>
          <t>Sale of subsidiary undertaking</t>
        </is>
      </c>
      <c r="B28" s="6" t="n">
        <v>10552</v>
      </c>
      <c r="C28" s="6" t="n"/>
      <c r="D28" s="6" t="n"/>
      <c r="E28" s="6" t="n"/>
      <c r="F28" s="6" t="n"/>
      <c r="G28" s="6" t="n"/>
      <c r="H28" s="6" t="n"/>
      <c r="I28" s="6" t="n"/>
      <c r="J28" s="6" t="n"/>
      <c r="K28" s="6" t="n"/>
      <c r="L28" s="6" t="n"/>
    </row>
    <row r="29">
      <c r="A29" s="6" t="inlineStr">
        <is>
          <t>Income from joint venture</t>
        </is>
      </c>
      <c r="B29" s="6" t="n">
        <v>400</v>
      </c>
      <c r="C29" s="6" t="n"/>
      <c r="D29" s="6" t="n"/>
      <c r="E29" s="6" t="n"/>
      <c r="F29" s="6" t="n"/>
      <c r="G29" s="6" t="n"/>
      <c r="H29" s="6" t="n"/>
      <c r="I29" s="6" t="n"/>
      <c r="J29" s="6" t="n"/>
      <c r="K29" s="6" t="n"/>
      <c r="L29" s="6" t="n"/>
    </row>
    <row r="30">
      <c r="A30" s="6" t="inlineStr">
        <is>
          <t>Investment in joint venture</t>
        </is>
      </c>
      <c r="B30" s="6" t="n"/>
      <c r="C30" s="6" t="n"/>
      <c r="D30" s="6" t="n">
        <v>-60</v>
      </c>
      <c r="E30" s="6" t="n">
        <v>-280</v>
      </c>
      <c r="F30" s="6" t="n">
        <v>-12</v>
      </c>
      <c r="G30" s="6" t="n">
        <v>2</v>
      </c>
      <c r="H30" s="6" t="n">
        <v>-30</v>
      </c>
      <c r="I30" s="6" t="n">
        <v>-60</v>
      </c>
      <c r="J30" s="6" t="n">
        <v>10</v>
      </c>
      <c r="K30" s="6" t="n">
        <v>-6</v>
      </c>
      <c r="L30" s="6" t="n">
        <v>-125</v>
      </c>
    </row>
    <row r="31">
      <c r="A31" s="6" t="inlineStr">
        <is>
          <t>Loan repayment from joint venture</t>
        </is>
      </c>
      <c r="B31" s="6" t="n"/>
      <c r="C31" s="6" t="n"/>
      <c r="D31" s="6" t="n"/>
      <c r="E31" s="6" t="n"/>
      <c r="F31" s="6" t="n"/>
      <c r="G31" s="6" t="n"/>
      <c r="H31" s="6" t="n"/>
      <c r="I31" s="6" t="n"/>
      <c r="J31" s="6" t="n">
        <v>50</v>
      </c>
      <c r="K31" s="6" t="n"/>
      <c r="L31" s="6" t="n">
        <v>50</v>
      </c>
    </row>
    <row r="32">
      <c r="A32" s="6" t="inlineStr">
        <is>
          <t>Investment in unlisted equities</t>
        </is>
      </c>
      <c r="B32" s="6" t="n"/>
      <c r="C32" s="6" t="n"/>
      <c r="D32" s="6" t="n"/>
      <c r="E32" s="6" t="n"/>
      <c r="F32" s="6" t="n"/>
      <c r="G32" s="6" t="n"/>
      <c r="H32" s="6" t="n"/>
      <c r="I32" s="6" t="n"/>
      <c r="J32" s="6" t="n"/>
      <c r="K32" s="6" t="n">
        <v>-50</v>
      </c>
      <c r="L32" s="6" t="n"/>
    </row>
    <row r="33">
      <c r="A33" s="6" t="inlineStr">
        <is>
          <t>Purchase of investment securities</t>
        </is>
      </c>
      <c r="B33" s="6" t="n">
        <v>-361092</v>
      </c>
      <c r="C33" s="6" t="n">
        <v>-173844</v>
      </c>
      <c r="D33" s="6" t="n">
        <v>-66857</v>
      </c>
      <c r="E33" s="6" t="n">
        <v>-136837</v>
      </c>
      <c r="F33" s="6" t="n">
        <v>-22148</v>
      </c>
      <c r="G33" s="6" t="n">
        <v>-46838</v>
      </c>
      <c r="H33" s="6" t="n">
        <v>-54873</v>
      </c>
      <c r="I33" s="6" t="n">
        <v>-36761</v>
      </c>
      <c r="J33" s="6" t="n">
        <v>-49361</v>
      </c>
      <c r="K33" s="6" t="n">
        <v>-22097</v>
      </c>
      <c r="L33" s="6" t="n">
        <v>-45893</v>
      </c>
    </row>
    <row r="34">
      <c r="A34" s="6" t="inlineStr">
        <is>
          <t>Sale and maturities of investment securities</t>
        </is>
      </c>
      <c r="B34" s="6" t="n">
        <v>190722</v>
      </c>
      <c r="C34" s="6" t="n">
        <v>72330</v>
      </c>
      <c r="D34" s="6" t="n">
        <v>127951</v>
      </c>
      <c r="E34" s="6" t="n">
        <v>46415</v>
      </c>
      <c r="F34" s="6" t="n">
        <v>38649</v>
      </c>
      <c r="G34" s="6" t="n">
        <v>10610</v>
      </c>
      <c r="H34" s="6" t="n">
        <v>46304</v>
      </c>
      <c r="I34" s="6" t="n">
        <v>28430</v>
      </c>
      <c r="J34" s="6" t="n">
        <v>43790</v>
      </c>
      <c r="K34" s="6" t="n">
        <v>46600</v>
      </c>
      <c r="L34" s="6" t="n">
        <v>38000</v>
      </c>
    </row>
    <row r="35">
      <c r="A35" s="6" t="inlineStr">
        <is>
          <t>Purchase of tangible fixed assets</t>
        </is>
      </c>
      <c r="B35" s="6" t="n">
        <v>-4139</v>
      </c>
      <c r="C35" s="6" t="n">
        <v>-2103</v>
      </c>
      <c r="D35" s="6" t="n"/>
      <c r="E35" s="6" t="n"/>
      <c r="F35" s="6" t="n">
        <v>-3939</v>
      </c>
      <c r="G35" s="6" t="n">
        <v>-1150</v>
      </c>
      <c r="H35" s="6" t="n">
        <v>-3539</v>
      </c>
      <c r="I35" s="6" t="n"/>
      <c r="J35" s="6" t="n"/>
      <c r="K35" s="6" t="n">
        <v>-2186</v>
      </c>
      <c r="L35" s="6" t="n">
        <v>-3189</v>
      </c>
    </row>
    <row r="36">
      <c r="A36" s="6" t="inlineStr">
        <is>
          <t>Purchase of intangible fixed assets</t>
        </is>
      </c>
      <c r="B36" s="6" t="n">
        <v>-13123</v>
      </c>
      <c r="C36" s="6" t="n">
        <v>-6502</v>
      </c>
      <c r="D36" s="6" t="n"/>
      <c r="E36" s="6" t="n"/>
      <c r="F36" s="6" t="n"/>
      <c r="G36" s="6" t="n"/>
      <c r="H36" s="6" t="n"/>
      <c r="I36" s="6" t="n"/>
      <c r="J36" s="6" t="n"/>
      <c r="K36" s="6" t="n"/>
      <c r="L36" s="6" t="n"/>
    </row>
    <row r="37">
      <c r="A37" s="6" t="inlineStr">
        <is>
          <t>Purchase of intangible/tangible fixed assets</t>
        </is>
      </c>
      <c r="B37" s="6" t="n"/>
      <c r="C37" s="6" t="n"/>
      <c r="D37" s="6" t="n">
        <v>-7251</v>
      </c>
      <c r="E37" s="6" t="n">
        <v>-6456</v>
      </c>
      <c r="F37" s="6" t="n"/>
      <c r="G37" s="6" t="n"/>
      <c r="H37" s="6" t="n"/>
      <c r="I37" s="6" t="n">
        <v>-1773</v>
      </c>
      <c r="J37" s="6" t="n">
        <v>-1672</v>
      </c>
      <c r="K37" s="6" t="n"/>
      <c r="L37" s="6" t="n"/>
    </row>
    <row r="38">
      <c r="A38" s="5" t="inlineStr">
        <is>
          <t>Net cash (used)/generated from investing activities</t>
        </is>
      </c>
      <c r="B38" s="5" t="n">
        <v>-176680</v>
      </c>
      <c r="C38" s="5" t="n">
        <v>-110119</v>
      </c>
      <c r="D38" s="5" t="n">
        <v>53783</v>
      </c>
      <c r="E38" s="5" t="n">
        <v>-97158</v>
      </c>
      <c r="F38" s="5" t="n">
        <v>12550</v>
      </c>
      <c r="G38" s="5" t="n">
        <v>-37377</v>
      </c>
      <c r="H38" s="5" t="n">
        <v>-12138</v>
      </c>
      <c r="I38" s="5" t="n">
        <v>-10165</v>
      </c>
      <c r="J38" s="5" t="n">
        <v>-7183</v>
      </c>
      <c r="K38" s="5" t="n">
        <v>22261</v>
      </c>
      <c r="L38" s="5" t="n">
        <v>-11156</v>
      </c>
    </row>
    <row r="39">
      <c r="A39" s="5" t="inlineStr">
        <is>
          <t>Financing activities</t>
        </is>
      </c>
      <c r="B39" s="6" t="n"/>
      <c r="C39" s="6" t="n"/>
      <c r="D39" s="6" t="n"/>
      <c r="E39" s="6" t="n"/>
      <c r="F39" s="6" t="n"/>
      <c r="G39" s="6" t="n"/>
      <c r="H39" s="6" t="n"/>
      <c r="I39" s="6" t="n"/>
      <c r="J39" s="6" t="n"/>
      <c r="K39" s="6" t="n"/>
      <c r="L39" s="6" t="n"/>
    </row>
    <row r="40">
      <c r="A40" s="6" t="inlineStr">
        <is>
          <t>Issue of contingent convertible securities</t>
        </is>
      </c>
      <c r="B40" s="6" t="n"/>
      <c r="C40" s="6" t="n"/>
      <c r="D40" s="6" t="n">
        <v>3000</v>
      </c>
      <c r="E40" s="6" t="n"/>
      <c r="F40" s="6" t="n"/>
      <c r="G40" s="6" t="n"/>
      <c r="H40" s="6" t="n"/>
      <c r="I40" s="6" t="n"/>
      <c r="J40" s="6" t="n"/>
      <c r="K40" s="6" t="n"/>
      <c r="L40" s="6" t="n"/>
    </row>
    <row r="41">
      <c r="A41" s="6" t="inlineStr">
        <is>
          <t>Subordinated loan</t>
        </is>
      </c>
      <c r="B41" s="6" t="n"/>
      <c r="C41" s="6" t="n"/>
      <c r="D41" s="6" t="n"/>
      <c r="E41" s="6" t="n"/>
      <c r="F41" s="6" t="n"/>
      <c r="G41" s="6" t="n"/>
      <c r="H41" s="6" t="n"/>
      <c r="I41" s="6" t="n">
        <v>10000</v>
      </c>
      <c r="J41" s="6" t="n"/>
      <c r="K41" s="6" t="n"/>
      <c r="L41" s="6" t="n"/>
    </row>
    <row r="42">
      <c r="A42" s="6" t="inlineStr">
        <is>
          <t>Equity dividends paid</t>
        </is>
      </c>
      <c r="B42" s="6" t="n">
        <v>-11100</v>
      </c>
      <c r="C42" s="6" t="n">
        <v>-5000</v>
      </c>
      <c r="D42" s="6" t="n">
        <v>-5000</v>
      </c>
      <c r="E42" s="6" t="n">
        <v>-2000</v>
      </c>
      <c r="F42" s="6" t="n">
        <v>-1250</v>
      </c>
      <c r="G42" s="6" t="n">
        <v>-250</v>
      </c>
      <c r="H42" s="6" t="n">
        <v>-2050</v>
      </c>
      <c r="I42" s="6" t="n">
        <v>-1750</v>
      </c>
      <c r="J42" s="6" t="n">
        <v>-1250</v>
      </c>
      <c r="K42" s="6" t="n">
        <v>-1520</v>
      </c>
      <c r="L42" s="6" t="n">
        <v>-1140</v>
      </c>
    </row>
    <row r="43">
      <c r="A43" s="5" t="inlineStr">
        <is>
          <t>Net cash (used)/generated from financing activities</t>
        </is>
      </c>
      <c r="B43" s="5" t="n">
        <v>-11100</v>
      </c>
      <c r="C43" s="5" t="n">
        <v>-5000</v>
      </c>
      <c r="D43" s="5" t="n">
        <v>-2000</v>
      </c>
      <c r="E43" s="5" t="n">
        <v>-2000</v>
      </c>
      <c r="F43" s="5" t="n">
        <v>-1250</v>
      </c>
      <c r="G43" s="5" t="n">
        <v>-250</v>
      </c>
      <c r="H43" s="5" t="n">
        <v>-2050</v>
      </c>
      <c r="I43" s="5" t="n">
        <v>8250</v>
      </c>
      <c r="J43" s="5" t="n">
        <v>-1250</v>
      </c>
      <c r="K43" s="5" t="n">
        <v>-1520</v>
      </c>
      <c r="L43" s="5" t="n">
        <v>-1140</v>
      </c>
    </row>
    <row r="44">
      <c r="A44" s="5" t="inlineStr">
        <is>
          <t>Net increase/(decrease) in cash and cash equivalents</t>
        </is>
      </c>
      <c r="B44" s="5" t="n">
        <v>-118526</v>
      </c>
      <c r="C44" s="5" t="n">
        <v>62468</v>
      </c>
      <c r="D44" s="5" t="n">
        <v>39654</v>
      </c>
      <c r="E44" s="5" t="n">
        <v>-7159</v>
      </c>
      <c r="F44" s="5" t="n">
        <v>266293</v>
      </c>
      <c r="G44" s="5" t="n">
        <v>65038</v>
      </c>
      <c r="H44" s="5" t="n">
        <v>-36724</v>
      </c>
      <c r="I44" s="5" t="n">
        <v>25781</v>
      </c>
      <c r="J44" s="5" t="n">
        <v>56204</v>
      </c>
      <c r="K44" s="5" t="n">
        <v>79844</v>
      </c>
      <c r="L44" s="5" t="n">
        <v>-21148</v>
      </c>
    </row>
    <row r="45">
      <c r="A45" s="6" t="inlineStr">
        <is>
          <t>Cash and cash equivalents at beginning of year</t>
        </is>
      </c>
      <c r="B45" s="6" t="n">
        <v>687343</v>
      </c>
      <c r="C45" s="6" t="n">
        <v>624875</v>
      </c>
      <c r="D45" s="6" t="n">
        <v>585221</v>
      </c>
      <c r="E45" s="6" t="n">
        <v>592380</v>
      </c>
      <c r="F45" s="6" t="n">
        <v>326087</v>
      </c>
      <c r="G45" s="6" t="n">
        <v>261050</v>
      </c>
      <c r="H45" s="6" t="n">
        <v>297773</v>
      </c>
      <c r="I45" s="6" t="n">
        <v>271992</v>
      </c>
      <c r="J45" s="6" t="n">
        <v>215788</v>
      </c>
      <c r="K45" s="6" t="n">
        <v>135944</v>
      </c>
      <c r="L45" s="6" t="n">
        <v>157092</v>
      </c>
    </row>
    <row r="46">
      <c r="A46" s="5" t="inlineStr">
        <is>
          <t>Cash and cash equivalents at end of year</t>
        </is>
      </c>
      <c r="B46" s="5" t="n">
        <v>568817</v>
      </c>
      <c r="C46" s="5" t="n">
        <v>687343</v>
      </c>
      <c r="D46" s="5" t="n">
        <v>624875</v>
      </c>
      <c r="E46" s="5" t="n">
        <v>585221</v>
      </c>
      <c r="F46" s="5" t="n">
        <v>592380</v>
      </c>
      <c r="G46" s="5" t="n">
        <v>326087</v>
      </c>
      <c r="H46" s="5" t="n">
        <v>261050</v>
      </c>
      <c r="I46" s="5" t="n">
        <v>297773</v>
      </c>
      <c r="J46" s="5" t="n">
        <v>271992</v>
      </c>
      <c r="K46" s="5" t="n">
        <v>215788</v>
      </c>
      <c r="L46" s="5" t="n">
        <v>135944</v>
      </c>
    </row>
    <row r="48" ht="360" customHeight="1">
      <c r="A48" s="8" t="inlineStr">
        <is>
          <t>Sources - Weatherbys Banking Group consolidated statement of cash flows, GBP'000: FY2025/FY2024: Annual Report and Financial Accounts 2025, p.64 - https://www.weatherbys.bank/weatherbys-banking-group-annual-report-2025/; FY2024/FY2023: Annual Report &amp; Accounts 2024, p.45 - https://www.weatherbys.bank/app/uploads/2025/04/Weatherbys-Banking-Group-Annual-Report-2024.pdf; FY2023/FY2022: Annual Report &amp; Accounts 2023, p.50 - https://www.weatherbys.bank/app/uploads/2024/05/Weatherbys-Banking-Group-Annual-Report-2023.pdf; FY2022/FY2021: Annual Report &amp; Accounts 2022, p.46 - https://www.weatherbys.bank/app/uploads/2023/05/Weatherbys-Banking-Group-Annual_Report-2022.pdf; FY2020/FY2019: Group accounts made up to 31 Dec 2020, p.34 (Consolidated statement of cash flows) - https://find-and-update.company-information.service.gov.uk/company/02943300/filing-history/MzMxMjkxNjk5MmFkaXF6a2N4/document?format=pdf&amp;download=0; FY2018/FY2017: Group accounts made up to 31 Dec 2018, pp.25-26 - https://find-and-update.company-information.service.gov.uk/company/02943300/filing-history/MzIzODIyOTM2NWFkaXF6a2N4/document?format=pdf&amp;download=0; FY2016/FY2015: Group accounts made up to 31 Dec 2016, p.15 - https://find-and-update.company-information.service.gov.uk/company/02943300/filing-history/MzE3NTA2MDU3MmFkaXF6a2N4/document?format=pdf&amp;download=0.
Entity verification: Weatherbys Bank Limited, Companies House 02943300, FRN 204571, LEI 549300OF84KDPIFN4M17; the supplied Banks List 2608.xlsx, the Weatherbys corporate-information page, the PRA register, and Companies House identify the same legal bank. The workbook uses Weatherbys Banking Group's consolidated cash-flow statement because that is the audited cash-flow presentation in the annual reports. The official Pillar 3 disclosures are consolidated Group/Solo disclosures: the documents state that the solo-consolidated group includes Weatherbys Bank Limited and its subsidiaries and that there are no differences between accounting and prudential consolidation for the Group. Group figures are therefore used only where the source explicitly labels them Group and Solo; unrelated wider-group figures are not substituted. Amounts are GBP'000 unless stated otherwise. The 2024 statement labels the financing section's subtotal as investing activities, but its placement and figures are the financing cash flows; the source presentation is retained with a corrected descriptive label. FY2015-FY2020 figures are sourced from Weatherbys Bank Limited's Companies-House-filed Group accounts (CH_AR_URLS above), not from weatherbys.bank (which retains only ~5 years of annual reports). FY2019's own Pillar 3 ('Pillar 3 Disclosures For Year Ended 31st December 2019', dated April 2020, a 16-page scanned document) survives only as a Wayback Machine capture (20200921164839 of weatherbys.bank/WeatherbysBank/media/About-Us/WBL-Pillar3-Disclosures.pdf) truncated at 1,048,576 of 1,264,248 bytes. It was PARTLY RECOVERED on 2026-09-19: each page is one self-contained CCITT image, and pages 1-13 lie wholly before the cut, so the PDF was rebuilt from those 13 complete page objects and read off the page images; pages 14-16 (liquidity, remaining risk sections, remuneration) are lost. FY2019 capital, RWA and leverage figures come from its Table 1 (p.5) and Table 2 (p.6), Group column; its Table 6 (p.8, 'At 31 Dec 2019') fills FY2019's regulatory credit risk exposures on the Asset Quality sheet; its Tables 3-4 (pp.6-7) print Pillar 1 capital requirements only, recorded in the RWA Breakdown note rather than converted into RWAs. No FY2015-FY2018 Pillar 3 was recoverable: the FY2016-FY2018 editions are named on archived corporate-information pages (Weatherbys-Bank-Limited-Pillar-3-Disclosures-2016/2017/2018.pdf) but were never captured, so those years' capital/RWA metric sheets are left blank rather than estimated - an access gap, not a disclosure gap. The intact FY2020 document includes FY2019 comparative LCR (586%) and NSFR (207.6%), which are populated. FY2020's own Pillar 3 Disclosures document (Weatherbys Bank, Pillar3-2020.pdf) was independently located and is intact, so FY2020's Pillar 3 metrics ARE populated. Terminology note: Weatherbys' FY2020 Pillar 3 disclosure already reports capital under CRD IV/Basel III (CET1/Tier 1/Tier 2), not Basel II Tier 1/Total Capital-only terminology, so no Basel-II-era caveat applies to any extended year in this workbook. FY2015's own cash flow statement combines fixed-asset and debt-securities depreciation/amortisation into one line (GBP259k); it is placed in this workbook's 'Depreciation, impairment and amortisation of fixed assets' row, with 'Amortisation of debt securities' left blank for FY2015 only (all other years split the two). FY2016-FY2018 disclose a one-off 'Gain on Visa convertible preferred stock' adjustment (Visa Inc.'s 2016 acquisition of Visa Europe, which several UK banks including Weatherbys held preferred stock in) not present before or after those years. FY2020's own filed 'Cash from operations' subtotal (GBP104,053,076) exceeds the sum of its own listed adjustment lines (GBP104,043,076) by GBP10,000 - a small internal footing discrepancy in the source document, reproduced as-stated rather than forced to tie (all other years' subtotals reconcile to their component lines to within normal independent-rounding tolerance, +/-GBP2k).</t>
        </is>
      </c>
    </row>
  </sheetData>
  <mergeCells count="1">
    <mergeCell ref="A48:L4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Weatherbys Bank Limited — Asset Quality</t>
        </is>
      </c>
    </row>
    <row r="2">
      <c r="A2" s="2" t="inlineStr">
        <is>
          <t>Weatherbys Banking Group loan book credit quality and regulatory credit risk exposure, GBP'000.</t>
        </is>
      </c>
    </row>
    <row r="3">
      <c r="A3" s="4" t="inlineStr">
        <is>
          <t>Line item</t>
        </is>
      </c>
      <c r="B3" s="4" t="inlineStr">
        <is>
          <t>FY2025 (GBP'000)</t>
        </is>
      </c>
      <c r="C3" s="4" t="inlineStr">
        <is>
          <t>FY2024 (GBP'000)</t>
        </is>
      </c>
      <c r="D3" s="4" t="inlineStr">
        <is>
          <t>FY2023 (GBP'000)</t>
        </is>
      </c>
      <c r="E3" s="4" t="inlineStr">
        <is>
          <t>FY2022 (GBP'000)</t>
        </is>
      </c>
      <c r="F3" s="4" t="inlineStr">
        <is>
          <t>FY2021 (GBP'000)</t>
        </is>
      </c>
      <c r="G3" s="4" t="inlineStr">
        <is>
          <t>FY2020 (GBP'000)</t>
        </is>
      </c>
      <c r="H3" s="4" t="inlineStr">
        <is>
          <t>FY2019 (GBP'000)</t>
        </is>
      </c>
      <c r="I3" s="4" t="inlineStr">
        <is>
          <t>FY2018 (GBP'000)</t>
        </is>
      </c>
      <c r="J3" s="4" t="inlineStr">
        <is>
          <t>FY2017 (GBP'000)</t>
        </is>
      </c>
      <c r="K3" s="4" t="inlineStr">
        <is>
          <t>FY2016 (GBP'000)</t>
        </is>
      </c>
      <c r="L3" s="4" t="inlineStr">
        <is>
          <t>FY2015 (GBP'000)</t>
        </is>
      </c>
    </row>
    <row r="4">
      <c r="A4" s="5" t="inlineStr">
        <is>
          <t>Loans and advances to customers - credit quality (Banking Group)</t>
        </is>
      </c>
      <c r="B4" s="6" t="n"/>
      <c r="C4" s="6" t="n"/>
      <c r="D4" s="6" t="n"/>
      <c r="E4" s="6" t="n"/>
      <c r="F4" s="6" t="n"/>
      <c r="G4" s="6" t="n"/>
      <c r="H4" s="6" t="n"/>
      <c r="I4" s="6" t="n"/>
      <c r="J4" s="6" t="n"/>
      <c r="K4" s="6" t="n"/>
      <c r="L4" s="6" t="n"/>
    </row>
    <row r="5">
      <c r="A5" s="6" t="inlineStr">
        <is>
          <t>Gross loans and advances to customers</t>
        </is>
      </c>
      <c r="B5" s="6" t="n">
        <v>1011493</v>
      </c>
      <c r="C5" s="6" t="n">
        <v>863936</v>
      </c>
      <c r="D5" s="6" t="n">
        <v>825925</v>
      </c>
      <c r="E5" s="6" t="n">
        <v>779193</v>
      </c>
      <c r="F5" s="6" t="n">
        <v>748236</v>
      </c>
      <c r="G5" s="6" t="n">
        <v>682727</v>
      </c>
      <c r="H5" s="6" t="n">
        <v>590885</v>
      </c>
      <c r="I5" s="6" t="n">
        <v>476770</v>
      </c>
      <c r="J5" s="6" t="n">
        <v>389398</v>
      </c>
      <c r="K5" s="6" t="n">
        <v>328735</v>
      </c>
      <c r="L5" s="6" t="n">
        <v>277870</v>
      </c>
    </row>
    <row r="6">
      <c r="A6" s="6" t="inlineStr">
        <is>
          <t>Loan loss provision (Balance Sheet, Note 15)</t>
        </is>
      </c>
      <c r="B6" s="6" t="n">
        <v>-5333</v>
      </c>
      <c r="C6" s="6" t="n">
        <v>-4264</v>
      </c>
      <c r="D6" s="6" t="n">
        <v>-4225</v>
      </c>
      <c r="E6" s="6" t="n">
        <v>-3620</v>
      </c>
      <c r="F6" s="6" t="n">
        <v>-3645</v>
      </c>
      <c r="G6" s="6" t="n">
        <v>-4163</v>
      </c>
      <c r="H6" s="6" t="n">
        <v>-1961</v>
      </c>
      <c r="I6" s="6" t="n">
        <v>-2042</v>
      </c>
      <c r="J6" s="6" t="n">
        <v>-1894</v>
      </c>
      <c r="K6" s="6" t="n">
        <v>-1351</v>
      </c>
      <c r="L6" s="6" t="n">
        <v>-1249</v>
      </c>
    </row>
    <row r="7">
      <c r="A7" s="5" t="inlineStr">
        <is>
          <t>Net loans and advances to customers</t>
        </is>
      </c>
      <c r="B7" s="5" t="n">
        <v>1006160</v>
      </c>
      <c r="C7" s="5" t="n">
        <v>859672</v>
      </c>
      <c r="D7" s="5" t="n">
        <v>821700</v>
      </c>
      <c r="E7" s="5" t="n">
        <v>775573</v>
      </c>
      <c r="F7" s="5" t="n">
        <v>744591</v>
      </c>
      <c r="G7" s="5" t="n">
        <v>678564</v>
      </c>
      <c r="H7" s="5" t="n">
        <v>588924</v>
      </c>
      <c r="I7" s="5" t="n">
        <v>474728</v>
      </c>
      <c r="J7" s="5" t="n">
        <v>387504</v>
      </c>
      <c r="K7" s="5" t="n">
        <v>327384</v>
      </c>
      <c r="L7" s="5" t="n">
        <v>276621</v>
      </c>
    </row>
    <row r="8">
      <c r="A8" s="6" t="inlineStr">
        <is>
          <t>Total provisions for bad and doubtful debts (Note 16 cumulative)</t>
        </is>
      </c>
      <c r="B8" s="6" t="n">
        <v>5338</v>
      </c>
      <c r="C8" s="6" t="n">
        <v>4264</v>
      </c>
      <c r="D8" s="6" t="n">
        <v>4225</v>
      </c>
      <c r="E8" s="6" t="n">
        <v>3620</v>
      </c>
      <c r="F8" s="6" t="n">
        <v>3645</v>
      </c>
      <c r="G8" s="6" t="n">
        <v>4163</v>
      </c>
      <c r="H8" s="6" t="n">
        <v>1961</v>
      </c>
      <c r="I8" s="6" t="n">
        <v>2042</v>
      </c>
      <c r="J8" s="6" t="n">
        <v>1894</v>
      </c>
      <c r="K8" s="6" t="n">
        <v>1351</v>
      </c>
      <c r="L8" s="6" t="n">
        <v>1249</v>
      </c>
    </row>
    <row r="9">
      <c r="A9" s="6" t="inlineStr">
        <is>
          <t>Non-performing loans and advances to customers (before provisions)</t>
        </is>
      </c>
      <c r="B9" s="6" t="n">
        <v>11193</v>
      </c>
      <c r="C9" s="6" t="n">
        <v>10452</v>
      </c>
      <c r="D9" s="6" t="n">
        <v>9628</v>
      </c>
      <c r="E9" s="6" t="n">
        <v>6847</v>
      </c>
      <c r="F9" s="6" t="n">
        <v>6372</v>
      </c>
      <c r="G9" s="6" t="n">
        <v>6102</v>
      </c>
      <c r="H9" s="6" t="n">
        <v>3593</v>
      </c>
      <c r="I9" s="6" t="n">
        <v>2435</v>
      </c>
      <c r="J9" s="6" t="n">
        <v>2461</v>
      </c>
      <c r="K9" s="6" t="n">
        <v>891</v>
      </c>
      <c r="L9" s="6" t="n">
        <v>716</v>
      </c>
    </row>
    <row r="10">
      <c r="A10" s="6" t="inlineStr">
        <is>
          <t>NPL ratio (non-performing loans / gross loans)</t>
        </is>
      </c>
      <c r="B10" s="6" t="inlineStr">
        <is>
          <t>1.11%</t>
        </is>
      </c>
      <c r="C10" s="6" t="inlineStr">
        <is>
          <t>1.21%</t>
        </is>
      </c>
      <c r="D10" s="6" t="inlineStr">
        <is>
          <t>1.17%</t>
        </is>
      </c>
      <c r="E10" s="6" t="inlineStr">
        <is>
          <t>0.88%</t>
        </is>
      </c>
      <c r="F10" s="6" t="inlineStr">
        <is>
          <t>0.85%</t>
        </is>
      </c>
      <c r="G10" s="6" t="inlineStr">
        <is>
          <t>0.89%</t>
        </is>
      </c>
      <c r="H10" s="6" t="inlineStr">
        <is>
          <t>0.61%</t>
        </is>
      </c>
      <c r="I10" s="6" t="inlineStr">
        <is>
          <t>0.51%</t>
        </is>
      </c>
      <c r="J10" s="6" t="inlineStr">
        <is>
          <t>0.63%</t>
        </is>
      </c>
      <c r="K10" s="6" t="inlineStr">
        <is>
          <t>0.27%</t>
        </is>
      </c>
      <c r="L10" s="6" t="inlineStr">
        <is>
          <t>0.26%</t>
        </is>
      </c>
    </row>
    <row r="11">
      <c r="A11" s="6" t="inlineStr">
        <is>
          <t>Coverage ratio (total provisions / non-performing loans)</t>
        </is>
      </c>
      <c r="B11" s="6" t="inlineStr">
        <is>
          <t>47.69%</t>
        </is>
      </c>
      <c r="C11" s="6" t="inlineStr">
        <is>
          <t>40.80%</t>
        </is>
      </c>
      <c r="D11" s="6" t="inlineStr">
        <is>
          <t>43.88%</t>
        </is>
      </c>
      <c r="E11" s="6" t="inlineStr">
        <is>
          <t>52.87%</t>
        </is>
      </c>
      <c r="F11" s="6" t="inlineStr">
        <is>
          <t>57.20%</t>
        </is>
      </c>
      <c r="G11" s="6" t="inlineStr">
        <is>
          <t>68.22%</t>
        </is>
      </c>
      <c r="H11" s="6" t="inlineStr">
        <is>
          <t>54.58%</t>
        </is>
      </c>
      <c r="I11" s="6" t="inlineStr">
        <is>
          <t>83.86%</t>
        </is>
      </c>
      <c r="J11" s="6" t="inlineStr">
        <is>
          <t>76.96%</t>
        </is>
      </c>
      <c r="K11" s="6" t="inlineStr">
        <is>
          <t>151.63%</t>
        </is>
      </c>
      <c r="L11" s="6" t="inlineStr">
        <is>
          <t>174.44%</t>
        </is>
      </c>
    </row>
    <row r="12">
      <c r="A12" s="5" t="inlineStr">
        <is>
          <t>Regulatory credit risk exposure by class (Pillar 3 Table 6, before credit risk mitigation)</t>
        </is>
      </c>
      <c r="B12" s="6" t="n"/>
      <c r="C12" s="6" t="n"/>
      <c r="D12" s="6" t="n"/>
      <c r="E12" s="6" t="n"/>
      <c r="F12" s="6" t="n"/>
      <c r="G12" s="6" t="n"/>
      <c r="H12" s="6" t="n"/>
      <c r="I12" s="6" t="n"/>
      <c r="J12" s="6" t="n"/>
      <c r="K12" s="6" t="n"/>
      <c r="L12" s="6" t="n"/>
    </row>
    <row r="13">
      <c r="A13" s="6" t="inlineStr">
        <is>
          <t>Central Government and Central Banks</t>
        </is>
      </c>
      <c r="B13" s="6" t="n"/>
      <c r="C13" s="6" t="n">
        <v>760594</v>
      </c>
      <c r="D13" s="6" t="n">
        <v>645464</v>
      </c>
      <c r="E13" s="6" t="n">
        <v>646149</v>
      </c>
      <c r="F13" s="6" t="n">
        <v>577637</v>
      </c>
      <c r="G13" s="6" t="n">
        <v>287639</v>
      </c>
      <c r="H13" s="6" t="n">
        <v>221447</v>
      </c>
      <c r="I13" s="6" t="n"/>
      <c r="J13" s="6" t="n"/>
      <c r="K13" s="6" t="n"/>
      <c r="L13" s="6" t="n"/>
    </row>
    <row r="14">
      <c r="A14" s="6" t="inlineStr">
        <is>
          <t>Financial institutions</t>
        </is>
      </c>
      <c r="B14" s="6" t="n"/>
      <c r="C14" s="6" t="n">
        <v>65986</v>
      </c>
      <c r="D14" s="6" t="n">
        <v>40329</v>
      </c>
      <c r="E14" s="6" t="n">
        <v>48477</v>
      </c>
      <c r="F14" s="6" t="n">
        <v>38362</v>
      </c>
      <c r="G14" s="6" t="n">
        <v>56136</v>
      </c>
      <c r="H14" s="6" t="n">
        <v>47020</v>
      </c>
      <c r="I14" s="6" t="n"/>
      <c r="J14" s="6" t="n"/>
      <c r="K14" s="6" t="n"/>
      <c r="L14" s="6" t="n"/>
    </row>
    <row r="15">
      <c r="A15" s="6" t="inlineStr">
        <is>
          <t>Covered Bonds</t>
        </is>
      </c>
      <c r="B15" s="6" t="n"/>
      <c r="C15" s="6" t="n">
        <v>86742</v>
      </c>
      <c r="D15" s="6" t="n">
        <v>60875</v>
      </c>
      <c r="E15" s="6" t="n">
        <v>67566</v>
      </c>
      <c r="F15" s="6" t="n">
        <v>51916</v>
      </c>
      <c r="G15" s="6" t="n">
        <v>69489</v>
      </c>
      <c r="H15" s="6" t="n">
        <v>69294</v>
      </c>
      <c r="I15" s="6" t="n"/>
      <c r="J15" s="6" t="n"/>
      <c r="K15" s="6" t="n"/>
      <c r="L15" s="6" t="n"/>
    </row>
    <row r="16">
      <c r="A16" s="6" t="inlineStr">
        <is>
          <t>Multilateral Development Banks</t>
        </is>
      </c>
      <c r="B16" s="6" t="n"/>
      <c r="C16" s="6" t="n">
        <v>38424</v>
      </c>
      <c r="D16" s="6" t="n">
        <v>29455</v>
      </c>
      <c r="E16" s="6" t="n">
        <v>37092</v>
      </c>
      <c r="F16" s="6" t="n">
        <v>43634</v>
      </c>
      <c r="G16" s="6" t="n">
        <v>48783</v>
      </c>
      <c r="H16" s="6" t="n">
        <v>23020</v>
      </c>
      <c r="I16" s="6" t="n"/>
      <c r="J16" s="6" t="n"/>
      <c r="K16" s="6" t="n"/>
      <c r="L16" s="6" t="n"/>
    </row>
    <row r="17">
      <c r="A17" s="6" t="inlineStr">
        <is>
          <t>Corporates</t>
        </is>
      </c>
      <c r="B17" s="6" t="n"/>
      <c r="C17" s="6" t="n">
        <v>0</v>
      </c>
      <c r="D17" s="6" t="n">
        <v>0</v>
      </c>
      <c r="E17" s="6" t="n">
        <v>15</v>
      </c>
      <c r="F17" s="6" t="n">
        <v>99</v>
      </c>
      <c r="G17" s="6" t="n">
        <v>232</v>
      </c>
      <c r="H17" s="6" t="n">
        <v>380</v>
      </c>
      <c r="I17" s="6" t="n"/>
      <c r="J17" s="6" t="n"/>
      <c r="K17" s="6" t="n"/>
      <c r="L17" s="6" t="n"/>
    </row>
    <row r="18">
      <c r="A18" s="6" t="inlineStr">
        <is>
          <t>Retail</t>
        </is>
      </c>
      <c r="B18" s="6" t="n"/>
      <c r="C18" s="6" t="n">
        <v>273745</v>
      </c>
      <c r="D18" s="6" t="n">
        <v>239489</v>
      </c>
      <c r="E18" s="6" t="n">
        <v>196497</v>
      </c>
      <c r="F18" s="6" t="n">
        <v>131874</v>
      </c>
      <c r="G18" s="6" t="n">
        <v>150260</v>
      </c>
      <c r="H18" s="6" t="n">
        <v>136209</v>
      </c>
      <c r="I18" s="6" t="n"/>
      <c r="J18" s="6" t="n"/>
      <c r="K18" s="6" t="n"/>
      <c r="L18" s="6" t="n"/>
    </row>
    <row r="19">
      <c r="A19" s="6" t="inlineStr">
        <is>
          <t>CBILs - Government Guaranteed</t>
        </is>
      </c>
      <c r="B19" s="6" t="n"/>
      <c r="C19" s="6" t="n">
        <v>15644</v>
      </c>
      <c r="D19" s="6" t="n">
        <v>10628</v>
      </c>
      <c r="E19" s="6" t="n">
        <v>12793</v>
      </c>
      <c r="F19" s="6" t="n">
        <v>13240</v>
      </c>
      <c r="G19" s="6" t="n"/>
      <c r="H19" s="6" t="n"/>
      <c r="I19" s="6" t="n"/>
      <c r="J19" s="6" t="n"/>
      <c r="K19" s="6" t="n"/>
      <c r="L19" s="6" t="n"/>
    </row>
    <row r="20">
      <c r="A20" s="6" t="inlineStr">
        <is>
          <t>Secured on real estate property</t>
        </is>
      </c>
      <c r="B20" s="6" t="n"/>
      <c r="C20" s="6" t="n">
        <v>578244</v>
      </c>
      <c r="D20" s="6" t="n">
        <v>571853</v>
      </c>
      <c r="E20" s="6" t="n">
        <v>568369</v>
      </c>
      <c r="F20" s="6" t="n">
        <v>581162</v>
      </c>
      <c r="G20" s="6" t="n">
        <v>528553</v>
      </c>
      <c r="H20" s="6" t="n">
        <v>450900</v>
      </c>
      <c r="I20" s="6" t="n"/>
      <c r="J20" s="6" t="n"/>
      <c r="K20" s="6" t="n"/>
      <c r="L20" s="6" t="n"/>
    </row>
    <row r="21">
      <c r="A21" s="6" t="inlineStr">
        <is>
          <t>Other items</t>
        </is>
      </c>
      <c r="B21" s="6" t="n"/>
      <c r="C21" s="6" t="n">
        <v>42329</v>
      </c>
      <c r="D21" s="6" t="n">
        <v>35556</v>
      </c>
      <c r="E21" s="6" t="n">
        <v>22514</v>
      </c>
      <c r="F21" s="6" t="n">
        <v>34363</v>
      </c>
      <c r="G21" s="6" t="n">
        <v>29989</v>
      </c>
      <c r="H21" s="6" t="n">
        <v>30101</v>
      </c>
      <c r="I21" s="6" t="n"/>
      <c r="J21" s="6" t="n"/>
      <c r="K21" s="6" t="n"/>
      <c r="L21" s="6" t="n"/>
    </row>
    <row r="22">
      <c r="A22" s="6" t="inlineStr">
        <is>
          <t>Exposures In Default</t>
        </is>
      </c>
      <c r="B22" s="6" t="n"/>
      <c r="C22" s="6" t="n">
        <v>12703</v>
      </c>
      <c r="D22" s="6" t="n">
        <v>14760</v>
      </c>
      <c r="E22" s="6" t="n">
        <v>9269</v>
      </c>
      <c r="F22" s="6" t="n">
        <v>7139</v>
      </c>
      <c r="G22" s="6" t="n">
        <v>4403</v>
      </c>
      <c r="H22" s="6" t="n">
        <v>6386</v>
      </c>
      <c r="I22" s="6" t="n"/>
      <c r="J22" s="6" t="n"/>
      <c r="K22" s="6" t="n"/>
      <c r="L22" s="6" t="n"/>
    </row>
    <row r="23">
      <c r="A23" s="6" t="inlineStr">
        <is>
          <t>Credit Value Adjustment</t>
        </is>
      </c>
      <c r="B23" s="6" t="n"/>
      <c r="C23" s="6" t="n">
        <v>6164</v>
      </c>
      <c r="D23" s="6" t="n">
        <v>1784</v>
      </c>
      <c r="E23" s="6" t="n"/>
      <c r="F23" s="6" t="n">
        <v>1549</v>
      </c>
      <c r="G23" s="6" t="n">
        <v>598</v>
      </c>
      <c r="H23" s="6" t="n">
        <v>759</v>
      </c>
      <c r="I23" s="6" t="n"/>
      <c r="J23" s="6" t="n"/>
      <c r="K23" s="6" t="n"/>
      <c r="L23" s="6" t="n"/>
    </row>
    <row r="24">
      <c r="A24" s="5" t="inlineStr">
        <is>
          <t>Total regulatory credit risk exposure</t>
        </is>
      </c>
      <c r="B24" s="5" t="n"/>
      <c r="C24" s="5" t="n">
        <v>1880575</v>
      </c>
      <c r="D24" s="5" t="n">
        <v>1650193</v>
      </c>
      <c r="E24" s="5" t="n">
        <v>1608741</v>
      </c>
      <c r="F24" s="5" t="n">
        <v>1480975</v>
      </c>
      <c r="G24" s="5" t="n">
        <v>1176082</v>
      </c>
      <c r="H24" s="5" t="n">
        <v>985516</v>
      </c>
      <c r="I24" s="5" t="n"/>
      <c r="J24" s="5" t="n"/>
      <c r="K24" s="5" t="n"/>
      <c r="L24" s="5" t="n"/>
    </row>
    <row r="26" ht="377" customHeight="1">
      <c r="A26" s="8" t="inlineStr">
        <is>
          <t>Sources - Weatherbys Bank Limited Pillar 3 Disclosures, Group and Solo (identical, Table 5/Table 6), GBP'000: FY2025 impairment/NPL data from Annual Report and Financial Accounts 2025, pp.79-80 (Banking Group basis) - https://www.weatherbys.bank/weatherbys-banking-group-annual-report-2025/; FY2024 from Annual Report &amp; Accounts 2024, p.60 and Pillar 3 Disclosures 2024, pp.7-8 - https://www.weatherbys.bank/app/uploads/2025/04/Weatherbys-Banking-Group-Annual-Report-2024.pdf and https://www.weatherbys.bank/app/uploads/2025/04/Weatherbys-Bank-Pillar-3-Disclosures-2024.pdf; FY2023 from Annual Report &amp; Accounts 2023, p.65 and Pillar 3 Disclosures 2023, pp.6-7 - https://www.weatherbys.bank/app/uploads/2024/05/Weatherbys-Banking-Group-Annual-Report-2023.pdf and https://weatherbys.bank/app/uploads/2024/05/Weatherbys-Bank-Pillar-3-Dislcosures-2023.pdf; FY2022 from Annual Report &amp; Accounts 2022, p.62 and Pillar 3 Disclosures 2022, pp.8-9 - https://www.weatherbys.bank/app/uploads/2023/05/Weatherbys-Banking-Group-Annual_Report-2022.pdf and https://weatherbys.bank/app/uploads/2023/05/Weatherbys-Bank-Pillar-3-Dislcosures-2022.pdf; FY2021 from Annual Report &amp; Accounts 2022, p.62 (2021 comparative) and Pillar 3 Disclosures 2021, pp.7-8 - https://www.weatherbys.bank/app/uploads/2023/05/Weatherbys-Banking-Group-Annual_Report-2022.pdf and https://www.weatherbys.bank/app/uploads/2022/05/Pillar-3-2021-v2.0-Weatherbys-Bank.pdf; FY2020 impairment/NPL from Group accounts made up to 31 Dec 2020, p.34 (Note 15/16) and Pillar 3 Disclosures 2020, Table 6, p.8 - https://find-and-update.company-information.service.gov.uk/company/02943300/filing-history/MzMxMjkxNjk5MmFkaXF6a2N4/document?format=pdf&amp;download=0 and https://www.weatherbys.bank/app/uploads/2021/08/Pillar3-2020.pdf; FY2019 impairment/NPL from the same Group accounts' FY2019 comparative column - https://find-and-update.company-information.service.gov.uk/company/02943300/filing-history/MzMxMjkxNjk5MmFkaXF6a2N4/document?format=pdf&amp;download=0; FY2019 regulatory credit risk exposure by class from Pillar 3 Disclosures For Year Ended 31st December 2019 (April 2020), Table 6 'Credit Risk Exposures', p.8, 'At 31 Dec 2019' column (Group and Solo, one column) - Wayback Machine capture 20200921164839, truncated at 1,048,576 of 1,264,248 bytes; the PDF was rebuilt on 2026-09-19 from the capture's first 13 complete page images (pp.14-16 lost) and read off the rendered page - https://web.archive.org/web/20200921164839/https://www.weatherbys.bank/WeatherbysBank/media/About-Us/WBL-Pillar3-Disclosures.pdf; FY2018/FY2017 impairment/NPL from Group accounts made up to 31 Dec 2018, p.33 (Note 15/16) - https://find-and-update.company-information.service.gov.uk/company/02943300/filing-history/MzIzODIyOTM2NWFkaXF6a2N4/document?format=pdf&amp;download=0; FY2016/FY2015 impairment/NPL from Group accounts made up to 31 Dec 2016, p.25 (Note 15/16) - https://find-and-update.company-information.service.gov.uk/company/02943300/filing-history/MzE3NTA2MDU3MmFkaXF6a2N4/document?format=pdf&amp;download=0.
Entity verification: Weatherbys Bank Limited, Companies House 02943300, FRN 204571, LEI 549300OF84KDPIFN4M17; the supplied Banks List 2608.xlsx, the Weatherbys corporate-information page, the PRA register, and Companies House identify the same legal bank. The workbook uses Weatherbys Banking Group's consolidated cash-flow statement because that is the audited cash-flow presentation in the annual reports. The official Pillar 3 disclosures are consolidated Group/Solo disclosures: the documents state that the solo-consolidated group includes Weatherbys Bank Limited and its subsidiaries and that there are no differences between accounting and prudential consolidation for the Group. Group figures are therefore used only where the source explicitly labels them Group and Solo; unrelated wider-group figures are not substituted. Amounts are GBP'000 unless stated otherwise. Gross loans and advances to customers is derived as the Balance Sheet's net Loans and advances to customers plus the Loan loss provision balance from each year's own Note 15/16 (Banking Group basis); this ties exactly to the Balance Sheet's net figure every year. FY2025's Note 15 Balance Sheet loan loss provision (£5,333k) differs by £5k from Note 16's cumulative provision total (£5,338k) - a small internal document discrepancy, reproduced as-stated rather than forced to tie; both figures are shown. The regulatory credit risk exposure table (Pillar 3 Table 6) is a broader Pillar 1 exposure-class measure before credit risk mitigation (includes central bank/financial institution/covered bond exposures, not just customer loans) and does not tie to the narrower Balance Sheet loans line - shown as supplementary risk categorisation, not forced to reconcile. FY2015-FY2020 figures are sourced from Weatherbys Bank Limited's Companies-House-filed Group accounts (CH_AR_URLS above), not from weatherbys.bank (which retains only ~5 years of annual reports). FY2019's own Pillar 3 ('Pillar 3 Disclosures For Year Ended 31st December 2019', dated April 2020, a 16-page scanned document) survives only as a Wayback Machine capture (20200921164839 of weatherbys.bank/WeatherbysBank/media/About-Us/WBL-Pillar3-Disclosures.pdf) truncated at 1,048,576 of 1,264,248 bytes. It was PARTLY RECOVERED on 2026-09-19: each page is one self-contained CCITT image, and pages 1-13 lie wholly before the cut, so the PDF was rebuilt from those 13 complete page objects and read off the page images; pages 14-16 (liquidity, remaining risk sections, remuneration) are lost. FY2019 capital, RWA and leverage figures come from its Table 1 (p.5) and Table 2 (p.6), Group column; its Table 6 (p.8, 'At 31 Dec 2019') fills FY2019's regulatory credit risk exposures on the Asset Quality sheet; its Tables 3-4 (pp.6-7) print Pillar 1 capital requirements only, recorded in the RWA Breakdown note rather than converted into RWAs. No FY2015-FY2018 Pillar 3 was recoverable: the FY2016-FY2018 editions are named on archived corporate-information pages (Weatherbys-Bank-Limited-Pillar-3-Disclosures-2016/2017/2018.pdf) but were never captured, so those years' capital/RWA metric sheets are left blank rather than estimated - an access gap, not a disclosure gap. The intact FY2020 document includes FY2019 comparative LCR (586%) and NSFR (207.6%), which are populated. FY2020's own Pillar 3 Disclosures document (Weatherbys Bank, Pillar3-2020.pdf) was independently located and is intact, so FY2020's Pillar 3 metrics ARE populated. Terminology note: Weatherbys' FY2020 Pillar 3 disclosure already reports capital under CRD IV/Basel III (CET1/Tier 1/Tier 2), not Basel II Tier 1/Total Capital-only terminology, so no Basel-II-era caveat applies to any extended year in this workbook. FY2015-FY2019's loan loss provision (used for both the 'Balance Sheet' and 'Note 16 cumulative' rows, since the Companies House Group accounts for those years give only the single Note 16 movement table, not a separate Balance Sheet-note split) and NPL figures are Group accounts Note 15/16 disclosures, not Pillar 3 figures (no FY2015-FY2018 Pillar 3 was recoverable and FY2019's was only partly recovered - see PRE2021_NOTE); within FY2015-FY2020 the regulatory credit risk exposure section (Pillar 3 Table 6) is populated for FY2020 and FY2019 and left blank for FY2015-FY2018, an access gap rather than a non-disclosure. FY2019 (added 2026-09-19): transcribed from Table 6, p.8 of the recovered FY2019 edition, 'At 31 Dec 2019' column - the same column the FY2020 edition's Table 6 prints for FY2020 (the 'Average 2019' column is not used). Read twice from two independent renderings (150dpi full page, 300dpi crop), digit-for-digit agreement. The FY2019 table prints exactly the FY2020 edition's row set and wording: its 'Secured by mortgages on property' (450,900) sits on this sheet's 'Secured on real estate property' row, and 'Credit Valuation Adjustment' (759) on 'Credit Value Adjustment', as FY2020's do. FY2019 prints no 'CBILs - Government Guaranteed' row (the scheme began in 2020), so that cell is blank. The ten printed lines foot to the printed Total 985,516. Corroboration from the same page: Table 5 'Provisions for Bad &amp; Doubtful Debts' (Group and Solo) prints a balance at 31 December 2019 of 1,961 (specific 779, collective 1,182), equal to this sheet's FY2019 accounts-sourced provision.</t>
        </is>
      </c>
    </row>
  </sheetData>
  <mergeCells count="1">
    <mergeCell ref="A26:L2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Weatherbys Bank Limited — KM1 Key Metrics</t>
        </is>
      </c>
    </row>
    <row r="2">
      <c r="A2" s="2" t="inlineStr">
        <is>
          <t>Not applicable — Weatherbys Bank publishes Pillar 3 disclosures, but none of its FY2021–FY2024 editions uses the UK KM1 key-metrics template. The newest live edition is FY2024; FY2025 is covered by an Annual Report but no Pillar 3 publication. See the source note for the row-set test.</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UK KM1 key-metrics template</t>
        </is>
      </c>
      <c r="B4" s="6" t="inlineStr">
        <is>
          <t>Not used in any published edition</t>
        </is>
      </c>
      <c r="C4" s="6" t="inlineStr">
        <is>
          <t>Not used in any published edition</t>
        </is>
      </c>
      <c r="D4" s="6" t="inlineStr">
        <is>
          <t>Not used in any published edition</t>
        </is>
      </c>
      <c r="E4" s="6" t="inlineStr">
        <is>
          <t>Not used in any published edition</t>
        </is>
      </c>
      <c r="F4" s="6" t="inlineStr">
        <is>
          <t>Not used in any published edition</t>
        </is>
      </c>
      <c r="G4" s="6" t="inlineStr">
        <is>
          <t>Not used in any published edition</t>
        </is>
      </c>
      <c r="H4" s="6" t="inlineStr">
        <is>
          <t>Not used in any published edition</t>
        </is>
      </c>
      <c r="I4" s="6" t="inlineStr">
        <is>
          <t>Not used in any published edition</t>
        </is>
      </c>
      <c r="J4" s="6" t="inlineStr">
        <is>
          <t>Not used in any published edition</t>
        </is>
      </c>
      <c r="K4" s="6" t="inlineStr">
        <is>
          <t>Not used in any published edition</t>
        </is>
      </c>
      <c r="L4" s="6" t="inlineStr">
        <is>
          <t>Not used in any published edition</t>
        </is>
      </c>
    </row>
    <row r="6" ht="260" customHeight="1">
      <c r="A6" s="8" t="inlineStr">
        <is>
          <t>Sources — Weatherbys Bank Limited's own Pillar 3 disclosures, checked against the Bank's live annual-reporting page on 17 September 2026. The newest listed Pillar 3 remains the year ended 31 December 2024; the same page lists the Banking Group Annual Report and Accounts 2025, so the annual-report side of this workbook is current but no FY2025 Pillar 3 edition is published.
FY2024: Pillar 3 Disclosures 2024, printed pp.6 and 20-24 — https://www.weatherbys.bank/app/uploads/2025/04/Weatherbys-Bank-Pillar-3-Disclosures-2024.pdf
FY2023: Pillar 3 Disclosures 2023, printed pp.6 and 20-25 — https://weatherbys.bank/app/uploads/2024/05/Weatherbys-Bank-Pillar-3-Dislcosures-2023.pdf
FY2022: Pillar 3 Disclosures 2022, printed pp.7 and 21-25 — https://weatherbys.bank/app/uploads/2023/05/Weatherbys-Bank-Pillar-3-Dislcosures-2022.pdf
FY2021: Pillar 3 Disclosures 2021, printed pp.6 and 14-20 — https://www.weatherbys.bank/app/uploads/2022/05/Pillar-3-2021-v2.0-Weatherbys-Bank.pdf
Every edition was read through the end of its regulatory-template section. Each publishes capital, leverage and liquidity information, including CC1-style own-funds rows, but none publishes UK KM1: there is no single table carrying the template's own-funds, SREP/buffer, leverage, LCR and NSFR row set. The apparent bare row numbers in the documents belong to separate tables (for example the CC1 own-funds build-up) and are not KM1 row references. No later-edition comparative has been reshaped into a template, and no wider-group KM1 has been substituted. This is 'Pillar 3 is published but the template is not used', not a failed fetch or a claim that no Pillar 3 exists.</t>
        </is>
      </c>
    </row>
  </sheetData>
  <mergeCells count="1">
    <mergeCell ref="A6:L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Weatherbys Bank Limited — CET1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CET1 capital</t>
        </is>
      </c>
      <c r="B4" s="6" t="inlineStr">
        <is>
          <t>Not disclosed - AR 2025 states no such figure; no Pillar 3 (SDDT Rule 3.1 from 02/04/2025)</t>
        </is>
      </c>
      <c r="C4" s="6" t="n">
        <v>84898</v>
      </c>
      <c r="D4" s="6" t="n">
        <v>73192</v>
      </c>
      <c r="E4" s="6" t="n">
        <v>57524</v>
      </c>
      <c r="F4" s="6" t="n">
        <v>50247</v>
      </c>
      <c r="G4" s="6" t="n">
        <v>46910</v>
      </c>
      <c r="H4" s="6" t="n">
        <v>46178</v>
      </c>
    </row>
    <row r="6" ht="364" customHeight="1">
      <c r="A6" s="8" t="inlineStr">
        <is>
          <t>Sources - Weatherbys Bank 3 Pillar Disclosures, Group/Solo columns, GBP'000 except ratios: FY2024, pp.5-6 and 20-26 - https://www.weatherbys.bank/app/uploads/2025/04/Weatherbys-Bank-Pillar-3-Disclosures-2024.pdf; FY2023, pp.5-6 and 20-27 - https://weatherbys.bank/app/uploads/2024/05/Weatherbys-Bank-Pillar-3-Dislcosures-2023.pdf; FY2022, pp.6-7 and 21-27 - https://weatherbys.bank/app/uploads/2023/05/Weatherbys-Bank-Pillar-3-Dislcosures-2022.pdf; FY2021, pp.5-6 and 14, 18-22 - https://www.weatherbys.bank/app/uploads/2022/05/Pillar-3-2021-v2.0-Weatherbys-Bank.pdf; FY2020, Pillar 3 Disclosures - Year Ended 31st December 2020, Tables 1-2 and 10 (pp.5-6, 13-14) - https://www.weatherbys.bank/app/uploads/2021/08/Pillar3-2020.pdf; FY2019 (capital, RWA, ratios, leverage), Pillar 3 Disclosures For Year Ended 31st December 2019 (April 2020), Table 1 Capital Resources &amp; Ratios p.5 and Table 2 Leverage Ratio p.6, Group column - Wayback Machine capture (truncated; pp.1-13 of 16 recovered 2026-09-19) https://web.archive.org/web/20200921164839/https://www.weatherbys.bank/WeatherbysBank/media/About-Us/WBL-Pillar3-Disclosures.pdf. FY2019 defects reproduced, not corrected: Table 1 prints the total capital ratio as 'Tier 2 Ratio' (15.74% = 57,360/364,330), and p.5's prose gives the total capital ratio as 12.67%, which is the CET1 ratio.
Entity verification: Weatherbys Bank Limited, Companies House 02943300, FRN 204571, LEI 549300OF84KDPIFN4M17; the supplied Banks List 2608.xlsx, the Weatherbys corporate-information page, the PRA register, and Companies House identify the same legal bank. The workbook uses Weatherbys Banking Group's consolidated cash-flow statement because that is the audited cash-flow presentation in the annual reports. The official Pillar 3 disclosures are consolidated Group/Solo disclosures: the documents state that the solo-consolidated group includes Weatherbys Bank Limited and its subsidiaries and that there are no differences between accounting and prudential consolidation for the Group. Group figures are therefore used only where the source explicitly labels them Group and Solo; unrelated wider-group figures are not substituted. Amounts are GBP'000 unless stated otherwise. FY2025: NO Weatherbys Pillar 3 disclosure document for 2025 exists as at 15 September 2026 - the Bank's own annual-reporting page (https://www.weatherbys.bank/about-us/corporate-information/annual-reporting/) still lists the 2024 edition as the latest Pillar 3 document, and every 2026 upload-folder permutation of the FY2024 filename returns 404. Independently re-confirmed the same date by a Wayback CDX sweep of the whole weatherbys.bank domain for 'pillar' URLs, which returns no Pillar 3 document later than Weatherbys-Bank-Pillar-3-Disclosures-2024.pdf (first archived 20 July 2025).
SDDT DATE TEST (checked 2026-09-15) - IMPORTANT, this SUPERSEDES the publication-lag reading of that absence. An earlier pass on 2026-09-15 reasoned that because Weatherbys publishes its Pillar 3 alongside the April/May annual report, an FY2025 edition would be expected around April-May 2027 and the blank was merely a document not yet due. The PRA register shows that is wrong: no FY2025 edition is expected at all. The 'Consolidated Waivers list for PRA-regulated firms - as of 1 July 2026' (bankofengland.co.uk/prudential-regulation/authorisations/waivers-and-modifications-of-rules) records that Weatherbys Bank Limited (FRN 204571) holds a 'Modification by Consent - PRA Rulebook - CRR Firms - Rule 3.1 of the SDDT Regime - General Application Part', sub-rule 'Ru 3.1', starting 02/04/2025 with no end date (still in force). That modification removes the Pillar 3 disclosure obligation outright - a stronger relief than UK CRR Article 433b, which only reduces frequency and content for small and non-complex institutions. The Bank's year-end is 31 December, stable across its Companies House accounts filing history (company 02943300). FY2025 (y/e 31 December 2025) therefore falls AFTER the modification took effect, so no FY2025 Pillar 3 was ever required. Consistent with that, FY2024 (y/e 31 December 2024) PREDATES the modification - which is exactly why the 2024 edition exists and is the last one. The FY2025 blanks here are structural and permanent unless the Bank opts back in; they should NOT be re-chased in April-May 2027 or at any later date. By the same logic the FY2025 Annual-Report-sourced figures below will NOT be restated onto a Pillar 3 basis later, because no such document is coming - see the precision caveat on Total Capital.
The FY2025 figures that ARE populated below therefore come from the Bank's own Annual Report and Financial Accounts 2025, NOT from a Pillar 3 document - and on the CONSOLIDATED (Banking Group) basis, matching the basis of the FY2020-FY2024 Pillar 3 figures in this sheet (https://www.weatherbys.bank/app/uploads/2026/05/Weatherbys-Banking-Group-Annual-report-2025.pdf):
  - CET1 Ratio 13.1%, Total Capital Ratio 15.3%, LCR 1,080%, NSFR 252%, Leverage Ratio 6.05%: Annual Report and Financial Accounts 2025, '3. Financial key performance indicators', p.19 (the five-KPI panel, each figure shown with its 2024 comparative), corroborated for CET1/total capital/leverage by '2. Business review: the Group', p.19-20 ('a Common Equity Tier 1 ratio of 13.1% (2024: 13.8%)... the Group's total capital ratio at the year end was 15.3% (2024: 16.3%). The leverage ratio at the year end was 6.05% (2024: 7.08%)').</t>
        </is>
      </c>
    </row>
    <row r="8" ht="320" customHeight="1">
      <c r="A8" s="8" t="inlineStr">
        <is>
          <t>(continued)
- Total Capital GBP105.5m: Annual Report and Financial Accounts 2025, Report of the Directors, section 4.1 'Capital and leverage ratios', p.45 ('On a consolidated basis total regulatory capital and the total capital ratio were GBP105.5 million and 15.3% respectively (2024: GBP99.8 million and 16.3%)'). Stated only to GBP0.1m, so FY2025's 105,500 carries less precision than the exact Pillar 3-sourced figures for FY2020-FY2024. This is now a PERMANENT precision limit, not a temporary one: per the SDDT date test above, no FY2025 Pillar 3 will be published, so there is no future document to restate this figure against.
  - BASIS CHECK: the Annual Report and Pillar 3 bases agree for this bank. Every FY2024 comparative printed alongside the FY2025 figures above reproduces this workbook's Pillar 3-sourced FY2024 values - total capital GBP99.8m vs 99,753; total capital ratio 16.3% vs 16.26%; CET1 ratio 13.8% vs 13.84%; leverage 7.08% vs 7.08%; LCR 1,017% vs 1017%; NSFR 266% vs 266% - so the FY2025 figures sit on the same consolidated basis as the rest of the series, not a different one.
  - CET1 Capital, Tier 1 Capital, Tier 1 Ratio and Total RWAs now STATE the absence in the FY2025 cell rather than sitting blank (changed 2026-09-18, because an empty cell is indistinguishable from a year nobody searched): the FY2025 Annual Report states no CET1 or Tier 1 capital amount, no Tier 1 ratio and no risk-weighted-assets figure anywhere (it confirms the Bank holds Additional Tier 1 securities and Tier 2 subordinated notes, so CET1/Tier 1/Total Capital are genuinely different numbers and neither may be inferred from the other). Total RWAs has deliberately NOT been back-solved from GBP105.5m / 15.3%, since both inputs are rounded. FY2015-FY2020 figures are sourced from Weatherbys Bank Limited's Companies-House-filed Group accounts (CH_AR_URLS above), not from weatherbys.bank (which retains only ~5 years of annual reports). FY2019's own Pillar 3 ('Pillar 3 Disclosures For Year Ended 31st December 2019', dated April 2020, a 16-page scanned document) survives only as a Wayback Machine capture (20200921164839 of weatherbys.bank/WeatherbysBank/media/About-Us/WBL-Pillar3-Disclosures.pdf) truncated at 1,048,576 of 1,264,248 bytes. It was PARTLY RECOVERED on 2026-09-19: each page is one self-contained CCITT image, and pages 1-13 lie wholly before the cut, so the PDF was rebuilt from those 13 complete page objects and read off the page images; pages 14-16 (liquidity, remaining risk sections, remuneration) are lost. FY2019 capital, RWA and leverage figures come from its Table 1 (p.5) and Table 2 (p.6), Group column; its Table 6 (p.8, 'At 31 Dec 2019') fills FY2019's regulatory credit risk exposures on the Asset Quality sheet; its Tables 3-4 (pp.6-7) print Pillar 1 capital requirements only, recorded in the RWA Breakdown note rather than converted into RWAs. No FY2015-FY2018 Pillar 3 was recoverable: the FY2016-FY2018 editions are named on archived corporate-information pages (Weatherbys-Bank-Limited-Pillar-3-Disclosures-2016/2017/2018.pdf) but were never captured, so those years' capital/RWA metric sheets are left blank rather than estimated - an access gap, not a disclosure gap. The intact FY2020 document includes FY2019 comparative LCR (586%) and NSFR (207.6%), which are populated. FY2020's own Pillar 3 Disclosures document (Weatherbys Bank, Pillar3-2020.pdf) was independently located and is intact, so FY2020's Pillar 3 metrics ARE populated. Terminology note: Weatherbys' FY2020 Pillar 3 disclosure already reports capital under CRD IV/Basel III (CET1/Tier 1/Tier 2), not Basel II Tier 1/Total Capital-only terminology, so no Basel-II-era caveat applies to any extended year in this workbook. FY2020's Table 1 mislabels its Total Capital Ratio row as 'Tier 2 Ratio' (14.53% Group/14.32% Solo) - verified as Total Capital / RWAs (58,286/401,130 = 14.53%), reproduced here under 'Total Capital Ratio' with the source's own mislabel noted rather than propagated.</t>
        </is>
      </c>
    </row>
  </sheetData>
  <mergeCells count="2">
    <mergeCell ref="A8:H8"/>
    <mergeCell ref="A6:H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Weatherbys Bank Limited — CET1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CET1 ratio</t>
        </is>
      </c>
      <c r="B4" s="6" t="inlineStr">
        <is>
          <t>13.1%</t>
        </is>
      </c>
      <c r="C4" s="6" t="inlineStr">
        <is>
          <t>13.84%</t>
        </is>
      </c>
      <c r="D4" s="6" t="inlineStr">
        <is>
          <t>13.48%</t>
        </is>
      </c>
      <c r="E4" s="6" t="inlineStr">
        <is>
          <t>12.07%</t>
        </is>
      </c>
      <c r="F4" s="6" t="inlineStr">
        <is>
          <t>11.81%</t>
        </is>
      </c>
      <c r="G4" s="6" t="inlineStr">
        <is>
          <t>11.69%</t>
        </is>
      </c>
      <c r="H4" s="6" t="inlineStr">
        <is>
          <t>12.67%</t>
        </is>
      </c>
    </row>
    <row r="6" ht="364" customHeight="1">
      <c r="A6" s="8" t="inlineStr">
        <is>
          <t>Sources - Weatherbys Bank 3 Pillar Disclosures, Group/Solo columns, GBP'000 except ratios: FY2024, pp.5-6 and 20-26 - https://www.weatherbys.bank/app/uploads/2025/04/Weatherbys-Bank-Pillar-3-Disclosures-2024.pdf; FY2023, pp.5-6 and 20-27 - https://weatherbys.bank/app/uploads/2024/05/Weatherbys-Bank-Pillar-3-Dislcosures-2023.pdf; FY2022, pp.6-7 and 21-27 - https://weatherbys.bank/app/uploads/2023/05/Weatherbys-Bank-Pillar-3-Dislcosures-2022.pdf; FY2021, pp.5-6 and 14, 18-22 - https://www.weatherbys.bank/app/uploads/2022/05/Pillar-3-2021-v2.0-Weatherbys-Bank.pdf; FY2020, Pillar 3 Disclosures - Year Ended 31st December 2020, Tables 1-2 and 10 (pp.5-6, 13-14) - https://www.weatherbys.bank/app/uploads/2021/08/Pillar3-2020.pdf; FY2019 (capital, RWA, ratios, leverage), Pillar 3 Disclosures For Year Ended 31st December 2019 (April 2020), Table 1 Capital Resources &amp; Ratios p.5 and Table 2 Leverage Ratio p.6, Group column - Wayback Machine capture (truncated; pp.1-13 of 16 recovered 2026-09-19) https://web.archive.org/web/20200921164839/https://www.weatherbys.bank/WeatherbysBank/media/About-Us/WBL-Pillar3-Disclosures.pdf. FY2019 defects reproduced, not corrected: Table 1 prints the total capital ratio as 'Tier 2 Ratio' (15.74% = 57,360/364,330), and p.5's prose gives the total capital ratio as 12.67%, which is the CET1 ratio.
Entity verification: Weatherbys Bank Limited, Companies House 02943300, FRN 204571, LEI 549300OF84KDPIFN4M17; the supplied Banks List 2608.xlsx, the Weatherbys corporate-information page, the PRA register, and Companies House identify the same legal bank. The workbook uses Weatherbys Banking Group's consolidated cash-flow statement because that is the audited cash-flow presentation in the annual reports. The official Pillar 3 disclosures are consolidated Group/Solo disclosures: the documents state that the solo-consolidated group includes Weatherbys Bank Limited and its subsidiaries and that there are no differences between accounting and prudential consolidation for the Group. Group figures are therefore used only where the source explicitly labels them Group and Solo; unrelated wider-group figures are not substituted. Amounts are GBP'000 unless stated otherwise. FY2025: NO Weatherbys Pillar 3 disclosure document for 2025 exists as at 15 September 2026 - the Bank's own annual-reporting page (https://www.weatherbys.bank/about-us/corporate-information/annual-reporting/) still lists the 2024 edition as the latest Pillar 3 document, and every 2026 upload-folder permutation of the FY2024 filename returns 404. Independently re-confirmed the same date by a Wayback CDX sweep of the whole weatherbys.bank domain for 'pillar' URLs, which returns no Pillar 3 document later than Weatherbys-Bank-Pillar-3-Disclosures-2024.pdf (first archived 20 July 2025).
SDDT DATE TEST (checked 2026-09-15) - IMPORTANT, this SUPERSEDES the publication-lag reading of that absence. An earlier pass on 2026-09-15 reasoned that because Weatherbys publishes its Pillar 3 alongside the April/May annual report, an FY2025 edition would be expected around April-May 2027 and the blank was merely a document not yet due. The PRA register shows that is wrong: no FY2025 edition is expected at all. The 'Consolidated Waivers list for PRA-regulated firms - as of 1 July 2026' (bankofengland.co.uk/prudential-regulation/authorisations/waivers-and-modifications-of-rules) records that Weatherbys Bank Limited (FRN 204571) holds a 'Modification by Consent - PRA Rulebook - CRR Firms - Rule 3.1 of the SDDT Regime - General Application Part', sub-rule 'Ru 3.1', starting 02/04/2025 with no end date (still in force). That modification removes the Pillar 3 disclosure obligation outright - a stronger relief than UK CRR Article 433b, which only reduces frequency and content for small and non-complex institutions. The Bank's year-end is 31 December, stable across its Companies House accounts filing history (company 02943300). FY2025 (y/e 31 December 2025) therefore falls AFTER the modification took effect, so no FY2025 Pillar 3 was ever required. Consistent with that, FY2024 (y/e 31 December 2024) PREDATES the modification - which is exactly why the 2024 edition exists and is the last one. The FY2025 blanks here are structural and permanent unless the Bank opts back in; they should NOT be re-chased in April-May 2027 or at any later date. By the same logic the FY2025 Annual-Report-sourced figures below will NOT be restated onto a Pillar 3 basis later, because no such document is coming - see the precision caveat on Total Capital.
The FY2025 figures that ARE populated below therefore come from the Bank's own Annual Report and Financial Accounts 2025, NOT from a Pillar 3 document - and on the CONSOLIDATED (Banking Group) basis, matching the basis of the FY2020-FY2024 Pillar 3 figures in this sheet (https://www.weatherbys.bank/app/uploads/2026/05/Weatherbys-Banking-Group-Annual-report-2025.pdf):
  - CET1 Ratio 13.1%, Total Capital Ratio 15.3%, LCR 1,080%, NSFR 252%, Leverage Ratio 6.05%: Annual Report and Financial Accounts 2025, '3. Financial key performance indicators', p.19 (the five-KPI panel, each figure shown with its 2024 comparative), corroborated for CET1/total capital/leverage by '2. Business review: the Group', p.19-20 ('a Common Equity Tier 1 ratio of 13.1% (2024: 13.8%)... the Group's total capital ratio at the year end was 15.3% (2024: 16.3%). The leverage ratio at the year end was 6.05% (2024: 7.08%)').</t>
        </is>
      </c>
    </row>
    <row r="8" ht="320" customHeight="1">
      <c r="A8" s="8" t="inlineStr">
        <is>
          <t>(continued)
- Total Capital GBP105.5m: Annual Report and Financial Accounts 2025, Report of the Directors, section 4.1 'Capital and leverage ratios', p.45 ('On a consolidated basis total regulatory capital and the total capital ratio were GBP105.5 million and 15.3% respectively (2024: GBP99.8 million and 16.3%)'). Stated only to GBP0.1m, so FY2025's 105,500 carries less precision than the exact Pillar 3-sourced figures for FY2020-FY2024. This is now a PERMANENT precision limit, not a temporary one: per the SDDT date test above, no FY2025 Pillar 3 will be published, so there is no future document to restate this figure against.
  - BASIS CHECK: the Annual Report and Pillar 3 bases agree for this bank. Every FY2024 comparative printed alongside the FY2025 figures above reproduces this workbook's Pillar 3-sourced FY2024 values - total capital GBP99.8m vs 99,753; total capital ratio 16.3% vs 16.26%; CET1 ratio 13.8% vs 13.84%; leverage 7.08% vs 7.08%; LCR 1,017% vs 1017%; NSFR 266% vs 266% - so the FY2025 figures sit on the same consolidated basis as the rest of the series, not a different one.
  - CET1 Capital, Tier 1 Capital, Tier 1 Ratio and Total RWAs now STATE the absence in the FY2025 cell rather than sitting blank (changed 2026-09-18, because an empty cell is indistinguishable from a year nobody searched): the FY2025 Annual Report states no CET1 or Tier 1 capital amount, no Tier 1 ratio and no risk-weighted-assets figure anywhere (it confirms the Bank holds Additional Tier 1 securities and Tier 2 subordinated notes, so CET1/Tier 1/Total Capital are genuinely different numbers and neither may be inferred from the other). Total RWAs has deliberately NOT been back-solved from GBP105.5m / 15.3%, since both inputs are rounded. FY2015-FY2020 figures are sourced from Weatherbys Bank Limited's Companies-House-filed Group accounts (CH_AR_URLS above), not from weatherbys.bank (which retains only ~5 years of annual reports). FY2019's own Pillar 3 ('Pillar 3 Disclosures For Year Ended 31st December 2019', dated April 2020, a 16-page scanned document) survives only as a Wayback Machine capture (20200921164839 of weatherbys.bank/WeatherbysBank/media/About-Us/WBL-Pillar3-Disclosures.pdf) truncated at 1,048,576 of 1,264,248 bytes. It was PARTLY RECOVERED on 2026-09-19: each page is one self-contained CCITT image, and pages 1-13 lie wholly before the cut, so the PDF was rebuilt from those 13 complete page objects and read off the page images; pages 14-16 (liquidity, remaining risk sections, remuneration) are lost. FY2019 capital, RWA and leverage figures come from its Table 1 (p.5) and Table 2 (p.6), Group column; its Table 6 (p.8, 'At 31 Dec 2019') fills FY2019's regulatory credit risk exposures on the Asset Quality sheet; its Tables 3-4 (pp.6-7) print Pillar 1 capital requirements only, recorded in the RWA Breakdown note rather than converted into RWAs. No FY2015-FY2018 Pillar 3 was recoverable: the FY2016-FY2018 editions are named on archived corporate-information pages (Weatherbys-Bank-Limited-Pillar-3-Disclosures-2016/2017/2018.pdf) but were never captured, so those years' capital/RWA metric sheets are left blank rather than estimated - an access gap, not a disclosure gap. The intact FY2020 document includes FY2019 comparative LCR (586%) and NSFR (207.6%), which are populated. FY2020's own Pillar 3 Disclosures document (Weatherbys Bank, Pillar3-2020.pdf) was independently located and is intact, so FY2020's Pillar 3 metrics ARE populated. Terminology note: Weatherbys' FY2020 Pillar 3 disclosure already reports capital under CRD IV/Basel III (CET1/Tier 1/Tier 2), not Basel II Tier 1/Total Capital-only terminology, so no Basel-II-era caveat applies to any extended year in this workbook. FY2020's Table 1 mislabels its Total Capital Ratio row as 'Tier 2 Ratio' (14.53% Group/14.32% Solo) - verified as Total Capital / RWAs (58,286/401,130 = 14.53%), reproduced here under 'Total Capital Ratio' with the source's own mislabel noted rather than propagated.</t>
        </is>
      </c>
    </row>
  </sheetData>
  <mergeCells count="2">
    <mergeCell ref="A8:H8"/>
    <mergeCell ref="A6:H6"/>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Weatherbys Bank Limited — Tier 1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capital</t>
        </is>
      </c>
      <c r="B4" s="6" t="inlineStr">
        <is>
          <t>Not disclosed - AR 2025 states no such figure; no Pillar 3 (SDDT Rule 3.1 from 02/04/2025)</t>
        </is>
      </c>
      <c r="C4" s="6" t="n">
        <v>87898</v>
      </c>
      <c r="D4" s="6" t="n">
        <v>76192</v>
      </c>
      <c r="E4" s="6" t="n">
        <v>57524</v>
      </c>
      <c r="F4" s="6" t="n">
        <v>50247</v>
      </c>
      <c r="G4" s="6" t="n">
        <v>46910</v>
      </c>
      <c r="H4" s="6" t="n">
        <v>46178</v>
      </c>
    </row>
    <row r="6" ht="364" customHeight="1">
      <c r="A6" s="8" t="inlineStr">
        <is>
          <t>Sources - Weatherbys Bank 3 Pillar Disclosures, Group/Solo columns, GBP'000 except ratios: FY2024, pp.5-6 and 20-26 - https://www.weatherbys.bank/app/uploads/2025/04/Weatherbys-Bank-Pillar-3-Disclosures-2024.pdf; FY2023, pp.5-6 and 20-27 - https://weatherbys.bank/app/uploads/2024/05/Weatherbys-Bank-Pillar-3-Dislcosures-2023.pdf; FY2022, pp.6-7 and 21-27 - https://weatherbys.bank/app/uploads/2023/05/Weatherbys-Bank-Pillar-3-Dislcosures-2022.pdf; FY2021, pp.5-6 and 14, 18-22 - https://www.weatherbys.bank/app/uploads/2022/05/Pillar-3-2021-v2.0-Weatherbys-Bank.pdf; FY2020, Pillar 3 Disclosures - Year Ended 31st December 2020, Tables 1-2 and 10 (pp.5-6, 13-14) - https://www.weatherbys.bank/app/uploads/2021/08/Pillar3-2020.pdf; FY2019 (capital, RWA, ratios, leverage), Pillar 3 Disclosures For Year Ended 31st December 2019 (April 2020), Table 1 Capital Resources &amp; Ratios p.5 and Table 2 Leverage Ratio p.6, Group column - Wayback Machine capture (truncated; pp.1-13 of 16 recovered 2026-09-19) https://web.archive.org/web/20200921164839/https://www.weatherbys.bank/WeatherbysBank/media/About-Us/WBL-Pillar3-Disclosures.pdf. FY2019 defects reproduced, not corrected: Table 1 prints the total capital ratio as 'Tier 2 Ratio' (15.74% = 57,360/364,330), and p.5's prose gives the total capital ratio as 12.67%, which is the CET1 ratio.
Entity verification: Weatherbys Bank Limited, Companies House 02943300, FRN 204571, LEI 549300OF84KDPIFN4M17; the supplied Banks List 2608.xlsx, the Weatherbys corporate-information page, the PRA register, and Companies House identify the same legal bank. The workbook uses Weatherbys Banking Group's consolidated cash-flow statement because that is the audited cash-flow presentation in the annual reports. The official Pillar 3 disclosures are consolidated Group/Solo disclosures: the documents state that the solo-consolidated group includes Weatherbys Bank Limited and its subsidiaries and that there are no differences between accounting and prudential consolidation for the Group. Group figures are therefore used only where the source explicitly labels them Group and Solo; unrelated wider-group figures are not substituted. Amounts are GBP'000 unless stated otherwise. FY2025: NO Weatherbys Pillar 3 disclosure document for 2025 exists as at 15 September 2026 - the Bank's own annual-reporting page (https://www.weatherbys.bank/about-us/corporate-information/annual-reporting/) still lists the 2024 edition as the latest Pillar 3 document, and every 2026 upload-folder permutation of the FY2024 filename returns 404. Independently re-confirmed the same date by a Wayback CDX sweep of the whole weatherbys.bank domain for 'pillar' URLs, which returns no Pillar 3 document later than Weatherbys-Bank-Pillar-3-Disclosures-2024.pdf (first archived 20 July 2025).
SDDT DATE TEST (checked 2026-09-15) - IMPORTANT, this SUPERSEDES the publication-lag reading of that absence. An earlier pass on 2026-09-15 reasoned that because Weatherbys publishes its Pillar 3 alongside the April/May annual report, an FY2025 edition would be expected around April-May 2027 and the blank was merely a document not yet due. The PRA register shows that is wrong: no FY2025 edition is expected at all. The 'Consolidated Waivers list for PRA-regulated firms - as of 1 July 2026' (bankofengland.co.uk/prudential-regulation/authorisations/waivers-and-modifications-of-rules) records that Weatherbys Bank Limited (FRN 204571) holds a 'Modification by Consent - PRA Rulebook - CRR Firms - Rule 3.1 of the SDDT Regime - General Application Part', sub-rule 'Ru 3.1', starting 02/04/2025 with no end date (still in force). That modification removes the Pillar 3 disclosure obligation outright - a stronger relief than UK CRR Article 433b, which only reduces frequency and content for small and non-complex institutions. The Bank's year-end is 31 December, stable across its Companies House accounts filing history (company 02943300). FY2025 (y/e 31 December 2025) therefore falls AFTER the modification took effect, so no FY2025 Pillar 3 was ever required. Consistent with that, FY2024 (y/e 31 December 2024) PREDATES the modification - which is exactly why the 2024 edition exists and is the last one. The FY2025 blanks here are structural and permanent unless the Bank opts back in; they should NOT be re-chased in April-May 2027 or at any later date. By the same logic the FY2025 Annual-Report-sourced figures below will NOT be restated onto a Pillar 3 basis later, because no such document is coming - see the precision caveat on Total Capital.
The FY2025 figures that ARE populated below therefore come from the Bank's own Annual Report and Financial Accounts 2025, NOT from a Pillar 3 document - and on the CONSOLIDATED (Banking Group) basis, matching the basis of the FY2020-FY2024 Pillar 3 figures in this sheet (https://www.weatherbys.bank/app/uploads/2026/05/Weatherbys-Banking-Group-Annual-report-2025.pdf):
  - CET1 Ratio 13.1%, Total Capital Ratio 15.3%, LCR 1,080%, NSFR 252%, Leverage Ratio 6.05%: Annual Report and Financial Accounts 2025, '3. Financial key performance indicators', p.19 (the five-KPI panel, each figure shown with its 2024 comparative), corroborated for CET1/total capital/leverage by '2. Business review: the Group', p.19-20 ('a Common Equity Tier 1 ratio of 13.1% (2024: 13.8%)... the Group's total capital ratio at the year end was 15.3% (2024: 16.3%). The leverage ratio at the year end was 6.05% (2024: 7.08%)').</t>
        </is>
      </c>
    </row>
    <row r="8" ht="320" customHeight="1">
      <c r="A8" s="8" t="inlineStr">
        <is>
          <t>(continued)
- Total Capital GBP105.5m: Annual Report and Financial Accounts 2025, Report of the Directors, section 4.1 'Capital and leverage ratios', p.45 ('On a consolidated basis total regulatory capital and the total capital ratio were GBP105.5 million and 15.3% respectively (2024: GBP99.8 million and 16.3%)'). Stated only to GBP0.1m, so FY2025's 105,500 carries less precision than the exact Pillar 3-sourced figures for FY2020-FY2024. This is now a PERMANENT precision limit, not a temporary one: per the SDDT date test above, no FY2025 Pillar 3 will be published, so there is no future document to restate this figure against.
  - BASIS CHECK: the Annual Report and Pillar 3 bases agree for this bank. Every FY2024 comparative printed alongside the FY2025 figures above reproduces this workbook's Pillar 3-sourced FY2024 values - total capital GBP99.8m vs 99,753; total capital ratio 16.3% vs 16.26%; CET1 ratio 13.8% vs 13.84%; leverage 7.08% vs 7.08%; LCR 1,017% vs 1017%; NSFR 266% vs 266% - so the FY2025 figures sit on the same consolidated basis as the rest of the series, not a different one.
  - CET1 Capital, Tier 1 Capital, Tier 1 Ratio and Total RWAs now STATE the absence in the FY2025 cell rather than sitting blank (changed 2026-09-18, because an empty cell is indistinguishable from a year nobody searched): the FY2025 Annual Report states no CET1 or Tier 1 capital amount, no Tier 1 ratio and no risk-weighted-assets figure anywhere (it confirms the Bank holds Additional Tier 1 securities and Tier 2 subordinated notes, so CET1/Tier 1/Total Capital are genuinely different numbers and neither may be inferred from the other). Total RWAs has deliberately NOT been back-solved from GBP105.5m / 15.3%, since both inputs are rounded. FY2015-FY2020 figures are sourced from Weatherbys Bank Limited's Companies-House-filed Group accounts (CH_AR_URLS above), not from weatherbys.bank (which retains only ~5 years of annual reports). FY2019's own Pillar 3 ('Pillar 3 Disclosures For Year Ended 31st December 2019', dated April 2020, a 16-page scanned document) survives only as a Wayback Machine capture (20200921164839 of weatherbys.bank/WeatherbysBank/media/About-Us/WBL-Pillar3-Disclosures.pdf) truncated at 1,048,576 of 1,264,248 bytes. It was PARTLY RECOVERED on 2026-09-19: each page is one self-contained CCITT image, and pages 1-13 lie wholly before the cut, so the PDF was rebuilt from those 13 complete page objects and read off the page images; pages 14-16 (liquidity, remaining risk sections, remuneration) are lost. FY2019 capital, RWA and leverage figures come from its Table 1 (p.5) and Table 2 (p.6), Group column; its Table 6 (p.8, 'At 31 Dec 2019') fills FY2019's regulatory credit risk exposures on the Asset Quality sheet; its Tables 3-4 (pp.6-7) print Pillar 1 capital requirements only, recorded in the RWA Breakdown note rather than converted into RWAs. No FY2015-FY2018 Pillar 3 was recoverable: the FY2016-FY2018 editions are named on archived corporate-information pages (Weatherbys-Bank-Limited-Pillar-3-Disclosures-2016/2017/2018.pdf) but were never captured, so those years' capital/RWA metric sheets are left blank rather than estimated - an access gap, not a disclosure gap. The intact FY2020 document includes FY2019 comparative LCR (586%) and NSFR (207.6%), which are populated. FY2020's own Pillar 3 Disclosures document (Weatherbys Bank, Pillar3-2020.pdf) was independently located and is intact, so FY2020's Pillar 3 metrics ARE populated. Terminology note: Weatherbys' FY2020 Pillar 3 disclosure already reports capital under CRD IV/Basel III (CET1/Tier 1/Tier 2), not Basel II Tier 1/Total Capital-only terminology, so no Basel-II-era caveat applies to any extended year in this workbook. FY2020's Table 1 mislabels its Total Capital Ratio row as 'Tier 2 Ratio' (14.53% Group/14.32% Solo) - verified as Total Capital / RWAs (58,286/401,130 = 14.53%), reproduced here under 'Total Capital Ratio' with the source's own mislabel noted rather than propagated.</t>
        </is>
      </c>
    </row>
  </sheetData>
  <mergeCells count="2">
    <mergeCell ref="A8:H8"/>
    <mergeCell ref="A6:H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Weatherbys Bank Limited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Tier 1 ratio</t>
        </is>
      </c>
      <c r="B4" s="6" t="inlineStr">
        <is>
          <t>Not disclosed - AR 2025 states no such figure; no Pillar 3 (SDDT Rule 3.1 from 02/04/2025)</t>
        </is>
      </c>
      <c r="C4" s="6" t="inlineStr">
        <is>
          <t>14.33%</t>
        </is>
      </c>
      <c r="D4" s="6" t="inlineStr">
        <is>
          <t>14.03%</t>
        </is>
      </c>
      <c r="E4" s="6" t="inlineStr">
        <is>
          <t>12.07%</t>
        </is>
      </c>
      <c r="F4" s="6" t="inlineStr">
        <is>
          <t>11.81%</t>
        </is>
      </c>
      <c r="G4" s="6" t="inlineStr">
        <is>
          <t>11.69%</t>
        </is>
      </c>
      <c r="H4" s="6" t="inlineStr">
        <is>
          <t>12.67%</t>
        </is>
      </c>
    </row>
    <row r="6" ht="364" customHeight="1">
      <c r="A6" s="8" t="inlineStr">
        <is>
          <t>Sources - Weatherbys Bank 3 Pillar Disclosures, Group/Solo columns, GBP'000 except ratios: FY2024, pp.5-6 and 20-26 - https://www.weatherbys.bank/app/uploads/2025/04/Weatherbys-Bank-Pillar-3-Disclosures-2024.pdf; FY2023, pp.5-6 and 20-27 - https://weatherbys.bank/app/uploads/2024/05/Weatherbys-Bank-Pillar-3-Dislcosures-2023.pdf; FY2022, pp.6-7 and 21-27 - https://weatherbys.bank/app/uploads/2023/05/Weatherbys-Bank-Pillar-3-Dislcosures-2022.pdf; FY2021, pp.5-6 and 14, 18-22 - https://www.weatherbys.bank/app/uploads/2022/05/Pillar-3-2021-v2.0-Weatherbys-Bank.pdf; FY2020, Pillar 3 Disclosures - Year Ended 31st December 2020, Tables 1-2 and 10 (pp.5-6, 13-14) - https://www.weatherbys.bank/app/uploads/2021/08/Pillar3-2020.pdf; FY2019 (capital, RWA, ratios, leverage), Pillar 3 Disclosures For Year Ended 31st December 2019 (April 2020), Table 1 Capital Resources &amp; Ratios p.5 and Table 2 Leverage Ratio p.6, Group column - Wayback Machine capture (truncated; pp.1-13 of 16 recovered 2026-09-19) https://web.archive.org/web/20200921164839/https://www.weatherbys.bank/WeatherbysBank/media/About-Us/WBL-Pillar3-Disclosures.pdf. FY2019 defects reproduced, not corrected: Table 1 prints the total capital ratio as 'Tier 2 Ratio' (15.74% = 57,360/364,330), and p.5's prose gives the total capital ratio as 12.67%, which is the CET1 ratio.
Entity verification: Weatherbys Bank Limited, Companies House 02943300, FRN 204571, LEI 549300OF84KDPIFN4M17; the supplied Banks List 2608.xlsx, the Weatherbys corporate-information page, the PRA register, and Companies House identify the same legal bank. The workbook uses Weatherbys Banking Group's consolidated cash-flow statement because that is the audited cash-flow presentation in the annual reports. The official Pillar 3 disclosures are consolidated Group/Solo disclosures: the documents state that the solo-consolidated group includes Weatherbys Bank Limited and its subsidiaries and that there are no differences between accounting and prudential consolidation for the Group. Group figures are therefore used only where the source explicitly labels them Group and Solo; unrelated wider-group figures are not substituted. Amounts are GBP'000 unless stated otherwise. FY2025: NO Weatherbys Pillar 3 disclosure document for 2025 exists as at 15 September 2026 - the Bank's own annual-reporting page (https://www.weatherbys.bank/about-us/corporate-information/annual-reporting/) still lists the 2024 edition as the latest Pillar 3 document, and every 2026 upload-folder permutation of the FY2024 filename returns 404. Independently re-confirmed the same date by a Wayback CDX sweep of the whole weatherbys.bank domain for 'pillar' URLs, which returns no Pillar 3 document later than Weatherbys-Bank-Pillar-3-Disclosures-2024.pdf (first archived 20 July 2025).
SDDT DATE TEST (checked 2026-09-15) - IMPORTANT, this SUPERSEDES the publication-lag reading of that absence. An earlier pass on 2026-09-15 reasoned that because Weatherbys publishes its Pillar 3 alongside the April/May annual report, an FY2025 edition would be expected around April-May 2027 and the blank was merely a document not yet due. The PRA register shows that is wrong: no FY2025 edition is expected at all. The 'Consolidated Waivers list for PRA-regulated firms - as of 1 July 2026' (bankofengland.co.uk/prudential-regulation/authorisations/waivers-and-modifications-of-rules) records that Weatherbys Bank Limited (FRN 204571) holds a 'Modification by Consent - PRA Rulebook - CRR Firms - Rule 3.1 of the SDDT Regime - General Application Part', sub-rule 'Ru 3.1', starting 02/04/2025 with no end date (still in force). That modification removes the Pillar 3 disclosure obligation outright - a stronger relief than UK CRR Article 433b, which only reduces frequency and content for small and non-complex institutions. The Bank's year-end is 31 December, stable across its Companies House accounts filing history (company 02943300). FY2025 (y/e 31 December 2025) therefore falls AFTER the modification took effect, so no FY2025 Pillar 3 was ever required. Consistent with that, FY2024 (y/e 31 December 2024) PREDATES the modification - which is exactly why the 2024 edition exists and is the last one. The FY2025 blanks here are structural and permanent unless the Bank opts back in; they should NOT be re-chased in April-May 2027 or at any later date. By the same logic the FY2025 Annual-Report-sourced figures below will NOT be restated onto a Pillar 3 basis later, because no such document is coming - see the precision caveat on Total Capital.
The FY2025 figures that ARE populated below therefore come from the Bank's own Annual Report and Financial Accounts 2025, NOT from a Pillar 3 document - and on the CONSOLIDATED (Banking Group) basis, matching the basis of the FY2020-FY2024 Pillar 3 figures in this sheet (https://www.weatherbys.bank/app/uploads/2026/05/Weatherbys-Banking-Group-Annual-report-2025.pdf):
  - CET1 Ratio 13.1%, Total Capital Ratio 15.3%, LCR 1,080%, NSFR 252%, Leverage Ratio 6.05%: Annual Report and Financial Accounts 2025, '3. Financial key performance indicators', p.19 (the five-KPI panel, each figure shown with its 2024 comparative), corroborated for CET1/total capital/leverage by '2. Business review: the Group', p.19-20 ('a Common Equity Tier 1 ratio of 13.1% (2024: 13.8%)... the Group's total capital ratio at the year end was 15.3% (2024: 16.3%). The leverage ratio at the year end was 6.05% (2024: 7.08%)').</t>
        </is>
      </c>
    </row>
    <row r="8" ht="320" customHeight="1">
      <c r="A8" s="8" t="inlineStr">
        <is>
          <t>(continued)
- Total Capital GBP105.5m: Annual Report and Financial Accounts 2025, Report of the Directors, section 4.1 'Capital and leverage ratios', p.45 ('On a consolidated basis total regulatory capital and the total capital ratio were GBP105.5 million and 15.3% respectively (2024: GBP99.8 million and 16.3%)'). Stated only to GBP0.1m, so FY2025's 105,500 carries less precision than the exact Pillar 3-sourced figures for FY2020-FY2024. This is now a PERMANENT precision limit, not a temporary one: per the SDDT date test above, no FY2025 Pillar 3 will be published, so there is no future document to restate this figure against.
  - BASIS CHECK: the Annual Report and Pillar 3 bases agree for this bank. Every FY2024 comparative printed alongside the FY2025 figures above reproduces this workbook's Pillar 3-sourced FY2024 values - total capital GBP99.8m vs 99,753; total capital ratio 16.3% vs 16.26%; CET1 ratio 13.8% vs 13.84%; leverage 7.08% vs 7.08%; LCR 1,017% vs 1017%; NSFR 266% vs 266% - so the FY2025 figures sit on the same consolidated basis as the rest of the series, not a different one.
  - CET1 Capital, Tier 1 Capital, Tier 1 Ratio and Total RWAs now STATE the absence in the FY2025 cell rather than sitting blank (changed 2026-09-18, because an empty cell is indistinguishable from a year nobody searched): the FY2025 Annual Report states no CET1 or Tier 1 capital amount, no Tier 1 ratio and no risk-weighted-assets figure anywhere (it confirms the Bank holds Additional Tier 1 securities and Tier 2 subordinated notes, so CET1/Tier 1/Total Capital are genuinely different numbers and neither may be inferred from the other). Total RWAs has deliberately NOT been back-solved from GBP105.5m / 15.3%, since both inputs are rounded. FY2015-FY2020 figures are sourced from Weatherbys Bank Limited's Companies-House-filed Group accounts (CH_AR_URLS above), not from weatherbys.bank (which retains only ~5 years of annual reports). FY2019's own Pillar 3 ('Pillar 3 Disclosures For Year Ended 31st December 2019', dated April 2020, a 16-page scanned document) survives only as a Wayback Machine capture (20200921164839 of weatherbys.bank/WeatherbysBank/media/About-Us/WBL-Pillar3-Disclosures.pdf) truncated at 1,048,576 of 1,264,248 bytes. It was PARTLY RECOVERED on 2026-09-19: each page is one self-contained CCITT image, and pages 1-13 lie wholly before the cut, so the PDF was rebuilt from those 13 complete page objects and read off the page images; pages 14-16 (liquidity, remaining risk sections, remuneration) are lost. FY2019 capital, RWA and leverage figures come from its Table 1 (p.5) and Table 2 (p.6), Group column; its Table 6 (p.8, 'At 31 Dec 2019') fills FY2019's regulatory credit risk exposures on the Asset Quality sheet; its Tables 3-4 (pp.6-7) print Pillar 1 capital requirements only, recorded in the RWA Breakdown note rather than converted into RWAs. No FY2015-FY2018 Pillar 3 was recoverable: the FY2016-FY2018 editions are named on archived corporate-information pages (Weatherbys-Bank-Limited-Pillar-3-Disclosures-2016/2017/2018.pdf) but were never captured, so those years' capital/RWA metric sheets are left blank rather than estimated - an access gap, not a disclosure gap. The intact FY2020 document includes FY2019 comparative LCR (586%) and NSFR (207.6%), which are populated. FY2020's own Pillar 3 Disclosures document (Weatherbys Bank, Pillar3-2020.pdf) was independently located and is intact, so FY2020's Pillar 3 metrics ARE populated. Terminology note: Weatherbys' FY2020 Pillar 3 disclosure already reports capital under CRD IV/Basel III (CET1/Tier 1/Tier 2), not Basel II Tier 1/Total Capital-only terminology, so no Basel-II-era caveat applies to any extended year in this workbook. FY2020's Table 1 mislabels its Total Capital Ratio row as 'Tier 2 Ratio' (14.53% Group/14.32% Solo) - verified as Total Capital / RWAs (58,286/401,130 = 14.53%), reproduced here under 'Total Capital Ratio' with the source's own mislabel noted rather than propagated.</t>
        </is>
      </c>
    </row>
  </sheetData>
  <mergeCells count="2">
    <mergeCell ref="A8:H8"/>
    <mergeCell ref="A6:H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Weatherbys Bank Limited — Total Capital</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t>
        </is>
      </c>
      <c r="B4" s="6" t="n">
        <v>105500</v>
      </c>
      <c r="C4" s="6" t="n">
        <v>99753</v>
      </c>
      <c r="D4" s="6" t="n">
        <v>87815</v>
      </c>
      <c r="E4" s="6" t="n">
        <v>69108</v>
      </c>
      <c r="F4" s="6" t="n">
        <v>61634</v>
      </c>
      <c r="G4" s="6" t="n">
        <v>58286</v>
      </c>
      <c r="H4" s="6" t="n">
        <v>57360</v>
      </c>
    </row>
    <row r="6" ht="364" customHeight="1">
      <c r="A6" s="8" t="inlineStr">
        <is>
          <t>Sources - Weatherbys Bank 3 Pillar Disclosures, Group/Solo columns, GBP'000 except ratios: FY2024, pp.5-6 and 20-26 - https://www.weatherbys.bank/app/uploads/2025/04/Weatherbys-Bank-Pillar-3-Disclosures-2024.pdf; FY2023, pp.5-6 and 20-27 - https://weatherbys.bank/app/uploads/2024/05/Weatherbys-Bank-Pillar-3-Dislcosures-2023.pdf; FY2022, pp.6-7 and 21-27 - https://weatherbys.bank/app/uploads/2023/05/Weatherbys-Bank-Pillar-3-Dislcosures-2022.pdf; FY2021, pp.5-6 and 14, 18-22 - https://www.weatherbys.bank/app/uploads/2022/05/Pillar-3-2021-v2.0-Weatherbys-Bank.pdf; FY2020, Pillar 3 Disclosures - Year Ended 31st December 2020, Tables 1-2 and 10 (pp.5-6, 13-14) - https://www.weatherbys.bank/app/uploads/2021/08/Pillar3-2020.pdf; FY2019 (capital, RWA, ratios, leverage), Pillar 3 Disclosures For Year Ended 31st December 2019 (April 2020), Table 1 Capital Resources &amp; Ratios p.5 and Table 2 Leverage Ratio p.6, Group column - Wayback Machine capture (truncated; pp.1-13 of 16 recovered 2026-09-19) https://web.archive.org/web/20200921164839/https://www.weatherbys.bank/WeatherbysBank/media/About-Us/WBL-Pillar3-Disclosures.pdf. FY2019 defects reproduced, not corrected: Table 1 prints the total capital ratio as 'Tier 2 Ratio' (15.74% = 57,360/364,330), and p.5's prose gives the total capital ratio as 12.67%, which is the CET1 ratio.
Entity verification: Weatherbys Bank Limited, Companies House 02943300, FRN 204571, LEI 549300OF84KDPIFN4M17; the supplied Banks List 2608.xlsx, the Weatherbys corporate-information page, the PRA register, and Companies House identify the same legal bank. The workbook uses Weatherbys Banking Group's consolidated cash-flow statement because that is the audited cash-flow presentation in the annual reports. The official Pillar 3 disclosures are consolidated Group/Solo disclosures: the documents state that the solo-consolidated group includes Weatherbys Bank Limited and its subsidiaries and that there are no differences between accounting and prudential consolidation for the Group. Group figures are therefore used only where the source explicitly labels them Group and Solo; unrelated wider-group figures are not substituted. Amounts are GBP'000 unless stated otherwise. FY2025: NO Weatherbys Pillar 3 disclosure document for 2025 exists as at 15 September 2026 - the Bank's own annual-reporting page (https://www.weatherbys.bank/about-us/corporate-information/annual-reporting/) still lists the 2024 edition as the latest Pillar 3 document, and every 2026 upload-folder permutation of the FY2024 filename returns 404. Independently re-confirmed the same date by a Wayback CDX sweep of the whole weatherbys.bank domain for 'pillar' URLs, which returns no Pillar 3 document later than Weatherbys-Bank-Pillar-3-Disclosures-2024.pdf (first archived 20 July 2025).
SDDT DATE TEST (checked 2026-09-15) - IMPORTANT, this SUPERSEDES the publication-lag reading of that absence. An earlier pass on 2026-09-15 reasoned that because Weatherbys publishes its Pillar 3 alongside the April/May annual report, an FY2025 edition would be expected around April-May 2027 and the blank was merely a document not yet due. The PRA register shows that is wrong: no FY2025 edition is expected at all. The 'Consolidated Waivers list for PRA-regulated firms - as of 1 July 2026' (bankofengland.co.uk/prudential-regulation/authorisations/waivers-and-modifications-of-rules) records that Weatherbys Bank Limited (FRN 204571) holds a 'Modification by Consent - PRA Rulebook - CRR Firms - Rule 3.1 of the SDDT Regime - General Application Part', sub-rule 'Ru 3.1', starting 02/04/2025 with no end date (still in force). That modification removes the Pillar 3 disclosure obligation outright - a stronger relief than UK CRR Article 433b, which only reduces frequency and content for small and non-complex institutions. The Bank's year-end is 31 December, stable across its Companies House accounts filing history (company 02943300). FY2025 (y/e 31 December 2025) therefore falls AFTER the modification took effect, so no FY2025 Pillar 3 was ever required. Consistent with that, FY2024 (y/e 31 December 2024) PREDATES the modification - which is exactly why the 2024 edition exists and is the last one. The FY2025 blanks here are structural and permanent unless the Bank opts back in; they should NOT be re-chased in April-May 2027 or at any later date. By the same logic the FY2025 Annual-Report-sourced figures below will NOT be restated onto a Pillar 3 basis later, because no such document is coming - see the precision caveat on Total Capital.
The FY2025 figures that ARE populated below therefore come from the Bank's own Annual Report and Financial Accounts 2025, NOT from a Pillar 3 document - and on the CONSOLIDATED (Banking Group) basis, matching the basis of the FY2020-FY2024 Pillar 3 figures in this sheet (https://www.weatherbys.bank/app/uploads/2026/05/Weatherbys-Banking-Group-Annual-report-2025.pdf):
  - CET1 Ratio 13.1%, Total Capital Ratio 15.3%, LCR 1,080%, NSFR 252%, Leverage Ratio 6.05%: Annual Report and Financial Accounts 2025, '3. Financial key performance indicators', p.19 (the five-KPI panel, each figure shown with its 2024 comparative), corroborated for CET1/total capital/leverage by '2. Business review: the Group', p.19-20 ('a Common Equity Tier 1 ratio of 13.1% (2024: 13.8%)... the Group's total capital ratio at the year end was 15.3% (2024: 16.3%). The leverage ratio at the year end was 6.05% (2024: 7.08%)').</t>
        </is>
      </c>
    </row>
    <row r="8" ht="320" customHeight="1">
      <c r="A8" s="8" t="inlineStr">
        <is>
          <t>(continued)
- Total Capital GBP105.5m: Annual Report and Financial Accounts 2025, Report of the Directors, section 4.1 'Capital and leverage ratios', p.45 ('On a consolidated basis total regulatory capital and the total capital ratio were GBP105.5 million and 15.3% respectively (2024: GBP99.8 million and 16.3%)'). Stated only to GBP0.1m, so FY2025's 105,500 carries less precision than the exact Pillar 3-sourced figures for FY2020-FY2024. This is now a PERMANENT precision limit, not a temporary one: per the SDDT date test above, no FY2025 Pillar 3 will be published, so there is no future document to restate this figure against.
  - BASIS CHECK: the Annual Report and Pillar 3 bases agree for this bank. Every FY2024 comparative printed alongside the FY2025 figures above reproduces this workbook's Pillar 3-sourced FY2024 values - total capital GBP99.8m vs 99,753; total capital ratio 16.3% vs 16.26%; CET1 ratio 13.8% vs 13.84%; leverage 7.08% vs 7.08%; LCR 1,017% vs 1017%; NSFR 266% vs 266% - so the FY2025 figures sit on the same consolidated basis as the rest of the series, not a different one.
  - CET1 Capital, Tier 1 Capital, Tier 1 Ratio and Total RWAs now STATE the absence in the FY2025 cell rather than sitting blank (changed 2026-09-18, because an empty cell is indistinguishable from a year nobody searched): the FY2025 Annual Report states no CET1 or Tier 1 capital amount, no Tier 1 ratio and no risk-weighted-assets figure anywhere (it confirms the Bank holds Additional Tier 1 securities and Tier 2 subordinated notes, so CET1/Tier 1/Total Capital are genuinely different numbers and neither may be inferred from the other). Total RWAs has deliberately NOT been back-solved from GBP105.5m / 15.3%, since both inputs are rounded. FY2015-FY2020 figures are sourced from Weatherbys Bank Limited's Companies-House-filed Group accounts (CH_AR_URLS above), not from weatherbys.bank (which retains only ~5 years of annual reports). FY2019's own Pillar 3 ('Pillar 3 Disclosures For Year Ended 31st December 2019', dated April 2020, a 16-page scanned document) survives only as a Wayback Machine capture (20200921164839 of weatherbys.bank/WeatherbysBank/media/About-Us/WBL-Pillar3-Disclosures.pdf) truncated at 1,048,576 of 1,264,248 bytes. It was PARTLY RECOVERED on 2026-09-19: each page is one self-contained CCITT image, and pages 1-13 lie wholly before the cut, so the PDF was rebuilt from those 13 complete page objects and read off the page images; pages 14-16 (liquidity, remaining risk sections, remuneration) are lost. FY2019 capital, RWA and leverage figures come from its Table 1 (p.5) and Table 2 (p.6), Group column; its Table 6 (p.8, 'At 31 Dec 2019') fills FY2019's regulatory credit risk exposures on the Asset Quality sheet; its Tables 3-4 (pp.6-7) print Pillar 1 capital requirements only, recorded in the RWA Breakdown note rather than converted into RWAs. No FY2015-FY2018 Pillar 3 was recoverable: the FY2016-FY2018 editions are named on archived corporate-information pages (Weatherbys-Bank-Limited-Pillar-3-Disclosures-2016/2017/2018.pdf) but were never captured, so those years' capital/RWA metric sheets are left blank rather than estimated - an access gap, not a disclosure gap. The intact FY2020 document includes FY2019 comparative LCR (586%) and NSFR (207.6%), which are populated. FY2020's own Pillar 3 Disclosures document (Weatherbys Bank, Pillar3-2020.pdf) was independently located and is intact, so FY2020's Pillar 3 metrics ARE populated. Terminology note: Weatherbys' FY2020 Pillar 3 disclosure already reports capital under CRD IV/Basel III (CET1/Tier 1/Tier 2), not Basel II Tier 1/Total Capital-only terminology, so no Basel-II-era caveat applies to any extended year in this workbook. FY2020's Table 1 mislabels its Total Capital Ratio row as 'Tier 2 Ratio' (14.53% Group/14.32% Solo) - verified as Total Capital / RWAs (58,286/401,130 = 14.53%), reproduced here under 'Total Capital Ratio' with the source's own mislabel noted rather than propagated.</t>
        </is>
      </c>
    </row>
  </sheetData>
  <mergeCells count="2">
    <mergeCell ref="A8:H8"/>
    <mergeCell ref="A6:H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Weatherbys Bank Limited — Total Capital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capital ratio</t>
        </is>
      </c>
      <c r="B4" s="6" t="inlineStr">
        <is>
          <t>15.3%</t>
        </is>
      </c>
      <c r="C4" s="6" t="inlineStr">
        <is>
          <t>16.26%</t>
        </is>
      </c>
      <c r="D4" s="6" t="inlineStr">
        <is>
          <t>16.17%</t>
        </is>
      </c>
      <c r="E4" s="6" t="inlineStr">
        <is>
          <t>14.50%</t>
        </is>
      </c>
      <c r="F4" s="6" t="inlineStr">
        <is>
          <t>14.48%</t>
        </is>
      </c>
      <c r="G4" s="6" t="inlineStr">
        <is>
          <t>14.53%</t>
        </is>
      </c>
      <c r="H4" s="6" t="inlineStr">
        <is>
          <t>15.74%</t>
        </is>
      </c>
    </row>
    <row r="6" ht="364" customHeight="1">
      <c r="A6" s="8" t="inlineStr">
        <is>
          <t>Sources - Weatherbys Bank 3 Pillar Disclosures, Group/Solo columns, GBP'000 except ratios: FY2024, pp.5-6 and 20-26 - https://www.weatherbys.bank/app/uploads/2025/04/Weatherbys-Bank-Pillar-3-Disclosures-2024.pdf; FY2023, pp.5-6 and 20-27 - https://weatherbys.bank/app/uploads/2024/05/Weatherbys-Bank-Pillar-3-Dislcosures-2023.pdf; FY2022, pp.6-7 and 21-27 - https://weatherbys.bank/app/uploads/2023/05/Weatherbys-Bank-Pillar-3-Dislcosures-2022.pdf; FY2021, pp.5-6 and 14, 18-22 - https://www.weatherbys.bank/app/uploads/2022/05/Pillar-3-2021-v2.0-Weatherbys-Bank.pdf; FY2020, Pillar 3 Disclosures - Year Ended 31st December 2020, Tables 1-2 and 10 (pp.5-6, 13-14) - https://www.weatherbys.bank/app/uploads/2021/08/Pillar3-2020.pdf; FY2019 (capital, RWA, ratios, leverage), Pillar 3 Disclosures For Year Ended 31st December 2019 (April 2020), Table 1 Capital Resources &amp; Ratios p.5 and Table 2 Leverage Ratio p.6, Group column - Wayback Machine capture (truncated; pp.1-13 of 16 recovered 2026-09-19) https://web.archive.org/web/20200921164839/https://www.weatherbys.bank/WeatherbysBank/media/About-Us/WBL-Pillar3-Disclosures.pdf. FY2019 defects reproduced, not corrected: Table 1 prints the total capital ratio as 'Tier 2 Ratio' (15.74% = 57,360/364,330), and p.5's prose gives the total capital ratio as 12.67%, which is the CET1 ratio.
Entity verification: Weatherbys Bank Limited, Companies House 02943300, FRN 204571, LEI 549300OF84KDPIFN4M17; the supplied Banks List 2608.xlsx, the Weatherbys corporate-information page, the PRA register, and Companies House identify the same legal bank. The workbook uses Weatherbys Banking Group's consolidated cash-flow statement because that is the audited cash-flow presentation in the annual reports. The official Pillar 3 disclosures are consolidated Group/Solo disclosures: the documents state that the solo-consolidated group includes Weatherbys Bank Limited and its subsidiaries and that there are no differences between accounting and prudential consolidation for the Group. Group figures are therefore used only where the source explicitly labels them Group and Solo; unrelated wider-group figures are not substituted. Amounts are GBP'000 unless stated otherwise. FY2025: NO Weatherbys Pillar 3 disclosure document for 2025 exists as at 15 September 2026 - the Bank's own annual-reporting page (https://www.weatherbys.bank/about-us/corporate-information/annual-reporting/) still lists the 2024 edition as the latest Pillar 3 document, and every 2026 upload-folder permutation of the FY2024 filename returns 404. Independently re-confirmed the same date by a Wayback CDX sweep of the whole weatherbys.bank domain for 'pillar' URLs, which returns no Pillar 3 document later than Weatherbys-Bank-Pillar-3-Disclosures-2024.pdf (first archived 20 July 2025).
SDDT DATE TEST (checked 2026-09-15) - IMPORTANT, this SUPERSEDES the publication-lag reading of that absence. An earlier pass on 2026-09-15 reasoned that because Weatherbys publishes its Pillar 3 alongside the April/May annual report, an FY2025 edition would be expected around April-May 2027 and the blank was merely a document not yet due. The PRA register shows that is wrong: no FY2025 edition is expected at all. The 'Consolidated Waivers list for PRA-regulated firms - as of 1 July 2026' (bankofengland.co.uk/prudential-regulation/authorisations/waivers-and-modifications-of-rules) records that Weatherbys Bank Limited (FRN 204571) holds a 'Modification by Consent - PRA Rulebook - CRR Firms - Rule 3.1 of the SDDT Regime - General Application Part', sub-rule 'Ru 3.1', starting 02/04/2025 with no end date (still in force). That modification removes the Pillar 3 disclosure obligation outright - a stronger relief than UK CRR Article 433b, which only reduces frequency and content for small and non-complex institutions. The Bank's year-end is 31 December, stable across its Companies House accounts filing history (company 02943300). FY2025 (y/e 31 December 2025) therefore falls AFTER the modification took effect, so no FY2025 Pillar 3 was ever required. Consistent with that, FY2024 (y/e 31 December 2024) PREDATES the modification - which is exactly why the 2024 edition exists and is the last one. The FY2025 blanks here are structural and permanent unless the Bank opts back in; they should NOT be re-chased in April-May 2027 or at any later date. By the same logic the FY2025 Annual-Report-sourced figures below will NOT be restated onto a Pillar 3 basis later, because no such document is coming - see the precision caveat on Total Capital.
The FY2025 figures that ARE populated below therefore come from the Bank's own Annual Report and Financial Accounts 2025, NOT from a Pillar 3 document - and on the CONSOLIDATED (Banking Group) basis, matching the basis of the FY2020-FY2024 Pillar 3 figures in this sheet (https://www.weatherbys.bank/app/uploads/2026/05/Weatherbys-Banking-Group-Annual-report-2025.pdf):
  - CET1 Ratio 13.1%, Total Capital Ratio 15.3%, LCR 1,080%, NSFR 252%, Leverage Ratio 6.05%: Annual Report and Financial Accounts 2025, '3. Financial key performance indicators', p.19 (the five-KPI panel, each figure shown with its 2024 comparative), corroborated for CET1/total capital/leverage by '2. Business review: the Group', p.19-20 ('a Common Equity Tier 1 ratio of 13.1% (2024: 13.8%)... the Group's total capital ratio at the year end was 15.3% (2024: 16.3%). The leverage ratio at the year end was 6.05% (2024: 7.08%)').</t>
        </is>
      </c>
    </row>
    <row r="8" ht="320" customHeight="1">
      <c r="A8" s="8" t="inlineStr">
        <is>
          <t>(continued)
- Total Capital GBP105.5m: Annual Report and Financial Accounts 2025, Report of the Directors, section 4.1 'Capital and leverage ratios', p.45 ('On a consolidated basis total regulatory capital and the total capital ratio were GBP105.5 million and 15.3% respectively (2024: GBP99.8 million and 16.3%)'). Stated only to GBP0.1m, so FY2025's 105,500 carries less precision than the exact Pillar 3-sourced figures for FY2020-FY2024. This is now a PERMANENT precision limit, not a temporary one: per the SDDT date test above, no FY2025 Pillar 3 will be published, so there is no future document to restate this figure against.
  - BASIS CHECK: the Annual Report and Pillar 3 bases agree for this bank. Every FY2024 comparative printed alongside the FY2025 figures above reproduces this workbook's Pillar 3-sourced FY2024 values - total capital GBP99.8m vs 99,753; total capital ratio 16.3% vs 16.26%; CET1 ratio 13.8% vs 13.84%; leverage 7.08% vs 7.08%; LCR 1,017% vs 1017%; NSFR 266% vs 266% - so the FY2025 figures sit on the same consolidated basis as the rest of the series, not a different one.
  - CET1 Capital, Tier 1 Capital, Tier 1 Ratio and Total RWAs now STATE the absence in the FY2025 cell rather than sitting blank (changed 2026-09-18, because an empty cell is indistinguishable from a year nobody searched): the FY2025 Annual Report states no CET1 or Tier 1 capital amount, no Tier 1 ratio and no risk-weighted-assets figure anywhere (it confirms the Bank holds Additional Tier 1 securities and Tier 2 subordinated notes, so CET1/Tier 1/Total Capital are genuinely different numbers and neither may be inferred from the other). Total RWAs has deliberately NOT been back-solved from GBP105.5m / 15.3%, since both inputs are rounded. FY2015-FY2020 figures are sourced from Weatherbys Bank Limited's Companies-House-filed Group accounts (CH_AR_URLS above), not from weatherbys.bank (which retains only ~5 years of annual reports). FY2019's own Pillar 3 ('Pillar 3 Disclosures For Year Ended 31st December 2019', dated April 2020, a 16-page scanned document) survives only as a Wayback Machine capture (20200921164839 of weatherbys.bank/WeatherbysBank/media/About-Us/WBL-Pillar3-Disclosures.pdf) truncated at 1,048,576 of 1,264,248 bytes. It was PARTLY RECOVERED on 2026-09-19: each page is one self-contained CCITT image, and pages 1-13 lie wholly before the cut, so the PDF was rebuilt from those 13 complete page objects and read off the page images; pages 14-16 (liquidity, remaining risk sections, remuneration) are lost. FY2019 capital, RWA and leverage figures come from its Table 1 (p.5) and Table 2 (p.6), Group column; its Table 6 (p.8, 'At 31 Dec 2019') fills FY2019's regulatory credit risk exposures on the Asset Quality sheet; its Tables 3-4 (pp.6-7) print Pillar 1 capital requirements only, recorded in the RWA Breakdown note rather than converted into RWAs. No FY2015-FY2018 Pillar 3 was recoverable: the FY2016-FY2018 editions are named on archived corporate-information pages (Weatherbys-Bank-Limited-Pillar-3-Disclosures-2016/2017/2018.pdf) but were never captured, so those years' capital/RWA metric sheets are left blank rather than estimated - an access gap, not a disclosure gap. The intact FY2020 document includes FY2019 comparative LCR (586%) and NSFR (207.6%), which are populated. FY2020's own Pillar 3 Disclosures document (Weatherbys Bank, Pillar3-2020.pdf) was independently located and is intact, so FY2020's Pillar 3 metrics ARE populated. Terminology note: Weatherbys' FY2020 Pillar 3 disclosure already reports capital under CRD IV/Basel III (CET1/Tier 1/Tier 2), not Basel II Tier 1/Total Capital-only terminology, so no Basel-II-era caveat applies to any extended year in this workbook. FY2020's Table 1 mislabels its Total Capital Ratio row as 'Tier 2 Ratio' (14.53% Group/14.32% Solo) - verified as Total Capital / RWAs (58,286/401,130 = 14.53%), reproduced here under 'Total Capital Ratio' with the source's own mislabel noted rather than propagated.</t>
        </is>
      </c>
    </row>
  </sheetData>
  <mergeCells count="2">
    <mergeCell ref="A8:H8"/>
    <mergeCell ref="A6:H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Weatherbys Bank Limited — Total RWAs</t>
        </is>
      </c>
    </row>
    <row r="2">
      <c r="A2" s="2" t="inlineStr">
        <is>
          <t>£'000</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Total risk weighted assets</t>
        </is>
      </c>
      <c r="B4" s="6" t="inlineStr">
        <is>
          <t>Not disclosed - AR 2025 states no such figure; no Pillar 3 (SDDT Rule 3.1 from 02/04/2025)</t>
        </is>
      </c>
      <c r="C4" s="6" t="n">
        <v>613559</v>
      </c>
      <c r="D4" s="6" t="n">
        <v>543090</v>
      </c>
      <c r="E4" s="6" t="n">
        <v>476472</v>
      </c>
      <c r="F4" s="6" t="n">
        <v>425582</v>
      </c>
      <c r="G4" s="6" t="n">
        <v>401130</v>
      </c>
      <c r="H4" s="6" t="n">
        <v>364330</v>
      </c>
    </row>
    <row r="6" ht="364" customHeight="1">
      <c r="A6" s="8" t="inlineStr">
        <is>
          <t>Sources - Weatherbys Bank 3 Pillar Disclosures, Group/Solo columns, GBP'000 except ratios: FY2024, pp.5-6 and 20-26 - https://www.weatherbys.bank/app/uploads/2025/04/Weatherbys-Bank-Pillar-3-Disclosures-2024.pdf; FY2023, pp.5-6 and 20-27 - https://weatherbys.bank/app/uploads/2024/05/Weatherbys-Bank-Pillar-3-Dislcosures-2023.pdf; FY2022, pp.6-7 and 21-27 - https://weatherbys.bank/app/uploads/2023/05/Weatherbys-Bank-Pillar-3-Dislcosures-2022.pdf; FY2021, pp.5-6 and 14, 18-22 - https://www.weatherbys.bank/app/uploads/2022/05/Pillar-3-2021-v2.0-Weatherbys-Bank.pdf; FY2020, Pillar 3 Disclosures - Year Ended 31st December 2020, Tables 1-2 and 10 (pp.5-6, 13-14) - https://www.weatherbys.bank/app/uploads/2021/08/Pillar3-2020.pdf; FY2019 (capital, RWA, ratios, leverage), Pillar 3 Disclosures For Year Ended 31st December 2019 (April 2020), Table 1 Capital Resources &amp; Ratios p.5 and Table 2 Leverage Ratio p.6, Group column - Wayback Machine capture (truncated; pp.1-13 of 16 recovered 2026-09-19) https://web.archive.org/web/20200921164839/https://www.weatherbys.bank/WeatherbysBank/media/About-Us/WBL-Pillar3-Disclosures.pdf. FY2019 defects reproduced, not corrected: Table 1 prints the total capital ratio as 'Tier 2 Ratio' (15.74% = 57,360/364,330), and p.5's prose gives the total capital ratio as 12.67%, which is the CET1 ratio.
Entity verification: Weatherbys Bank Limited, Companies House 02943300, FRN 204571, LEI 549300OF84KDPIFN4M17; the supplied Banks List 2608.xlsx, the Weatherbys corporate-information page, the PRA register, and Companies House identify the same legal bank. The workbook uses Weatherbys Banking Group's consolidated cash-flow statement because that is the audited cash-flow presentation in the annual reports. The official Pillar 3 disclosures are consolidated Group/Solo disclosures: the documents state that the solo-consolidated group includes Weatherbys Bank Limited and its subsidiaries and that there are no differences between accounting and prudential consolidation for the Group. Group figures are therefore used only where the source explicitly labels them Group and Solo; unrelated wider-group figures are not substituted. Amounts are GBP'000 unless stated otherwise. FY2025: NO Weatherbys Pillar 3 disclosure document for 2025 exists as at 15 September 2026 - the Bank's own annual-reporting page (https://www.weatherbys.bank/about-us/corporate-information/annual-reporting/) still lists the 2024 edition as the latest Pillar 3 document, and every 2026 upload-folder permutation of the FY2024 filename returns 404. Independently re-confirmed the same date by a Wayback CDX sweep of the whole weatherbys.bank domain for 'pillar' URLs, which returns no Pillar 3 document later than Weatherbys-Bank-Pillar-3-Disclosures-2024.pdf (first archived 20 July 2025).
SDDT DATE TEST (checked 2026-09-15) - IMPORTANT, this SUPERSEDES the publication-lag reading of that absence. An earlier pass on 2026-09-15 reasoned that because Weatherbys publishes its Pillar 3 alongside the April/May annual report, an FY2025 edition would be expected around April-May 2027 and the blank was merely a document not yet due. The PRA register shows that is wrong: no FY2025 edition is expected at all. The 'Consolidated Waivers list for PRA-regulated firms - as of 1 July 2026' (bankofengland.co.uk/prudential-regulation/authorisations/waivers-and-modifications-of-rules) records that Weatherbys Bank Limited (FRN 204571) holds a 'Modification by Consent - PRA Rulebook - CRR Firms - Rule 3.1 of the SDDT Regime - General Application Part', sub-rule 'Ru 3.1', starting 02/04/2025 with no end date (still in force). That modification removes the Pillar 3 disclosure obligation outright - a stronger relief than UK CRR Article 433b, which only reduces frequency and content for small and non-complex institutions. The Bank's year-end is 31 December, stable across its Companies House accounts filing history (company 02943300). FY2025 (y/e 31 December 2025) therefore falls AFTER the modification took effect, so no FY2025 Pillar 3 was ever required. Consistent with that, FY2024 (y/e 31 December 2024) PREDATES the modification - which is exactly why the 2024 edition exists and is the last one. The FY2025 blanks here are structural and permanent unless the Bank opts back in; they should NOT be re-chased in April-May 2027 or at any later date. By the same logic the FY2025 Annual-Report-sourced figures below will NOT be restated onto a Pillar 3 basis later, because no such document is coming - see the precision caveat on Total Capital.
The FY2025 figures that ARE populated below therefore come from the Bank's own Annual Report and Financial Accounts 2025, NOT from a Pillar 3 document - and on the CONSOLIDATED (Banking Group) basis, matching the basis of the FY2020-FY2024 Pillar 3 figures in this sheet (https://www.weatherbys.bank/app/uploads/2026/05/Weatherbys-Banking-Group-Annual-report-2025.pdf):
  - CET1 Ratio 13.1%, Total Capital Ratio 15.3%, LCR 1,080%, NSFR 252%, Leverage Ratio 6.05%: Annual Report and Financial Accounts 2025, '3. Financial key performance indicators', p.19 (the five-KPI panel, each figure shown with its 2024 comparative), corroborated for CET1/total capital/leverage by '2. Business review: the Group', p.19-20 ('a Common Equity Tier 1 ratio of 13.1% (2024: 13.8%)... the Group's total capital ratio at the year end was 15.3% (2024: 16.3%). The leverage ratio at the year end was 6.05% (2024: 7.08%)').</t>
        </is>
      </c>
    </row>
    <row r="8" ht="320" customHeight="1">
      <c r="A8" s="8" t="inlineStr">
        <is>
          <t>(continued)
- Total Capital GBP105.5m: Annual Report and Financial Accounts 2025, Report of the Directors, section 4.1 'Capital and leverage ratios', p.45 ('On a consolidated basis total regulatory capital and the total capital ratio were GBP105.5 million and 15.3% respectively (2024: GBP99.8 million and 16.3%)'). Stated only to GBP0.1m, so FY2025's 105,500 carries less precision than the exact Pillar 3-sourced figures for FY2020-FY2024. This is now a PERMANENT precision limit, not a temporary one: per the SDDT date test above, no FY2025 Pillar 3 will be published, so there is no future document to restate this figure against.
  - BASIS CHECK: the Annual Report and Pillar 3 bases agree for this bank. Every FY2024 comparative printed alongside the FY2025 figures above reproduces this workbook's Pillar 3-sourced FY2024 values - total capital GBP99.8m vs 99,753; total capital ratio 16.3% vs 16.26%; CET1 ratio 13.8% vs 13.84%; leverage 7.08% vs 7.08%; LCR 1,017% vs 1017%; NSFR 266% vs 266% - so the FY2025 figures sit on the same consolidated basis as the rest of the series, not a different one.
  - CET1 Capital, Tier 1 Capital, Tier 1 Ratio and Total RWAs now STATE the absence in the FY2025 cell rather than sitting blank (changed 2026-09-18, because an empty cell is indistinguishable from a year nobody searched): the FY2025 Annual Report states no CET1 or Tier 1 capital amount, no Tier 1 ratio and no risk-weighted-assets figure anywhere (it confirms the Bank holds Additional Tier 1 securities and Tier 2 subordinated notes, so CET1/Tier 1/Total Capital are genuinely different numbers and neither may be inferred from the other). Total RWAs has deliberately NOT been back-solved from GBP105.5m / 15.3%, since both inputs are rounded. FY2015-FY2020 figures are sourced from Weatherbys Bank Limited's Companies-House-filed Group accounts (CH_AR_URLS above), not from weatherbys.bank (which retains only ~5 years of annual reports). FY2019's own Pillar 3 ('Pillar 3 Disclosures For Year Ended 31st December 2019', dated April 2020, a 16-page scanned document) survives only as a Wayback Machine capture (20200921164839 of weatherbys.bank/WeatherbysBank/media/About-Us/WBL-Pillar3-Disclosures.pdf) truncated at 1,048,576 of 1,264,248 bytes. It was PARTLY RECOVERED on 2026-09-19: each page is one self-contained CCITT image, and pages 1-13 lie wholly before the cut, so the PDF was rebuilt from those 13 complete page objects and read off the page images; pages 14-16 (liquidity, remaining risk sections, remuneration) are lost. FY2019 capital, RWA and leverage figures come from its Table 1 (p.5) and Table 2 (p.6), Group column; its Table 6 (p.8, 'At 31 Dec 2019') fills FY2019's regulatory credit risk exposures on the Asset Quality sheet; its Tables 3-4 (pp.6-7) print Pillar 1 capital requirements only, recorded in the RWA Breakdown note rather than converted into RWAs. No FY2015-FY2018 Pillar 3 was recoverable: the FY2016-FY2018 editions are named on archived corporate-information pages (Weatherbys-Bank-Limited-Pillar-3-Disclosures-2016/2017/2018.pdf) but were never captured, so those years' capital/RWA metric sheets are left blank rather than estimated - an access gap, not a disclosure gap. The intact FY2020 document includes FY2019 comparative LCR (586%) and NSFR (207.6%), which are populated. FY2020's own Pillar 3 Disclosures document (Weatherbys Bank, Pillar3-2020.pdf) was independently located and is intact, so FY2020's Pillar 3 metrics ARE populated. Terminology note: Weatherbys' FY2020 Pillar 3 disclosure already reports capital under CRD IV/Basel III (CET1/Tier 1/Tier 2), not Basel II Tier 1/Total Capital-only terminology, so no Basel-II-era caveat applies to any extended year in this workbook. FY2020's Table 1 mislabels its Total Capital Ratio row as 'Tier 2 Ratio' (14.53% Group/14.32% Solo) - verified as Total Capital / RWAs (58,286/401,130 = 14.53%), reproduced here under 'Total Capital Ratio' with the source's own mislabel noted rather than propagated.</t>
        </is>
      </c>
    </row>
  </sheetData>
  <mergeCells count="2">
    <mergeCell ref="A8:H8"/>
    <mergeCell ref="A6:H6"/>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Weatherbys Bank Limited — RWA Breakdown</t>
        </is>
      </c>
    </row>
    <row r="2">
      <c r="A2" s="2" t="inlineStr">
        <is>
          <t>Weatherbys Bank risk-weighted assets by category, GBP'000. No Weatherbys document prints RWAs by type: FY2019-FY2024 Pillar 3 editions give the breakdown only as capital requirements (recorded in the source note, not converted), and no FY2025 Pillar 3 exists (PRA SDDT Rule 3.1 modification effective 2 April 2025, before the 31 December 2025 year-end). Each year's status row says which; total RWAs are on the Total RWAs sheet.</t>
        </is>
      </c>
    </row>
    <row r="3">
      <c r="A3" s="4" t="inlineStr">
        <is>
          <t>Line item</t>
        </is>
      </c>
      <c r="B3" s="4" t="inlineStr">
        <is>
          <t>FY2025 (GBP'000)</t>
        </is>
      </c>
      <c r="C3" s="4" t="inlineStr">
        <is>
          <t>FY2024 (GBP'000)</t>
        </is>
      </c>
      <c r="D3" s="4" t="inlineStr">
        <is>
          <t>FY2023 (GBP'000)</t>
        </is>
      </c>
      <c r="E3" s="4" t="inlineStr">
        <is>
          <t>FY2022 (GBP'000)</t>
        </is>
      </c>
      <c r="F3" s="4" t="inlineStr">
        <is>
          <t>FY2021 (GBP'000)</t>
        </is>
      </c>
      <c r="G3" s="4" t="inlineStr">
        <is>
          <t>FY2020 (GBP'000)</t>
        </is>
      </c>
      <c r="H3" s="4" t="inlineStr">
        <is>
          <t>FY2019 (GBP'000)</t>
        </is>
      </c>
    </row>
    <row r="4">
      <c r="A4" s="6" t="inlineStr">
        <is>
          <t>Pillar 3 edition status for this year (see source note)</t>
        </is>
      </c>
      <c r="B4" s="6" t="inlineStr">
        <is>
          <t>Not published - SDDT Rule 3.1 opt-in from 02/04/2025; AR 2025 prints no RWA figure</t>
        </is>
      </c>
      <c r="C4" s="6" t="inlineStr">
        <is>
          <t>Not published as RWAs – FY2024 Pillar 3 (Tables 3-4 p.7) prints capital requirements only; not converted, see note</t>
        </is>
      </c>
      <c r="D4" s="6" t="inlineStr">
        <is>
          <t>Not published as RWAs – FY2023 Pillar 3 (Tables 3-4 p.7) prints capital requirements only; not converted, see note</t>
        </is>
      </c>
      <c r="E4" s="6" t="inlineStr">
        <is>
          <t>Not published as RWAs – FY2022 Pillar 3 (Tables 3-4 p.8) prints capital requirements only; not converted, see note</t>
        </is>
      </c>
      <c r="F4" s="6" t="inlineStr">
        <is>
          <t>Not published as RWAs – FY2021 Pillar 3 (Table 3 p.6, Table 4 p.7) prints capital requirements only; not converted, see note</t>
        </is>
      </c>
      <c r="G4" s="6" t="inlineStr">
        <is>
          <t>Not published as RWAs – FY2020 Pillar 3 (Table 3 p.6, Table 4 p.7) prints capital requirements only; not converted, see note</t>
        </is>
      </c>
      <c r="H4" s="6" t="inlineStr">
        <is>
          <t>Not published as RWAs - FY2019 Pillar 3 prints capital requirements at 8% only (Table 3 p.6, Table 4 p.7); not converted, see note</t>
        </is>
      </c>
    </row>
    <row r="6" ht="377" customHeight="1">
      <c r="A6" s="8" t="inlineStr">
        <is>
          <t>Sources - Weatherbys Bank Limited Pillar 3 Disclosures, Group/Solo, GBP'000: FY2024, Tables 3-4 p.7 - https://www.weatherbys.bank/app/uploads/2025/04/Weatherbys-Bank-Pillar-3-Disclosures-2024.pdf; FY2023, Tables 3-4 p.7 - https://weatherbys.bank/app/uploads/2024/05/Weatherbys-Bank-Pillar-3-Dislcosures-2023.pdf; FY2022, Tables 3-4 p.8 - https://weatherbys.bank/app/uploads/2023/05/Weatherbys-Bank-Pillar-3-Dislcosures-2022.pdf; FY2021, Table 3 p.6 and Table 4 p.7 - https://www.weatherbys.bank/app/uploads/2022/05/Pillar-3-2021-v2.0-Weatherbys-Bank.pdf; FY2020, Table 3 p.6 and Table 4 p.7 - https://www.weatherbys.bank/app/uploads/2021/08/Pillar3-2020.pdf; FY2019, Table 3 p.6 and Table 4 p.7 - https://web.archive.org/web/20200921164839/https://www.weatherbys.bank/WeatherbysBank/media/About-Us/WBL-Pillar3-Disclosures.pdf.
Entity verification: Weatherbys Bank Limited, Companies House 02943300, FRN 204571, LEI 549300OF84KDPIFN4M17; the supplied Banks List 2608.xlsx, the Weatherbys corporate-information page, the PRA register, and Companies House identify the same legal bank. The workbook uses Weatherbys Banking Group's consolidated cash-flow statement because that is the audited cash-flow presentation in the annual reports. The official Pillar 3 disclosures are consolidated Group/Solo disclosures: the documents state that the solo-consolidated group includes Weatherbys Bank Limited and its subsidiaries and that there are no differences between accounting and prudential consolidation for the Group. Group figures are therefore used only where the source explicitly labels them Group and Solo; unrelated wider-group figures are not substituted. Amounts are GBP'000 unless stated otherwise. WHAT THIS SHEET HOLDS (2026-09-19): NO year carries transcribed risk-weighted amounts by type, because no Weatherbys document prints any. Every year FY2019-FY2025 is a STATEMENT in the status row. FY2019-FY2024 each say 'Not published as RWAs': the Pillar 3 edition for that year prints the breakdown only as Pillar 1 capital requirements (Table 3 'Capital Requirements for Credit Risk', by exposure class; Table 4 'Minimum Capital Resource Requirements', by risk type), never as risk-weighted exposure amounts. FY2025 says 'Not published' because no FY2025 Pillar 3 exists: the Bank holds a PRA 'Modification by Consent - Rule 3.1 of the SDDT Regime - General Application Part' (sub-rule Ru 3.1, PRA consolidated waivers register) starting 02/04/2025 with no end date, which removes the Pillar 3 disclosure obligation; its 31 December 2025 year-end falls after that date, so no FY2025 edition was ever owed (see FY2025_P3_NOTE on the Pillar 3 metric sheets), and the Annual Report and Financial Accounts 2025 prints no risk-weighted-assets figure of any kind. That is a non-disclosure, not an access gap. FY2015-FY2018 carry no column: no Pillar 3 edition for those years was recoverable (see PRE2021_NOTE). The total risk-weighted assets figure each edition DOES print is on the Total RWAs sheet.
HOW THE DOCUMENTS WERE CHECKED (2026-09-19): each FY2020-FY2024 Pillar 3 PDF was re-downloaded from the URL above (all HTTP 200, application/pdf, begins %PDF-) and read in full; none contains a UK OV1 template, an 'RWEA' column, or any table of risk-weighted amounts by exposure class or risk type. The only risk-weighted amount any of them prints is the single total (Table 1 'Risk weighted assets', and from FY2021 the own-funds template's row 60 'Total risk weighted assets'). The annual reports were checked too - Annual Report &amp; Accounts 2022 (FY2022 and FY2021 comparatives), 2023 and 2024, and the FY2020 Group accounts filed at Companies House (a scanned image, OCR'd for the search) - and none prints RWAs by type; their capital sections give total capital and ratios only.
PRINTED CAPITAL-REQUIREMENT FIGURES, recorded here and deliberately NOT written into any row, because every row on this sheet is read downstream as a risk-weighted amount. Group column, GBP'000, read off rendered page images (the text layer was used only to find the pages); Solo is identical unless stated. Table 3 lines in order: Central Government and Central Banks; Financial institutions; Covered bonds; Corporates; Public sector entities; Retail; Secured by mortgages on immovable property; Exposures in default; Other items; [Credit Value Adjustment, FY2023-FY2024 only]; Minimum capital component for credit risk.
  FY2024 (Table 3 p.7, headed 'Minimum Capital Requirement 9%'): 0; 1,320; 781; 0; 0; 13,489; 19,469; 1,465; 4,716; 555; total 41,794 (the lines add to 41,795). Table 4 p.7: Credit Risk 41,794; Market Risk 0; Operational Risk 13,325; Static Pension add-on 4,400; Total Capital Requirement (TCR) 59,519; Total Capital 99,753. Source defect reproduced, not corrected: Table 4's Solo column prints TCR 51,519 against identical Solo components that add to 59,519.
  FY2023 (Table 3 p.7, headed 'Minimum Capital Requirement', no rate printed; p.7 prose: 'In July 2022 the PRA set the Bank's TCR at 9% of RWAs plus a static add-on of GBP4.4m'): 0; 793; 548; 0; 0; 11,844; 19,231; 1,656; 4,189; 160; total 38,421. Table 4 p.7: Credit Risk 38,421; Market Risk 0; Operational Risk 10,475; Static Pension add-on 4,400; TCR 53,296; Total Capital 87,815.</t>
        </is>
      </c>
    </row>
    <row r="8" ht="340" customHeight="1">
      <c r="A8" s="8" t="inlineStr">
        <is>
          <t>(continued)
FY2022 (Table 3 p.8, headed 'Minimum Capital Requirement', no rate printed): 0; 923; 608; 1; 0; 9,561; 19,106; 1,121; 3,932; total 35,253 (the lines add to 35,252). Table 4 p.8: Credit Risk 35,253; Market Risk 0; Operational Risk 7,509; Static Pension add-on 4,400; TCR 47,162; Total Capital 69,108.
  FY2021 (Table 3 p.6, headed 'Minimum Capital Requirement 8%'): 0; 676; 415; 8; 0; 6,515; 17,507; 711; 2,564; total 28,396. Table 4 p.7: Credit Risk 28,396; Market Risk 78; Operational Risk 5,572; Minimum Capital Resource Requirement 34,046; Total Capital 61,634; Total Capital Requirement 38,344.
  FY2020 (Table 3 p.6, headed 'Minimum Capital Requirement 8%'): 0; 913; 556; 19; 0; 7,266; 15,761; 442; 2,473; total 27,430 (Solo: Other items 2,441, total 27,398). Table 4 p.7: Credit Risk 27,430 (Solo 27,397 - one less than Solo's own Table 3 total, reproduced as printed); Market Risk 0; Operational Risk 4,657; Minimum Capital Resource Requirement 32,087 (Solo 32,054); Total Capital 58,286 (Solo 57,364); Total Capital Requirement 36,371 (Solo 36,339).
  FY2019 (checked 2026-09-19): the partly recovered FY2019 edition (Pillar 3 Disclosures For Year Ended 31st December 2019, April 2020; see PRE2021_NOTE - the PDF was rebuilt from the truncated Wayback capture's first 13 pages) prints this breakdown ONLY as Pillar 1 capital requirements. Table 3 'Capital Requirements for Credit Risk', p.6, headed 'Minimum Capital Requirement 8%', Group column: Central Government and Central Banks 0; Financial institutions 771; Covered bonds 554; Corporates 30; Public sector entities 0; Retail 6,511; Secured by mortgages on immovable property 14,134; Exposures in default 606; Other items 2,529; Minimum capital component for credit risk 25,136 (Solo column identical except Other items 2,497 and total 25,104; the Group lines add to 25,135 against the printed 25,136, reproduced as printed). Table 4 'Minimum Capital Resource Requirements', p.7, Group column: Credit Risk 25,136; Market Risk 0; Operational Risk 4,008; Minimum Capital Resource Requirement 29,144; Total Capital 57,360; Total Capital Requirement 33,620 (Pillar 1 plus Pillar 2A; Solo 33,587, the figure p.7's prose gives as GBP33.59m). Read twice from two independent renderings (150dpi full page, 300dpi crop), digit-for-digit agreement.
RECORD OF THE EARLIER BUILD (replaced 2026-09-19 at the user's direction): until 2026-09-19 this sheet carried FY2020-FY2024 figures DERIVED by dividing the capital requirements above by 8% (FY2020-FY2021) or 9% (FY2022-FY2024), presented as an RWA breakdown with a derived total (FY2024 612,446; FY2023 543,289; FY2022 475,123; FY2021 425,577; FY2020 401,090). Those were not printed figures. The user directed that the sheet hold only risk-weighted amounts the documents print, and that a year printing only capital requirements be a statement, as FY2019 already was. The derived values are kept in wayfinder/gaps/ga020/leads/weatherbys_rwa.jsonl, not in the workbook.</t>
        </is>
      </c>
    </row>
  </sheetData>
  <mergeCells count="2">
    <mergeCell ref="A8:H8"/>
    <mergeCell ref="A6:H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Weatherbys Bank Limited — Leverage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Leverage ratio</t>
        </is>
      </c>
      <c r="B4" s="6" t="inlineStr">
        <is>
          <t>6.05%</t>
        </is>
      </c>
      <c r="C4" s="6" t="inlineStr">
        <is>
          <t>7.08%</t>
        </is>
      </c>
      <c r="D4" s="6" t="inlineStr">
        <is>
          <t>7.13%</t>
        </is>
      </c>
      <c r="E4" s="6" t="inlineStr">
        <is>
          <t>5.30%</t>
        </is>
      </c>
      <c r="F4" s="6" t="inlineStr">
        <is>
          <t>3.37%</t>
        </is>
      </c>
      <c r="G4" s="6" t="inlineStr">
        <is>
          <t>3.92%</t>
        </is>
      </c>
      <c r="H4" s="6" t="inlineStr">
        <is>
          <t>4.60%</t>
        </is>
      </c>
    </row>
    <row r="5" ht="351" customHeight="1">
      <c r="A5" s="7" t="inlineStr">
        <is>
          <t>Note: LEVERAGE BASIS CHANGES BETWEEN FY2021 AND FY2022, AND THE BANK SAYS SO ONLY IN PROSE (GA-026, 2026-10-09). Weatherbys never prints template UK LR2 / LRCom, so there is no row 24, UK-24a, UK-24b or UK-25c anywhere, and no edition publishes both bases side by side. What it prints instead is a bespoke 'Table 2 : Leverage Ratio Requirements' build-up and, above it, a one-bullet definition - and that definition is not the same in every edition.
FY2020 and FY2021 editions define it as 'the level of Tier 1 capital against balance sheet and off-balance sheet exposures.' - full stop, no carve-out - against a stated minimum of 3%.
FY2022, FY2023 and FY2024 editions define it as 'the level of Tier 1 capital against balance sheet and off-balance sheet exposures, EXCLUDING assets constituting claims on central banks, where they are matched by liabilities, denominated in the same currency and of identical or longer maturity. Assets constituting claims on central banks relates to WBLs cash deposit held at the Bank of England.' - against a stated minimum of 3.25%.
So FY2022 onwards is the EXCLUDING basis and FY2021 and FY2020 are not, and the break falls exactly on 1 January 2022, when the UK dual-basis split took effect. The tables corroborate the switch rather than merely accompanying it: on-balance sheet exposures fall from 1,479,180 (FY2021) to 1,067,192 (FY2022) while Tier 1 capital RISES from 50,247 to 57,524, and the ratio jumps from 3.37% to 5.30%. A fall of roughly 412m in the denominator of a growing bank is the Bank of England deposit leaving the measure. The FY2020 and FY2021 tables also carry an 'Adjustments for conversion to credit equivalent amounts' line (-39,124 and -75,944) that the FY2022 table drops.
THE FIGURES ARE LEFT EXACTLY AS PUBLISHED AND NOTHING IS RESTATED ONTO A COMMON BASIS. Weatherbys publishes only one measure per edition and never restates a comparative, so there is no excluding-basis FY2021 figure in existence to record; deriving one here would be a computation, not a transcription. The consequence for any reader is that FY2021 to FY2022 on this sheet is NOT a like-for-like movement, and the step from 3.37% to 5.30% is mostly a change of denominator rather than a change in leverage.
FY2025 IS SOURCED FROM A DOCUMENT THAT STATES NO BASIS. No FY2025 Pillar 3 exists (SDDT Rule 3.1 modification, 2 April 2025), so FY2025's 6.05% comes from the Weatherbys Banking Group Annual Report and Financial Accounts 2025, whose glossary (p.93) defines the measure only as 'Tier 1 capital divided by total exposures', with no central-bank carve-out, and whose narrative gives 'The consolidated leverage ratio was 6.05% (2024: 7.08%) against a minimum requirement of 3.25%'. That FY2024 comparative reproduces the FY2024 Pillar 3 figure exactly, which is why FY2025 is carried in the same series - but the Annual Report does not itself state the carve-out, so FY2025 IS RECORDED AS CONTINUOUS WITH FY2024 WITHOUT ASSERTING A BASIS THE DOCUMENT DOES NOT PRINT.
A WORDING MISMATCH IN THE SOURCE, REPRODUCED NOT RESOLVED. Every edition from FY2020 to FY2024 introduces the definition as 'The GROUP's leverage ratio is defined as' and then says 'The table below summarises the leverage ratio for the BANK'. The single figure is the same in both sentences, so the two readings coincide in the source and no choice between them has been made here.
VERIFICATION. The leverage pages of the FY2020 (p.6), FY2021 (p.6), FY2022 (p.7) and FY2023 (p.6) editions were rendered and read at 300 dpi, so the definition wording and the absence of any second-basis row are established from the PAGE, not from a text search. (A text search would in fact have missed this: the probe pattern used earlier in GA-026 required only non-letters between 'excluding' and 'claims', and Weatherbys writes 'excluding ASSETS CONSTITUTING claims on central banks', so it scored a false zero for the very bank that states the basis most explicitly.)</t>
        </is>
      </c>
    </row>
    <row r="7" ht="364" customHeight="1">
      <c r="A7" s="8" t="inlineStr">
        <is>
          <t>Sources - Weatherbys Bank 3 Pillar Disclosures, Group/Solo columns, GBP'000 except ratios: FY2024, pp.5-6 and 20-26 - https://www.weatherbys.bank/app/uploads/2025/04/Weatherbys-Bank-Pillar-3-Disclosures-2024.pdf; FY2023, pp.5-6 and 20-27 - https://weatherbys.bank/app/uploads/2024/05/Weatherbys-Bank-Pillar-3-Dislcosures-2023.pdf; FY2022, pp.6-7 and 21-27 - https://weatherbys.bank/app/uploads/2023/05/Weatherbys-Bank-Pillar-3-Dislcosures-2022.pdf; FY2021, pp.5-6 and 14, 18-22 - https://www.weatherbys.bank/app/uploads/2022/05/Pillar-3-2021-v2.0-Weatherbys-Bank.pdf; FY2020, Pillar 3 Disclosures - Year Ended 31st December 2020, Tables 1-2 and 10 (pp.5-6, 13-14) - https://www.weatherbys.bank/app/uploads/2021/08/Pillar3-2020.pdf; FY2019 (capital, RWA, ratios, leverage), Pillar 3 Disclosures For Year Ended 31st December 2019 (April 2020), Table 1 Capital Resources &amp; Ratios p.5 and Table 2 Leverage Ratio p.6, Group column - Wayback Machine capture (truncated; pp.1-13 of 16 recovered 2026-09-19) https://web.archive.org/web/20200921164839/https://www.weatherbys.bank/WeatherbysBank/media/About-Us/WBL-Pillar3-Disclosures.pdf. FY2019 defects reproduced, not corrected: Table 1 prints the total capital ratio as 'Tier 2 Ratio' (15.74% = 57,360/364,330), and p.5's prose gives the total capital ratio as 12.67%, which is the CET1 ratio.
Entity verification: Weatherbys Bank Limited, Companies House 02943300, FRN 204571, LEI 549300OF84KDPIFN4M17; the supplied Banks List 2608.xlsx, the Weatherbys corporate-information page, the PRA register, and Companies House identify the same legal bank. The workbook uses Weatherbys Banking Group's consolidated cash-flow statement because that is the audited cash-flow presentation in the annual reports. The official Pillar 3 disclosures are consolidated Group/Solo disclosures: the documents state that the solo-consolidated group includes Weatherbys Bank Limited and its subsidiaries and that there are no differences between accounting and prudential consolidation for the Group. Group figures are therefore used only where the source explicitly labels them Group and Solo; unrelated wider-group figures are not substituted. Amounts are GBP'000 unless stated otherwise. FY2025: NO Weatherbys Pillar 3 disclosure document for 2025 exists as at 15 September 2026 - the Bank's own annual-reporting page (https://www.weatherbys.bank/about-us/corporate-information/annual-reporting/) still lists the 2024 edition as the latest Pillar 3 document, and every 2026 upload-folder permutation of the FY2024 filename returns 404. Independently re-confirmed the same date by a Wayback CDX sweep of the whole weatherbys.bank domain for 'pillar' URLs, which returns no Pillar 3 document later than Weatherbys-Bank-Pillar-3-Disclosures-2024.pdf (first archived 20 July 2025).
SDDT DATE TEST (checked 2026-09-15) - IMPORTANT, this SUPERSEDES the publication-lag reading of that absence. An earlier pass on 2026-09-15 reasoned that because Weatherbys publishes its Pillar 3 alongside the April/May annual report, an FY2025 edition would be expected around April-May 2027 and the blank was merely a document not yet due. The PRA register shows that is wrong: no FY2025 edition is expected at all. The 'Consolidated Waivers list for PRA-regulated firms - as of 1 July 2026' (bankofengland.co.uk/prudential-regulation/authorisations/waivers-and-modifications-of-rules) records that Weatherbys Bank Limited (FRN 204571) holds a 'Modification by Consent - PRA Rulebook - CRR Firms - Rule 3.1 of the SDDT Regime - General Application Part', sub-rule 'Ru 3.1', starting 02/04/2025 with no end date (still in force). That modification removes the Pillar 3 disclosure obligation outright - a stronger relief than UK CRR Article 433b, which only reduces frequency and content for small and non-complex institutions. The Bank's year-end is 31 December, stable across its Companies House accounts filing history (company 02943300). FY2025 (y/e 31 December 2025) therefore falls AFTER the modification took effect, so no FY2025 Pillar 3 was ever required. Consistent with that, FY2024 (y/e 31 December 2024) PREDATES the modification - which is exactly why the 2024 edition exists and is the last one. The FY2025 blanks here are structural and permanent unless the Bank opts back in; they should NOT be re-chased in April-May 2027 or at any later date. By the same logic the FY2025 Annual-Report-sourced figures below will NOT be restated onto a Pillar 3 basis later, because no such document is coming - see the precision caveat on Total Capital.
The FY2025 figures that ARE populated below therefore come from the Bank's own Annual Report and Financial Accounts 2025, NOT from a Pillar 3 document - and on the CONSOLIDATED (Banking Group) basis, matching the basis of the FY2020-FY2024 Pillar 3 figures in this sheet (https://www.weatherbys.bank/app/uploads/2026/05/Weatherbys-Banking-Group-Annual-report-2025.pdf):
  - CET1 Ratio 13.1%, Total Capital Ratio 15.3%, LCR 1,080%, NSFR 252%, Leverage Ratio 6.05%: Annual Report and Financial Accounts 2025, '3. Financial key performance indicators', p.19 (the five-KPI panel, each figure shown with its 2024 comparative), corroborated for CET1/total capital/leverage by '2. Business review: the Group', p.19-20 ('a Common Equity Tier 1 ratio of 13.1% (2024: 13.8%)... the Group's total capital ratio at the year end was 15.3% (2024: 16.3%). The leverage ratio at the year end was 6.05% (2024: 7.08%)').</t>
        </is>
      </c>
    </row>
    <row r="9" ht="320" customHeight="1">
      <c r="A9" s="8" t="inlineStr">
        <is>
          <t>(continued)
- Total Capital GBP105.5m: Annual Report and Financial Accounts 2025, Report of the Directors, section 4.1 'Capital and leverage ratios', p.45 ('On a consolidated basis total regulatory capital and the total capital ratio were GBP105.5 million and 15.3% respectively (2024: GBP99.8 million and 16.3%)'). Stated only to GBP0.1m, so FY2025's 105,500 carries less precision than the exact Pillar 3-sourced figures for FY2020-FY2024. This is now a PERMANENT precision limit, not a temporary one: per the SDDT date test above, no FY2025 Pillar 3 will be published, so there is no future document to restate this figure against.
  - BASIS CHECK: the Annual Report and Pillar 3 bases agree for this bank. Every FY2024 comparative printed alongside the FY2025 figures above reproduces this workbook's Pillar 3-sourced FY2024 values - total capital GBP99.8m vs 99,753; total capital ratio 16.3% vs 16.26%; CET1 ratio 13.8% vs 13.84%; leverage 7.08% vs 7.08%; LCR 1,017% vs 1017%; NSFR 266% vs 266% - so the FY2025 figures sit on the same consolidated basis as the rest of the series, not a different one.
  - CET1 Capital, Tier 1 Capital, Tier 1 Ratio and Total RWAs now STATE the absence in the FY2025 cell rather than sitting blank (changed 2026-09-18, because an empty cell is indistinguishable from a year nobody searched): the FY2025 Annual Report states no CET1 or Tier 1 capital amount, no Tier 1 ratio and no risk-weighted-assets figure anywhere (it confirms the Bank holds Additional Tier 1 securities and Tier 2 subordinated notes, so CET1/Tier 1/Total Capital are genuinely different numbers and neither may be inferred from the other). Total RWAs has deliberately NOT been back-solved from GBP105.5m / 15.3%, since both inputs are rounded. FY2015-FY2020 figures are sourced from Weatherbys Bank Limited's Companies-House-filed Group accounts (CH_AR_URLS above), not from weatherbys.bank (which retains only ~5 years of annual reports). FY2019's own Pillar 3 ('Pillar 3 Disclosures For Year Ended 31st December 2019', dated April 2020, a 16-page scanned document) survives only as a Wayback Machine capture (20200921164839 of weatherbys.bank/WeatherbysBank/media/About-Us/WBL-Pillar3-Disclosures.pdf) truncated at 1,048,576 of 1,264,248 bytes. It was PARTLY RECOVERED on 2026-09-19: each page is one self-contained CCITT image, and pages 1-13 lie wholly before the cut, so the PDF was rebuilt from those 13 complete page objects and read off the page images; pages 14-16 (liquidity, remaining risk sections, remuneration) are lost. FY2019 capital, RWA and leverage figures come from its Table 1 (p.5) and Table 2 (p.6), Group column; its Table 6 (p.8, 'At 31 Dec 2019') fills FY2019's regulatory credit risk exposures on the Asset Quality sheet; its Tables 3-4 (pp.6-7) print Pillar 1 capital requirements only, recorded in the RWA Breakdown note rather than converted into RWAs. No FY2015-FY2018 Pillar 3 was recoverable: the FY2016-FY2018 editions are named on archived corporate-information pages (Weatherbys-Bank-Limited-Pillar-3-Disclosures-2016/2017/2018.pdf) but were never captured, so those years' capital/RWA metric sheets are left blank rather than estimated - an access gap, not a disclosure gap. The intact FY2020 document includes FY2019 comparative LCR (586%) and NSFR (207.6%), which are populated. FY2020's own Pillar 3 Disclosures document (Weatherbys Bank, Pillar3-2020.pdf) was independently located and is intact, so FY2020's Pillar 3 metrics ARE populated. Terminology note: Weatherbys' FY2020 Pillar 3 disclosure already reports capital under CRD IV/Basel III (CET1/Tier 1/Tier 2), not Basel II Tier 1/Total Capital-only terminology, so no Basel-II-era caveat applies to any extended year in this workbook. FY2020's Table 1 mislabels its Total Capital Ratio row as 'Tier 2 Ratio' (14.53% Group/14.32% Solo) - verified as Total Capital / RWAs (58,286/401,130 = 14.53%), reproduced here under 'Total Capital Ratio' with the source's own mislabel noted rather than propagated.</t>
        </is>
      </c>
    </row>
  </sheetData>
  <mergeCells count="3">
    <mergeCell ref="A7:H7"/>
    <mergeCell ref="A9:H9"/>
    <mergeCell ref="A5:H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Weatherbys Bank Limited — LCR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Liquidity coverage ratio</t>
        </is>
      </c>
      <c r="B4" s="6" t="inlineStr">
        <is>
          <t>1080%</t>
        </is>
      </c>
      <c r="C4" s="6" t="inlineStr">
        <is>
          <t>1017%</t>
        </is>
      </c>
      <c r="D4" s="6" t="inlineStr">
        <is>
          <t>896%</t>
        </is>
      </c>
      <c r="E4" s="6" t="inlineStr">
        <is>
          <t>650%</t>
        </is>
      </c>
      <c r="F4" s="6" t="inlineStr">
        <is>
          <t>531%</t>
        </is>
      </c>
      <c r="G4" s="6" t="inlineStr">
        <is>
          <t>683%</t>
        </is>
      </c>
      <c r="H4" s="6" t="inlineStr">
        <is>
          <t>586%</t>
        </is>
      </c>
    </row>
    <row r="6" ht="364" customHeight="1">
      <c r="A6" s="8" t="inlineStr">
        <is>
          <t>Sources - Weatherbys Bank 3 Pillar Disclosures, Group/Solo columns, GBP'000 except ratios: FY2024, pp.5-6 and 20-26 - https://www.weatherbys.bank/app/uploads/2025/04/Weatherbys-Bank-Pillar-3-Disclosures-2024.pdf; FY2023, pp.5-6 and 20-27 - https://weatherbys.bank/app/uploads/2024/05/Weatherbys-Bank-Pillar-3-Dislcosures-2023.pdf; FY2022, pp.6-7 and 21-27 - https://weatherbys.bank/app/uploads/2023/05/Weatherbys-Bank-Pillar-3-Dislcosures-2022.pdf; FY2021, pp.5-6 and 14, 18-22 - https://www.weatherbys.bank/app/uploads/2022/05/Pillar-3-2021-v2.0-Weatherbys-Bank.pdf; FY2020, Pillar 3 Disclosures - Year Ended 31st December 2020, Tables 1-2 and 10 (pp.5-6, 13-14) - https://www.weatherbys.bank/app/uploads/2021/08/Pillar3-2020.pdf; FY2019 (capital, RWA, ratios, leverage), Pillar 3 Disclosures For Year Ended 31st December 2019 (April 2020), Table 1 Capital Resources &amp; Ratios p.5 and Table 2 Leverage Ratio p.6, Group column - Wayback Machine capture (truncated; pp.1-13 of 16 recovered 2026-09-19) https://web.archive.org/web/20200921164839/https://www.weatherbys.bank/WeatherbysBank/media/About-Us/WBL-Pillar3-Disclosures.pdf. FY2019 defects reproduced, not corrected: Table 1 prints the total capital ratio as 'Tier 2 Ratio' (15.74% = 57,360/364,330), and p.5's prose gives the total capital ratio as 12.67%, which is the CET1 ratio.
Entity verification: Weatherbys Bank Limited, Companies House 02943300, FRN 204571, LEI 549300OF84KDPIFN4M17; the supplied Banks List 2608.xlsx, the Weatherbys corporate-information page, the PRA register, and Companies House identify the same legal bank. The workbook uses Weatherbys Banking Group's consolidated cash-flow statement because that is the audited cash-flow presentation in the annual reports. The official Pillar 3 disclosures are consolidated Group/Solo disclosures: the documents state that the solo-consolidated group includes Weatherbys Bank Limited and its subsidiaries and that there are no differences between accounting and prudential consolidation for the Group. Group figures are therefore used only where the source explicitly labels them Group and Solo; unrelated wider-group figures are not substituted. Amounts are GBP'000 unless stated otherwise. FY2025: NO Weatherbys Pillar 3 disclosure document for 2025 exists as at 15 September 2026 - the Bank's own annual-reporting page (https://www.weatherbys.bank/about-us/corporate-information/annual-reporting/) still lists the 2024 edition as the latest Pillar 3 document, and every 2026 upload-folder permutation of the FY2024 filename returns 404. Independently re-confirmed the same date by a Wayback CDX sweep of the whole weatherbys.bank domain for 'pillar' URLs, which returns no Pillar 3 document later than Weatherbys-Bank-Pillar-3-Disclosures-2024.pdf (first archived 20 July 2025).
SDDT DATE TEST (checked 2026-09-15) - IMPORTANT, this SUPERSEDES the publication-lag reading of that absence. An earlier pass on 2026-09-15 reasoned that because Weatherbys publishes its Pillar 3 alongside the April/May annual report, an FY2025 edition would be expected around April-May 2027 and the blank was merely a document not yet due. The PRA register shows that is wrong: no FY2025 edition is expected at all. The 'Consolidated Waivers list for PRA-regulated firms - as of 1 July 2026' (bankofengland.co.uk/prudential-regulation/authorisations/waivers-and-modifications-of-rules) records that Weatherbys Bank Limited (FRN 204571) holds a 'Modification by Consent - PRA Rulebook - CRR Firms - Rule 3.1 of the SDDT Regime - General Application Part', sub-rule 'Ru 3.1', starting 02/04/2025 with no end date (still in force). That modification removes the Pillar 3 disclosure obligation outright - a stronger relief than UK CRR Article 433b, which only reduces frequency and content for small and non-complex institutions. The Bank's year-end is 31 December, stable across its Companies House accounts filing history (company 02943300). FY2025 (y/e 31 December 2025) therefore falls AFTER the modification took effect, so no FY2025 Pillar 3 was ever required. Consistent with that, FY2024 (y/e 31 December 2024) PREDATES the modification - which is exactly why the 2024 edition exists and is the last one. The FY2025 blanks here are structural and permanent unless the Bank opts back in; they should NOT be re-chased in April-May 2027 or at any later date. By the same logic the FY2025 Annual-Report-sourced figures below will NOT be restated onto a Pillar 3 basis later, because no such document is coming - see the precision caveat on Total Capital.
The FY2025 figures that ARE populated below therefore come from the Bank's own Annual Report and Financial Accounts 2025, NOT from a Pillar 3 document - and on the CONSOLIDATED (Banking Group) basis, matching the basis of the FY2020-FY2024 Pillar 3 figures in this sheet (https://www.weatherbys.bank/app/uploads/2026/05/Weatherbys-Banking-Group-Annual-report-2025.pdf):
  - CET1 Ratio 13.1%, Total Capital Ratio 15.3%, LCR 1,080%, NSFR 252%, Leverage Ratio 6.05%: Annual Report and Financial Accounts 2025, '3. Financial key performance indicators', p.19 (the five-KPI panel, each figure shown with its 2024 comparative), corroborated for CET1/total capital/leverage by '2. Business review: the Group', p.19-20 ('a Common Equity Tier 1 ratio of 13.1% (2024: 13.8%)... the Group's total capital ratio at the year end was 15.3% (2024: 16.3%). The leverage ratio at the year end was 6.05% (2024: 7.08%)').</t>
        </is>
      </c>
    </row>
    <row r="8" ht="320" customHeight="1">
      <c r="A8" s="8" t="inlineStr">
        <is>
          <t>(continued)
- Total Capital GBP105.5m: Annual Report and Financial Accounts 2025, Report of the Directors, section 4.1 'Capital and leverage ratios', p.45 ('On a consolidated basis total regulatory capital and the total capital ratio were GBP105.5 million and 15.3% respectively (2024: GBP99.8 million and 16.3%)'). Stated only to GBP0.1m, so FY2025's 105,500 carries less precision than the exact Pillar 3-sourced figures for FY2020-FY2024. This is now a PERMANENT precision limit, not a temporary one: per the SDDT date test above, no FY2025 Pillar 3 will be published, so there is no future document to restate this figure against.
  - BASIS CHECK: the Annual Report and Pillar 3 bases agree for this bank. Every FY2024 comparative printed alongside the FY2025 figures above reproduces this workbook's Pillar 3-sourced FY2024 values - total capital GBP99.8m vs 99,753; total capital ratio 16.3% vs 16.26%; CET1 ratio 13.8% vs 13.84%; leverage 7.08% vs 7.08%; LCR 1,017% vs 1017%; NSFR 266% vs 266% - so the FY2025 figures sit on the same consolidated basis as the rest of the series, not a different one.
  - CET1 Capital, Tier 1 Capital, Tier 1 Ratio and Total RWAs now STATE the absence in the FY2025 cell rather than sitting blank (changed 2026-09-18, because an empty cell is indistinguishable from a year nobody searched): the FY2025 Annual Report states no CET1 or Tier 1 capital amount, no Tier 1 ratio and no risk-weighted-assets figure anywhere (it confirms the Bank holds Additional Tier 1 securities and Tier 2 subordinated notes, so CET1/Tier 1/Total Capital are genuinely different numbers and neither may be inferred from the other). Total RWAs has deliberately NOT been back-solved from GBP105.5m / 15.3%, since both inputs are rounded. FY2015-FY2020 figures are sourced from Weatherbys Bank Limited's Companies-House-filed Group accounts (CH_AR_URLS above), not from weatherbys.bank (which retains only ~5 years of annual reports). FY2019's own Pillar 3 ('Pillar 3 Disclosures For Year Ended 31st December 2019', dated April 2020, a 16-page scanned document) survives only as a Wayback Machine capture (20200921164839 of weatherbys.bank/WeatherbysBank/media/About-Us/WBL-Pillar3-Disclosures.pdf) truncated at 1,048,576 of 1,264,248 bytes. It was PARTLY RECOVERED on 2026-09-19: each page is one self-contained CCITT image, and pages 1-13 lie wholly before the cut, so the PDF was rebuilt from those 13 complete page objects and read off the page images; pages 14-16 (liquidity, remaining risk sections, remuneration) are lost. FY2019 capital, RWA and leverage figures come from its Table 1 (p.5) and Table 2 (p.6), Group column; its Table 6 (p.8, 'At 31 Dec 2019') fills FY2019's regulatory credit risk exposures on the Asset Quality sheet; its Tables 3-4 (pp.6-7) print Pillar 1 capital requirements only, recorded in the RWA Breakdown note rather than converted into RWAs. No FY2015-FY2018 Pillar 3 was recoverable: the FY2016-FY2018 editions are named on archived corporate-information pages (Weatherbys-Bank-Limited-Pillar-3-Disclosures-2016/2017/2018.pdf) but were never captured, so those years' capital/RWA metric sheets are left blank rather than estimated - an access gap, not a disclosure gap. The intact FY2020 document includes FY2019 comparative LCR (586%) and NSFR (207.6%), which are populated. FY2020's own Pillar 3 Disclosures document (Weatherbys Bank, Pillar3-2020.pdf) was independently located and is intact, so FY2020's Pillar 3 metrics ARE populated. Terminology note: Weatherbys' FY2020 Pillar 3 disclosure already reports capital under CRD IV/Basel III (CET1/Tier 1/Tier 2), not Basel II Tier 1/Total Capital-only terminology, so no Basel-II-era caveat applies to any extended year in this workbook. FY2020's Table 1 mislabels its Total Capital Ratio row as 'Tier 2 Ratio' (14.53% Group/14.32% Solo) - verified as Total Capital / RWAs (58,286/401,130 = 14.53%), reproduced here under 'Total Capital Ratio' with the source's own mislabel noted rather than propagated.</t>
        </is>
      </c>
    </row>
  </sheetData>
  <mergeCells count="2">
    <mergeCell ref="A8:H8"/>
    <mergeCell ref="A6:H6"/>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Weatherbys Bank Limited — NSFR</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row>
    <row r="4">
      <c r="A4" s="6" t="inlineStr">
        <is>
          <t>Net stable funding ratio</t>
        </is>
      </c>
      <c r="B4" s="6" t="inlineStr">
        <is>
          <t>252%</t>
        </is>
      </c>
      <c r="C4" s="6" t="inlineStr">
        <is>
          <t>266%</t>
        </is>
      </c>
      <c r="D4" s="6" t="inlineStr">
        <is>
          <t>254%</t>
        </is>
      </c>
      <c r="E4" s="6" t="inlineStr">
        <is>
          <t>259.7%</t>
        </is>
      </c>
      <c r="F4" s="6" t="inlineStr">
        <is>
          <t>268.2%</t>
        </is>
      </c>
      <c r="G4" s="6" t="inlineStr">
        <is>
          <t>227.8%</t>
        </is>
      </c>
      <c r="H4" s="6" t="inlineStr">
        <is>
          <t>207.6%</t>
        </is>
      </c>
    </row>
    <row r="6" ht="364" customHeight="1">
      <c r="A6" s="8" t="inlineStr">
        <is>
          <t>Sources - Weatherbys Bank 3 Pillar Disclosures, Group/Solo columns, GBP'000 except ratios: FY2024, pp.5-6 and 20-26 - https://www.weatherbys.bank/app/uploads/2025/04/Weatherbys-Bank-Pillar-3-Disclosures-2024.pdf; FY2023, pp.5-6 and 20-27 - https://weatherbys.bank/app/uploads/2024/05/Weatherbys-Bank-Pillar-3-Dislcosures-2023.pdf; FY2022, pp.6-7 and 21-27 - https://weatherbys.bank/app/uploads/2023/05/Weatherbys-Bank-Pillar-3-Dislcosures-2022.pdf; FY2021, pp.5-6 and 14, 18-22 - https://www.weatherbys.bank/app/uploads/2022/05/Pillar-3-2021-v2.0-Weatherbys-Bank.pdf; FY2020, Pillar 3 Disclosures - Year Ended 31st December 2020, Tables 1-2 and 10 (pp.5-6, 13-14) - https://www.weatherbys.bank/app/uploads/2021/08/Pillar3-2020.pdf; FY2019 (capital, RWA, ratios, leverage), Pillar 3 Disclosures For Year Ended 31st December 2019 (April 2020), Table 1 Capital Resources &amp; Ratios p.5 and Table 2 Leverage Ratio p.6, Group column - Wayback Machine capture (truncated; pp.1-13 of 16 recovered 2026-09-19) https://web.archive.org/web/20200921164839/https://www.weatherbys.bank/WeatherbysBank/media/About-Us/WBL-Pillar3-Disclosures.pdf. FY2019 defects reproduced, not corrected: Table 1 prints the total capital ratio as 'Tier 2 Ratio' (15.74% = 57,360/364,330), and p.5's prose gives the total capital ratio as 12.67%, which is the CET1 ratio.
Entity verification: Weatherbys Bank Limited, Companies House 02943300, FRN 204571, LEI 549300OF84KDPIFN4M17; the supplied Banks List 2608.xlsx, the Weatherbys corporate-information page, the PRA register, and Companies House identify the same legal bank. The workbook uses Weatherbys Banking Group's consolidated cash-flow statement because that is the audited cash-flow presentation in the annual reports. The official Pillar 3 disclosures are consolidated Group/Solo disclosures: the documents state that the solo-consolidated group includes Weatherbys Bank Limited and its subsidiaries and that there are no differences between accounting and prudential consolidation for the Group. Group figures are therefore used only where the source explicitly labels them Group and Solo; unrelated wider-group figures are not substituted. Amounts are GBP'000 unless stated otherwise. FY2025: NO Weatherbys Pillar 3 disclosure document for 2025 exists as at 15 September 2026 - the Bank's own annual-reporting page (https://www.weatherbys.bank/about-us/corporate-information/annual-reporting/) still lists the 2024 edition as the latest Pillar 3 document, and every 2026 upload-folder permutation of the FY2024 filename returns 404. Independently re-confirmed the same date by a Wayback CDX sweep of the whole weatherbys.bank domain for 'pillar' URLs, which returns no Pillar 3 document later than Weatherbys-Bank-Pillar-3-Disclosures-2024.pdf (first archived 20 July 2025).
SDDT DATE TEST (checked 2026-09-15) - IMPORTANT, this SUPERSEDES the publication-lag reading of that absence. An earlier pass on 2026-09-15 reasoned that because Weatherbys publishes its Pillar 3 alongside the April/May annual report, an FY2025 edition would be expected around April-May 2027 and the blank was merely a document not yet due. The PRA register shows that is wrong: no FY2025 edition is expected at all. The 'Consolidated Waivers list for PRA-regulated firms - as of 1 July 2026' (bankofengland.co.uk/prudential-regulation/authorisations/waivers-and-modifications-of-rules) records that Weatherbys Bank Limited (FRN 204571) holds a 'Modification by Consent - PRA Rulebook - CRR Firms - Rule 3.1 of the SDDT Regime - General Application Part', sub-rule 'Ru 3.1', starting 02/04/2025 with no end date (still in force). That modification removes the Pillar 3 disclosure obligation outright - a stronger relief than UK CRR Article 433b, which only reduces frequency and content for small and non-complex institutions. The Bank's year-end is 31 December, stable across its Companies House accounts filing history (company 02943300). FY2025 (y/e 31 December 2025) therefore falls AFTER the modification took effect, so no FY2025 Pillar 3 was ever required. Consistent with that, FY2024 (y/e 31 December 2024) PREDATES the modification - which is exactly why the 2024 edition exists and is the last one. The FY2025 blanks here are structural and permanent unless the Bank opts back in; they should NOT be re-chased in April-May 2027 or at any later date. By the same logic the FY2025 Annual-Report-sourced figures below will NOT be restated onto a Pillar 3 basis later, because no such document is coming - see the precision caveat on Total Capital.
The FY2025 figures that ARE populated below therefore come from the Bank's own Annual Report and Financial Accounts 2025, NOT from a Pillar 3 document - and on the CONSOLIDATED (Banking Group) basis, matching the basis of the FY2020-FY2024 Pillar 3 figures in this sheet (https://www.weatherbys.bank/app/uploads/2026/05/Weatherbys-Banking-Group-Annual-report-2025.pdf):
  - CET1 Ratio 13.1%, Total Capital Ratio 15.3%, LCR 1,080%, NSFR 252%, Leverage Ratio 6.05%: Annual Report and Financial Accounts 2025, '3. Financial key performance indicators', p.19 (the five-KPI panel, each figure shown with its 2024 comparative), corroborated for CET1/total capital/leverage by '2. Business review: the Group', p.19-20 ('a Common Equity Tier 1 ratio of 13.1% (2024: 13.8%)... the Group's total capital ratio at the year end was 15.3% (2024: 16.3%). The leverage ratio at the year end was 6.05% (2024: 7.08%)').</t>
        </is>
      </c>
    </row>
    <row r="8" ht="320" customHeight="1">
      <c r="A8" s="8" t="inlineStr">
        <is>
          <t>(continued)
- Total Capital GBP105.5m: Annual Report and Financial Accounts 2025, Report of the Directors, section 4.1 'Capital and leverage ratios', p.45 ('On a consolidated basis total regulatory capital and the total capital ratio were GBP105.5 million and 15.3% respectively (2024: GBP99.8 million and 16.3%)'). Stated only to GBP0.1m, so FY2025's 105,500 carries less precision than the exact Pillar 3-sourced figures for FY2020-FY2024. This is now a PERMANENT precision limit, not a temporary one: per the SDDT date test above, no FY2025 Pillar 3 will be published, so there is no future document to restate this figure against.
  - BASIS CHECK: the Annual Report and Pillar 3 bases agree for this bank. Every FY2024 comparative printed alongside the FY2025 figures above reproduces this workbook's Pillar 3-sourced FY2024 values - total capital GBP99.8m vs 99,753; total capital ratio 16.3% vs 16.26%; CET1 ratio 13.8% vs 13.84%; leverage 7.08% vs 7.08%; LCR 1,017% vs 1017%; NSFR 266% vs 266% - so the FY2025 figures sit on the same consolidated basis as the rest of the series, not a different one.
  - CET1 Capital, Tier 1 Capital, Tier 1 Ratio and Total RWAs now STATE the absence in the FY2025 cell rather than sitting blank (changed 2026-09-18, because an empty cell is indistinguishable from a year nobody searched): the FY2025 Annual Report states no CET1 or Tier 1 capital amount, no Tier 1 ratio and no risk-weighted-assets figure anywhere (it confirms the Bank holds Additional Tier 1 securities and Tier 2 subordinated notes, so CET1/Tier 1/Total Capital are genuinely different numbers and neither may be inferred from the other). Total RWAs has deliberately NOT been back-solved from GBP105.5m / 15.3%, since both inputs are rounded. FY2015-FY2020 figures are sourced from Weatherbys Bank Limited's Companies-House-filed Group accounts (CH_AR_URLS above), not from weatherbys.bank (which retains only ~5 years of annual reports). FY2019's own Pillar 3 ('Pillar 3 Disclosures For Year Ended 31st December 2019', dated April 2020, a 16-page scanned document) survives only as a Wayback Machine capture (20200921164839 of weatherbys.bank/WeatherbysBank/media/About-Us/WBL-Pillar3-Disclosures.pdf) truncated at 1,048,576 of 1,264,248 bytes. It was PARTLY RECOVERED on 2026-09-19: each page is one self-contained CCITT image, and pages 1-13 lie wholly before the cut, so the PDF was rebuilt from those 13 complete page objects and read off the page images; pages 14-16 (liquidity, remaining risk sections, remuneration) are lost. FY2019 capital, RWA and leverage figures come from its Table 1 (p.5) and Table 2 (p.6), Group column; its Table 6 (p.8, 'At 31 Dec 2019') fills FY2019's regulatory credit risk exposures on the Asset Quality sheet; its Tables 3-4 (pp.6-7) print Pillar 1 capital requirements only, recorded in the RWA Breakdown note rather than converted into RWAs. No FY2015-FY2018 Pillar 3 was recoverable: the FY2016-FY2018 editions are named on archived corporate-information pages (Weatherbys-Bank-Limited-Pillar-3-Disclosures-2016/2017/2018.pdf) but were never captured, so those years' capital/RWA metric sheets are left blank rather than estimated - an access gap, not a disclosure gap. The intact FY2020 document includes FY2019 comparative LCR (586%) and NSFR (207.6%), which are populated. FY2020's own Pillar 3 Disclosures document (Weatherbys Bank, Pillar3-2020.pdf) was independently located and is intact, so FY2020's Pillar 3 metrics ARE populated. Terminology note: Weatherbys' FY2020 Pillar 3 disclosure already reports capital under CRD IV/Basel III (CET1/Tier 1/Tier 2), not Basel II Tier 1/Total Capital-only terminology, so no Basel-II-era caveat applies to any extended year in this workbook. FY2020's Table 1 mislabels its Total Capital Ratio row as 'Tier 2 Ratio' (14.53% Group/14.32% Solo) - verified as Total Capital / RWAs (58,286/401,130 = 14.53%), reproduced here under 'Total Capital Ratio' with the source's own mislabel noted rather than propagated.</t>
        </is>
      </c>
    </row>
  </sheetData>
  <mergeCells count="2">
    <mergeCell ref="A8:H8"/>
    <mergeCell ref="A6:H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Weatherbys Bank Limited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MREL Ratio</t>
        </is>
      </c>
      <c r="B4" s="6" t="inlineStr">
        <is>
          <t>Not published – no FY2025 Pillar 3 (PRA SDDT Rule 3.1 modification from 2 Apr 2025, PRA waivers register); FY2025 Annual Report has no MREL figure</t>
        </is>
      </c>
      <c r="C4" s="6" t="inlineStr">
        <is>
          <t>Not published – FY2024 Pillar 3 (weatherbys.bank) and Annual Report read 2026-09-19: no MREL, eligible-liabilities or KM2 figure</t>
        </is>
      </c>
      <c r="D4" s="6" t="inlineStr">
        <is>
          <t>Not published – FY2023 Pillar 3 (weatherbys.bank) and Annual Report read 2026-09-19: no MREL, eligible-liabilities or KM2 figure</t>
        </is>
      </c>
      <c r="E4" s="6" t="inlineStr">
        <is>
          <t>Not published – FY2022 Pillar 3 (weatherbys.bank) and Annual Report read 2026-09-19: no MREL, eligible-liabilities or KM2 figure</t>
        </is>
      </c>
      <c r="F4" s="6" t="inlineStr">
        <is>
          <t>Not published – FY2021 Pillar 3 (weatherbys.bank) and Annual Report read 2026-09-19: no MREL, eligible-liabilities or KM2 figure</t>
        </is>
      </c>
      <c r="G4" s="6" t="inlineStr">
        <is>
          <t>Not published – FY2020 Pillar 3 (weatherbys.bank) and Annual Report read 2026-09-19: no MREL, eligible-liabilities or KM2 figure</t>
        </is>
      </c>
      <c r="H4" s="6" t="inlineStr">
        <is>
          <t>Not published – FY2019 Pillar 3 (Wayback 20200921164839, pp.1-13 of 16 recovered): contents p.2 lists no MREL section or table; pp.1-13 print none</t>
        </is>
      </c>
      <c r="I4" s="6" t="inlineStr">
        <is>
          <t>Not published – FY2018 Pillar 3 (16pp, recovered from Common Crawl 2026-10-07): contents p.2 lists sections 1-4 and Tables 1-11, none MREL; no MREL or eligible-liabilities text</t>
        </is>
      </c>
      <c r="J4" s="6" t="inlineStr">
        <is>
          <t>Unreached today – FY2017 Pillar 3 named on archived index (Weatherbys-Bank-Limited-Pillar-3-Disclosures-2017.pdf) but never captured; live 404; archive.ph none; Common Crawl 2017-2021 all crawls (FY2018 found there, 2017 absent) – 2026-10-07</t>
        </is>
      </c>
      <c r="K4" s="6" t="inlineStr">
        <is>
          <t>Unreached today – FY2016 Pillar 3 named on archived index (Weatherbys-Bank-Limited-Pillar-3-Disclosures-2016.pdf) but never captured; live 404; archive.ph none; Common Crawl 2017-2021 all crawls (FY2018 found there, 2016 absent) – 2026-10-07</t>
        </is>
      </c>
      <c r="L4" s="6" t="inlineStr">
        <is>
          <t>Not published – FY2015 Pillar 3 (Wayback 20170503164039, WBL_Pillar3_2015.pdf) and FY2015 accounts print no MREL figure</t>
        </is>
      </c>
    </row>
    <row r="5" ht="169" customHeight="1">
      <c r="A5" s="7" t="inlineStr">
        <is>
          <t>Note: MREL was not separately disclosed in the Weatherbys 2021-2024 Pillar 3 documents reviewed; FY2025 has no official Pillar 3 document located. This is an explicit non-disclosure, not a zero. GA-020 (2026-09-19): every cell now carries its evidence. FY2020-24 Pillar 3 editions (weatherbys.bank uploads) and FY2022-25 Annual Reports were re-read: 0 MREL / eligible-liabilities / KM2 hits. FY2025: no Pillar 3 exists (PRA waivers register, SDDT Rule 3.1 modification effective 2 Apr 2025). FY2015: the FY2015 Pillar 3 (Wayback 20170503164039 of weatherbys.co.uk/Weatherbys/media/PDFs/WBL_Pillar3_2015.pdf) prints no MREL (its only 'resolution' hit is the Recovery and Resolution Plan). FY2019: the FY2019 Pillar 3 (weatherbys.bank/WeatherbysBank/media/About-Us/WBL-Pillar3-Disclosures.pdf, Wayback 20200921164839) was captured truncated at 1 MiB of 1,264,248 bytes; it is a scanned document whose pages are self-contained images, and pages 1-13 of 16 were rebuilt and read on 2026-09-19 (GA-020 second pass). Its contents page (p.2) lists every section and all 11 tables and none concerns MREL or eligible liabilities; pp.1-13 print no MREL figure. The three lost pages hold liquidity (Table 10), the remaining risk sections and remuneration (Table 11) per that contents page. Recorded as Not published on that evidence. FY2018 IS NOW SETTLED FROM THE EDITION ITSELF (Common Crawl, 2026-10-07). Wayback never captured Weatherbys-Bank-Limited-Pillar-3-Disclosures-2018.pdf, but Common Crawl did, in CC-MAIN-2020-16 (warc CC-MAIN-20200404200523-20200404230523-00207.warc.gz, offset 1216049748, length 492989). It was retrieved complete - 559,740 bytes matching the HTTP Content-Length, %PDF with %%EOF and no WARC truncation flag - and is a 16-page text-native document dated April 2019. Its cover page reads 'WEATHERBYS BANK - Pillar 3 Disclosures - For Year Ended 31st December 2018' and its contents page lists sections 1-4 (Introduction, Key Measures &amp; Ratios, Governance &amp; Risk Management, Remuneration) and Tables 1-11 (Capital Resources &amp; Ratios, Leverage Ratio, Capital Requirements for Credit Risk, Minimum Capital Resource Requirements, Provisions, Credit Risk Exposures, Maturity, Geographical Exposure, Interest Rate Gap, Liquidity Coverage Ratio, Remuneration) - no MREL section and no MREL table, exactly like the FY2019 edition. Text probes return 0 for MREL, 'eligible liabilities' and 'loss absorbing' against 71 'capital', 17 'liquidity' and 7 'leverage' hits as the richness control. FY2016 and FY2017 stay 'Unreached today': neither is in any Common Crawl crawl 2017-2021 although FY2018 is. (That FY2018 edition also prints Table 1 capital resources/ratios, Table 2 leverage and Table 10 LCR, which could extend the single-metric sheets back a year; those sheets currently start at FY2019 and extending them was out of scope for this pass.) FY2016-18 (first-pass record): each edition is named on an archived corporate-information page (Wayback 20171108012716: .../media/Test-images/Weatherbys-Bank-Limited-Pillar-3-Disclosures-2016.pdf; 20181009054641: .../media/About-Us/...-2017.pdf; 20190820203909: .../About-Us/...-2018.pdf) but none of the three PDFs was ever captured (CDX exact and prefix query of weatherbys.bank/WeatherbysBank/media/, and domain-wide CDX of weatherbys.bank, weatherbys.co.uk, weatherbysbank.com and weatherbys.com without the mimetype filter, 2026-09-19); live URLs 404; archive.ph has no copy of the Pillar 3 URL (its domain listings answered HTTP 429, a block, not a negative); web search for the titles returns only the 2021-2024 editions; the FY2015-20 accounts (Companies House scans) print no MREL. Left as Unreached today, not Not published.</t>
        </is>
      </c>
    </row>
    <row r="7" ht="364" customHeight="1">
      <c r="A7" s="8" t="inlineStr">
        <is>
          <t>Sources - Weatherbys Bank 3 Pillar Disclosures, Group/Solo columns, GBP'000 except ratios: FY2024, pp.5-6 and 20-26 - https://www.weatherbys.bank/app/uploads/2025/04/Weatherbys-Bank-Pillar-3-Disclosures-2024.pdf; FY2023, pp.5-6 and 20-27 - https://weatherbys.bank/app/uploads/2024/05/Weatherbys-Bank-Pillar-3-Dislcosures-2023.pdf; FY2022, pp.6-7 and 21-27 - https://weatherbys.bank/app/uploads/2023/05/Weatherbys-Bank-Pillar-3-Dislcosures-2022.pdf; FY2021, pp.5-6 and 14, 18-22 - https://www.weatherbys.bank/app/uploads/2022/05/Pillar-3-2021-v2.0-Weatherbys-Bank.pdf; FY2020, Pillar 3 Disclosures - Year Ended 31st December 2020, Tables 1-2 and 10 (pp.5-6, 13-14) - https://www.weatherbys.bank/app/uploads/2021/08/Pillar3-2020.pdf; FY2019 (capital, RWA, ratios, leverage), Pillar 3 Disclosures For Year Ended 31st December 2019 (April 2020), Table 1 Capital Resources &amp; Ratios p.5 and Table 2 Leverage Ratio p.6, Group column - Wayback Machine capture (truncated; pp.1-13 of 16 recovered 2026-09-19) https://web.archive.org/web/20200921164839/https://www.weatherbys.bank/WeatherbysBank/media/About-Us/WBL-Pillar3-Disclosures.pdf. FY2019 defects reproduced, not corrected: Table 1 prints the total capital ratio as 'Tier 2 Ratio' (15.74% = 57,360/364,330), and p.5's prose gives the total capital ratio as 12.67%, which is the CET1 ratio.
Entity verification: Weatherbys Bank Limited, Companies House 02943300, FRN 204571, LEI 549300OF84KDPIFN4M17; the supplied Banks List 2608.xlsx, the Weatherbys corporate-information page, the PRA register, and Companies House identify the same legal bank. The workbook uses Weatherbys Banking Group's consolidated cash-flow statement because that is the audited cash-flow presentation in the annual reports. The official Pillar 3 disclosures are consolidated Group/Solo disclosures: the documents state that the solo-consolidated group includes Weatherbys Bank Limited and its subsidiaries and that there are no differences between accounting and prudential consolidation for the Group. Group figures are therefore used only where the source explicitly labels them Group and Solo; unrelated wider-group figures are not substituted. Amounts are GBP'000 unless stated otherwise. FY2025: NO Weatherbys Pillar 3 disclosure document for 2025 exists as at 15 September 2026 - the Bank's own annual-reporting page (https://www.weatherbys.bank/about-us/corporate-information/annual-reporting/) still lists the 2024 edition as the latest Pillar 3 document, and every 2026 upload-folder permutation of the FY2024 filename returns 404. Independently re-confirmed the same date by a Wayback CDX sweep of the whole weatherbys.bank domain for 'pillar' URLs, which returns no Pillar 3 document later than Weatherbys-Bank-Pillar-3-Disclosures-2024.pdf (first archived 20 July 2025).
SDDT DATE TEST (checked 2026-09-15) - IMPORTANT, this SUPERSEDES the publication-lag reading of that absence. An earlier pass on 2026-09-15 reasoned that because Weatherbys publishes its Pillar 3 alongside the April/May annual report, an FY2025 edition would be expected around April-May 2027 and the blank was merely a document not yet due. The PRA register shows that is wrong: no FY2025 edition is expected at all. The 'Consolidated Waivers list for PRA-regulated firms - as of 1 July 2026' (bankofengland.co.uk/prudential-regulation/authorisations/waivers-and-modifications-of-rules) records that Weatherbys Bank Limited (FRN 204571) holds a 'Modification by Consent - PRA Rulebook - CRR Firms - Rule 3.1 of the SDDT Regime - General Application Part', sub-rule 'Ru 3.1', starting 02/04/2025 with no end date (still in force). That modification removes the Pillar 3 disclosure obligation outright - a stronger relief than UK CRR Article 433b, which only reduces frequency and content for small and non-complex institutions. The Bank's year-end is 31 December, stable across its Companies House accounts filing history (company 02943300). FY2025 (y/e 31 December 2025) therefore falls AFTER the modification took effect, so no FY2025 Pillar 3 was ever required. Consistent with that, FY2024 (y/e 31 December 2024) PREDATES the modification - which is exactly why the 2024 edition exists and is the last one. The FY2025 blanks here are structural and permanent unless the Bank opts back in; they should NOT be re-chased in April-May 2027 or at any later date. By the same logic the FY2025 Annual-Report-sourced figures below will NOT be restated onto a Pillar 3 basis later, because no such document is coming - see the precision caveat on Total Capital.
The FY2025 figures that ARE populated below therefore come from the Bank's own Annual Report and Financial Accounts 2025, NOT from a Pillar 3 document - and on the CONSOLIDATED (Banking Group) basis, matching the basis of the FY2020-FY2024 Pillar 3 figures in this sheet (https://www.weatherbys.bank/app/uploads/2026/05/Weatherbys-Banking-Group-Annual-report-2025.pdf):
  - CET1 Ratio 13.1%, Total Capital Ratio 15.3%, LCR 1,080%, NSFR 252%, Leverage Ratio 6.05%: Annual Report and Financial Accounts 2025, '3. Financial key performance indicators', p.19 (the five-KPI panel, each figure shown with its 2024 comparative), corroborated for CET1/total capital/leverage by '2. Business review: the Group', p.19-20 ('a Common Equity Tier 1 ratio of 13.1% (2024: 13.8%)... the Group's total capital ratio at the year end was 15.3% (2024: 16.3%). The leverage ratio at the year end was 6.05% (2024: 7.08%)').
  - Total Capital GBP105.5m: Annual Report and Financial Accounts 2025, Report of the Directors, section 4.1 'Capital and leverage ratios', p.45 ('On a consolidated basis total regulatory capital and the total capital ratio were GBP105.5 million and 15.3% respectively (2024: GBP99.8 million and 16.3%)'). Stated only to GBP0.1m, so FY2025's 105,500 carries less precision than the exact Pillar 3-sourced figures for FY2020-FY2024. This is now a PERMANENT precision limit, not a temporary one: per the SDDT date test above, no FY2025 Pillar 3 will be published, so there is no future document to restate this figure against.
  - BASIS CHECK: the Annual Report and Pillar 3 bases agree for this bank. Every FY2024 comparative printed alongside the FY2025 figures above reproduces this workbook's Pillar 3-sourced FY2024 values - total capital GBP99.8m vs 99,753; total capital ratio 16.3% vs 16.26%; CET1 ratio 13.8% vs 13.84%; leverage 7.08% vs 7.08%; LCR 1,017% vs 1017%; NSFR 266% vs 266% - so the FY2025 figures sit on the same consolidated basis as the rest of the series, not a different one.</t>
        </is>
      </c>
    </row>
    <row r="9" ht="150" customHeight="1">
      <c r="A9" s="8" t="inlineStr">
        <is>
          <t>(continued)
- CET1 Capital, Tier 1 Capital, Tier 1 Ratio and Total RWAs now STATE the absence in the FY2025 cell rather than sitting blank (changed 2026-09-18, because an empty cell is indistinguishable from a year nobody searched): the FY2025 Annual Report states no CET1 or Tier 1 capital amount, no Tier 1 ratio and no risk-weighted-assets figure anywhere (it confirms the Bank holds Additional Tier 1 securities and Tier 2 subordinated notes, so CET1/Tier 1/Total Capital are genuinely different numbers and neither may be inferred from the other). Total RWAs has deliberately NOT been back-solved from GBP105.5m / 15.3%, since both inputs are rounded. FY2015-FY2020 figures are sourced from Weatherbys Bank Limited's Companies-House-filed Group accounts (CH_AR_URLS above), not from weatherbys.bank (which retains only ~5 years of annual reports). FY2019's own Pillar 3 ('Pillar 3 Disclosures For Year Ended 31st December 2019', dated April 2020, a 16-page scanned document) survives only as a Wayback Machine capture (20200921164839 of weatherbys.bank/WeatherbysBank/media/About-Us/WBL-Pillar3-Disclosures.pdf) truncated at 1,048,576 of 1,264,248 bytes. It was PARTLY RECOVERED on 2026-09-19: each page is one self-contained CCITT image, and pages 1-13 lie wholly before the cut, so the PDF was rebuilt from those 13 complete page objects and read off the page images; pages 14-16 (liquidity, remaining risk sections, remuneration) are lost. FY2019 capital, RWA and leverage figures come from its Table 1 (p.5) and Table 2 (p.6), Group column; its Table 6 (p.8, 'At 31 Dec 2019') fills FY2019's regulatory credit risk exposures on the Asset Quality sheet; its Tables 3-4 (pp.6-7) print Pillar 1 capital requirements only, recorded in the RWA Breakdown note rather than converted into RWAs. No FY2015-FY2018 Pillar 3 was recoverable: the FY2016-FY2018 editions are named on archived corporate-information pages (Weatherbys-Bank-Limited-Pillar-3-Disclosures-2016/2017/2018.pdf) but were never captured, so those years' capital/RWA metric sheets are left blank rather than estimated - an access gap, not a disclosure gap. The intact FY2020 document includes FY2019 comparative LCR (586%) and NSFR (207.6%), which are populated. FY2020's own Pillar 3 Disclosures document (Weatherbys Bank, Pillar3-2020.pdf) was independently located and is intact, so FY2020's Pillar 3 metrics ARE populated. Terminology note: Weatherbys' FY2020 Pillar 3 disclosure already reports capital under CRD IV/Basel III (CET1/Tier 1/Tier 2), not Basel II Tier 1/Total Capital-only terminology, so no Basel-II-era caveat applies to any extended year in this workbook. FY2020's Table 1 mislabels its Total Capital Ratio row as 'Tier 2 Ratio' (14.53% Group/14.32% Solo) - verified as Total Capital / RWAs (58,286/401,130 = 14.53%), reproduced here under 'Total Capital Ratio' with the source's own mislabel noted rather than propagated.</t>
        </is>
      </c>
    </row>
  </sheetData>
  <mergeCells count="3">
    <mergeCell ref="A5:L5"/>
    <mergeCell ref="A7:L7"/>
    <mergeCell ref="A9:L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2026-10-10T15:08:45Z</dcterms:created>
  <dcterms:modified xmlns:dcterms="http://purl.org/dc/terms/" xmlns:xsi="http://www.w3.org/2001/XMLSchema-instance" xsi:type="dcterms:W3CDTF">2026-10-10T15:08:45Z</dcterms:modified>
</cp:coreProperties>
</file>