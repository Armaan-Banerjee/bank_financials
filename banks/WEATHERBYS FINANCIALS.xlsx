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40</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Weatherbys Bank Limited — Overview</t>
        </is>
      </c>
    </row>
    <row r="2">
      <c r="A2" s="2" t="inlineStr">
        <is>
          <t>Summary of cash flow and Pillar 3 disclosures across all years covered in this workbook</t>
        </is>
      </c>
    </row>
    <row r="4">
      <c r="A4" s="3" t="inlineStr">
        <is>
          <t>Cash Flow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generated/(used) from operating activities</t>
        </is>
      </c>
      <c r="B6" s="5" t="n">
        <v>69254</v>
      </c>
      <c r="C6" s="5" t="n">
        <v>177587</v>
      </c>
      <c r="D6" s="5" t="n">
        <v>-12129</v>
      </c>
      <c r="E6" s="5" t="n">
        <v>91999</v>
      </c>
      <c r="F6" s="5" t="n">
        <v>254993</v>
      </c>
      <c r="I6" t="inlineStr">
        <is>
          <t>Net cash generated/(used) from operating activities</t>
        </is>
      </c>
      <c r="J6" t="n">
        <v>254993</v>
      </c>
      <c r="K6" t="n">
        <v>91999</v>
      </c>
      <c r="L6" t="n">
        <v>-12129</v>
      </c>
      <c r="M6" t="n">
        <v>177587</v>
      </c>
      <c r="N6" t="n">
        <v>69254</v>
      </c>
      <c r="Q6" t="inlineStr">
        <is>
          <t>CET1 Ratio</t>
        </is>
      </c>
      <c r="R6" t="n">
        <v>11.81</v>
      </c>
      <c r="S6" t="n">
        <v>12.07</v>
      </c>
      <c r="T6" t="n">
        <v>13.48</v>
      </c>
      <c r="U6" t="n">
        <v>13.84</v>
      </c>
    </row>
    <row r="7">
      <c r="A7" s="5" t="inlineStr">
        <is>
          <t>Net cash (used)/generated from investing activities</t>
        </is>
      </c>
      <c r="B7" s="5" t="n">
        <v>-176680</v>
      </c>
      <c r="C7" s="5" t="n">
        <v>-110119</v>
      </c>
      <c r="D7" s="5" t="n">
        <v>53783</v>
      </c>
      <c r="E7" s="5" t="n">
        <v>-97158</v>
      </c>
      <c r="F7" s="5" t="n">
        <v>12550</v>
      </c>
      <c r="I7" t="inlineStr">
        <is>
          <t>Net cash (used)/generated from investing activities</t>
        </is>
      </c>
      <c r="J7" t="n">
        <v>12550</v>
      </c>
      <c r="K7" t="n">
        <v>-97158</v>
      </c>
      <c r="L7" t="n">
        <v>53783</v>
      </c>
      <c r="M7" t="n">
        <v>-110119</v>
      </c>
      <c r="N7" t="n">
        <v>-176680</v>
      </c>
      <c r="Q7" t="inlineStr">
        <is>
          <t>Total Capital Ratio</t>
        </is>
      </c>
      <c r="R7" t="n">
        <v>14.48</v>
      </c>
      <c r="S7" t="n">
        <v>14.5</v>
      </c>
      <c r="T7" t="n">
        <v>16.17</v>
      </c>
      <c r="U7" t="n">
        <v>16.26</v>
      </c>
    </row>
    <row r="8">
      <c r="A8" s="5" t="inlineStr">
        <is>
          <t>Net cash (used)/generated from financing activities</t>
        </is>
      </c>
      <c r="B8" s="5" t="n">
        <v>-11100</v>
      </c>
      <c r="C8" s="5" t="n">
        <v>-5000</v>
      </c>
      <c r="D8" s="5" t="n">
        <v>-2000</v>
      </c>
      <c r="E8" s="5" t="n">
        <v>-2000</v>
      </c>
      <c r="F8" s="5" t="n">
        <v>-1250</v>
      </c>
      <c r="I8" t="inlineStr">
        <is>
          <t>Net cash (used)/generated from financing activities</t>
        </is>
      </c>
      <c r="J8" t="n">
        <v>-1250</v>
      </c>
      <c r="K8" t="n">
        <v>-2000</v>
      </c>
      <c r="L8" t="n">
        <v>-2000</v>
      </c>
      <c r="M8" t="n">
        <v>-5000</v>
      </c>
      <c r="N8" t="n">
        <v>-11100</v>
      </c>
    </row>
    <row r="9">
      <c r="A9" s="5" t="inlineStr">
        <is>
          <t>Cash and cash equivalents at end of year</t>
        </is>
      </c>
      <c r="B9" s="5" t="n">
        <v>568817</v>
      </c>
      <c r="C9" s="5" t="n">
        <v>687343</v>
      </c>
      <c r="D9" s="5" t="n">
        <v>624875</v>
      </c>
      <c r="E9" s="5" t="n">
        <v>585221</v>
      </c>
      <c r="F9" s="5" t="n">
        <v>592380</v>
      </c>
      <c r="I9" t="inlineStr">
        <is>
          <t>Cash and cash equivalents at end of year</t>
        </is>
      </c>
      <c r="J9" t="n">
        <v>592380</v>
      </c>
      <c r="K9" t="n">
        <v>585221</v>
      </c>
      <c r="L9" t="n">
        <v>624875</v>
      </c>
      <c r="M9" t="n">
        <v>687343</v>
      </c>
      <c r="N9" t="n">
        <v>568817</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13.84%</t>
        </is>
      </c>
      <c r="D13" s="6" t="inlineStr">
        <is>
          <t>13.48%</t>
        </is>
      </c>
      <c r="E13" s="6" t="inlineStr">
        <is>
          <t>12.07%</t>
        </is>
      </c>
      <c r="F13" s="6" t="inlineStr">
        <is>
          <t>11.81%</t>
        </is>
      </c>
    </row>
    <row r="14">
      <c r="A14" s="6" t="inlineStr">
        <is>
          <t>Total Capital Ratio</t>
        </is>
      </c>
      <c r="B14" s="6" t="n"/>
      <c r="C14" s="6" t="inlineStr">
        <is>
          <t>16.26%</t>
        </is>
      </c>
      <c r="D14" s="6" t="inlineStr">
        <is>
          <t>16.17%</t>
        </is>
      </c>
      <c r="E14" s="6" t="inlineStr">
        <is>
          <t>14.50%</t>
        </is>
      </c>
      <c r="F14" s="6" t="inlineStr">
        <is>
          <t>14.48%</t>
        </is>
      </c>
    </row>
    <row r="16" ht="45" customHeight="1">
      <c r="A16" s="7" t="inlineStr">
        <is>
          <t>Note: FY2025 Pillar 3 metrics are blank because no 2025 official disclosure was located; FY2021-FY2024 values are the official Weatherbys Group/Solo disclosures.</t>
        </is>
      </c>
    </row>
  </sheetData>
  <mergeCells count="1">
    <mergeCell ref="A16:F1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Weatherbys Bank Limited — Cash Flow Statement</t>
        </is>
      </c>
    </row>
    <row r="2">
      <c r="A2" s="2" t="inlineStr">
        <is>
          <t>Weatherbys Banking Group consolidated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for the financial year before exceptional items</t>
        </is>
      </c>
      <c r="B5" s="6" t="n">
        <v>19244</v>
      </c>
      <c r="C5" s="6" t="n">
        <v>18270</v>
      </c>
      <c r="D5" s="6" t="n">
        <v>24735</v>
      </c>
      <c r="E5" s="6" t="n">
        <v>11909</v>
      </c>
      <c r="F5" s="6" t="n">
        <v>5206</v>
      </c>
    </row>
    <row r="6">
      <c r="A6" s="6" t="inlineStr">
        <is>
          <t>Depreciation, impairment and amortisation of fixed assets</t>
        </is>
      </c>
      <c r="B6" s="6" t="n">
        <v>7065</v>
      </c>
      <c r="C6" s="6" t="n">
        <v>4506</v>
      </c>
      <c r="D6" s="6" t="n">
        <v>2758</v>
      </c>
      <c r="E6" s="6" t="n">
        <v>2786</v>
      </c>
      <c r="F6" s="6" t="n">
        <v>2402</v>
      </c>
    </row>
    <row r="7">
      <c r="A7" s="6" t="inlineStr">
        <is>
          <t>Amortisation of debt securities</t>
        </is>
      </c>
      <c r="B7" s="6" t="n">
        <v>-1870</v>
      </c>
      <c r="C7" s="6" t="n">
        <v>-1138</v>
      </c>
      <c r="D7" s="6" t="n">
        <v>413</v>
      </c>
      <c r="E7" s="6" t="n">
        <v>443</v>
      </c>
      <c r="F7" s="6" t="n">
        <v>133</v>
      </c>
    </row>
    <row r="8">
      <c r="A8" s="6" t="inlineStr">
        <is>
          <t>Taxation expense</t>
        </is>
      </c>
      <c r="B8" s="6" t="n">
        <v>3830</v>
      </c>
      <c r="C8" s="6" t="n">
        <v>6306</v>
      </c>
      <c r="D8" s="6" t="n">
        <v>8348</v>
      </c>
      <c r="E8" s="6" t="n">
        <v>3504</v>
      </c>
      <c r="F8" s="6" t="n">
        <v>1596</v>
      </c>
    </row>
    <row r="9">
      <c r="A9" s="6" t="inlineStr">
        <is>
          <t>Increase in prepayments and accrued income</t>
        </is>
      </c>
      <c r="B9" s="6" t="n">
        <v>-1508</v>
      </c>
      <c r="C9" s="6" t="n">
        <v>-4032</v>
      </c>
      <c r="D9" s="6" t="n">
        <v>-4930</v>
      </c>
      <c r="E9" s="6" t="n">
        <v>-6282</v>
      </c>
      <c r="F9" s="6" t="n">
        <v>-1055</v>
      </c>
    </row>
    <row r="10">
      <c r="A10" s="6" t="inlineStr">
        <is>
          <t>Decrease/(increase) in trade and other debtors</t>
        </is>
      </c>
      <c r="B10" s="6" t="n">
        <v>-678</v>
      </c>
      <c r="C10" s="6" t="n">
        <v>38</v>
      </c>
      <c r="D10" s="6" t="n">
        <v>-201</v>
      </c>
      <c r="E10" s="6" t="n">
        <v>-364</v>
      </c>
      <c r="F10" s="6" t="n">
        <v>20</v>
      </c>
    </row>
    <row r="11">
      <c r="A11" s="6" t="inlineStr">
        <is>
          <t>Change in fair value of financial instruments</t>
        </is>
      </c>
      <c r="B11" s="6" t="n">
        <v>6430</v>
      </c>
      <c r="C11" s="6" t="n">
        <v>-1624</v>
      </c>
      <c r="D11" s="6" t="n">
        <v>7216</v>
      </c>
      <c r="E11" s="6" t="n">
        <v>-8619</v>
      </c>
      <c r="F11" s="6" t="n">
        <v>-3069</v>
      </c>
    </row>
    <row r="12">
      <c r="A12" s="6" t="inlineStr">
        <is>
          <t>Movement in margin call</t>
        </is>
      </c>
      <c r="B12" s="6" t="n">
        <v>-6550</v>
      </c>
      <c r="C12" s="6" t="n"/>
      <c r="D12" s="6" t="n"/>
      <c r="E12" s="6" t="n"/>
      <c r="F12" s="6" t="n"/>
    </row>
    <row r="13">
      <c r="A13" s="6" t="inlineStr">
        <is>
          <t>Loss/(gain) on investments</t>
        </is>
      </c>
      <c r="B13" s="6" t="n">
        <v>20</v>
      </c>
      <c r="C13" s="6" t="n">
        <v>71</v>
      </c>
      <c r="D13" s="6" t="n">
        <v>-17</v>
      </c>
      <c r="E13" s="6" t="n">
        <v>104</v>
      </c>
      <c r="F13" s="6" t="n">
        <v>3</v>
      </c>
    </row>
    <row r="14">
      <c r="A14" s="6" t="inlineStr">
        <is>
          <t>Loss/(gain) on disposal of subsidiary/tangible fixed assets</t>
        </is>
      </c>
      <c r="B14" s="6" t="n">
        <v>-10235</v>
      </c>
      <c r="C14" s="6" t="n"/>
      <c r="D14" s="6" t="n"/>
      <c r="E14" s="6" t="n"/>
      <c r="F14" s="6" t="n"/>
    </row>
    <row r="15">
      <c r="A15" s="6" t="inlineStr">
        <is>
          <t>Change in trade and other creditors</t>
        </is>
      </c>
      <c r="B15" s="6" t="n">
        <v>2299</v>
      </c>
      <c r="C15" s="6" t="n">
        <v>-2982</v>
      </c>
      <c r="D15" s="6" t="n">
        <v>11753</v>
      </c>
      <c r="E15" s="6" t="n">
        <v>2607</v>
      </c>
      <c r="F15" s="6" t="n">
        <v>-496</v>
      </c>
    </row>
    <row r="16">
      <c r="A16" s="6" t="inlineStr">
        <is>
          <t>Net decrease/(increase) in provisions</t>
        </is>
      </c>
      <c r="B16" s="6" t="n">
        <v>-64</v>
      </c>
      <c r="C16" s="6" t="n">
        <v>-1366</v>
      </c>
      <c r="D16" s="6" t="n">
        <v>5968</v>
      </c>
      <c r="E16" s="6" t="n">
        <v>2623</v>
      </c>
      <c r="F16" s="6" t="n">
        <v>1123</v>
      </c>
    </row>
    <row r="17">
      <c r="A17" s="6" t="inlineStr">
        <is>
          <t>Increase/(decrease) in provision for bad and doubtful debts</t>
        </is>
      </c>
      <c r="B17" s="6" t="n">
        <v>1074</v>
      </c>
      <c r="C17" s="6" t="n">
        <v>46</v>
      </c>
      <c r="D17" s="6" t="n">
        <v>184</v>
      </c>
      <c r="E17" s="6" t="n">
        <v>-25</v>
      </c>
      <c r="F17" s="6" t="n">
        <v>-518</v>
      </c>
    </row>
    <row r="18">
      <c r="A18" s="6" t="inlineStr">
        <is>
          <t>Net increase/(decrease) in deposits from customers</t>
        </is>
      </c>
      <c r="B18" s="6" t="n">
        <v>193121</v>
      </c>
      <c r="C18" s="6" t="n">
        <v>203231</v>
      </c>
      <c r="D18" s="6" t="n">
        <v>-16626</v>
      </c>
      <c r="E18" s="6" t="n">
        <v>116590</v>
      </c>
      <c r="F18" s="6" t="n">
        <v>315834</v>
      </c>
    </row>
    <row r="19">
      <c r="A19" s="6" t="inlineStr">
        <is>
          <t>Net increase in loans and advances to customers</t>
        </is>
      </c>
      <c r="B19" s="6" t="n">
        <v>-138623</v>
      </c>
      <c r="C19" s="6" t="n">
        <v>-38018</v>
      </c>
      <c r="D19" s="6" t="n">
        <v>-46309</v>
      </c>
      <c r="E19" s="6" t="n">
        <v>-30957</v>
      </c>
      <c r="F19" s="6" t="n">
        <v>-65508</v>
      </c>
    </row>
    <row r="20">
      <c r="A20" s="5" t="inlineStr">
        <is>
          <t>Cash from operations</t>
        </is>
      </c>
      <c r="B20" s="5" t="n">
        <v>73555</v>
      </c>
      <c r="C20" s="5" t="n">
        <v>183308</v>
      </c>
      <c r="D20" s="5" t="n">
        <v>-6708</v>
      </c>
      <c r="E20" s="5" t="n">
        <v>94319</v>
      </c>
      <c r="F20" s="5" t="n">
        <v>255671</v>
      </c>
    </row>
    <row r="21">
      <c r="A21" s="6" t="inlineStr">
        <is>
          <t>Taxation paid</t>
        </is>
      </c>
      <c r="B21" s="6" t="n">
        <v>-4301</v>
      </c>
      <c r="C21" s="6" t="n">
        <v>-5721</v>
      </c>
      <c r="D21" s="6" t="n">
        <v>-5421</v>
      </c>
      <c r="E21" s="6" t="n">
        <v>-2320</v>
      </c>
      <c r="F21" s="6" t="n">
        <v>-678</v>
      </c>
    </row>
    <row r="22">
      <c r="A22" s="5" t="inlineStr">
        <is>
          <t>Net cash generated/(used) from operating activities</t>
        </is>
      </c>
      <c r="B22" s="5" t="n">
        <v>69254</v>
      </c>
      <c r="C22" s="5" t="n">
        <v>177587</v>
      </c>
      <c r="D22" s="5" t="n">
        <v>-12129</v>
      </c>
      <c r="E22" s="5" t="n">
        <v>91999</v>
      </c>
      <c r="F22" s="5" t="n">
        <v>254993</v>
      </c>
    </row>
    <row r="23">
      <c r="A23" s="5" t="inlineStr">
        <is>
          <t>Investing activities</t>
        </is>
      </c>
      <c r="B23" s="6" t="n"/>
      <c r="C23" s="6" t="n"/>
      <c r="D23" s="6" t="n"/>
      <c r="E23" s="6" t="n"/>
      <c r="F23" s="6" t="n"/>
    </row>
    <row r="24">
      <c r="A24" s="6" t="inlineStr">
        <is>
          <t>Sale of subsidiary undertaking</t>
        </is>
      </c>
      <c r="B24" s="6" t="n">
        <v>10552</v>
      </c>
      <c r="C24" s="6" t="n"/>
      <c r="D24" s="6" t="n"/>
      <c r="E24" s="6" t="n"/>
      <c r="F24" s="6" t="n"/>
    </row>
    <row r="25">
      <c r="A25" s="6" t="inlineStr">
        <is>
          <t>Income from joint venture</t>
        </is>
      </c>
      <c r="B25" s="6" t="n">
        <v>400</v>
      </c>
      <c r="C25" s="6" t="n"/>
      <c r="D25" s="6" t="n"/>
      <c r="E25" s="6" t="n"/>
      <c r="F25" s="6" t="n"/>
    </row>
    <row r="26">
      <c r="A26" s="6" t="inlineStr">
        <is>
          <t>Investment in joint venture</t>
        </is>
      </c>
      <c r="B26" s="6" t="n"/>
      <c r="C26" s="6" t="n"/>
      <c r="D26" s="6" t="n">
        <v>-60</v>
      </c>
      <c r="E26" s="6" t="n">
        <v>-280</v>
      </c>
      <c r="F26" s="6" t="n">
        <v>-12</v>
      </c>
    </row>
    <row r="27">
      <c r="A27" s="6" t="inlineStr">
        <is>
          <t>Purchase of investment securities</t>
        </is>
      </c>
      <c r="B27" s="6" t="n">
        <v>-361092</v>
      </c>
      <c r="C27" s="6" t="n">
        <v>-173844</v>
      </c>
      <c r="D27" s="6" t="n">
        <v>-66857</v>
      </c>
      <c r="E27" s="6" t="n">
        <v>-136837</v>
      </c>
      <c r="F27" s="6" t="n">
        <v>-22148</v>
      </c>
    </row>
    <row r="28">
      <c r="A28" s="6" t="inlineStr">
        <is>
          <t>Sale and maturities of investment securities</t>
        </is>
      </c>
      <c r="B28" s="6" t="n">
        <v>190722</v>
      </c>
      <c r="C28" s="6" t="n">
        <v>72330</v>
      </c>
      <c r="D28" s="6" t="n">
        <v>127951</v>
      </c>
      <c r="E28" s="6" t="n">
        <v>46415</v>
      </c>
      <c r="F28" s="6" t="n">
        <v>38649</v>
      </c>
    </row>
    <row r="29">
      <c r="A29" s="6" t="inlineStr">
        <is>
          <t>Purchase of tangible fixed assets</t>
        </is>
      </c>
      <c r="B29" s="6" t="n">
        <v>-4139</v>
      </c>
      <c r="C29" s="6" t="n">
        <v>-2103</v>
      </c>
      <c r="D29" s="6" t="n"/>
      <c r="E29" s="6" t="n"/>
      <c r="F29" s="6" t="n">
        <v>-3939</v>
      </c>
    </row>
    <row r="30">
      <c r="A30" s="6" t="inlineStr">
        <is>
          <t>Purchase of intangible fixed assets</t>
        </is>
      </c>
      <c r="B30" s="6" t="n">
        <v>-13123</v>
      </c>
      <c r="C30" s="6" t="n">
        <v>-6502</v>
      </c>
      <c r="D30" s="6" t="n"/>
      <c r="E30" s="6" t="n"/>
      <c r="F30" s="6" t="n"/>
    </row>
    <row r="31">
      <c r="A31" s="6" t="inlineStr">
        <is>
          <t>Purchase of intangible/tangible fixed assets</t>
        </is>
      </c>
      <c r="B31" s="6" t="n"/>
      <c r="C31" s="6" t="n"/>
      <c r="D31" s="6" t="n">
        <v>-7251</v>
      </c>
      <c r="E31" s="6" t="n">
        <v>-6456</v>
      </c>
      <c r="F31" s="6" t="n"/>
    </row>
    <row r="32">
      <c r="A32" s="5" t="inlineStr">
        <is>
          <t>Net cash (used)/generated from investing activities</t>
        </is>
      </c>
      <c r="B32" s="5" t="n">
        <v>-176680</v>
      </c>
      <c r="C32" s="5" t="n">
        <v>-110119</v>
      </c>
      <c r="D32" s="5" t="n">
        <v>53783</v>
      </c>
      <c r="E32" s="5" t="n">
        <v>-97158</v>
      </c>
      <c r="F32" s="5" t="n">
        <v>12550</v>
      </c>
    </row>
    <row r="33">
      <c r="A33" s="5" t="inlineStr">
        <is>
          <t>Financing activities</t>
        </is>
      </c>
      <c r="B33" s="6" t="n"/>
      <c r="C33" s="6" t="n"/>
      <c r="D33" s="6" t="n"/>
      <c r="E33" s="6" t="n"/>
      <c r="F33" s="6" t="n"/>
    </row>
    <row r="34">
      <c r="A34" s="6" t="inlineStr">
        <is>
          <t>Issue of contingent convertible securities</t>
        </is>
      </c>
      <c r="B34" s="6" t="n"/>
      <c r="C34" s="6" t="n"/>
      <c r="D34" s="6" t="n">
        <v>3000</v>
      </c>
      <c r="E34" s="6" t="n"/>
      <c r="F34" s="6" t="n"/>
    </row>
    <row r="35">
      <c r="A35" s="6" t="inlineStr">
        <is>
          <t>Equity dividends paid</t>
        </is>
      </c>
      <c r="B35" s="6" t="n">
        <v>-11100</v>
      </c>
      <c r="C35" s="6" t="n">
        <v>-5000</v>
      </c>
      <c r="D35" s="6" t="n">
        <v>-5000</v>
      </c>
      <c r="E35" s="6" t="n">
        <v>-2000</v>
      </c>
      <c r="F35" s="6" t="n">
        <v>-1250</v>
      </c>
    </row>
    <row r="36">
      <c r="A36" s="5" t="inlineStr">
        <is>
          <t>Net cash (used)/generated from financing activities</t>
        </is>
      </c>
      <c r="B36" s="5" t="n">
        <v>-11100</v>
      </c>
      <c r="C36" s="5" t="n">
        <v>-5000</v>
      </c>
      <c r="D36" s="5" t="n">
        <v>-2000</v>
      </c>
      <c r="E36" s="5" t="n">
        <v>-2000</v>
      </c>
      <c r="F36" s="5" t="n">
        <v>-1250</v>
      </c>
    </row>
    <row r="37">
      <c r="A37" s="5" t="inlineStr">
        <is>
          <t>Net increase/(decrease) in cash and cash equivalents</t>
        </is>
      </c>
      <c r="B37" s="5" t="n">
        <v>-118526</v>
      </c>
      <c r="C37" s="5" t="n">
        <v>62468</v>
      </c>
      <c r="D37" s="5" t="n">
        <v>39654</v>
      </c>
      <c r="E37" s="5" t="n">
        <v>-7159</v>
      </c>
      <c r="F37" s="5" t="n">
        <v>266293</v>
      </c>
    </row>
    <row r="38">
      <c r="A38" s="6" t="inlineStr">
        <is>
          <t>Cash and cash equivalents at beginning of year</t>
        </is>
      </c>
      <c r="B38" s="6" t="n">
        <v>687343</v>
      </c>
      <c r="C38" s="6" t="n">
        <v>624875</v>
      </c>
      <c r="D38" s="6" t="n">
        <v>585221</v>
      </c>
      <c r="E38" s="6" t="n">
        <v>592380</v>
      </c>
      <c r="F38" s="6" t="n">
        <v>326087</v>
      </c>
    </row>
    <row r="39">
      <c r="A39" s="5" t="inlineStr">
        <is>
          <t>Cash and cash equivalents at end of year</t>
        </is>
      </c>
      <c r="B39" s="5" t="n">
        <v>568817</v>
      </c>
      <c r="C39" s="5" t="n">
        <v>687343</v>
      </c>
      <c r="D39" s="5" t="n">
        <v>624875</v>
      </c>
      <c r="E39" s="5" t="n">
        <v>585221</v>
      </c>
      <c r="F39" s="5" t="n">
        <v>592380</v>
      </c>
    </row>
    <row r="41" ht="360" customHeight="1">
      <c r="A41"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c r="C4" s="6" t="n">
        <v>84898</v>
      </c>
      <c r="D4" s="6" t="n">
        <v>73192</v>
      </c>
      <c r="E4" s="6" t="n">
        <v>57524</v>
      </c>
      <c r="F4" s="6" t="n">
        <v>50247</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13.84%</t>
        </is>
      </c>
      <c r="D4" s="6" t="inlineStr">
        <is>
          <t>13.48%</t>
        </is>
      </c>
      <c r="E4" s="6" t="inlineStr">
        <is>
          <t>12.07%</t>
        </is>
      </c>
      <c r="F4" s="6" t="inlineStr">
        <is>
          <t>11.81%</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87898</v>
      </c>
      <c r="D4" s="6" t="n">
        <v>76192</v>
      </c>
      <c r="E4" s="6" t="n">
        <v>57524</v>
      </c>
      <c r="F4" s="6" t="n">
        <v>50247</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14.33%</t>
        </is>
      </c>
      <c r="D4" s="6" t="inlineStr">
        <is>
          <t>14.03%</t>
        </is>
      </c>
      <c r="E4" s="6" t="inlineStr">
        <is>
          <t>12.07%</t>
        </is>
      </c>
      <c r="F4" s="6" t="inlineStr">
        <is>
          <t>11.81%</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99753</v>
      </c>
      <c r="D4" s="6" t="n">
        <v>87815</v>
      </c>
      <c r="E4" s="6" t="n">
        <v>69108</v>
      </c>
      <c r="F4" s="6" t="n">
        <v>61634</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16.26%</t>
        </is>
      </c>
      <c r="D4" s="6" t="inlineStr">
        <is>
          <t>16.17%</t>
        </is>
      </c>
      <c r="E4" s="6" t="inlineStr">
        <is>
          <t>14.50%</t>
        </is>
      </c>
      <c r="F4" s="6" t="inlineStr">
        <is>
          <t>14.48%</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c r="C4" s="6" t="n">
        <v>613559</v>
      </c>
      <c r="D4" s="6" t="n">
        <v>543090</v>
      </c>
      <c r="E4" s="6" t="n">
        <v>476472</v>
      </c>
      <c r="F4" s="6" t="n">
        <v>425582</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7.08%</t>
        </is>
      </c>
      <c r="D4" s="6" t="inlineStr">
        <is>
          <t>7.13%</t>
        </is>
      </c>
      <c r="E4" s="6" t="inlineStr">
        <is>
          <t>5.30%</t>
        </is>
      </c>
      <c r="F4" s="6" t="inlineStr">
        <is>
          <t>3.37%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inlineStr">
        <is>
          <t>1017%</t>
        </is>
      </c>
      <c r="D4" s="6" t="inlineStr">
        <is>
          <t>896%</t>
        </is>
      </c>
      <c r="E4" s="6" t="inlineStr">
        <is>
          <t>650%</t>
        </is>
      </c>
      <c r="F4" s="6" t="inlineStr">
        <is>
          <t>531%</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266%</t>
        </is>
      </c>
      <c r="D4" s="6" t="inlineStr">
        <is>
          <t>254%</t>
        </is>
      </c>
      <c r="E4" s="6" t="inlineStr">
        <is>
          <t>259.7%</t>
        </is>
      </c>
      <c r="F4" s="6" t="inlineStr">
        <is>
          <t>268.2%</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was not separately disclosed in the Weatherbys 2021-2024 Pillar 3 documents reviewed; FY2025 has no official Pillar 3 document located. This is an explicit non-disclosure, not a zero.</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2026-08-28T22:16:35Z</dcterms:created>
  <dcterms:modified xsi:type="dcterms:W3CDTF">2026-08-28T22:16:35Z</dcterms:modified>
</cp:coreProperties>
</file>