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030A0"/>
        <bgColor rgb="007030A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Weatherbys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GBP'000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Weatherbys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'Overview'!Q12</f>
            </strRef>
          </tx>
          <spPr>
            <a:ln xmlns:a="http://schemas.openxmlformats.org/drawingml/2006/main">
              <a:prstDash val="solid"/>
            </a:ln>
          </spPr>
          <cat>
            <numRef>
              <f>'Overview'!$R$11:$V$11</f>
            </numRef>
          </cat>
          <val>
            <numRef>
              <f>'Overview'!$R$12:$V$12</f>
            </numRef>
          </val>
        </ser>
        <ser>
          <idx val="1"/>
          <order val="1"/>
          <tx>
            <strRef>
              <f>'Overview'!Q13</f>
            </strRef>
          </tx>
          <spPr>
            <a:ln xmlns:a="http://schemas.openxmlformats.org/drawingml/2006/main">
              <a:prstDash val="solid"/>
            </a:ln>
          </spPr>
          <cat>
            <numRef>
              <f>'Overview'!$R$11:$V$11</f>
            </numRef>
          </cat>
          <val>
            <numRef>
              <f>'Overview'!$R$13:$V$13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GBP'000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Weatherbys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'Overview'!Y17</f>
            </strRef>
          </tx>
          <spPr>
            <a:ln xmlns:a="http://schemas.openxmlformats.org/drawingml/2006/main">
              <a:prstDash val="solid"/>
            </a:ln>
          </spPr>
          <cat>
            <numRef>
              <f>'Overview'!$Z$16:$AD$16</f>
            </numRef>
          </cat>
          <val>
            <numRef>
              <f>'Overview'!$Z$17:$AD$17</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GBP'000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Weatherbys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'Overview'!AG21</f>
            </strRef>
          </tx>
          <spPr>
            <a:ln xmlns:a="http://schemas.openxmlformats.org/drawingml/2006/main">
              <a:prstDash val="solid"/>
            </a:ln>
          </spPr>
          <cat>
            <numRef>
              <f>'Overview'!$AH$20:$AL$20</f>
            </numRef>
          </cat>
          <val>
            <numRef>
              <f>'Overview'!$AH$21:$AL$21</f>
            </numRef>
          </val>
        </ser>
        <ser>
          <idx val="1"/>
          <order val="1"/>
          <tx>
            <strRef>
              <f>'Overview'!AG22</f>
            </strRef>
          </tx>
          <spPr>
            <a:ln xmlns:a="http://schemas.openxmlformats.org/drawingml/2006/main">
              <a:prstDash val="solid"/>
            </a:ln>
          </spPr>
          <cat>
            <numRef>
              <f>'Overview'!$AH$20:$AL$20</f>
            </numRef>
          </cat>
          <val>
            <numRef>
              <f>'Overview'!$AH$22:$AL$22</f>
            </numRef>
          </val>
        </ser>
        <ser>
          <idx val="2"/>
          <order val="2"/>
          <tx>
            <strRef>
              <f>'Overview'!AG23</f>
            </strRef>
          </tx>
          <spPr>
            <a:ln xmlns:a="http://schemas.openxmlformats.org/drawingml/2006/main">
              <a:prstDash val="solid"/>
            </a:ln>
          </spPr>
          <cat>
            <numRef>
              <f>'Overview'!$AH$20:$AL$20</f>
            </numRef>
          </cat>
          <val>
            <numRef>
              <f>'Overview'!$AH$23:$AL$23</f>
            </numRef>
          </val>
        </ser>
        <ser>
          <idx val="3"/>
          <order val="3"/>
          <tx>
            <strRef>
              <f>'Overview'!AG24</f>
            </strRef>
          </tx>
          <spPr>
            <a:ln xmlns:a="http://schemas.openxmlformats.org/drawingml/2006/main">
              <a:prstDash val="solid"/>
            </a:ln>
          </spPr>
          <cat>
            <numRef>
              <f>'Overview'!$AH$20:$AL$20</f>
            </numRef>
          </cat>
          <val>
            <numRef>
              <f>'Overview'!$AH$24:$AL$24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GBP'000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Weatherbys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33</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55</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77</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99</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121</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1"/>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Weatherbys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(GBP'000)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2053447</v>
      </c>
      <c r="C6" s="5" t="n">
        <v>1848494</v>
      </c>
      <c r="D6" s="5" t="n">
        <v>1637674</v>
      </c>
      <c r="E6" s="5" t="n">
        <v>1608564</v>
      </c>
      <c r="F6" s="5" t="n">
        <v>1476083</v>
      </c>
      <c r="I6" t="inlineStr">
        <is>
          <t>Total assets</t>
        </is>
      </c>
      <c r="J6" t="n">
        <v>1476083</v>
      </c>
      <c r="K6" t="n">
        <v>1608564</v>
      </c>
      <c r="L6" t="n">
        <v>1637674</v>
      </c>
      <c r="M6" t="n">
        <v>1848494</v>
      </c>
      <c r="N6" t="n">
        <v>2053447</v>
      </c>
      <c r="AO6" t="inlineStr">
        <is>
          <t>CET1 Ratio</t>
        </is>
      </c>
      <c r="AP6" t="n">
        <v>11.81</v>
      </c>
      <c r="AQ6" t="n">
        <v>12.07</v>
      </c>
      <c r="AR6" t="n">
        <v>13.48</v>
      </c>
      <c r="AS6" t="n">
        <v>13.84</v>
      </c>
    </row>
    <row r="7">
      <c r="A7" s="5" t="inlineStr">
        <is>
          <t>Total liabilities</t>
        </is>
      </c>
      <c r="B7" s="5" t="n">
        <v>1942333</v>
      </c>
      <c r="C7" s="5" t="n">
        <v>1748451</v>
      </c>
      <c r="D7" s="5" t="n">
        <v>1552683</v>
      </c>
      <c r="E7" s="5" t="n">
        <v>1546064</v>
      </c>
      <c r="F7" s="5" t="n">
        <v>1423283</v>
      </c>
      <c r="I7" t="inlineStr">
        <is>
          <t>Total liabilities</t>
        </is>
      </c>
      <c r="J7" t="n">
        <v>1423283</v>
      </c>
      <c r="K7" t="n">
        <v>1546064</v>
      </c>
      <c r="L7" t="n">
        <v>1552683</v>
      </c>
      <c r="M7" t="n">
        <v>1748451</v>
      </c>
      <c r="N7" t="n">
        <v>1942333</v>
      </c>
      <c r="AO7" t="inlineStr">
        <is>
          <t>Total Capital Ratio</t>
        </is>
      </c>
      <c r="AP7" t="n">
        <v>14.48</v>
      </c>
      <c r="AQ7" t="n">
        <v>14.5</v>
      </c>
      <c r="AR7" t="n">
        <v>16.17</v>
      </c>
      <c r="AS7" t="n">
        <v>16.26</v>
      </c>
    </row>
    <row r="8">
      <c r="A8" s="5" t="inlineStr">
        <is>
          <t>Total equity</t>
        </is>
      </c>
      <c r="B8" s="5" t="n">
        <v>111114</v>
      </c>
      <c r="C8" s="5" t="n">
        <v>100043</v>
      </c>
      <c r="D8" s="5" t="n">
        <v>84991</v>
      </c>
      <c r="E8" s="5" t="n">
        <v>62500</v>
      </c>
      <c r="F8" s="5" t="n">
        <v>52800</v>
      </c>
      <c r="I8" t="inlineStr">
        <is>
          <t>Total equity</t>
        </is>
      </c>
      <c r="J8" t="n">
        <v>52800</v>
      </c>
      <c r="K8" t="n">
        <v>62500</v>
      </c>
      <c r="L8" t="n">
        <v>84991</v>
      </c>
      <c r="M8" t="n">
        <v>100043</v>
      </c>
      <c r="N8" t="n">
        <v>111114</v>
      </c>
    </row>
    <row r="10">
      <c r="A10" s="3" t="inlineStr">
        <is>
          <t>Profit &amp; Loss Summary (GBP'000)</t>
        </is>
      </c>
    </row>
    <row r="11">
      <c r="A11" s="4" t="inlineStr">
        <is>
          <t>Line item</t>
        </is>
      </c>
      <c r="B11" s="4" t="inlineStr">
        <is>
          <t>FY2025</t>
        </is>
      </c>
      <c r="C11" s="4" t="inlineStr">
        <is>
          <t>FY2024</t>
        </is>
      </c>
      <c r="D11" s="4" t="inlineStr">
        <is>
          <t>FY2023</t>
        </is>
      </c>
      <c r="E11" s="4" t="inlineStr">
        <is>
          <t>FY2022</t>
        </is>
      </c>
      <c r="F11" s="4" t="inlineStr">
        <is>
          <t>FY2021</t>
        </is>
      </c>
      <c r="R11" t="inlineStr">
        <is>
          <t>FY2021</t>
        </is>
      </c>
      <c r="S11" t="inlineStr">
        <is>
          <t>FY2022</t>
        </is>
      </c>
      <c r="T11" t="inlineStr">
        <is>
          <t>FY2023</t>
        </is>
      </c>
      <c r="U11" t="inlineStr">
        <is>
          <t>FY2024</t>
        </is>
      </c>
      <c r="V11" t="inlineStr">
        <is>
          <t>FY2025</t>
        </is>
      </c>
    </row>
    <row r="12">
      <c r="A12" s="5" t="inlineStr">
        <is>
          <t>Operating income</t>
        </is>
      </c>
      <c r="B12" s="5" t="n">
        <v>91095</v>
      </c>
      <c r="C12" s="5" t="n">
        <v>90426</v>
      </c>
      <c r="D12" s="5" t="n">
        <v>88426</v>
      </c>
      <c r="E12" s="5" t="n">
        <v>58029</v>
      </c>
      <c r="F12" s="5" t="n">
        <v>39775</v>
      </c>
      <c r="Q12" t="inlineStr">
        <is>
          <t>Operating income</t>
        </is>
      </c>
      <c r="R12" t="n">
        <v>39775</v>
      </c>
      <c r="S12" t="n">
        <v>58029</v>
      </c>
      <c r="T12" t="n">
        <v>88426</v>
      </c>
      <c r="U12" t="n">
        <v>90426</v>
      </c>
      <c r="V12" t="n">
        <v>91095</v>
      </c>
    </row>
    <row r="13">
      <c r="A13" s="5" t="inlineStr">
        <is>
          <t>Profit for the financial year</t>
        </is>
      </c>
      <c r="B13" s="5" t="n">
        <v>19244</v>
      </c>
      <c r="C13" s="5" t="n">
        <v>18270</v>
      </c>
      <c r="D13" s="5" t="n">
        <v>24735</v>
      </c>
      <c r="E13" s="5" t="n">
        <v>11909</v>
      </c>
      <c r="F13" s="5" t="n">
        <v>5206</v>
      </c>
      <c r="Q13" t="inlineStr">
        <is>
          <t>Profit for the financial year</t>
        </is>
      </c>
      <c r="R13" t="n">
        <v>5206</v>
      </c>
      <c r="S13" t="n">
        <v>11909</v>
      </c>
      <c r="T13" t="n">
        <v>24735</v>
      </c>
      <c r="U13" t="n">
        <v>18270</v>
      </c>
      <c r="V13" t="n">
        <v>19244</v>
      </c>
    </row>
    <row r="15">
      <c r="A15" s="3" t="inlineStr">
        <is>
          <t>Statement of Changes in Equity Summary (GBP'000)</t>
        </is>
      </c>
    </row>
    <row r="16">
      <c r="A16" s="4" t="inlineStr">
        <is>
          <t>Line item</t>
        </is>
      </c>
      <c r="B16" s="4" t="inlineStr">
        <is>
          <t>FY2025</t>
        </is>
      </c>
      <c r="C16" s="4" t="inlineStr">
        <is>
          <t>FY2024</t>
        </is>
      </c>
      <c r="D16" s="4" t="inlineStr">
        <is>
          <t>FY2023</t>
        </is>
      </c>
      <c r="E16" s="4" t="inlineStr">
        <is>
          <t>FY2022</t>
        </is>
      </c>
      <c r="F16" s="4" t="inlineStr">
        <is>
          <t>FY2021</t>
        </is>
      </c>
      <c r="Z16" t="inlineStr">
        <is>
          <t>FY2021</t>
        </is>
      </c>
      <c r="AA16" t="inlineStr">
        <is>
          <t>FY2022</t>
        </is>
      </c>
      <c r="AB16" t="inlineStr">
        <is>
          <t>FY2023</t>
        </is>
      </c>
      <c r="AC16" t="inlineStr">
        <is>
          <t>FY2024</t>
        </is>
      </c>
      <c r="AD16" t="inlineStr">
        <is>
          <t>FY2025</t>
        </is>
      </c>
    </row>
    <row r="17">
      <c r="A17" s="5" t="inlineStr">
        <is>
          <t>Total equity (year-end)</t>
        </is>
      </c>
      <c r="B17" s="5" t="n">
        <v>111114</v>
      </c>
      <c r="C17" s="5" t="n">
        <v>100043</v>
      </c>
      <c r="D17" s="5" t="n">
        <v>84991</v>
      </c>
      <c r="E17" s="5" t="n">
        <v>62500</v>
      </c>
      <c r="F17" s="5" t="n">
        <v>52800</v>
      </c>
      <c r="Y17" t="inlineStr">
        <is>
          <t>Total equity (year-end)</t>
        </is>
      </c>
      <c r="Z17" t="n">
        <v>52800</v>
      </c>
      <c r="AA17" t="n">
        <v>62500</v>
      </c>
      <c r="AB17" t="n">
        <v>84991</v>
      </c>
      <c r="AC17" t="n">
        <v>100043</v>
      </c>
      <c r="AD17" t="n">
        <v>111114</v>
      </c>
    </row>
    <row r="19">
      <c r="A19" s="3" t="inlineStr">
        <is>
          <t>Cash Flow Summary (GBP'000)</t>
        </is>
      </c>
    </row>
    <row r="20">
      <c r="A20" s="4" t="inlineStr">
        <is>
          <t>Line item</t>
        </is>
      </c>
      <c r="B20" s="4" t="inlineStr">
        <is>
          <t>FY2025</t>
        </is>
      </c>
      <c r="C20" s="4" t="inlineStr">
        <is>
          <t>FY2024</t>
        </is>
      </c>
      <c r="D20" s="4" t="inlineStr">
        <is>
          <t>FY2023</t>
        </is>
      </c>
      <c r="E20" s="4" t="inlineStr">
        <is>
          <t>FY2022</t>
        </is>
      </c>
      <c r="F20" s="4" t="inlineStr">
        <is>
          <t>FY2021</t>
        </is>
      </c>
      <c r="AH20" t="inlineStr">
        <is>
          <t>FY2021</t>
        </is>
      </c>
      <c r="AI20" t="inlineStr">
        <is>
          <t>FY2022</t>
        </is>
      </c>
      <c r="AJ20" t="inlineStr">
        <is>
          <t>FY2023</t>
        </is>
      </c>
      <c r="AK20" t="inlineStr">
        <is>
          <t>FY2024</t>
        </is>
      </c>
      <c r="AL20" t="inlineStr">
        <is>
          <t>FY2025</t>
        </is>
      </c>
    </row>
    <row r="21">
      <c r="A21" s="5" t="inlineStr">
        <is>
          <t>Net cash generated/(used) from operating activities</t>
        </is>
      </c>
      <c r="B21" s="5" t="n">
        <v>69254</v>
      </c>
      <c r="C21" s="5" t="n">
        <v>177587</v>
      </c>
      <c r="D21" s="5" t="n">
        <v>-12129</v>
      </c>
      <c r="E21" s="5" t="n">
        <v>91999</v>
      </c>
      <c r="F21" s="5" t="n">
        <v>254993</v>
      </c>
      <c r="AG21" t="inlineStr">
        <is>
          <t>Net cash generated/(used) from operating activities</t>
        </is>
      </c>
      <c r="AH21" t="n">
        <v>254993</v>
      </c>
      <c r="AI21" t="n">
        <v>91999</v>
      </c>
      <c r="AJ21" t="n">
        <v>-12129</v>
      </c>
      <c r="AK21" t="n">
        <v>177587</v>
      </c>
      <c r="AL21" t="n">
        <v>69254</v>
      </c>
    </row>
    <row r="22">
      <c r="A22" s="5" t="inlineStr">
        <is>
          <t>Net cash (used)/generated from investing activities</t>
        </is>
      </c>
      <c r="B22" s="5" t="n">
        <v>-176680</v>
      </c>
      <c r="C22" s="5" t="n">
        <v>-110119</v>
      </c>
      <c r="D22" s="5" t="n">
        <v>53783</v>
      </c>
      <c r="E22" s="5" t="n">
        <v>-97158</v>
      </c>
      <c r="F22" s="5" t="n">
        <v>12550</v>
      </c>
      <c r="AG22" t="inlineStr">
        <is>
          <t>Net cash (used)/generated from investing activities</t>
        </is>
      </c>
      <c r="AH22" t="n">
        <v>12550</v>
      </c>
      <c r="AI22" t="n">
        <v>-97158</v>
      </c>
      <c r="AJ22" t="n">
        <v>53783</v>
      </c>
      <c r="AK22" t="n">
        <v>-110119</v>
      </c>
      <c r="AL22" t="n">
        <v>-176680</v>
      </c>
    </row>
    <row r="23">
      <c r="A23" s="5" t="inlineStr">
        <is>
          <t>Net cash (used)/generated from financing activities</t>
        </is>
      </c>
      <c r="B23" s="5" t="n">
        <v>-11100</v>
      </c>
      <c r="C23" s="5" t="n">
        <v>-5000</v>
      </c>
      <c r="D23" s="5" t="n">
        <v>-2000</v>
      </c>
      <c r="E23" s="5" t="n">
        <v>-2000</v>
      </c>
      <c r="F23" s="5" t="n">
        <v>-1250</v>
      </c>
      <c r="AG23" t="inlineStr">
        <is>
          <t>Net cash (used)/generated from financing activities</t>
        </is>
      </c>
      <c r="AH23" t="n">
        <v>-1250</v>
      </c>
      <c r="AI23" t="n">
        <v>-2000</v>
      </c>
      <c r="AJ23" t="n">
        <v>-2000</v>
      </c>
      <c r="AK23" t="n">
        <v>-5000</v>
      </c>
      <c r="AL23" t="n">
        <v>-11100</v>
      </c>
    </row>
    <row r="24">
      <c r="A24" s="5" t="inlineStr">
        <is>
          <t>Cash and cash equivalents at end of year</t>
        </is>
      </c>
      <c r="B24" s="5" t="n">
        <v>568817</v>
      </c>
      <c r="C24" s="5" t="n">
        <v>687343</v>
      </c>
      <c r="D24" s="5" t="n">
        <v>624875</v>
      </c>
      <c r="E24" s="5" t="n">
        <v>585221</v>
      </c>
      <c r="F24" s="5" t="n">
        <v>592380</v>
      </c>
      <c r="AG24" t="inlineStr">
        <is>
          <t>Cash and cash equivalents at end of year</t>
        </is>
      </c>
      <c r="AH24" t="n">
        <v>592380</v>
      </c>
      <c r="AI24" t="n">
        <v>585221</v>
      </c>
      <c r="AJ24" t="n">
        <v>624875</v>
      </c>
      <c r="AK24" t="n">
        <v>687343</v>
      </c>
      <c r="AL24" t="n">
        <v>568817</v>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row>
    <row r="28">
      <c r="A28" s="6" t="inlineStr">
        <is>
          <t>CET1 Ratio</t>
        </is>
      </c>
      <c r="B28" s="6" t="n"/>
      <c r="C28" s="6" t="inlineStr">
        <is>
          <t>13.84%</t>
        </is>
      </c>
      <c r="D28" s="6" t="inlineStr">
        <is>
          <t>13.48%</t>
        </is>
      </c>
      <c r="E28" s="6" t="inlineStr">
        <is>
          <t>12.07%</t>
        </is>
      </c>
      <c r="F28" s="6" t="inlineStr">
        <is>
          <t>11.81%</t>
        </is>
      </c>
    </row>
    <row r="29">
      <c r="A29" s="6" t="inlineStr">
        <is>
          <t>Total Capital Ratio</t>
        </is>
      </c>
      <c r="B29" s="6" t="n"/>
      <c r="C29" s="6" t="inlineStr">
        <is>
          <t>16.26%</t>
        </is>
      </c>
      <c r="D29" s="6" t="inlineStr">
        <is>
          <t>16.17%</t>
        </is>
      </c>
      <c r="E29" s="6" t="inlineStr">
        <is>
          <t>14.50%</t>
        </is>
      </c>
      <c r="F29" s="6" t="inlineStr">
        <is>
          <t>14.48%</t>
        </is>
      </c>
    </row>
    <row r="31" ht="45" customHeight="1">
      <c r="A31" s="7" t="inlineStr">
        <is>
          <t>Note: FY2025 Pillar 3 metrics are blank because no 2025 official disclosure was located; FY2021-FY2024 values are the official Weatherbys Group/Solo disclosures.</t>
        </is>
      </c>
    </row>
  </sheetData>
  <mergeCells count="1">
    <mergeCell ref="A31:F3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Weatherbys Bank Limited — Balance Sheet</t>
        </is>
      </c>
    </row>
    <row r="2">
      <c r="A2" s="2" t="inlineStr">
        <is>
          <t>Weatherbys Banking Group consolidated statement of financial position, GBP'000. Five latest available financial years.</t>
        </is>
      </c>
    </row>
    <row r="3">
      <c r="A3" s="4" t="inlineStr">
        <is>
          <t>Line item</t>
        </is>
      </c>
      <c r="B3" s="4" t="inlineStr">
        <is>
          <t>FY2025 (GBP'000)</t>
        </is>
      </c>
      <c r="C3" s="4" t="inlineStr">
        <is>
          <t>FY2024 (GBP'000)</t>
        </is>
      </c>
      <c r="D3" s="4" t="inlineStr">
        <is>
          <t>FY2023 (GBP'000)</t>
        </is>
      </c>
      <c r="E3" s="4" t="inlineStr">
        <is>
          <t>FY2022 (GBP'000)</t>
        </is>
      </c>
      <c r="F3" s="4" t="inlineStr">
        <is>
          <t>FY2021 (GBP'000)</t>
        </is>
      </c>
    </row>
    <row r="4">
      <c r="A4" s="5" t="inlineStr">
        <is>
          <t>Assets</t>
        </is>
      </c>
      <c r="B4" s="6" t="n"/>
      <c r="C4" s="6" t="n"/>
      <c r="D4" s="6" t="n"/>
      <c r="E4" s="6" t="n"/>
      <c r="F4" s="6" t="n"/>
    </row>
    <row r="5">
      <c r="A5" s="6" t="inlineStr">
        <is>
          <t>Cash at banks / Loans and advances to banks</t>
        </is>
      </c>
      <c r="B5" s="6" t="n">
        <v>575367</v>
      </c>
      <c r="C5" s="6" t="n">
        <v>687343</v>
      </c>
      <c r="D5" s="6" t="n">
        <v>624875</v>
      </c>
      <c r="E5" s="6" t="n">
        <v>585221</v>
      </c>
      <c r="F5" s="6" t="n">
        <v>592380</v>
      </c>
    </row>
    <row r="6">
      <c r="A6" s="6" t="inlineStr">
        <is>
          <t>Derivative financial assets</t>
        </is>
      </c>
      <c r="B6" s="6" t="n">
        <v>1394</v>
      </c>
      <c r="C6" s="6" t="n">
        <v>5018</v>
      </c>
      <c r="D6" s="6" t="n">
        <v>5194</v>
      </c>
      <c r="E6" s="6" t="n">
        <v>9813</v>
      </c>
      <c r="F6" s="6" t="n">
        <v>961</v>
      </c>
    </row>
    <row r="7">
      <c r="A7" s="6" t="inlineStr">
        <is>
          <t>Loans and advances to customers</t>
        </is>
      </c>
      <c r="B7" s="6" t="n">
        <v>1006160</v>
      </c>
      <c r="C7" s="6" t="n">
        <v>859672</v>
      </c>
      <c r="D7" s="6" t="n">
        <v>821700</v>
      </c>
      <c r="E7" s="6" t="n">
        <v>775573</v>
      </c>
      <c r="F7" s="6" t="n">
        <v>744591</v>
      </c>
    </row>
    <row r="8">
      <c r="A8" s="6" t="inlineStr">
        <is>
          <t>Debt securities</t>
        </is>
      </c>
      <c r="B8" s="6" t="n">
        <v>420989</v>
      </c>
      <c r="C8" s="6" t="n">
        <v>248749</v>
      </c>
      <c r="D8" s="6" t="n">
        <v>146097</v>
      </c>
      <c r="E8" s="6" t="n">
        <v>207605</v>
      </c>
      <c r="F8" s="6" t="n">
        <v>117625</v>
      </c>
    </row>
    <row r="9">
      <c r="A9" s="6" t="inlineStr">
        <is>
          <t>Investment in joint venture</t>
        </is>
      </c>
      <c r="B9" s="6" t="n"/>
      <c r="C9" s="6" t="n">
        <v>670</v>
      </c>
      <c r="D9" s="6" t="n">
        <v>670</v>
      </c>
      <c r="E9" s="6" t="n">
        <v>610</v>
      </c>
      <c r="F9" s="6" t="n">
        <v>330</v>
      </c>
    </row>
    <row r="10">
      <c r="A10" s="6" t="inlineStr">
        <is>
          <t>Investments</t>
        </is>
      </c>
      <c r="B10" s="6" t="n">
        <v>364</v>
      </c>
      <c r="C10" s="6" t="n">
        <v>384</v>
      </c>
      <c r="D10" s="6" t="n">
        <v>455</v>
      </c>
      <c r="E10" s="6" t="n">
        <v>438</v>
      </c>
      <c r="F10" s="6" t="n">
        <v>542</v>
      </c>
    </row>
    <row r="11">
      <c r="A11" s="6" t="inlineStr">
        <is>
          <t>Intangible fixed assets</t>
        </is>
      </c>
      <c r="B11" s="6" t="n">
        <v>24676</v>
      </c>
      <c r="C11" s="6" t="n">
        <v>16194</v>
      </c>
      <c r="D11" s="6" t="n">
        <v>12327</v>
      </c>
      <c r="E11" s="6" t="n">
        <v>6145</v>
      </c>
      <c r="F11" s="6" t="n">
        <v>3154</v>
      </c>
    </row>
    <row r="12">
      <c r="A12" s="6" t="inlineStr">
        <is>
          <t>Tangible fixed assets</t>
        </is>
      </c>
      <c r="B12" s="6" t="n">
        <v>10936</v>
      </c>
      <c r="C12" s="6" t="n">
        <v>9397</v>
      </c>
      <c r="D12" s="6" t="n">
        <v>9283</v>
      </c>
      <c r="E12" s="6" t="n">
        <v>11216</v>
      </c>
      <c r="F12" s="6" t="n">
        <v>10747</v>
      </c>
    </row>
    <row r="13">
      <c r="A13" s="6" t="inlineStr">
        <is>
          <t>Other assets</t>
        </is>
      </c>
      <c r="B13" s="6" t="n">
        <v>2753</v>
      </c>
      <c r="C13" s="6" t="n">
        <v>1875</v>
      </c>
      <c r="D13" s="6" t="n">
        <v>1913</v>
      </c>
      <c r="E13" s="6" t="n">
        <v>1711</v>
      </c>
      <c r="F13" s="6" t="n">
        <v>1803</v>
      </c>
    </row>
    <row r="14">
      <c r="A14" s="6" t="inlineStr">
        <is>
          <t>Prepayments and accrued income</t>
        </is>
      </c>
      <c r="B14" s="6" t="n">
        <v>10808</v>
      </c>
      <c r="C14" s="6" t="n">
        <v>19192</v>
      </c>
      <c r="D14" s="6" t="n">
        <v>15160</v>
      </c>
      <c r="E14" s="6" t="n">
        <v>10232</v>
      </c>
      <c r="F14" s="6" t="n">
        <v>3950</v>
      </c>
    </row>
    <row r="15">
      <c r="A15" s="5" t="inlineStr">
        <is>
          <t>Total assets</t>
        </is>
      </c>
      <c r="B15" s="5" t="n">
        <v>2053447</v>
      </c>
      <c r="C15" s="5" t="n">
        <v>1848494</v>
      </c>
      <c r="D15" s="5" t="n">
        <v>1637674</v>
      </c>
      <c r="E15" s="5" t="n">
        <v>1608564</v>
      </c>
      <c r="F15" s="5" t="n">
        <v>1476083</v>
      </c>
    </row>
    <row r="16">
      <c r="A16" s="5" t="inlineStr">
        <is>
          <t>Liabilities</t>
        </is>
      </c>
      <c r="B16" s="6" t="n"/>
      <c r="C16" s="6" t="n"/>
      <c r="D16" s="6" t="n"/>
      <c r="E16" s="6" t="n"/>
      <c r="F16" s="6" t="n"/>
    </row>
    <row r="17">
      <c r="A17" s="6" t="inlineStr">
        <is>
          <t>Derivative financial liabilities</t>
        </is>
      </c>
      <c r="B17" s="6" t="n">
        <v>4075</v>
      </c>
      <c r="C17" s="6" t="n">
        <v>1269</v>
      </c>
      <c r="D17" s="6" t="n">
        <v>3069</v>
      </c>
      <c r="E17" s="6" t="n">
        <v>472</v>
      </c>
      <c r="F17" s="6" t="n">
        <v>238</v>
      </c>
    </row>
    <row r="18">
      <c r="A18" s="6" t="inlineStr">
        <is>
          <t>Customer accounts</t>
        </is>
      </c>
      <c r="B18" s="6" t="n">
        <v>1905431</v>
      </c>
      <c r="C18" s="6" t="n">
        <v>1707796</v>
      </c>
      <c r="D18" s="6" t="n">
        <v>1504566</v>
      </c>
      <c r="E18" s="6" t="n">
        <v>1521191</v>
      </c>
      <c r="F18" s="6" t="n">
        <v>1404601</v>
      </c>
    </row>
    <row r="19">
      <c r="A19" s="6" t="inlineStr">
        <is>
          <t>Other liabilities</t>
        </is>
      </c>
      <c r="B19" s="6" t="n">
        <v>12734</v>
      </c>
      <c r="C19" s="6" t="n">
        <v>18287</v>
      </c>
      <c r="D19" s="6" t="n">
        <v>22583</v>
      </c>
      <c r="E19" s="6" t="n">
        <v>7903</v>
      </c>
      <c r="F19" s="6" t="n">
        <v>4568</v>
      </c>
    </row>
    <row r="20">
      <c r="A20" s="6" t="inlineStr">
        <is>
          <t>Accruals and deferred income</t>
        </is>
      </c>
      <c r="B20" s="6" t="n">
        <v>10093</v>
      </c>
      <c r="C20" s="6" t="n">
        <v>11099</v>
      </c>
      <c r="D20" s="6" t="n">
        <v>12465</v>
      </c>
      <c r="E20" s="6" t="n">
        <v>6498</v>
      </c>
      <c r="F20" s="6" t="n">
        <v>3876</v>
      </c>
    </row>
    <row r="21">
      <c r="A21" s="6" t="inlineStr">
        <is>
          <t>Subordinated loan</t>
        </is>
      </c>
      <c r="B21" s="6" t="n">
        <v>10000</v>
      </c>
      <c r="C21" s="6" t="n">
        <v>10000</v>
      </c>
      <c r="D21" s="6" t="n">
        <v>10000</v>
      </c>
      <c r="E21" s="6" t="n">
        <v>10000</v>
      </c>
      <c r="F21" s="6" t="n">
        <v>10000</v>
      </c>
    </row>
    <row r="22">
      <c r="A22" s="5" t="inlineStr">
        <is>
          <t>Total liabilities</t>
        </is>
      </c>
      <c r="B22" s="5" t="n">
        <v>1942333</v>
      </c>
      <c r="C22" s="5" t="n">
        <v>1748451</v>
      </c>
      <c r="D22" s="5" t="n">
        <v>1552683</v>
      </c>
      <c r="E22" s="5" t="n">
        <v>1546064</v>
      </c>
      <c r="F22" s="5" t="n">
        <v>1423283</v>
      </c>
    </row>
    <row r="23">
      <c r="A23" s="5" t="inlineStr">
        <is>
          <t>Shareholders' funds</t>
        </is>
      </c>
      <c r="B23" s="6" t="n"/>
      <c r="C23" s="6" t="n"/>
      <c r="D23" s="6" t="n"/>
      <c r="E23" s="6" t="n"/>
      <c r="F23" s="6" t="n"/>
    </row>
    <row r="24">
      <c r="A24" s="6" t="inlineStr">
        <is>
          <t>Called up share capital</t>
        </is>
      </c>
      <c r="B24" s="6" t="n">
        <v>7000</v>
      </c>
      <c r="C24" s="6" t="n">
        <v>7000</v>
      </c>
      <c r="D24" s="6" t="n">
        <v>7000</v>
      </c>
      <c r="E24" s="6" t="n">
        <v>7000</v>
      </c>
      <c r="F24" s="6" t="n">
        <v>7000</v>
      </c>
    </row>
    <row r="25">
      <c r="A25" s="6" t="inlineStr">
        <is>
          <t>Contingent convertible securities</t>
        </is>
      </c>
      <c r="B25" s="6" t="n">
        <v>3000</v>
      </c>
      <c r="C25" s="6" t="n">
        <v>3000</v>
      </c>
      <c r="D25" s="6" t="n">
        <v>3000</v>
      </c>
      <c r="E25" s="6" t="n"/>
      <c r="F25" s="6" t="n"/>
    </row>
    <row r="26">
      <c r="A26" s="6" t="inlineStr">
        <is>
          <t>Revaluation reserve</t>
        </is>
      </c>
      <c r="B26" s="6" t="n">
        <v>231</v>
      </c>
      <c r="C26" s="6" t="n">
        <v>404</v>
      </c>
      <c r="D26" s="6" t="n">
        <v>522</v>
      </c>
      <c r="E26" s="6" t="n">
        <v>766</v>
      </c>
      <c r="F26" s="6" t="n">
        <v>975</v>
      </c>
    </row>
    <row r="27">
      <c r="A27" s="6" t="inlineStr">
        <is>
          <t>Profit and loss account</t>
        </is>
      </c>
      <c r="B27" s="6" t="n">
        <v>100883</v>
      </c>
      <c r="C27" s="6" t="n">
        <v>89639</v>
      </c>
      <c r="D27" s="6" t="n">
        <v>74469</v>
      </c>
      <c r="E27" s="6" t="n">
        <v>54734</v>
      </c>
      <c r="F27" s="6" t="n">
        <v>44825</v>
      </c>
    </row>
    <row r="28">
      <c r="A28" s="5" t="inlineStr">
        <is>
          <t>Total equity</t>
        </is>
      </c>
      <c r="B28" s="5" t="n">
        <v>111114</v>
      </c>
      <c r="C28" s="5" t="n">
        <v>100043</v>
      </c>
      <c r="D28" s="5" t="n">
        <v>84991</v>
      </c>
      <c r="E28" s="5" t="n">
        <v>62500</v>
      </c>
      <c r="F28" s="5" t="n">
        <v>52800</v>
      </c>
    </row>
    <row r="29">
      <c r="A29" s="5" t="inlineStr">
        <is>
          <t>Total liabilities and equity</t>
        </is>
      </c>
      <c r="B29" s="5" t="n">
        <v>2053447</v>
      </c>
      <c r="C29" s="5" t="n">
        <v>1848494</v>
      </c>
      <c r="D29" s="5" t="n">
        <v>1637674</v>
      </c>
      <c r="E29" s="5" t="n">
        <v>1608564</v>
      </c>
      <c r="F29" s="5" t="n">
        <v>1476083</v>
      </c>
    </row>
    <row r="31" ht="280" customHeight="1">
      <c r="A31" s="8" t="inlineStr">
        <is>
          <t>Sources - Weatherbys Banking Group consolidated statement of financial position, GBP'000: FY2025: Annual Report and Financial Accounts 2025, p.60 - https://www.weatherbys.bank/weatherbys-banking-group-annual-report-2025/; FY2024: Annual Report &amp; Accounts 2024, p.41 - https://www.weatherbys.bank/app/uploads/2025/04/Weatherbys-Banking-Group-Annual-Report-2024.pdf; FY2023: Annual Report &amp; Accounts 2023, p.46 - https://www.weatherbys.bank/app/uploads/2024/05/Weatherbys-Banking-Group-Annual-Report-2023.pdf; FY2022/FY2021: Annual Report &amp; Accounts 2022, p.42 - https://www.weatherbys.bank/app/uploads/2023/05/Weatherbys-Banking-Group-Annual_Report-2022.pdf.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AR2025's own restated FY2024 comparative balance sheet (note 36, 'Statement of financial position reclassification') moves broker commissions and interest receivable/payable between prepayments, loans and advances to customers, other liabilities and customer accounts, with no impact on profit or net assets - AR2025's FY2024 Total assets is £1,847,554k against AR2024's own originally published £1,848,494k, a further ~£940k gap beyond what note 36 explains. Per project convention, FY2024 uses AR2024's own originally published figures throughout (Total assets £1,848,494k), not the later restated comparative; the two years' FY2024 Total equity figures agree exactly (£100,043k) and the Profit &amp; Loss/ Statement of Changes in Equity figures for FY2024 are unaffected by the reclassification. Prior to 2024 the liquid-balances line is labelled 'Loans and advances to banks' (FY2021-FY2023); from 2024 it is labelled 'Cash at banks' - the same underlying balance, relabelled, not a new line.</t>
        </is>
      </c>
    </row>
  </sheetData>
  <mergeCells count="1">
    <mergeCell ref="A31:F3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Weatherbys Bank Limited — Profit &amp; Loss</t>
        </is>
      </c>
    </row>
    <row r="2">
      <c r="A2" s="2" t="inlineStr">
        <is>
          <t>Weatherbys Banking Group consolidated income statement, GBP'000. Five latest available financial years.</t>
        </is>
      </c>
    </row>
    <row r="3">
      <c r="A3" s="4" t="inlineStr">
        <is>
          <t>Line item</t>
        </is>
      </c>
      <c r="B3" s="4" t="inlineStr">
        <is>
          <t>FY2025 (GBP'000)</t>
        </is>
      </c>
      <c r="C3" s="4" t="inlineStr">
        <is>
          <t>FY2024 (GBP'000)</t>
        </is>
      </c>
      <c r="D3" s="4" t="inlineStr">
        <is>
          <t>FY2023 (GBP'000)</t>
        </is>
      </c>
      <c r="E3" s="4" t="inlineStr">
        <is>
          <t>FY2022 (GBP'000)</t>
        </is>
      </c>
      <c r="F3" s="4" t="inlineStr">
        <is>
          <t>FY2021 (GBP'000)</t>
        </is>
      </c>
    </row>
    <row r="4">
      <c r="A4" s="5" t="inlineStr">
        <is>
          <t>Income</t>
        </is>
      </c>
      <c r="B4" s="6" t="n"/>
      <c r="C4" s="6" t="n"/>
      <c r="D4" s="6" t="n"/>
      <c r="E4" s="6" t="n"/>
      <c r="F4" s="6" t="n"/>
    </row>
    <row r="5">
      <c r="A5" s="6" t="inlineStr">
        <is>
          <t>Interest receivable - arising from debt securities</t>
        </is>
      </c>
      <c r="B5" s="6" t="n">
        <v>12442</v>
      </c>
      <c r="C5" s="6" t="n">
        <v>12235</v>
      </c>
      <c r="D5" s="6" t="n">
        <v>8846</v>
      </c>
      <c r="E5" s="6" t="n">
        <v>2642</v>
      </c>
      <c r="F5" s="6" t="n">
        <v>655</v>
      </c>
    </row>
    <row r="6">
      <c r="A6" s="6" t="inlineStr">
        <is>
          <t>Interest receivable - other interest and similar income</t>
        </is>
      </c>
      <c r="B6" s="6" t="n">
        <v>102751</v>
      </c>
      <c r="C6" s="6" t="n">
        <v>104058</v>
      </c>
      <c r="D6" s="6" t="n">
        <v>93591</v>
      </c>
      <c r="E6" s="6" t="n">
        <v>51278</v>
      </c>
      <c r="F6" s="6" t="n">
        <v>35361</v>
      </c>
    </row>
    <row r="7">
      <c r="A7" s="6" t="inlineStr">
        <is>
          <t>Interest payable</t>
        </is>
      </c>
      <c r="B7" s="6" t="n">
        <v>-36240</v>
      </c>
      <c r="C7" s="6" t="n">
        <v>-37279</v>
      </c>
      <c r="D7" s="6" t="n">
        <v>-24283</v>
      </c>
      <c r="E7" s="6" t="n">
        <v>-4733</v>
      </c>
      <c r="F7" s="6" t="n">
        <v>-3996</v>
      </c>
    </row>
    <row r="8">
      <c r="A8" s="5" t="inlineStr">
        <is>
          <t>Net interest income</t>
        </is>
      </c>
      <c r="B8" s="5" t="n">
        <v>78953</v>
      </c>
      <c r="C8" s="5" t="n">
        <v>79014</v>
      </c>
      <c r="D8" s="5" t="n">
        <v>78154</v>
      </c>
      <c r="E8" s="5" t="n">
        <v>49187</v>
      </c>
      <c r="F8" s="5" t="n">
        <v>32020</v>
      </c>
    </row>
    <row r="9">
      <c r="A9" s="6" t="inlineStr">
        <is>
          <t>Fees and commissions receivable</t>
        </is>
      </c>
      <c r="B9" s="6" t="n">
        <v>8973</v>
      </c>
      <c r="C9" s="6" t="n">
        <v>7852</v>
      </c>
      <c r="D9" s="6" t="n">
        <v>6796</v>
      </c>
      <c r="E9" s="6" t="n">
        <v>5862</v>
      </c>
      <c r="F9" s="6" t="n">
        <v>5118</v>
      </c>
    </row>
    <row r="10">
      <c r="A10" s="6" t="inlineStr">
        <is>
          <t>Fees and commissions payable</t>
        </is>
      </c>
      <c r="B10" s="6" t="n">
        <v>-1130</v>
      </c>
      <c r="C10" s="6" t="n">
        <v>-942</v>
      </c>
      <c r="D10" s="6" t="n">
        <v>-615</v>
      </c>
      <c r="E10" s="6" t="n">
        <v>-546</v>
      </c>
      <c r="F10" s="6" t="n">
        <v>-493</v>
      </c>
    </row>
    <row r="11">
      <c r="A11" s="6" t="inlineStr">
        <is>
          <t>Rent receivable</t>
        </is>
      </c>
      <c r="B11" s="6" t="n"/>
      <c r="C11" s="6" t="n"/>
      <c r="D11" s="6" t="n">
        <v>84</v>
      </c>
      <c r="E11" s="6" t="n"/>
      <c r="F11" s="6" t="n"/>
    </row>
    <row r="12">
      <c r="A12" s="6" t="inlineStr">
        <is>
          <t>Other operating income</t>
        </is>
      </c>
      <c r="B12" s="6" t="n">
        <v>4299</v>
      </c>
      <c r="C12" s="6" t="n">
        <v>4502</v>
      </c>
      <c r="D12" s="6" t="n">
        <v>4007</v>
      </c>
      <c r="E12" s="6" t="n">
        <v>3526</v>
      </c>
      <c r="F12" s="6" t="n">
        <v>3130</v>
      </c>
    </row>
    <row r="13">
      <c r="A13" s="5" t="inlineStr">
        <is>
          <t>Operating income</t>
        </is>
      </c>
      <c r="B13" s="5" t="n">
        <v>91095</v>
      </c>
      <c r="C13" s="5" t="n">
        <v>90426</v>
      </c>
      <c r="D13" s="5" t="n">
        <v>88426</v>
      </c>
      <c r="E13" s="5" t="n">
        <v>58029</v>
      </c>
      <c r="F13" s="5" t="n">
        <v>39775</v>
      </c>
    </row>
    <row r="14">
      <c r="A14" s="5" t="inlineStr">
        <is>
          <t>Operating expenses</t>
        </is>
      </c>
      <c r="B14" s="6" t="n"/>
      <c r="C14" s="6" t="n"/>
      <c r="D14" s="6" t="n"/>
      <c r="E14" s="6" t="n"/>
      <c r="F14" s="6" t="n"/>
    </row>
    <row r="15">
      <c r="A15" s="6" t="inlineStr">
        <is>
          <t>(Loss)/gain on value of derivatives</t>
        </is>
      </c>
      <c r="B15" s="6" t="n">
        <v>-673</v>
      </c>
      <c r="C15" s="6" t="n">
        <v>117</v>
      </c>
      <c r="D15" s="6" t="n">
        <v>75</v>
      </c>
      <c r="E15" s="6" t="n">
        <v>76</v>
      </c>
      <c r="F15" s="6" t="n">
        <v>2362</v>
      </c>
    </row>
    <row r="16">
      <c r="A16" s="6" t="inlineStr">
        <is>
          <t>Administrative expenses</t>
        </is>
      </c>
      <c r="B16" s="6" t="n">
        <v>-65873</v>
      </c>
      <c r="C16" s="6" t="n">
        <v>-55163</v>
      </c>
      <c r="D16" s="6" t="n">
        <v>-50274</v>
      </c>
      <c r="E16" s="6" t="n">
        <v>-39014</v>
      </c>
      <c r="F16" s="6" t="n">
        <v>-31654</v>
      </c>
    </row>
    <row r="17">
      <c r="A17" s="6" t="inlineStr">
        <is>
          <t>Depreciation and amortisation</t>
        </is>
      </c>
      <c r="B17" s="6" t="n">
        <v>-7065</v>
      </c>
      <c r="C17" s="6" t="n">
        <v>-4505</v>
      </c>
      <c r="D17" s="6" t="n">
        <v>-2758</v>
      </c>
      <c r="E17" s="6" t="n">
        <v>-2786</v>
      </c>
      <c r="F17" s="6" t="n">
        <v>-2402</v>
      </c>
    </row>
    <row r="18">
      <c r="A18" s="6" t="inlineStr">
        <is>
          <t>Impairment charge on loans and advances</t>
        </is>
      </c>
      <c r="B18" s="6" t="n">
        <v>-4648</v>
      </c>
      <c r="C18" s="6" t="n">
        <v>-4571</v>
      </c>
      <c r="D18" s="6" t="n">
        <v>-2784</v>
      </c>
      <c r="E18" s="6" t="n">
        <v>-1400</v>
      </c>
      <c r="F18" s="6" t="n">
        <v>-1559</v>
      </c>
    </row>
    <row r="19">
      <c r="A19" s="6" t="inlineStr">
        <is>
          <t>Share of operating profit in joint venture</t>
        </is>
      </c>
      <c r="B19" s="6" t="n"/>
      <c r="C19" s="6" t="n">
        <v>400</v>
      </c>
      <c r="D19" s="6" t="n">
        <v>400</v>
      </c>
      <c r="E19" s="6" t="n">
        <v>340</v>
      </c>
      <c r="F19" s="6" t="n">
        <v>280</v>
      </c>
    </row>
    <row r="20">
      <c r="A20" s="5" t="inlineStr">
        <is>
          <t>Operating profit before exceptional items and tax</t>
        </is>
      </c>
      <c r="B20" s="5" t="n">
        <v>12836</v>
      </c>
      <c r="C20" s="5" t="n">
        <v>26704</v>
      </c>
      <c r="D20" s="5" t="n">
        <v>33085</v>
      </c>
      <c r="E20" s="5" t="n">
        <v>15245</v>
      </c>
      <c r="F20" s="5" t="n">
        <v>6802</v>
      </c>
    </row>
    <row r="21">
      <c r="A21" s="6" t="inlineStr">
        <is>
          <t>Exceptional item</t>
        </is>
      </c>
      <c r="B21" s="6" t="n">
        <v>10238</v>
      </c>
      <c r="C21" s="6" t="n">
        <v>-2128</v>
      </c>
      <c r="D21" s="6" t="n"/>
      <c r="E21" s="6" t="n"/>
      <c r="F21" s="6" t="n"/>
    </row>
    <row r="22">
      <c r="A22" s="5" t="inlineStr">
        <is>
          <t>Operating profit before tax</t>
        </is>
      </c>
      <c r="B22" s="5" t="n">
        <v>23074</v>
      </c>
      <c r="C22" s="5" t="n">
        <v>24576</v>
      </c>
      <c r="D22" s="5" t="n">
        <v>33085</v>
      </c>
      <c r="E22" s="5" t="n">
        <v>15245</v>
      </c>
      <c r="F22" s="5" t="n">
        <v>6802</v>
      </c>
    </row>
    <row r="23">
      <c r="A23" s="6" t="inlineStr">
        <is>
          <t>Taxation on profit</t>
        </is>
      </c>
      <c r="B23" s="6" t="n">
        <v>-3830</v>
      </c>
      <c r="C23" s="6" t="n">
        <v>-6306</v>
      </c>
      <c r="D23" s="6" t="n">
        <v>-8350</v>
      </c>
      <c r="E23" s="6" t="n">
        <v>-3336</v>
      </c>
      <c r="F23" s="6" t="n">
        <v>-1596</v>
      </c>
    </row>
    <row r="24">
      <c r="A24" s="5" t="inlineStr">
        <is>
          <t>Profit for the financial year</t>
        </is>
      </c>
      <c r="B24" s="5" t="n">
        <v>19244</v>
      </c>
      <c r="C24" s="5" t="n">
        <v>18270</v>
      </c>
      <c r="D24" s="5" t="n">
        <v>24735</v>
      </c>
      <c r="E24" s="5" t="n">
        <v>11909</v>
      </c>
      <c r="F24" s="5" t="n">
        <v>5206</v>
      </c>
    </row>
    <row r="25">
      <c r="A25" s="5" t="inlineStr">
        <is>
          <t>Other comprehensive income</t>
        </is>
      </c>
      <c r="B25" s="6" t="n"/>
      <c r="C25" s="6" t="n"/>
      <c r="D25" s="6" t="n"/>
      <c r="E25" s="6" t="n"/>
      <c r="F25" s="6" t="n"/>
    </row>
    <row r="26">
      <c r="A26" s="6" t="inlineStr">
        <is>
          <t>Revaluation of tangible fixed assets</t>
        </is>
      </c>
      <c r="B26" s="6" t="n">
        <v>-173</v>
      </c>
      <c r="C26" s="6" t="n">
        <v>-118</v>
      </c>
      <c r="D26" s="6" t="n">
        <v>-244</v>
      </c>
      <c r="E26" s="6" t="n">
        <v>-209</v>
      </c>
      <c r="F26" s="6" t="n">
        <v>458</v>
      </c>
    </row>
    <row r="27">
      <c r="A27" s="5" t="inlineStr">
        <is>
          <t>Total comprehensive income for the year</t>
        </is>
      </c>
      <c r="B27" s="5" t="n">
        <v>19071</v>
      </c>
      <c r="C27" s="5" t="n">
        <v>18152</v>
      </c>
      <c r="D27" s="5" t="n">
        <v>24491</v>
      </c>
      <c r="E27" s="5" t="n">
        <v>11700</v>
      </c>
      <c r="F27" s="5" t="n">
        <v>5664</v>
      </c>
    </row>
    <row r="29" ht="220" customHeight="1">
      <c r="A29" s="8" t="inlineStr">
        <is>
          <t>Sources - Weatherbys Banking Group consolidated income statement, GBP'000: FY2025: Annual Report and Financial Accounts 2025, p.58 - https://www.weatherbys.bank/weatherbys-banking-group-annual-report-2025/; FY2024: Annual Report &amp; Accounts 2024, p.39 - https://www.weatherbys.bank/app/uploads/2025/04/Weatherbys-Banking-Group-Annual-Report-2024.pdf; FY2023: Annual Report &amp; Accounts 2023, pp.44-45 - https://www.weatherbys.bank/app/uploads/2024/05/Weatherbys-Banking-Group-Annual-Report-2023.pdf; FY2022/FY2021: Annual Report &amp; Accounts 2022, p.40 - https://www.weatherbys.bank/app/uploads/2023/05/Weatherbys-Banking-Group-Annual_Report-2022.pdf.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FY2025's exceptional item is a £10,238k gain (sale of subsidiary/tangible fixed assets, matching the Cash Flow Statement's disposal line); FY2024's exceptional item is a £2,128k charge; FY2023/FY2022/FY2021 had no exceptional item line. FY2023 additionally discloses a small Rent Receivable line (£84k) not present in other years.</t>
        </is>
      </c>
    </row>
  </sheetData>
  <mergeCells count="1">
    <mergeCell ref="A29:F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2"/>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Weatherbys Bank Limited — Statement of Changes in Equity</t>
        </is>
      </c>
    </row>
    <row r="2">
      <c r="A2" s="2" t="inlineStr">
        <is>
          <t>Weatherbys Banking Group consolidated statement of changes in equity, GBP'000. Chronological, oldest to newest.</t>
        </is>
      </c>
    </row>
    <row r="3">
      <c r="A3" s="4" t="inlineStr">
        <is>
          <t>Movement</t>
        </is>
      </c>
      <c r="B3" s="4" t="inlineStr">
        <is>
          <t>Share capital</t>
        </is>
      </c>
      <c r="C3" s="4" t="inlineStr">
        <is>
          <t>Contingent Convertible Securities</t>
        </is>
      </c>
      <c r="D3" s="4" t="inlineStr">
        <is>
          <t>Revaluation reserve</t>
        </is>
      </c>
      <c r="E3" s="4" t="inlineStr">
        <is>
          <t>Profit &amp; loss account</t>
        </is>
      </c>
      <c r="F3" s="4" t="inlineStr">
        <is>
          <t>Total equity</t>
        </is>
      </c>
    </row>
    <row r="4">
      <c r="A4" s="6" t="inlineStr">
        <is>
          <t>1 January 2021</t>
        </is>
      </c>
      <c r="B4" s="6" t="n">
        <v>7000</v>
      </c>
      <c r="C4" s="6" t="n"/>
      <c r="D4" s="6" t="n">
        <v>517</v>
      </c>
      <c r="E4" s="6" t="n">
        <v>40869</v>
      </c>
      <c r="F4" s="6" t="n">
        <v>48386</v>
      </c>
    </row>
    <row r="5">
      <c r="A5" s="6" t="inlineStr">
        <is>
          <t>Profit for the year</t>
        </is>
      </c>
      <c r="B5" s="6" t="n"/>
      <c r="C5" s="6" t="n"/>
      <c r="D5" s="6" t="n"/>
      <c r="E5" s="6" t="n">
        <v>5206</v>
      </c>
      <c r="F5" s="6" t="n">
        <v>5206</v>
      </c>
    </row>
    <row r="6">
      <c r="A6" s="6" t="inlineStr">
        <is>
          <t>Revaluation of tangible fixed assets</t>
        </is>
      </c>
      <c r="B6" s="6" t="n"/>
      <c r="C6" s="6" t="n"/>
      <c r="D6" s="6" t="n">
        <v>458</v>
      </c>
      <c r="E6" s="6" t="n"/>
      <c r="F6" s="6" t="n">
        <v>458</v>
      </c>
    </row>
    <row r="7">
      <c r="A7" s="5" t="inlineStr">
        <is>
          <t>Total comprehensive income for the year</t>
        </is>
      </c>
      <c r="B7" s="5" t="n"/>
      <c r="C7" s="5" t="n"/>
      <c r="D7" s="5" t="n">
        <v>458</v>
      </c>
      <c r="E7" s="5" t="n">
        <v>5206</v>
      </c>
      <c r="F7" s="5" t="n">
        <v>5664</v>
      </c>
    </row>
    <row r="8">
      <c r="A8" s="6" t="inlineStr">
        <is>
          <t>Dividends</t>
        </is>
      </c>
      <c r="B8" s="6" t="n"/>
      <c r="C8" s="6" t="n"/>
      <c r="D8" s="6" t="n"/>
      <c r="E8" s="6" t="n">
        <v>-1250</v>
      </c>
      <c r="F8" s="6" t="n">
        <v>-1250</v>
      </c>
    </row>
    <row r="9">
      <c r="A9" s="5" t="inlineStr">
        <is>
          <t>31 December 2021</t>
        </is>
      </c>
      <c r="B9" s="5" t="n">
        <v>7000</v>
      </c>
      <c r="C9" s="5" t="n"/>
      <c r="D9" s="5" t="n">
        <v>975</v>
      </c>
      <c r="E9" s="5" t="n">
        <v>44825</v>
      </c>
      <c r="F9" s="5" t="n">
        <v>52800</v>
      </c>
    </row>
    <row r="10">
      <c r="A10" s="6" t="inlineStr">
        <is>
          <t>Profit for the year</t>
        </is>
      </c>
      <c r="B10" s="6" t="n"/>
      <c r="C10" s="6" t="n"/>
      <c r="D10" s="6" t="n"/>
      <c r="E10" s="6" t="n">
        <v>11909</v>
      </c>
      <c r="F10" s="6" t="n">
        <v>11909</v>
      </c>
    </row>
    <row r="11">
      <c r="A11" s="6" t="inlineStr">
        <is>
          <t>Revaluation of tangible fixed assets</t>
        </is>
      </c>
      <c r="B11" s="6" t="n"/>
      <c r="C11" s="6" t="n"/>
      <c r="D11" s="6" t="n">
        <v>-209</v>
      </c>
      <c r="E11" s="6" t="n"/>
      <c r="F11" s="6" t="n">
        <v>-209</v>
      </c>
    </row>
    <row r="12">
      <c r="A12" s="5" t="inlineStr">
        <is>
          <t>Total comprehensive income for the year</t>
        </is>
      </c>
      <c r="B12" s="5" t="n"/>
      <c r="C12" s="5" t="n"/>
      <c r="D12" s="5" t="n">
        <v>-209</v>
      </c>
      <c r="E12" s="5" t="n">
        <v>11909</v>
      </c>
      <c r="F12" s="5" t="n">
        <v>11700</v>
      </c>
    </row>
    <row r="13">
      <c r="A13" s="6" t="inlineStr">
        <is>
          <t>Dividends</t>
        </is>
      </c>
      <c r="B13" s="6" t="n"/>
      <c r="C13" s="6" t="n"/>
      <c r="D13" s="6" t="n"/>
      <c r="E13" s="6" t="n">
        <v>-2000</v>
      </c>
      <c r="F13" s="6" t="n">
        <v>-2000</v>
      </c>
    </row>
    <row r="14">
      <c r="A14" s="5" t="inlineStr">
        <is>
          <t>31 December 2022</t>
        </is>
      </c>
      <c r="B14" s="5" t="n">
        <v>7000</v>
      </c>
      <c r="C14" s="5" t="n"/>
      <c r="D14" s="5" t="n">
        <v>766</v>
      </c>
      <c r="E14" s="5" t="n">
        <v>54734</v>
      </c>
      <c r="F14" s="5" t="n">
        <v>62500</v>
      </c>
    </row>
    <row r="15">
      <c r="A15" s="6" t="inlineStr">
        <is>
          <t>Profit for the year</t>
        </is>
      </c>
      <c r="B15" s="6" t="n"/>
      <c r="C15" s="6" t="n"/>
      <c r="D15" s="6" t="n"/>
      <c r="E15" s="6" t="n">
        <v>24735</v>
      </c>
      <c r="F15" s="6" t="n">
        <v>24735</v>
      </c>
    </row>
    <row r="16">
      <c r="A16" s="6" t="inlineStr">
        <is>
          <t>Revaluation of tangible fixed assets</t>
        </is>
      </c>
      <c r="B16" s="6" t="n"/>
      <c r="C16" s="6" t="n"/>
      <c r="D16" s="6" t="n">
        <v>-244</v>
      </c>
      <c r="E16" s="6" t="n"/>
      <c r="F16" s="6" t="n">
        <v>-244</v>
      </c>
    </row>
    <row r="17">
      <c r="A17" s="5" t="inlineStr">
        <is>
          <t>Total comprehensive income for the year</t>
        </is>
      </c>
      <c r="B17" s="5" t="n"/>
      <c r="C17" s="5" t="n"/>
      <c r="D17" s="5" t="n">
        <v>-244</v>
      </c>
      <c r="E17" s="5" t="n">
        <v>24735</v>
      </c>
      <c r="F17" s="5" t="n">
        <v>24491</v>
      </c>
    </row>
    <row r="18">
      <c r="A18" s="6" t="inlineStr">
        <is>
          <t>Dividends</t>
        </is>
      </c>
      <c r="B18" s="6" t="n"/>
      <c r="C18" s="6" t="n"/>
      <c r="D18" s="6" t="n"/>
      <c r="E18" s="6" t="n">
        <v>-5000</v>
      </c>
      <c r="F18" s="6" t="n">
        <v>-5000</v>
      </c>
    </row>
    <row r="19">
      <c r="A19" s="6" t="inlineStr">
        <is>
          <t>Issue of contingent convertible securities</t>
        </is>
      </c>
      <c r="B19" s="6" t="n"/>
      <c r="C19" s="6" t="n">
        <v>3000</v>
      </c>
      <c r="D19" s="6" t="n"/>
      <c r="E19" s="6" t="n"/>
      <c r="F19" s="6" t="n">
        <v>3000</v>
      </c>
    </row>
    <row r="20">
      <c r="A20" s="5" t="inlineStr">
        <is>
          <t>31 December 2023</t>
        </is>
      </c>
      <c r="B20" s="5" t="n">
        <v>7000</v>
      </c>
      <c r="C20" s="5" t="n">
        <v>3000</v>
      </c>
      <c r="D20" s="5" t="n">
        <v>522</v>
      </c>
      <c r="E20" s="5" t="n">
        <v>74469</v>
      </c>
      <c r="F20" s="5" t="n">
        <v>84991</v>
      </c>
    </row>
    <row r="21">
      <c r="A21" s="6" t="inlineStr">
        <is>
          <t>Profit for the year</t>
        </is>
      </c>
      <c r="B21" s="6" t="n"/>
      <c r="C21" s="6" t="n"/>
      <c r="D21" s="6" t="n"/>
      <c r="E21" s="6" t="n">
        <v>18270</v>
      </c>
      <c r="F21" s="6" t="n">
        <v>18270</v>
      </c>
    </row>
    <row r="22">
      <c r="A22" s="6" t="inlineStr">
        <is>
          <t>Revaluation of tangible fixed assets</t>
        </is>
      </c>
      <c r="B22" s="6" t="n"/>
      <c r="C22" s="6" t="n"/>
      <c r="D22" s="6" t="n">
        <v>-118</v>
      </c>
      <c r="E22" s="6" t="n"/>
      <c r="F22" s="6" t="n">
        <v>-118</v>
      </c>
    </row>
    <row r="23">
      <c r="A23" s="5" t="inlineStr">
        <is>
          <t>Total comprehensive income for the year</t>
        </is>
      </c>
      <c r="B23" s="5" t="n"/>
      <c r="C23" s="5" t="n"/>
      <c r="D23" s="5" t="n">
        <v>-118</v>
      </c>
      <c r="E23" s="5" t="n">
        <v>18270</v>
      </c>
      <c r="F23" s="5" t="n">
        <v>18152</v>
      </c>
    </row>
    <row r="24">
      <c r="A24" s="6" t="inlineStr">
        <is>
          <t>Dividends</t>
        </is>
      </c>
      <c r="B24" s="6" t="n"/>
      <c r="C24" s="6" t="n"/>
      <c r="D24" s="6" t="n"/>
      <c r="E24" s="6" t="n">
        <v>-3100</v>
      </c>
      <c r="F24" s="6" t="n">
        <v>-3100</v>
      </c>
    </row>
    <row r="25">
      <c r="A25" s="5" t="inlineStr">
        <is>
          <t>31 December 2024</t>
        </is>
      </c>
      <c r="B25" s="5" t="n">
        <v>7000</v>
      </c>
      <c r="C25" s="5" t="n">
        <v>3000</v>
      </c>
      <c r="D25" s="5" t="n">
        <v>404</v>
      </c>
      <c r="E25" s="5" t="n">
        <v>89639</v>
      </c>
      <c r="F25" s="5" t="n">
        <v>100043</v>
      </c>
    </row>
    <row r="26">
      <c r="A26" s="6" t="inlineStr">
        <is>
          <t>Profit for the year</t>
        </is>
      </c>
      <c r="B26" s="6" t="n"/>
      <c r="C26" s="6" t="n"/>
      <c r="D26" s="6" t="n"/>
      <c r="E26" s="6" t="n">
        <v>19244</v>
      </c>
      <c r="F26" s="6" t="n">
        <v>19244</v>
      </c>
    </row>
    <row r="27">
      <c r="A27" s="6" t="inlineStr">
        <is>
          <t>Revaluation of tangible fixed assets</t>
        </is>
      </c>
      <c r="B27" s="6" t="n"/>
      <c r="C27" s="6" t="n"/>
      <c r="D27" s="6" t="n">
        <v>-173</v>
      </c>
      <c r="E27" s="6" t="n"/>
      <c r="F27" s="6" t="n">
        <v>-173</v>
      </c>
    </row>
    <row r="28">
      <c r="A28" s="5" t="inlineStr">
        <is>
          <t>Total comprehensive income for the year</t>
        </is>
      </c>
      <c r="B28" s="5" t="n"/>
      <c r="C28" s="5" t="n"/>
      <c r="D28" s="5" t="n">
        <v>-173</v>
      </c>
      <c r="E28" s="5" t="n">
        <v>19244</v>
      </c>
      <c r="F28" s="5" t="n">
        <v>19071</v>
      </c>
    </row>
    <row r="29">
      <c r="A29" s="6" t="inlineStr">
        <is>
          <t>Dividends</t>
        </is>
      </c>
      <c r="B29" s="6" t="n"/>
      <c r="C29" s="6" t="n"/>
      <c r="D29" s="6" t="n"/>
      <c r="E29" s="6" t="n">
        <v>-8000</v>
      </c>
      <c r="F29" s="6" t="n">
        <v>-8000</v>
      </c>
    </row>
    <row r="30">
      <c r="A30" s="5" t="inlineStr">
        <is>
          <t>31 December 2025</t>
        </is>
      </c>
      <c r="B30" s="5" t="n">
        <v>7000</v>
      </c>
      <c r="C30" s="5" t="n">
        <v>3000</v>
      </c>
      <c r="D30" s="5" t="n">
        <v>231</v>
      </c>
      <c r="E30" s="5" t="n">
        <v>100883</v>
      </c>
      <c r="F30" s="5" t="n">
        <v>111114</v>
      </c>
    </row>
    <row r="32" ht="180" customHeight="1">
      <c r="A32" s="8" t="inlineStr">
        <is>
          <t>Sources - Weatherbys Banking Group consolidated statement of changes in equity, GBP'000: AR2025, p.62 - https://www.weatherbys.bank/weatherbys-banking-group-annual-report-2025/; AR2024, p.43 - https://www.weatherbys.bank/app/uploads/2025/04/Weatherbys-Banking-Group-Annual-Report-2024.pdf; AR2023, p.48 - https://www.weatherbys.bank/app/uploads/2024/05/Weatherbys-Banking-Group-Annual-Report-2023.pdf; AR2022, p.44 - https://www.weatherbys.bank/app/uploads/2023/05/Weatherbys-Banking-Group-Annual_Report-2022.pdf.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Every year's closing balance ties exactly to the next year's opening balance and to that year's own Balance Sheet Total equity - zero undocumented plug rows. Contingent Convertible Securities first appear in FY2023 (a £3,000k issuance).</t>
        </is>
      </c>
    </row>
  </sheetData>
  <mergeCells count="1">
    <mergeCell ref="A32:F3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Weatherbys Bank Limited — Cash Flow Statement</t>
        </is>
      </c>
    </row>
    <row r="2">
      <c r="A2" s="2" t="inlineStr">
        <is>
          <t>Weatherbys Banking Group consolidated basis, GBP'000. Five latest available financial years.</t>
        </is>
      </c>
    </row>
    <row r="3">
      <c r="A3" s="4" t="inlineStr">
        <is>
          <t>Line item</t>
        </is>
      </c>
      <c r="B3" s="4" t="inlineStr">
        <is>
          <t>FY2025 (GBP'000)</t>
        </is>
      </c>
      <c r="C3" s="4" t="inlineStr">
        <is>
          <t>FY2024 (GBP'000)</t>
        </is>
      </c>
      <c r="D3" s="4" t="inlineStr">
        <is>
          <t>FY2023 (GBP'000)</t>
        </is>
      </c>
      <c r="E3" s="4" t="inlineStr">
        <is>
          <t>FY2022 (GBP'000)</t>
        </is>
      </c>
      <c r="F3" s="4" t="inlineStr">
        <is>
          <t>FY2021 (GBP'000)</t>
        </is>
      </c>
    </row>
    <row r="4">
      <c r="A4" s="5" t="inlineStr">
        <is>
          <t>Operating activities</t>
        </is>
      </c>
      <c r="B4" s="6" t="n"/>
      <c r="C4" s="6" t="n"/>
      <c r="D4" s="6" t="n"/>
      <c r="E4" s="6" t="n"/>
      <c r="F4" s="6" t="n"/>
    </row>
    <row r="5">
      <c r="A5" s="6" t="inlineStr">
        <is>
          <t>Profit for the financial year before exceptional items</t>
        </is>
      </c>
      <c r="B5" s="6" t="n">
        <v>19244</v>
      </c>
      <c r="C5" s="6" t="n">
        <v>18270</v>
      </c>
      <c r="D5" s="6" t="n">
        <v>24735</v>
      </c>
      <c r="E5" s="6" t="n">
        <v>11909</v>
      </c>
      <c r="F5" s="6" t="n">
        <v>5206</v>
      </c>
    </row>
    <row r="6">
      <c r="A6" s="6" t="inlineStr">
        <is>
          <t>Depreciation, impairment and amortisation of fixed assets</t>
        </is>
      </c>
      <c r="B6" s="6" t="n">
        <v>7065</v>
      </c>
      <c r="C6" s="6" t="n">
        <v>4506</v>
      </c>
      <c r="D6" s="6" t="n">
        <v>2758</v>
      </c>
      <c r="E6" s="6" t="n">
        <v>2786</v>
      </c>
      <c r="F6" s="6" t="n">
        <v>2402</v>
      </c>
    </row>
    <row r="7">
      <c r="A7" s="6" t="inlineStr">
        <is>
          <t>Amortisation of debt securities</t>
        </is>
      </c>
      <c r="B7" s="6" t="n">
        <v>-1870</v>
      </c>
      <c r="C7" s="6" t="n">
        <v>-1138</v>
      </c>
      <c r="D7" s="6" t="n">
        <v>413</v>
      </c>
      <c r="E7" s="6" t="n">
        <v>443</v>
      </c>
      <c r="F7" s="6" t="n">
        <v>133</v>
      </c>
    </row>
    <row r="8">
      <c r="A8" s="6" t="inlineStr">
        <is>
          <t>Taxation expense</t>
        </is>
      </c>
      <c r="B8" s="6" t="n">
        <v>3830</v>
      </c>
      <c r="C8" s="6" t="n">
        <v>6306</v>
      </c>
      <c r="D8" s="6" t="n">
        <v>8348</v>
      </c>
      <c r="E8" s="6" t="n">
        <v>3504</v>
      </c>
      <c r="F8" s="6" t="n">
        <v>1596</v>
      </c>
    </row>
    <row r="9">
      <c r="A9" s="6" t="inlineStr">
        <is>
          <t>Increase in prepayments and accrued income</t>
        </is>
      </c>
      <c r="B9" s="6" t="n">
        <v>-1508</v>
      </c>
      <c r="C9" s="6" t="n">
        <v>-4032</v>
      </c>
      <c r="D9" s="6" t="n">
        <v>-4930</v>
      </c>
      <c r="E9" s="6" t="n">
        <v>-6282</v>
      </c>
      <c r="F9" s="6" t="n">
        <v>-1055</v>
      </c>
    </row>
    <row r="10">
      <c r="A10" s="6" t="inlineStr">
        <is>
          <t>Decrease/(increase) in trade and other debtors</t>
        </is>
      </c>
      <c r="B10" s="6" t="n">
        <v>-678</v>
      </c>
      <c r="C10" s="6" t="n">
        <v>38</v>
      </c>
      <c r="D10" s="6" t="n">
        <v>-201</v>
      </c>
      <c r="E10" s="6" t="n">
        <v>-364</v>
      </c>
      <c r="F10" s="6" t="n">
        <v>20</v>
      </c>
    </row>
    <row r="11">
      <c r="A11" s="6" t="inlineStr">
        <is>
          <t>Change in fair value of financial instruments</t>
        </is>
      </c>
      <c r="B11" s="6" t="n">
        <v>6430</v>
      </c>
      <c r="C11" s="6" t="n">
        <v>-1624</v>
      </c>
      <c r="D11" s="6" t="n">
        <v>7216</v>
      </c>
      <c r="E11" s="6" t="n">
        <v>-8619</v>
      </c>
      <c r="F11" s="6" t="n">
        <v>-3069</v>
      </c>
    </row>
    <row r="12">
      <c r="A12" s="6" t="inlineStr">
        <is>
          <t>Movement in margin call</t>
        </is>
      </c>
      <c r="B12" s="6" t="n">
        <v>-6550</v>
      </c>
      <c r="C12" s="6" t="n"/>
      <c r="D12" s="6" t="n"/>
      <c r="E12" s="6" t="n"/>
      <c r="F12" s="6" t="n"/>
    </row>
    <row r="13">
      <c r="A13" s="6" t="inlineStr">
        <is>
          <t>Loss/(gain) on investments</t>
        </is>
      </c>
      <c r="B13" s="6" t="n">
        <v>20</v>
      </c>
      <c r="C13" s="6" t="n">
        <v>71</v>
      </c>
      <c r="D13" s="6" t="n">
        <v>-17</v>
      </c>
      <c r="E13" s="6" t="n">
        <v>104</v>
      </c>
      <c r="F13" s="6" t="n">
        <v>3</v>
      </c>
    </row>
    <row r="14">
      <c r="A14" s="6" t="inlineStr">
        <is>
          <t>Loss/(gain) on disposal of subsidiary/tangible fixed assets</t>
        </is>
      </c>
      <c r="B14" s="6" t="n">
        <v>-10235</v>
      </c>
      <c r="C14" s="6" t="n"/>
      <c r="D14" s="6" t="n"/>
      <c r="E14" s="6" t="n"/>
      <c r="F14" s="6" t="n"/>
    </row>
    <row r="15">
      <c r="A15" s="6" t="inlineStr">
        <is>
          <t>Change in trade and other creditors</t>
        </is>
      </c>
      <c r="B15" s="6" t="n">
        <v>2299</v>
      </c>
      <c r="C15" s="6" t="n">
        <v>-2982</v>
      </c>
      <c r="D15" s="6" t="n">
        <v>11753</v>
      </c>
      <c r="E15" s="6" t="n">
        <v>2607</v>
      </c>
      <c r="F15" s="6" t="n">
        <v>-496</v>
      </c>
    </row>
    <row r="16">
      <c r="A16" s="6" t="inlineStr">
        <is>
          <t>Net decrease/(increase) in provisions</t>
        </is>
      </c>
      <c r="B16" s="6" t="n">
        <v>-64</v>
      </c>
      <c r="C16" s="6" t="n">
        <v>-1366</v>
      </c>
      <c r="D16" s="6" t="n">
        <v>5968</v>
      </c>
      <c r="E16" s="6" t="n">
        <v>2623</v>
      </c>
      <c r="F16" s="6" t="n">
        <v>1123</v>
      </c>
    </row>
    <row r="17">
      <c r="A17" s="6" t="inlineStr">
        <is>
          <t>Increase/(decrease) in provision for bad and doubtful debts</t>
        </is>
      </c>
      <c r="B17" s="6" t="n">
        <v>1074</v>
      </c>
      <c r="C17" s="6" t="n">
        <v>46</v>
      </c>
      <c r="D17" s="6" t="n">
        <v>184</v>
      </c>
      <c r="E17" s="6" t="n">
        <v>-25</v>
      </c>
      <c r="F17" s="6" t="n">
        <v>-518</v>
      </c>
    </row>
    <row r="18">
      <c r="A18" s="6" t="inlineStr">
        <is>
          <t>Net increase/(decrease) in deposits from customers</t>
        </is>
      </c>
      <c r="B18" s="6" t="n">
        <v>193121</v>
      </c>
      <c r="C18" s="6" t="n">
        <v>203231</v>
      </c>
      <c r="D18" s="6" t="n">
        <v>-16626</v>
      </c>
      <c r="E18" s="6" t="n">
        <v>116590</v>
      </c>
      <c r="F18" s="6" t="n">
        <v>315834</v>
      </c>
    </row>
    <row r="19">
      <c r="A19" s="6" t="inlineStr">
        <is>
          <t>Net increase in loans and advances to customers</t>
        </is>
      </c>
      <c r="B19" s="6" t="n">
        <v>-138623</v>
      </c>
      <c r="C19" s="6" t="n">
        <v>-38018</v>
      </c>
      <c r="D19" s="6" t="n">
        <v>-46309</v>
      </c>
      <c r="E19" s="6" t="n">
        <v>-30957</v>
      </c>
      <c r="F19" s="6" t="n">
        <v>-65508</v>
      </c>
    </row>
    <row r="20">
      <c r="A20" s="5" t="inlineStr">
        <is>
          <t>Cash from operations</t>
        </is>
      </c>
      <c r="B20" s="5" t="n">
        <v>73555</v>
      </c>
      <c r="C20" s="5" t="n">
        <v>183308</v>
      </c>
      <c r="D20" s="5" t="n">
        <v>-6708</v>
      </c>
      <c r="E20" s="5" t="n">
        <v>94319</v>
      </c>
      <c r="F20" s="5" t="n">
        <v>255671</v>
      </c>
    </row>
    <row r="21">
      <c r="A21" s="6" t="inlineStr">
        <is>
          <t>Taxation paid</t>
        </is>
      </c>
      <c r="B21" s="6" t="n">
        <v>-4301</v>
      </c>
      <c r="C21" s="6" t="n">
        <v>-5721</v>
      </c>
      <c r="D21" s="6" t="n">
        <v>-5421</v>
      </c>
      <c r="E21" s="6" t="n">
        <v>-2320</v>
      </c>
      <c r="F21" s="6" t="n">
        <v>-678</v>
      </c>
    </row>
    <row r="22">
      <c r="A22" s="5" t="inlineStr">
        <is>
          <t>Net cash generated/(used) from operating activities</t>
        </is>
      </c>
      <c r="B22" s="5" t="n">
        <v>69254</v>
      </c>
      <c r="C22" s="5" t="n">
        <v>177587</v>
      </c>
      <c r="D22" s="5" t="n">
        <v>-12129</v>
      </c>
      <c r="E22" s="5" t="n">
        <v>91999</v>
      </c>
      <c r="F22" s="5" t="n">
        <v>254993</v>
      </c>
    </row>
    <row r="23">
      <c r="A23" s="5" t="inlineStr">
        <is>
          <t>Investing activities</t>
        </is>
      </c>
      <c r="B23" s="6" t="n"/>
      <c r="C23" s="6" t="n"/>
      <c r="D23" s="6" t="n"/>
      <c r="E23" s="6" t="n"/>
      <c r="F23" s="6" t="n"/>
    </row>
    <row r="24">
      <c r="A24" s="6" t="inlineStr">
        <is>
          <t>Sale of subsidiary undertaking</t>
        </is>
      </c>
      <c r="B24" s="6" t="n">
        <v>10552</v>
      </c>
      <c r="C24" s="6" t="n"/>
      <c r="D24" s="6" t="n"/>
      <c r="E24" s="6" t="n"/>
      <c r="F24" s="6" t="n"/>
    </row>
    <row r="25">
      <c r="A25" s="6" t="inlineStr">
        <is>
          <t>Income from joint venture</t>
        </is>
      </c>
      <c r="B25" s="6" t="n">
        <v>400</v>
      </c>
      <c r="C25" s="6" t="n"/>
      <c r="D25" s="6" t="n"/>
      <c r="E25" s="6" t="n"/>
      <c r="F25" s="6" t="n"/>
    </row>
    <row r="26">
      <c r="A26" s="6" t="inlineStr">
        <is>
          <t>Investment in joint venture</t>
        </is>
      </c>
      <c r="B26" s="6" t="n"/>
      <c r="C26" s="6" t="n"/>
      <c r="D26" s="6" t="n">
        <v>-60</v>
      </c>
      <c r="E26" s="6" t="n">
        <v>-280</v>
      </c>
      <c r="F26" s="6" t="n">
        <v>-12</v>
      </c>
    </row>
    <row r="27">
      <c r="A27" s="6" t="inlineStr">
        <is>
          <t>Purchase of investment securities</t>
        </is>
      </c>
      <c r="B27" s="6" t="n">
        <v>-361092</v>
      </c>
      <c r="C27" s="6" t="n">
        <v>-173844</v>
      </c>
      <c r="D27" s="6" t="n">
        <v>-66857</v>
      </c>
      <c r="E27" s="6" t="n">
        <v>-136837</v>
      </c>
      <c r="F27" s="6" t="n">
        <v>-22148</v>
      </c>
    </row>
    <row r="28">
      <c r="A28" s="6" t="inlineStr">
        <is>
          <t>Sale and maturities of investment securities</t>
        </is>
      </c>
      <c r="B28" s="6" t="n">
        <v>190722</v>
      </c>
      <c r="C28" s="6" t="n">
        <v>72330</v>
      </c>
      <c r="D28" s="6" t="n">
        <v>127951</v>
      </c>
      <c r="E28" s="6" t="n">
        <v>46415</v>
      </c>
      <c r="F28" s="6" t="n">
        <v>38649</v>
      </c>
    </row>
    <row r="29">
      <c r="A29" s="6" t="inlineStr">
        <is>
          <t>Purchase of tangible fixed assets</t>
        </is>
      </c>
      <c r="B29" s="6" t="n">
        <v>-4139</v>
      </c>
      <c r="C29" s="6" t="n">
        <v>-2103</v>
      </c>
      <c r="D29" s="6" t="n"/>
      <c r="E29" s="6" t="n"/>
      <c r="F29" s="6" t="n">
        <v>-3939</v>
      </c>
    </row>
    <row r="30">
      <c r="A30" s="6" t="inlineStr">
        <is>
          <t>Purchase of intangible fixed assets</t>
        </is>
      </c>
      <c r="B30" s="6" t="n">
        <v>-13123</v>
      </c>
      <c r="C30" s="6" t="n">
        <v>-6502</v>
      </c>
      <c r="D30" s="6" t="n"/>
      <c r="E30" s="6" t="n"/>
      <c r="F30" s="6" t="n"/>
    </row>
    <row r="31">
      <c r="A31" s="6" t="inlineStr">
        <is>
          <t>Purchase of intangible/tangible fixed assets</t>
        </is>
      </c>
      <c r="B31" s="6" t="n"/>
      <c r="C31" s="6" t="n"/>
      <c r="D31" s="6" t="n">
        <v>-7251</v>
      </c>
      <c r="E31" s="6" t="n">
        <v>-6456</v>
      </c>
      <c r="F31" s="6" t="n"/>
    </row>
    <row r="32">
      <c r="A32" s="5" t="inlineStr">
        <is>
          <t>Net cash (used)/generated from investing activities</t>
        </is>
      </c>
      <c r="B32" s="5" t="n">
        <v>-176680</v>
      </c>
      <c r="C32" s="5" t="n">
        <v>-110119</v>
      </c>
      <c r="D32" s="5" t="n">
        <v>53783</v>
      </c>
      <c r="E32" s="5" t="n">
        <v>-97158</v>
      </c>
      <c r="F32" s="5" t="n">
        <v>12550</v>
      </c>
    </row>
    <row r="33">
      <c r="A33" s="5" t="inlineStr">
        <is>
          <t>Financing activities</t>
        </is>
      </c>
      <c r="B33" s="6" t="n"/>
      <c r="C33" s="6" t="n"/>
      <c r="D33" s="6" t="n"/>
      <c r="E33" s="6" t="n"/>
      <c r="F33" s="6" t="n"/>
    </row>
    <row r="34">
      <c r="A34" s="6" t="inlineStr">
        <is>
          <t>Issue of contingent convertible securities</t>
        </is>
      </c>
      <c r="B34" s="6" t="n"/>
      <c r="C34" s="6" t="n"/>
      <c r="D34" s="6" t="n">
        <v>3000</v>
      </c>
      <c r="E34" s="6" t="n"/>
      <c r="F34" s="6" t="n"/>
    </row>
    <row r="35">
      <c r="A35" s="6" t="inlineStr">
        <is>
          <t>Equity dividends paid</t>
        </is>
      </c>
      <c r="B35" s="6" t="n">
        <v>-11100</v>
      </c>
      <c r="C35" s="6" t="n">
        <v>-5000</v>
      </c>
      <c r="D35" s="6" t="n">
        <v>-5000</v>
      </c>
      <c r="E35" s="6" t="n">
        <v>-2000</v>
      </c>
      <c r="F35" s="6" t="n">
        <v>-1250</v>
      </c>
    </row>
    <row r="36">
      <c r="A36" s="5" t="inlineStr">
        <is>
          <t>Net cash (used)/generated from financing activities</t>
        </is>
      </c>
      <c r="B36" s="5" t="n">
        <v>-11100</v>
      </c>
      <c r="C36" s="5" t="n">
        <v>-5000</v>
      </c>
      <c r="D36" s="5" t="n">
        <v>-2000</v>
      </c>
      <c r="E36" s="5" t="n">
        <v>-2000</v>
      </c>
      <c r="F36" s="5" t="n">
        <v>-1250</v>
      </c>
    </row>
    <row r="37">
      <c r="A37" s="5" t="inlineStr">
        <is>
          <t>Net increase/(decrease) in cash and cash equivalents</t>
        </is>
      </c>
      <c r="B37" s="5" t="n">
        <v>-118526</v>
      </c>
      <c r="C37" s="5" t="n">
        <v>62468</v>
      </c>
      <c r="D37" s="5" t="n">
        <v>39654</v>
      </c>
      <c r="E37" s="5" t="n">
        <v>-7159</v>
      </c>
      <c r="F37" s="5" t="n">
        <v>266293</v>
      </c>
    </row>
    <row r="38">
      <c r="A38" s="6" t="inlineStr">
        <is>
          <t>Cash and cash equivalents at beginning of year</t>
        </is>
      </c>
      <c r="B38" s="6" t="n">
        <v>687343</v>
      </c>
      <c r="C38" s="6" t="n">
        <v>624875</v>
      </c>
      <c r="D38" s="6" t="n">
        <v>585221</v>
      </c>
      <c r="E38" s="6" t="n">
        <v>592380</v>
      </c>
      <c r="F38" s="6" t="n">
        <v>326087</v>
      </c>
    </row>
    <row r="39">
      <c r="A39" s="5" t="inlineStr">
        <is>
          <t>Cash and cash equivalents at end of year</t>
        </is>
      </c>
      <c r="B39" s="5" t="n">
        <v>568817</v>
      </c>
      <c r="C39" s="5" t="n">
        <v>687343</v>
      </c>
      <c r="D39" s="5" t="n">
        <v>624875</v>
      </c>
      <c r="E39" s="5" t="n">
        <v>585221</v>
      </c>
      <c r="F39" s="5" t="n">
        <v>592380</v>
      </c>
    </row>
    <row r="41" ht="360" customHeight="1">
      <c r="A41" s="8" t="inlineStr">
        <is>
          <t>Sources - Weatherbys Banking Group consolidated statement of cash flows, GBP'000: FY2025/FY2024: Annual Report and Financial Accounts 2025, p.64 - https://www.weatherbys.bank/weatherbys-banking-group-annual-report-2025/; FY2024/FY2023: Annual Report &amp; Accounts 2024, p.45 - https://www.weatherbys.bank/app/uploads/2025/04/Weatherbys-Banking-Group-Annual-Report-2024.pdf; FY2023/FY2022: Annual Report &amp; Accounts 2023, p.50 - https://www.weatherbys.bank/app/uploads/2024/05/Weatherbys-Banking-Group-Annual-Report-2023.pdf; FY2022/FY2021: Annual Report &amp; Accounts 2022, p.46 - https://www.weatherbys.bank/app/uploads/2023/05/Weatherbys-Banking-Group-Annual_Report-2022.pdf.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The 2024 statement labels the financing section's subtotal as investing activities, but its placement and figures are the financing cash flows; the source presentation is retained with a corrected descriptive label.</t>
        </is>
      </c>
    </row>
  </sheetData>
  <mergeCells count="1">
    <mergeCell ref="A41:F4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Weatherbys Bank Limited — Asset Quality</t>
        </is>
      </c>
    </row>
    <row r="2">
      <c r="A2" s="2" t="inlineStr">
        <is>
          <t>Weatherbys Banking Group loan book credit quality and regulatory credit risk exposure, GBP'000.</t>
        </is>
      </c>
    </row>
    <row r="3">
      <c r="A3" s="4" t="inlineStr">
        <is>
          <t>Line item</t>
        </is>
      </c>
      <c r="B3" s="4" t="inlineStr">
        <is>
          <t>FY2025 (GBP'000)</t>
        </is>
      </c>
      <c r="C3" s="4" t="inlineStr">
        <is>
          <t>FY2024 (GBP'000)</t>
        </is>
      </c>
      <c r="D3" s="4" t="inlineStr">
        <is>
          <t>FY2023 (GBP'000)</t>
        </is>
      </c>
      <c r="E3" s="4" t="inlineStr">
        <is>
          <t>FY2022 (GBP'000)</t>
        </is>
      </c>
      <c r="F3" s="4" t="inlineStr">
        <is>
          <t>FY2021 (GBP'000)</t>
        </is>
      </c>
    </row>
    <row r="4">
      <c r="A4" s="5" t="inlineStr">
        <is>
          <t>Loans and advances to customers - credit quality (Banking Group)</t>
        </is>
      </c>
      <c r="B4" s="6" t="n"/>
      <c r="C4" s="6" t="n"/>
      <c r="D4" s="6" t="n"/>
      <c r="E4" s="6" t="n"/>
      <c r="F4" s="6" t="n"/>
    </row>
    <row r="5">
      <c r="A5" s="6" t="inlineStr">
        <is>
          <t>Gross loans and advances to customers</t>
        </is>
      </c>
      <c r="B5" s="6" t="n">
        <v>1011493</v>
      </c>
      <c r="C5" s="6" t="n">
        <v>863936</v>
      </c>
      <c r="D5" s="6" t="n">
        <v>825925</v>
      </c>
      <c r="E5" s="6" t="n">
        <v>779193</v>
      </c>
      <c r="F5" s="6" t="n">
        <v>748236</v>
      </c>
    </row>
    <row r="6">
      <c r="A6" s="6" t="inlineStr">
        <is>
          <t>Loan loss provision (Balance Sheet, Note 15)</t>
        </is>
      </c>
      <c r="B6" s="6" t="n">
        <v>-5333</v>
      </c>
      <c r="C6" s="6" t="n">
        <v>-4264</v>
      </c>
      <c r="D6" s="6" t="n">
        <v>-4225</v>
      </c>
      <c r="E6" s="6" t="n">
        <v>-3620</v>
      </c>
      <c r="F6" s="6" t="n">
        <v>-3645</v>
      </c>
    </row>
    <row r="7">
      <c r="A7" s="5" t="inlineStr">
        <is>
          <t>Net loans and advances to customers</t>
        </is>
      </c>
      <c r="B7" s="5" t="n">
        <v>1006160</v>
      </c>
      <c r="C7" s="5" t="n">
        <v>859672</v>
      </c>
      <c r="D7" s="5" t="n">
        <v>821700</v>
      </c>
      <c r="E7" s="5" t="n">
        <v>775573</v>
      </c>
      <c r="F7" s="5" t="n">
        <v>744591</v>
      </c>
    </row>
    <row r="8">
      <c r="A8" s="6" t="inlineStr">
        <is>
          <t>Total provisions for bad and doubtful debts (Note 16 cumulative)</t>
        </is>
      </c>
      <c r="B8" s="6" t="n">
        <v>5338</v>
      </c>
      <c r="C8" s="6" t="n">
        <v>4264</v>
      </c>
      <c r="D8" s="6" t="n">
        <v>4225</v>
      </c>
      <c r="E8" s="6" t="n">
        <v>3620</v>
      </c>
      <c r="F8" s="6" t="n">
        <v>3645</v>
      </c>
    </row>
    <row r="9">
      <c r="A9" s="6" t="inlineStr">
        <is>
          <t>Non-performing loans and advances to customers (before provisions)</t>
        </is>
      </c>
      <c r="B9" s="6" t="n">
        <v>11193</v>
      </c>
      <c r="C9" s="6" t="n">
        <v>10452</v>
      </c>
      <c r="D9" s="6" t="n">
        <v>9628</v>
      </c>
      <c r="E9" s="6" t="n">
        <v>6847</v>
      </c>
      <c r="F9" s="6" t="n">
        <v>6372</v>
      </c>
    </row>
    <row r="10">
      <c r="A10" s="6" t="inlineStr">
        <is>
          <t>NPL ratio (non-performing loans / gross loans)</t>
        </is>
      </c>
      <c r="B10" s="6" t="inlineStr">
        <is>
          <t>1.11%</t>
        </is>
      </c>
      <c r="C10" s="6" t="inlineStr">
        <is>
          <t>1.21%</t>
        </is>
      </c>
      <c r="D10" s="6" t="inlineStr">
        <is>
          <t>1.17%</t>
        </is>
      </c>
      <c r="E10" s="6" t="inlineStr">
        <is>
          <t>0.88%</t>
        </is>
      </c>
      <c r="F10" s="6" t="inlineStr">
        <is>
          <t>0.85%</t>
        </is>
      </c>
    </row>
    <row r="11">
      <c r="A11" s="6" t="inlineStr">
        <is>
          <t>Coverage ratio (total provisions / non-performing loans)</t>
        </is>
      </c>
      <c r="B11" s="6" t="inlineStr">
        <is>
          <t>47.69%</t>
        </is>
      </c>
      <c r="C11" s="6" t="inlineStr">
        <is>
          <t>40.80%</t>
        </is>
      </c>
      <c r="D11" s="6" t="inlineStr">
        <is>
          <t>43.88%</t>
        </is>
      </c>
      <c r="E11" s="6" t="inlineStr">
        <is>
          <t>52.87%</t>
        </is>
      </c>
      <c r="F11" s="6" t="inlineStr">
        <is>
          <t>57.20%</t>
        </is>
      </c>
    </row>
    <row r="12">
      <c r="A12" s="5" t="inlineStr">
        <is>
          <t>Regulatory credit risk exposure by class (Pillar 3 Table 6, before credit risk mitigation)</t>
        </is>
      </c>
      <c r="B12" s="6" t="n"/>
      <c r="C12" s="6" t="n"/>
      <c r="D12" s="6" t="n"/>
      <c r="E12" s="6" t="n"/>
      <c r="F12" s="6" t="n"/>
    </row>
    <row r="13">
      <c r="A13" s="6" t="inlineStr">
        <is>
          <t>Central Government and Central Banks</t>
        </is>
      </c>
      <c r="B13" s="6" t="n"/>
      <c r="C13" s="6" t="n">
        <v>760594</v>
      </c>
      <c r="D13" s="6" t="n">
        <v>645464</v>
      </c>
      <c r="E13" s="6" t="n">
        <v>646149</v>
      </c>
      <c r="F13" s="6" t="n">
        <v>577637</v>
      </c>
    </row>
    <row r="14">
      <c r="A14" s="6" t="inlineStr">
        <is>
          <t>Financial institutions</t>
        </is>
      </c>
      <c r="B14" s="6" t="n"/>
      <c r="C14" s="6" t="n">
        <v>65986</v>
      </c>
      <c r="D14" s="6" t="n">
        <v>40329</v>
      </c>
      <c r="E14" s="6" t="n">
        <v>48477</v>
      </c>
      <c r="F14" s="6" t="n">
        <v>38362</v>
      </c>
    </row>
    <row r="15">
      <c r="A15" s="6" t="inlineStr">
        <is>
          <t>Covered Bonds</t>
        </is>
      </c>
      <c r="B15" s="6" t="n"/>
      <c r="C15" s="6" t="n">
        <v>86742</v>
      </c>
      <c r="D15" s="6" t="n">
        <v>60875</v>
      </c>
      <c r="E15" s="6" t="n">
        <v>67566</v>
      </c>
      <c r="F15" s="6" t="n">
        <v>51916</v>
      </c>
    </row>
    <row r="16">
      <c r="A16" s="6" t="inlineStr">
        <is>
          <t>Multilateral Development Banks</t>
        </is>
      </c>
      <c r="B16" s="6" t="n"/>
      <c r="C16" s="6" t="n">
        <v>38424</v>
      </c>
      <c r="D16" s="6" t="n">
        <v>29455</v>
      </c>
      <c r="E16" s="6" t="n">
        <v>37092</v>
      </c>
      <c r="F16" s="6" t="n">
        <v>43634</v>
      </c>
    </row>
    <row r="17">
      <c r="A17" s="6" t="inlineStr">
        <is>
          <t>Corporates</t>
        </is>
      </c>
      <c r="B17" s="6" t="n"/>
      <c r="C17" s="6" t="n">
        <v>0</v>
      </c>
      <c r="D17" s="6" t="n">
        <v>0</v>
      </c>
      <c r="E17" s="6" t="n">
        <v>15</v>
      </c>
      <c r="F17" s="6" t="n">
        <v>99</v>
      </c>
    </row>
    <row r="18">
      <c r="A18" s="6" t="inlineStr">
        <is>
          <t>Retail</t>
        </is>
      </c>
      <c r="B18" s="6" t="n"/>
      <c r="C18" s="6" t="n">
        <v>273745</v>
      </c>
      <c r="D18" s="6" t="n">
        <v>239489</v>
      </c>
      <c r="E18" s="6" t="n">
        <v>196497</v>
      </c>
      <c r="F18" s="6" t="n">
        <v>131874</v>
      </c>
    </row>
    <row r="19">
      <c r="A19" s="6" t="inlineStr">
        <is>
          <t>CBILs - Government Guaranteed</t>
        </is>
      </c>
      <c r="B19" s="6" t="n"/>
      <c r="C19" s="6" t="n">
        <v>15644</v>
      </c>
      <c r="D19" s="6" t="n">
        <v>10628</v>
      </c>
      <c r="E19" s="6" t="n">
        <v>12793</v>
      </c>
      <c r="F19" s="6" t="n">
        <v>13240</v>
      </c>
    </row>
    <row r="20">
      <c r="A20" s="6" t="inlineStr">
        <is>
          <t>Secured on real estate property</t>
        </is>
      </c>
      <c r="B20" s="6" t="n"/>
      <c r="C20" s="6" t="n">
        <v>578244</v>
      </c>
      <c r="D20" s="6" t="n">
        <v>571853</v>
      </c>
      <c r="E20" s="6" t="n">
        <v>568369</v>
      </c>
      <c r="F20" s="6" t="n">
        <v>581162</v>
      </c>
    </row>
    <row r="21">
      <c r="A21" s="6" t="inlineStr">
        <is>
          <t>Other items</t>
        </is>
      </c>
      <c r="B21" s="6" t="n"/>
      <c r="C21" s="6" t="n">
        <v>42329</v>
      </c>
      <c r="D21" s="6" t="n">
        <v>35556</v>
      </c>
      <c r="E21" s="6" t="n">
        <v>22514</v>
      </c>
      <c r="F21" s="6" t="n">
        <v>34363</v>
      </c>
    </row>
    <row r="22">
      <c r="A22" s="6" t="inlineStr">
        <is>
          <t>Exposures In Default</t>
        </is>
      </c>
      <c r="B22" s="6" t="n"/>
      <c r="C22" s="6" t="n">
        <v>12703</v>
      </c>
      <c r="D22" s="6" t="n">
        <v>14760</v>
      </c>
      <c r="E22" s="6" t="n">
        <v>9269</v>
      </c>
      <c r="F22" s="6" t="n">
        <v>7139</v>
      </c>
    </row>
    <row r="23">
      <c r="A23" s="6" t="inlineStr">
        <is>
          <t>Credit Value Adjustment</t>
        </is>
      </c>
      <c r="B23" s="6" t="n"/>
      <c r="C23" s="6" t="n">
        <v>6164</v>
      </c>
      <c r="D23" s="6" t="n">
        <v>1784</v>
      </c>
      <c r="E23" s="6" t="n"/>
      <c r="F23" s="6" t="n">
        <v>1549</v>
      </c>
    </row>
    <row r="24">
      <c r="A24" s="5" t="inlineStr">
        <is>
          <t>Total regulatory credit risk exposure</t>
        </is>
      </c>
      <c r="B24" s="5" t="n"/>
      <c r="C24" s="5" t="n">
        <v>1880575</v>
      </c>
      <c r="D24" s="5" t="n">
        <v>1650193</v>
      </c>
      <c r="E24" s="5" t="n">
        <v>1608741</v>
      </c>
      <c r="F24" s="5" t="n">
        <v>1480975</v>
      </c>
    </row>
    <row r="26" ht="260" customHeight="1">
      <c r="A26" s="8" t="inlineStr">
        <is>
          <t>Sources - Weatherbys Bank Limited Pillar 3 Disclosures, Group and Solo (identical, Table 5/Table 6), GBP'000: FY2025 impairment/NPL data from Annual Report and Financial Accounts 2025, pp.79-80 (Banking Group basis) - https://www.weatherbys.bank/weatherbys-banking-group-annual-report-2025/; FY2024 from Annual Report &amp; Accounts 2024, p.60 and Pillar 3 Disclosures 2024, pp.7-8 - https://www.weatherbys.bank/app/uploads/2025/04/Weatherbys-Banking-Group-Annual-Report-2024.pdf and https://www.weatherbys.bank/app/uploads/2025/04/Weatherbys-Bank-Pillar-3-Disclosures-2024.pdf; FY2023 from Annual Report &amp; Accounts 2023, p.65 and Pillar 3 Disclosures 2023, pp.6-7 - https://www.weatherbys.bank/app/uploads/2024/05/Weatherbys-Banking-Group-Annual-Report-2023.pdf and https://weatherbys.bank/app/uploads/2024/05/Weatherbys-Bank-Pillar-3-Dislcosures-2023.pdf; FY2022 from Annual Report &amp; Accounts 2022, p.62 and Pillar 3 Disclosures 2022, pp.8-9 - https://www.weatherbys.bank/app/uploads/2023/05/Weatherbys-Banking-Group-Annual_Report-2022.pdf and https://weatherbys.bank/app/uploads/2023/05/Weatherbys-Bank-Pillar-3-Dislcosures-2022.pdf; FY2021 from Annual Report &amp; Accounts 2022, p.62 (2021 comparative) and Pillar 3 Disclosures 2021, pp.7-8 - https://www.weatherbys.bank/app/uploads/2023/05/Weatherbys-Banking-Group-Annual_Report-2022.pdf and https://www.weatherbys.bank/app/uploads/2022/05/Pillar-3-2021-v2.0-Weatherbys-Bank.pdf.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Gross loans and advances to customers is derived as the Balance Sheet's net Loans and advances to customers plus the Loan loss provision balance from each year's own Note 15/16 (Banking Group basis); this ties exactly to the Balance Sheet's net figure every year. FY2025's Note 15 Balance Sheet loan loss provision (£5,333k) differs by £5k from Note 16's cumulative provision total (£5,338k) - a small internal document discrepancy, reproduced as-stated rather than forced to tie; both figures are shown. The regulatory credit risk exposure table (Pillar 3 Table 6) is a broader Pillar 1 exposure-class measure before credit risk mitigation (includes central bank/financial institution/covered bond exposures, not just customer loans) and does not tie to the narrower Balance Sheet loans line - shown as supplementary risk categorisation, not forced to reconcile.</t>
        </is>
      </c>
    </row>
  </sheetData>
  <mergeCells count="1">
    <mergeCell ref="A26:F2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Weatherbys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t>
        </is>
      </c>
      <c r="B4" s="6" t="n"/>
      <c r="C4" s="6" t="n">
        <v>84898</v>
      </c>
      <c r="D4" s="6" t="n">
        <v>73192</v>
      </c>
      <c r="E4" s="6" t="n">
        <v>57524</v>
      </c>
      <c r="F4" s="6" t="n">
        <v>50247</v>
      </c>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is blank for regulatory metrics because the 2025 annual report does not reproduce the requested Pillar 3 capital/liquidity tables and no 2025 Pillar 3 disclosure was located in the official archive.</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Weatherbys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n"/>
      <c r="C4" s="6" t="inlineStr">
        <is>
          <t>13.84%</t>
        </is>
      </c>
      <c r="D4" s="6" t="inlineStr">
        <is>
          <t>13.48%</t>
        </is>
      </c>
      <c r="E4" s="6" t="inlineStr">
        <is>
          <t>12.07%</t>
        </is>
      </c>
      <c r="F4" s="6" t="inlineStr">
        <is>
          <t>11.81%</t>
        </is>
      </c>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is blank for regulatory metrics because the 2025 annual report does not reproduce the requested Pillar 3 capital/liquidity tables and no 2025 Pillar 3 disclosure was located in the official archive.</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Weatherbys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c r="C4" s="6" t="n">
        <v>87898</v>
      </c>
      <c r="D4" s="6" t="n">
        <v>76192</v>
      </c>
      <c r="E4" s="6" t="n">
        <v>57524</v>
      </c>
      <c r="F4" s="6" t="n">
        <v>50247</v>
      </c>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is blank for regulatory metrics because the 2025 annual report does not reproduce the requested Pillar 3 capital/liquidity tables and no 2025 Pillar 3 disclosure was located in the official archive.</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Weatherbys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n"/>
      <c r="C4" s="6" t="inlineStr">
        <is>
          <t>14.33%</t>
        </is>
      </c>
      <c r="D4" s="6" t="inlineStr">
        <is>
          <t>14.03%</t>
        </is>
      </c>
      <c r="E4" s="6" t="inlineStr">
        <is>
          <t>12.07%</t>
        </is>
      </c>
      <c r="F4" s="6" t="inlineStr">
        <is>
          <t>11.81%</t>
        </is>
      </c>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is blank for regulatory metrics because the 2025 annual report does not reproduce the requested Pillar 3 capital/liquidity tables and no 2025 Pillar 3 disclosure was located in the official archive.</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Weatherbys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c r="C4" s="6" t="n">
        <v>99753</v>
      </c>
      <c r="D4" s="6" t="n">
        <v>87815</v>
      </c>
      <c r="E4" s="6" t="n">
        <v>69108</v>
      </c>
      <c r="F4" s="6" t="n">
        <v>61634</v>
      </c>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is blank for regulatory metrics because the 2025 annual report does not reproduce the requested Pillar 3 capital/liquidity tables and no 2025 Pillar 3 disclosure was located in the official archive.</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Weatherbys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n"/>
      <c r="C4" s="6" t="inlineStr">
        <is>
          <t>16.26%</t>
        </is>
      </c>
      <c r="D4" s="6" t="inlineStr">
        <is>
          <t>16.17%</t>
        </is>
      </c>
      <c r="E4" s="6" t="inlineStr">
        <is>
          <t>14.50%</t>
        </is>
      </c>
      <c r="F4" s="6" t="inlineStr">
        <is>
          <t>14.48%</t>
        </is>
      </c>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is blank for regulatory metrics because the 2025 annual report does not reproduce the requested Pillar 3 capital/liquidity tables and no 2025 Pillar 3 disclosure was located in the official archive.</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Weatherbys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 weighted assets</t>
        </is>
      </c>
      <c r="B4" s="6" t="n"/>
      <c r="C4" s="6" t="n">
        <v>613559</v>
      </c>
      <c r="D4" s="6" t="n">
        <v>543090</v>
      </c>
      <c r="E4" s="6" t="n">
        <v>476472</v>
      </c>
      <c r="F4" s="6" t="n">
        <v>425582</v>
      </c>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is blank for regulatory metrics because the 2025 annual report does not reproduce the requested Pillar 3 capital/liquidity tables and no 2025 Pillar 3 disclosure was located in the official archive.</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Weatherbys Bank Limited — RWA Breakdown</t>
        </is>
      </c>
    </row>
    <row r="2">
      <c r="A2" s="2" t="inlineStr">
        <is>
          <t>Weatherbys Bank risk-weighted assets by category, GBP'000 — derived from Pillar 3 capital requirement tables (see sources).</t>
        </is>
      </c>
    </row>
    <row r="3">
      <c r="A3" s="4" t="inlineStr">
        <is>
          <t>Line item</t>
        </is>
      </c>
      <c r="B3" s="4" t="inlineStr">
        <is>
          <t>FY2025 (GBP'000)</t>
        </is>
      </c>
      <c r="C3" s="4" t="inlineStr">
        <is>
          <t>FY2024 (GBP'000)</t>
        </is>
      </c>
      <c r="D3" s="4" t="inlineStr">
        <is>
          <t>FY2023 (GBP'000)</t>
        </is>
      </c>
      <c r="E3" s="4" t="inlineStr">
        <is>
          <t>FY2022 (GBP'000)</t>
        </is>
      </c>
      <c r="F3" s="4" t="inlineStr">
        <is>
          <t>FY2021 (GBP'000)</t>
        </is>
      </c>
    </row>
    <row r="4">
      <c r="A4" s="5" t="inlineStr">
        <is>
          <t>Credit risk, by exposure class (derived, see sources)</t>
        </is>
      </c>
      <c r="B4" s="6" t="n"/>
      <c r="C4" s="6" t="n"/>
      <c r="D4" s="6" t="n"/>
      <c r="E4" s="6" t="n"/>
      <c r="F4" s="6" t="n"/>
    </row>
    <row r="5">
      <c r="A5" s="6" t="inlineStr">
        <is>
          <t>Financial institutions</t>
        </is>
      </c>
      <c r="B5" s="6" t="n"/>
      <c r="C5" s="6" t="n">
        <v>14667</v>
      </c>
      <c r="D5" s="6" t="n">
        <v>8811</v>
      </c>
      <c r="E5" s="6" t="n">
        <v>10256</v>
      </c>
      <c r="F5" s="6" t="n">
        <v>8450</v>
      </c>
    </row>
    <row r="6">
      <c r="A6" s="6" t="inlineStr">
        <is>
          <t>Covered bonds</t>
        </is>
      </c>
      <c r="B6" s="6" t="n"/>
      <c r="C6" s="6" t="n">
        <v>8678</v>
      </c>
      <c r="D6" s="6" t="n">
        <v>6089</v>
      </c>
      <c r="E6" s="6" t="n">
        <v>6756</v>
      </c>
      <c r="F6" s="6" t="n">
        <v>5188</v>
      </c>
    </row>
    <row r="7">
      <c r="A7" s="6" t="inlineStr">
        <is>
          <t>Corporates</t>
        </is>
      </c>
      <c r="B7" s="6" t="n"/>
      <c r="C7" s="6" t="n">
        <v>0</v>
      </c>
      <c r="D7" s="6" t="n">
        <v>0</v>
      </c>
      <c r="E7" s="6" t="n">
        <v>11</v>
      </c>
      <c r="F7" s="6" t="n">
        <v>100</v>
      </c>
    </row>
    <row r="8">
      <c r="A8" s="6" t="inlineStr">
        <is>
          <t>Retail</t>
        </is>
      </c>
      <c r="B8" s="6" t="n"/>
      <c r="C8" s="6" t="n">
        <v>149878</v>
      </c>
      <c r="D8" s="6" t="n">
        <v>131600</v>
      </c>
      <c r="E8" s="6" t="n">
        <v>106233</v>
      </c>
      <c r="F8" s="6" t="n">
        <v>81438</v>
      </c>
    </row>
    <row r="9">
      <c r="A9" s="6" t="inlineStr">
        <is>
          <t>Secured by mortgages on immovable property</t>
        </is>
      </c>
      <c r="B9" s="6" t="n"/>
      <c r="C9" s="6" t="n">
        <v>216322</v>
      </c>
      <c r="D9" s="6" t="n">
        <v>213678</v>
      </c>
      <c r="E9" s="6" t="n">
        <v>212289</v>
      </c>
      <c r="F9" s="6" t="n">
        <v>218838</v>
      </c>
    </row>
    <row r="10">
      <c r="A10" s="6" t="inlineStr">
        <is>
          <t>Exposures in default</t>
        </is>
      </c>
      <c r="B10" s="6" t="n"/>
      <c r="C10" s="6" t="n">
        <v>16278</v>
      </c>
      <c r="D10" s="6" t="n">
        <v>18400</v>
      </c>
      <c r="E10" s="6" t="n">
        <v>12456</v>
      </c>
      <c r="F10" s="6" t="n">
        <v>8888</v>
      </c>
    </row>
    <row r="11">
      <c r="A11" s="6" t="inlineStr">
        <is>
          <t>Other items</t>
        </is>
      </c>
      <c r="B11" s="6" t="n"/>
      <c r="C11" s="6" t="n">
        <v>52400</v>
      </c>
      <c r="D11" s="6" t="n">
        <v>46544</v>
      </c>
      <c r="E11" s="6" t="n">
        <v>43689</v>
      </c>
      <c r="F11" s="6" t="n">
        <v>32050</v>
      </c>
    </row>
    <row r="12">
      <c r="A12" s="6" t="inlineStr">
        <is>
          <t>Credit Value Adjustment</t>
        </is>
      </c>
      <c r="B12" s="6" t="n"/>
      <c r="C12" s="6" t="n">
        <v>6167</v>
      </c>
      <c r="D12" s="6" t="n">
        <v>1778</v>
      </c>
      <c r="E12" s="6" t="n"/>
      <c r="F12" s="6" t="n"/>
    </row>
    <row r="13">
      <c r="A13" s="5" t="inlineStr">
        <is>
          <t>Credit risk (subtotal)</t>
        </is>
      </c>
      <c r="B13" s="5" t="n"/>
      <c r="C13" s="5" t="n">
        <v>464390</v>
      </c>
      <c r="D13" s="5" t="n">
        <v>426900</v>
      </c>
      <c r="E13" s="5" t="n">
        <v>391690</v>
      </c>
      <c r="F13" s="5" t="n">
        <v>354952</v>
      </c>
    </row>
    <row r="14">
      <c r="A14" s="5" t="inlineStr">
        <is>
          <t>Other risk categories</t>
        </is>
      </c>
      <c r="B14" s="6" t="n"/>
      <c r="C14" s="6" t="n"/>
      <c r="D14" s="6" t="n"/>
      <c r="E14" s="6" t="n"/>
      <c r="F14" s="6" t="n"/>
    </row>
    <row r="15">
      <c r="A15" s="6" t="inlineStr">
        <is>
          <t>Market risk</t>
        </is>
      </c>
      <c r="B15" s="6" t="n"/>
      <c r="C15" s="6" t="n"/>
      <c r="D15" s="6" t="n"/>
      <c r="E15" s="6" t="n"/>
      <c r="F15" s="6" t="n">
        <v>975</v>
      </c>
    </row>
    <row r="16">
      <c r="A16" s="6" t="inlineStr">
        <is>
          <t>Operational risk</t>
        </is>
      </c>
      <c r="B16" s="6" t="n"/>
      <c r="C16" s="6" t="n">
        <v>148056</v>
      </c>
      <c r="D16" s="6" t="n">
        <v>116389</v>
      </c>
      <c r="E16" s="6" t="n">
        <v>83433</v>
      </c>
      <c r="F16" s="6" t="n">
        <v>69650</v>
      </c>
    </row>
    <row r="17">
      <c r="A17" s="5" t="inlineStr">
        <is>
          <t>Total RWAs (derived - see sources for reconciliation to the directly disclosed Total RWAs sheet)</t>
        </is>
      </c>
      <c r="B17" s="5" t="n"/>
      <c r="C17" s="5" t="n">
        <v>612446</v>
      </c>
      <c r="D17" s="5" t="n">
        <v>543289</v>
      </c>
      <c r="E17" s="5" t="n">
        <v>475123</v>
      </c>
      <c r="F17" s="5" t="n">
        <v>425577</v>
      </c>
    </row>
    <row r="19" ht="340" customHeight="1">
      <c r="A19" s="8" t="inlineStr">
        <is>
          <t>Sources - Weatherbys Bank Limited Pillar 3 Disclosures, Group/Solo (identical), Tables 3-4, GBP'000: FY2024, pp.6-7 - https://www.weatherbys.bank/app/uploads/2025/04/Weatherbys-Bank-Pillar-3-Disclosures-2024.pdf; FY2023, p.7 - https://weatherbys.bank/app/uploads/2024/05/Weatherbys-Bank-Pillar-3-Dislcosures-2023.pdf; FY2022, pp.7-8 - https://weatherbys.bank/app/uploads/2023/05/Weatherbys-Bank-Pillar-3-Dislcosures-2022.pdf; FY2021, pp.5-7 - https://www.weatherbys.bank/app/uploads/2022/05/Pillar-3-2021-v2.0-Weatherbys-Bank.pdf.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Weatherbys does not publish a UK OV1-style risk-weighted-exposure-amount table by category - instead each Pillar 3 disclosure gives the minimum capital requirement per credit risk exposure class (Table 3) and per Pillar 1 risk type (Table 4). This RWA Breakdown derives each category's risk-weighted-asset equivalent by dividing its capital requirement by the disclosed conversion rate: FY2021's Table 3 header explicitly states 'Minimum Capital Requirement 8%' (the standard CRR Pillar 1 rate, confirmed in the accompanying text - 'a factor of 8% is applied to the risk weighted exposure amounts'), so FY2021 uses 8%. From FY2022 onward, the PRA set the Bank's own Total Capital Requirement (TCR) at 9% of RWAs (per the FY2022 disclosure's own text: 'In September 2022 the PRA set the Bank's TCR at 9% of RWAs plus a static add-on of £4.4m'), and Table 3/4's own 'minimum capital requirement' figures for FY2022-FY2024 are computed at this firm-specific 9% rate rather than the generic 8% - confirmed by summing each year's credit-risk and operational-risk capital requirement components and dividing by 9%, which reconciles to the separately and directly disclosed Total RWAs figure (see the Total RWAs sheet) to within 0.3% every year, versus a &gt;10% mismatch at 8%. This is therefore a derived breakdown, not a directly published RWEA/OV1 table - the small remaining gap to the disclosed Total RWAs headline (FY2021: £5k/0.001%; FY2022: £1,349k/0.28%; FY2023: £199k/0.04%; FY2024: £1,113k/0.18%) reflects rounding in the underlying, more precise Bank calculation. The Static Pension add-on (a Pillar 2 item, not RWA-based) is excluded from this breakdown. FY2025 is blank because no FY2025 Pillar 3 disclosure was located (same access gap already noted on the other Pillar 3 sheets).</t>
        </is>
      </c>
    </row>
  </sheetData>
  <mergeCells count="1">
    <mergeCell ref="A19:F1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Weatherbys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n"/>
      <c r="C4" s="6" t="inlineStr">
        <is>
          <t>7.08%</t>
        </is>
      </c>
      <c r="D4" s="6" t="inlineStr">
        <is>
          <t>7.13%</t>
        </is>
      </c>
      <c r="E4" s="6" t="inlineStr">
        <is>
          <t>5.30%</t>
        </is>
      </c>
      <c r="F4" s="6" t="inlineStr">
        <is>
          <t>3.37%</t>
        </is>
      </c>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is blank for regulatory metrics because the 2025 annual report does not reproduce the requested Pillar 3 capital/liquidity tables and no 2025 Pillar 3 disclosure was located in the official archive.</t>
        </is>
      </c>
    </row>
  </sheetData>
  <mergeCells count="1">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Weatherbys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n"/>
      <c r="C4" s="6" t="inlineStr">
        <is>
          <t>1017%</t>
        </is>
      </c>
      <c r="D4" s="6" t="inlineStr">
        <is>
          <t>896%</t>
        </is>
      </c>
      <c r="E4" s="6" t="inlineStr">
        <is>
          <t>650%</t>
        </is>
      </c>
      <c r="F4" s="6" t="inlineStr">
        <is>
          <t>531%</t>
        </is>
      </c>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is blank for regulatory metrics because the 2025 annual report does not reproduce the requested Pillar 3 capital/liquidity tables and no 2025 Pillar 3 disclosure was located in the official archive.</t>
        </is>
      </c>
    </row>
  </sheetData>
  <mergeCells count="1">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Weatherbys 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n"/>
      <c r="C4" s="6" t="inlineStr">
        <is>
          <t>266%</t>
        </is>
      </c>
      <c r="D4" s="6" t="inlineStr">
        <is>
          <t>254%</t>
        </is>
      </c>
      <c r="E4" s="6" t="inlineStr">
        <is>
          <t>259.7%</t>
        </is>
      </c>
      <c r="F4" s="6" t="inlineStr">
        <is>
          <t>268.2%</t>
        </is>
      </c>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is blank for regulatory metrics because the 2025 annual report does not reproduce the requested Pillar 3 capital/liquidity tables and no 2025 Pillar 3 disclosure was located in the official archive.</t>
        </is>
      </c>
    </row>
  </sheetData>
  <mergeCells count="1">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Weatherbys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MREL was not separately disclosed in the Weatherbys 2021-2024 Pillar 3 documents reviewed; FY2025 has no official Pillar 3 document located. This is an explicit non-disclosure, not a zero.</t>
        </is>
      </c>
    </row>
    <row r="7" ht="150" customHeight="1">
      <c r="A7"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is blank for regulatory metrics because the 2025 annual report does not reproduce the requested Pillar 3 capital/liquidity tables and no 2025 Pillar 3 disclosure was located in the official archive.</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2026-09-03T23:38:11Z</dcterms:created>
  <dcterms:modified xmlns:dcterms="http://purl.org/dc/terms/" xmlns:xsi="http://www.w3.org/2001/XMLSchema-instance" xsi:type="dcterms:W3CDTF">2026-09-03T23:38:11Z</dcterms:modified>
</cp:coreProperties>
</file>