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83584"/>
        <bgColor rgb="00C8358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Charter Court Financial Services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13457</v>
      </c>
      <c r="C6" s="5" t="n">
        <v>12797.5</v>
      </c>
      <c r="D6" s="5" t="n">
        <v>13134.8</v>
      </c>
      <c r="E6" s="5" t="n">
        <v>12186</v>
      </c>
      <c r="F6" s="5" t="n">
        <v>10571.9</v>
      </c>
      <c r="I6" t="inlineStr">
        <is>
          <t>Total assets</t>
        </is>
      </c>
      <c r="J6" t="n">
        <v>10571.9</v>
      </c>
      <c r="K6" t="n">
        <v>12186</v>
      </c>
      <c r="L6" t="n">
        <v>13134.8</v>
      </c>
      <c r="M6" t="n">
        <v>12797.5</v>
      </c>
      <c r="N6" t="n">
        <v>13457</v>
      </c>
      <c r="AO6" t="inlineStr">
        <is>
          <t>CET1 Ratio</t>
        </is>
      </c>
      <c r="AQ6" t="n">
        <v>18.8</v>
      </c>
      <c r="AR6" t="n">
        <v>15.8</v>
      </c>
      <c r="AS6" t="n">
        <v>17.8</v>
      </c>
      <c r="AT6" t="n">
        <v>16.2</v>
      </c>
    </row>
    <row r="7">
      <c r="A7" s="5" t="inlineStr">
        <is>
          <t>Loans and advances to customers</t>
        </is>
      </c>
      <c r="B7" s="5" t="n">
        <v>9346.1</v>
      </c>
      <c r="C7" s="5" t="n">
        <v>9785.5</v>
      </c>
      <c r="D7" s="5" t="n">
        <v>11229.3</v>
      </c>
      <c r="E7" s="5" t="n">
        <v>10260.9</v>
      </c>
      <c r="F7" s="5" t="n">
        <v>8789.299999999999</v>
      </c>
      <c r="I7" t="inlineStr">
        <is>
          <t>Loans and advances to customers</t>
        </is>
      </c>
      <c r="J7" t="n">
        <v>8789.299999999999</v>
      </c>
      <c r="K7" t="n">
        <v>10260.9</v>
      </c>
      <c r="L7" t="n">
        <v>11229.3</v>
      </c>
      <c r="M7" t="n">
        <v>9785.5</v>
      </c>
      <c r="N7" t="n">
        <v>9346.1</v>
      </c>
      <c r="AO7" t="inlineStr">
        <is>
          <t>Total Capital Ratio</t>
        </is>
      </c>
      <c r="AQ7" t="n">
        <v>20.2</v>
      </c>
      <c r="AR7" t="n">
        <v>19.2</v>
      </c>
    </row>
    <row r="8">
      <c r="A8" s="5" t="inlineStr">
        <is>
          <t>Amounts owed to retail depositors</t>
        </is>
      </c>
      <c r="B8" s="5" t="n">
        <v>10162.8</v>
      </c>
      <c r="C8" s="5" t="n">
        <v>10294.9</v>
      </c>
      <c r="D8" s="5" t="n">
        <v>9880.1</v>
      </c>
      <c r="E8" s="5" t="n">
        <v>8623.1</v>
      </c>
      <c r="F8" s="5" t="n">
        <v>7785.4</v>
      </c>
      <c r="I8" t="inlineStr">
        <is>
          <t>Amounts owed to retail depositors</t>
        </is>
      </c>
      <c r="J8" t="n">
        <v>7785.4</v>
      </c>
      <c r="K8" t="n">
        <v>8623.1</v>
      </c>
      <c r="L8" t="n">
        <v>9880.1</v>
      </c>
      <c r="M8" t="n">
        <v>10294.9</v>
      </c>
      <c r="N8" t="n">
        <v>10162.8</v>
      </c>
      <c r="AO8" t="inlineStr">
        <is>
          <t>Leverage Ratio</t>
        </is>
      </c>
      <c r="AQ8" t="n">
        <v>7.9</v>
      </c>
      <c r="AR8" t="n">
        <v>6.9</v>
      </c>
    </row>
    <row r="9">
      <c r="A9" s="5" t="inlineStr">
        <is>
          <t>Total equity</t>
        </is>
      </c>
      <c r="B9" s="5" t="n">
        <v>769.7</v>
      </c>
      <c r="C9" s="5" t="n">
        <v>825.5</v>
      </c>
      <c r="D9" s="5" t="n">
        <v>825</v>
      </c>
      <c r="E9" s="5" t="n">
        <v>894.1</v>
      </c>
      <c r="F9" s="5" t="n">
        <v>780.6</v>
      </c>
      <c r="I9" t="inlineStr">
        <is>
          <t>Total equity</t>
        </is>
      </c>
      <c r="J9" t="n">
        <v>780.6</v>
      </c>
      <c r="K9" t="n">
        <v>894.1</v>
      </c>
      <c r="L9" t="n">
        <v>825</v>
      </c>
      <c r="M9" t="n">
        <v>825.5</v>
      </c>
      <c r="N9" t="n">
        <v>769.7</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254.3</v>
      </c>
      <c r="C13" s="5" t="n">
        <v>290.8</v>
      </c>
      <c r="D13" s="5" t="n">
        <v>214.3</v>
      </c>
      <c r="E13" s="5" t="n">
        <v>347.9</v>
      </c>
      <c r="F13" s="5" t="n">
        <v>245.9</v>
      </c>
      <c r="Q13" t="inlineStr">
        <is>
          <t>Total income</t>
        </is>
      </c>
      <c r="R13" t="n">
        <v>245.9</v>
      </c>
      <c r="S13" t="n">
        <v>347.9</v>
      </c>
      <c r="T13" t="n">
        <v>214.3</v>
      </c>
      <c r="U13" t="n">
        <v>290.8</v>
      </c>
      <c r="V13" t="n">
        <v>254.3</v>
      </c>
    </row>
    <row r="14">
      <c r="A14" s="5" t="inlineStr">
        <is>
          <t>Administrative expenses</t>
        </is>
      </c>
      <c r="B14" s="5" t="n">
        <v>-108.5</v>
      </c>
      <c r="C14" s="5" t="n">
        <v>-109.3</v>
      </c>
      <c r="D14" s="5" t="n">
        <v>-101.9</v>
      </c>
      <c r="E14" s="5" t="n">
        <v>-75.2</v>
      </c>
      <c r="F14" s="5" t="n">
        <v>-65.7</v>
      </c>
      <c r="Q14" t="inlineStr">
        <is>
          <t>Administrative expenses</t>
        </is>
      </c>
      <c r="R14" t="n">
        <v>-65.7</v>
      </c>
      <c r="S14" t="n">
        <v>-75.2</v>
      </c>
      <c r="T14" t="n">
        <v>-101.9</v>
      </c>
      <c r="U14" t="n">
        <v>-109.3</v>
      </c>
      <c r="V14" t="n">
        <v>-108.5</v>
      </c>
    </row>
    <row r="15">
      <c r="A15" s="5" t="inlineStr">
        <is>
          <t>Profit for the year</t>
        </is>
      </c>
      <c r="B15" s="5" t="n">
        <v>109.8</v>
      </c>
      <c r="C15" s="5" t="n">
        <v>140.5</v>
      </c>
      <c r="D15" s="5" t="n">
        <v>77.09999999999999</v>
      </c>
      <c r="E15" s="5" t="n">
        <v>194.2</v>
      </c>
      <c r="F15" s="5" t="n">
        <v>137.9</v>
      </c>
      <c r="Q15" t="inlineStr">
        <is>
          <t>Profit for the year</t>
        </is>
      </c>
      <c r="R15" t="n">
        <v>137.9</v>
      </c>
      <c r="S15" t="n">
        <v>194.2</v>
      </c>
      <c r="T15" t="n">
        <v>77.09999999999999</v>
      </c>
      <c r="U15" t="n">
        <v>140.5</v>
      </c>
      <c r="V15" t="n">
        <v>109.8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825.5</v>
      </c>
      <c r="C19" s="5" t="n">
        <v>825</v>
      </c>
      <c r="D19" s="5" t="n">
        <v>894.1</v>
      </c>
      <c r="E19" s="5" t="n">
        <v>780.6</v>
      </c>
      <c r="F19" s="5" t="n"/>
      <c r="Y19" t="inlineStr">
        <is>
          <t>Opening equity</t>
        </is>
      </c>
      <c r="AA19" t="n">
        <v>780.6</v>
      </c>
      <c r="AB19" t="n">
        <v>894.1</v>
      </c>
      <c r="AC19" t="n">
        <v>825</v>
      </c>
      <c r="AD19" t="n">
        <v>825.5</v>
      </c>
    </row>
    <row r="20">
      <c r="A20" s="5" t="inlineStr">
        <is>
          <t>Total comprehensive income for the year</t>
        </is>
      </c>
      <c r="B20" s="5" t="n">
        <v>111.4</v>
      </c>
      <c r="C20" s="5" t="n">
        <v>139</v>
      </c>
      <c r="D20" s="5" t="n">
        <v>59.4</v>
      </c>
      <c r="E20" s="5" t="n">
        <v>192.3</v>
      </c>
      <c r="F20" s="5" t="n">
        <v>154</v>
      </c>
      <c r="Y20" t="inlineStr">
        <is>
          <t>Total comprehensive income for the year</t>
        </is>
      </c>
      <c r="Z20" t="n">
        <v>154</v>
      </c>
      <c r="AA20" t="n">
        <v>192.3</v>
      </c>
      <c r="AB20" t="n">
        <v>59.4</v>
      </c>
      <c r="AC20" t="n">
        <v>139</v>
      </c>
      <c r="AD20" t="n">
        <v>111.4</v>
      </c>
    </row>
    <row r="21">
      <c r="A21" s="5" t="inlineStr">
        <is>
          <t>Other equity movements, net</t>
        </is>
      </c>
      <c r="B21" s="5" t="n">
        <v>-167.2</v>
      </c>
      <c r="C21" s="5" t="n">
        <v>-138.5</v>
      </c>
      <c r="D21" s="5" t="n">
        <v>-128.5</v>
      </c>
      <c r="E21" s="5" t="n">
        <v>-78.8</v>
      </c>
      <c r="F21" s="5" t="n"/>
      <c r="Y21" t="inlineStr">
        <is>
          <t>Other equity movements, net</t>
        </is>
      </c>
      <c r="AA21" t="n">
        <v>-78.8</v>
      </c>
      <c r="AB21" t="n">
        <v>-128.5</v>
      </c>
      <c r="AC21" t="n">
        <v>-138.5</v>
      </c>
      <c r="AD21" t="n">
        <v>-167.2</v>
      </c>
    </row>
    <row r="22">
      <c r="A22" s="5" t="inlineStr">
        <is>
          <t>Closing equity</t>
        </is>
      </c>
      <c r="B22" s="5" t="n">
        <v>769.7</v>
      </c>
      <c r="C22" s="5" t="n">
        <v>825.5</v>
      </c>
      <c r="D22" s="5" t="n">
        <v>825</v>
      </c>
      <c r="E22" s="5" t="n">
        <v>894.1</v>
      </c>
      <c r="F22" s="5" t="n">
        <v>780.6</v>
      </c>
      <c r="Y22" t="inlineStr">
        <is>
          <t>Closing equity</t>
        </is>
      </c>
      <c r="Z22" t="n">
        <v>780.6</v>
      </c>
      <c r="AA22" t="n">
        <v>894.1</v>
      </c>
      <c r="AB22" t="n">
        <v>825</v>
      </c>
      <c r="AC22" t="n">
        <v>825.5</v>
      </c>
      <c r="AD22" t="n">
        <v>769.7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717.4</v>
      </c>
      <c r="C26" s="5" t="n">
        <v>1335.4</v>
      </c>
      <c r="D26" s="5" t="n">
        <v>279.1</v>
      </c>
      <c r="E26" s="5" t="n">
        <v>-195.1</v>
      </c>
      <c r="F26" s="5" t="n">
        <v>12.5</v>
      </c>
      <c r="AG26" t="inlineStr">
        <is>
          <t>Net cash from/(used in) operating activities</t>
        </is>
      </c>
      <c r="AH26" t="n">
        <v>12.5</v>
      </c>
      <c r="AI26" t="n">
        <v>-195.1</v>
      </c>
      <c r="AJ26" t="n">
        <v>279.1</v>
      </c>
      <c r="AK26" t="n">
        <v>1335.4</v>
      </c>
      <c r="AL26" t="n">
        <v>717.4</v>
      </c>
    </row>
    <row r="27">
      <c r="A27" s="5" t="inlineStr">
        <is>
          <t>Net cash from investing activities</t>
        </is>
      </c>
      <c r="B27" s="5" t="n">
        <v>-219.4</v>
      </c>
      <c r="C27" s="5" t="n">
        <v>127</v>
      </c>
      <c r="D27" s="5" t="n">
        <v>-11</v>
      </c>
      <c r="E27" s="5" t="n">
        <v>179.6</v>
      </c>
      <c r="F27" s="5" t="n">
        <v>81.5</v>
      </c>
      <c r="AG27" t="inlineStr">
        <is>
          <t>Net cash from investing activities</t>
        </is>
      </c>
      <c r="AH27" t="n">
        <v>81.5</v>
      </c>
      <c r="AI27" t="n">
        <v>179.6</v>
      </c>
      <c r="AJ27" t="n">
        <v>-11</v>
      </c>
      <c r="AK27" t="n">
        <v>127</v>
      </c>
      <c r="AL27" t="n">
        <v>-219.4</v>
      </c>
    </row>
    <row r="28">
      <c r="A28" s="5" t="inlineStr">
        <is>
          <t>Net cash from/(used in) financing activities</t>
        </is>
      </c>
      <c r="B28" s="5" t="n">
        <v>295</v>
      </c>
      <c r="C28" s="5" t="n">
        <v>-876.6</v>
      </c>
      <c r="D28" s="5" t="n">
        <v>-295.3</v>
      </c>
      <c r="E28" s="5" t="n">
        <v>211.8</v>
      </c>
      <c r="F28" s="5" t="n">
        <v>288.8</v>
      </c>
      <c r="AG28" t="inlineStr">
        <is>
          <t>Net cash from/(used in) financing activities</t>
        </is>
      </c>
      <c r="AH28" t="n">
        <v>288.8</v>
      </c>
      <c r="AI28" t="n">
        <v>211.8</v>
      </c>
      <c r="AJ28" t="n">
        <v>-295.3</v>
      </c>
      <c r="AK28" t="n">
        <v>-876.6</v>
      </c>
      <c r="AL28" t="n">
        <v>295</v>
      </c>
    </row>
    <row r="29">
      <c r="A29" s="5" t="inlineStr">
        <is>
          <t>Cash and cash equivalents at end of year</t>
        </is>
      </c>
      <c r="B29" s="5" t="n">
        <v>2830.8</v>
      </c>
      <c r="C29" s="5" t="n">
        <v>2037.8</v>
      </c>
      <c r="D29" s="5" t="n">
        <v>1452</v>
      </c>
      <c r="E29" s="5" t="n">
        <v>1479.2</v>
      </c>
      <c r="F29" s="5" t="n">
        <v>1282.9</v>
      </c>
      <c r="AG29" t="inlineStr">
        <is>
          <t>Cash and cash equivalents at end of year</t>
        </is>
      </c>
      <c r="AH29" t="n">
        <v>1282.9</v>
      </c>
      <c r="AI29" t="n">
        <v>1479.2</v>
      </c>
      <c r="AJ29" t="n">
        <v>1452</v>
      </c>
      <c r="AK29" t="n">
        <v>2037.8</v>
      </c>
      <c r="AL29" t="n">
        <v>2830.8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16.2%</t>
        </is>
      </c>
      <c r="C33" s="6" t="inlineStr">
        <is>
          <t>17.8%</t>
        </is>
      </c>
      <c r="D33" s="6" t="inlineStr">
        <is>
          <t>15.8%</t>
        </is>
      </c>
      <c r="E33" s="6" t="inlineStr">
        <is>
          <t>18.8%</t>
        </is>
      </c>
      <c r="F33" s="6" t="n"/>
    </row>
    <row r="34">
      <c r="A34" s="6" t="inlineStr">
        <is>
          <t>Total Capital Ratio</t>
        </is>
      </c>
      <c r="B34" s="6" t="n"/>
      <c r="C34" s="6" t="n"/>
      <c r="D34" s="6" t="inlineStr">
        <is>
          <t>19.2%</t>
        </is>
      </c>
      <c r="E34" s="6" t="inlineStr">
        <is>
          <t>20.2%</t>
        </is>
      </c>
      <c r="F34" s="6" t="n"/>
    </row>
    <row r="35">
      <c r="A35" s="6" t="inlineStr">
        <is>
          <t>Leverage Ratio</t>
        </is>
      </c>
      <c r="B35" s="6" t="n"/>
      <c r="C35" s="6" t="n"/>
      <c r="D35" s="6" t="inlineStr">
        <is>
          <t>6.9%</t>
        </is>
      </c>
      <c r="E35" s="6" t="inlineStr">
        <is>
          <t>7.9%</t>
        </is>
      </c>
      <c r="F35" s="6" t="n"/>
    </row>
    <row r="37" ht="45" customHeight="1">
      <c r="A37" s="7" t="inlineStr">
        <is>
          <t>Note: LCR/NSFR/MREL/Tier 1 metrics omitted from this chart - not disclosed at this entity level in any year (see the individual sheets). Figures are duplicated from the detail sheets for at-a-glance trend viewing; see each sheet's own source citation for the underlying document/page.</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Balance Sheet</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Loans and advances to credit institutions</t>
        </is>
      </c>
      <c r="B5" s="6" t="n">
        <v>2890.4</v>
      </c>
      <c r="C5" s="6" t="n">
        <v>2081.5</v>
      </c>
      <c r="D5" s="6" t="n">
        <v>1570</v>
      </c>
      <c r="E5" s="6" t="n">
        <v>1632</v>
      </c>
      <c r="F5" s="6" t="n">
        <v>1269.1</v>
      </c>
    </row>
    <row r="6">
      <c r="A6" s="6" t="inlineStr">
        <is>
          <t>Investment securities</t>
        </is>
      </c>
      <c r="B6" s="6" t="n">
        <v>1181.3</v>
      </c>
      <c r="C6" s="6" t="n">
        <v>905.7</v>
      </c>
      <c r="D6" s="6" t="n">
        <v>225.5</v>
      </c>
      <c r="E6" s="6" t="n">
        <v>202.3</v>
      </c>
      <c r="F6" s="6" t="n">
        <v>477.8</v>
      </c>
    </row>
    <row r="7">
      <c r="A7" s="6" t="inlineStr">
        <is>
          <t>Loans and advances to customers</t>
        </is>
      </c>
      <c r="B7" s="6" t="n">
        <v>9346.1</v>
      </c>
      <c r="C7" s="6" t="n">
        <v>9785.5</v>
      </c>
      <c r="D7" s="6" t="n">
        <v>11229.3</v>
      </c>
      <c r="E7" s="6" t="n">
        <v>10260.9</v>
      </c>
      <c r="F7" s="6" t="n">
        <v>8789.299999999999</v>
      </c>
    </row>
    <row r="8">
      <c r="A8" s="6" t="inlineStr">
        <is>
          <t>Fair value adjustments on hedged assets</t>
        </is>
      </c>
      <c r="B8" s="6" t="n">
        <v>6</v>
      </c>
      <c r="C8" s="6" t="n">
        <v>-79</v>
      </c>
      <c r="D8" s="6" t="n">
        <v>-151.7</v>
      </c>
      <c r="E8" s="6" t="n">
        <v>-375.5</v>
      </c>
      <c r="F8" s="6" t="n">
        <v>-68.40000000000001</v>
      </c>
    </row>
    <row r="9">
      <c r="A9" s="6" t="inlineStr">
        <is>
          <t>Derivative assets</t>
        </is>
      </c>
      <c r="B9" s="6" t="n">
        <v>22.8</v>
      </c>
      <c r="C9" s="6" t="n">
        <v>84.09999999999999</v>
      </c>
      <c r="D9" s="6" t="n">
        <v>234</v>
      </c>
      <c r="E9" s="6" t="n">
        <v>447.2</v>
      </c>
      <c r="F9" s="6" t="n">
        <v>86.90000000000001</v>
      </c>
    </row>
    <row r="10">
      <c r="A10" s="6" t="inlineStr">
        <is>
          <t>Other assets</t>
        </is>
      </c>
      <c r="B10" s="6" t="n">
        <v>7.5</v>
      </c>
      <c r="C10" s="6" t="n">
        <v>4.7</v>
      </c>
      <c r="D10" s="6" t="n">
        <v>9.199999999999999</v>
      </c>
      <c r="E10" s="6" t="n">
        <v>3.8</v>
      </c>
      <c r="F10" s="6" t="n">
        <v>4.5</v>
      </c>
    </row>
    <row r="11">
      <c r="A11" s="6" t="inlineStr">
        <is>
          <t>Current taxation asset</t>
        </is>
      </c>
      <c r="B11" s="6" t="n">
        <v>0.8</v>
      </c>
      <c r="C11" s="6" t="n">
        <v>9.699999999999999</v>
      </c>
      <c r="D11" s="6" t="n">
        <v>7.4</v>
      </c>
      <c r="E11" s="6" t="n">
        <v>0.1</v>
      </c>
      <c r="F11" s="6" t="n">
        <v>0.4</v>
      </c>
    </row>
    <row r="12">
      <c r="A12" s="6" t="inlineStr">
        <is>
          <t>Deferred taxation asset</t>
        </is>
      </c>
      <c r="B12" s="6" t="n">
        <v>0</v>
      </c>
      <c r="C12" s="6" t="n">
        <v>0.7</v>
      </c>
      <c r="D12" s="6" t="n">
        <v>4</v>
      </c>
      <c r="E12" s="6" t="n">
        <v>5.2</v>
      </c>
      <c r="F12" s="6" t="n"/>
    </row>
    <row r="13">
      <c r="A13" s="6" t="inlineStr">
        <is>
          <t>Property, plant and equipment</t>
        </is>
      </c>
      <c r="B13" s="6" t="n">
        <v>2.1</v>
      </c>
      <c r="C13" s="6" t="n">
        <v>4.2</v>
      </c>
      <c r="D13" s="6" t="n">
        <v>5.7</v>
      </c>
      <c r="E13" s="6" t="n">
        <v>7.1</v>
      </c>
      <c r="F13" s="6" t="n">
        <v>8.1</v>
      </c>
    </row>
    <row r="14">
      <c r="A14" s="6" t="inlineStr">
        <is>
          <t>Intangible assets</t>
        </is>
      </c>
      <c r="B14" s="6" t="n">
        <v>0</v>
      </c>
      <c r="C14" s="6" t="n">
        <v>0.4</v>
      </c>
      <c r="D14" s="6" t="n">
        <v>1.4</v>
      </c>
      <c r="E14" s="6" t="n">
        <v>2.9</v>
      </c>
      <c r="F14" s="6" t="n">
        <v>4.2</v>
      </c>
    </row>
    <row r="15">
      <c r="A15" s="5" t="inlineStr">
        <is>
          <t>Total assets</t>
        </is>
      </c>
      <c r="B15" s="5" t="n">
        <v>13457</v>
      </c>
      <c r="C15" s="5" t="n">
        <v>12797.5</v>
      </c>
      <c r="D15" s="5" t="n">
        <v>13134.8</v>
      </c>
      <c r="E15" s="5" t="n">
        <v>12186</v>
      </c>
      <c r="F15" s="5" t="n">
        <v>10571.9</v>
      </c>
    </row>
    <row r="16">
      <c r="A16" s="5" t="inlineStr">
        <is>
          <t>Liabilities</t>
        </is>
      </c>
      <c r="B16" s="6" t="n"/>
      <c r="C16" s="6" t="n"/>
      <c r="D16" s="6" t="n"/>
      <c r="E16" s="6" t="n"/>
      <c r="F16" s="6" t="n"/>
    </row>
    <row r="17">
      <c r="A17" s="6" t="inlineStr">
        <is>
          <t>Amounts owed to credit institutions</t>
        </is>
      </c>
      <c r="B17" s="6" t="n">
        <v>801.7</v>
      </c>
      <c r="C17" s="6" t="n">
        <v>311.6</v>
      </c>
      <c r="D17" s="6" t="n">
        <v>1556.7</v>
      </c>
      <c r="E17" s="6" t="n">
        <v>2524.3</v>
      </c>
      <c r="F17" s="6" t="n">
        <v>1900.8</v>
      </c>
    </row>
    <row r="18">
      <c r="A18" s="6" t="inlineStr">
        <is>
          <t>Amounts owed to retail depositors</t>
        </is>
      </c>
      <c r="B18" s="6" t="n">
        <v>10162.8</v>
      </c>
      <c r="C18" s="6" t="n">
        <v>10294.9</v>
      </c>
      <c r="D18" s="6" t="n">
        <v>9880.1</v>
      </c>
      <c r="E18" s="6" t="n">
        <v>8623.1</v>
      </c>
      <c r="F18" s="6" t="n">
        <v>7785.4</v>
      </c>
    </row>
    <row r="19">
      <c r="A19" s="6" t="inlineStr">
        <is>
          <t>Fair value adjustments on hedged liabilities</t>
        </is>
      </c>
      <c r="B19" s="6" t="n">
        <v>-0.3</v>
      </c>
      <c r="C19" s="6" t="n">
        <v>-3.8</v>
      </c>
      <c r="D19" s="6" t="n">
        <v>10.1</v>
      </c>
      <c r="E19" s="6" t="n">
        <v>-20.7</v>
      </c>
      <c r="F19" s="6" t="n">
        <v>-8.6</v>
      </c>
    </row>
    <row r="20">
      <c r="A20" s="6" t="inlineStr">
        <is>
          <t>Amounts owed to other customers</t>
        </is>
      </c>
      <c r="B20" s="6" t="n">
        <v>458.5</v>
      </c>
      <c r="C20" s="6" t="n">
        <v>104.9</v>
      </c>
      <c r="D20" s="6" t="n">
        <v>62.8</v>
      </c>
      <c r="E20" s="6" t="n">
        <v>112.6</v>
      </c>
      <c r="F20" s="6" t="n">
        <v>86.8</v>
      </c>
    </row>
    <row r="21">
      <c r="A21" s="6" t="inlineStr">
        <is>
          <t>Derivative liabilities</t>
        </is>
      </c>
      <c r="B21" s="6" t="n">
        <v>43.2</v>
      </c>
      <c r="C21" s="6" t="n">
        <v>26.2</v>
      </c>
      <c r="D21" s="6" t="n">
        <v>75.90000000000001</v>
      </c>
      <c r="E21" s="6" t="n">
        <v>42.8</v>
      </c>
      <c r="F21" s="6" t="n">
        <v>11.3</v>
      </c>
    </row>
    <row r="22">
      <c r="A22" s="6" t="inlineStr">
        <is>
          <t>Lease liabilities</t>
        </is>
      </c>
      <c r="B22" s="6" t="n">
        <v>1.7</v>
      </c>
      <c r="C22" s="6" t="n">
        <v>3.6</v>
      </c>
      <c r="D22" s="6" t="n">
        <v>4.5</v>
      </c>
      <c r="E22" s="6" t="n">
        <v>5.2</v>
      </c>
      <c r="F22" s="6" t="n">
        <v>5.6</v>
      </c>
    </row>
    <row r="23">
      <c r="A23" s="6" t="inlineStr">
        <is>
          <t>Other liabilities</t>
        </is>
      </c>
      <c r="B23" s="6" t="n">
        <v>7.6</v>
      </c>
      <c r="C23" s="6" t="n">
        <v>15.4</v>
      </c>
      <c r="D23" s="6" t="n">
        <v>31.4</v>
      </c>
      <c r="E23" s="6" t="n">
        <v>4.6</v>
      </c>
      <c r="F23" s="6" t="n">
        <v>5.5</v>
      </c>
    </row>
    <row r="24">
      <c r="A24" s="6" t="inlineStr">
        <is>
          <t>Provisions</t>
        </is>
      </c>
      <c r="B24" s="6" t="n">
        <v>0</v>
      </c>
      <c r="C24" s="6" t="n">
        <v>0.3</v>
      </c>
      <c r="D24" s="6" t="n">
        <v>0.1</v>
      </c>
      <c r="E24" s="6" t="n">
        <v>0</v>
      </c>
      <c r="F24" s="6" t="n">
        <v>0.1</v>
      </c>
    </row>
    <row r="25">
      <c r="A25" s="6" t="inlineStr">
        <is>
          <t>Deferred taxation liability</t>
        </is>
      </c>
      <c r="B25" s="6" t="n">
        <v>0.1</v>
      </c>
      <c r="C25" s="6" t="n"/>
      <c r="D25" s="6" t="n"/>
      <c r="E25" s="6" t="n"/>
      <c r="F25" s="6" t="n">
        <v>4.4</v>
      </c>
    </row>
    <row r="26">
      <c r="A26" s="6" t="inlineStr">
        <is>
          <t>Deemed loan liability</t>
        </is>
      </c>
      <c r="B26" s="6" t="n">
        <v>930.8</v>
      </c>
      <c r="C26" s="6" t="n">
        <v>855.3</v>
      </c>
      <c r="D26" s="6" t="n">
        <v>501.5</v>
      </c>
      <c r="E26" s="6" t="n">
        <v>0</v>
      </c>
      <c r="F26" s="6" t="n"/>
    </row>
    <row r="27">
      <c r="A27" s="6" t="inlineStr">
        <is>
          <t>Senior notes</t>
        </is>
      </c>
      <c r="B27" s="6" t="n">
        <v>176.9</v>
      </c>
      <c r="C27" s="6" t="n">
        <v>259.3</v>
      </c>
      <c r="D27" s="6" t="n">
        <v>82.40000000000001</v>
      </c>
      <c r="E27" s="6" t="n">
        <v>0</v>
      </c>
      <c r="F27" s="6" t="n"/>
    </row>
    <row r="28">
      <c r="A28" s="6" t="inlineStr">
        <is>
          <t>Subordinated liabilities</t>
        </is>
      </c>
      <c r="B28" s="6" t="n">
        <v>104.3</v>
      </c>
      <c r="C28" s="6" t="n">
        <v>104.3</v>
      </c>
      <c r="D28" s="6" t="n">
        <v>104.3</v>
      </c>
      <c r="E28" s="6" t="n">
        <v>0</v>
      </c>
      <c r="F28" s="6" t="n"/>
    </row>
    <row r="29">
      <c r="A29" s="5" t="inlineStr">
        <is>
          <t>Total liabilities</t>
        </is>
      </c>
      <c r="B29" s="5" t="n">
        <v>12687.3</v>
      </c>
      <c r="C29" s="5" t="n">
        <v>11972</v>
      </c>
      <c r="D29" s="5" t="n">
        <v>12309.8</v>
      </c>
      <c r="E29" s="5" t="n">
        <v>11291.9</v>
      </c>
      <c r="F29" s="5" t="n">
        <v>9791.299999999999</v>
      </c>
    </row>
    <row r="30">
      <c r="A30" s="5" t="inlineStr">
        <is>
          <t>Equity</t>
        </is>
      </c>
      <c r="B30" s="6" t="n"/>
      <c r="C30" s="6" t="n"/>
      <c r="D30" s="6" t="n"/>
      <c r="E30" s="6" t="n"/>
      <c r="F30" s="6" t="n"/>
    </row>
    <row r="31">
      <c r="A31" s="6" t="inlineStr">
        <is>
          <t>Share capital</t>
        </is>
      </c>
      <c r="B31" s="6" t="n">
        <v>2.9</v>
      </c>
      <c r="C31" s="6" t="n">
        <v>2.9</v>
      </c>
      <c r="D31" s="6" t="n">
        <v>2.9</v>
      </c>
      <c r="E31" s="6" t="n">
        <v>2.9</v>
      </c>
      <c r="F31" s="6" t="n">
        <v>2.9</v>
      </c>
    </row>
    <row r="32">
      <c r="A32" s="6" t="inlineStr">
        <is>
          <t>Share premium</t>
        </is>
      </c>
      <c r="B32" s="6" t="n">
        <v>67.3</v>
      </c>
      <c r="C32" s="6" t="n">
        <v>67.3</v>
      </c>
      <c r="D32" s="6" t="n">
        <v>67.3</v>
      </c>
      <c r="E32" s="6" t="n">
        <v>67.3</v>
      </c>
      <c r="F32" s="6" t="n">
        <v>67.3</v>
      </c>
    </row>
    <row r="33">
      <c r="A33" s="6" t="inlineStr">
        <is>
          <t>FVOCI reserve</t>
        </is>
      </c>
      <c r="B33" s="6" t="n">
        <v>-1</v>
      </c>
      <c r="C33" s="6" t="n">
        <v>-2.6</v>
      </c>
      <c r="D33" s="6" t="n">
        <v>-1.1</v>
      </c>
      <c r="E33" s="6" t="n">
        <v>16.6</v>
      </c>
      <c r="F33" s="6" t="n">
        <v>18.5</v>
      </c>
    </row>
    <row r="34">
      <c r="A34" s="6" t="inlineStr">
        <is>
          <t>Other equity instruments / AT1 securities</t>
        </is>
      </c>
      <c r="B34" s="6" t="n">
        <v>66.8</v>
      </c>
      <c r="C34" s="6" t="n">
        <v>60</v>
      </c>
      <c r="D34" s="6" t="n">
        <v>60</v>
      </c>
      <c r="E34" s="6" t="n">
        <v>60</v>
      </c>
      <c r="F34" s="6" t="n">
        <v>60</v>
      </c>
    </row>
    <row r="35">
      <c r="A35" s="6" t="inlineStr">
        <is>
          <t>Retained earnings</t>
        </is>
      </c>
      <c r="B35" s="6" t="n">
        <v>633.7</v>
      </c>
      <c r="C35" s="6" t="n">
        <v>697.9</v>
      </c>
      <c r="D35" s="6" t="n">
        <v>695.9</v>
      </c>
      <c r="E35" s="6" t="n">
        <v>747.3</v>
      </c>
      <c r="F35" s="6" t="n">
        <v>631.9</v>
      </c>
    </row>
    <row r="36">
      <c r="A36" s="5" t="inlineStr">
        <is>
          <t>Total equity</t>
        </is>
      </c>
      <c r="B36" s="5" t="n">
        <v>769.7</v>
      </c>
      <c r="C36" s="5" t="n">
        <v>825.5</v>
      </c>
      <c r="D36" s="5" t="n">
        <v>825</v>
      </c>
      <c r="E36" s="5" t="n">
        <v>894.1</v>
      </c>
      <c r="F36" s="5" t="n">
        <v>780.6</v>
      </c>
    </row>
    <row r="37">
      <c r="A37" s="5" t="inlineStr">
        <is>
          <t>Total equity and liabilities</t>
        </is>
      </c>
      <c r="B37" s="5" t="n">
        <v>13457</v>
      </c>
      <c r="C37" s="5" t="n">
        <v>12797.5</v>
      </c>
      <c r="D37" s="5" t="n">
        <v>13134.8</v>
      </c>
      <c r="E37" s="5" t="n">
        <v>12186</v>
      </c>
      <c r="F37" s="5" t="n">
        <v>10571.9</v>
      </c>
    </row>
    <row r="39" ht="340" customHeight="1">
      <c r="A39"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Profit &amp; Loss</t>
        </is>
      </c>
    </row>
    <row r="2">
      <c r="A2" s="2" t="inlineStr">
        <is>
          <t>Entity (Company) basis, £m. Results derived wholly from continuing operations.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 and similar income</t>
        </is>
      </c>
      <c r="B5" s="6" t="n">
        <v>784.4</v>
      </c>
      <c r="C5" s="6" t="n">
        <v>922.6</v>
      </c>
      <c r="D5" s="6" t="n">
        <v>731.9</v>
      </c>
      <c r="E5" s="6" t="n">
        <v>465.3</v>
      </c>
      <c r="F5" s="6" t="n">
        <v>300.8</v>
      </c>
    </row>
    <row r="6">
      <c r="A6" s="6" t="inlineStr">
        <is>
          <t>Interest payable and similar charges</t>
        </is>
      </c>
      <c r="B6" s="6" t="n">
        <v>-527</v>
      </c>
      <c r="C6" s="6" t="n">
        <v>-635.6</v>
      </c>
      <c r="D6" s="6" t="n">
        <v>-498.7</v>
      </c>
      <c r="E6" s="6" t="n">
        <v>-161.8</v>
      </c>
      <c r="F6" s="6" t="n">
        <v>-70.8</v>
      </c>
    </row>
    <row r="7">
      <c r="A7" s="5" t="inlineStr">
        <is>
          <t>Net interest income</t>
        </is>
      </c>
      <c r="B7" s="5" t="n">
        <v>257.4</v>
      </c>
      <c r="C7" s="5" t="n">
        <v>287</v>
      </c>
      <c r="D7" s="5" t="n">
        <v>233.2</v>
      </c>
      <c r="E7" s="5" t="n">
        <v>303.5</v>
      </c>
      <c r="F7" s="5" t="n">
        <v>230</v>
      </c>
    </row>
    <row r="8">
      <c r="A8" s="6" t="inlineStr">
        <is>
          <t>Fair value (losses)/gains on financial instruments</t>
        </is>
      </c>
      <c r="B8" s="6" t="n">
        <v>-7.1</v>
      </c>
      <c r="C8" s="6" t="n">
        <v>2.9</v>
      </c>
      <c r="D8" s="6" t="n">
        <v>-20.3</v>
      </c>
      <c r="E8" s="6" t="n">
        <v>42.2</v>
      </c>
      <c r="F8" s="6" t="n">
        <v>11.9</v>
      </c>
    </row>
    <row r="9">
      <c r="A9" s="6" t="inlineStr">
        <is>
          <t>Gain/(loss) on sale of financial instruments/assets</t>
        </is>
      </c>
      <c r="B9" s="6" t="n">
        <v>-1.2</v>
      </c>
      <c r="C9" s="6" t="n"/>
      <c r="D9" s="6" t="n"/>
      <c r="E9" s="6" t="n"/>
      <c r="F9" s="6" t="n">
        <v>2.4</v>
      </c>
    </row>
    <row r="10">
      <c r="A10" s="6" t="inlineStr">
        <is>
          <t>Other operating income</t>
        </is>
      </c>
      <c r="B10" s="6" t="n">
        <v>5.2</v>
      </c>
      <c r="C10" s="6" t="n">
        <v>3.3</v>
      </c>
      <c r="D10" s="6" t="n">
        <v>1.4</v>
      </c>
      <c r="E10" s="6" t="n">
        <v>2.2</v>
      </c>
      <c r="F10" s="6" t="n">
        <v>1.6</v>
      </c>
    </row>
    <row r="11">
      <c r="A11" s="5" t="inlineStr">
        <is>
          <t>Total income</t>
        </is>
      </c>
      <c r="B11" s="5" t="n">
        <v>254.3</v>
      </c>
      <c r="C11" s="5" t="n">
        <v>290.8</v>
      </c>
      <c r="D11" s="5" t="n">
        <v>214.3</v>
      </c>
      <c r="E11" s="5" t="n">
        <v>347.9</v>
      </c>
      <c r="F11" s="5" t="n">
        <v>245.9</v>
      </c>
    </row>
    <row r="12">
      <c r="A12" s="5" t="inlineStr">
        <is>
          <t>Expenses</t>
        </is>
      </c>
      <c r="B12" s="6" t="n"/>
      <c r="C12" s="6" t="n"/>
      <c r="D12" s="6" t="n"/>
      <c r="E12" s="6" t="n"/>
      <c r="F12" s="6" t="n"/>
    </row>
    <row r="13">
      <c r="A13" s="6" t="inlineStr">
        <is>
          <t>Administrative expenses</t>
        </is>
      </c>
      <c r="B13" s="6" t="n">
        <v>-108.5</v>
      </c>
      <c r="C13" s="6" t="n">
        <v>-109.3</v>
      </c>
      <c r="D13" s="6" t="n">
        <v>-101.9</v>
      </c>
      <c r="E13" s="6" t="n">
        <v>-75.2</v>
      </c>
      <c r="F13" s="6" t="n">
        <v>-65.7</v>
      </c>
    </row>
    <row r="14">
      <c r="A14" s="6" t="inlineStr">
        <is>
          <t>Decrease/(increase) in provisions</t>
        </is>
      </c>
      <c r="B14" s="6" t="n">
        <v>0</v>
      </c>
      <c r="C14" s="6" t="n">
        <v>0.1</v>
      </c>
      <c r="D14" s="6" t="n">
        <v>-0.1</v>
      </c>
      <c r="E14" s="6" t="n"/>
      <c r="F14" s="6" t="n">
        <v>0.1</v>
      </c>
    </row>
    <row r="15">
      <c r="A15" s="6" t="inlineStr">
        <is>
          <t>Impairment of financial assets / credit to impairment</t>
        </is>
      </c>
      <c r="B15" s="6" t="n">
        <v>3.4</v>
      </c>
      <c r="C15" s="6" t="n">
        <v>9.6</v>
      </c>
      <c r="D15" s="6" t="n">
        <v>-7</v>
      </c>
      <c r="E15" s="6" t="n">
        <v>-8.6</v>
      </c>
      <c r="F15" s="6" t="n">
        <v>8.1</v>
      </c>
    </row>
    <row r="16">
      <c r="A16" s="6" t="inlineStr">
        <is>
          <t>Integration costs</t>
        </is>
      </c>
      <c r="B16" s="6" t="n"/>
      <c r="C16" s="6" t="n"/>
      <c r="D16" s="6" t="n">
        <v>0</v>
      </c>
      <c r="E16" s="6" t="n">
        <v>-0.8</v>
      </c>
      <c r="F16" s="6" t="n">
        <v>-1</v>
      </c>
    </row>
    <row r="17">
      <c r="A17" s="5" t="inlineStr">
        <is>
          <t>Profit before taxation</t>
        </is>
      </c>
      <c r="B17" s="5" t="n">
        <v>149.2</v>
      </c>
      <c r="C17" s="5" t="n">
        <v>191.2</v>
      </c>
      <c r="D17" s="5" t="n">
        <v>105.3</v>
      </c>
      <c r="E17" s="5" t="n">
        <v>263.3</v>
      </c>
      <c r="F17" s="5" t="n">
        <v>187.4</v>
      </c>
    </row>
    <row r="18">
      <c r="A18" s="6" t="inlineStr">
        <is>
          <t>Taxation</t>
        </is>
      </c>
      <c r="B18" s="6" t="n">
        <v>-39.4</v>
      </c>
      <c r="C18" s="6" t="n">
        <v>-50.7</v>
      </c>
      <c r="D18" s="6" t="n">
        <v>-28.2</v>
      </c>
      <c r="E18" s="6" t="n">
        <v>-69.09999999999999</v>
      </c>
      <c r="F18" s="6" t="n">
        <v>-49.5</v>
      </c>
    </row>
    <row r="19">
      <c r="A19" s="5" t="inlineStr">
        <is>
          <t>Profit for the year</t>
        </is>
      </c>
      <c r="B19" s="5" t="n">
        <v>109.8</v>
      </c>
      <c r="C19" s="5" t="n">
        <v>140.5</v>
      </c>
      <c r="D19" s="5" t="n">
        <v>77.09999999999999</v>
      </c>
      <c r="E19" s="5" t="n">
        <v>194.2</v>
      </c>
      <c r="F19" s="5" t="n">
        <v>137.9</v>
      </c>
    </row>
    <row r="20">
      <c r="A20" s="5" t="inlineStr">
        <is>
          <t>Other comprehensive income/(expense)</t>
        </is>
      </c>
      <c r="B20" s="6" t="n"/>
      <c r="C20" s="6" t="n"/>
      <c r="D20" s="6" t="n"/>
      <c r="E20" s="6" t="n"/>
      <c r="F20" s="6" t="n"/>
    </row>
    <row r="21">
      <c r="A21" s="6" t="inlineStr">
        <is>
          <t>Fair value changes on debt instruments at FVOCI, arising in the year</t>
        </is>
      </c>
      <c r="B21" s="6" t="n">
        <v>2.3</v>
      </c>
      <c r="C21" s="6" t="n">
        <v>2.1</v>
      </c>
      <c r="D21" s="6" t="n">
        <v>-16.4</v>
      </c>
      <c r="E21" s="6" t="n">
        <v>-11.4</v>
      </c>
      <c r="F21" s="6" t="n">
        <v>16.9</v>
      </c>
    </row>
    <row r="22">
      <c r="A22" s="6" t="inlineStr">
        <is>
          <t>Tax on items in other comprehensive income/(expense)</t>
        </is>
      </c>
      <c r="B22" s="6" t="n">
        <v>-0.7</v>
      </c>
      <c r="C22" s="6" t="n">
        <v>-3.6</v>
      </c>
      <c r="D22" s="6" t="n">
        <v>-1.3</v>
      </c>
      <c r="E22" s="6" t="n">
        <v>9.5</v>
      </c>
      <c r="F22" s="6" t="n">
        <v>-0.8</v>
      </c>
    </row>
    <row r="23">
      <c r="A23" s="5" t="inlineStr">
        <is>
          <t>Other comprehensive income/(expense)</t>
        </is>
      </c>
      <c r="B23" s="5" t="n">
        <v>1.6</v>
      </c>
      <c r="C23" s="5" t="n">
        <v>-1.5</v>
      </c>
      <c r="D23" s="5" t="n">
        <v>-17.7</v>
      </c>
      <c r="E23" s="5" t="n">
        <v>-1.9</v>
      </c>
      <c r="F23" s="5" t="n">
        <v>16.1</v>
      </c>
    </row>
    <row r="24">
      <c r="A24" s="5" t="inlineStr">
        <is>
          <t>Total comprehensive income for the year</t>
        </is>
      </c>
      <c r="B24" s="5" t="n">
        <v>111.4</v>
      </c>
      <c r="C24" s="5" t="n">
        <v>139</v>
      </c>
      <c r="D24" s="5" t="n">
        <v>59.4</v>
      </c>
      <c r="E24" s="5" t="n">
        <v>192.3</v>
      </c>
      <c r="F24" s="5" t="n">
        <v>154</v>
      </c>
    </row>
    <row r="26" ht="340" customHeight="1">
      <c r="A26"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Charter Court Financial Services Limited — Statement of Changes in Equity</t>
        </is>
      </c>
    </row>
    <row r="2">
      <c r="A2" s="2" t="inlineStr">
        <is>
          <t>Entity (Company) basis, £m, chronological (oldest to newest). See source note at bottom.</t>
        </is>
      </c>
    </row>
    <row r="3">
      <c r="A3" s="4" t="inlineStr">
        <is>
          <t>Movement</t>
        </is>
      </c>
      <c r="B3" s="4" t="inlineStr">
        <is>
          <t>Share capital</t>
        </is>
      </c>
      <c r="C3" s="4" t="inlineStr">
        <is>
          <t>Share premium</t>
        </is>
      </c>
      <c r="D3" s="4" t="inlineStr">
        <is>
          <t>FVOCI reserve</t>
        </is>
      </c>
      <c r="E3" s="4" t="inlineStr">
        <is>
          <t>Other equity instruments / AT1</t>
        </is>
      </c>
      <c r="F3" s="4" t="inlineStr">
        <is>
          <t>Retained earnings</t>
        </is>
      </c>
      <c r="G3" s="4" t="inlineStr">
        <is>
          <t>Total</t>
        </is>
      </c>
    </row>
    <row r="4">
      <c r="A4" s="5" t="inlineStr">
        <is>
          <t>At 1 January 2021 (=31 Dec 2020)</t>
        </is>
      </c>
      <c r="B4" s="5" t="n">
        <v>2.9</v>
      </c>
      <c r="C4" s="5" t="n">
        <v>67.3</v>
      </c>
      <c r="D4" s="5" t="n">
        <v>15.2</v>
      </c>
      <c r="E4" s="5" t="n"/>
      <c r="F4" s="5" t="n">
        <v>421.2</v>
      </c>
      <c r="G4" s="5" t="n">
        <v>506.6</v>
      </c>
    </row>
    <row r="5">
      <c r="A5" s="6" t="inlineStr">
        <is>
          <t>Profit for the year</t>
        </is>
      </c>
      <c r="B5" s="6" t="n"/>
      <c r="C5" s="6" t="n"/>
      <c r="D5" s="6" t="n"/>
      <c r="E5" s="6" t="n"/>
      <c r="F5" s="6" t="n">
        <v>137.9</v>
      </c>
      <c r="G5" s="6" t="n">
        <v>137.9</v>
      </c>
    </row>
    <row r="6">
      <c r="A6" s="6" t="inlineStr">
        <is>
          <t>Other comprehensive income</t>
        </is>
      </c>
      <c r="B6" s="6" t="n"/>
      <c r="C6" s="6" t="n"/>
      <c r="D6" s="6" t="n">
        <v>16.9</v>
      </c>
      <c r="E6" s="6" t="n"/>
      <c r="F6" s="6" t="n"/>
      <c r="G6" s="6" t="n">
        <v>16.9</v>
      </c>
    </row>
    <row r="7">
      <c r="A7" s="6" t="inlineStr">
        <is>
          <t>Tax recognised in equity</t>
        </is>
      </c>
      <c r="B7" s="6" t="n"/>
      <c r="C7" s="6" t="n"/>
      <c r="D7" s="6" t="n">
        <v>-0.8</v>
      </c>
      <c r="E7" s="6" t="n"/>
      <c r="F7" s="6" t="n"/>
      <c r="G7" s="6" t="n">
        <v>-0.8</v>
      </c>
    </row>
    <row r="8">
      <c r="A8" s="6" t="inlineStr">
        <is>
          <t>Issuance of Additional Tier 1 securities</t>
        </is>
      </c>
      <c r="B8" s="6" t="n"/>
      <c r="C8" s="6" t="n"/>
      <c r="D8" s="6" t="n"/>
      <c r="E8" s="6" t="n">
        <v>60</v>
      </c>
      <c r="F8" s="6" t="n"/>
      <c r="G8" s="6" t="n">
        <v>60</v>
      </c>
    </row>
    <row r="9">
      <c r="A9" s="5" t="inlineStr">
        <is>
          <t>At 31 December 2021</t>
        </is>
      </c>
      <c r="B9" s="5" t="n">
        <v>2.9</v>
      </c>
      <c r="C9" s="5" t="n">
        <v>67.3</v>
      </c>
      <c r="D9" s="5" t="n">
        <v>18.5</v>
      </c>
      <c r="E9" s="5" t="n">
        <v>60</v>
      </c>
      <c r="F9" s="5" t="n">
        <v>631.9</v>
      </c>
      <c r="G9" s="5" t="n">
        <v>780.6</v>
      </c>
    </row>
    <row r="10">
      <c r="A10" s="6" t="inlineStr">
        <is>
          <t>Profit for the year</t>
        </is>
      </c>
      <c r="B10" s="6" t="n"/>
      <c r="C10" s="6" t="n"/>
      <c r="D10" s="6" t="n"/>
      <c r="E10" s="6" t="n"/>
      <c r="F10" s="6" t="n">
        <v>194.2</v>
      </c>
      <c r="G10" s="6" t="n">
        <v>194.2</v>
      </c>
    </row>
    <row r="11">
      <c r="A11" s="6" t="inlineStr">
        <is>
          <t>Other comprehensive expense</t>
        </is>
      </c>
      <c r="B11" s="6" t="n"/>
      <c r="C11" s="6" t="n"/>
      <c r="D11" s="6" t="n">
        <v>-11.4</v>
      </c>
      <c r="E11" s="6" t="n"/>
      <c r="F11" s="6" t="n"/>
      <c r="G11" s="6" t="n">
        <v>-11.4</v>
      </c>
    </row>
    <row r="12">
      <c r="A12" s="6" t="inlineStr">
        <is>
          <t>Tax recognised in equity</t>
        </is>
      </c>
      <c r="B12" s="6" t="n"/>
      <c r="C12" s="6" t="n"/>
      <c r="D12" s="6" t="n">
        <v>9.5</v>
      </c>
      <c r="E12" s="6" t="n"/>
      <c r="F12" s="6" t="n"/>
      <c r="G12" s="6" t="n">
        <v>9.5</v>
      </c>
    </row>
    <row r="13">
      <c r="A13" s="6" t="inlineStr">
        <is>
          <t>Coupon paid on Additional Tier 1 (AT1) securities</t>
        </is>
      </c>
      <c r="B13" s="6" t="n"/>
      <c r="C13" s="6" t="n"/>
      <c r="D13" s="6" t="n"/>
      <c r="E13" s="6" t="n"/>
      <c r="F13" s="6" t="n">
        <v>-3.6</v>
      </c>
      <c r="G13" s="6" t="n">
        <v>-3.6</v>
      </c>
    </row>
    <row r="14">
      <c r="A14" s="6" t="inlineStr">
        <is>
          <t>Dividends paid</t>
        </is>
      </c>
      <c r="B14" s="6" t="n"/>
      <c r="C14" s="6" t="n"/>
      <c r="D14" s="6" t="n"/>
      <c r="E14" s="6" t="n"/>
      <c r="F14" s="6" t="n">
        <v>-75.2</v>
      </c>
      <c r="G14" s="6" t="n">
        <v>-75.2</v>
      </c>
    </row>
    <row r="15">
      <c r="A15" s="5" t="inlineStr">
        <is>
          <t>At 31 December 2022</t>
        </is>
      </c>
      <c r="B15" s="5" t="n">
        <v>2.9</v>
      </c>
      <c r="C15" s="5" t="n">
        <v>67.3</v>
      </c>
      <c r="D15" s="5" t="n">
        <v>16.6</v>
      </c>
      <c r="E15" s="5" t="n">
        <v>60</v>
      </c>
      <c r="F15" s="5" t="n">
        <v>747.3</v>
      </c>
      <c r="G15" s="5" t="n">
        <v>894.1</v>
      </c>
    </row>
    <row r="16">
      <c r="A16" s="6" t="inlineStr">
        <is>
          <t>Profit for the year</t>
        </is>
      </c>
      <c r="B16" s="6" t="n"/>
      <c r="C16" s="6" t="n"/>
      <c r="D16" s="6" t="n"/>
      <c r="E16" s="6" t="n"/>
      <c r="F16" s="6" t="n">
        <v>77.09999999999999</v>
      </c>
      <c r="G16" s="6" t="n">
        <v>77.09999999999999</v>
      </c>
    </row>
    <row r="17">
      <c r="A17" s="6" t="inlineStr">
        <is>
          <t>Other comprehensive expense</t>
        </is>
      </c>
      <c r="B17" s="6" t="n"/>
      <c r="C17" s="6" t="n"/>
      <c r="D17" s="6" t="n">
        <v>-16.4</v>
      </c>
      <c r="E17" s="6" t="n"/>
      <c r="F17" s="6" t="n"/>
      <c r="G17" s="6" t="n">
        <v>-16.4</v>
      </c>
    </row>
    <row r="18">
      <c r="A18" s="6" t="inlineStr">
        <is>
          <t>Tax recognised in equity</t>
        </is>
      </c>
      <c r="B18" s="6" t="n"/>
      <c r="C18" s="6" t="n"/>
      <c r="D18" s="6" t="n">
        <v>-1.3</v>
      </c>
      <c r="E18" s="6" t="n"/>
      <c r="F18" s="6" t="n"/>
      <c r="G18" s="6" t="n">
        <v>-1.3</v>
      </c>
    </row>
    <row r="19">
      <c r="A19" s="6" t="inlineStr">
        <is>
          <t>Coupon paid on AT1 securities</t>
        </is>
      </c>
      <c r="B19" s="6" t="n"/>
      <c r="C19" s="6" t="n"/>
      <c r="D19" s="6" t="n"/>
      <c r="E19" s="6" t="n"/>
      <c r="F19" s="6" t="n">
        <v>-3.6</v>
      </c>
      <c r="G19" s="6" t="n">
        <v>-3.6</v>
      </c>
    </row>
    <row r="20">
      <c r="A20" s="6" t="inlineStr">
        <is>
          <t>Dividends paid</t>
        </is>
      </c>
      <c r="B20" s="6" t="n"/>
      <c r="C20" s="6" t="n"/>
      <c r="D20" s="6" t="n"/>
      <c r="E20" s="6" t="n"/>
      <c r="F20" s="6" t="n">
        <v>-124.9</v>
      </c>
      <c r="G20" s="6" t="n">
        <v>-124.9</v>
      </c>
    </row>
    <row r="21">
      <c r="A21" s="5" t="inlineStr">
        <is>
          <t>At 31 December 2023</t>
        </is>
      </c>
      <c r="B21" s="5" t="n">
        <v>2.9</v>
      </c>
      <c r="C21" s="5" t="n">
        <v>67.3</v>
      </c>
      <c r="D21" s="5" t="n">
        <v>-1.1</v>
      </c>
      <c r="E21" s="5" t="n">
        <v>60</v>
      </c>
      <c r="F21" s="5" t="n">
        <v>695.9</v>
      </c>
      <c r="G21" s="5" t="n">
        <v>825</v>
      </c>
    </row>
    <row r="22">
      <c r="A22" s="6" t="inlineStr">
        <is>
          <t>Profit for the year</t>
        </is>
      </c>
      <c r="B22" s="6" t="n"/>
      <c r="C22" s="6" t="n"/>
      <c r="D22" s="6" t="n"/>
      <c r="E22" s="6" t="n"/>
      <c r="F22" s="6" t="n">
        <v>140.5</v>
      </c>
      <c r="G22" s="6" t="n">
        <v>140.5</v>
      </c>
    </row>
    <row r="23">
      <c r="A23" s="6" t="inlineStr">
        <is>
          <t>Other comprehensive income</t>
        </is>
      </c>
      <c r="B23" s="6" t="n"/>
      <c r="C23" s="6" t="n"/>
      <c r="D23" s="6" t="n">
        <v>2.1</v>
      </c>
      <c r="E23" s="6" t="n"/>
      <c r="F23" s="6" t="n"/>
      <c r="G23" s="6" t="n">
        <v>2.1</v>
      </c>
    </row>
    <row r="24">
      <c r="A24" s="6" t="inlineStr">
        <is>
          <t>Tax recognised in equity</t>
        </is>
      </c>
      <c r="B24" s="6" t="n"/>
      <c r="C24" s="6" t="n"/>
      <c r="D24" s="6" t="n">
        <v>-3.6</v>
      </c>
      <c r="E24" s="6" t="n"/>
      <c r="F24" s="6" t="n"/>
      <c r="G24" s="6" t="n">
        <v>-3.6</v>
      </c>
    </row>
    <row r="25">
      <c r="A25" s="6" t="inlineStr">
        <is>
          <t>Coupon paid on Additional Tier 1 (AT1) securities</t>
        </is>
      </c>
      <c r="B25" s="6" t="n"/>
      <c r="C25" s="6" t="n"/>
      <c r="D25" s="6" t="n"/>
      <c r="E25" s="6" t="n"/>
      <c r="F25" s="6" t="n">
        <v>-3.6</v>
      </c>
      <c r="G25" s="6" t="n">
        <v>-3.6</v>
      </c>
    </row>
    <row r="26">
      <c r="A26" s="6" t="inlineStr">
        <is>
          <t>Dividends paid</t>
        </is>
      </c>
      <c r="B26" s="6" t="n"/>
      <c r="C26" s="6" t="n"/>
      <c r="D26" s="6" t="n"/>
      <c r="E26" s="6" t="n"/>
      <c r="F26" s="6" t="n">
        <v>-134.9</v>
      </c>
      <c r="G26" s="6" t="n">
        <v>-134.9</v>
      </c>
    </row>
    <row r="27">
      <c r="A27" s="5" t="inlineStr">
        <is>
          <t>At 31 December 2024</t>
        </is>
      </c>
      <c r="B27" s="5" t="n">
        <v>2.9</v>
      </c>
      <c r="C27" s="5" t="n">
        <v>67.3</v>
      </c>
      <c r="D27" s="5" t="n">
        <v>-2.6</v>
      </c>
      <c r="E27" s="5" t="n">
        <v>60</v>
      </c>
      <c r="F27" s="5" t="n">
        <v>697.9</v>
      </c>
      <c r="G27" s="5" t="n">
        <v>825.5</v>
      </c>
    </row>
    <row r="28">
      <c r="A28" s="6" t="inlineStr">
        <is>
          <t>Profit for the year</t>
        </is>
      </c>
      <c r="B28" s="6" t="n"/>
      <c r="C28" s="6" t="n"/>
      <c r="D28" s="6" t="n"/>
      <c r="E28" s="6" t="n"/>
      <c r="F28" s="6" t="n">
        <v>109.8</v>
      </c>
      <c r="G28" s="6" t="n">
        <v>109.8</v>
      </c>
    </row>
    <row r="29">
      <c r="A29" s="6" t="inlineStr">
        <is>
          <t>Other comprehensive income</t>
        </is>
      </c>
      <c r="B29" s="6" t="n"/>
      <c r="C29" s="6" t="n"/>
      <c r="D29" s="6" t="n">
        <v>2.3</v>
      </c>
      <c r="E29" s="6" t="n"/>
      <c r="F29" s="6" t="n"/>
      <c r="G29" s="6" t="n">
        <v>2.3</v>
      </c>
    </row>
    <row r="30">
      <c r="A30" s="6" t="inlineStr">
        <is>
          <t>Tax recognised in equity</t>
        </is>
      </c>
      <c r="B30" s="6" t="n"/>
      <c r="C30" s="6" t="n"/>
      <c r="D30" s="6" t="n">
        <v>-0.7</v>
      </c>
      <c r="E30" s="6" t="n"/>
      <c r="F30" s="6" t="n"/>
      <c r="G30" s="6" t="n">
        <v>-0.7</v>
      </c>
    </row>
    <row r="31">
      <c r="A31" s="6" t="inlineStr">
        <is>
          <t>Coupon paid on AT1 securities (old instrument, nil in year)</t>
        </is>
      </c>
      <c r="B31" s="6" t="n"/>
      <c r="C31" s="6" t="n"/>
      <c r="D31" s="6" t="n"/>
      <c r="E31" s="6" t="n"/>
      <c r="F31" s="6" t="n"/>
      <c r="G31" s="6" t="n"/>
    </row>
    <row r="32">
      <c r="A32" s="6" t="inlineStr">
        <is>
          <t>Redemption of AT1 securities</t>
        </is>
      </c>
      <c r="B32" s="6" t="n"/>
      <c r="C32" s="6" t="n"/>
      <c r="D32" s="6" t="n"/>
      <c r="E32" s="6" t="n">
        <v>-53.2</v>
      </c>
      <c r="F32" s="6" t="n">
        <v>-0.1</v>
      </c>
      <c r="G32" s="6" t="n">
        <v>-53.3</v>
      </c>
    </row>
    <row r="33">
      <c r="A33" s="6" t="inlineStr">
        <is>
          <t>Issuance of AT1 securities</t>
        </is>
      </c>
      <c r="B33" s="6" t="n"/>
      <c r="C33" s="6" t="n"/>
      <c r="D33" s="6" t="n"/>
      <c r="E33" s="6" t="n">
        <v>60</v>
      </c>
      <c r="F33" s="6" t="n"/>
      <c r="G33" s="6" t="n">
        <v>60</v>
      </c>
    </row>
    <row r="34">
      <c r="A34" s="6" t="inlineStr">
        <is>
          <t>Transaction costs on issuance of AT1 securities</t>
        </is>
      </c>
      <c r="B34" s="6" t="n"/>
      <c r="C34" s="6" t="n"/>
      <c r="D34" s="6" t="n"/>
      <c r="E34" s="6" t="n"/>
      <c r="F34" s="6" t="n">
        <v>-0.5</v>
      </c>
      <c r="G34" s="6" t="n">
        <v>-0.5</v>
      </c>
    </row>
    <row r="35">
      <c r="A35" s="6" t="inlineStr">
        <is>
          <t>Coupon paid on AT1 securities (new instrument)</t>
        </is>
      </c>
      <c r="B35" s="6" t="n"/>
      <c r="C35" s="6" t="n"/>
      <c r="D35" s="6" t="n"/>
      <c r="E35" s="6" t="n"/>
      <c r="F35" s="6" t="n">
        <v>-4</v>
      </c>
      <c r="G35" s="6" t="n">
        <v>-4</v>
      </c>
    </row>
    <row r="36">
      <c r="A36" s="6" t="inlineStr">
        <is>
          <t>Dividends paid</t>
        </is>
      </c>
      <c r="B36" s="6" t="n"/>
      <c r="C36" s="6" t="n"/>
      <c r="D36" s="6" t="n"/>
      <c r="E36" s="6" t="n"/>
      <c r="F36" s="6" t="n">
        <v>-169.4</v>
      </c>
      <c r="G36" s="6" t="n">
        <v>-169.4</v>
      </c>
    </row>
    <row r="37">
      <c r="A37" s="5" t="inlineStr">
        <is>
          <t>At 31 December 2025</t>
        </is>
      </c>
      <c r="B37" s="5" t="n">
        <v>2.9</v>
      </c>
      <c r="C37" s="5" t="n">
        <v>67.3</v>
      </c>
      <c r="D37" s="5" t="n">
        <v>-1</v>
      </c>
      <c r="E37" s="5" t="n">
        <v>66.8</v>
      </c>
      <c r="F37" s="5" t="n">
        <v>633.7</v>
      </c>
      <c r="G37" s="5" t="n">
        <v>769.7</v>
      </c>
    </row>
    <row r="39" ht="340" customHeight="1">
      <c r="A39"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39:G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Statement of Cash Flows</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t>
        </is>
      </c>
      <c r="B5" s="6" t="n">
        <v>149.2</v>
      </c>
      <c r="C5" s="6" t="n">
        <v>191.2</v>
      </c>
      <c r="D5" s="6" t="n">
        <v>105.3</v>
      </c>
      <c r="E5" s="6" t="n">
        <v>263.3</v>
      </c>
      <c r="F5" s="6" t="n">
        <v>187.4</v>
      </c>
    </row>
    <row r="6">
      <c r="A6" s="6" t="inlineStr">
        <is>
          <t>Adjustments for non-cash and other items</t>
        </is>
      </c>
      <c r="B6" s="6" t="n">
        <v>26.6</v>
      </c>
      <c r="C6" s="6" t="n">
        <v>93.90000000000001</v>
      </c>
      <c r="D6" s="6" t="n">
        <v>117.7</v>
      </c>
      <c r="E6" s="6" t="n">
        <v>-1.1</v>
      </c>
      <c r="F6" s="6" t="n">
        <v>127.1</v>
      </c>
    </row>
    <row r="7">
      <c r="A7" s="6" t="inlineStr">
        <is>
          <t>Changes in operating assets and liabilities</t>
        </is>
      </c>
      <c r="B7" s="6" t="n">
        <v>581.9</v>
      </c>
      <c r="C7" s="6" t="n">
        <v>1103.6</v>
      </c>
      <c r="D7" s="6" t="n">
        <v>92</v>
      </c>
      <c r="E7" s="6" t="n">
        <v>-388</v>
      </c>
      <c r="F7" s="6" t="n">
        <v>-254.9</v>
      </c>
    </row>
    <row r="8">
      <c r="A8" s="5" t="inlineStr">
        <is>
          <t>Cash generated from/(used in) operating activities</t>
        </is>
      </c>
      <c r="B8" s="5" t="n">
        <v>757.7</v>
      </c>
      <c r="C8" s="5" t="n">
        <v>1388.7</v>
      </c>
      <c r="D8" s="5" t="n">
        <v>315</v>
      </c>
      <c r="E8" s="5" t="n">
        <v>-125.8</v>
      </c>
      <c r="F8" s="5" t="n">
        <v>59.6</v>
      </c>
    </row>
    <row r="9">
      <c r="A9" s="6" t="inlineStr">
        <is>
          <t>Provisions paid</t>
        </is>
      </c>
      <c r="B9" s="6" t="n">
        <v>-0.3</v>
      </c>
      <c r="C9" s="6" t="n"/>
      <c r="D9" s="6" t="n"/>
      <c r="E9" s="6" t="n"/>
      <c r="F9" s="6" t="n"/>
    </row>
    <row r="10">
      <c r="A10" s="6" t="inlineStr">
        <is>
          <t>Net tax paid</t>
        </is>
      </c>
      <c r="B10" s="6" t="n">
        <v>-40</v>
      </c>
      <c r="C10" s="6" t="n">
        <v>-53.3</v>
      </c>
      <c r="D10" s="6" t="n">
        <v>-35.9</v>
      </c>
      <c r="E10" s="6" t="n">
        <v>-69.3</v>
      </c>
      <c r="F10" s="6" t="n">
        <v>-47.1</v>
      </c>
    </row>
    <row r="11">
      <c r="A11" s="5" t="inlineStr">
        <is>
          <t>Net cash generated from/(used in) operating activities</t>
        </is>
      </c>
      <c r="B11" s="5" t="n">
        <v>717.4</v>
      </c>
      <c r="C11" s="5" t="n">
        <v>1335.4</v>
      </c>
      <c r="D11" s="5" t="n">
        <v>279.1</v>
      </c>
      <c r="E11" s="5" t="n">
        <v>-195.1</v>
      </c>
      <c r="F11" s="5" t="n">
        <v>12.5</v>
      </c>
    </row>
    <row r="12">
      <c r="A12" s="5" t="inlineStr">
        <is>
          <t>Investing activities</t>
        </is>
      </c>
      <c r="B12" s="6" t="n"/>
      <c r="C12" s="6" t="n"/>
      <c r="D12" s="6" t="n"/>
      <c r="E12" s="6" t="n"/>
      <c r="F12" s="6" t="n"/>
    </row>
    <row r="13">
      <c r="A13" s="6" t="inlineStr">
        <is>
          <t>Sales of loans and advances to customers</t>
        </is>
      </c>
      <c r="B13" s="6" t="n"/>
      <c r="C13" s="6" t="n"/>
      <c r="D13" s="6" t="n"/>
      <c r="E13" s="6" t="n"/>
      <c r="F13" s="6" t="n">
        <v>0</v>
      </c>
    </row>
    <row r="14">
      <c r="A14" s="6" t="inlineStr">
        <is>
          <t>Maturity and sales of investment securities</t>
        </is>
      </c>
      <c r="B14" s="6" t="n">
        <v>256.3</v>
      </c>
      <c r="C14" s="6" t="n">
        <v>360.3</v>
      </c>
      <c r="D14" s="6" t="n">
        <v>49.5</v>
      </c>
      <c r="E14" s="6" t="n">
        <v>215.3</v>
      </c>
      <c r="F14" s="6" t="n">
        <v>535.8</v>
      </c>
    </row>
    <row r="15">
      <c r="A15" s="6" t="inlineStr">
        <is>
          <t>Purchases of investment securities</t>
        </is>
      </c>
      <c r="B15" s="6" t="n">
        <v>-526.9</v>
      </c>
      <c r="C15" s="6" t="n">
        <v>-251.4</v>
      </c>
      <c r="D15" s="6" t="n">
        <v>-72.2</v>
      </c>
      <c r="E15" s="6" t="n">
        <v>-40.2</v>
      </c>
      <c r="F15" s="6" t="n">
        <v>-452.5</v>
      </c>
    </row>
    <row r="16">
      <c r="A16" s="6" t="inlineStr">
        <is>
          <t>Interest received on investment securities</t>
        </is>
      </c>
      <c r="B16" s="6" t="n">
        <v>51.3</v>
      </c>
      <c r="C16" s="6" t="n">
        <v>18.3</v>
      </c>
      <c r="D16" s="6" t="n">
        <v>11.8</v>
      </c>
      <c r="E16" s="6" t="n">
        <v>5.1</v>
      </c>
      <c r="F16" s="6" t="n"/>
    </row>
    <row r="17">
      <c r="A17" s="6" t="inlineStr">
        <is>
          <t>Purchases of property, plant and equipment and intangible assets</t>
        </is>
      </c>
      <c r="B17" s="6" t="n">
        <v>-0.1</v>
      </c>
      <c r="C17" s="6" t="n">
        <v>-0.2</v>
      </c>
      <c r="D17" s="6" t="n">
        <v>-0.1</v>
      </c>
      <c r="E17" s="6" t="n">
        <v>-0.6</v>
      </c>
      <c r="F17" s="6" t="n">
        <v>-1.8</v>
      </c>
    </row>
    <row r="18">
      <c r="A18" s="5" t="inlineStr">
        <is>
          <t>Net cash from investing activities</t>
        </is>
      </c>
      <c r="B18" s="5" t="n">
        <v>-219.4</v>
      </c>
      <c r="C18" s="5" t="n">
        <v>127</v>
      </c>
      <c r="D18" s="5" t="n">
        <v>-11</v>
      </c>
      <c r="E18" s="5" t="n">
        <v>179.6</v>
      </c>
      <c r="F18" s="5" t="n">
        <v>81.5</v>
      </c>
    </row>
    <row r="19">
      <c r="A19" s="5" t="inlineStr">
        <is>
          <t>Financing activities</t>
        </is>
      </c>
      <c r="B19" s="6" t="n"/>
      <c r="C19" s="6" t="n"/>
      <c r="D19" s="6" t="n"/>
      <c r="E19" s="6" t="n"/>
      <c r="F19" s="6" t="n"/>
    </row>
    <row r="20">
      <c r="A20" s="6" t="inlineStr">
        <is>
          <t>Financing received</t>
        </is>
      </c>
      <c r="B20" s="6" t="n">
        <v>1174.2</v>
      </c>
      <c r="C20" s="6" t="n">
        <v>1170.9</v>
      </c>
      <c r="D20" s="6" t="n">
        <v>731.3</v>
      </c>
      <c r="E20" s="6" t="n">
        <v>309.5</v>
      </c>
      <c r="F20" s="6" t="n">
        <v>1899.5</v>
      </c>
    </row>
    <row r="21">
      <c r="A21" s="6" t="inlineStr">
        <is>
          <t>Financing repaid</t>
        </is>
      </c>
      <c r="B21" s="6" t="n">
        <v>-644.1</v>
      </c>
      <c r="C21" s="6" t="n">
        <v>-1777.5</v>
      </c>
      <c r="D21" s="6" t="n">
        <v>-804.9</v>
      </c>
      <c r="E21" s="6" t="n">
        <v>-2.5</v>
      </c>
      <c r="F21" s="6" t="n">
        <v>-1667.9</v>
      </c>
    </row>
    <row r="22">
      <c r="A22" s="6" t="inlineStr">
        <is>
          <t>Interest paid on financing</t>
        </is>
      </c>
      <c r="B22" s="6" t="n">
        <v>-64.3</v>
      </c>
      <c r="C22" s="6" t="n">
        <v>-127.1</v>
      </c>
      <c r="D22" s="6" t="n">
        <v>-92.2</v>
      </c>
      <c r="E22" s="6" t="n">
        <v>-15.4</v>
      </c>
      <c r="F22" s="6" t="n">
        <v>-1.8</v>
      </c>
    </row>
    <row r="23">
      <c r="A23" s="6" t="inlineStr">
        <is>
          <t>Coupon paid on AT1 securities</t>
        </is>
      </c>
      <c r="B23" s="6" t="n"/>
      <c r="C23" s="6" t="n">
        <v>-3.6</v>
      </c>
      <c r="D23" s="6" t="n">
        <v>-3.6</v>
      </c>
      <c r="E23" s="6" t="n">
        <v>-3.6</v>
      </c>
      <c r="F23" s="6" t="n"/>
    </row>
    <row r="24">
      <c r="A24" s="6" t="inlineStr">
        <is>
          <t>Redemption of AT1 securities</t>
        </is>
      </c>
      <c r="B24" s="6" t="n">
        <v>-53.3</v>
      </c>
      <c r="C24" s="6" t="n"/>
      <c r="D24" s="6" t="n"/>
      <c r="E24" s="6" t="n"/>
      <c r="F24" s="6" t="n"/>
    </row>
    <row r="25">
      <c r="A25" s="6" t="inlineStr">
        <is>
          <t>Issuance of AT1 securities</t>
        </is>
      </c>
      <c r="B25" s="6" t="n">
        <v>59.5</v>
      </c>
      <c r="C25" s="6" t="n"/>
      <c r="D25" s="6" t="n"/>
      <c r="E25" s="6" t="n"/>
      <c r="F25" s="6" t="n">
        <v>60</v>
      </c>
    </row>
    <row r="26">
      <c r="A26" s="6" t="inlineStr">
        <is>
          <t>Dividends paid</t>
        </is>
      </c>
      <c r="B26" s="6" t="n">
        <v>-169.4</v>
      </c>
      <c r="C26" s="6" t="n">
        <v>-134.9</v>
      </c>
      <c r="D26" s="6" t="n">
        <v>-124.9</v>
      </c>
      <c r="E26" s="6" t="n">
        <v>-75.2</v>
      </c>
      <c r="F26" s="6" t="n"/>
    </row>
    <row r="27">
      <c r="A27" s="6" t="inlineStr">
        <is>
          <t>Net swap interest paid on subordinated liabilities and senior notes</t>
        </is>
      </c>
      <c r="B27" s="6" t="n"/>
      <c r="C27" s="6" t="n">
        <v>-2.3</v>
      </c>
      <c r="D27" s="6" t="n"/>
      <c r="E27" s="6" t="n"/>
      <c r="F27" s="6" t="n"/>
    </row>
    <row r="28">
      <c r="A28" s="6" t="inlineStr">
        <is>
          <t>Net swap interest paid on structural hedge</t>
        </is>
      </c>
      <c r="B28" s="6" t="n"/>
      <c r="C28" s="6" t="n">
        <v>-1.2</v>
      </c>
      <c r="D28" s="6" t="n"/>
      <c r="E28" s="6" t="n"/>
      <c r="F28" s="6" t="n"/>
    </row>
    <row r="29">
      <c r="A29" s="6" t="inlineStr">
        <is>
          <t>Repayments of principal portion of lease liabilities</t>
        </is>
      </c>
      <c r="B29" s="6" t="n">
        <v>-7.6</v>
      </c>
      <c r="C29" s="6" t="n">
        <v>-0.9</v>
      </c>
      <c r="D29" s="6" t="n">
        <v>-1</v>
      </c>
      <c r="E29" s="6" t="n">
        <v>-1</v>
      </c>
      <c r="F29" s="6" t="n">
        <v>-1</v>
      </c>
    </row>
    <row r="30">
      <c r="A30" s="5" t="inlineStr">
        <is>
          <t>Net cash from/(used in) financing activities</t>
        </is>
      </c>
      <c r="B30" s="5" t="n">
        <v>295</v>
      </c>
      <c r="C30" s="5" t="n">
        <v>-876.6</v>
      </c>
      <c r="D30" s="5" t="n">
        <v>-295.3</v>
      </c>
      <c r="E30" s="5" t="n">
        <v>211.8</v>
      </c>
      <c r="F30" s="5" t="n">
        <v>288.8</v>
      </c>
    </row>
    <row r="31">
      <c r="A31" s="5" t="inlineStr">
        <is>
          <t>Net increase/(decrease) in cash and cash equivalents</t>
        </is>
      </c>
      <c r="B31" s="5" t="n">
        <v>793</v>
      </c>
      <c r="C31" s="5" t="n">
        <v>585.8</v>
      </c>
      <c r="D31" s="5" t="n">
        <v>-27.2</v>
      </c>
      <c r="E31" s="5" t="n">
        <v>196.3</v>
      </c>
      <c r="F31" s="5" t="n">
        <v>382.8</v>
      </c>
    </row>
    <row r="32">
      <c r="A32" s="6" t="inlineStr">
        <is>
          <t>Cash and cash equivalents at the beginning of the year</t>
        </is>
      </c>
      <c r="B32" s="6" t="n">
        <v>2037.8</v>
      </c>
      <c r="C32" s="6" t="n">
        <v>1452</v>
      </c>
      <c r="D32" s="6" t="n">
        <v>1479.2</v>
      </c>
      <c r="E32" s="6" t="n">
        <v>1282.9</v>
      </c>
      <c r="F32" s="6" t="n">
        <v>900.1</v>
      </c>
    </row>
    <row r="33">
      <c r="A33" s="5" t="inlineStr">
        <is>
          <t>Cash and cash equivalents at the end of the year</t>
        </is>
      </c>
      <c r="B33" s="5" t="n">
        <v>2830.8</v>
      </c>
      <c r="C33" s="5" t="n">
        <v>2037.8</v>
      </c>
      <c r="D33" s="5" t="n">
        <v>1452</v>
      </c>
      <c r="E33" s="5" t="n">
        <v>1479.2</v>
      </c>
      <c r="F33" s="5" t="n">
        <v>1282.9</v>
      </c>
    </row>
    <row r="35" ht="280" customHeight="1">
      <c r="A35" s="8" t="inlineStr">
        <is>
          <t>Sources - all figures are Charter Court Financial Services Limited's own Statement of Cash Flows, from each year's own originally-filed Companies House accounts (not a later restated comparative):
FY2025: Full accounts made up to 31 Dec 2025, p.69 (Statement of Cash Flows) - https://find-and-update.company-information.service.gov.uk/company/06749498/filing-history/MzUxNjgzMTY2OWFkaXF6a2N4/document?format=pdf&amp;download=0
FY2024: Full accounts made up to 31 Dec 2024, p.68 (Statement of Cash Flows) - https://find-and-update.company-information.service.gov.uk/company/06749498/filing-history/MzQ2MzY3MjYwMmFkaXF6a2N4/document?format=pdf&amp;download=0
FY2023: Full accounts made up to 31 Dec 2023, p.56 (Statement of Cash Flows) - https://find-and-update.company-information.service.gov.uk/company/06749498/filing-history/MzQxOTgyMzYzMWFkaXF6a2N4/document?format=pdf&amp;download=0
FY2022: Full accounts made up to 31 Dec 2022, p.50 (Statement of Cash Flows) - https://find-and-update.company-information.service.gov.uk/company/06749498/filing-history/MzM3NjA1NDU0NWFkaXF6a2N4/document?format=pdf&amp;download=0
FY2021: Full accounts made up to 31 Dec 2021, p.51 (Statement of Cash Flows)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t>
        </is>
      </c>
    </row>
  </sheetData>
  <mergeCells count="1">
    <mergeCell ref="A35:F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Asset Quality</t>
        </is>
      </c>
    </row>
    <row r="2">
      <c r="A2" s="2" t="inlineStr">
        <is>
          <t>Entity (Company) basis, £m (ratios as calculated).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IFRS 9 stage (held at amortised cost)</t>
        </is>
      </c>
      <c r="B4" s="6" t="n"/>
      <c r="C4" s="6" t="n"/>
      <c r="D4" s="6" t="n"/>
      <c r="E4" s="6" t="n"/>
      <c r="F4" s="6" t="n"/>
    </row>
    <row r="5">
      <c r="A5" s="6" t="inlineStr">
        <is>
          <t>Stage 1</t>
        </is>
      </c>
      <c r="B5" s="6" t="n">
        <v>7316.6</v>
      </c>
      <c r="C5" s="6" t="n">
        <v>7043.3</v>
      </c>
      <c r="D5" s="6" t="n">
        <v>8435.4</v>
      </c>
      <c r="E5" s="6" t="n">
        <v>7319.8</v>
      </c>
      <c r="F5" s="6" t="n">
        <v>6570.3</v>
      </c>
    </row>
    <row r="6">
      <c r="A6" s="6" t="inlineStr">
        <is>
          <t>Stage 2</t>
        </is>
      </c>
      <c r="B6" s="6" t="n">
        <v>1580.5</v>
      </c>
      <c r="C6" s="6" t="n">
        <v>2121.4</v>
      </c>
      <c r="D6" s="6" t="n">
        <v>2129.8</v>
      </c>
      <c r="E6" s="6" t="n">
        <v>2053.4</v>
      </c>
      <c r="F6" s="6" t="n">
        <v>1157.5</v>
      </c>
    </row>
    <row r="7">
      <c r="A7" s="6" t="inlineStr">
        <is>
          <t>Stage 3</t>
        </is>
      </c>
      <c r="B7" s="6" t="n">
        <v>301.6</v>
      </c>
      <c r="C7" s="6" t="n">
        <v>298.2</v>
      </c>
      <c r="D7" s="6" t="n">
        <v>216.1</v>
      </c>
      <c r="E7" s="6" t="n">
        <v>162.7</v>
      </c>
      <c r="F7" s="6" t="n">
        <v>114.8</v>
      </c>
    </row>
    <row r="8">
      <c r="A8" s="6" t="inlineStr">
        <is>
          <t>Stage 3 (POCI)</t>
        </is>
      </c>
      <c r="B8" s="6" t="n">
        <v>0.3</v>
      </c>
      <c r="C8" s="6" t="n">
        <v>0.5</v>
      </c>
      <c r="D8" s="6" t="n">
        <v>1.1</v>
      </c>
      <c r="E8" s="6" t="n">
        <v>1</v>
      </c>
      <c r="F8" s="6" t="n">
        <v>1.3</v>
      </c>
    </row>
    <row r="9">
      <c r="A9" s="5" t="inlineStr">
        <is>
          <t>Total gross carrying amount</t>
        </is>
      </c>
      <c r="B9" s="5" t="n">
        <v>9199</v>
      </c>
      <c r="C9" s="5" t="n">
        <v>9463.4</v>
      </c>
      <c r="D9" s="5" t="n">
        <v>10782.4</v>
      </c>
      <c r="E9" s="5" t="n">
        <v>9536.9</v>
      </c>
      <c r="F9" s="5" t="n">
        <v>7843.9</v>
      </c>
    </row>
    <row r="10">
      <c r="A10" s="5" t="inlineStr">
        <is>
          <t>Expected credit loss (ECL) provision by stage</t>
        </is>
      </c>
      <c r="B10" s="6" t="n"/>
      <c r="C10" s="6" t="n"/>
      <c r="D10" s="6" t="n"/>
      <c r="E10" s="6" t="n"/>
      <c r="F10" s="6" t="n"/>
    </row>
    <row r="11">
      <c r="A11" s="6" t="inlineStr">
        <is>
          <t>Stage 1</t>
        </is>
      </c>
      <c r="B11" s="6" t="n">
        <v>1.1</v>
      </c>
      <c r="C11" s="6" t="n">
        <v>1.9</v>
      </c>
      <c r="D11" s="6" t="n">
        <v>6.1</v>
      </c>
      <c r="E11" s="6" t="n">
        <v>1.2</v>
      </c>
      <c r="F11" s="6" t="n">
        <v>2.4</v>
      </c>
    </row>
    <row r="12">
      <c r="A12" s="6" t="inlineStr">
        <is>
          <t>Stage 2</t>
        </is>
      </c>
      <c r="B12" s="6" t="n">
        <v>5.1</v>
      </c>
      <c r="C12" s="6" t="n">
        <v>9.4</v>
      </c>
      <c r="D12" s="6" t="n">
        <v>15.8</v>
      </c>
      <c r="E12" s="6" t="n">
        <v>15.8</v>
      </c>
      <c r="F12" s="6" t="n">
        <v>10.2</v>
      </c>
    </row>
    <row r="13">
      <c r="A13" s="6" t="inlineStr">
        <is>
          <t>Stage 3</t>
        </is>
      </c>
      <c r="B13" s="6" t="n">
        <v>12.6</v>
      </c>
      <c r="C13" s="6" t="n">
        <v>13.7</v>
      </c>
      <c r="D13" s="6" t="n">
        <v>12.6</v>
      </c>
      <c r="E13" s="6" t="n">
        <v>9.199999999999999</v>
      </c>
      <c r="F13" s="6" t="n">
        <v>5.2</v>
      </c>
    </row>
    <row r="14">
      <c r="A14" s="6" t="inlineStr">
        <is>
          <t>Stage 3 (POCI)</t>
        </is>
      </c>
      <c r="B14" s="6" t="n">
        <v>0</v>
      </c>
      <c r="C14" s="6" t="n">
        <v>0.1</v>
      </c>
      <c r="D14" s="6" t="n">
        <v>0</v>
      </c>
      <c r="E14" s="6" t="n">
        <v>0.1</v>
      </c>
      <c r="F14" s="6" t="n">
        <v>0.1</v>
      </c>
    </row>
    <row r="15">
      <c r="A15" s="5" t="inlineStr">
        <is>
          <t>Total ECL provision</t>
        </is>
      </c>
      <c r="B15" s="5" t="n">
        <v>18.8</v>
      </c>
      <c r="C15" s="5" t="n">
        <v>25.1</v>
      </c>
      <c r="D15" s="5" t="n">
        <v>34.5</v>
      </c>
      <c r="E15" s="5" t="n">
        <v>26.3</v>
      </c>
      <c r="F15" s="5" t="n">
        <v>17.9</v>
      </c>
    </row>
    <row r="16">
      <c r="A16" s="5" t="inlineStr">
        <is>
          <t>Net carrying amount (Total gross - Total ECL)</t>
        </is>
      </c>
      <c r="B16" s="5" t="n">
        <v>9180.200000000001</v>
      </c>
      <c r="C16" s="5" t="n">
        <v>9438.299999999999</v>
      </c>
      <c r="D16" s="5" t="n">
        <v>10747.9</v>
      </c>
      <c r="E16" s="5" t="n">
        <v>9510.6</v>
      </c>
      <c r="F16" s="5" t="n">
        <v>7826</v>
      </c>
    </row>
    <row r="17">
      <c r="A17" s="5" t="inlineStr">
        <is>
          <t>Asset quality ratios</t>
        </is>
      </c>
      <c r="B17" s="6" t="n"/>
      <c r="C17" s="6" t="n"/>
      <c r="D17" s="6" t="n"/>
      <c r="E17" s="6" t="n"/>
      <c r="F17" s="6" t="n"/>
    </row>
    <row r="18">
      <c r="A18" s="6" t="inlineStr">
        <is>
          <t>Total coverage ratio (Total ECL / Total gross)</t>
        </is>
      </c>
      <c r="B18" s="6" t="inlineStr">
        <is>
          <t>0.20%</t>
        </is>
      </c>
      <c r="C18" s="6" t="inlineStr">
        <is>
          <t>0.27%</t>
        </is>
      </c>
      <c r="D18" s="6" t="inlineStr">
        <is>
          <t>0.32%</t>
        </is>
      </c>
      <c r="E18" s="6" t="inlineStr">
        <is>
          <t>0.28%</t>
        </is>
      </c>
      <c r="F18" s="6" t="inlineStr">
        <is>
          <t>0.23%</t>
        </is>
      </c>
    </row>
    <row r="19">
      <c r="A19" s="6" t="inlineStr">
        <is>
          <t>NPL ratio ((Stage 3 + POCI) gross / Total gross)</t>
        </is>
      </c>
      <c r="B19" s="6" t="inlineStr">
        <is>
          <t>3.28%</t>
        </is>
      </c>
      <c r="C19" s="6" t="inlineStr">
        <is>
          <t>3.16%</t>
        </is>
      </c>
      <c r="D19" s="6" t="inlineStr">
        <is>
          <t>2.01%</t>
        </is>
      </c>
      <c r="E19" s="6" t="inlineStr">
        <is>
          <t>1.72%</t>
        </is>
      </c>
      <c r="F19" s="6" t="inlineStr">
        <is>
          <t>1.48%</t>
        </is>
      </c>
    </row>
    <row r="20">
      <c r="A20" s="6" t="inlineStr">
        <is>
          <t>Stage 3 coverage ratio (Stage 3 ECL / Stage 3 gross)</t>
        </is>
      </c>
      <c r="B20" s="6" t="inlineStr">
        <is>
          <t>4.18%</t>
        </is>
      </c>
      <c r="C20" s="6" t="inlineStr">
        <is>
          <t>4.59%</t>
        </is>
      </c>
      <c r="D20" s="6" t="inlineStr">
        <is>
          <t>5.83%</t>
        </is>
      </c>
      <c r="E20" s="6" t="inlineStr">
        <is>
          <t>5.65%</t>
        </is>
      </c>
      <c r="F20" s="6" t="inlineStr">
        <is>
          <t>4.53%</t>
        </is>
      </c>
    </row>
    <row r="22" ht="280" customHeight="1">
      <c r="A22" s="8" t="inlineStr">
        <is>
          <t>Sources - Note 'Loans and advances to customers' and Note 'Expected credit losses' (residential mortgages held at amortised cost only - the FVOCI-held mortgage book, a smaller separate portfolio, uses a different loss-recognition basis and is excluded here for consistency), £m:
FY2025/FY2024: Full accounts made up to 31 Dec 2025, pp.97,99 (Notes 15-16) - https://find-and-update.company-information.service.gov.uk/company/06749498/filing-history/MzUxNjgzMTY2OWFkaXF6a2N4/document?format=pdf&amp;download=0
FY2023/FY2022: Full accounts made up to 31 Dec 2023, pp.82,87 (Notes 15-16) - https://find-and-update.company-information.service.gov.uk/company/06749498/filing-history/MzQxOTgyMzYzMWFkaXF6a2N4/document?format=pdf&amp;download=0
FY2021: Full accounts made up to 31 Dec 2021, pp.79,83 (Notes 16-17)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Ratios calculated here from the disclosed stage-level figures (not separately stated by the Company): NPL ratio = (Stage 3 + Stage 3 POCI) gross / Total gross; Stage 3 coverage = Stage 3 ECL / Stage 3 gross (POCI excluded from the coverage denominator, consistent with how Stage 3 coverage is conventionally calculated across this project); Total coverage = Total ECL / Total gross.</t>
        </is>
      </c>
    </row>
  </sheetData>
  <mergeCells count="1">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 under CRD IV</t>
        </is>
      </c>
      <c r="B4" s="6" t="inlineStr">
        <is>
          <t>16.2%</t>
        </is>
      </c>
      <c r="C4" s="6" t="inlineStr">
        <is>
          <t>17.8%</t>
        </is>
      </c>
      <c r="D4" s="6" t="inlineStr">
        <is>
          <t>15.8%</t>
        </is>
      </c>
      <c r="E4" s="6" t="inlineStr">
        <is>
          <t>18.8%</t>
        </is>
      </c>
      <c r="F4" s="6" t="n"/>
    </row>
    <row r="5" ht="60" customHeight="1">
      <c r="A5" s="7" t="inlineStr">
        <is>
          <t>Note: FY2025/FY2024 from the Annual Report's own KPI table (FY2024 shown as that report's own comparative). FY2023 from the Strategic Report's own Solvency Risk narrative (FY2022 shown as that report's own comparative). FY2021 not located within this build's research budget - left blank rather than guessed, not confirmed absent.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under CRD IV</t>
        </is>
      </c>
      <c r="B4" s="6" t="n"/>
      <c r="C4" s="6" t="n"/>
      <c r="D4" s="6" t="inlineStr">
        <is>
          <t>19.2%</t>
        </is>
      </c>
      <c r="E4" s="6" t="inlineStr">
        <is>
          <t>20.2%</t>
        </is>
      </c>
      <c r="F4" s="6" t="n"/>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FY2023/FY2022 are the exception, from the Strategic Report's own Solvency Risk narrative (FY2022 shown as FY2023's report's own comparative). FY2025/FY2024/FY2021 not found - the later KPI table format only carries CET1, and FY2021 wasn't located within this build's research budget.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under CRD IV</t>
        </is>
      </c>
      <c r="B4" s="6" t="n"/>
      <c r="C4" s="6" t="n"/>
      <c r="D4" s="6" t="inlineStr">
        <is>
          <t>6.9%</t>
        </is>
      </c>
      <c r="E4" s="6" t="inlineStr">
        <is>
          <t>7.9%</t>
        </is>
      </c>
      <c r="F4" s="6" t="n"/>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FY2023/FY2022 are the exception, from the Strategic Report's own Solvency Risk narrative (FY2022 shown as FY2023's report's own comparative). FY2025/FY2024/FY2021 not found within this build's research budget.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2026-09-06T09:54:30Z</dcterms:created>
  <dcterms:modified xmlns:dcterms="http://purl.org/dc/terms/" xmlns:xsi="http://www.w3.org/2001/XMLSchema-instance" xsi:type="dcterms:W3CDTF">2026-09-06T09:54:30Z</dcterms:modified>
</cp:coreProperties>
</file>