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Recognise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R5" t="inlineStr">
        <is>
          <t>FY2022</t>
        </is>
      </c>
      <c r="S5" t="inlineStr">
        <is>
          <t>FY2023</t>
        </is>
      </c>
      <c r="T5" t="inlineStr">
        <is>
          <t>FY2024</t>
        </is>
      </c>
      <c r="U5" t="inlineStr">
        <is>
          <t>FY2025</t>
        </is>
      </c>
      <c r="V5" t="inlineStr">
        <is>
          <t>FY2026</t>
        </is>
      </c>
    </row>
    <row r="6">
      <c r="A6" s="5" t="inlineStr">
        <is>
          <t>Net cash (used in)/generated from operating activities</t>
        </is>
      </c>
      <c r="B6" s="5" t="n">
        <v>-82097</v>
      </c>
      <c r="C6" s="5" t="n">
        <v>54706</v>
      </c>
      <c r="D6" s="5" t="n">
        <v>21491</v>
      </c>
      <c r="E6" s="5" t="n">
        <v>70692</v>
      </c>
      <c r="F6" s="5" t="n">
        <v>-2420</v>
      </c>
      <c r="I6" t="inlineStr">
        <is>
          <t>Net cash (used in)/generated from operating activities</t>
        </is>
      </c>
      <c r="J6" t="n">
        <v>-2420</v>
      </c>
      <c r="K6" t="n">
        <v>70692</v>
      </c>
      <c r="L6" t="n">
        <v>21491</v>
      </c>
      <c r="M6" t="n">
        <v>54706</v>
      </c>
      <c r="N6" t="n">
        <v>-82097</v>
      </c>
      <c r="Q6" t="inlineStr">
        <is>
          <t>CET1 Ratio</t>
        </is>
      </c>
      <c r="R6" t="n">
        <v>42.9</v>
      </c>
      <c r="S6" t="n">
        <v>65.09999999999999</v>
      </c>
      <c r="T6" t="n">
        <v>26.3</v>
      </c>
      <c r="U6" t="n">
        <v>30.4</v>
      </c>
      <c r="V6" t="n">
        <v>20.9</v>
      </c>
    </row>
    <row r="7">
      <c r="A7" s="5" t="inlineStr">
        <is>
          <t>Net cash (used in)/generated from investing activities</t>
        </is>
      </c>
      <c r="B7" s="5" t="n">
        <v>-641</v>
      </c>
      <c r="C7" s="5" t="n">
        <v>-69</v>
      </c>
      <c r="D7" s="5" t="n">
        <v>-306</v>
      </c>
      <c r="E7" s="5" t="n">
        <v>170</v>
      </c>
      <c r="F7" s="5" t="n">
        <v>4538</v>
      </c>
      <c r="I7" t="inlineStr">
        <is>
          <t>Net cash (used in)/generated from investing activities</t>
        </is>
      </c>
      <c r="J7" t="n">
        <v>4538</v>
      </c>
      <c r="K7" t="n">
        <v>170</v>
      </c>
      <c r="L7" t="n">
        <v>-306</v>
      </c>
      <c r="M7" t="n">
        <v>-69</v>
      </c>
      <c r="N7" t="n">
        <v>-641</v>
      </c>
      <c r="Q7" t="inlineStr">
        <is>
          <t>Total Capital Ratio</t>
        </is>
      </c>
      <c r="R7" t="n">
        <v>42.9</v>
      </c>
      <c r="S7" t="n">
        <v>65.09999999999999</v>
      </c>
      <c r="T7" t="n">
        <v>26.3</v>
      </c>
      <c r="U7" t="n">
        <v>30.4</v>
      </c>
      <c r="V7" t="n">
        <v>20.9</v>
      </c>
    </row>
    <row r="8">
      <c r="A8" s="5" t="inlineStr">
        <is>
          <t>Net cash generated from financing activities</t>
        </is>
      </c>
      <c r="B8" s="5" t="n">
        <v>4955</v>
      </c>
      <c r="C8" s="5" t="n">
        <v>19803</v>
      </c>
      <c r="D8" s="5" t="n">
        <v>4753</v>
      </c>
      <c r="E8" s="5" t="n">
        <v>31259</v>
      </c>
      <c r="F8" s="5" t="n">
        <v>22890</v>
      </c>
      <c r="I8" t="inlineStr">
        <is>
          <t>Net cash generated from financing activities</t>
        </is>
      </c>
      <c r="J8" t="n">
        <v>22890</v>
      </c>
      <c r="K8" t="n">
        <v>31259</v>
      </c>
      <c r="L8" t="n">
        <v>4753</v>
      </c>
      <c r="M8" t="n">
        <v>19803</v>
      </c>
      <c r="N8" t="n">
        <v>4955</v>
      </c>
      <c r="Q8" t="inlineStr">
        <is>
          <t>Leverage Ratio</t>
        </is>
      </c>
      <c r="R8" t="n">
        <v>34.3</v>
      </c>
      <c r="S8" t="n">
        <v>42.8</v>
      </c>
      <c r="T8" t="n">
        <v>16.6</v>
      </c>
      <c r="U8" t="n">
        <v>20.3</v>
      </c>
      <c r="V8" t="n">
        <v>14.7</v>
      </c>
    </row>
    <row r="9">
      <c r="A9" s="5" t="inlineStr">
        <is>
          <t>Cash and cash equivalents at end of year</t>
        </is>
      </c>
      <c r="B9" s="5" t="n">
        <v>160949</v>
      </c>
      <c r="C9" s="5" t="n">
        <v>238732</v>
      </c>
      <c r="D9" s="5" t="n">
        <v>164292</v>
      </c>
      <c r="E9" s="5" t="n">
        <v>138354</v>
      </c>
      <c r="F9" s="5" t="n">
        <v>36233</v>
      </c>
      <c r="I9" t="inlineStr">
        <is>
          <t>Cash and cash equivalents at end of year</t>
        </is>
      </c>
      <c r="J9" t="n">
        <v>36233</v>
      </c>
      <c r="K9" t="n">
        <v>138354</v>
      </c>
      <c r="L9" t="n">
        <v>164292</v>
      </c>
      <c r="M9" t="n">
        <v>238732</v>
      </c>
      <c r="N9" t="n">
        <v>160949</v>
      </c>
      <c r="Q9" t="inlineStr">
        <is>
          <t>LCR</t>
        </is>
      </c>
      <c r="R9" t="n">
        <v>389.6</v>
      </c>
      <c r="S9" t="n">
        <v>799.6</v>
      </c>
      <c r="T9" t="n">
        <v>516.6</v>
      </c>
      <c r="U9" t="n">
        <v>548.4</v>
      </c>
      <c r="V9" t="n">
        <v>299.9</v>
      </c>
    </row>
    <row r="10">
      <c r="Q10" t="inlineStr">
        <is>
          <t>NSFR</t>
        </is>
      </c>
      <c r="R10" t="n">
        <v>164.7</v>
      </c>
      <c r="S10" t="n">
        <v>264.8</v>
      </c>
      <c r="T10" t="n">
        <v>206.4</v>
      </c>
      <c r="U10" t="n">
        <v>227</v>
      </c>
      <c r="V10" t="n">
        <v>176.4</v>
      </c>
    </row>
    <row r="11">
      <c r="A11" s="3" t="inlineStr">
        <is>
          <t>Pillar 3 Key Metrics</t>
        </is>
      </c>
    </row>
    <row r="12">
      <c r="A12" s="4" t="inlineStr">
        <is>
          <t>Line item</t>
        </is>
      </c>
      <c r="B12" s="4" t="inlineStr">
        <is>
          <t>FY2026</t>
        </is>
      </c>
      <c r="C12" s="4" t="inlineStr">
        <is>
          <t>FY2025</t>
        </is>
      </c>
      <c r="D12" s="4" t="inlineStr">
        <is>
          <t>FY2024</t>
        </is>
      </c>
      <c r="E12" s="4" t="inlineStr">
        <is>
          <t>FY2023</t>
        </is>
      </c>
      <c r="F12" s="4" t="inlineStr">
        <is>
          <t>FY2022</t>
        </is>
      </c>
    </row>
    <row r="13">
      <c r="A13" s="6" t="inlineStr">
        <is>
          <t>CET1 Ratio</t>
        </is>
      </c>
      <c r="B13" s="6" t="inlineStr">
        <is>
          <t>20.9%</t>
        </is>
      </c>
      <c r="C13" s="6" t="inlineStr">
        <is>
          <t>30.4%</t>
        </is>
      </c>
      <c r="D13" s="6" t="inlineStr">
        <is>
          <t>26.3%</t>
        </is>
      </c>
      <c r="E13" s="6" t="inlineStr">
        <is>
          <t>65.1%</t>
        </is>
      </c>
      <c r="F13" s="6" t="inlineStr">
        <is>
          <t>42.9%</t>
        </is>
      </c>
    </row>
    <row r="14">
      <c r="A14" s="6" t="inlineStr">
        <is>
          <t>Total Capital Ratio</t>
        </is>
      </c>
      <c r="B14" s="6" t="inlineStr">
        <is>
          <t>20.9%</t>
        </is>
      </c>
      <c r="C14" s="6" t="inlineStr">
        <is>
          <t>30.4%</t>
        </is>
      </c>
      <c r="D14" s="6" t="inlineStr">
        <is>
          <t>26.3%</t>
        </is>
      </c>
      <c r="E14" s="6" t="inlineStr">
        <is>
          <t>65.1%</t>
        </is>
      </c>
      <c r="F14" s="6" t="inlineStr">
        <is>
          <t>42.9%</t>
        </is>
      </c>
    </row>
    <row r="15">
      <c r="A15" s="6" t="inlineStr">
        <is>
          <t>Leverage Ratio</t>
        </is>
      </c>
      <c r="B15" s="6" t="inlineStr">
        <is>
          <t>14.7%</t>
        </is>
      </c>
      <c r="C15" s="6" t="inlineStr">
        <is>
          <t>20.3%</t>
        </is>
      </c>
      <c r="D15" s="6" t="inlineStr">
        <is>
          <t>16.6%</t>
        </is>
      </c>
      <c r="E15" s="6" t="inlineStr">
        <is>
          <t>42.8%</t>
        </is>
      </c>
      <c r="F15" s="6" t="inlineStr">
        <is>
          <t>34.3%</t>
        </is>
      </c>
    </row>
    <row r="16">
      <c r="A16" s="6" t="inlineStr">
        <is>
          <t>LCR</t>
        </is>
      </c>
      <c r="B16" s="6" t="inlineStr">
        <is>
          <t>299.9%</t>
        </is>
      </c>
      <c r="C16" s="6" t="inlineStr">
        <is>
          <t>548.4%</t>
        </is>
      </c>
      <c r="D16" s="6" t="inlineStr">
        <is>
          <t>516.6%</t>
        </is>
      </c>
      <c r="E16" s="6" t="inlineStr">
        <is>
          <t>799.6%</t>
        </is>
      </c>
      <c r="F16" s="6" t="inlineStr">
        <is>
          <t>389.6%</t>
        </is>
      </c>
    </row>
    <row r="17">
      <c r="A17" s="6" t="inlineStr">
        <is>
          <t>NSFR</t>
        </is>
      </c>
      <c r="B17" s="6" t="inlineStr">
        <is>
          <t>176.4%</t>
        </is>
      </c>
      <c r="C17" s="6" t="inlineStr">
        <is>
          <t>227.0%</t>
        </is>
      </c>
      <c r="D17" s="6" t="inlineStr">
        <is>
          <t>206.4%</t>
        </is>
      </c>
      <c r="E17" s="6" t="inlineStr">
        <is>
          <t>264.8%</t>
        </is>
      </c>
      <c r="F17" s="6" t="inlineStr">
        <is>
          <t>164.7%</t>
        </is>
      </c>
    </row>
    <row r="19" ht="45" customHeight="1">
      <c r="A19" s="7" t="inlineStr">
        <is>
          <t>Note: Cash flows are Company/standalone figures. Pillar 3 metrics are Recognise Bank Limited UK KM1 figures. FY2025 accounts were not consolidated after CAML entered liquidation; the 2026 report supplies the FY2025 comparative. Blank cells mean not disclosed, not zero.</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Recognise Bank Limited - Company Cash Flow Statement</t>
        </is>
      </c>
    </row>
    <row r="2">
      <c r="A2" s="2" t="inlineStr">
        <is>
          <t>Company/standalone basis, £'000; FY2022-FY2026 (31 March year-end).</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Cash flow from operating activities</t>
        </is>
      </c>
      <c r="B4" s="6" t="n"/>
      <c r="C4" s="6" t="n"/>
      <c r="D4" s="6" t="n"/>
      <c r="E4" s="6" t="n"/>
      <c r="F4" s="6" t="n"/>
    </row>
    <row r="5">
      <c r="A5" s="6" t="inlineStr">
        <is>
          <t>Profit/(loss) for the year</t>
        </is>
      </c>
      <c r="B5" s="6" t="n">
        <v>8856</v>
      </c>
      <c r="C5" s="6" t="n">
        <v>-5332</v>
      </c>
      <c r="D5" s="6" t="n">
        <v>-9259</v>
      </c>
      <c r="E5" s="6" t="n">
        <v>-12783</v>
      </c>
      <c r="F5" s="6" t="n">
        <v>-12444</v>
      </c>
    </row>
    <row r="6">
      <c r="A6" s="6" t="inlineStr">
        <is>
          <t>Depreciation and amortisation</t>
        </is>
      </c>
      <c r="B6" s="6" t="n">
        <v>559</v>
      </c>
      <c r="C6" s="6" t="n">
        <v>699</v>
      </c>
      <c r="D6" s="6" t="n">
        <v>635</v>
      </c>
      <c r="E6" s="6" t="n">
        <v>789</v>
      </c>
      <c r="F6" s="6" t="n">
        <v>305</v>
      </c>
    </row>
    <row r="7">
      <c r="A7" s="6" t="inlineStr">
        <is>
          <t>Intangible assets impairment</t>
        </is>
      </c>
      <c r="B7" s="6" t="n">
        <v>928</v>
      </c>
      <c r="C7" s="6" t="n"/>
      <c r="D7" s="6" t="n"/>
      <c r="E7" s="6" t="n"/>
      <c r="F7" s="6" t="n"/>
    </row>
    <row r="8">
      <c r="A8" s="6" t="inlineStr">
        <is>
          <t>Recognition of deferred tax asset</t>
        </is>
      </c>
      <c r="B8" s="6" t="n">
        <v>-7060</v>
      </c>
      <c r="C8" s="6" t="n"/>
      <c r="D8" s="6" t="n"/>
      <c r="E8" s="6" t="n"/>
      <c r="F8" s="6" t="n"/>
    </row>
    <row r="9">
      <c r="A9" s="6" t="inlineStr">
        <is>
          <t>Interest earned during the year</t>
        </is>
      </c>
      <c r="B9" s="6" t="n">
        <v>-42754</v>
      </c>
      <c r="C9" s="6" t="n">
        <v>-36294</v>
      </c>
      <c r="D9" s="6" t="n">
        <v>-25487</v>
      </c>
      <c r="E9" s="6" t="n">
        <v>-9112</v>
      </c>
      <c r="F9" s="6" t="n">
        <v>-2136</v>
      </c>
    </row>
    <row r="10">
      <c r="A10" s="6" t="inlineStr">
        <is>
          <t>Interest expense during the year</t>
        </is>
      </c>
      <c r="B10" s="6" t="n">
        <v>22398</v>
      </c>
      <c r="C10" s="6" t="n">
        <v>20832</v>
      </c>
      <c r="D10" s="6" t="n">
        <v>13153</v>
      </c>
      <c r="E10" s="6" t="n">
        <v>2970</v>
      </c>
      <c r="F10" s="6" t="n">
        <v>803</v>
      </c>
    </row>
    <row r="11">
      <c r="A11" s="6" t="inlineStr">
        <is>
          <t>Interest expense on leases</t>
        </is>
      </c>
      <c r="B11" s="6" t="n">
        <v>5</v>
      </c>
      <c r="C11" s="6" t="n">
        <v>10</v>
      </c>
      <c r="D11" s="6" t="n">
        <v>22</v>
      </c>
      <c r="E11" s="6" t="n">
        <v>29</v>
      </c>
      <c r="F11" s="6" t="n"/>
    </row>
    <row r="12">
      <c r="A12" s="6" t="inlineStr">
        <is>
          <t>Impairment (gain)/loss</t>
        </is>
      </c>
      <c r="B12" s="6" t="n">
        <v>-46</v>
      </c>
      <c r="C12" s="6" t="n">
        <v>2311</v>
      </c>
      <c r="D12" s="6" t="n">
        <v>3339</v>
      </c>
      <c r="E12" s="6" t="n">
        <v>76</v>
      </c>
      <c r="F12" s="6" t="n">
        <v>148</v>
      </c>
    </row>
    <row r="13">
      <c r="A13" s="6" t="inlineStr">
        <is>
          <t>Share-based incentive plan</t>
        </is>
      </c>
      <c r="B13" s="6" t="n"/>
      <c r="C13" s="6" t="n"/>
      <c r="D13" s="6" t="n"/>
      <c r="E13" s="6" t="n"/>
      <c r="F13" s="6" t="n">
        <v>171</v>
      </c>
    </row>
    <row r="14">
      <c r="A14" s="6" t="inlineStr">
        <is>
          <t>Dividend income from CAML</t>
        </is>
      </c>
      <c r="B14" s="6" t="n"/>
      <c r="C14" s="6" t="n">
        <v>-400</v>
      </c>
      <c r="D14" s="6" t="n">
        <v>0</v>
      </c>
      <c r="E14" s="6" t="n">
        <v>-468</v>
      </c>
      <c r="F14" s="6" t="n"/>
    </row>
    <row r="15">
      <c r="A15" s="6" t="inlineStr">
        <is>
          <t>Other income</t>
        </is>
      </c>
      <c r="B15" s="6" t="n">
        <v>-431</v>
      </c>
      <c r="C15" s="6" t="n"/>
      <c r="D15" s="6" t="n"/>
      <c r="E15" s="6" t="n"/>
      <c r="F15" s="6" t="n"/>
    </row>
    <row r="16">
      <c r="A16" s="6" t="inlineStr">
        <is>
          <t>Interest received</t>
        </is>
      </c>
      <c r="B16" s="6" t="n">
        <v>41682</v>
      </c>
      <c r="C16" s="6" t="n">
        <v>36170</v>
      </c>
      <c r="D16" s="6" t="n">
        <v>24429</v>
      </c>
      <c r="E16" s="6" t="n">
        <v>9210</v>
      </c>
      <c r="F16" s="6" t="n">
        <v>3608</v>
      </c>
    </row>
    <row r="17">
      <c r="A17" s="6" t="inlineStr">
        <is>
          <t>Interest paid</t>
        </is>
      </c>
      <c r="B17" s="6" t="n">
        <v>-11971</v>
      </c>
      <c r="C17" s="6" t="n">
        <v>-11997</v>
      </c>
      <c r="D17" s="6" t="n">
        <v>-4824</v>
      </c>
      <c r="E17" s="6" t="n">
        <v>-2245</v>
      </c>
      <c r="F17" s="6" t="n">
        <v>-457</v>
      </c>
    </row>
    <row r="18">
      <c r="A18" s="6" t="inlineStr">
        <is>
          <t>Increase in debt securities</t>
        </is>
      </c>
      <c r="B18" s="6" t="n">
        <v>-19928</v>
      </c>
      <c r="C18" s="6" t="n">
        <v>-9656</v>
      </c>
      <c r="D18" s="6" t="n"/>
      <c r="E18" s="6" t="n"/>
      <c r="F18" s="6" t="n"/>
    </row>
    <row r="19">
      <c r="A19" s="6" t="inlineStr">
        <is>
          <t>Decrease/(increase) in debt securities</t>
        </is>
      </c>
      <c r="B19" s="6" t="n"/>
      <c r="C19" s="6" t="n"/>
      <c r="D19" s="6" t="n"/>
      <c r="E19" s="6" t="n"/>
      <c r="F19" s="6" t="n">
        <v>6500</v>
      </c>
    </row>
    <row r="20">
      <c r="A20" s="6" t="inlineStr">
        <is>
          <t>Increase in loans and advances</t>
        </is>
      </c>
      <c r="B20" s="6" t="n">
        <v>-155239</v>
      </c>
      <c r="C20" s="6" t="n">
        <v>-5307</v>
      </c>
      <c r="D20" s="6" t="n">
        <v>-183505</v>
      </c>
      <c r="E20" s="6" t="n">
        <v>-22804</v>
      </c>
      <c r="F20" s="6" t="n">
        <v>-93780</v>
      </c>
    </row>
    <row r="21">
      <c r="A21" s="6" t="inlineStr">
        <is>
          <t>Increase in deposits from customers</t>
        </is>
      </c>
      <c r="B21" s="6" t="n">
        <v>80807</v>
      </c>
      <c r="C21" s="6" t="n">
        <v>63808</v>
      </c>
      <c r="D21" s="6" t="n">
        <v>203087</v>
      </c>
      <c r="E21" s="6" t="n">
        <v>104533</v>
      </c>
      <c r="F21" s="6" t="n">
        <v>94646</v>
      </c>
    </row>
    <row r="22">
      <c r="A22" s="6" t="inlineStr">
        <is>
          <t>Increase/(decrease) in other assets</t>
        </is>
      </c>
      <c r="B22" s="6" t="n">
        <v>-271</v>
      </c>
      <c r="C22" s="6" t="n">
        <v>-78</v>
      </c>
      <c r="D22" s="6" t="n">
        <v>-77</v>
      </c>
      <c r="E22" s="6" t="n">
        <v>-248</v>
      </c>
      <c r="F22" s="6" t="n">
        <v>-276</v>
      </c>
    </row>
    <row r="23">
      <c r="A23" s="6" t="inlineStr">
        <is>
          <t>Increase/(decrease) in other liabilities</t>
        </is>
      </c>
      <c r="B23" s="6" t="n">
        <v>368</v>
      </c>
      <c r="C23" s="6" t="n">
        <v>-60</v>
      </c>
      <c r="D23" s="6" t="n">
        <v>-22</v>
      </c>
      <c r="E23" s="6" t="n">
        <v>745</v>
      </c>
      <c r="F23" s="6" t="n">
        <v>492</v>
      </c>
    </row>
    <row r="24">
      <c r="A24" s="5" t="inlineStr">
        <is>
          <t>Net cash (used in)/generated from operating activities</t>
        </is>
      </c>
      <c r="B24" s="5" t="n">
        <v>-82097</v>
      </c>
      <c r="C24" s="5" t="n">
        <v>54706</v>
      </c>
      <c r="D24" s="5" t="n">
        <v>21491</v>
      </c>
      <c r="E24" s="5" t="n">
        <v>70692</v>
      </c>
      <c r="F24" s="5" t="n">
        <v>-2420</v>
      </c>
    </row>
    <row r="25">
      <c r="A25" s="5" t="inlineStr">
        <is>
          <t>Cash flow from investing activities</t>
        </is>
      </c>
      <c r="B25" s="6" t="n"/>
      <c r="C25" s="6" t="n"/>
      <c r="D25" s="6" t="n"/>
      <c r="E25" s="6" t="n"/>
      <c r="F25" s="6" t="n"/>
    </row>
    <row r="26">
      <c r="A26" s="6" t="inlineStr">
        <is>
          <t>Purchase of property, plant and equipment</t>
        </is>
      </c>
      <c r="B26" s="6" t="n">
        <v>-90</v>
      </c>
      <c r="C26" s="6" t="n">
        <v>-7</v>
      </c>
      <c r="D26" s="6" t="n">
        <v>-52</v>
      </c>
      <c r="E26" s="6" t="n">
        <v>-259</v>
      </c>
      <c r="F26" s="6" t="n">
        <v>-53</v>
      </c>
    </row>
    <row r="27">
      <c r="A27" s="6" t="inlineStr">
        <is>
          <t>Disposal of property, plant and equipment</t>
        </is>
      </c>
      <c r="B27" s="6" t="n"/>
      <c r="C27" s="6" t="n"/>
      <c r="D27" s="6" t="n"/>
      <c r="E27" s="6" t="n"/>
      <c r="F27" s="6" t="n">
        <v>1</v>
      </c>
    </row>
    <row r="28">
      <c r="A28" s="6" t="inlineStr">
        <is>
          <t>Distribution/dividend received from CAML</t>
        </is>
      </c>
      <c r="B28" s="6" t="n">
        <v>11</v>
      </c>
      <c r="C28" s="6" t="n">
        <v>60</v>
      </c>
      <c r="D28" s="6" t="n"/>
      <c r="E28" s="6" t="n"/>
      <c r="F28" s="6" t="n"/>
    </row>
    <row r="29">
      <c r="A29" s="6" t="inlineStr">
        <is>
          <t>Surplus funds sent from CAML</t>
        </is>
      </c>
      <c r="B29" s="6" t="n"/>
      <c r="C29" s="6" t="n">
        <v>280</v>
      </c>
      <c r="D29" s="6" t="n">
        <v>800</v>
      </c>
      <c r="E29" s="6" t="n">
        <v>1000</v>
      </c>
      <c r="F29" s="6" t="n"/>
    </row>
    <row r="30">
      <c r="A30" s="6" t="inlineStr">
        <is>
          <t>Loans repaid by group companies</t>
        </is>
      </c>
      <c r="B30" s="6" t="n"/>
      <c r="C30" s="6" t="n"/>
      <c r="D30" s="6" t="n"/>
      <c r="E30" s="6" t="n"/>
      <c r="F30" s="6" t="n">
        <v>5017</v>
      </c>
    </row>
    <row r="31">
      <c r="A31" s="6" t="inlineStr">
        <is>
          <t>Loans advanced to group companies</t>
        </is>
      </c>
      <c r="B31" s="6" t="n"/>
      <c r="C31" s="6" t="n"/>
      <c r="D31" s="6" t="n"/>
      <c r="E31" s="6" t="n"/>
      <c r="F31" s="6" t="n">
        <v>-271</v>
      </c>
    </row>
    <row r="32">
      <c r="A32" s="6" t="inlineStr">
        <is>
          <t>Purchase of intangible assets</t>
        </is>
      </c>
      <c r="B32" s="6" t="n">
        <v>-562</v>
      </c>
      <c r="C32" s="6" t="n">
        <v>-402</v>
      </c>
      <c r="D32" s="6" t="n">
        <v>-1054</v>
      </c>
      <c r="E32" s="6" t="n">
        <v>-571</v>
      </c>
      <c r="F32" s="6" t="n">
        <v>-156</v>
      </c>
    </row>
    <row r="33">
      <c r="A33" s="5" t="inlineStr">
        <is>
          <t>Net cash (used in)/generated from investing activities</t>
        </is>
      </c>
      <c r="B33" s="5" t="n">
        <v>-641</v>
      </c>
      <c r="C33" s="5" t="n">
        <v>-69</v>
      </c>
      <c r="D33" s="5" t="n">
        <v>-306</v>
      </c>
      <c r="E33" s="5" t="n">
        <v>170</v>
      </c>
      <c r="F33" s="5" t="n">
        <v>4538</v>
      </c>
    </row>
    <row r="34">
      <c r="A34" s="5" t="inlineStr">
        <is>
          <t>Cash flow from financing activities</t>
        </is>
      </c>
      <c r="B34" s="6" t="n"/>
      <c r="C34" s="6" t="n"/>
      <c r="D34" s="6" t="n"/>
      <c r="E34" s="6" t="n"/>
      <c r="F34" s="6" t="n"/>
    </row>
    <row r="35">
      <c r="A35" s="6" t="inlineStr">
        <is>
          <t>Interest paid on customer deposits</t>
        </is>
      </c>
      <c r="B35" s="6" t="n"/>
      <c r="C35" s="6" t="n"/>
      <c r="D35" s="6" t="n"/>
      <c r="E35" s="6" t="n"/>
      <c r="F35" s="6" t="n">
        <v>6</v>
      </c>
    </row>
    <row r="36">
      <c r="A36" s="6" t="inlineStr">
        <is>
          <t>Finance lease payments</t>
        </is>
      </c>
      <c r="B36" s="6" t="n">
        <v>-45</v>
      </c>
      <c r="C36" s="6" t="n">
        <v>-198</v>
      </c>
      <c r="D36" s="6" t="n">
        <v>-247</v>
      </c>
      <c r="E36" s="6" t="n">
        <v>-225</v>
      </c>
      <c r="F36" s="6" t="n">
        <v>-66</v>
      </c>
    </row>
    <row r="37">
      <c r="A37" s="6" t="inlineStr">
        <is>
          <t>Gross proceeds from the issue of ordinary shares</t>
        </is>
      </c>
      <c r="B37" s="6" t="n">
        <v>5000</v>
      </c>
      <c r="C37" s="6" t="n">
        <v>20001</v>
      </c>
      <c r="D37" s="6" t="n">
        <v>5000</v>
      </c>
      <c r="E37" s="6" t="n">
        <v>31504</v>
      </c>
      <c r="F37" s="6" t="n">
        <v>22950</v>
      </c>
    </row>
    <row r="38">
      <c r="A38" s="6" t="inlineStr">
        <is>
          <t>Costs of share issue</t>
        </is>
      </c>
      <c r="B38" s="6" t="n"/>
      <c r="C38" s="6" t="n"/>
      <c r="D38" s="6" t="n"/>
      <c r="E38" s="6" t="n">
        <v>-20</v>
      </c>
      <c r="F38" s="6" t="n"/>
    </row>
    <row r="39">
      <c r="A39" s="5" t="inlineStr">
        <is>
          <t>Net cash generated from financing activities</t>
        </is>
      </c>
      <c r="B39" s="5" t="n">
        <v>4955</v>
      </c>
      <c r="C39" s="5" t="n">
        <v>19803</v>
      </c>
      <c r="D39" s="5" t="n">
        <v>4753</v>
      </c>
      <c r="E39" s="5" t="n">
        <v>31259</v>
      </c>
      <c r="F39" s="5" t="n">
        <v>22890</v>
      </c>
    </row>
    <row r="40">
      <c r="A40" s="5" t="inlineStr">
        <is>
          <t>Net (decrease)/increase in cash and cash equivalents</t>
        </is>
      </c>
      <c r="B40" s="5" t="n">
        <v>-77783</v>
      </c>
      <c r="C40" s="5" t="n">
        <v>74440</v>
      </c>
      <c r="D40" s="5" t="n">
        <v>25938</v>
      </c>
      <c r="E40" s="5" t="n">
        <v>102121</v>
      </c>
      <c r="F40" s="5" t="n">
        <v>25008</v>
      </c>
    </row>
    <row r="41">
      <c r="A41" s="6" t="inlineStr">
        <is>
          <t>Cash and cash equivalents brought forward</t>
        </is>
      </c>
      <c r="B41" s="6" t="n">
        <v>238732</v>
      </c>
      <c r="C41" s="6" t="n">
        <v>164292</v>
      </c>
      <c r="D41" s="6" t="n">
        <v>138354</v>
      </c>
      <c r="E41" s="6" t="n">
        <v>36233</v>
      </c>
      <c r="F41" s="6" t="n">
        <v>11225</v>
      </c>
    </row>
    <row r="42">
      <c r="A42" s="5" t="inlineStr">
        <is>
          <t>Cash and cash equivalents at end of year</t>
        </is>
      </c>
      <c r="B42" s="5" t="n">
        <v>160949</v>
      </c>
      <c r="C42" s="5" t="n">
        <v>238732</v>
      </c>
      <c r="D42" s="5" t="n">
        <v>164292</v>
      </c>
      <c r="E42" s="5" t="n">
        <v>138354</v>
      </c>
      <c r="F42" s="5" t="n">
        <v>36233</v>
      </c>
    </row>
    <row r="44" ht="230" customHeight="1">
      <c r="A44"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(CET1)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74617</v>
      </c>
      <c r="C4" s="6" t="n">
        <v>66988</v>
      </c>
      <c r="D4" s="6" t="n">
        <v>52617</v>
      </c>
      <c r="E4" s="6" t="n">
        <v>57482</v>
      </c>
      <c r="F4" s="6" t="n">
        <v>37411</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20.9%</t>
        </is>
      </c>
      <c r="C4" s="6" t="inlineStr">
        <is>
          <t>30.4%</t>
        </is>
      </c>
      <c r="D4" s="6" t="inlineStr">
        <is>
          <t>26.3%</t>
        </is>
      </c>
      <c r="E4" s="6" t="inlineStr">
        <is>
          <t>65.1%</t>
        </is>
      </c>
      <c r="F4" s="6" t="inlineStr">
        <is>
          <t>42.9%</t>
        </is>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exposure amount</t>
        </is>
      </c>
      <c r="B4" s="6" t="n">
        <v>356376</v>
      </c>
      <c r="C4" s="6" t="n">
        <v>220421</v>
      </c>
      <c r="D4" s="6" t="n">
        <v>200213</v>
      </c>
      <c r="E4" s="6" t="n">
        <v>88249</v>
      </c>
      <c r="F4" s="6" t="n">
        <v>87216</v>
      </c>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exposure measure excluding claims on central banks</t>
        </is>
      </c>
      <c r="B4" s="6" t="n">
        <v>509006</v>
      </c>
      <c r="C4" s="6" t="n">
        <v>329206</v>
      </c>
      <c r="D4" s="6" t="n">
        <v>316246</v>
      </c>
      <c r="E4" s="6" t="n">
        <v>134402</v>
      </c>
      <c r="F4" s="6" t="n">
        <v>109158</v>
      </c>
    </row>
    <row r="5">
      <c r="A5" s="6" t="inlineStr">
        <is>
          <t>Leverage ratio excluding claims on central banks</t>
        </is>
      </c>
      <c r="B5" s="6" t="inlineStr">
        <is>
          <t>14.7%</t>
        </is>
      </c>
      <c r="C5" s="6" t="inlineStr">
        <is>
          <t>20.3%</t>
        </is>
      </c>
      <c r="D5" s="6" t="inlineStr">
        <is>
          <t>16.6%</t>
        </is>
      </c>
      <c r="E5" s="6" t="inlineStr">
        <is>
          <t>42.8%</t>
        </is>
      </c>
      <c r="F5" s="6" t="inlineStr">
        <is>
          <t>34.3%</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 weighted value - average</t>
        </is>
      </c>
      <c r="B4" s="6" t="n">
        <v>220955</v>
      </c>
      <c r="C4" s="6" t="n">
        <v>212180</v>
      </c>
      <c r="D4" s="6" t="n">
        <v>149255</v>
      </c>
      <c r="E4" s="6" t="n">
        <v>71930</v>
      </c>
      <c r="F4" s="6" t="n">
        <v>20648</v>
      </c>
    </row>
    <row r="5">
      <c r="A5" s="6" t="inlineStr">
        <is>
          <t>Cash outflows - total weighted value</t>
        </is>
      </c>
      <c r="B5" s="6" t="n">
        <v>82309</v>
      </c>
      <c r="C5" s="6" t="n">
        <v>44148</v>
      </c>
      <c r="D5" s="6" t="n">
        <v>39271</v>
      </c>
      <c r="E5" s="6" t="n">
        <v>18358</v>
      </c>
      <c r="F5" s="6" t="n">
        <v>13379</v>
      </c>
    </row>
    <row r="6">
      <c r="A6" s="6" t="inlineStr">
        <is>
          <t>Cash inflows - total weighted value</t>
        </is>
      </c>
      <c r="B6" s="6" t="n">
        <v>8630</v>
      </c>
      <c r="C6" s="6" t="n">
        <v>5456</v>
      </c>
      <c r="D6" s="6" t="n">
        <v>10380</v>
      </c>
      <c r="E6" s="6" t="n">
        <v>9363</v>
      </c>
      <c r="F6" s="6" t="n">
        <v>8079</v>
      </c>
    </row>
    <row r="7">
      <c r="A7" s="6" t="inlineStr">
        <is>
          <t>Total net cash outflows (adjusted value)</t>
        </is>
      </c>
      <c r="B7" s="6" t="n">
        <v>73679</v>
      </c>
      <c r="C7" s="6" t="n">
        <v>38692</v>
      </c>
      <c r="D7" s="6" t="n">
        <v>28891</v>
      </c>
      <c r="E7" s="6" t="n">
        <v>8996</v>
      </c>
      <c r="F7" s="6" t="n">
        <v>5300</v>
      </c>
    </row>
    <row r="8">
      <c r="A8" s="6" t="inlineStr">
        <is>
          <t>Liquidity coverage ratio</t>
        </is>
      </c>
      <c r="B8" s="6" t="inlineStr">
        <is>
          <t>299.9%</t>
        </is>
      </c>
      <c r="C8" s="6" t="inlineStr">
        <is>
          <t>548.4%</t>
        </is>
      </c>
      <c r="D8" s="6" t="inlineStr">
        <is>
          <t>516.6%</t>
        </is>
      </c>
      <c r="E8" s="6" t="inlineStr">
        <is>
          <t>799.6%</t>
        </is>
      </c>
      <c r="F8" s="6" t="inlineStr">
        <is>
          <t>389.6%</t>
        </is>
      </c>
    </row>
    <row r="10" ht="130" customHeight="1">
      <c r="A10"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10:F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520393</v>
      </c>
      <c r="C4" s="6" t="n">
        <v>480437</v>
      </c>
      <c r="D4" s="6" t="n">
        <v>440424</v>
      </c>
      <c r="E4" s="6" t="n">
        <v>247010</v>
      </c>
      <c r="F4" s="6" t="n">
        <v>128630</v>
      </c>
    </row>
    <row r="5">
      <c r="A5" s="6" t="inlineStr">
        <is>
          <t>Total required stable funding</t>
        </is>
      </c>
      <c r="B5" s="6" t="n">
        <v>295089</v>
      </c>
      <c r="C5" s="6" t="n">
        <v>211608</v>
      </c>
      <c r="D5" s="6" t="n">
        <v>213351</v>
      </c>
      <c r="E5" s="6" t="n">
        <v>93289</v>
      </c>
      <c r="F5" s="6" t="n">
        <v>78103</v>
      </c>
    </row>
    <row r="6">
      <c r="A6" s="6" t="inlineStr">
        <is>
          <t>NSFR ratio</t>
        </is>
      </c>
      <c r="B6" s="6" t="inlineStr">
        <is>
          <t>176.4%</t>
        </is>
      </c>
      <c r="C6" s="6" t="inlineStr">
        <is>
          <t>227.0%</t>
        </is>
      </c>
      <c r="D6" s="6" t="inlineStr">
        <is>
          <t>206.4%</t>
        </is>
      </c>
      <c r="E6" s="6" t="inlineStr">
        <is>
          <t>264.8%</t>
        </is>
      </c>
      <c r="F6" s="6" t="inlineStr">
        <is>
          <t>164.7%</t>
        </is>
      </c>
    </row>
    <row r="8" ht="13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1">
    <mergeCell ref="A8:F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located in the official Recognise Bank annual reports or Pillar 3 disclosures reviewed.</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requested year-ends on a bank/entity basis.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2026-08-28T21:51:27Z</dcterms:created>
  <dcterms:modified xsi:type="dcterms:W3CDTF">2026-08-28T21:51:27Z</dcterms:modified>
</cp:coreProperties>
</file>