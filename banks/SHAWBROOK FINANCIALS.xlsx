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D6" t="n">
        <v>12</v>
      </c>
      <c r="CE6" t="n">
        <v>12.6</v>
      </c>
      <c r="CF6" t="n">
        <v>12.6</v>
      </c>
      <c r="CG6" t="n">
        <v>12.7</v>
      </c>
      <c r="CH6" t="n">
        <v>12.9</v>
      </c>
      <c r="CI6" t="n">
        <v>13</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D7" t="n">
        <v>14.5</v>
      </c>
      <c r="CE7" t="n">
        <v>15</v>
      </c>
      <c r="CF7" t="n">
        <v>14.7</v>
      </c>
      <c r="CG7" t="n">
        <v>14.6</v>
      </c>
      <c r="CH7" t="n">
        <v>14.3</v>
      </c>
      <c r="CI7" t="n">
        <v>14.3</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D8" t="n">
        <v>16.4</v>
      </c>
      <c r="CE8" t="n">
        <v>16.8</v>
      </c>
      <c r="CF8" t="n">
        <v>16.2</v>
      </c>
      <c r="CG8" t="n">
        <v>15.9</v>
      </c>
      <c r="CH8" t="n">
        <v>16.4</v>
      </c>
      <c r="CI8" t="n">
        <v>15.9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row>
    <row r="10">
      <c r="BX10" t="inlineStr">
        <is>
          <t>LCR</t>
        </is>
      </c>
      <c r="CG10" t="n">
        <v>290.3</v>
      </c>
      <c r="CH10" t="n">
        <v>310.9</v>
      </c>
      <c r="CI10" t="n">
        <v>265</v>
      </c>
    </row>
    <row r="11">
      <c r="A11" s="3" t="inlineStr">
        <is>
          <t>Profit &amp; Loss Summary (£m)</t>
        </is>
      </c>
      <c r="BX11" t="inlineStr">
        <is>
          <t>NSFR</t>
        </is>
      </c>
      <c r="CH11" t="n">
        <v>145.8</v>
      </c>
      <c r="CI11" t="n">
        <v>134.5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n"/>
      <c r="C33" s="6" t="inlineStr">
        <is>
          <t>13.0%</t>
        </is>
      </c>
      <c r="D33" s="6" t="inlineStr">
        <is>
          <t>12.9%</t>
        </is>
      </c>
      <c r="E33" s="6" t="inlineStr">
        <is>
          <t>12.7%</t>
        </is>
      </c>
      <c r="F33" s="6" t="inlineStr">
        <is>
          <t>12.6%</t>
        </is>
      </c>
      <c r="G33" s="6" t="inlineStr">
        <is>
          <t>12.6%</t>
        </is>
      </c>
      <c r="H33" s="6" t="inlineStr">
        <is>
          <t>12.0%</t>
        </is>
      </c>
      <c r="I33" s="6" t="n"/>
      <c r="J33" s="6" t="n"/>
      <c r="K33" s="6" t="n"/>
      <c r="L33" s="6" t="inlineStr">
        <is>
          <t>14.2%</t>
        </is>
      </c>
      <c r="M33" s="6" t="inlineStr">
        <is>
          <t>11.5%</t>
        </is>
      </c>
    </row>
    <row r="34">
      <c r="A34" s="6" t="inlineStr">
        <is>
          <t>Tier 1 Ratio</t>
        </is>
      </c>
      <c r="B34" s="6" t="n"/>
      <c r="C34" s="6" t="inlineStr">
        <is>
          <t>14.3%</t>
        </is>
      </c>
      <c r="D34" s="6" t="inlineStr">
        <is>
          <t>14.3%</t>
        </is>
      </c>
      <c r="E34" s="6" t="inlineStr">
        <is>
          <t>14.6%</t>
        </is>
      </c>
      <c r="F34" s="6" t="inlineStr">
        <is>
          <t>14.7%</t>
        </is>
      </c>
      <c r="G34" s="6" t="inlineStr">
        <is>
          <t>15.0%</t>
        </is>
      </c>
      <c r="H34" s="6" t="inlineStr">
        <is>
          <t>14.5%</t>
        </is>
      </c>
      <c r="I34" s="6" t="n"/>
      <c r="J34" s="6" t="n"/>
      <c r="K34" s="6" t="n"/>
      <c r="L34" s="6" t="inlineStr">
        <is>
          <t>14.2%</t>
        </is>
      </c>
      <c r="M34" s="6" t="inlineStr">
        <is>
          <t>11.5%</t>
        </is>
      </c>
    </row>
    <row r="35">
      <c r="A35" s="6" t="inlineStr">
        <is>
          <t>Total Capital Ratio</t>
        </is>
      </c>
      <c r="B35" s="6" t="n"/>
      <c r="C35" s="6" t="inlineStr">
        <is>
          <t>15.9%</t>
        </is>
      </c>
      <c r="D35" s="6" t="inlineStr">
        <is>
          <t>16.4%</t>
        </is>
      </c>
      <c r="E35" s="6" t="inlineStr">
        <is>
          <t>15.9%</t>
        </is>
      </c>
      <c r="F35" s="6" t="inlineStr">
        <is>
          <t>16.2%</t>
        </is>
      </c>
      <c r="G35" s="6" t="inlineStr">
        <is>
          <t>16.8%</t>
        </is>
      </c>
      <c r="H35" s="6" t="inlineStr">
        <is>
          <t>16.4%</t>
        </is>
      </c>
      <c r="I35" s="6" t="n"/>
      <c r="J35" s="6" t="n"/>
      <c r="K35" s="6" t="n"/>
      <c r="L35" s="6" t="inlineStr">
        <is>
          <t>17.9%</t>
        </is>
      </c>
      <c r="M35" s="6" t="inlineStr">
        <is>
          <t>13.8%</t>
        </is>
      </c>
    </row>
    <row r="36">
      <c r="A36" s="6" t="inlineStr">
        <is>
          <t>Leverage Ratio</t>
        </is>
      </c>
      <c r="B36" s="6" t="n"/>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n"/>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Balance Sheet</t>
        </is>
      </c>
    </row>
    <row r="2">
      <c r="A2" s="2" t="inlineStr">
        <is>
          <t>Company/entity basis, £m; FY2014-FY2025 calendar year-ends.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row>
    <row r="9">
      <c r="A9" s="6" t="inlineStr">
        <is>
          <t>Derivative financial assets</t>
        </is>
      </c>
      <c r="B9" s="6" t="n">
        <v>64.09999999999999</v>
      </c>
      <c r="C9" s="6" t="n">
        <v>151.8</v>
      </c>
      <c r="D9" s="6" t="n">
        <v>182.1</v>
      </c>
      <c r="E9" s="6" t="n">
        <v>271.6</v>
      </c>
      <c r="F9" s="6" t="n">
        <v>21.5</v>
      </c>
      <c r="G9" s="6" t="n">
        <v>0.6</v>
      </c>
      <c r="H9" s="6" t="n">
        <v>3.1</v>
      </c>
      <c r="I9" s="6" t="n">
        <v>1.6</v>
      </c>
      <c r="J9" s="6" t="n">
        <v>1.8</v>
      </c>
      <c r="K9" s="6" t="n">
        <v>5.2</v>
      </c>
      <c r="L9" s="6" t="n">
        <v>2.8</v>
      </c>
      <c r="M9" s="6" t="n">
        <v>3.7</v>
      </c>
    </row>
    <row r="10">
      <c r="A10" s="6" t="inlineStr">
        <is>
          <t>Current tax receivable</t>
        </is>
      </c>
      <c r="B10" s="6" t="n">
        <v>12.3</v>
      </c>
      <c r="C10" s="6" t="n">
        <v>17.9</v>
      </c>
      <c r="D10" s="6" t="n"/>
      <c r="E10" s="6" t="n"/>
      <c r="F10" s="6" t="n">
        <v>4.2</v>
      </c>
      <c r="G10" s="6" t="n">
        <v>3</v>
      </c>
      <c r="H10" s="6" t="n"/>
      <c r="I10" s="6" t="n"/>
      <c r="J10" s="6" t="n"/>
      <c r="K10" s="6" t="n"/>
      <c r="L10" s="6" t="n"/>
      <c r="M10" s="6" t="n"/>
    </row>
    <row r="11">
      <c r="A11" s="6" t="inlineStr">
        <is>
          <t>Property, plant and equipment</t>
        </is>
      </c>
      <c r="B11" s="6" t="n">
        <v>54</v>
      </c>
      <c r="C11" s="6" t="n">
        <v>64.3</v>
      </c>
      <c r="D11" s="6" t="n">
        <v>38.9</v>
      </c>
      <c r="E11" s="6" t="n">
        <v>47.8</v>
      </c>
      <c r="F11" s="6" t="n">
        <v>47.8</v>
      </c>
      <c r="G11" s="6" t="n">
        <v>53.6</v>
      </c>
      <c r="H11" s="6" t="n">
        <v>57.2</v>
      </c>
      <c r="I11" s="6" t="n">
        <v>38.1</v>
      </c>
      <c r="J11" s="6" t="n">
        <v>39.2</v>
      </c>
      <c r="K11" s="6" t="n">
        <v>42.6</v>
      </c>
      <c r="L11" s="6" t="n">
        <v>48.2</v>
      </c>
      <c r="M11" s="6" t="n">
        <v>49</v>
      </c>
    </row>
    <row r="12">
      <c r="A12" s="6" t="inlineStr">
        <is>
          <t>Intangible assets</t>
        </is>
      </c>
      <c r="B12" s="6" t="n">
        <v>60.9</v>
      </c>
      <c r="C12" s="6" t="n">
        <v>56.2</v>
      </c>
      <c r="D12" s="6" t="n">
        <v>51.6</v>
      </c>
      <c r="E12" s="6" t="n">
        <v>45.6</v>
      </c>
      <c r="F12" s="6" t="n">
        <v>44.3</v>
      </c>
      <c r="G12" s="6" t="n">
        <v>45.1</v>
      </c>
      <c r="H12" s="6" t="n">
        <v>46.6</v>
      </c>
      <c r="I12" s="6" t="n">
        <v>46.4</v>
      </c>
      <c r="J12" s="6" t="n">
        <v>44.6</v>
      </c>
      <c r="K12" s="6" t="n">
        <v>38.8</v>
      </c>
      <c r="L12" s="6" t="n">
        <v>33.6</v>
      </c>
      <c r="M12" s="6" t="n">
        <v>28.4</v>
      </c>
    </row>
    <row r="13">
      <c r="A13" s="6" t="inlineStr">
        <is>
          <t>Deferred tax assets</t>
        </is>
      </c>
      <c r="B13" s="6" t="n"/>
      <c r="C13" s="6" t="n"/>
      <c r="D13" s="6" t="n">
        <v>5.4</v>
      </c>
      <c r="E13" s="6" t="n">
        <v>11.3</v>
      </c>
      <c r="F13" s="6" t="n">
        <v>9.199999999999999</v>
      </c>
      <c r="G13" s="6" t="n">
        <v>12.3</v>
      </c>
      <c r="H13" s="6" t="n">
        <v>14.9</v>
      </c>
      <c r="I13" s="6" t="n">
        <v>18</v>
      </c>
      <c r="J13" s="6" t="n">
        <v>15.7</v>
      </c>
      <c r="K13" s="6" t="n">
        <v>17.9</v>
      </c>
      <c r="L13" s="6" t="n">
        <v>14.2</v>
      </c>
      <c r="M13" s="6" t="n">
        <v>10</v>
      </c>
    </row>
    <row r="14">
      <c r="A14" s="6" t="inlineStr">
        <is>
          <t>Assets held for sale</t>
        </is>
      </c>
      <c r="B14" s="6" t="n"/>
      <c r="C14" s="6" t="n"/>
      <c r="D14" s="6" t="n"/>
      <c r="E14" s="6" t="n"/>
      <c r="F14" s="6" t="n">
        <v>299.7</v>
      </c>
      <c r="G14" s="6" t="n">
        <v>2.3</v>
      </c>
      <c r="H14" s="6" t="n">
        <v>104.1</v>
      </c>
      <c r="I14" s="6" t="n"/>
      <c r="J14" s="6" t="n"/>
      <c r="K14" s="6" t="n"/>
      <c r="L14" s="6" t="n"/>
      <c r="M14" s="6" t="n"/>
    </row>
    <row r="15">
      <c r="A15" s="6" t="inlineStr">
        <is>
          <t>Other assets</t>
        </is>
      </c>
      <c r="B15" s="6" t="n">
        <v>55.6</v>
      </c>
      <c r="C15" s="6" t="n">
        <v>55</v>
      </c>
      <c r="D15" s="6" t="n">
        <v>50.4</v>
      </c>
      <c r="E15" s="6" t="n">
        <v>35.5</v>
      </c>
      <c r="F15" s="6" t="n">
        <v>17.5</v>
      </c>
      <c r="G15" s="6" t="n">
        <v>20.1</v>
      </c>
      <c r="H15" s="6" t="n">
        <v>16.2</v>
      </c>
      <c r="I15" s="6" t="n">
        <v>55.1</v>
      </c>
      <c r="J15" s="6" t="n">
        <v>19.8</v>
      </c>
      <c r="K15" s="6" t="n">
        <v>16.1</v>
      </c>
      <c r="L15" s="6" t="n">
        <v>7.4</v>
      </c>
      <c r="M15" s="6" t="n">
        <v>6.8</v>
      </c>
    </row>
    <row r="16">
      <c r="A16" s="6" t="inlineStr">
        <is>
          <t>Deemed loan due from structured entities</t>
        </is>
      </c>
      <c r="B16" s="6" t="n">
        <v>52.8</v>
      </c>
      <c r="C16" s="6" t="n">
        <v>131</v>
      </c>
      <c r="D16" s="6" t="n">
        <v>214.1</v>
      </c>
      <c r="E16" s="6" t="n">
        <v>93.40000000000001</v>
      </c>
      <c r="F16" s="6" t="n"/>
      <c r="G16" s="6" t="n"/>
      <c r="H16" s="6" t="n"/>
      <c r="I16" s="6" t="n"/>
      <c r="J16" s="6" t="n"/>
      <c r="K16" s="6" t="n"/>
      <c r="L16" s="6" t="n"/>
      <c r="M16" s="6" t="n"/>
    </row>
    <row r="17">
      <c r="A17" s="6" t="inlineStr">
        <is>
          <t>Investment in subsidiaries</t>
        </is>
      </c>
      <c r="B17" s="6" t="n">
        <v>145.4</v>
      </c>
      <c r="C17" s="6" t="n">
        <v>80.59999999999999</v>
      </c>
      <c r="D17" s="6" t="n">
        <v>58.6</v>
      </c>
      <c r="E17" s="6" t="n">
        <v>13.9</v>
      </c>
      <c r="F17" s="6" t="n">
        <v>13.9</v>
      </c>
      <c r="G17" s="6" t="n"/>
      <c r="H17" s="6" t="n"/>
      <c r="I17" s="6" t="n"/>
      <c r="J17" s="6" t="n"/>
      <c r="K17" s="6" t="n"/>
      <c r="L17" s="6" t="n"/>
      <c r="M17" s="6" t="n"/>
    </row>
    <row r="18">
      <c r="A18" s="6" t="inlineStr">
        <is>
          <t>Investment in associates</t>
        </is>
      </c>
      <c r="B18" s="6" t="n"/>
      <c r="C18" s="6" t="n"/>
      <c r="D18" s="6" t="n"/>
      <c r="E18" s="6" t="n"/>
      <c r="F18" s="6" t="n"/>
      <c r="G18" s="6" t="n">
        <v>2.8</v>
      </c>
      <c r="H18" s="6" t="n">
        <v>5.4</v>
      </c>
      <c r="I18" s="6" t="n">
        <v>5.5</v>
      </c>
      <c r="J18" s="6" t="n"/>
      <c r="K18" s="6" t="n"/>
      <c r="L18" s="6" t="n"/>
      <c r="M18" s="6" t="n"/>
    </row>
    <row r="19">
      <c r="A19" s="5" t="inlineStr">
        <is>
          <t>Total assets</t>
        </is>
      </c>
      <c r="B19" s="5" t="n">
        <v>22535.7</v>
      </c>
      <c r="C19" s="5" t="n">
        <v>19629</v>
      </c>
      <c r="D19" s="5" t="n">
        <v>17100.9</v>
      </c>
      <c r="E19" s="5" t="n">
        <v>13945.7</v>
      </c>
      <c r="F19" s="5" t="n">
        <v>11094.6</v>
      </c>
      <c r="G19" s="5" t="n">
        <v>8980.6</v>
      </c>
      <c r="H19" s="5" t="n">
        <v>8248</v>
      </c>
      <c r="I19" s="5" t="n">
        <v>6805.6</v>
      </c>
      <c r="J19" s="5" t="n">
        <v>5701.4</v>
      </c>
      <c r="K19" s="5" t="n">
        <v>4625</v>
      </c>
      <c r="L19" s="5" t="n">
        <v>3978.1</v>
      </c>
      <c r="M19" s="5" t="n">
        <v>2732.1</v>
      </c>
    </row>
    <row r="20">
      <c r="A20" s="5" t="inlineStr">
        <is>
          <t>Liabilities</t>
        </is>
      </c>
      <c r="B20" s="6" t="n"/>
      <c r="C20" s="6" t="n"/>
      <c r="D20" s="6" t="n"/>
      <c r="E20" s="6" t="n"/>
      <c r="F20" s="6" t="n"/>
      <c r="G20" s="6" t="n"/>
      <c r="H20" s="6" t="n"/>
      <c r="I20" s="6" t="n"/>
      <c r="J20" s="6" t="n"/>
      <c r="K20" s="6" t="n"/>
      <c r="L20" s="6" t="n"/>
      <c r="M20" s="6" t="n"/>
    </row>
    <row r="21">
      <c r="A21" s="6" t="inlineStr">
        <is>
          <t>Amounts due to banks</t>
        </is>
      </c>
      <c r="B21" s="6" t="n">
        <v>1430.6</v>
      </c>
      <c r="C21" s="6" t="n">
        <v>1372.1</v>
      </c>
      <c r="D21" s="6" t="n">
        <v>1397.6</v>
      </c>
      <c r="E21" s="6" t="n">
        <v>1498.7</v>
      </c>
      <c r="F21" s="6" t="n">
        <v>1200.7</v>
      </c>
      <c r="G21" s="6" t="n">
        <v>815.5</v>
      </c>
      <c r="H21" s="6" t="n">
        <v>881.6</v>
      </c>
      <c r="I21" s="6" t="n">
        <v>1029.4</v>
      </c>
      <c r="J21" s="6" t="n">
        <v>607.3</v>
      </c>
      <c r="K21" s="6" t="n">
        <v>147.7</v>
      </c>
      <c r="L21" s="6" t="n">
        <v>39.9</v>
      </c>
      <c r="M21" s="6" t="n">
        <v>41</v>
      </c>
    </row>
    <row r="22">
      <c r="A22" s="6" t="inlineStr">
        <is>
          <t>Customer deposits</t>
        </is>
      </c>
      <c r="B22" s="6" t="n">
        <v>18353.5</v>
      </c>
      <c r="C22" s="6" t="n">
        <v>15804</v>
      </c>
      <c r="D22" s="6" t="n">
        <v>13562.7</v>
      </c>
      <c r="E22" s="6" t="n">
        <v>10914.5</v>
      </c>
      <c r="F22" s="6" t="n">
        <v>8358.6</v>
      </c>
      <c r="G22" s="6" t="n">
        <v>6894.1</v>
      </c>
      <c r="H22" s="6" t="n">
        <v>6109.4</v>
      </c>
      <c r="I22" s="6" t="n">
        <v>4977.9</v>
      </c>
      <c r="J22" s="6" t="n">
        <v>4376.2</v>
      </c>
      <c r="K22" s="6" t="n">
        <v>3943.5</v>
      </c>
      <c r="L22" s="6" t="n">
        <v>3186.4</v>
      </c>
      <c r="M22" s="6" t="n">
        <v>2421</v>
      </c>
    </row>
    <row r="23">
      <c r="A23" s="6" t="inlineStr">
        <is>
          <t>Provisions</t>
        </is>
      </c>
      <c r="B23" s="6" t="n">
        <v>8.300000000000001</v>
      </c>
      <c r="C23" s="6" t="n">
        <v>11.5</v>
      </c>
      <c r="D23" s="6" t="n">
        <v>15.9</v>
      </c>
      <c r="E23" s="6" t="n">
        <v>6</v>
      </c>
      <c r="F23" s="6" t="n">
        <v>14.2</v>
      </c>
      <c r="G23" s="6" t="n">
        <v>18</v>
      </c>
      <c r="H23" s="6" t="n">
        <v>8.300000000000001</v>
      </c>
      <c r="I23" s="6" t="n">
        <v>11.6</v>
      </c>
      <c r="J23" s="6" t="n">
        <v>2.8</v>
      </c>
      <c r="K23" s="6" t="n">
        <v>1.3</v>
      </c>
      <c r="L23" s="6" t="n">
        <v>0.9</v>
      </c>
      <c r="M23" s="6" t="n">
        <v>0.6</v>
      </c>
    </row>
    <row r="24">
      <c r="A24" s="6" t="inlineStr">
        <is>
          <t>Derivative financial liabilities</t>
        </is>
      </c>
      <c r="B24" s="6" t="n">
        <v>93.2</v>
      </c>
      <c r="C24" s="6" t="n">
        <v>117.1</v>
      </c>
      <c r="D24" s="6" t="n">
        <v>184.5</v>
      </c>
      <c r="E24" s="6" t="n">
        <v>90.5</v>
      </c>
      <c r="F24" s="6" t="n">
        <v>7.9</v>
      </c>
      <c r="G24" s="6" t="n">
        <v>42</v>
      </c>
      <c r="H24" s="6" t="n">
        <v>14.9</v>
      </c>
      <c r="I24" s="6" t="n">
        <v>5.7</v>
      </c>
      <c r="J24" s="6" t="n">
        <v>3.4</v>
      </c>
      <c r="K24" s="6" t="n">
        <v>0.4</v>
      </c>
      <c r="L24" s="6" t="n"/>
      <c r="M24" s="6" t="n"/>
    </row>
    <row r="25">
      <c r="A25" s="6" t="inlineStr">
        <is>
          <t>Current tax liabilities</t>
        </is>
      </c>
      <c r="B25" s="6" t="n"/>
      <c r="C25" s="6" t="n"/>
      <c r="D25" s="6" t="n">
        <v>0.2</v>
      </c>
      <c r="E25" s="6" t="n">
        <v>3.6</v>
      </c>
      <c r="F25" s="6" t="n"/>
      <c r="G25" s="6" t="n"/>
      <c r="H25" s="6" t="n">
        <v>1</v>
      </c>
      <c r="I25" s="6" t="n">
        <v>3.9</v>
      </c>
      <c r="J25" s="6" t="n">
        <v>7.8</v>
      </c>
      <c r="K25" s="6" t="n">
        <v>14.2</v>
      </c>
      <c r="L25" s="6" t="n">
        <v>7.5</v>
      </c>
      <c r="M25" s="6" t="n"/>
    </row>
    <row r="26">
      <c r="A26" s="6" t="inlineStr">
        <is>
          <t>Lease liabilities</t>
        </is>
      </c>
      <c r="B26" s="6" t="n">
        <v>24.4</v>
      </c>
      <c r="C26" s="6" t="n">
        <v>25</v>
      </c>
      <c r="D26" s="6" t="n">
        <v>5.2</v>
      </c>
      <c r="E26" s="6" t="n">
        <v>7.1</v>
      </c>
      <c r="F26" s="6" t="n">
        <v>9.4</v>
      </c>
      <c r="G26" s="6" t="n">
        <v>11.1</v>
      </c>
      <c r="H26" s="6" t="n">
        <v>12.4</v>
      </c>
      <c r="I26" s="6" t="n"/>
      <c r="J26" s="6" t="n"/>
      <c r="K26" s="6" t="n"/>
      <c r="L26" s="6" t="n"/>
      <c r="M26" s="6" t="n"/>
    </row>
    <row r="27">
      <c r="A27" s="6" t="inlineStr">
        <is>
          <t>Deferred tax liabilities</t>
        </is>
      </c>
      <c r="B27" s="6" t="n">
        <v>14.5</v>
      </c>
      <c r="C27" s="6" t="n">
        <v>7.1</v>
      </c>
      <c r="D27" s="6" t="n"/>
      <c r="E27" s="6" t="n"/>
      <c r="F27" s="6" t="n"/>
      <c r="G27" s="6" t="n"/>
      <c r="H27" s="6" t="n"/>
      <c r="I27" s="6" t="n"/>
      <c r="J27" s="6" t="n"/>
      <c r="K27" s="6" t="n"/>
      <c r="L27" s="6" t="n"/>
      <c r="M27" s="6" t="n"/>
    </row>
    <row r="28">
      <c r="A28" s="6" t="inlineStr">
        <is>
          <t>Other liabilities</t>
        </is>
      </c>
      <c r="B28" s="6" t="n">
        <v>188.3</v>
      </c>
      <c r="C28" s="6" t="n">
        <v>122.4</v>
      </c>
      <c r="D28" s="6" t="n">
        <v>85.40000000000001</v>
      </c>
      <c r="E28" s="6" t="n">
        <v>58.5</v>
      </c>
      <c r="F28" s="6" t="n">
        <v>60.7</v>
      </c>
      <c r="G28" s="6" t="n">
        <v>41.1</v>
      </c>
      <c r="H28" s="6" t="n">
        <v>93.90000000000001</v>
      </c>
      <c r="I28" s="6" t="n">
        <v>40.7</v>
      </c>
      <c r="J28" s="6" t="n">
        <v>26.8</v>
      </c>
      <c r="K28" s="6" t="n">
        <v>28.7</v>
      </c>
      <c r="L28" s="6" t="n">
        <v>333.7</v>
      </c>
      <c r="M28" s="6" t="n">
        <v>41.9</v>
      </c>
    </row>
    <row r="29">
      <c r="A29" s="6" t="inlineStr">
        <is>
          <t>Subordinated debt liability</t>
        </is>
      </c>
      <c r="B29" s="6" t="n">
        <v>171.5</v>
      </c>
      <c r="C29" s="6" t="n">
        <v>171.2</v>
      </c>
      <c r="D29" s="6" t="n">
        <v>188.8</v>
      </c>
      <c r="E29" s="6" t="n">
        <v>97.40000000000001</v>
      </c>
      <c r="F29" s="6" t="n">
        <v>97.5</v>
      </c>
      <c r="G29" s="6" t="n">
        <v>97.7</v>
      </c>
      <c r="H29" s="6" t="n">
        <v>96.40000000000001</v>
      </c>
      <c r="I29" s="6" t="n">
        <v>76.09999999999999</v>
      </c>
      <c r="J29" s="6" t="n">
        <v>76.09999999999999</v>
      </c>
      <c r="K29" s="6" t="n">
        <v>76.09999999999999</v>
      </c>
      <c r="L29" s="6" t="n">
        <v>75</v>
      </c>
      <c r="M29" s="6" t="n">
        <v>30.8</v>
      </c>
    </row>
    <row r="30">
      <c r="A30" s="6" t="inlineStr">
        <is>
          <t>Deemed loan due to structured entities</t>
        </is>
      </c>
      <c r="B30" s="6" t="n">
        <v>375.7</v>
      </c>
      <c r="C30" s="6" t="n">
        <v>388.5</v>
      </c>
      <c r="D30" s="6" t="n">
        <v>269.2</v>
      </c>
      <c r="E30" s="6" t="n">
        <v>133</v>
      </c>
      <c r="F30" s="6" t="n">
        <v>402.8</v>
      </c>
      <c r="G30" s="6" t="n">
        <v>268.2</v>
      </c>
      <c r="H30" s="6" t="n">
        <v>286.2</v>
      </c>
      <c r="I30" s="6" t="n"/>
      <c r="J30" s="6" t="n"/>
      <c r="K30" s="6" t="n"/>
      <c r="L30" s="6" t="n"/>
      <c r="M30" s="6" t="n"/>
    </row>
    <row r="31">
      <c r="A31" s="5" t="inlineStr">
        <is>
          <t>Total liabilities</t>
        </is>
      </c>
      <c r="B31" s="5" t="n">
        <v>20660</v>
      </c>
      <c r="C31" s="5" t="n">
        <v>18018.9</v>
      </c>
      <c r="D31" s="5" t="n">
        <v>15709.5</v>
      </c>
      <c r="E31" s="5" t="n">
        <v>12809.3</v>
      </c>
      <c r="F31" s="5" t="n">
        <v>10151.8</v>
      </c>
      <c r="G31" s="5" t="n">
        <v>8187.7</v>
      </c>
      <c r="H31" s="5" t="n">
        <v>7504.1</v>
      </c>
      <c r="I31" s="5" t="n">
        <v>6145.3</v>
      </c>
      <c r="J31" s="5" t="n">
        <v>5100.4</v>
      </c>
      <c r="K31" s="5" t="n">
        <v>4211.9</v>
      </c>
      <c r="L31" s="5" t="n">
        <v>3635.9</v>
      </c>
      <c r="M31" s="5" t="n">
        <v>2535.3</v>
      </c>
    </row>
    <row r="32">
      <c r="A32" s="5" t="inlineStr">
        <is>
          <t>Equity</t>
        </is>
      </c>
      <c r="B32" s="6" t="n"/>
      <c r="C32" s="6" t="n"/>
      <c r="D32" s="6" t="n"/>
      <c r="E32" s="6" t="n"/>
      <c r="F32" s="6" t="n"/>
      <c r="G32" s="6" t="n"/>
      <c r="H32" s="6" t="n"/>
      <c r="I32" s="6" t="n"/>
      <c r="J32" s="6" t="n"/>
      <c r="K32" s="6" t="n"/>
      <c r="L32" s="6" t="n"/>
      <c r="M32" s="6" t="n"/>
    </row>
    <row r="33">
      <c r="A33" s="6" t="inlineStr">
        <is>
          <t>Share capital</t>
        </is>
      </c>
      <c r="B33" s="6" t="n">
        <v>225.5</v>
      </c>
      <c r="C33" s="6" t="n">
        <v>175.5</v>
      </c>
      <c r="D33" s="6" t="n">
        <v>175.5</v>
      </c>
      <c r="E33" s="6" t="n">
        <v>175.5</v>
      </c>
      <c r="F33" s="6" t="n">
        <v>175.5</v>
      </c>
      <c r="G33" s="6" t="n">
        <v>175.5</v>
      </c>
      <c r="H33" s="6" t="n">
        <v>175.5</v>
      </c>
      <c r="I33" s="6" t="n">
        <v>175.5</v>
      </c>
      <c r="J33" s="6" t="n">
        <v>175.5</v>
      </c>
      <c r="K33" s="6" t="n">
        <v>175.5</v>
      </c>
      <c r="L33" s="6" t="n">
        <v>175.5</v>
      </c>
      <c r="M33" s="6" t="n">
        <v>174.5</v>
      </c>
    </row>
    <row r="34">
      <c r="A34" s="6" t="inlineStr">
        <is>
          <t>Share premium account</t>
        </is>
      </c>
      <c r="B34" s="6" t="n">
        <v>81</v>
      </c>
      <c r="C34" s="6" t="n">
        <v>81</v>
      </c>
      <c r="D34" s="6" t="n">
        <v>81</v>
      </c>
      <c r="E34" s="6" t="n">
        <v>81</v>
      </c>
      <c r="F34" s="6" t="n">
        <v>81</v>
      </c>
      <c r="G34" s="6" t="n">
        <v>81</v>
      </c>
      <c r="H34" s="6" t="n">
        <v>81</v>
      </c>
      <c r="I34" s="6" t="n">
        <v>81</v>
      </c>
      <c r="J34" s="6" t="n">
        <v>81</v>
      </c>
      <c r="K34" s="6" t="n">
        <v>81</v>
      </c>
      <c r="L34" s="6" t="n">
        <v>81</v>
      </c>
      <c r="M34" s="6" t="n"/>
    </row>
    <row r="35">
      <c r="A35" s="6" t="inlineStr">
        <is>
          <t>Capital securities</t>
        </is>
      </c>
      <c r="B35" s="6" t="n">
        <v>125</v>
      </c>
      <c r="C35" s="6" t="n">
        <v>125</v>
      </c>
      <c r="D35" s="6" t="n">
        <v>125</v>
      </c>
      <c r="E35" s="6" t="n">
        <v>125</v>
      </c>
      <c r="F35" s="6" t="n">
        <v>125</v>
      </c>
      <c r="G35" s="6" t="n">
        <v>125</v>
      </c>
      <c r="H35" s="6" t="n">
        <v>125</v>
      </c>
      <c r="I35" s="6" t="n">
        <v>125</v>
      </c>
      <c r="J35" s="6" t="n">
        <v>125</v>
      </c>
      <c r="K35" s="6" t="n"/>
      <c r="L35" s="6" t="n"/>
      <c r="M35" s="6" t="n"/>
    </row>
    <row r="36">
      <c r="A36" s="6" t="inlineStr">
        <is>
          <t>Merger reserve</t>
        </is>
      </c>
      <c r="B36" s="6" t="n">
        <v>1.6</v>
      </c>
      <c r="C36" s="6" t="n">
        <v>1.6</v>
      </c>
      <c r="D36" s="6" t="n">
        <v>1.6</v>
      </c>
      <c r="E36" s="6" t="n">
        <v>1.6</v>
      </c>
      <c r="F36" s="6" t="n">
        <v>1.6</v>
      </c>
      <c r="G36" s="6" t="n">
        <v>1.6</v>
      </c>
      <c r="H36" s="6" t="n">
        <v>1.6</v>
      </c>
      <c r="I36" s="6" t="n">
        <v>1.6</v>
      </c>
      <c r="J36" s="6" t="n">
        <v>1.6</v>
      </c>
      <c r="K36" s="6" t="n">
        <v>1.6</v>
      </c>
      <c r="L36" s="6" t="n">
        <v>1.6</v>
      </c>
      <c r="M36" s="6" t="n">
        <v>1.6</v>
      </c>
    </row>
    <row r="37">
      <c r="A37" s="6" t="inlineStr">
        <is>
          <t>Capital contribution reserve</t>
        </is>
      </c>
      <c r="B37" s="6" t="n">
        <v>39.7</v>
      </c>
      <c r="C37" s="6" t="n">
        <v>39.7</v>
      </c>
      <c r="D37" s="6" t="n">
        <v>39</v>
      </c>
      <c r="E37" s="6" t="n">
        <v>24</v>
      </c>
      <c r="F37" s="6" t="n">
        <v>23.9</v>
      </c>
      <c r="G37" s="6" t="n">
        <v>17.7</v>
      </c>
      <c r="H37" s="6" t="n">
        <v>17.2</v>
      </c>
      <c r="I37" s="6" t="n">
        <v>16.4</v>
      </c>
      <c r="J37" s="6" t="n">
        <v>16.7</v>
      </c>
      <c r="K37" s="6" t="n">
        <v>9.199999999999999</v>
      </c>
      <c r="L37" s="6" t="n">
        <v>4.4</v>
      </c>
      <c r="M37" s="6" t="n">
        <v>0.3</v>
      </c>
    </row>
    <row r="38">
      <c r="A38" s="6" t="inlineStr">
        <is>
          <t>Cash flow hedging reserve</t>
        </is>
      </c>
      <c r="B38" s="6" t="n">
        <v>1.3</v>
      </c>
      <c r="C38" s="6" t="n">
        <v>0.1</v>
      </c>
      <c r="D38" s="6" t="n">
        <v>0.1</v>
      </c>
      <c r="E38" s="6" t="n"/>
      <c r="F38" s="6" t="n"/>
      <c r="G38" s="6" t="n"/>
      <c r="H38" s="6" t="n"/>
      <c r="I38" s="6" t="n"/>
      <c r="J38" s="6" t="n"/>
      <c r="K38" s="6" t="n"/>
      <c r="L38" s="6" t="n"/>
      <c r="M38" s="6" t="n"/>
    </row>
    <row r="39">
      <c r="A39" s="6" t="inlineStr">
        <is>
          <t>Fair value through other comprehensive income reserve</t>
        </is>
      </c>
      <c r="B39" s="6" t="n">
        <v>43.8</v>
      </c>
      <c r="C39" s="6" t="n">
        <v>29.6</v>
      </c>
      <c r="D39" s="6" t="n">
        <v>-0.3</v>
      </c>
      <c r="E39" s="6" t="n">
        <v>-10.7</v>
      </c>
      <c r="F39" s="6" t="n"/>
      <c r="G39" s="6" t="n"/>
      <c r="H39" s="6" t="n"/>
      <c r="I39" s="6" t="n"/>
      <c r="J39" s="6" t="n"/>
      <c r="K39" s="6" t="n"/>
      <c r="L39" s="6" t="n"/>
      <c r="M39" s="6" t="n"/>
    </row>
    <row r="40">
      <c r="A40" s="6" t="inlineStr">
        <is>
          <t>Retained earnings</t>
        </is>
      </c>
      <c r="B40" s="6" t="n">
        <v>1357.8</v>
      </c>
      <c r="C40" s="6" t="n">
        <v>1157.6</v>
      </c>
      <c r="D40" s="6" t="n">
        <v>969.5</v>
      </c>
      <c r="E40" s="6" t="n">
        <v>740</v>
      </c>
      <c r="F40" s="6" t="n">
        <v>535.8</v>
      </c>
      <c r="G40" s="6" t="n">
        <v>392.1</v>
      </c>
      <c r="H40" s="6" t="n">
        <v>343.6</v>
      </c>
      <c r="I40" s="6" t="n">
        <v>260.8</v>
      </c>
      <c r="J40" s="6" t="n">
        <v>201.2</v>
      </c>
      <c r="K40" s="6" t="n">
        <v>145.8</v>
      </c>
      <c r="L40" s="6" t="n">
        <v>79.7</v>
      </c>
      <c r="M40" s="6" t="n">
        <v>20.4</v>
      </c>
    </row>
    <row r="41">
      <c r="A41" s="5" t="inlineStr">
        <is>
          <t>Total equity</t>
        </is>
      </c>
      <c r="B41" s="5" t="n">
        <v>1875.7</v>
      </c>
      <c r="C41" s="5" t="n">
        <v>1610.1</v>
      </c>
      <c r="D41" s="5" t="n">
        <v>1391.4</v>
      </c>
      <c r="E41" s="5" t="n">
        <v>1136.4</v>
      </c>
      <c r="F41" s="5" t="n">
        <v>942.8</v>
      </c>
      <c r="G41" s="5" t="n">
        <v>792.9</v>
      </c>
      <c r="H41" s="5" t="n">
        <v>743.9</v>
      </c>
      <c r="I41" s="5" t="n">
        <v>660.3</v>
      </c>
      <c r="J41" s="5" t="n">
        <v>601</v>
      </c>
      <c r="K41" s="5" t="n">
        <v>413.1</v>
      </c>
      <c r="L41" s="5" t="n">
        <v>342.2</v>
      </c>
      <c r="M41" s="5" t="n">
        <v>196.8</v>
      </c>
    </row>
    <row r="42">
      <c r="A42" s="5" t="inlineStr">
        <is>
          <t>Total liabilities and equity</t>
        </is>
      </c>
      <c r="B42" s="5" t="n">
        <v>22535.7</v>
      </c>
      <c r="C42" s="5" t="n">
        <v>19629</v>
      </c>
      <c r="D42" s="5" t="n">
        <v>17100.9</v>
      </c>
      <c r="E42" s="5" t="n">
        <v>13945.7</v>
      </c>
      <c r="F42" s="5" t="n">
        <v>11094.6</v>
      </c>
      <c r="G42" s="5" t="n">
        <v>8980.6</v>
      </c>
      <c r="H42" s="5" t="n">
        <v>8248</v>
      </c>
      <c r="I42" s="5" t="n">
        <v>6805.6</v>
      </c>
      <c r="J42" s="5" t="n">
        <v>5701.4</v>
      </c>
      <c r="K42" s="5" t="n">
        <v>4625</v>
      </c>
      <c r="L42" s="5" t="n">
        <v>3978.1</v>
      </c>
      <c r="M42" s="5" t="n">
        <v>2732.1</v>
      </c>
    </row>
    <row r="44" ht="260" customHeight="1">
      <c r="A44"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44:M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Profit &amp; Loss</t>
        </is>
      </c>
    </row>
    <row r="2">
      <c r="A2" s="2" t="inlineStr">
        <is>
          <t>Group/Consolidated basis, £m; FY2014-FY2025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row>
    <row r="17">
      <c r="A17" s="6" t="inlineStr">
        <is>
          <t>Net gains on structured asset sales</t>
        </is>
      </c>
      <c r="B17" s="6" t="n">
        <v>34.8</v>
      </c>
      <c r="C17" s="6" t="n">
        <v>14.1</v>
      </c>
      <c r="D17" s="6" t="n"/>
      <c r="E17" s="6" t="n"/>
      <c r="F17" s="6" t="n"/>
      <c r="G17" s="6" t="n"/>
      <c r="H17" s="6" t="n"/>
      <c r="I17" s="6" t="n"/>
      <c r="J17" s="6" t="n"/>
      <c r="K17" s="6" t="n"/>
      <c r="L17" s="6" t="n"/>
      <c r="M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row>
    <row r="19">
      <c r="A19" s="6" t="inlineStr">
        <is>
          <t>Net gains on loans and advances measured at FVTPL</t>
        </is>
      </c>
      <c r="B19" s="6" t="n">
        <v>0.3</v>
      </c>
      <c r="C19" s="6" t="n"/>
      <c r="D19" s="6" t="n"/>
      <c r="E19" s="6" t="n"/>
      <c r="F19" s="6" t="n"/>
      <c r="G19" s="6" t="n"/>
      <c r="H19" s="6" t="n"/>
      <c r="I19" s="6" t="n"/>
      <c r="J19" s="6" t="n"/>
      <c r="K19" s="6" t="n"/>
      <c r="L19" s="6" t="n"/>
      <c r="M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row>
    <row r="22">
      <c r="A22" s="5" t="inlineStr">
        <is>
          <t>Operating expenses</t>
        </is>
      </c>
      <c r="B22" s="6" t="n"/>
      <c r="C22" s="6" t="n"/>
      <c r="D22" s="6" t="n"/>
      <c r="E22" s="6" t="n"/>
      <c r="F22" s="6" t="n"/>
      <c r="G22" s="6" t="n"/>
      <c r="H22" s="6" t="n"/>
      <c r="I22" s="6" t="n"/>
      <c r="J22" s="6" t="n"/>
      <c r="K22" s="6" t="n"/>
      <c r="L22" s="6" t="n"/>
      <c r="M22" s="6" t="n"/>
    </row>
    <row r="23">
      <c r="A23" s="6" t="inlineStr">
        <is>
          <t>Administrative expenses</t>
        </is>
      </c>
      <c r="B23" s="6" t="n">
        <v>-325.9</v>
      </c>
      <c r="C23" s="6" t="n">
        <v>-252.2</v>
      </c>
      <c r="D23" s="6" t="n">
        <v>-225.6</v>
      </c>
      <c r="E23" s="6" t="n">
        <v>-189.3</v>
      </c>
      <c r="F23" s="6" t="n">
        <v>-164.2</v>
      </c>
      <c r="G23" s="6" t="n">
        <v>-131</v>
      </c>
      <c r="H23" s="6" t="n">
        <v>-138.4</v>
      </c>
      <c r="I23" s="6" t="n">
        <v>-128.8</v>
      </c>
      <c r="J23" s="6" t="n">
        <v>-113.2</v>
      </c>
      <c r="K23" s="6" t="n">
        <v>-95.2</v>
      </c>
      <c r="L23" s="6" t="n">
        <v>-84</v>
      </c>
      <c r="M23" s="6" t="n">
        <v>-58.3</v>
      </c>
    </row>
    <row r="24">
      <c r="A24" s="6" t="inlineStr">
        <is>
          <t>Impairment losses on financial assets</t>
        </is>
      </c>
      <c r="B24" s="6" t="n">
        <v>-83</v>
      </c>
      <c r="C24" s="6" t="n">
        <v>-67.2</v>
      </c>
      <c r="D24" s="6" t="n">
        <v>-60.1</v>
      </c>
      <c r="E24" s="6" t="n">
        <v>-47.7</v>
      </c>
      <c r="F24" s="6" t="n">
        <v>-31.4</v>
      </c>
      <c r="G24" s="6" t="n">
        <v>-54.9</v>
      </c>
      <c r="H24" s="6" t="n">
        <v>-29.9</v>
      </c>
      <c r="I24" s="6" t="n">
        <v>-23.2</v>
      </c>
      <c r="J24" s="6" t="n">
        <v>-23.3</v>
      </c>
      <c r="K24" s="6" t="n">
        <v>-24.3</v>
      </c>
      <c r="L24" s="6" t="n">
        <v>-6.5</v>
      </c>
      <c r="M24" s="6" t="n">
        <v>-6.7</v>
      </c>
    </row>
    <row r="25">
      <c r="A25" s="6" t="inlineStr">
        <is>
          <t>Provisions</t>
        </is>
      </c>
      <c r="B25" s="6" t="n">
        <v>-0.8</v>
      </c>
      <c r="C25" s="6" t="n">
        <v>5.3</v>
      </c>
      <c r="D25" s="6" t="n">
        <v>-13.1</v>
      </c>
      <c r="E25" s="6" t="n">
        <v>-0.8</v>
      </c>
      <c r="F25" s="6" t="n">
        <v>7</v>
      </c>
      <c r="G25" s="6" t="n">
        <v>-20.3</v>
      </c>
      <c r="H25" s="6" t="n">
        <v>-4.5</v>
      </c>
      <c r="I25" s="6" t="n">
        <v>-10.1</v>
      </c>
      <c r="J25" s="6" t="n">
        <v>-2.1</v>
      </c>
      <c r="K25" s="6" t="n">
        <v>-1.1</v>
      </c>
      <c r="L25" s="6" t="n">
        <v>-1.6</v>
      </c>
      <c r="M25" s="6" t="n">
        <v>-1.1</v>
      </c>
    </row>
    <row r="26">
      <c r="A26" s="5" t="inlineStr">
        <is>
          <t>Total operating expenses</t>
        </is>
      </c>
      <c r="B26" s="5" t="n">
        <v>-409.7</v>
      </c>
      <c r="C26" s="5" t="n">
        <v>-314.1</v>
      </c>
      <c r="D26" s="5" t="n">
        <v>-298.8</v>
      </c>
      <c r="E26" s="5" t="n">
        <v>-237.8</v>
      </c>
      <c r="F26" s="5" t="n">
        <v>-188.6</v>
      </c>
      <c r="G26" s="5" t="n">
        <v>-206.2</v>
      </c>
      <c r="H26" s="5" t="n">
        <v>-172.8</v>
      </c>
      <c r="I26" s="5" t="n">
        <v>-162.1</v>
      </c>
      <c r="J26" s="5" t="n">
        <v>-138.6</v>
      </c>
      <c r="K26" s="5" t="n">
        <v>-120.6</v>
      </c>
      <c r="L26" s="5" t="n">
        <v>-92.09999999999999</v>
      </c>
      <c r="M26" s="5" t="n">
        <v>-66.09999999999999</v>
      </c>
    </row>
    <row r="27">
      <c r="A27" s="6" t="inlineStr">
        <is>
          <t>Share of results of associates</t>
        </is>
      </c>
      <c r="B27" s="6" t="n"/>
      <c r="C27" s="6" t="n"/>
      <c r="D27" s="6" t="n"/>
      <c r="E27" s="6" t="n"/>
      <c r="F27" s="6" t="n"/>
      <c r="G27" s="6" t="n">
        <v>0.1</v>
      </c>
      <c r="H27" s="6" t="n">
        <v>-0.1</v>
      </c>
      <c r="I27" s="6" t="n">
        <v>-0.5</v>
      </c>
      <c r="J27" s="6" t="n"/>
      <c r="K27" s="6" t="n"/>
      <c r="L27" s="6" t="n"/>
      <c r="M27" s="6" t="n"/>
    </row>
    <row r="28">
      <c r="A28" s="6" t="inlineStr">
        <is>
          <t>Impairment of investment in associate</t>
        </is>
      </c>
      <c r="B28" s="6" t="n"/>
      <c r="C28" s="6" t="n"/>
      <c r="D28" s="6" t="n"/>
      <c r="E28" s="6" t="n"/>
      <c r="F28" s="6" t="n"/>
      <c r="G28" s="6" t="n">
        <v>-2.7</v>
      </c>
      <c r="H28" s="6" t="n"/>
      <c r="I28" s="6" t="n"/>
      <c r="J28" s="6" t="n"/>
      <c r="K28" s="6" t="n"/>
      <c r="L28" s="6" t="n"/>
      <c r="M28" s="6" t="n"/>
    </row>
    <row r="29">
      <c r="A29" s="6" t="inlineStr">
        <is>
          <t>Net gain on disposal of subsidiary</t>
        </is>
      </c>
      <c r="B29" s="6" t="n"/>
      <c r="C29" s="6" t="n"/>
      <c r="D29" s="6" t="n"/>
      <c r="E29" s="6" t="n"/>
      <c r="F29" s="6" t="n"/>
      <c r="G29" s="6" t="n"/>
      <c r="H29" s="6" t="n">
        <v>0.3</v>
      </c>
      <c r="I29" s="6" t="n"/>
      <c r="J29" s="6" t="n"/>
      <c r="K29" s="6" t="n"/>
      <c r="L29" s="6" t="n"/>
      <c r="M29" s="6" t="n"/>
    </row>
    <row r="30">
      <c r="A30" s="5" t="inlineStr">
        <is>
          <t>Profit before tax</t>
        </is>
      </c>
      <c r="B30" s="5" t="n">
        <v>271.6</v>
      </c>
      <c r="C30" s="5" t="n">
        <v>295</v>
      </c>
      <c r="D30" s="5" t="n">
        <v>287.2</v>
      </c>
      <c r="E30" s="5" t="n">
        <v>238.4</v>
      </c>
      <c r="F30" s="5" t="n">
        <v>197.4</v>
      </c>
      <c r="G30" s="5" t="n">
        <v>73.59999999999999</v>
      </c>
      <c r="H30" s="5" t="n">
        <v>122.6</v>
      </c>
      <c r="I30" s="5" t="n">
        <v>110.3</v>
      </c>
      <c r="J30" s="5" t="n">
        <v>99.5</v>
      </c>
      <c r="K30" s="5" t="n">
        <v>89.09999999999999</v>
      </c>
      <c r="L30" s="5" t="n">
        <v>74.8</v>
      </c>
      <c r="M30" s="5" t="n">
        <v>46.1</v>
      </c>
    </row>
    <row r="31">
      <c r="A31" s="6" t="inlineStr">
        <is>
          <t>Tax</t>
        </is>
      </c>
      <c r="B31" s="6" t="n">
        <v>-76.7</v>
      </c>
      <c r="C31" s="6" t="n">
        <v>-75.2</v>
      </c>
      <c r="D31" s="6" t="n">
        <v>-74.59999999999999</v>
      </c>
      <c r="E31" s="6" t="n">
        <v>-58.7</v>
      </c>
      <c r="F31" s="6" t="n">
        <v>-47.9</v>
      </c>
      <c r="G31" s="6" t="n">
        <v>-15.4</v>
      </c>
      <c r="H31" s="6" t="n">
        <v>-28.8</v>
      </c>
      <c r="I31" s="6" t="n">
        <v>-28.3</v>
      </c>
      <c r="J31" s="6" t="n">
        <v>-25.3</v>
      </c>
      <c r="K31" s="6" t="n">
        <v>-23.4</v>
      </c>
      <c r="L31" s="6" t="n">
        <v>-11.8</v>
      </c>
      <c r="M31" s="6" t="n">
        <v>-10.8</v>
      </c>
    </row>
    <row r="32">
      <c r="A32" s="5" t="inlineStr">
        <is>
          <t>Profit after tax, attributable to owners</t>
        </is>
      </c>
      <c r="B32" s="5" t="n">
        <v>194.9</v>
      </c>
      <c r="C32" s="5" t="n">
        <v>219.8</v>
      </c>
      <c r="D32" s="5" t="n">
        <v>212.6</v>
      </c>
      <c r="E32" s="5" t="n">
        <v>179.7</v>
      </c>
      <c r="F32" s="5" t="n">
        <v>149.5</v>
      </c>
      <c r="G32" s="5" t="n">
        <v>58.2</v>
      </c>
      <c r="H32" s="5" t="n">
        <v>93.8</v>
      </c>
      <c r="I32" s="5" t="n">
        <v>82</v>
      </c>
      <c r="J32" s="5" t="n">
        <v>74.2</v>
      </c>
      <c r="K32" s="5" t="n">
        <v>65.7</v>
      </c>
      <c r="L32" s="5" t="n">
        <v>63</v>
      </c>
      <c r="M32" s="5" t="n">
        <v>35.3</v>
      </c>
    </row>
    <row r="33">
      <c r="A33" s="5" t="inlineStr">
        <is>
          <t>Other comprehensive income, net of tax (items that may be reclassified subsequently to the statement of profit and loss)</t>
        </is>
      </c>
      <c r="B33" s="6" t="n"/>
      <c r="C33" s="6" t="n"/>
      <c r="D33" s="6" t="n"/>
      <c r="E33" s="6" t="n"/>
      <c r="F33" s="6" t="n"/>
      <c r="G33" s="6" t="n"/>
      <c r="H33" s="6" t="n"/>
      <c r="I33" s="6" t="n"/>
      <c r="J33" s="6" t="n"/>
      <c r="K33" s="6" t="n"/>
      <c r="L33" s="6" t="n"/>
      <c r="M33" s="6" t="n"/>
    </row>
    <row r="34">
      <c r="A34" s="6" t="inlineStr">
        <is>
          <t>Cash flow hedging reserve - net (losses)/gains from effective portion of changes in fair value</t>
        </is>
      </c>
      <c r="B34" s="6" t="n">
        <v>-4.4</v>
      </c>
      <c r="C34" s="6" t="n">
        <v>17.6</v>
      </c>
      <c r="D34" s="6" t="n">
        <v>-23.1</v>
      </c>
      <c r="E34" s="6" t="n">
        <v>38.4</v>
      </c>
      <c r="F34" s="6" t="n"/>
      <c r="G34" s="6" t="n"/>
      <c r="H34" s="6" t="n"/>
      <c r="I34" s="6" t="n"/>
      <c r="J34" s="6" t="n"/>
      <c r="K34" s="6" t="n"/>
      <c r="L34" s="6" t="n"/>
      <c r="M34" s="6" t="n"/>
    </row>
    <row r="35">
      <c r="A35" s="6" t="inlineStr">
        <is>
          <t>Cash flow hedging reserve - reclassifications to statement of profit and loss</t>
        </is>
      </c>
      <c r="B35" s="6" t="n">
        <v>-6.6</v>
      </c>
      <c r="C35" s="6" t="n">
        <v>-6.2</v>
      </c>
      <c r="D35" s="6" t="n">
        <v>-6.8</v>
      </c>
      <c r="E35" s="6" t="n">
        <v>-2.2</v>
      </c>
      <c r="F35" s="6" t="n"/>
      <c r="G35" s="6" t="n"/>
      <c r="H35" s="6" t="n"/>
      <c r="I35" s="6" t="n"/>
      <c r="J35" s="6" t="n"/>
      <c r="K35" s="6" t="n"/>
      <c r="L35" s="6" t="n"/>
      <c r="M35" s="6" t="n"/>
    </row>
    <row r="36">
      <c r="A36" s="6" t="inlineStr">
        <is>
          <t>Cash flow hedging reserve - related tax</t>
        </is>
      </c>
      <c r="B36" s="6" t="n">
        <v>3</v>
      </c>
      <c r="C36" s="6" t="n">
        <v>-3.2</v>
      </c>
      <c r="D36" s="6" t="n">
        <v>8</v>
      </c>
      <c r="E36" s="6" t="n">
        <v>-9.800000000000001</v>
      </c>
      <c r="F36" s="6" t="n"/>
      <c r="G36" s="6" t="n"/>
      <c r="H36" s="6" t="n"/>
      <c r="I36" s="6" t="n"/>
      <c r="J36" s="6" t="n"/>
      <c r="K36" s="6" t="n"/>
      <c r="L36" s="6" t="n"/>
      <c r="M36" s="6" t="n"/>
    </row>
    <row r="37">
      <c r="A37" s="5" t="inlineStr">
        <is>
          <t>Movement in cash flow hedging reserve</t>
        </is>
      </c>
      <c r="B37" s="5" t="n">
        <v>-8</v>
      </c>
      <c r="C37" s="5" t="n">
        <v>8.199999999999999</v>
      </c>
      <c r="D37" s="5" t="n">
        <v>-21.9</v>
      </c>
      <c r="E37" s="5" t="n">
        <v>26.4</v>
      </c>
      <c r="F37" s="5" t="n"/>
      <c r="G37" s="5" t="n"/>
      <c r="H37" s="5" t="n"/>
      <c r="I37" s="5" t="n"/>
      <c r="J37" s="5" t="n"/>
      <c r="K37" s="5" t="n"/>
      <c r="L37" s="5" t="n"/>
      <c r="M37" s="5" t="n"/>
    </row>
    <row r="38">
      <c r="A38" s="6" t="inlineStr">
        <is>
          <t>FVOCI reserve - net gains/(losses) from changes in fair value</t>
        </is>
      </c>
      <c r="B38" s="6" t="n">
        <v>18.3</v>
      </c>
      <c r="C38" s="6" t="n">
        <v>35.6</v>
      </c>
      <c r="D38" s="6" t="n">
        <v>9.9</v>
      </c>
      <c r="E38" s="6" t="n">
        <v>-17.1</v>
      </c>
      <c r="F38" s="6" t="n"/>
      <c r="G38" s="6" t="n"/>
      <c r="H38" s="6" t="n"/>
      <c r="I38" s="6" t="n"/>
      <c r="J38" s="6" t="n"/>
      <c r="K38" s="6" t="n"/>
      <c r="L38" s="6" t="n"/>
      <c r="M38" s="6" t="n"/>
    </row>
    <row r="39">
      <c r="A39" s="6" t="inlineStr">
        <is>
          <t>FVOCI reserve - change in loss allowance</t>
        </is>
      </c>
      <c r="B39" s="6" t="n">
        <v>1.4</v>
      </c>
      <c r="C39" s="6" t="n">
        <v>5.3</v>
      </c>
      <c r="D39" s="6" t="n">
        <v>4.3</v>
      </c>
      <c r="E39" s="6" t="n">
        <v>2.4</v>
      </c>
      <c r="F39" s="6" t="n"/>
      <c r="G39" s="6" t="n"/>
      <c r="H39" s="6" t="n"/>
      <c r="I39" s="6" t="n"/>
      <c r="J39" s="6" t="n"/>
      <c r="K39" s="6" t="n"/>
      <c r="L39" s="6" t="n"/>
      <c r="M39" s="6" t="n"/>
    </row>
    <row r="40">
      <c r="A40" s="6" t="inlineStr">
        <is>
          <t>FVOCI reserve - related tax</t>
        </is>
      </c>
      <c r="B40" s="6" t="n">
        <v>-5.5</v>
      </c>
      <c r="C40" s="6" t="n">
        <v>-11</v>
      </c>
      <c r="D40" s="6" t="n">
        <v>-3.8</v>
      </c>
      <c r="E40" s="6" t="n">
        <v>4</v>
      </c>
      <c r="F40" s="6" t="n"/>
      <c r="G40" s="6" t="n"/>
      <c r="H40" s="6" t="n"/>
      <c r="I40" s="6" t="n"/>
      <c r="J40" s="6" t="n"/>
      <c r="K40" s="6" t="n"/>
      <c r="L40" s="6" t="n"/>
      <c r="M40" s="6" t="n"/>
    </row>
    <row r="41">
      <c r="A41" s="5" t="inlineStr">
        <is>
          <t>Movement in fair value through other comprehensive income reserve</t>
        </is>
      </c>
      <c r="B41" s="5" t="n">
        <v>14.2</v>
      </c>
      <c r="C41" s="5" t="n">
        <v>29.9</v>
      </c>
      <c r="D41" s="5" t="n">
        <v>10.4</v>
      </c>
      <c r="E41" s="5" t="n">
        <v>-10.7</v>
      </c>
      <c r="F41" s="5" t="n"/>
      <c r="G41" s="5" t="n"/>
      <c r="H41" s="5" t="n"/>
      <c r="I41" s="5" t="n"/>
      <c r="J41" s="5" t="n"/>
      <c r="K41" s="5" t="n"/>
      <c r="L41" s="5" t="n"/>
      <c r="M41" s="5" t="n"/>
    </row>
    <row r="42">
      <c r="A42" s="5" t="inlineStr">
        <is>
          <t>Other comprehensive income/(expense), net of tax</t>
        </is>
      </c>
      <c r="B42" s="5" t="n">
        <v>6.2</v>
      </c>
      <c r="C42" s="5" t="n">
        <v>38.1</v>
      </c>
      <c r="D42" s="5" t="n">
        <v>-11.5</v>
      </c>
      <c r="E42" s="5" t="n">
        <v>15.7</v>
      </c>
      <c r="F42" s="5" t="n"/>
      <c r="G42" s="5" t="n"/>
      <c r="H42" s="5" t="n"/>
      <c r="I42" s="5" t="n"/>
      <c r="J42" s="5" t="n"/>
      <c r="K42" s="5" t="n"/>
      <c r="L42" s="5" t="n"/>
      <c r="M42" s="5" t="n"/>
    </row>
    <row r="43">
      <c r="A43" s="5" t="inlineStr">
        <is>
          <t>Total comprehensive income, attributable to owners</t>
        </is>
      </c>
      <c r="B43" s="5" t="n">
        <v>201.1</v>
      </c>
      <c r="C43" s="5" t="n">
        <v>257.9</v>
      </c>
      <c r="D43" s="5" t="n">
        <v>201.1</v>
      </c>
      <c r="E43" s="5" t="n">
        <v>195.4</v>
      </c>
      <c r="F43" s="5" t="n">
        <v>149.5</v>
      </c>
      <c r="G43" s="5" t="n">
        <v>58.2</v>
      </c>
      <c r="H43" s="5" t="n">
        <v>93.8</v>
      </c>
      <c r="I43" s="5" t="n">
        <v>82</v>
      </c>
      <c r="J43" s="5" t="n">
        <v>74.2</v>
      </c>
      <c r="K43" s="5" t="n">
        <v>65.7</v>
      </c>
      <c r="L43" s="5" t="n">
        <v>63</v>
      </c>
      <c r="M43" s="5" t="n">
        <v>35.3</v>
      </c>
    </row>
    <row r="45" ht="260" customHeight="1">
      <c r="A45"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FY2014-FY2025. Each year's closing Total equity ties exactly to that year's own Balance Sheet Total equity and to the next year's opening balance - zero undocumented plug rows across all 12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2014</t>
        </is>
      </c>
      <c r="B4" s="5" t="n">
        <v>129</v>
      </c>
      <c r="C4" s="5" t="n"/>
      <c r="D4" s="5" t="n"/>
      <c r="E4" s="5" t="n"/>
      <c r="F4" s="5" t="n">
        <v>0.2</v>
      </c>
      <c r="G4" s="5" t="n"/>
      <c r="H4" s="5" t="n"/>
      <c r="I4" s="5" t="n">
        <v>-17.6</v>
      </c>
      <c r="J4" s="5" t="n">
        <v>111.6</v>
      </c>
    </row>
    <row r="5">
      <c r="A5" s="6" t="inlineStr">
        <is>
          <t>Profit for the year</t>
        </is>
      </c>
      <c r="B5" s="6" t="n"/>
      <c r="C5" s="6" t="n"/>
      <c r="D5" s="6" t="n"/>
      <c r="E5" s="6" t="n"/>
      <c r="F5" s="6" t="n"/>
      <c r="G5" s="6" t="n"/>
      <c r="H5" s="6" t="n"/>
      <c r="I5" s="6" t="n">
        <v>38</v>
      </c>
      <c r="J5" s="6" t="n">
        <v>38</v>
      </c>
    </row>
    <row r="6">
      <c r="A6" s="6" t="inlineStr">
        <is>
          <t>Capital contribution</t>
        </is>
      </c>
      <c r="B6" s="6" t="n"/>
      <c r="C6" s="6" t="n"/>
      <c r="D6" s="6" t="n"/>
      <c r="E6" s="6" t="n"/>
      <c r="F6" s="6" t="n">
        <v>0.1</v>
      </c>
      <c r="G6" s="6" t="n"/>
      <c r="H6" s="6" t="n"/>
      <c r="I6" s="6" t="n"/>
      <c r="J6" s="6" t="n">
        <v>0.1</v>
      </c>
    </row>
    <row r="7">
      <c r="A7" s="6" t="inlineStr">
        <is>
          <t>Creation of merger reserve</t>
        </is>
      </c>
      <c r="B7" s="6" t="n"/>
      <c r="C7" s="6" t="n"/>
      <c r="D7" s="6" t="n"/>
      <c r="E7" s="6" t="n">
        <v>1.6</v>
      </c>
      <c r="F7" s="6" t="n"/>
      <c r="G7" s="6" t="n"/>
      <c r="H7" s="6" t="n"/>
      <c r="I7" s="6" t="n"/>
      <c r="J7" s="6" t="n">
        <v>1.6</v>
      </c>
    </row>
    <row r="8">
      <c r="A8" s="6" t="inlineStr">
        <is>
          <t>Issue of ordinary shares</t>
        </is>
      </c>
      <c r="B8" s="6" t="n">
        <v>45.5</v>
      </c>
      <c r="C8" s="6" t="n"/>
      <c r="D8" s="6" t="n"/>
      <c r="E8" s="6" t="n"/>
      <c r="F8" s="6" t="n"/>
      <c r="G8" s="6" t="n"/>
      <c r="H8" s="6" t="n"/>
      <c r="I8" s="6" t="n"/>
      <c r="J8" s="6" t="n">
        <v>45.5</v>
      </c>
    </row>
    <row r="9">
      <c r="A9" s="5" t="inlineStr">
        <is>
          <t>Balance at 31 December 2014 / 1 January 2015</t>
        </is>
      </c>
      <c r="B9" s="5" t="n">
        <v>174.5</v>
      </c>
      <c r="C9" s="5" t="n"/>
      <c r="D9" s="5" t="n"/>
      <c r="E9" s="5" t="n">
        <v>1.6</v>
      </c>
      <c r="F9" s="5" t="n">
        <v>0.3</v>
      </c>
      <c r="G9" s="5" t="n"/>
      <c r="H9" s="5" t="n"/>
      <c r="I9" s="5" t="n">
        <v>20.4</v>
      </c>
      <c r="J9" s="5" t="n">
        <v>196.8</v>
      </c>
    </row>
    <row r="10">
      <c r="A10" s="6" t="inlineStr">
        <is>
          <t>Profit for the year</t>
        </is>
      </c>
      <c r="B10" s="6" t="n"/>
      <c r="C10" s="6" t="n"/>
      <c r="D10" s="6" t="n"/>
      <c r="E10" s="6" t="n"/>
      <c r="F10" s="6" t="n"/>
      <c r="G10" s="6" t="n"/>
      <c r="H10" s="6" t="n"/>
      <c r="I10" s="6" t="n">
        <v>63.2</v>
      </c>
      <c r="J10" s="6" t="n">
        <v>63.2</v>
      </c>
    </row>
    <row r="11">
      <c r="A11" s="6" t="inlineStr">
        <is>
          <t>Issue of ordinary shares</t>
        </is>
      </c>
      <c r="B11" s="6" t="n">
        <v>1</v>
      </c>
      <c r="C11" s="6" t="n"/>
      <c r="D11" s="6" t="n"/>
      <c r="E11" s="6" t="n"/>
      <c r="F11" s="6" t="n"/>
      <c r="G11" s="6" t="n"/>
      <c r="H11" s="6" t="n"/>
      <c r="I11" s="6" t="n"/>
      <c r="J11" s="6" t="n">
        <v>1</v>
      </c>
    </row>
    <row r="12">
      <c r="A12" s="6" t="inlineStr">
        <is>
          <t>Transfer to share premium account</t>
        </is>
      </c>
      <c r="B12" s="6" t="n"/>
      <c r="C12" s="6" t="n">
        <v>81</v>
      </c>
      <c r="D12" s="6" t="n"/>
      <c r="E12" s="6" t="n"/>
      <c r="F12" s="6" t="n"/>
      <c r="G12" s="6" t="n"/>
      <c r="H12" s="6" t="n"/>
      <c r="I12" s="6" t="n"/>
      <c r="J12" s="6" t="n">
        <v>81</v>
      </c>
    </row>
    <row r="13">
      <c r="A13" s="6" t="inlineStr">
        <is>
          <t>Dividend paid to parent</t>
        </is>
      </c>
      <c r="B13" s="6" t="n"/>
      <c r="C13" s="6" t="n"/>
      <c r="D13" s="6" t="n"/>
      <c r="E13" s="6" t="n"/>
      <c r="F13" s="6" t="n"/>
      <c r="G13" s="6" t="n"/>
      <c r="H13" s="6" t="n"/>
      <c r="I13" s="6" t="n">
        <v>-4</v>
      </c>
      <c r="J13" s="6" t="n">
        <v>-4</v>
      </c>
    </row>
    <row r="14">
      <c r="A14" s="6" t="inlineStr">
        <is>
          <t>Other movements in reserves</t>
        </is>
      </c>
      <c r="B14" s="6" t="n"/>
      <c r="C14" s="6" t="n"/>
      <c r="D14" s="6" t="n"/>
      <c r="E14" s="6" t="n"/>
      <c r="F14" s="6" t="n">
        <v>4.1</v>
      </c>
      <c r="G14" s="6" t="n"/>
      <c r="H14" s="6" t="n"/>
      <c r="I14" s="6" t="n"/>
      <c r="J14" s="6" t="n">
        <v>4.1</v>
      </c>
    </row>
    <row r="15">
      <c r="A15" s="5" t="inlineStr">
        <is>
          <t>Balance at 31 December 2015 / 1 January 2016</t>
        </is>
      </c>
      <c r="B15" s="5" t="n">
        <v>175.5</v>
      </c>
      <c r="C15" s="5" t="n">
        <v>81</v>
      </c>
      <c r="D15" s="5" t="n"/>
      <c r="E15" s="5" t="n">
        <v>1.6</v>
      </c>
      <c r="F15" s="5" t="n">
        <v>4.4</v>
      </c>
      <c r="G15" s="5" t="n"/>
      <c r="H15" s="5" t="n"/>
      <c r="I15" s="5" t="n">
        <v>79.7</v>
      </c>
      <c r="J15" s="5" t="n">
        <v>342.2</v>
      </c>
    </row>
    <row r="16">
      <c r="A16" s="6" t="inlineStr">
        <is>
          <t>Profit for the year</t>
        </is>
      </c>
      <c r="B16" s="6" t="n"/>
      <c r="C16" s="6" t="n"/>
      <c r="D16" s="6" t="n"/>
      <c r="E16" s="6" t="n"/>
      <c r="F16" s="6" t="n"/>
      <c r="G16" s="6" t="n"/>
      <c r="H16" s="6" t="n"/>
      <c r="I16" s="6" t="n">
        <v>66.09999999999999</v>
      </c>
      <c r="J16" s="6" t="n">
        <v>66.09999999999999</v>
      </c>
    </row>
    <row r="17">
      <c r="A17" s="6" t="inlineStr">
        <is>
          <t>Share-based payments</t>
        </is>
      </c>
      <c r="B17" s="6" t="n"/>
      <c r="C17" s="6" t="n"/>
      <c r="D17" s="6" t="n"/>
      <c r="E17" s="6" t="n"/>
      <c r="F17" s="6" t="n">
        <v>4.8</v>
      </c>
      <c r="G17" s="6" t="n"/>
      <c r="H17" s="6" t="n"/>
      <c r="I17" s="6" t="n"/>
      <c r="J17" s="6" t="n">
        <v>4.8</v>
      </c>
    </row>
    <row r="18">
      <c r="A18" s="5" t="inlineStr">
        <is>
          <t>Balance at 31 December 2016 / 1 January 2017</t>
        </is>
      </c>
      <c r="B18" s="5" t="n">
        <v>175.5</v>
      </c>
      <c r="C18" s="5" t="n">
        <v>81</v>
      </c>
      <c r="D18" s="5" t="n"/>
      <c r="E18" s="5" t="n">
        <v>1.6</v>
      </c>
      <c r="F18" s="5" t="n">
        <v>9.199999999999999</v>
      </c>
      <c r="G18" s="5" t="n"/>
      <c r="H18" s="5" t="n"/>
      <c r="I18" s="5" t="n">
        <v>145.8</v>
      </c>
      <c r="J18" s="5" t="n">
        <v>413.1</v>
      </c>
    </row>
    <row r="19">
      <c r="A19" s="6" t="inlineStr">
        <is>
          <t>Profit for the year</t>
        </is>
      </c>
      <c r="B19" s="6" t="n"/>
      <c r="C19" s="6" t="n"/>
      <c r="D19" s="6" t="n"/>
      <c r="E19" s="6" t="n"/>
      <c r="F19" s="6" t="n"/>
      <c r="G19" s="6" t="n"/>
      <c r="H19" s="6" t="n"/>
      <c r="I19" s="6" t="n">
        <v>74.90000000000001</v>
      </c>
      <c r="J19" s="6" t="n">
        <v>74.90000000000001</v>
      </c>
    </row>
    <row r="20">
      <c r="A20" s="6" t="inlineStr">
        <is>
          <t>Dividend paid to shareholders</t>
        </is>
      </c>
      <c r="B20" s="6" t="n"/>
      <c r="C20" s="6" t="n"/>
      <c r="D20" s="6" t="n"/>
      <c r="E20" s="6" t="n"/>
      <c r="F20" s="6" t="n"/>
      <c r="G20" s="6" t="n"/>
      <c r="H20" s="6" t="n"/>
      <c r="I20" s="6" t="n">
        <v>-19.5</v>
      </c>
      <c r="J20" s="6" t="n">
        <v>-19.5</v>
      </c>
    </row>
    <row r="21">
      <c r="A21" s="6" t="inlineStr">
        <is>
          <t>Issue of capital securities</t>
        </is>
      </c>
      <c r="B21" s="6" t="n"/>
      <c r="C21" s="6" t="n"/>
      <c r="D21" s="6" t="n">
        <v>125</v>
      </c>
      <c r="E21" s="6" t="n"/>
      <c r="F21" s="6" t="n"/>
      <c r="G21" s="6" t="n"/>
      <c r="H21" s="6" t="n"/>
      <c r="I21" s="6" t="n"/>
      <c r="J21" s="6" t="n">
        <v>125</v>
      </c>
    </row>
    <row r="22">
      <c r="A22" s="6" t="inlineStr">
        <is>
          <t>Share-based payments</t>
        </is>
      </c>
      <c r="B22" s="6" t="n"/>
      <c r="C22" s="6" t="n"/>
      <c r="D22" s="6" t="n"/>
      <c r="E22" s="6" t="n"/>
      <c r="F22" s="6" t="n">
        <v>7.5</v>
      </c>
      <c r="G22" s="6" t="n"/>
      <c r="H22" s="6" t="n"/>
      <c r="I22" s="6" t="n"/>
      <c r="J22" s="6" t="n">
        <v>7.5</v>
      </c>
    </row>
    <row r="23">
      <c r="A23" s="5" t="inlineStr">
        <is>
          <t>Balance at 31 December 2017 / 1 January 2018</t>
        </is>
      </c>
      <c r="B23" s="5" t="n">
        <v>175.5</v>
      </c>
      <c r="C23" s="5" t="n">
        <v>81</v>
      </c>
      <c r="D23" s="5" t="n">
        <v>125</v>
      </c>
      <c r="E23" s="5" t="n">
        <v>1.6</v>
      </c>
      <c r="F23" s="5" t="n">
        <v>16.7</v>
      </c>
      <c r="G23" s="5" t="n"/>
      <c r="H23" s="5" t="n"/>
      <c r="I23" s="5" t="n">
        <v>201.2</v>
      </c>
      <c r="J23" s="5" t="n">
        <v>601</v>
      </c>
    </row>
    <row r="24">
      <c r="A24" s="6" t="inlineStr">
        <is>
          <t>Impact of adopting IFRS 9</t>
        </is>
      </c>
      <c r="B24" s="6" t="n"/>
      <c r="C24" s="6" t="n"/>
      <c r="D24" s="6" t="n"/>
      <c r="E24" s="6" t="n"/>
      <c r="F24" s="6" t="n"/>
      <c r="G24" s="6" t="n"/>
      <c r="H24" s="6" t="n"/>
      <c r="I24" s="6" t="n">
        <v>-15.7</v>
      </c>
      <c r="J24" s="6" t="n">
        <v>-15.7</v>
      </c>
    </row>
    <row r="25">
      <c r="A25" s="5" t="inlineStr">
        <is>
          <t>Restated balance at 1 January 2018</t>
        </is>
      </c>
      <c r="B25" s="5" t="n">
        <v>175.5</v>
      </c>
      <c r="C25" s="5" t="n">
        <v>81</v>
      </c>
      <c r="D25" s="5" t="n">
        <v>125</v>
      </c>
      <c r="E25" s="5" t="n">
        <v>1.6</v>
      </c>
      <c r="F25" s="5" t="n">
        <v>16.7</v>
      </c>
      <c r="G25" s="5" t="n"/>
      <c r="H25" s="5" t="n"/>
      <c r="I25" s="5" t="n">
        <v>185.5</v>
      </c>
      <c r="J25" s="5" t="n">
        <v>585.3</v>
      </c>
    </row>
    <row r="26">
      <c r="A26" s="6" t="inlineStr">
        <is>
          <t>Profit for the year</t>
        </is>
      </c>
      <c r="B26" s="6" t="n"/>
      <c r="C26" s="6" t="n"/>
      <c r="D26" s="6" t="n"/>
      <c r="E26" s="6" t="n"/>
      <c r="F26" s="6" t="n"/>
      <c r="G26" s="6" t="n"/>
      <c r="H26" s="6" t="n"/>
      <c r="I26" s="6" t="n">
        <v>82.59999999999999</v>
      </c>
      <c r="J26" s="6" t="n">
        <v>82.59999999999999</v>
      </c>
    </row>
    <row r="27">
      <c r="A27" s="6" t="inlineStr">
        <is>
          <t>Coupon paid on capital securities (net of tax)</t>
        </is>
      </c>
      <c r="B27" s="6" t="n"/>
      <c r="C27" s="6" t="n"/>
      <c r="D27" s="6" t="n"/>
      <c r="E27" s="6" t="n"/>
      <c r="F27" s="6" t="n"/>
      <c r="G27" s="6" t="n"/>
      <c r="H27" s="6" t="n"/>
      <c r="I27" s="6" t="n">
        <v>-7.3</v>
      </c>
      <c r="J27" s="6" t="n">
        <v>-7.3</v>
      </c>
    </row>
    <row r="28">
      <c r="A28" s="6" t="inlineStr">
        <is>
          <t>Share-based payments</t>
        </is>
      </c>
      <c r="B28" s="6" t="n"/>
      <c r="C28" s="6" t="n"/>
      <c r="D28" s="6" t="n"/>
      <c r="E28" s="6" t="n"/>
      <c r="F28" s="6" t="n">
        <v>-0.3</v>
      </c>
      <c r="G28" s="6" t="n"/>
      <c r="H28" s="6" t="n"/>
      <c r="I28" s="6" t="n"/>
      <c r="J28" s="6" t="n">
        <v>-0.3</v>
      </c>
    </row>
    <row r="29">
      <c r="A29" s="5" t="inlineStr">
        <is>
          <t>Balance at 31 December 2018 / 1 January 2019</t>
        </is>
      </c>
      <c r="B29" s="5" t="n">
        <v>175.5</v>
      </c>
      <c r="C29" s="5" t="n">
        <v>81</v>
      </c>
      <c r="D29" s="5" t="n">
        <v>125</v>
      </c>
      <c r="E29" s="5" t="n">
        <v>1.6</v>
      </c>
      <c r="F29" s="5" t="n">
        <v>16.4</v>
      </c>
      <c r="G29" s="5" t="n"/>
      <c r="H29" s="5" t="n"/>
      <c r="I29" s="5" t="n">
        <v>260.8</v>
      </c>
      <c r="J29" s="5" t="n">
        <v>660.3</v>
      </c>
    </row>
    <row r="30">
      <c r="A30" s="6" t="inlineStr">
        <is>
          <t>Profit for the year</t>
        </is>
      </c>
      <c r="B30" s="6" t="n"/>
      <c r="C30" s="6" t="n"/>
      <c r="D30" s="6" t="n"/>
      <c r="E30" s="6" t="n"/>
      <c r="F30" s="6" t="n"/>
      <c r="G30" s="6" t="n"/>
      <c r="H30" s="6" t="n"/>
      <c r="I30" s="6" t="n">
        <v>92.59999999999999</v>
      </c>
      <c r="J30" s="6" t="n">
        <v>92.59999999999999</v>
      </c>
    </row>
    <row r="31">
      <c r="A31" s="6" t="inlineStr">
        <is>
          <t>Coupon paid on capital securities</t>
        </is>
      </c>
      <c r="B31" s="6" t="n"/>
      <c r="C31" s="6" t="n"/>
      <c r="D31" s="6" t="n"/>
      <c r="E31" s="6" t="n"/>
      <c r="F31" s="6" t="n"/>
      <c r="G31" s="6" t="n"/>
      <c r="H31" s="6" t="n"/>
      <c r="I31" s="6" t="n">
        <v>-9.800000000000001</v>
      </c>
      <c r="J31" s="6" t="n">
        <v>-9.800000000000001</v>
      </c>
    </row>
    <row r="32">
      <c r="A32" s="6" t="inlineStr">
        <is>
          <t>Share-based payments</t>
        </is>
      </c>
      <c r="B32" s="6" t="n"/>
      <c r="C32" s="6" t="n"/>
      <c r="D32" s="6" t="n"/>
      <c r="E32" s="6" t="n"/>
      <c r="F32" s="6" t="n">
        <v>0.8</v>
      </c>
      <c r="G32" s="6" t="n"/>
      <c r="H32" s="6" t="n"/>
      <c r="I32" s="6" t="n"/>
      <c r="J32" s="6" t="n">
        <v>0.8</v>
      </c>
    </row>
    <row r="33">
      <c r="A33" s="5" t="inlineStr">
        <is>
          <t>Balance at 31 December 2019 / 1 January 2020</t>
        </is>
      </c>
      <c r="B33" s="5" t="n">
        <v>175.5</v>
      </c>
      <c r="C33" s="5" t="n">
        <v>81</v>
      </c>
      <c r="D33" s="5" t="n">
        <v>125</v>
      </c>
      <c r="E33" s="5" t="n">
        <v>1.6</v>
      </c>
      <c r="F33" s="5" t="n">
        <v>17.2</v>
      </c>
      <c r="G33" s="5" t="n"/>
      <c r="H33" s="5" t="n"/>
      <c r="I33" s="5" t="n">
        <v>343.6</v>
      </c>
      <c r="J33" s="5" t="n">
        <v>743.9</v>
      </c>
    </row>
    <row r="34">
      <c r="A34" s="6" t="inlineStr">
        <is>
          <t>Profit for the year</t>
        </is>
      </c>
      <c r="B34" s="6" t="n"/>
      <c r="C34" s="6" t="n"/>
      <c r="D34" s="6" t="n"/>
      <c r="E34" s="6" t="n"/>
      <c r="F34" s="6" t="n"/>
      <c r="G34" s="6" t="n"/>
      <c r="H34" s="6" t="n"/>
      <c r="I34" s="6" t="n">
        <v>58.3</v>
      </c>
      <c r="J34" s="6" t="n">
        <v>58.3</v>
      </c>
    </row>
    <row r="35">
      <c r="A35" s="6" t="inlineStr">
        <is>
          <t>Coupon paid on capital securities</t>
        </is>
      </c>
      <c r="B35" s="6" t="n"/>
      <c r="C35" s="6" t="n"/>
      <c r="D35" s="6" t="n"/>
      <c r="E35" s="6" t="n"/>
      <c r="F35" s="6" t="n"/>
      <c r="G35" s="6" t="n"/>
      <c r="H35" s="6" t="n"/>
      <c r="I35" s="6" t="n">
        <v>-9.800000000000001</v>
      </c>
      <c r="J35" s="6" t="n">
        <v>-9.800000000000001</v>
      </c>
    </row>
    <row r="36">
      <c r="A36" s="6" t="inlineStr">
        <is>
          <t>Share-based payments</t>
        </is>
      </c>
      <c r="B36" s="6" t="n"/>
      <c r="C36" s="6" t="n"/>
      <c r="D36" s="6" t="n"/>
      <c r="E36" s="6" t="n"/>
      <c r="F36" s="6" t="n">
        <v>0.5</v>
      </c>
      <c r="G36" s="6" t="n"/>
      <c r="H36" s="6" t="n"/>
      <c r="I36" s="6" t="n"/>
      <c r="J36" s="6" t="n">
        <v>0.5</v>
      </c>
    </row>
    <row r="37">
      <c r="A37" s="5" t="inlineStr">
        <is>
          <t>Balance at 31 December 2020 / 1 January 2021</t>
        </is>
      </c>
      <c r="B37" s="5" t="n">
        <v>175.5</v>
      </c>
      <c r="C37" s="5" t="n">
        <v>81</v>
      </c>
      <c r="D37" s="5" t="n">
        <v>125</v>
      </c>
      <c r="E37" s="5" t="n">
        <v>1.6</v>
      </c>
      <c r="F37" s="5" t="n">
        <v>17.7</v>
      </c>
      <c r="G37" s="5" t="n"/>
      <c r="H37" s="5" t="n"/>
      <c r="I37" s="5" t="n">
        <v>392.1</v>
      </c>
      <c r="J37" s="5" t="n">
        <v>792.9</v>
      </c>
    </row>
    <row r="38">
      <c r="A38" s="6" t="inlineStr">
        <is>
          <t>Profit for the year</t>
        </is>
      </c>
      <c r="B38" s="6" t="n"/>
      <c r="C38" s="6" t="n"/>
      <c r="D38" s="6" t="n"/>
      <c r="E38" s="6" t="n"/>
      <c r="F38" s="6" t="n"/>
      <c r="G38" s="6" t="n"/>
      <c r="H38" s="6" t="n"/>
      <c r="I38" s="6" t="n">
        <v>153.5</v>
      </c>
      <c r="J38" s="6" t="n">
        <v>153.5</v>
      </c>
    </row>
    <row r="39">
      <c r="A39" s="6" t="inlineStr">
        <is>
          <t>Equity-settled share-based payments</t>
        </is>
      </c>
      <c r="B39" s="6" t="n"/>
      <c r="C39" s="6" t="n"/>
      <c r="D39" s="6" t="n"/>
      <c r="E39" s="6" t="n"/>
      <c r="F39" s="6" t="n">
        <v>0.6</v>
      </c>
      <c r="G39" s="6" t="n"/>
      <c r="H39" s="6" t="n"/>
      <c r="I39" s="6" t="n"/>
      <c r="J39" s="6" t="n">
        <v>0.6</v>
      </c>
    </row>
    <row r="40">
      <c r="A40" s="6" t="inlineStr">
        <is>
          <t>Coupon paid on capital securities</t>
        </is>
      </c>
      <c r="B40" s="6" t="n"/>
      <c r="C40" s="6" t="n"/>
      <c r="D40" s="6" t="n"/>
      <c r="E40" s="6" t="n"/>
      <c r="F40" s="6" t="n"/>
      <c r="G40" s="6" t="n"/>
      <c r="H40" s="6" t="n"/>
      <c r="I40" s="6" t="n">
        <v>-9.800000000000001</v>
      </c>
      <c r="J40" s="6" t="n">
        <v>-9.800000000000001</v>
      </c>
    </row>
    <row r="41">
      <c r="A41" s="6" t="inlineStr">
        <is>
          <t>Capital contribution</t>
        </is>
      </c>
      <c r="B41" s="6" t="n"/>
      <c r="C41" s="6" t="n"/>
      <c r="D41" s="6" t="n"/>
      <c r="E41" s="6" t="n"/>
      <c r="F41" s="6" t="n">
        <v>5.6</v>
      </c>
      <c r="G41" s="6" t="n"/>
      <c r="H41" s="6" t="n"/>
      <c r="I41" s="6" t="n"/>
      <c r="J41" s="6" t="n">
        <v>5.6</v>
      </c>
    </row>
    <row r="42">
      <c r="A42" s="5" t="inlineStr">
        <is>
          <t>Balance at 31 December 2021 / 1 January 2022</t>
        </is>
      </c>
      <c r="B42" s="5" t="n">
        <v>175.5</v>
      </c>
      <c r="C42" s="5" t="n">
        <v>81</v>
      </c>
      <c r="D42" s="5" t="n">
        <v>125</v>
      </c>
      <c r="E42" s="5" t="n">
        <v>1.6</v>
      </c>
      <c r="F42" s="5" t="n">
        <v>23.9</v>
      </c>
      <c r="G42" s="5" t="n"/>
      <c r="H42" s="5" t="n"/>
      <c r="I42" s="5" t="n">
        <v>535.8</v>
      </c>
      <c r="J42" s="5" t="n">
        <v>942.8</v>
      </c>
    </row>
    <row r="43">
      <c r="A43" s="6" t="inlineStr">
        <is>
          <t>Profit for the year</t>
        </is>
      </c>
      <c r="B43" s="6" t="n"/>
      <c r="C43" s="6" t="n"/>
      <c r="D43" s="6" t="n"/>
      <c r="E43" s="6" t="n"/>
      <c r="F43" s="6" t="n"/>
      <c r="G43" s="6" t="n"/>
      <c r="H43" s="6" t="n"/>
      <c r="I43" s="6" t="n">
        <v>213</v>
      </c>
      <c r="J43" s="6" t="n">
        <v>213</v>
      </c>
    </row>
    <row r="44">
      <c r="A44" s="6" t="inlineStr">
        <is>
          <t>Movement in fair value through other comprehensive income reserve</t>
        </is>
      </c>
      <c r="B44" s="6" t="n"/>
      <c r="C44" s="6" t="n"/>
      <c r="D44" s="6" t="n"/>
      <c r="E44" s="6" t="n"/>
      <c r="F44" s="6" t="n"/>
      <c r="G44" s="6" t="n"/>
      <c r="H44" s="6" t="n">
        <v>-10.7</v>
      </c>
      <c r="I44" s="6" t="n"/>
      <c r="J44" s="6" t="n">
        <v>-10.7</v>
      </c>
    </row>
    <row r="45">
      <c r="A45" s="6" t="inlineStr">
        <is>
          <t>Equity-settled share-based payments</t>
        </is>
      </c>
      <c r="B45" s="6" t="n"/>
      <c r="C45" s="6" t="n"/>
      <c r="D45" s="6" t="n"/>
      <c r="E45" s="6" t="n"/>
      <c r="F45" s="6" t="n">
        <v>0.1</v>
      </c>
      <c r="G45" s="6" t="n"/>
      <c r="H45" s="6" t="n"/>
      <c r="I45" s="6" t="n"/>
      <c r="J45" s="6" t="n">
        <v>0.1</v>
      </c>
    </row>
    <row r="46">
      <c r="A46" s="6" t="inlineStr">
        <is>
          <t>Issue of capital securities</t>
        </is>
      </c>
      <c r="B46" s="6" t="n"/>
      <c r="C46" s="6" t="n"/>
      <c r="D46" s="6" t="n">
        <v>124</v>
      </c>
      <c r="E46" s="6" t="n"/>
      <c r="F46" s="6" t="n"/>
      <c r="G46" s="6" t="n"/>
      <c r="H46" s="6" t="n"/>
      <c r="I46" s="6" t="n"/>
      <c r="J46" s="6" t="n">
        <v>124</v>
      </c>
    </row>
    <row r="47">
      <c r="A47" s="6" t="inlineStr">
        <is>
          <t>Settlement of capital securities</t>
        </is>
      </c>
      <c r="B47" s="6" t="n"/>
      <c r="C47" s="6" t="n"/>
      <c r="D47" s="6" t="n">
        <v>-124</v>
      </c>
      <c r="E47" s="6" t="n"/>
      <c r="F47" s="6" t="n"/>
      <c r="G47" s="6" t="n"/>
      <c r="H47" s="6" t="n"/>
      <c r="I47" s="6" t="n"/>
      <c r="J47" s="6" t="n">
        <v>-124</v>
      </c>
    </row>
    <row r="48">
      <c r="A48" s="6" t="inlineStr">
        <is>
          <t>Coupon paid on capital securities</t>
        </is>
      </c>
      <c r="B48" s="6" t="n"/>
      <c r="C48" s="6" t="n"/>
      <c r="D48" s="6" t="n"/>
      <c r="E48" s="6" t="n"/>
      <c r="F48" s="6" t="n"/>
      <c r="G48" s="6" t="n"/>
      <c r="H48" s="6" t="n"/>
      <c r="I48" s="6" t="n">
        <v>-8.800000000000001</v>
      </c>
      <c r="J48" s="6" t="n">
        <v>-8.800000000000001</v>
      </c>
    </row>
    <row r="49">
      <c r="A49" s="5" t="inlineStr">
        <is>
          <t>Balance at 31 December 2022 / 1 January 2023</t>
        </is>
      </c>
      <c r="B49" s="5" t="n">
        <v>175.5</v>
      </c>
      <c r="C49" s="5" t="n">
        <v>81</v>
      </c>
      <c r="D49" s="5" t="n">
        <v>125</v>
      </c>
      <c r="E49" s="5" t="n">
        <v>1.6</v>
      </c>
      <c r="F49" s="5" t="n">
        <v>24</v>
      </c>
      <c r="G49" s="5" t="n"/>
      <c r="H49" s="5" t="n">
        <v>-10.7</v>
      </c>
      <c r="I49" s="5" t="n">
        <v>740</v>
      </c>
      <c r="J49" s="5" t="n">
        <v>1136.4</v>
      </c>
    </row>
    <row r="50">
      <c r="A50" s="6" t="inlineStr">
        <is>
          <t>Profit for the year</t>
        </is>
      </c>
      <c r="B50" s="6" t="n"/>
      <c r="C50" s="6" t="n"/>
      <c r="D50" s="6" t="n"/>
      <c r="E50" s="6" t="n"/>
      <c r="F50" s="6" t="n"/>
      <c r="G50" s="6" t="n"/>
      <c r="H50" s="6" t="n"/>
      <c r="I50" s="6" t="n">
        <v>246.4</v>
      </c>
      <c r="J50" s="6" t="n">
        <v>246.4</v>
      </c>
    </row>
    <row r="51">
      <c r="A51" s="6" t="inlineStr">
        <is>
          <t>Movement in cash flow hedging reserve</t>
        </is>
      </c>
      <c r="B51" s="6" t="n"/>
      <c r="C51" s="6" t="n"/>
      <c r="D51" s="6" t="n"/>
      <c r="E51" s="6" t="n"/>
      <c r="F51" s="6" t="n"/>
      <c r="G51" s="6" t="n">
        <v>0.1</v>
      </c>
      <c r="H51" s="6" t="n"/>
      <c r="I51" s="6" t="n"/>
      <c r="J51" s="6" t="n">
        <v>0.1</v>
      </c>
    </row>
    <row r="52">
      <c r="A52" s="6" t="inlineStr">
        <is>
          <t>Movement in fair value through other comprehensive income reserve</t>
        </is>
      </c>
      <c r="B52" s="6" t="n"/>
      <c r="C52" s="6" t="n"/>
      <c r="D52" s="6" t="n"/>
      <c r="E52" s="6" t="n"/>
      <c r="F52" s="6" t="n"/>
      <c r="G52" s="6" t="n"/>
      <c r="H52" s="6" t="n">
        <v>10.4</v>
      </c>
      <c r="I52" s="6" t="n"/>
      <c r="J52" s="6" t="n">
        <v>10.4</v>
      </c>
    </row>
    <row r="53">
      <c r="A53" s="6" t="inlineStr">
        <is>
          <t>Equity-settled share-based payments</t>
        </is>
      </c>
      <c r="B53" s="6" t="n"/>
      <c r="C53" s="6" t="n"/>
      <c r="D53" s="6" t="n"/>
      <c r="E53" s="6" t="n"/>
      <c r="F53" s="6" t="n">
        <v>0.7</v>
      </c>
      <c r="G53" s="6" t="n"/>
      <c r="H53" s="6" t="n"/>
      <c r="I53" s="6" t="n"/>
      <c r="J53" s="6" t="n">
        <v>0.7</v>
      </c>
    </row>
    <row r="54">
      <c r="A54" s="6" t="inlineStr">
        <is>
          <t>Coupon paid on capital securities</t>
        </is>
      </c>
      <c r="B54" s="6" t="n"/>
      <c r="C54" s="6" t="n"/>
      <c r="D54" s="6" t="n"/>
      <c r="E54" s="6" t="n"/>
      <c r="F54" s="6" t="n"/>
      <c r="G54" s="6" t="n"/>
      <c r="H54" s="6" t="n"/>
      <c r="I54" s="6" t="n">
        <v>-16.9</v>
      </c>
      <c r="J54" s="6" t="n">
        <v>-16.9</v>
      </c>
    </row>
    <row r="55">
      <c r="A55" s="6" t="inlineStr">
        <is>
          <t>Capital contribution</t>
        </is>
      </c>
      <c r="B55" s="6" t="n"/>
      <c r="C55" s="6" t="n"/>
      <c r="D55" s="6" t="n"/>
      <c r="E55" s="6" t="n"/>
      <c r="F55" s="6" t="n">
        <v>14.3</v>
      </c>
      <c r="G55" s="6" t="n"/>
      <c r="H55" s="6" t="n"/>
      <c r="I55" s="6" t="n"/>
      <c r="J55" s="6" t="n">
        <v>14.3</v>
      </c>
    </row>
    <row r="56">
      <c r="A56" s="5" t="inlineStr">
        <is>
          <t>Balance at 31 December 2023 / 1 January 2024</t>
        </is>
      </c>
      <c r="B56" s="5" t="n">
        <v>175.5</v>
      </c>
      <c r="C56" s="5" t="n">
        <v>81</v>
      </c>
      <c r="D56" s="5" t="n">
        <v>125</v>
      </c>
      <c r="E56" s="5" t="n">
        <v>1.6</v>
      </c>
      <c r="F56" s="5" t="n">
        <v>39</v>
      </c>
      <c r="G56" s="5" t="n">
        <v>0.1</v>
      </c>
      <c r="H56" s="5" t="n">
        <v>-0.3</v>
      </c>
      <c r="I56" s="5" t="n">
        <v>969.5</v>
      </c>
      <c r="J56" s="5" t="n">
        <v>1391.4</v>
      </c>
    </row>
    <row r="57">
      <c r="A57" s="6" t="inlineStr">
        <is>
          <t>Profit for the year</t>
        </is>
      </c>
      <c r="B57" s="6" t="n"/>
      <c r="C57" s="6" t="n"/>
      <c r="D57" s="6" t="n"/>
      <c r="E57" s="6" t="n"/>
      <c r="F57" s="6" t="n"/>
      <c r="G57" s="6" t="n"/>
      <c r="H57" s="6" t="n"/>
      <c r="I57" s="6" t="n">
        <v>203.2</v>
      </c>
      <c r="J57" s="6" t="n">
        <v>203.2</v>
      </c>
    </row>
    <row r="58">
      <c r="A58" s="6" t="inlineStr">
        <is>
          <t>Movement in fair value through other comprehensive income reserve</t>
        </is>
      </c>
      <c r="B58" s="6" t="n"/>
      <c r="C58" s="6" t="n"/>
      <c r="D58" s="6" t="n"/>
      <c r="E58" s="6" t="n"/>
      <c r="F58" s="6" t="n"/>
      <c r="G58" s="6" t="n"/>
      <c r="H58" s="6" t="n">
        <v>29.9</v>
      </c>
      <c r="I58" s="6" t="n"/>
      <c r="J58" s="6" t="n">
        <v>29.9</v>
      </c>
    </row>
    <row r="59">
      <c r="A59" s="6" t="inlineStr">
        <is>
          <t>Equity-settled share-based payments</t>
        </is>
      </c>
      <c r="B59" s="6" t="n"/>
      <c r="C59" s="6" t="n"/>
      <c r="D59" s="6" t="n"/>
      <c r="E59" s="6" t="n"/>
      <c r="F59" s="6" t="n">
        <v>0.7</v>
      </c>
      <c r="G59" s="6" t="n"/>
      <c r="H59" s="6" t="n"/>
      <c r="I59" s="6" t="n"/>
      <c r="J59" s="6" t="n">
        <v>0.7</v>
      </c>
    </row>
    <row r="60">
      <c r="A60" s="6" t="inlineStr">
        <is>
          <t>Coupon paid on capital securities</t>
        </is>
      </c>
      <c r="B60" s="6" t="n"/>
      <c r="C60" s="6" t="n"/>
      <c r="D60" s="6" t="n"/>
      <c r="E60" s="6" t="n"/>
      <c r="F60" s="6" t="n"/>
      <c r="G60" s="6" t="n"/>
      <c r="H60" s="6" t="n"/>
      <c r="I60" s="6" t="n">
        <v>-15.1</v>
      </c>
      <c r="J60" s="6" t="n">
        <v>-15.1</v>
      </c>
    </row>
    <row r="61">
      <c r="A61" s="5" t="inlineStr">
        <is>
          <t>Balance at 31 December 2024 / 1 January 2025</t>
        </is>
      </c>
      <c r="B61" s="5" t="n">
        <v>175.5</v>
      </c>
      <c r="C61" s="5" t="n">
        <v>81</v>
      </c>
      <c r="D61" s="5" t="n">
        <v>125</v>
      </c>
      <c r="E61" s="5" t="n">
        <v>1.6</v>
      </c>
      <c r="F61" s="5" t="n">
        <v>39.7</v>
      </c>
      <c r="G61" s="5" t="n">
        <v>0.1</v>
      </c>
      <c r="H61" s="5" t="n">
        <v>29.6</v>
      </c>
      <c r="I61" s="5" t="n">
        <v>1157.6</v>
      </c>
      <c r="J61" s="5" t="n">
        <v>1610.1</v>
      </c>
    </row>
    <row r="62">
      <c r="A62" s="6" t="inlineStr">
        <is>
          <t>Profit for the year</t>
        </is>
      </c>
      <c r="B62" s="6" t="n"/>
      <c r="C62" s="6" t="n"/>
      <c r="D62" s="6" t="n"/>
      <c r="E62" s="6" t="n"/>
      <c r="F62" s="6" t="n"/>
      <c r="G62" s="6" t="n"/>
      <c r="H62" s="6" t="n"/>
      <c r="I62" s="6" t="n">
        <v>189.2</v>
      </c>
      <c r="J62" s="6" t="n">
        <v>189.2</v>
      </c>
    </row>
    <row r="63">
      <c r="A63" s="6" t="inlineStr">
        <is>
          <t>Movement in cash flow hedging reserve</t>
        </is>
      </c>
      <c r="B63" s="6" t="n"/>
      <c r="C63" s="6" t="n"/>
      <c r="D63" s="6" t="n"/>
      <c r="E63" s="6" t="n"/>
      <c r="F63" s="6" t="n"/>
      <c r="G63" s="6" t="n">
        <v>1.2</v>
      </c>
      <c r="H63" s="6" t="n"/>
      <c r="I63" s="6" t="n"/>
      <c r="J63" s="6" t="n">
        <v>1.2</v>
      </c>
    </row>
    <row r="64">
      <c r="A64" s="6" t="inlineStr">
        <is>
          <t>Movement in fair value through other comprehensive income reserve</t>
        </is>
      </c>
      <c r="B64" s="6" t="n"/>
      <c r="C64" s="6" t="n"/>
      <c r="D64" s="6" t="n"/>
      <c r="E64" s="6" t="n"/>
      <c r="F64" s="6" t="n"/>
      <c r="G64" s="6" t="n"/>
      <c r="H64" s="6" t="n">
        <v>14.2</v>
      </c>
      <c r="I64" s="6" t="n"/>
      <c r="J64" s="6" t="n">
        <v>14.2</v>
      </c>
    </row>
    <row r="65">
      <c r="A65" s="6" t="inlineStr">
        <is>
          <t>Issue of ordinary shares</t>
        </is>
      </c>
      <c r="B65" s="6" t="n">
        <v>50</v>
      </c>
      <c r="C65" s="6" t="n"/>
      <c r="D65" s="6" t="n"/>
      <c r="E65" s="6" t="n"/>
      <c r="F65" s="6" t="n"/>
      <c r="G65" s="6" t="n"/>
      <c r="H65" s="6" t="n"/>
      <c r="I65" s="6" t="n"/>
      <c r="J65" s="6" t="n">
        <v>50</v>
      </c>
    </row>
    <row r="66">
      <c r="A66" s="6" t="inlineStr">
        <is>
          <t>Equity-settled share-based payments</t>
        </is>
      </c>
      <c r="B66" s="6" t="n"/>
      <c r="C66" s="6" t="n"/>
      <c r="D66" s="6" t="n"/>
      <c r="E66" s="6" t="n"/>
      <c r="F66" s="6" t="n"/>
      <c r="G66" s="6" t="n"/>
      <c r="H66" s="6" t="n"/>
      <c r="I66" s="6" t="n">
        <v>26.1</v>
      </c>
      <c r="J66" s="6" t="n">
        <v>26.1</v>
      </c>
    </row>
    <row r="67">
      <c r="A67" s="6" t="inlineStr">
        <is>
          <t>Coupon paid on capital securities</t>
        </is>
      </c>
      <c r="B67" s="6" t="n"/>
      <c r="C67" s="6" t="n"/>
      <c r="D67" s="6" t="n"/>
      <c r="E67" s="6" t="n"/>
      <c r="F67" s="6" t="n"/>
      <c r="G67" s="6" t="n"/>
      <c r="H67" s="6" t="n"/>
      <c r="I67" s="6" t="n">
        <v>-15.1</v>
      </c>
      <c r="J67" s="6" t="n">
        <v>-15.1</v>
      </c>
    </row>
    <row r="68">
      <c r="A68" s="5" t="inlineStr">
        <is>
          <t>Balance at 31 December 2025</t>
        </is>
      </c>
      <c r="B68" s="5" t="n">
        <v>225.5</v>
      </c>
      <c r="C68" s="5" t="n">
        <v>81</v>
      </c>
      <c r="D68" s="5" t="n">
        <v>125</v>
      </c>
      <c r="E68" s="5" t="n">
        <v>1.6</v>
      </c>
      <c r="F68" s="5" t="n">
        <v>39.7</v>
      </c>
      <c r="G68" s="5" t="n">
        <v>1.3</v>
      </c>
      <c r="H68" s="5" t="n">
        <v>43.8</v>
      </c>
      <c r="I68" s="5" t="n">
        <v>1357.8</v>
      </c>
      <c r="J68" s="5" t="n">
        <v>1875.7</v>
      </c>
    </row>
    <row r="70" ht="260" customHeight="1">
      <c r="A70"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Company Cash Flow Statement</t>
        </is>
      </c>
    </row>
    <row r="2">
      <c r="A2" s="2" t="inlineStr">
        <is>
          <t>Company/entity basis, £m; FY2014-FY2025 calendar year-ends. FY2014-FY2017 granular operating-asset/liability line items are condensed into the same 2-line 'increase/decrease' format used from FY2018 onward; each year's condensed subtotal ties exactly to that year's own disclosed net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row>
    <row r="11">
      <c r="A11" s="5" t="inlineStr">
        <is>
          <t>Cash flows from investing activities</t>
        </is>
      </c>
      <c r="B11" s="6" t="n"/>
      <c r="C11" s="6" t="n"/>
      <c r="D11" s="6" t="n"/>
      <c r="E11" s="6" t="n"/>
      <c r="F11" s="6" t="n"/>
      <c r="G11" s="6" t="n"/>
      <c r="H11" s="6" t="n"/>
      <c r="I11" s="6" t="n"/>
      <c r="J11" s="6" t="n"/>
      <c r="K11" s="6" t="n"/>
      <c r="L11" s="6" t="n"/>
      <c r="M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row>
    <row r="15">
      <c r="A15" s="6" t="inlineStr">
        <is>
          <t>Sale of property, plant and equipment</t>
        </is>
      </c>
      <c r="B15" s="6" t="n"/>
      <c r="C15" s="6" t="n"/>
      <c r="D15" s="6" t="n"/>
      <c r="E15" s="6" t="n"/>
      <c r="F15" s="6" t="n"/>
      <c r="G15" s="6" t="n"/>
      <c r="H15" s="6" t="n"/>
      <c r="I15" s="6" t="n"/>
      <c r="J15" s="6" t="n"/>
      <c r="K15" s="6" t="n">
        <v>0.2</v>
      </c>
      <c r="L15" s="6" t="n">
        <v>2.7</v>
      </c>
      <c r="M15" s="6" t="n">
        <v>2.2</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row>
    <row r="17">
      <c r="A17" s="6" t="inlineStr">
        <is>
          <t>Investment in right-of-use asset</t>
        </is>
      </c>
      <c r="B17" s="6" t="n">
        <v>0</v>
      </c>
      <c r="C17" s="6" t="n">
        <v>-6.9</v>
      </c>
      <c r="D17" s="6" t="n">
        <v>0</v>
      </c>
      <c r="E17" s="6" t="n">
        <v>0</v>
      </c>
      <c r="F17" s="6" t="n">
        <v>0</v>
      </c>
      <c r="G17" s="6" t="n"/>
      <c r="H17" s="6" t="n"/>
      <c r="I17" s="6" t="n"/>
      <c r="J17" s="6" t="n"/>
      <c r="K17" s="6" t="n"/>
      <c r="L17" s="6" t="n"/>
      <c r="M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row>
    <row r="19">
      <c r="A19" s="6" t="inlineStr">
        <is>
          <t>Disposal of subsidiary, net of cash disposed</t>
        </is>
      </c>
      <c r="B19" s="6" t="n"/>
      <c r="C19" s="6" t="n"/>
      <c r="D19" s="6" t="n"/>
      <c r="E19" s="6" t="n"/>
      <c r="F19" s="6" t="n"/>
      <c r="G19" s="6" t="n"/>
      <c r="H19" s="6" t="n">
        <v>28.4</v>
      </c>
      <c r="I19" s="6" t="n"/>
      <c r="J19" s="6" t="n"/>
      <c r="K19" s="6" t="n"/>
      <c r="L19" s="6" t="n"/>
      <c r="M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row>
    <row r="21">
      <c r="A21" s="5" t="inlineStr">
        <is>
          <t>Cash flows from financing activities</t>
        </is>
      </c>
      <c r="B21" s="6" t="n"/>
      <c r="C21" s="6" t="n"/>
      <c r="D21" s="6" t="n"/>
      <c r="E21" s="6" t="n"/>
      <c r="F21" s="6" t="n"/>
      <c r="G21" s="6" t="n"/>
      <c r="H21" s="6" t="n"/>
      <c r="I21" s="6" t="n"/>
      <c r="J21" s="6" t="n"/>
      <c r="K21" s="6" t="n"/>
      <c r="L21" s="6" t="n"/>
      <c r="M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row>
    <row r="23">
      <c r="A23" s="6" t="inlineStr">
        <is>
          <t>Issue of debt securities</t>
        </is>
      </c>
      <c r="B23" s="6" t="n">
        <v>0</v>
      </c>
      <c r="C23" s="6" t="n">
        <v>0</v>
      </c>
      <c r="D23" s="6" t="n">
        <v>0</v>
      </c>
      <c r="E23" s="6" t="n">
        <v>0</v>
      </c>
      <c r="F23" s="6" t="n">
        <v>0</v>
      </c>
      <c r="G23" s="6" t="n"/>
      <c r="H23" s="6" t="n"/>
      <c r="I23" s="6" t="n"/>
      <c r="J23" s="6" t="n"/>
      <c r="K23" s="6" t="n"/>
      <c r="L23" s="6" t="n"/>
      <c r="M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row>
    <row r="34">
      <c r="A34" s="6" t="inlineStr">
        <is>
          <t>Capital contribution</t>
        </is>
      </c>
      <c r="B34" s="6" t="n">
        <v>0</v>
      </c>
      <c r="C34" s="6" t="n">
        <v>0</v>
      </c>
      <c r="D34" s="6" t="n">
        <v>14.3</v>
      </c>
      <c r="E34" s="6" t="n">
        <v>0</v>
      </c>
      <c r="F34" s="6" t="n">
        <v>0</v>
      </c>
      <c r="G34" s="6" t="n"/>
      <c r="H34" s="6" t="n"/>
      <c r="I34" s="6" t="n"/>
      <c r="J34" s="6" t="n"/>
      <c r="K34" s="6" t="n"/>
      <c r="L34" s="6" t="n"/>
      <c r="M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row>
    <row r="36">
      <c r="A36" s="6" t="inlineStr">
        <is>
          <t>Payment of subordinated debt interest</t>
        </is>
      </c>
      <c r="B36" s="6" t="n"/>
      <c r="C36" s="6" t="n"/>
      <c r="D36" s="6" t="n"/>
      <c r="E36" s="6" t="n"/>
      <c r="F36" s="6" t="n"/>
      <c r="G36" s="6" t="n"/>
      <c r="H36" s="6" t="n"/>
      <c r="I36" s="6" t="n">
        <v>-6.4</v>
      </c>
      <c r="J36" s="6" t="n">
        <v>-6.4</v>
      </c>
      <c r="K36" s="6" t="n">
        <v>-5.3</v>
      </c>
      <c r="L36" s="6" t="n"/>
      <c r="M36" s="6" t="n"/>
    </row>
    <row r="37">
      <c r="A37" s="6" t="inlineStr">
        <is>
          <t>Net proceeds from issue of capital securities</t>
        </is>
      </c>
      <c r="B37" s="6" t="n"/>
      <c r="C37" s="6" t="n"/>
      <c r="D37" s="6" t="n"/>
      <c r="E37" s="6" t="n"/>
      <c r="F37" s="6" t="n"/>
      <c r="G37" s="6" t="n"/>
      <c r="H37" s="6" t="n"/>
      <c r="I37" s="6" t="n"/>
      <c r="J37" s="6" t="n">
        <v>125</v>
      </c>
      <c r="K37" s="6" t="n"/>
      <c r="L37" s="6" t="n"/>
      <c r="M37" s="6" t="n"/>
    </row>
    <row r="38">
      <c r="A38" s="6" t="inlineStr">
        <is>
          <t>Dividends paid to parent/shareholders</t>
        </is>
      </c>
      <c r="B38" s="6" t="n"/>
      <c r="C38" s="6" t="n"/>
      <c r="D38" s="6" t="n"/>
      <c r="E38" s="6" t="n"/>
      <c r="F38" s="6" t="n"/>
      <c r="G38" s="6" t="n"/>
      <c r="H38" s="6" t="n"/>
      <c r="I38" s="6" t="n"/>
      <c r="J38" s="6" t="n">
        <v>-19.5</v>
      </c>
      <c r="K38" s="6" t="n"/>
      <c r="L38" s="6" t="n">
        <v>-4</v>
      </c>
      <c r="M38" s="6" t="n"/>
    </row>
    <row r="39">
      <c r="A39" s="6" t="inlineStr">
        <is>
          <t>Repayment of Centric third party funding</t>
        </is>
      </c>
      <c r="B39" s="6" t="n"/>
      <c r="C39" s="6" t="n"/>
      <c r="D39" s="6" t="n"/>
      <c r="E39" s="6" t="n"/>
      <c r="F39" s="6" t="n"/>
      <c r="G39" s="6" t="n"/>
      <c r="H39" s="6" t="n"/>
      <c r="I39" s="6" t="n"/>
      <c r="J39" s="6" t="n"/>
      <c r="K39" s="6" t="n"/>
      <c r="L39" s="6" t="n"/>
      <c r="M39" s="6" t="n">
        <v>-138.2</v>
      </c>
    </row>
    <row r="40">
      <c r="A40" s="5" t="inlineStr">
        <is>
          <t>Net cash (used by)/generated from financing activities</t>
        </is>
      </c>
      <c r="B40" s="5" t="n">
        <v>155.8</v>
      </c>
      <c r="C40" s="5" t="n">
        <v>140.3</v>
      </c>
      <c r="D40" s="5" t="n">
        <v>-1.1</v>
      </c>
      <c r="E40" s="5" t="n">
        <v>-76.09999999999999</v>
      </c>
      <c r="F40" s="5" t="n">
        <v>508.2</v>
      </c>
      <c r="G40" s="5" t="n">
        <v>-95.09999999999999</v>
      </c>
      <c r="H40" s="5" t="n">
        <v>147.8</v>
      </c>
      <c r="I40" s="5" t="n">
        <v>405.9</v>
      </c>
      <c r="J40" s="5" t="n">
        <v>558.7</v>
      </c>
      <c r="K40" s="5" t="n">
        <v>102.5</v>
      </c>
      <c r="L40" s="5" t="n">
        <v>118.2</v>
      </c>
      <c r="M40" s="5" t="n">
        <v>-76.3</v>
      </c>
    </row>
    <row r="41">
      <c r="A41" s="5" t="inlineStr">
        <is>
          <t>Net (decrease)/increase in cash and cash equivalents</t>
        </is>
      </c>
      <c r="B41" s="5" t="n">
        <v>-368.8</v>
      </c>
      <c r="C41" s="5" t="n">
        <v>7.8</v>
      </c>
      <c r="D41" s="5" t="n">
        <v>278.3</v>
      </c>
      <c r="E41" s="5" t="n">
        <v>485.7</v>
      </c>
      <c r="F41" s="5" t="n">
        <v>381.8</v>
      </c>
      <c r="G41" s="5" t="n">
        <v>235.5</v>
      </c>
      <c r="H41" s="5" t="n">
        <v>418</v>
      </c>
      <c r="I41" s="5" t="n">
        <v>-90.3</v>
      </c>
      <c r="J41" s="5" t="n">
        <v>326.7</v>
      </c>
      <c r="K41" s="5" t="n">
        <v>-100.5</v>
      </c>
      <c r="L41" s="5" t="n">
        <v>202.7</v>
      </c>
      <c r="M41" s="5" t="n">
        <v>118.2</v>
      </c>
    </row>
    <row r="42">
      <c r="A42" s="6" t="inlineStr">
        <is>
          <t>Cash and cash equivalents as at 1 January</t>
        </is>
      </c>
      <c r="B42" s="6" t="n">
        <v>2493.5</v>
      </c>
      <c r="C42" s="6" t="n">
        <v>2485.7</v>
      </c>
      <c r="D42" s="6" t="n">
        <v>2207.4</v>
      </c>
      <c r="E42" s="6" t="n">
        <v>1721.7</v>
      </c>
      <c r="F42" s="6" t="n">
        <v>1339.9</v>
      </c>
      <c r="G42" s="6" t="n">
        <v>1104.4</v>
      </c>
      <c r="H42" s="6" t="n">
        <v>686.4</v>
      </c>
      <c r="I42" s="6" t="n">
        <v>776.7</v>
      </c>
      <c r="J42" s="6" t="n">
        <v>450</v>
      </c>
      <c r="K42" s="6" t="n">
        <v>550.5</v>
      </c>
      <c r="L42" s="6" t="n">
        <v>347.8</v>
      </c>
      <c r="M42" s="6" t="n">
        <v>229.6</v>
      </c>
    </row>
    <row r="43">
      <c r="A43" s="5" t="inlineStr">
        <is>
          <t>Cash and cash equivalents as at 31 December</t>
        </is>
      </c>
      <c r="B43" s="5" t="n">
        <v>2124.7</v>
      </c>
      <c r="C43" s="5" t="n">
        <v>2493.5</v>
      </c>
      <c r="D43" s="5" t="n">
        <v>2485.7</v>
      </c>
      <c r="E43" s="5" t="n">
        <v>2207.4</v>
      </c>
      <c r="F43" s="5" t="n">
        <v>1721.7</v>
      </c>
      <c r="G43" s="5" t="n">
        <v>1339.9</v>
      </c>
      <c r="H43" s="5" t="n">
        <v>1104.4</v>
      </c>
      <c r="I43" s="5" t="n">
        <v>686.4</v>
      </c>
      <c r="J43" s="5" t="n">
        <v>776.7</v>
      </c>
      <c r="K43" s="5" t="n">
        <v>450</v>
      </c>
      <c r="L43" s="5" t="n">
        <v>550.5</v>
      </c>
      <c r="M43" s="5" t="n">
        <v>347.8</v>
      </c>
    </row>
    <row r="45" ht="230" customHeight="1">
      <c r="A45" s="8" t="inlineStr">
        <is>
          <t>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t>
        </is>
      </c>
    </row>
  </sheetData>
  <mergeCells count="1">
    <mergeCell ref="A45:M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c r="C4" s="6" t="n">
        <v>1297</v>
      </c>
      <c r="D4" s="6" t="n">
        <v>1122.7</v>
      </c>
      <c r="E4" s="6" t="n">
        <v>951.5</v>
      </c>
      <c r="F4" s="6" t="n">
        <v>775.7</v>
      </c>
      <c r="G4" s="6" t="n">
        <v>663.8</v>
      </c>
      <c r="H4" s="6" t="n">
        <v>594.4</v>
      </c>
      <c r="I4" s="6" t="n">
        <v>514.4</v>
      </c>
      <c r="J4" s="6" t="n">
        <v>431.4</v>
      </c>
      <c r="K4" s="6" t="n">
        <v>367.6</v>
      </c>
      <c r="L4" s="6" t="n">
        <v>308.6</v>
      </c>
      <c r="M4" s="6" t="n">
        <v>168.4</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inlineStr">
        <is>
          <t>13.0%</t>
        </is>
      </c>
      <c r="D4" s="6" t="inlineStr">
        <is>
          <t>12.9%</t>
        </is>
      </c>
      <c r="E4" s="6" t="inlineStr">
        <is>
          <t>12.7%</t>
        </is>
      </c>
      <c r="F4" s="6" t="inlineStr">
        <is>
          <t>12.6%</t>
        </is>
      </c>
      <c r="G4" s="6" t="inlineStr">
        <is>
          <t>12.6%</t>
        </is>
      </c>
      <c r="H4" s="6" t="inlineStr">
        <is>
          <t>12.0%</t>
        </is>
      </c>
      <c r="I4" s="6" t="n"/>
      <c r="J4" s="6" t="n"/>
      <c r="K4" s="6" t="n"/>
      <c r="L4" s="6" t="inlineStr">
        <is>
          <t>14.2%</t>
        </is>
      </c>
      <c r="M4" s="6" t="inlineStr">
        <is>
          <t>11.5%</t>
        </is>
      </c>
    </row>
    <row r="5" ht="60" customHeight="1">
      <c r="A5" s="7" t="inlineStr">
        <is>
          <t>Note: FY2018-FY2016 blank: no Bank-level Total RWA is available those years (see Total RWAs note), so a CET1 ratio cannot be computed without a Group proxy. FY2015/FY2014 CET1 ratio equals the Bank's disclosed Tier 1 capital ratio, since CET1 = Tier 1 capital in both years (no Additional Tier 1 issued until FY2017).</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1422</v>
      </c>
      <c r="D4" s="6" t="n">
        <v>1247.7</v>
      </c>
      <c r="E4" s="6" t="n">
        <v>1076.5</v>
      </c>
      <c r="F4" s="6" t="n">
        <v>900.7</v>
      </c>
      <c r="G4" s="6" t="n">
        <v>788.8</v>
      </c>
      <c r="H4" s="6" t="n">
        <v>719.4</v>
      </c>
      <c r="I4" s="6" t="n">
        <v>639.4</v>
      </c>
      <c r="J4" s="6" t="n">
        <v>556.4</v>
      </c>
      <c r="K4" s="6" t="n">
        <v>367.6</v>
      </c>
      <c r="L4" s="6" t="n">
        <v>308.6</v>
      </c>
      <c r="M4" s="6" t="n">
        <v>168.4</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14.3%</t>
        </is>
      </c>
      <c r="D4" s="6" t="inlineStr">
        <is>
          <t>14.3%</t>
        </is>
      </c>
      <c r="E4" s="6" t="inlineStr">
        <is>
          <t>14.6%</t>
        </is>
      </c>
      <c r="F4" s="6" t="inlineStr">
        <is>
          <t>14.7%</t>
        </is>
      </c>
      <c r="G4" s="6" t="inlineStr">
        <is>
          <t>15.0%</t>
        </is>
      </c>
      <c r="H4" s="6" t="inlineStr">
        <is>
          <t>14.5%</t>
        </is>
      </c>
      <c r="I4" s="6" t="n"/>
      <c r="J4" s="6" t="n"/>
      <c r="K4" s="6" t="n"/>
      <c r="L4" s="6" t="inlineStr">
        <is>
          <t>14.2%</t>
        </is>
      </c>
      <c r="M4" s="6" t="inlineStr">
        <is>
          <t>11.5%</t>
        </is>
      </c>
    </row>
    <row r="5" ht="60" customHeight="1">
      <c r="A5" s="7" t="inlineStr">
        <is>
          <t>Note: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1586.2</v>
      </c>
      <c r="D4" s="6" t="n">
        <v>1431.7</v>
      </c>
      <c r="E4" s="6" t="n">
        <v>1171.5</v>
      </c>
      <c r="F4" s="6" t="n">
        <v>995.7</v>
      </c>
      <c r="G4" s="6" t="n">
        <v>883.8</v>
      </c>
      <c r="H4" s="6" t="n">
        <v>814.3</v>
      </c>
      <c r="I4" s="6" t="n">
        <v>714.4</v>
      </c>
      <c r="J4" s="6" t="n">
        <v>642.4</v>
      </c>
      <c r="K4" s="6" t="n">
        <v>452.4</v>
      </c>
      <c r="L4" s="6" t="n">
        <v>388.2</v>
      </c>
      <c r="M4" s="6" t="n">
        <v>202.2</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15.9%</t>
        </is>
      </c>
      <c r="D4" s="6" t="inlineStr">
        <is>
          <t>16.4%</t>
        </is>
      </c>
      <c r="E4" s="6" t="inlineStr">
        <is>
          <t>15.9%</t>
        </is>
      </c>
      <c r="F4" s="6" t="inlineStr">
        <is>
          <t>16.2%</t>
        </is>
      </c>
      <c r="G4" s="6" t="inlineStr">
        <is>
          <t>16.8%</t>
        </is>
      </c>
      <c r="H4" s="6" t="inlineStr">
        <is>
          <t>16.4%</t>
        </is>
      </c>
      <c r="I4" s="6" t="n"/>
      <c r="J4" s="6" t="n"/>
      <c r="K4" s="6" t="n"/>
      <c r="L4" s="6" t="inlineStr">
        <is>
          <t>17.9%</t>
        </is>
      </c>
      <c r="M4" s="6" t="inlineStr">
        <is>
          <t>13.8%</t>
        </is>
      </c>
    </row>
    <row r="5" ht="60" customHeight="1">
      <c r="A5" s="7" t="inlineStr">
        <is>
          <t>Note: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c r="C4" s="6" t="n">
        <v>9952.200000000001</v>
      </c>
      <c r="D4" s="6" t="n">
        <v>8707.299999999999</v>
      </c>
      <c r="E4" s="6" t="n">
        <v>7466.4</v>
      </c>
      <c r="F4" s="6" t="n">
        <v>6134</v>
      </c>
      <c r="G4" s="6" t="n">
        <v>5268.4</v>
      </c>
      <c r="H4" s="6" t="n">
        <v>4972.5</v>
      </c>
      <c r="I4" s="6" t="n"/>
      <c r="J4" s="6" t="n"/>
      <c r="K4" s="6" t="n"/>
      <c r="L4" s="6" t="n">
        <v>2175.9</v>
      </c>
      <c r="M4" s="6" t="n">
        <v>1460</v>
      </c>
    </row>
    <row r="5" ht="60" customHeight="1">
      <c r="A5" s="7" t="inlineStr">
        <is>
          <t>Note: FY2016-FY2018 blank: those years' Pillar 3 disclosures give a Bank-level credit-risk RWA figure but never disclose a Bank-level operational-risk RWA component, so Total RWA cannot be assembled without substituting a Group figure - not done, per this workbook's convention. FY2019 uses the comparative column in the FY2020 Pillar 3 disclosure (the first year with a full Bank RWA-by-category table); FY2019's own document did not disclose this breakdown. FY2015/FY2014 are derived from the Bank's own disclosed Pillar 1 capital requirement (Credit risk + Operational risk) grossed up at 8%.</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blank - the only available FY2025 Pillar 3 publication is Group-only (post-listing) and is not substituted for Bank data. FY2022 uses the restated figures published in the FY2023 Pillar 3 disclosure (RWAs increased £80.6m on a CVA/CCR adjustment - see source note). FY2016-FY2018 blank - no Bank-level operational-risk RWA is disclosed those years. FY2015/FY2014 categories are derived from the Bank's own disclosed Pillar 1 capital requirement (Credit risk + Operational risk) grossed up at 8%, since no RWA-by-category template existed yet; no CCR/securitisation breakout is available at Bank level for those two years. All other populated years sum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(Pillar 3 UK OV1 template FY2022-FY2024; EU OV1 template FY2021)</t>
        </is>
      </c>
      <c r="B4" s="6" t="n"/>
      <c r="C4" s="6" t="n"/>
      <c r="D4" s="6" t="n"/>
      <c r="E4" s="6" t="n"/>
      <c r="F4" s="6" t="n"/>
      <c r="G4" s="6" t="n"/>
      <c r="H4" s="6" t="n"/>
      <c r="I4" s="6" t="n"/>
      <c r="J4" s="6" t="n"/>
      <c r="K4" s="6" t="n"/>
      <c r="L4" s="6" t="n"/>
      <c r="M4" s="6" t="n"/>
    </row>
    <row r="5">
      <c r="A5" s="6" t="inlineStr">
        <is>
          <t>Credit risk (excluding CCR)</t>
        </is>
      </c>
      <c r="B5" s="6" t="n"/>
      <c r="C5" s="6" t="n">
        <v>8925.4</v>
      </c>
      <c r="D5" s="6" t="n">
        <v>7942.9</v>
      </c>
      <c r="E5" s="6" t="n">
        <v>6768</v>
      </c>
      <c r="F5" s="6" t="n">
        <v>5582.3</v>
      </c>
      <c r="G5" s="6" t="n">
        <v>4748</v>
      </c>
      <c r="H5" s="6" t="n">
        <v>4519</v>
      </c>
      <c r="I5" s="6" t="n"/>
      <c r="J5" s="6" t="n"/>
      <c r="K5" s="6" t="n"/>
      <c r="L5" s="6" t="n">
        <v>2051.3</v>
      </c>
      <c r="M5" s="6" t="n">
        <v>1405</v>
      </c>
    </row>
    <row r="6">
      <c r="A6" s="6" t="inlineStr">
        <is>
          <t>Counterparty credit risk (CCR) - credit valuation adjustment</t>
        </is>
      </c>
      <c r="B6" s="6" t="n"/>
      <c r="C6" s="6" t="n">
        <v>4.2</v>
      </c>
      <c r="D6" s="6" t="n">
        <v>2.7</v>
      </c>
      <c r="E6" s="6" t="n">
        <v>65.09999999999999</v>
      </c>
      <c r="F6" s="6" t="n">
        <v>1</v>
      </c>
      <c r="G6" s="6" t="n">
        <v>2.6</v>
      </c>
      <c r="H6" s="6" t="n">
        <v>3.8</v>
      </c>
      <c r="I6" s="6" t="n"/>
      <c r="J6" s="6" t="n"/>
      <c r="K6" s="6" t="n"/>
      <c r="L6" s="6" t="n"/>
      <c r="M6" s="6" t="n"/>
    </row>
    <row r="7">
      <c r="A7" s="6" t="inlineStr">
        <is>
          <t>Securitisation exposures in the non-trading book (after the cap)</t>
        </is>
      </c>
      <c r="B7" s="6" t="n"/>
      <c r="C7" s="6" t="n">
        <v>117.3</v>
      </c>
      <c r="D7" s="6" t="n">
        <v>46.2</v>
      </c>
      <c r="E7" s="6" t="n">
        <v>31.8</v>
      </c>
      <c r="F7" s="6" t="n">
        <v>20.9</v>
      </c>
      <c r="G7" s="6" t="n">
        <v>15.9</v>
      </c>
      <c r="H7" s="6" t="n"/>
      <c r="I7" s="6" t="n"/>
      <c r="J7" s="6" t="n"/>
      <c r="K7" s="6" t="n"/>
      <c r="L7" s="6" t="n"/>
      <c r="M7" s="6" t="n"/>
    </row>
    <row r="8">
      <c r="A8" s="6" t="inlineStr">
        <is>
          <t>Operational risk</t>
        </is>
      </c>
      <c r="B8" s="6" t="n"/>
      <c r="C8" s="6" t="n">
        <v>905.3</v>
      </c>
      <c r="D8" s="6" t="n">
        <v>715.5</v>
      </c>
      <c r="E8" s="6" t="n">
        <v>601.5</v>
      </c>
      <c r="F8" s="6" t="n">
        <v>529.8</v>
      </c>
      <c r="G8" s="6" t="n">
        <v>501.9</v>
      </c>
      <c r="H8" s="6" t="n">
        <v>449.7</v>
      </c>
      <c r="I8" s="6" t="n"/>
      <c r="J8" s="6" t="n"/>
      <c r="K8" s="6" t="n"/>
      <c r="L8" s="6" t="n">
        <v>122.5</v>
      </c>
      <c r="M8" s="6" t="n">
        <v>55</v>
      </c>
    </row>
    <row r="9">
      <c r="A9" s="5" t="inlineStr">
        <is>
          <t>Total RWAs</t>
        </is>
      </c>
      <c r="B9" s="5" t="n"/>
      <c r="C9" s="5" t="n">
        <v>9952.200000000001</v>
      </c>
      <c r="D9" s="5" t="n">
        <v>8707.299999999999</v>
      </c>
      <c r="E9" s="5" t="n">
        <v>7466.4</v>
      </c>
      <c r="F9" s="5" t="n">
        <v>6134</v>
      </c>
      <c r="G9" s="5" t="n">
        <v>5268.4</v>
      </c>
      <c r="H9" s="5" t="n">
        <v>4972.5</v>
      </c>
      <c r="I9" s="5" t="n"/>
      <c r="J9" s="5" t="n"/>
      <c r="K9" s="5" t="n"/>
      <c r="L9" s="5" t="n">
        <v>2175.9</v>
      </c>
      <c r="M9" s="5" t="n">
        <v>1460</v>
      </c>
    </row>
    <row r="11" ht="220" customHeight="1">
      <c r="A1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not applicable - see subtitle - https://www.shawbrook.co.uk/media/w5chxn4q/shawbrook-pillar-3-disclosures-2025.pdf
FY2020: Pillar 3 Disclosures 2020, Appendix 1 capital-composition table (Bank-level RWA by category), p.49 - https://www.shawbrook.co.uk/media/xexpjjkq/shawbrook-pillar-3-disclosures-2020.pdf
FY2019: Pillar 3 Disclosures 2020, Appendix 1, FY2019 comparative column, p.49 (FY2019's own Pillar 3 document did not itself disclose a Bank-level operational-risk RWA) - https://www.shawbrook.co.uk/media/xexpjjkq/shawbrook-pillar-3-disclosures-2020.pdf
FY2018/FY2017/FY2016: not applicable - see subtitle - https://www.shawbrook.co.uk/media/kfnfg0oe/shawbrook-pillar-3-disclosures-2018.pdf, https://www.shawbrook.co.uk/media/3lifgtxe/shawbrook-pillar-3-disclosures-2017.pdf, https://www.shawbrook.co.uk/media/1lhngswy/shawbrook-pillar-3-disclosures-2016.pdf
FY2015 (derived): Pillar 3 Disclosures 2015, Appendix 1 'Pillar 1 requirements' table, p.33 (Credit risk £164.1m, Operational risk £9.8m, each grossed up at 8%) - https://www.shawbrook.co.uk/media/wdvhqxsn/shawbrook-pillar-3-disclosures-2015.pdf
FY2014 (derived): Pillar 3 Disclosures 2014, Appendix 1 'Pillar 1 requirements' table, p.39-40 (Credit risk £112.4m, Operational risk £4.4m, each grossed up at 8%) - https://www.shawbrook.co.uk/media/qsxpg41l/shawbrook-pillar-3-disclosures-2014.pdf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n"/>
      <c r="C4" s="6" t="inlineStr">
        <is>
          <t>265.0%</t>
        </is>
      </c>
      <c r="D4" s="6" t="inlineStr">
        <is>
          <t>310.9%</t>
        </is>
      </c>
      <c r="E4" s="6" t="inlineStr">
        <is>
          <t>290.3%</t>
        </is>
      </c>
      <c r="F4" s="6" t="n"/>
      <c r="G4" s="6" t="n"/>
      <c r="H4" s="6" t="n"/>
      <c r="I4" s="6" t="n"/>
      <c r="J4" s="6" t="n"/>
      <c r="K4" s="6" t="n"/>
      <c r="L4" s="6" t="n"/>
      <c r="M4" s="6" t="n"/>
    </row>
    <row r="5" ht="60" customHeight="1">
      <c r="A5" s="7" t="inlineStr">
        <is>
          <t>Note: Bank-specific FY2021 LCR was not provided; Group data was not substituted. No Bank-specific LCR is disclosed for any of FY2014-FY2020 either - Group-only throughout.</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n"/>
      <c r="C4" s="6" t="inlineStr">
        <is>
          <t>134.5%</t>
        </is>
      </c>
      <c r="D4" s="6" t="inlineStr">
        <is>
          <t>145.8%</t>
        </is>
      </c>
      <c r="E4" s="6" t="n"/>
      <c r="F4" s="6" t="n"/>
      <c r="G4" s="6" t="n"/>
      <c r="H4" s="6" t="n"/>
      <c r="I4" s="6" t="n"/>
      <c r="J4" s="6" t="n"/>
      <c r="K4" s="6" t="n"/>
      <c r="L4" s="6" t="n"/>
      <c r="M4" s="6" t="n"/>
    </row>
    <row r="5" ht="60" customHeight="1">
      <c r="A5" s="7" t="inlineStr">
        <is>
          <t>Note: NSFR was not applicable in the FY2022 disclosure and FY2025 Bank data is unavailable. No Bank-specific NSFR is disclosed for any of FY2014-FY2020 - Group-only throughout (and NSFR reporting itself only began part-way through this period).</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2026-09-05T17:35:03Z</dcterms:created>
  <dcterms:modified xmlns:dcterms="http://purl.org/dc/terms/" xmlns:xsi="http://www.w3.org/2001/XMLSchema-instance" xsi:type="dcterms:W3CDTF">2026-09-05T17:35:03Z</dcterms:modified>
</cp:coreProperties>
</file>