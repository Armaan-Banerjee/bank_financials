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E1270"/>
        <bgColor rgb="00FE12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Shawbrook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Shawbrook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Shawbrook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Shawbrook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Shawbrook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Shawbrook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22535.7</v>
      </c>
      <c r="C6" s="5" t="n">
        <v>19629</v>
      </c>
      <c r="D6" s="5" t="n">
        <v>17100.9</v>
      </c>
      <c r="E6" s="5" t="n">
        <v>13945.7</v>
      </c>
      <c r="F6" s="5" t="n">
        <v>11094.6</v>
      </c>
      <c r="G6" s="5" t="n">
        <v>8980.6</v>
      </c>
      <c r="H6" s="5" t="n">
        <v>8248</v>
      </c>
      <c r="I6" s="5" t="n">
        <v>6805.6</v>
      </c>
      <c r="J6" s="5" t="n">
        <v>5701.4</v>
      </c>
      <c r="K6" s="5" t="n">
        <v>4625</v>
      </c>
      <c r="L6" s="5" t="n">
        <v>3978.1</v>
      </c>
      <c r="M6" s="5" t="n">
        <v>2732.1</v>
      </c>
      <c r="P6" t="inlineStr">
        <is>
          <t>Total assets</t>
        </is>
      </c>
      <c r="Q6" t="n">
        <v>2732.1</v>
      </c>
      <c r="R6" t="n">
        <v>3978.1</v>
      </c>
      <c r="S6" t="n">
        <v>4625</v>
      </c>
      <c r="T6" t="n">
        <v>5701.4</v>
      </c>
      <c r="U6" t="n">
        <v>6805.6</v>
      </c>
      <c r="V6" t="n">
        <v>8248</v>
      </c>
      <c r="W6" t="n">
        <v>8980.6</v>
      </c>
      <c r="X6" t="n">
        <v>11094.6</v>
      </c>
      <c r="Y6" t="n">
        <v>13945.7</v>
      </c>
      <c r="Z6" t="n">
        <v>17100.9</v>
      </c>
      <c r="AA6" t="n">
        <v>19629</v>
      </c>
      <c r="AB6" t="n">
        <v>22535.7</v>
      </c>
      <c r="BX6" t="inlineStr">
        <is>
          <t>CET1 Ratio</t>
        </is>
      </c>
      <c r="BY6" t="n">
        <v>11.5</v>
      </c>
      <c r="BZ6" t="n">
        <v>14.2</v>
      </c>
      <c r="CD6" t="n">
        <v>12</v>
      </c>
      <c r="CE6" t="n">
        <v>12.6</v>
      </c>
      <c r="CF6" t="n">
        <v>12.6</v>
      </c>
      <c r="CG6" t="n">
        <v>12.7</v>
      </c>
      <c r="CH6" t="n">
        <v>12.9</v>
      </c>
      <c r="CI6" t="n">
        <v>13</v>
      </c>
      <c r="CJ6" t="n">
        <v>12.4</v>
      </c>
    </row>
    <row r="7">
      <c r="A7" s="5" t="inlineStr">
        <is>
          <t>Loans and advances to customers</t>
        </is>
      </c>
      <c r="B7" s="5" t="n">
        <v>17801.1</v>
      </c>
      <c r="C7" s="5" t="n">
        <v>15129.4</v>
      </c>
      <c r="D7" s="5" t="n">
        <v>13157.9</v>
      </c>
      <c r="E7" s="5" t="n">
        <v>10472.8</v>
      </c>
      <c r="F7" s="5" t="n">
        <v>8278.9</v>
      </c>
      <c r="G7" s="5" t="n">
        <v>7061.3</v>
      </c>
      <c r="H7" s="5" t="n">
        <v>6637.7</v>
      </c>
      <c r="I7" s="5" t="n">
        <v>5805.7</v>
      </c>
      <c r="J7" s="5" t="n">
        <v>4799.3</v>
      </c>
      <c r="K7" s="5" t="n">
        <v>4050.4</v>
      </c>
      <c r="L7" s="5" t="n">
        <v>3319.1</v>
      </c>
      <c r="M7" s="5" t="n">
        <v>2284.7</v>
      </c>
      <c r="P7" t="inlineStr">
        <is>
          <t>Loans and advances to customers</t>
        </is>
      </c>
      <c r="Q7" t="n">
        <v>2284.7</v>
      </c>
      <c r="R7" t="n">
        <v>3319.1</v>
      </c>
      <c r="S7" t="n">
        <v>4050.4</v>
      </c>
      <c r="T7" t="n">
        <v>4799.3</v>
      </c>
      <c r="U7" t="n">
        <v>5805.7</v>
      </c>
      <c r="V7" t="n">
        <v>6637.7</v>
      </c>
      <c r="W7" t="n">
        <v>7061.3</v>
      </c>
      <c r="X7" t="n">
        <v>8278.9</v>
      </c>
      <c r="Y7" t="n">
        <v>10472.8</v>
      </c>
      <c r="Z7" t="n">
        <v>13157.9</v>
      </c>
      <c r="AA7" t="n">
        <v>15129.4</v>
      </c>
      <c r="AB7" t="n">
        <v>17801.1</v>
      </c>
      <c r="BX7" t="inlineStr">
        <is>
          <t>Tier 1 Ratio</t>
        </is>
      </c>
      <c r="BY7" t="n">
        <v>11.5</v>
      </c>
      <c r="BZ7" t="n">
        <v>14.2</v>
      </c>
      <c r="CD7" t="n">
        <v>14.5</v>
      </c>
      <c r="CE7" t="n">
        <v>15</v>
      </c>
      <c r="CF7" t="n">
        <v>14.7</v>
      </c>
      <c r="CG7" t="n">
        <v>14.6</v>
      </c>
      <c r="CH7" t="n">
        <v>14.3</v>
      </c>
      <c r="CI7" t="n">
        <v>14.3</v>
      </c>
      <c r="CJ7" t="n">
        <v>13.5</v>
      </c>
    </row>
    <row r="8">
      <c r="A8" s="5" t="inlineStr">
        <is>
          <t>Customer deposits</t>
        </is>
      </c>
      <c r="B8" s="5" t="n">
        <v>18353.5</v>
      </c>
      <c r="C8" s="5" t="n">
        <v>15804</v>
      </c>
      <c r="D8" s="5" t="n">
        <v>13562.7</v>
      </c>
      <c r="E8" s="5" t="n">
        <v>10914.5</v>
      </c>
      <c r="F8" s="5" t="n">
        <v>8358.6</v>
      </c>
      <c r="G8" s="5" t="n">
        <v>6894.1</v>
      </c>
      <c r="H8" s="5" t="n">
        <v>6109.4</v>
      </c>
      <c r="I8" s="5" t="n">
        <v>4977.9</v>
      </c>
      <c r="J8" s="5" t="n">
        <v>4376.2</v>
      </c>
      <c r="K8" s="5" t="n">
        <v>3943.5</v>
      </c>
      <c r="L8" s="5" t="n">
        <v>3186.4</v>
      </c>
      <c r="M8" s="5" t="n">
        <v>2421</v>
      </c>
      <c r="P8" t="inlineStr">
        <is>
          <t>Customer deposits</t>
        </is>
      </c>
      <c r="Q8" t="n">
        <v>2421</v>
      </c>
      <c r="R8" t="n">
        <v>3186.4</v>
      </c>
      <c r="S8" t="n">
        <v>3943.5</v>
      </c>
      <c r="T8" t="n">
        <v>4376.2</v>
      </c>
      <c r="U8" t="n">
        <v>4977.9</v>
      </c>
      <c r="V8" t="n">
        <v>6109.4</v>
      </c>
      <c r="W8" t="n">
        <v>6894.1</v>
      </c>
      <c r="X8" t="n">
        <v>8358.6</v>
      </c>
      <c r="Y8" t="n">
        <v>10914.5</v>
      </c>
      <c r="Z8" t="n">
        <v>13562.7</v>
      </c>
      <c r="AA8" t="n">
        <v>15804</v>
      </c>
      <c r="AB8" t="n">
        <v>18353.5</v>
      </c>
      <c r="BX8" t="inlineStr">
        <is>
          <t>Total Capital Ratio</t>
        </is>
      </c>
      <c r="BY8" t="n">
        <v>13.8</v>
      </c>
      <c r="BZ8" t="n">
        <v>17.9</v>
      </c>
      <c r="CD8" t="n">
        <v>16.4</v>
      </c>
      <c r="CE8" t="n">
        <v>16.8</v>
      </c>
      <c r="CF8" t="n">
        <v>16.2</v>
      </c>
      <c r="CG8" t="n">
        <v>15.9</v>
      </c>
      <c r="CH8" t="n">
        <v>16.4</v>
      </c>
      <c r="CI8" t="n">
        <v>15.9</v>
      </c>
      <c r="CJ8" t="n">
        <v>14.9</v>
      </c>
    </row>
    <row r="9">
      <c r="A9" s="5" t="inlineStr">
        <is>
          <t>Total equity</t>
        </is>
      </c>
      <c r="B9" s="5" t="n">
        <v>1875.7</v>
      </c>
      <c r="C9" s="5" t="n">
        <v>1610.1</v>
      </c>
      <c r="D9" s="5" t="n">
        <v>1391.4</v>
      </c>
      <c r="E9" s="5" t="n">
        <v>1136.4</v>
      </c>
      <c r="F9" s="5" t="n">
        <v>942.8</v>
      </c>
      <c r="G9" s="5" t="n">
        <v>792.9</v>
      </c>
      <c r="H9" s="5" t="n">
        <v>743.9</v>
      </c>
      <c r="I9" s="5" t="n">
        <v>660.3</v>
      </c>
      <c r="J9" s="5" t="n">
        <v>601</v>
      </c>
      <c r="K9" s="5" t="n">
        <v>413.1</v>
      </c>
      <c r="L9" s="5" t="n">
        <v>342.2</v>
      </c>
      <c r="M9" s="5" t="n">
        <v>196.8</v>
      </c>
      <c r="P9" t="inlineStr">
        <is>
          <t>Total equity</t>
        </is>
      </c>
      <c r="Q9" t="n">
        <v>196.8</v>
      </c>
      <c r="R9" t="n">
        <v>342.2</v>
      </c>
      <c r="S9" t="n">
        <v>413.1</v>
      </c>
      <c r="T9" t="n">
        <v>601</v>
      </c>
      <c r="U9" t="n">
        <v>660.3</v>
      </c>
      <c r="V9" t="n">
        <v>743.9</v>
      </c>
      <c r="W9" t="n">
        <v>792.9</v>
      </c>
      <c r="X9" t="n">
        <v>942.8</v>
      </c>
      <c r="Y9" t="n">
        <v>1136.4</v>
      </c>
      <c r="Z9" t="n">
        <v>1391.4</v>
      </c>
      <c r="AA9" t="n">
        <v>1610.1</v>
      </c>
      <c r="AB9" t="n">
        <v>1875.7</v>
      </c>
      <c r="BX9" t="inlineStr">
        <is>
          <t>Leverage Ratio</t>
        </is>
      </c>
      <c r="BY9" t="n">
        <v>6.1</v>
      </c>
      <c r="BZ9" t="n">
        <v>6.9</v>
      </c>
      <c r="CA9" t="n">
        <v>7.7</v>
      </c>
      <c r="CB9" t="n">
        <v>9.5</v>
      </c>
      <c r="CC9" t="n">
        <v>9.199999999999999</v>
      </c>
      <c r="CD9" t="n">
        <v>8.6</v>
      </c>
      <c r="CE9" t="n">
        <v>8.6</v>
      </c>
      <c r="CF9" t="n">
        <v>8</v>
      </c>
      <c r="CG9" t="n">
        <v>8.800000000000001</v>
      </c>
      <c r="CH9" t="n">
        <v>8.199999999999999</v>
      </c>
      <c r="CI9" t="n">
        <v>8.1</v>
      </c>
      <c r="CJ9" t="n">
        <v>7.8</v>
      </c>
    </row>
    <row r="10">
      <c r="BX10" t="inlineStr">
        <is>
          <t>LCR</t>
        </is>
      </c>
      <c r="CG10" t="n">
        <v>290.3</v>
      </c>
      <c r="CH10" t="n">
        <v>310.9</v>
      </c>
      <c r="CI10" t="n">
        <v>265</v>
      </c>
    </row>
    <row r="11">
      <c r="A11" s="3" t="inlineStr">
        <is>
          <t>Profit &amp; Loss Summary (£m)</t>
        </is>
      </c>
      <c r="BX11" t="inlineStr">
        <is>
          <t>NSFR</t>
        </is>
      </c>
      <c r="CH11" t="n">
        <v>145.8</v>
      </c>
      <c r="CI11" t="n">
        <v>134.5</v>
      </c>
      <c r="CJ11" t="n">
        <v>124.9</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operating income</t>
        </is>
      </c>
      <c r="B13" s="5" t="n">
        <v>681.3</v>
      </c>
      <c r="C13" s="5" t="n">
        <v>609.1</v>
      </c>
      <c r="D13" s="5" t="n">
        <v>586</v>
      </c>
      <c r="E13" s="5" t="n">
        <v>476.2</v>
      </c>
      <c r="F13" s="5" t="n">
        <v>386</v>
      </c>
      <c r="G13" s="5" t="n">
        <v>282.4</v>
      </c>
      <c r="H13" s="5" t="n">
        <v>295.2</v>
      </c>
      <c r="I13" s="5" t="n">
        <v>272.9</v>
      </c>
      <c r="J13" s="5" t="n">
        <v>238.1</v>
      </c>
      <c r="K13" s="5" t="n">
        <v>209.7</v>
      </c>
      <c r="L13" s="5" t="n">
        <v>166.9</v>
      </c>
      <c r="M13" s="5" t="n">
        <v>112.2</v>
      </c>
      <c r="AE13" t="inlineStr">
        <is>
          <t>Net operating income</t>
        </is>
      </c>
      <c r="AF13" t="n">
        <v>112.2</v>
      </c>
      <c r="AG13" t="n">
        <v>166.9</v>
      </c>
      <c r="AH13" t="n">
        <v>209.7</v>
      </c>
      <c r="AI13" t="n">
        <v>238.1</v>
      </c>
      <c r="AJ13" t="n">
        <v>272.9</v>
      </c>
      <c r="AK13" t="n">
        <v>295.2</v>
      </c>
      <c r="AL13" t="n">
        <v>282.4</v>
      </c>
      <c r="AM13" t="n">
        <v>386</v>
      </c>
      <c r="AN13" t="n">
        <v>476.2</v>
      </c>
      <c r="AO13" t="n">
        <v>586</v>
      </c>
      <c r="AP13" t="n">
        <v>609.1</v>
      </c>
      <c r="AQ13" t="n">
        <v>681.3</v>
      </c>
    </row>
    <row r="14">
      <c r="A14" s="5" t="inlineStr">
        <is>
          <t>Total operating expenses</t>
        </is>
      </c>
      <c r="B14" s="5" t="n">
        <v>-409.7</v>
      </c>
      <c r="C14" s="5" t="n">
        <v>-314.1</v>
      </c>
      <c r="D14" s="5" t="n">
        <v>-298.8</v>
      </c>
      <c r="E14" s="5" t="n">
        <v>-237.8</v>
      </c>
      <c r="F14" s="5" t="n">
        <v>-188.6</v>
      </c>
      <c r="G14" s="5" t="n">
        <v>-206.2</v>
      </c>
      <c r="H14" s="5" t="n">
        <v>-172.8</v>
      </c>
      <c r="I14" s="5" t="n">
        <v>-162.1</v>
      </c>
      <c r="J14" s="5" t="n">
        <v>-138.6</v>
      </c>
      <c r="K14" s="5" t="n">
        <v>-120.6</v>
      </c>
      <c r="L14" s="5" t="n">
        <v>-92.09999999999999</v>
      </c>
      <c r="M14" s="5" t="n">
        <v>-66.09999999999999</v>
      </c>
      <c r="AE14" t="inlineStr">
        <is>
          <t>Total operating expenses</t>
        </is>
      </c>
      <c r="AF14" t="n">
        <v>-66.09999999999999</v>
      </c>
      <c r="AG14" t="n">
        <v>-92.09999999999999</v>
      </c>
      <c r="AH14" t="n">
        <v>-120.6</v>
      </c>
      <c r="AI14" t="n">
        <v>-138.6</v>
      </c>
      <c r="AJ14" t="n">
        <v>-162.1</v>
      </c>
      <c r="AK14" t="n">
        <v>-172.8</v>
      </c>
      <c r="AL14" t="n">
        <v>-206.2</v>
      </c>
      <c r="AM14" t="n">
        <v>-188.6</v>
      </c>
      <c r="AN14" t="n">
        <v>-237.8</v>
      </c>
      <c r="AO14" t="n">
        <v>-298.8</v>
      </c>
      <c r="AP14" t="n">
        <v>-314.1</v>
      </c>
      <c r="AQ14" t="n">
        <v>-409.7</v>
      </c>
    </row>
    <row r="15">
      <c r="A15" s="5" t="inlineStr">
        <is>
          <t>Profit after tax, attributable to owners</t>
        </is>
      </c>
      <c r="B15" s="5" t="n">
        <v>194.9</v>
      </c>
      <c r="C15" s="5" t="n">
        <v>219.8</v>
      </c>
      <c r="D15" s="5" t="n">
        <v>212.6</v>
      </c>
      <c r="E15" s="5" t="n">
        <v>179.7</v>
      </c>
      <c r="F15" s="5" t="n">
        <v>149.5</v>
      </c>
      <c r="G15" s="5" t="n">
        <v>58.2</v>
      </c>
      <c r="H15" s="5" t="n">
        <v>93.8</v>
      </c>
      <c r="I15" s="5" t="n">
        <v>82</v>
      </c>
      <c r="J15" s="5" t="n">
        <v>74.2</v>
      </c>
      <c r="K15" s="5" t="n">
        <v>65.7</v>
      </c>
      <c r="L15" s="5" t="n">
        <v>63</v>
      </c>
      <c r="M15" s="5" t="n">
        <v>35.3</v>
      </c>
      <c r="AE15" t="inlineStr">
        <is>
          <t>Profit after tax, attributable to owners</t>
        </is>
      </c>
      <c r="AF15" t="n">
        <v>35.3</v>
      </c>
      <c r="AG15" t="n">
        <v>63</v>
      </c>
      <c r="AH15" t="n">
        <v>65.7</v>
      </c>
      <c r="AI15" t="n">
        <v>74.2</v>
      </c>
      <c r="AJ15" t="n">
        <v>82</v>
      </c>
      <c r="AK15" t="n">
        <v>93.8</v>
      </c>
      <c r="AL15" t="n">
        <v>58.2</v>
      </c>
      <c r="AM15" t="n">
        <v>149.5</v>
      </c>
      <c r="AN15" t="n">
        <v>179.7</v>
      </c>
      <c r="AO15" t="n">
        <v>212.6</v>
      </c>
      <c r="AP15" t="n">
        <v>219.8</v>
      </c>
      <c r="AQ15" t="n">
        <v>194.9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1610.1</v>
      </c>
      <c r="C19" s="5" t="n">
        <v>1391.4</v>
      </c>
      <c r="D19" s="5" t="n">
        <v>1136.4</v>
      </c>
      <c r="E19" s="5" t="n">
        <v>942.8</v>
      </c>
      <c r="F19" s="5" t="n">
        <v>792.9</v>
      </c>
      <c r="G19" s="5" t="n">
        <v>743.9</v>
      </c>
      <c r="H19" s="5" t="n">
        <v>660.3</v>
      </c>
      <c r="I19" s="5" t="n">
        <v>601</v>
      </c>
      <c r="J19" s="5" t="n">
        <v>413.1</v>
      </c>
      <c r="K19" s="5" t="n">
        <v>342.2</v>
      </c>
      <c r="L19" s="5" t="n">
        <v>196.8</v>
      </c>
      <c r="M19" s="5" t="n">
        <v>111.6</v>
      </c>
      <c r="AT19" t="inlineStr">
        <is>
          <t>Opening equity</t>
        </is>
      </c>
      <c r="AU19" t="n">
        <v>111.6</v>
      </c>
      <c r="AV19" t="n">
        <v>196.8</v>
      </c>
      <c r="AW19" t="n">
        <v>342.2</v>
      </c>
      <c r="AX19" t="n">
        <v>413.1</v>
      </c>
      <c r="AY19" t="n">
        <v>601</v>
      </c>
      <c r="AZ19" t="n">
        <v>660.3</v>
      </c>
      <c r="BA19" t="n">
        <v>743.9</v>
      </c>
      <c r="BB19" t="n">
        <v>792.9</v>
      </c>
      <c r="BC19" t="n">
        <v>942.8</v>
      </c>
      <c r="BD19" t="n">
        <v>1136.4</v>
      </c>
      <c r="BE19" t="n">
        <v>1391.4</v>
      </c>
      <c r="BF19" t="n">
        <v>1610.1</v>
      </c>
    </row>
    <row r="20">
      <c r="A20" s="5" t="inlineStr">
        <is>
          <t>Profit for the year</t>
        </is>
      </c>
      <c r="B20" s="5" t="n">
        <v>189.2</v>
      </c>
      <c r="C20" s="5" t="n">
        <v>203.2</v>
      </c>
      <c r="D20" s="5" t="n">
        <v>246.4</v>
      </c>
      <c r="E20" s="5" t="n">
        <v>213</v>
      </c>
      <c r="F20" s="5" t="n">
        <v>153.5</v>
      </c>
      <c r="G20" s="5" t="n">
        <v>58.3</v>
      </c>
      <c r="H20" s="5" t="n">
        <v>92.59999999999999</v>
      </c>
      <c r="I20" s="5" t="n">
        <v>82.59999999999999</v>
      </c>
      <c r="J20" s="5" t="n">
        <v>74.90000000000001</v>
      </c>
      <c r="K20" s="5" t="n">
        <v>66.09999999999999</v>
      </c>
      <c r="L20" s="5" t="n">
        <v>63.2</v>
      </c>
      <c r="M20" s="5" t="n">
        <v>38</v>
      </c>
      <c r="AT20" t="inlineStr">
        <is>
          <t>Profit for the year</t>
        </is>
      </c>
      <c r="AU20" t="n">
        <v>38</v>
      </c>
      <c r="AV20" t="n">
        <v>63.2</v>
      </c>
      <c r="AW20" t="n">
        <v>66.09999999999999</v>
      </c>
      <c r="AX20" t="n">
        <v>74.90000000000001</v>
      </c>
      <c r="AY20" t="n">
        <v>82.59999999999999</v>
      </c>
      <c r="AZ20" t="n">
        <v>92.59999999999999</v>
      </c>
      <c r="BA20" t="n">
        <v>58.3</v>
      </c>
      <c r="BB20" t="n">
        <v>153.5</v>
      </c>
      <c r="BC20" t="n">
        <v>213</v>
      </c>
      <c r="BD20" t="n">
        <v>246.4</v>
      </c>
      <c r="BE20" t="n">
        <v>203.2</v>
      </c>
      <c r="BF20" t="n">
        <v>189.2</v>
      </c>
    </row>
    <row r="21">
      <c r="A21" s="5" t="inlineStr">
        <is>
          <t>Other equity movements, net</t>
        </is>
      </c>
      <c r="B21" s="5" t="n">
        <v>76.40000000000001</v>
      </c>
      <c r="C21" s="5" t="n">
        <v>15.5</v>
      </c>
      <c r="D21" s="5" t="n">
        <v>8.6</v>
      </c>
      <c r="E21" s="5" t="n">
        <v>-19.4</v>
      </c>
      <c r="F21" s="5" t="n">
        <v>-3.6</v>
      </c>
      <c r="G21" s="5" t="n">
        <v>-9.300000000000001</v>
      </c>
      <c r="H21" s="5" t="n">
        <v>-9</v>
      </c>
      <c r="I21" s="5" t="n">
        <v>-23.3</v>
      </c>
      <c r="J21" s="5" t="n">
        <v>113</v>
      </c>
      <c r="K21" s="5" t="n">
        <v>4.8</v>
      </c>
      <c r="L21" s="5" t="n">
        <v>82.2</v>
      </c>
      <c r="M21" s="5" t="n">
        <v>47.2</v>
      </c>
      <c r="AT21" t="inlineStr">
        <is>
          <t>Other equity movements, net</t>
        </is>
      </c>
      <c r="AU21" t="n">
        <v>47.2</v>
      </c>
      <c r="AV21" t="n">
        <v>82.2</v>
      </c>
      <c r="AW21" t="n">
        <v>4.8</v>
      </c>
      <c r="AX21" t="n">
        <v>113</v>
      </c>
      <c r="AY21" t="n">
        <v>-23.3</v>
      </c>
      <c r="AZ21" t="n">
        <v>-9</v>
      </c>
      <c r="BA21" t="n">
        <v>-9.300000000000001</v>
      </c>
      <c r="BB21" t="n">
        <v>-3.6</v>
      </c>
      <c r="BC21" t="n">
        <v>-19.4</v>
      </c>
      <c r="BD21" t="n">
        <v>8.6</v>
      </c>
      <c r="BE21" t="n">
        <v>15.5</v>
      </c>
      <c r="BF21" t="n">
        <v>76.40000000000001</v>
      </c>
    </row>
    <row r="22">
      <c r="A22" s="5" t="inlineStr">
        <is>
          <t>Closing equity</t>
        </is>
      </c>
      <c r="B22" s="5" t="n">
        <v>1875.7</v>
      </c>
      <c r="C22" s="5" t="n">
        <v>1610.1</v>
      </c>
      <c r="D22" s="5" t="n">
        <v>1391.4</v>
      </c>
      <c r="E22" s="5" t="n">
        <v>1136.4</v>
      </c>
      <c r="F22" s="5" t="n">
        <v>942.8</v>
      </c>
      <c r="G22" s="5" t="n">
        <v>792.9</v>
      </c>
      <c r="H22" s="5" t="n">
        <v>743.9</v>
      </c>
      <c r="I22" s="5" t="n">
        <v>660.3</v>
      </c>
      <c r="J22" s="5" t="n">
        <v>601</v>
      </c>
      <c r="K22" s="5" t="n">
        <v>413.1</v>
      </c>
      <c r="L22" s="5" t="n">
        <v>342.2</v>
      </c>
      <c r="M22" s="5" t="n">
        <v>196.8</v>
      </c>
      <c r="AT22" t="inlineStr">
        <is>
          <t>Closing equity</t>
        </is>
      </c>
      <c r="AU22" t="n">
        <v>196.8</v>
      </c>
      <c r="AV22" t="n">
        <v>342.2</v>
      </c>
      <c r="AW22" t="n">
        <v>413.1</v>
      </c>
      <c r="AX22" t="n">
        <v>601</v>
      </c>
      <c r="AY22" t="n">
        <v>660.3</v>
      </c>
      <c r="AZ22" t="n">
        <v>743.9</v>
      </c>
      <c r="BA22" t="n">
        <v>792.9</v>
      </c>
      <c r="BB22" t="n">
        <v>942.8</v>
      </c>
      <c r="BC22" t="n">
        <v>1136.4</v>
      </c>
      <c r="BD22" t="n">
        <v>1391.4</v>
      </c>
      <c r="BE22" t="n">
        <v>1610.1</v>
      </c>
      <c r="BF22" t="n">
        <v>1875.7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generated from operating activities</t>
        </is>
      </c>
      <c r="B26" s="5" t="n">
        <v>370.6</v>
      </c>
      <c r="C26" s="5" t="n">
        <v>542.6</v>
      </c>
      <c r="D26" s="5" t="n">
        <v>451.8</v>
      </c>
      <c r="E26" s="5" t="n">
        <v>683.2</v>
      </c>
      <c r="F26" s="5" t="n">
        <v>81.09999999999999</v>
      </c>
      <c r="G26" s="5" t="n">
        <v>515.7</v>
      </c>
      <c r="H26" s="5" t="n">
        <v>359</v>
      </c>
      <c r="I26" s="5" t="n">
        <v>-337.3</v>
      </c>
      <c r="J26" s="5" t="n">
        <v>-220.6</v>
      </c>
      <c r="K26" s="5" t="n">
        <v>-195.1</v>
      </c>
      <c r="L26" s="5" t="n">
        <v>102.3</v>
      </c>
      <c r="M26" s="5" t="n">
        <v>283.5</v>
      </c>
      <c r="BI26" t="inlineStr">
        <is>
          <t>Net cash generated from operating activities</t>
        </is>
      </c>
      <c r="BJ26" t="n">
        <v>283.5</v>
      </c>
      <c r="BK26" t="n">
        <v>102.3</v>
      </c>
      <c r="BL26" t="n">
        <v>-195.1</v>
      </c>
      <c r="BM26" t="n">
        <v>-220.6</v>
      </c>
      <c r="BN26" t="n">
        <v>-337.3</v>
      </c>
      <c r="BO26" t="n">
        <v>359</v>
      </c>
      <c r="BP26" t="n">
        <v>515.7</v>
      </c>
      <c r="BQ26" t="n">
        <v>81.09999999999999</v>
      </c>
      <c r="BR26" t="n">
        <v>683.2</v>
      </c>
      <c r="BS26" t="n">
        <v>451.8</v>
      </c>
      <c r="BT26" t="n">
        <v>542.6</v>
      </c>
      <c r="BU26" t="n">
        <v>370.6</v>
      </c>
    </row>
    <row r="27">
      <c r="A27" s="5" t="inlineStr">
        <is>
          <t>Net cash (used by)/generated from investing activities</t>
        </is>
      </c>
      <c r="B27" s="5" t="n">
        <v>-895.2</v>
      </c>
      <c r="C27" s="5" t="n">
        <v>-675.1</v>
      </c>
      <c r="D27" s="5" t="n">
        <v>-172.4</v>
      </c>
      <c r="E27" s="5" t="n">
        <v>-121.4</v>
      </c>
      <c r="F27" s="5" t="n">
        <v>-207.5</v>
      </c>
      <c r="G27" s="5" t="n">
        <v>-185.1</v>
      </c>
      <c r="H27" s="5" t="n">
        <v>-88.8</v>
      </c>
      <c r="I27" s="5" t="n">
        <v>-158.9</v>
      </c>
      <c r="J27" s="5" t="n">
        <v>-11.4</v>
      </c>
      <c r="K27" s="5" t="n">
        <v>-7.9</v>
      </c>
      <c r="L27" s="5" t="n">
        <v>-18.2</v>
      </c>
      <c r="M27" s="5" t="n">
        <v>-89</v>
      </c>
      <c r="BI27" t="inlineStr">
        <is>
          <t>Net cash (used by)/generated from investing activities</t>
        </is>
      </c>
      <c r="BJ27" t="n">
        <v>-89</v>
      </c>
      <c r="BK27" t="n">
        <v>-18.2</v>
      </c>
      <c r="BL27" t="n">
        <v>-7.9</v>
      </c>
      <c r="BM27" t="n">
        <v>-11.4</v>
      </c>
      <c r="BN27" t="n">
        <v>-158.9</v>
      </c>
      <c r="BO27" t="n">
        <v>-88.8</v>
      </c>
      <c r="BP27" t="n">
        <v>-185.1</v>
      </c>
      <c r="BQ27" t="n">
        <v>-207.5</v>
      </c>
      <c r="BR27" t="n">
        <v>-121.4</v>
      </c>
      <c r="BS27" t="n">
        <v>-172.4</v>
      </c>
      <c r="BT27" t="n">
        <v>-675.1</v>
      </c>
      <c r="BU27" t="n">
        <v>-895.2</v>
      </c>
    </row>
    <row r="28">
      <c r="A28" s="5" t="inlineStr">
        <is>
          <t>Net cash (used by)/generated from financing activities</t>
        </is>
      </c>
      <c r="B28" s="5" t="n">
        <v>155.8</v>
      </c>
      <c r="C28" s="5" t="n">
        <v>140.3</v>
      </c>
      <c r="D28" s="5" t="n">
        <v>-1.1</v>
      </c>
      <c r="E28" s="5" t="n">
        <v>-76.09999999999999</v>
      </c>
      <c r="F28" s="5" t="n">
        <v>508.2</v>
      </c>
      <c r="G28" s="5" t="n">
        <v>-95.09999999999999</v>
      </c>
      <c r="H28" s="5" t="n">
        <v>147.8</v>
      </c>
      <c r="I28" s="5" t="n">
        <v>405.9</v>
      </c>
      <c r="J28" s="5" t="n">
        <v>558.7</v>
      </c>
      <c r="K28" s="5" t="n">
        <v>102.5</v>
      </c>
      <c r="L28" s="5" t="n">
        <v>118.2</v>
      </c>
      <c r="M28" s="5" t="n">
        <v>-76.3</v>
      </c>
      <c r="BI28" t="inlineStr">
        <is>
          <t>Net cash (used by)/generated from financing activities</t>
        </is>
      </c>
      <c r="BJ28" t="n">
        <v>-76.3</v>
      </c>
      <c r="BK28" t="n">
        <v>118.2</v>
      </c>
      <c r="BL28" t="n">
        <v>102.5</v>
      </c>
      <c r="BM28" t="n">
        <v>558.7</v>
      </c>
      <c r="BN28" t="n">
        <v>405.9</v>
      </c>
      <c r="BO28" t="n">
        <v>147.8</v>
      </c>
      <c r="BP28" t="n">
        <v>-95.09999999999999</v>
      </c>
      <c r="BQ28" t="n">
        <v>508.2</v>
      </c>
      <c r="BR28" t="n">
        <v>-76.09999999999999</v>
      </c>
      <c r="BS28" t="n">
        <v>-1.1</v>
      </c>
      <c r="BT28" t="n">
        <v>140.3</v>
      </c>
      <c r="BU28" t="n">
        <v>155.8</v>
      </c>
    </row>
    <row r="29">
      <c r="A29" s="5" t="inlineStr">
        <is>
          <t>Cash and cash equivalents as at 31 December</t>
        </is>
      </c>
      <c r="B29" s="5" t="n">
        <v>2124.7</v>
      </c>
      <c r="C29" s="5" t="n">
        <v>2493.5</v>
      </c>
      <c r="D29" s="5" t="n">
        <v>2485.7</v>
      </c>
      <c r="E29" s="5" t="n">
        <v>2207.4</v>
      </c>
      <c r="F29" s="5" t="n">
        <v>1721.7</v>
      </c>
      <c r="G29" s="5" t="n">
        <v>1339.9</v>
      </c>
      <c r="H29" s="5" t="n">
        <v>1104.4</v>
      </c>
      <c r="I29" s="5" t="n">
        <v>686.4</v>
      </c>
      <c r="J29" s="5" t="n">
        <v>776.7</v>
      </c>
      <c r="K29" s="5" t="n">
        <v>450</v>
      </c>
      <c r="L29" s="5" t="n">
        <v>550.5</v>
      </c>
      <c r="M29" s="5" t="n">
        <v>347.8</v>
      </c>
      <c r="BI29" t="inlineStr">
        <is>
          <t>Cash and cash equivalents as at 31 December</t>
        </is>
      </c>
      <c r="BJ29" t="n">
        <v>347.8</v>
      </c>
      <c r="BK29" t="n">
        <v>550.5</v>
      </c>
      <c r="BL29" t="n">
        <v>450</v>
      </c>
      <c r="BM29" t="n">
        <v>776.7</v>
      </c>
      <c r="BN29" t="n">
        <v>686.4</v>
      </c>
      <c r="BO29" t="n">
        <v>1104.4</v>
      </c>
      <c r="BP29" t="n">
        <v>1339.9</v>
      </c>
      <c r="BQ29" t="n">
        <v>1721.7</v>
      </c>
      <c r="BR29" t="n">
        <v>2207.4</v>
      </c>
      <c r="BS29" t="n">
        <v>2485.7</v>
      </c>
      <c r="BT29" t="n">
        <v>2493.5</v>
      </c>
      <c r="BU29" t="n">
        <v>2124.7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12.4%</t>
        </is>
      </c>
      <c r="C33" s="6" t="inlineStr">
        <is>
          <t>13.0%</t>
        </is>
      </c>
      <c r="D33" s="6" t="inlineStr">
        <is>
          <t>12.9%</t>
        </is>
      </c>
      <c r="E33" s="6" t="inlineStr">
        <is>
          <t>12.7%</t>
        </is>
      </c>
      <c r="F33" s="6" t="inlineStr">
        <is>
          <t>12.6%</t>
        </is>
      </c>
      <c r="G33" s="6" t="inlineStr">
        <is>
          <t>12.6%</t>
        </is>
      </c>
      <c r="H33" s="6" t="inlineStr">
        <is>
          <t>12.0%</t>
        </is>
      </c>
      <c r="I33" s="6" t="n"/>
      <c r="J33" s="6" t="n"/>
      <c r="K33" s="6" t="n"/>
      <c r="L33" s="6" t="inlineStr">
        <is>
          <t>14.2%</t>
        </is>
      </c>
      <c r="M33" s="6" t="inlineStr">
        <is>
          <t>11.5%</t>
        </is>
      </c>
    </row>
    <row r="34">
      <c r="A34" s="6" t="inlineStr">
        <is>
          <t>Tier 1 Ratio</t>
        </is>
      </c>
      <c r="B34" s="6" t="inlineStr">
        <is>
          <t>13.5%</t>
        </is>
      </c>
      <c r="C34" s="6" t="inlineStr">
        <is>
          <t>14.3%</t>
        </is>
      </c>
      <c r="D34" s="6" t="inlineStr">
        <is>
          <t>14.3%</t>
        </is>
      </c>
      <c r="E34" s="6" t="inlineStr">
        <is>
          <t>14.6%</t>
        </is>
      </c>
      <c r="F34" s="6" t="inlineStr">
        <is>
          <t>14.7%</t>
        </is>
      </c>
      <c r="G34" s="6" t="inlineStr">
        <is>
          <t>15.0%</t>
        </is>
      </c>
      <c r="H34" s="6" t="inlineStr">
        <is>
          <t>14.5%</t>
        </is>
      </c>
      <c r="I34" s="6" t="n"/>
      <c r="J34" s="6" t="n"/>
      <c r="K34" s="6" t="n"/>
      <c r="L34" s="6" t="inlineStr">
        <is>
          <t>14.2%</t>
        </is>
      </c>
      <c r="M34" s="6" t="inlineStr">
        <is>
          <t>11.5%</t>
        </is>
      </c>
    </row>
    <row r="35">
      <c r="A35" s="6" t="inlineStr">
        <is>
          <t>Total Capital Ratio</t>
        </is>
      </c>
      <c r="B35" s="6" t="inlineStr">
        <is>
          <t>14.9%</t>
        </is>
      </c>
      <c r="C35" s="6" t="inlineStr">
        <is>
          <t>15.9%</t>
        </is>
      </c>
      <c r="D35" s="6" t="inlineStr">
        <is>
          <t>16.4%</t>
        </is>
      </c>
      <c r="E35" s="6" t="inlineStr">
        <is>
          <t>15.9%</t>
        </is>
      </c>
      <c r="F35" s="6" t="inlineStr">
        <is>
          <t>16.2%</t>
        </is>
      </c>
      <c r="G35" s="6" t="inlineStr">
        <is>
          <t>16.8%</t>
        </is>
      </c>
      <c r="H35" s="6" t="inlineStr">
        <is>
          <t>16.4%</t>
        </is>
      </c>
      <c r="I35" s="6" t="n"/>
      <c r="J35" s="6" t="n"/>
      <c r="K35" s="6" t="n"/>
      <c r="L35" s="6" t="inlineStr">
        <is>
          <t>17.9%</t>
        </is>
      </c>
      <c r="M35" s="6" t="inlineStr">
        <is>
          <t>13.8%</t>
        </is>
      </c>
    </row>
    <row r="36">
      <c r="A36" s="6" t="inlineStr">
        <is>
          <t>Leverage Ratio</t>
        </is>
      </c>
      <c r="B36" s="6" t="inlineStr">
        <is>
          <t>7.8%</t>
        </is>
      </c>
      <c r="C36" s="6" t="inlineStr">
        <is>
          <t>8.1%</t>
        </is>
      </c>
      <c r="D36" s="6" t="inlineStr">
        <is>
          <t>8.2%</t>
        </is>
      </c>
      <c r="E36" s="6" t="inlineStr">
        <is>
          <t>8.8%</t>
        </is>
      </c>
      <c r="F36" s="6" t="inlineStr">
        <is>
          <t>8.0%</t>
        </is>
      </c>
      <c r="G36" s="6" t="inlineStr">
        <is>
          <t>8.6%</t>
        </is>
      </c>
      <c r="H36" s="6" t="inlineStr">
        <is>
          <t>8.6%</t>
        </is>
      </c>
      <c r="I36" s="6" t="inlineStr">
        <is>
          <t>9.2%</t>
        </is>
      </c>
      <c r="J36" s="6" t="inlineStr">
        <is>
          <t>9.5%</t>
        </is>
      </c>
      <c r="K36" s="6" t="inlineStr">
        <is>
          <t>7.7%</t>
        </is>
      </c>
      <c r="L36" s="6" t="inlineStr">
        <is>
          <t>6.9%</t>
        </is>
      </c>
      <c r="M36" s="6" t="inlineStr">
        <is>
          <t>6.1%</t>
        </is>
      </c>
    </row>
    <row r="37">
      <c r="A37" s="6" t="inlineStr">
        <is>
          <t>LCR</t>
        </is>
      </c>
      <c r="B37" s="6" t="n"/>
      <c r="C37" s="6" t="inlineStr">
        <is>
          <t>265.0%</t>
        </is>
      </c>
      <c r="D37" s="6" t="inlineStr">
        <is>
          <t>310.9%</t>
        </is>
      </c>
      <c r="E37" s="6" t="inlineStr">
        <is>
          <t>290.3%</t>
        </is>
      </c>
      <c r="F37" s="6" t="n"/>
      <c r="G37" s="6" t="n"/>
      <c r="H37" s="6" t="n"/>
      <c r="I37" s="6" t="n"/>
      <c r="J37" s="6" t="n"/>
      <c r="K37" s="6" t="n"/>
      <c r="L37" s="6" t="n"/>
      <c r="M37" s="6" t="n"/>
    </row>
    <row r="38">
      <c r="A38" s="6" t="inlineStr">
        <is>
          <t>NSFR</t>
        </is>
      </c>
      <c r="B38" s="6" t="inlineStr">
        <is>
          <t>124.9%</t>
        </is>
      </c>
      <c r="C38" s="6" t="inlineStr">
        <is>
          <t>134.5%</t>
        </is>
      </c>
      <c r="D38" s="6" t="inlineStr">
        <is>
          <t>145.8%</t>
        </is>
      </c>
      <c r="E38" s="6" t="n"/>
      <c r="F38" s="6" t="n"/>
      <c r="G38" s="6" t="n"/>
      <c r="H38" s="6" t="n"/>
      <c r="I38" s="6" t="n"/>
      <c r="J38" s="6" t="n"/>
      <c r="K38" s="6" t="n"/>
      <c r="L38" s="6" t="n"/>
      <c r="M38" s="6" t="n"/>
    </row>
    <row r="40" ht="45" customHeight="1">
      <c r="A40" s="7" t="inlineStr">
        <is>
          <t>Note: Balance Sheet/Statement of Changes in Equity use the Company column; Profit &amp; Loss is necessarily Group basis (Company takes the s.408 exemption) - see the Profit &amp; Loss sheet's source note. Company-only cash flows and Bank-specific regulatory metrics; FY2025 Bank regulatory metrics are blank because the available Pillar 3 document is Group-only. FY2016-FY2018 capital ratios are blank because no Bank-level Total RWA is available those years (see Pillar 3 sheets' source notes). This Overview stays on the project-wide FY2014 floor; the Balance Sheet, Profit &amp; Loss, Statement of Changes in Equity and Cash Flow Statement sheets were separately extended back to FY2012 per wayfinder ticket HD-072 (Pillar 3, Asset Quality and RWA Breakdown were not, since Pillar 3 disclosures genuinely aren't comparable pre-CRD IV/Basel III) - see those sheets directly for FY2013/FY2012 figures.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Balance Sheet</t>
        </is>
      </c>
    </row>
    <row r="2">
      <c r="A2" s="2" t="inlineStr">
        <is>
          <t>Company/entity basis, £m; FY2012-FY2025 calendar year-ends. Total assets = Total liabilities + Total equity for every year; Total equity ties exactly to the Statement of Changes in Equity sheet's own opening/closing balances - zero plug rows. FY2013/FY2012 added per wayfinder ticket HD-072 (see source note); FY2013 figures use the already-£m-rounded comparative column in the FY2014 Annual Report rather than independently rounding FY2013's own £000 figures. 'Investment securities at amortised cost'/'at FVOCI' are a sub-split of the 'Investment securities' row above (see source note); no government/sovereign-bond vs other-issuer split is disclosed for this bank.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1924.5</v>
      </c>
      <c r="C5" s="6" t="n">
        <v>2244.7</v>
      </c>
      <c r="D5" s="6" t="n">
        <v>2188.1</v>
      </c>
      <c r="E5" s="6" t="n">
        <v>2037.1</v>
      </c>
      <c r="F5" s="6" t="n">
        <v>1693.8</v>
      </c>
      <c r="G5" s="6" t="n">
        <v>1273.2</v>
      </c>
      <c r="H5" s="6" t="n">
        <v>1064.6</v>
      </c>
      <c r="I5" s="6" t="n">
        <v>645.2</v>
      </c>
      <c r="J5" s="6" t="n">
        <v>752.5</v>
      </c>
      <c r="K5" s="6" t="n">
        <v>429.9</v>
      </c>
      <c r="L5" s="6" t="n">
        <v>521.9</v>
      </c>
      <c r="M5" s="6" t="n">
        <v>313.1</v>
      </c>
      <c r="N5" s="6" t="n">
        <v>206.6</v>
      </c>
      <c r="O5" s="6" t="n">
        <v>0.2</v>
      </c>
    </row>
    <row r="6">
      <c r="A6" s="6" t="inlineStr">
        <is>
          <t>Loans and advances to banks</t>
        </is>
      </c>
      <c r="B6" s="6" t="n">
        <v>200.2</v>
      </c>
      <c r="C6" s="6" t="n">
        <v>248.8</v>
      </c>
      <c r="D6" s="6" t="n">
        <v>337.5</v>
      </c>
      <c r="E6" s="6" t="n">
        <v>199.9</v>
      </c>
      <c r="F6" s="6" t="n">
        <v>49</v>
      </c>
      <c r="G6" s="6" t="n">
        <v>84.7</v>
      </c>
      <c r="H6" s="6" t="n">
        <v>52.3</v>
      </c>
      <c r="I6" s="6" t="n">
        <v>50.1</v>
      </c>
      <c r="J6" s="6" t="n">
        <v>28.5</v>
      </c>
      <c r="K6" s="6" t="n">
        <v>24.1</v>
      </c>
      <c r="L6" s="6" t="n">
        <v>30.9</v>
      </c>
      <c r="M6" s="6" t="n">
        <v>36.4</v>
      </c>
      <c r="N6" s="6" t="n">
        <v>23.7</v>
      </c>
      <c r="O6" s="6" t="n">
        <v>117</v>
      </c>
    </row>
    <row r="7">
      <c r="A7" s="6" t="inlineStr">
        <is>
          <t>Loans and advances to customers</t>
        </is>
      </c>
      <c r="B7" s="6" t="n">
        <v>17801.1</v>
      </c>
      <c r="C7" s="6" t="n">
        <v>15129.4</v>
      </c>
      <c r="D7" s="6" t="n">
        <v>13157.9</v>
      </c>
      <c r="E7" s="6" t="n">
        <v>10472.8</v>
      </c>
      <c r="F7" s="6" t="n">
        <v>8278.9</v>
      </c>
      <c r="G7" s="6" t="n">
        <v>7061.3</v>
      </c>
      <c r="H7" s="6" t="n">
        <v>6637.7</v>
      </c>
      <c r="I7" s="6" t="n">
        <v>5805.7</v>
      </c>
      <c r="J7" s="6" t="n">
        <v>4799.3</v>
      </c>
      <c r="K7" s="6" t="n">
        <v>4050.4</v>
      </c>
      <c r="L7" s="6" t="n">
        <v>3319.1</v>
      </c>
      <c r="M7" s="6" t="n">
        <v>2284.7</v>
      </c>
      <c r="N7" s="6" t="n">
        <v>1346.8</v>
      </c>
      <c r="O7" s="6" t="n">
        <v>684.4</v>
      </c>
    </row>
    <row r="8">
      <c r="A8" s="6" t="inlineStr">
        <is>
          <t>Investment securities</t>
        </is>
      </c>
      <c r="B8" s="6" t="n">
        <v>2164.8</v>
      </c>
      <c r="C8" s="6" t="n">
        <v>1449.3</v>
      </c>
      <c r="D8" s="6" t="n">
        <v>816.3</v>
      </c>
      <c r="E8" s="6" t="n">
        <v>716.8</v>
      </c>
      <c r="F8" s="6" t="n">
        <v>614.8</v>
      </c>
      <c r="G8" s="6" t="n">
        <v>421.6</v>
      </c>
      <c r="H8" s="6" t="n">
        <v>245.9</v>
      </c>
      <c r="I8" s="6" t="n">
        <v>139.9</v>
      </c>
      <c r="J8" s="6" t="n"/>
      <c r="K8" s="6" t="n"/>
      <c r="L8" s="6" t="n"/>
      <c r="M8" s="6" t="n"/>
      <c r="N8" s="6" t="n"/>
      <c r="O8" s="6" t="n">
        <v>144.9</v>
      </c>
    </row>
    <row r="9">
      <c r="A9" s="6" t="inlineStr">
        <is>
          <t>Investment securities at amortised cost</t>
        </is>
      </c>
      <c r="B9" s="6" t="n">
        <v>1986.7</v>
      </c>
      <c r="C9" s="6" t="n">
        <v>1449.3</v>
      </c>
      <c r="D9" s="6" t="n">
        <v>816.3</v>
      </c>
      <c r="E9" s="6" t="n">
        <v>716.8</v>
      </c>
      <c r="F9" s="6" t="n">
        <v>614.8</v>
      </c>
      <c r="G9" s="6" t="n">
        <v>421.6</v>
      </c>
      <c r="H9" s="6" t="n">
        <v>245.9</v>
      </c>
      <c r="I9" s="6" t="n">
        <v>139.9</v>
      </c>
      <c r="J9" s="6" t="n"/>
      <c r="K9" s="6" t="n"/>
      <c r="L9" s="6" t="n"/>
      <c r="M9" s="6" t="n"/>
      <c r="N9" s="6" t="n"/>
      <c r="O9" s="6" t="n"/>
    </row>
    <row r="10">
      <c r="A10" s="6" t="inlineStr">
        <is>
          <t>Investment securities at FVOCI</t>
        </is>
      </c>
      <c r="B10" s="6" t="n">
        <v>178.1</v>
      </c>
      <c r="C10" s="6" t="n">
        <v>0</v>
      </c>
      <c r="D10" s="6" t="n">
        <v>0</v>
      </c>
      <c r="E10" s="6" t="n">
        <v>0</v>
      </c>
      <c r="F10" s="6" t="n">
        <v>0</v>
      </c>
      <c r="G10" s="6" t="n">
        <v>0</v>
      </c>
      <c r="H10" s="6" t="n">
        <v>0</v>
      </c>
      <c r="I10" s="6" t="n">
        <v>0</v>
      </c>
      <c r="J10" s="6" t="n"/>
      <c r="K10" s="6" t="n"/>
      <c r="L10" s="6" t="n"/>
      <c r="M10" s="6" t="n"/>
      <c r="N10" s="6" t="n"/>
      <c r="O10" s="6" t="n"/>
    </row>
    <row r="11">
      <c r="A11" s="6" t="inlineStr">
        <is>
          <t>Derivative financial assets</t>
        </is>
      </c>
      <c r="B11" s="6" t="n">
        <v>64.09999999999999</v>
      </c>
      <c r="C11" s="6" t="n">
        <v>151.8</v>
      </c>
      <c r="D11" s="6" t="n">
        <v>182.1</v>
      </c>
      <c r="E11" s="6" t="n">
        <v>271.6</v>
      </c>
      <c r="F11" s="6" t="n">
        <v>21.5</v>
      </c>
      <c r="G11" s="6" t="n">
        <v>0.6</v>
      </c>
      <c r="H11" s="6" t="n">
        <v>3.1</v>
      </c>
      <c r="I11" s="6" t="n">
        <v>1.6</v>
      </c>
      <c r="J11" s="6" t="n">
        <v>1.8</v>
      </c>
      <c r="K11" s="6" t="n">
        <v>5.2</v>
      </c>
      <c r="L11" s="6" t="n">
        <v>2.8</v>
      </c>
      <c r="M11" s="6" t="n">
        <v>3.7</v>
      </c>
      <c r="N11" s="6" t="n"/>
      <c r="O11" s="6" t="n"/>
    </row>
    <row r="12">
      <c r="A12" s="6" t="inlineStr">
        <is>
          <t>Current tax receivable</t>
        </is>
      </c>
      <c r="B12" s="6" t="n">
        <v>12.3</v>
      </c>
      <c r="C12" s="6" t="n">
        <v>17.9</v>
      </c>
      <c r="D12" s="6" t="n"/>
      <c r="E12" s="6" t="n"/>
      <c r="F12" s="6" t="n">
        <v>4.2</v>
      </c>
      <c r="G12" s="6" t="n">
        <v>3</v>
      </c>
      <c r="H12" s="6" t="n"/>
      <c r="I12" s="6" t="n"/>
      <c r="J12" s="6" t="n"/>
      <c r="K12" s="6" t="n"/>
      <c r="L12" s="6" t="n"/>
      <c r="M12" s="6" t="n"/>
      <c r="N12" s="6" t="n"/>
      <c r="O12" s="6" t="n"/>
    </row>
    <row r="13">
      <c r="A13" s="6" t="inlineStr">
        <is>
          <t>Property, plant and equipment</t>
        </is>
      </c>
      <c r="B13" s="6" t="n">
        <v>54</v>
      </c>
      <c r="C13" s="6" t="n">
        <v>64.3</v>
      </c>
      <c r="D13" s="6" t="n">
        <v>38.9</v>
      </c>
      <c r="E13" s="6" t="n">
        <v>47.8</v>
      </c>
      <c r="F13" s="6" t="n">
        <v>47.8</v>
      </c>
      <c r="G13" s="6" t="n">
        <v>53.6</v>
      </c>
      <c r="H13" s="6" t="n">
        <v>57.2</v>
      </c>
      <c r="I13" s="6" t="n">
        <v>38.1</v>
      </c>
      <c r="J13" s="6" t="n">
        <v>39.2</v>
      </c>
      <c r="K13" s="6" t="n">
        <v>42.6</v>
      </c>
      <c r="L13" s="6" t="n">
        <v>48.2</v>
      </c>
      <c r="M13" s="6" t="n">
        <v>49</v>
      </c>
      <c r="N13" s="6" t="n">
        <v>52.9</v>
      </c>
      <c r="O13" s="6" t="n">
        <v>59.7</v>
      </c>
    </row>
    <row r="14">
      <c r="A14" s="6" t="inlineStr">
        <is>
          <t>Intangible assets</t>
        </is>
      </c>
      <c r="B14" s="6" t="n">
        <v>60.9</v>
      </c>
      <c r="C14" s="6" t="n">
        <v>56.2</v>
      </c>
      <c r="D14" s="6" t="n">
        <v>51.6</v>
      </c>
      <c r="E14" s="6" t="n">
        <v>45.6</v>
      </c>
      <c r="F14" s="6" t="n">
        <v>44.3</v>
      </c>
      <c r="G14" s="6" t="n">
        <v>45.1</v>
      </c>
      <c r="H14" s="6" t="n">
        <v>46.6</v>
      </c>
      <c r="I14" s="6" t="n">
        <v>46.4</v>
      </c>
      <c r="J14" s="6" t="n">
        <v>44.6</v>
      </c>
      <c r="K14" s="6" t="n">
        <v>38.8</v>
      </c>
      <c r="L14" s="6" t="n">
        <v>33.6</v>
      </c>
      <c r="M14" s="6" t="n">
        <v>28.4</v>
      </c>
      <c r="N14" s="6" t="n">
        <v>1.1</v>
      </c>
      <c r="O14" s="6" t="n"/>
    </row>
    <row r="15">
      <c r="A15" s="6" t="inlineStr">
        <is>
          <t>Deferred tax assets</t>
        </is>
      </c>
      <c r="B15" s="6" t="n"/>
      <c r="C15" s="6" t="n"/>
      <c r="D15" s="6" t="n">
        <v>5.4</v>
      </c>
      <c r="E15" s="6" t="n">
        <v>11.3</v>
      </c>
      <c r="F15" s="6" t="n">
        <v>9.199999999999999</v>
      </c>
      <c r="G15" s="6" t="n">
        <v>12.3</v>
      </c>
      <c r="H15" s="6" t="n">
        <v>14.9</v>
      </c>
      <c r="I15" s="6" t="n">
        <v>18</v>
      </c>
      <c r="J15" s="6" t="n">
        <v>15.7</v>
      </c>
      <c r="K15" s="6" t="n">
        <v>17.9</v>
      </c>
      <c r="L15" s="6" t="n">
        <v>14.2</v>
      </c>
      <c r="M15" s="6" t="n">
        <v>10</v>
      </c>
      <c r="N15" s="6" t="n">
        <v>8.800000000000001</v>
      </c>
      <c r="O15" s="6" t="n">
        <v>11.4</v>
      </c>
    </row>
    <row r="16">
      <c r="A16" s="6" t="inlineStr">
        <is>
          <t>Assets held for sale</t>
        </is>
      </c>
      <c r="B16" s="6" t="n"/>
      <c r="C16" s="6" t="n"/>
      <c r="D16" s="6" t="n"/>
      <c r="E16" s="6" t="n"/>
      <c r="F16" s="6" t="n">
        <v>299.7</v>
      </c>
      <c r="G16" s="6" t="n">
        <v>2.3</v>
      </c>
      <c r="H16" s="6" t="n">
        <v>104.1</v>
      </c>
      <c r="I16" s="6" t="n"/>
      <c r="J16" s="6" t="n"/>
      <c r="K16" s="6" t="n"/>
      <c r="L16" s="6" t="n"/>
      <c r="M16" s="6" t="n"/>
      <c r="N16" s="6" t="n"/>
      <c r="O16" s="6" t="n"/>
    </row>
    <row r="17">
      <c r="A17" s="6" t="inlineStr">
        <is>
          <t>Other assets</t>
        </is>
      </c>
      <c r="B17" s="6" t="n">
        <v>55.6</v>
      </c>
      <c r="C17" s="6" t="n">
        <v>55</v>
      </c>
      <c r="D17" s="6" t="n">
        <v>50.4</v>
      </c>
      <c r="E17" s="6" t="n">
        <v>35.5</v>
      </c>
      <c r="F17" s="6" t="n">
        <v>17.5</v>
      </c>
      <c r="G17" s="6" t="n">
        <v>20.1</v>
      </c>
      <c r="H17" s="6" t="n">
        <v>16.2</v>
      </c>
      <c r="I17" s="6" t="n">
        <v>55.1</v>
      </c>
      <c r="J17" s="6" t="n">
        <v>19.8</v>
      </c>
      <c r="K17" s="6" t="n">
        <v>16.1</v>
      </c>
      <c r="L17" s="6" t="n">
        <v>7.4</v>
      </c>
      <c r="M17" s="6" t="n">
        <v>6.8</v>
      </c>
      <c r="N17" s="6" t="n">
        <v>8.6</v>
      </c>
      <c r="O17" s="6" t="n">
        <v>11</v>
      </c>
    </row>
    <row r="18">
      <c r="A18" s="6" t="inlineStr">
        <is>
          <t>Deemed loan due from structured entities</t>
        </is>
      </c>
      <c r="B18" s="6" t="n">
        <v>52.8</v>
      </c>
      <c r="C18" s="6" t="n">
        <v>131</v>
      </c>
      <c r="D18" s="6" t="n">
        <v>214.1</v>
      </c>
      <c r="E18" s="6" t="n">
        <v>93.40000000000001</v>
      </c>
      <c r="F18" s="6" t="n"/>
      <c r="G18" s="6" t="n"/>
      <c r="H18" s="6" t="n"/>
      <c r="I18" s="6" t="n"/>
      <c r="J18" s="6" t="n"/>
      <c r="K18" s="6" t="n"/>
      <c r="L18" s="6" t="n"/>
      <c r="M18" s="6" t="n"/>
      <c r="N18" s="6" t="n"/>
      <c r="O18" s="6" t="n"/>
    </row>
    <row r="19">
      <c r="A19" s="6" t="inlineStr">
        <is>
          <t>Investment in subsidiaries</t>
        </is>
      </c>
      <c r="B19" s="6" t="n">
        <v>145.4</v>
      </c>
      <c r="C19" s="6" t="n">
        <v>80.59999999999999</v>
      </c>
      <c r="D19" s="6" t="n">
        <v>58.6</v>
      </c>
      <c r="E19" s="6" t="n">
        <v>13.9</v>
      </c>
      <c r="F19" s="6" t="n">
        <v>13.9</v>
      </c>
      <c r="G19" s="6" t="n"/>
      <c r="H19" s="6" t="n"/>
      <c r="I19" s="6" t="n"/>
      <c r="J19" s="6" t="n"/>
      <c r="K19" s="6" t="n"/>
      <c r="L19" s="6" t="n"/>
      <c r="M19" s="6" t="n"/>
      <c r="N19" s="6" t="n"/>
      <c r="O19" s="6" t="n">
        <v>0</v>
      </c>
    </row>
    <row r="20">
      <c r="A20" s="6" t="inlineStr">
        <is>
          <t>Investment in associates</t>
        </is>
      </c>
      <c r="B20" s="6" t="n"/>
      <c r="C20" s="6" t="n"/>
      <c r="D20" s="6" t="n"/>
      <c r="E20" s="6" t="n"/>
      <c r="F20" s="6" t="n"/>
      <c r="G20" s="6" t="n">
        <v>2.8</v>
      </c>
      <c r="H20" s="6" t="n">
        <v>5.4</v>
      </c>
      <c r="I20" s="6" t="n">
        <v>5.5</v>
      </c>
      <c r="J20" s="6" t="n"/>
      <c r="K20" s="6" t="n"/>
      <c r="L20" s="6" t="n"/>
      <c r="M20" s="6" t="n"/>
      <c r="N20" s="6" t="n"/>
      <c r="O20" s="6" t="n"/>
    </row>
    <row r="21">
      <c r="A21" s="5" t="inlineStr">
        <is>
          <t>Total assets</t>
        </is>
      </c>
      <c r="B21" s="5" t="n">
        <v>22535.7</v>
      </c>
      <c r="C21" s="5" t="n">
        <v>19629</v>
      </c>
      <c r="D21" s="5" t="n">
        <v>17100.9</v>
      </c>
      <c r="E21" s="5" t="n">
        <v>13945.7</v>
      </c>
      <c r="F21" s="5" t="n">
        <v>11094.6</v>
      </c>
      <c r="G21" s="5" t="n">
        <v>8980.6</v>
      </c>
      <c r="H21" s="5" t="n">
        <v>8248</v>
      </c>
      <c r="I21" s="5" t="n">
        <v>6805.6</v>
      </c>
      <c r="J21" s="5" t="n">
        <v>5701.4</v>
      </c>
      <c r="K21" s="5" t="n">
        <v>4625</v>
      </c>
      <c r="L21" s="5" t="n">
        <v>3978.1</v>
      </c>
      <c r="M21" s="5" t="n">
        <v>2732.1</v>
      </c>
      <c r="N21" s="5" t="n">
        <v>1648.5</v>
      </c>
      <c r="O21" s="5" t="n">
        <v>1028.5</v>
      </c>
    </row>
    <row r="22">
      <c r="A22" s="5" t="inlineStr">
        <is>
          <t>Liabilities</t>
        </is>
      </c>
      <c r="B22" s="6" t="n"/>
      <c r="C22" s="6" t="n"/>
      <c r="D22" s="6" t="n"/>
      <c r="E22" s="6" t="n"/>
      <c r="F22" s="6" t="n"/>
      <c r="G22" s="6" t="n"/>
      <c r="H22" s="6" t="n"/>
      <c r="I22" s="6" t="n"/>
      <c r="J22" s="6" t="n"/>
      <c r="K22" s="6" t="n"/>
      <c r="L22" s="6" t="n"/>
      <c r="M22" s="6" t="n"/>
      <c r="N22" s="6" t="n"/>
      <c r="O22" s="6" t="n"/>
    </row>
    <row r="23">
      <c r="A23" s="6" t="inlineStr">
        <is>
          <t>Amounts due to banks</t>
        </is>
      </c>
      <c r="B23" s="6" t="n">
        <v>1430.6</v>
      </c>
      <c r="C23" s="6" t="n">
        <v>1372.1</v>
      </c>
      <c r="D23" s="6" t="n">
        <v>1397.6</v>
      </c>
      <c r="E23" s="6" t="n">
        <v>1498.7</v>
      </c>
      <c r="F23" s="6" t="n">
        <v>1200.7</v>
      </c>
      <c r="G23" s="6" t="n">
        <v>815.5</v>
      </c>
      <c r="H23" s="6" t="n">
        <v>881.6</v>
      </c>
      <c r="I23" s="6" t="n">
        <v>1029.4</v>
      </c>
      <c r="J23" s="6" t="n">
        <v>607.3</v>
      </c>
      <c r="K23" s="6" t="n">
        <v>147.7</v>
      </c>
      <c r="L23" s="6" t="n">
        <v>39.9</v>
      </c>
      <c r="M23" s="6" t="n">
        <v>41</v>
      </c>
      <c r="N23" s="6" t="n">
        <v>24.6</v>
      </c>
      <c r="O23" s="6" t="n"/>
    </row>
    <row r="24">
      <c r="A24" s="6" t="inlineStr">
        <is>
          <t>Customer deposits</t>
        </is>
      </c>
      <c r="B24" s="6" t="n">
        <v>18353.5</v>
      </c>
      <c r="C24" s="6" t="n">
        <v>15804</v>
      </c>
      <c r="D24" s="6" t="n">
        <v>13562.7</v>
      </c>
      <c r="E24" s="6" t="n">
        <v>10914.5</v>
      </c>
      <c r="F24" s="6" t="n">
        <v>8358.6</v>
      </c>
      <c r="G24" s="6" t="n">
        <v>6894.1</v>
      </c>
      <c r="H24" s="6" t="n">
        <v>6109.4</v>
      </c>
      <c r="I24" s="6" t="n">
        <v>4977.9</v>
      </c>
      <c r="J24" s="6" t="n">
        <v>4376.2</v>
      </c>
      <c r="K24" s="6" t="n">
        <v>3943.5</v>
      </c>
      <c r="L24" s="6" t="n">
        <v>3186.4</v>
      </c>
      <c r="M24" s="6" t="n">
        <v>2421</v>
      </c>
      <c r="N24" s="6" t="n">
        <v>1463</v>
      </c>
      <c r="O24" s="6" t="n">
        <v>923.7</v>
      </c>
    </row>
    <row r="25">
      <c r="A25" s="6" t="inlineStr">
        <is>
          <t>Provisions</t>
        </is>
      </c>
      <c r="B25" s="6" t="n">
        <v>8.300000000000001</v>
      </c>
      <c r="C25" s="6" t="n">
        <v>11.5</v>
      </c>
      <c r="D25" s="6" t="n">
        <v>15.9</v>
      </c>
      <c r="E25" s="6" t="n">
        <v>6</v>
      </c>
      <c r="F25" s="6" t="n">
        <v>14.2</v>
      </c>
      <c r="G25" s="6" t="n">
        <v>18</v>
      </c>
      <c r="H25" s="6" t="n">
        <v>8.300000000000001</v>
      </c>
      <c r="I25" s="6" t="n">
        <v>11.6</v>
      </c>
      <c r="J25" s="6" t="n">
        <v>2.8</v>
      </c>
      <c r="K25" s="6" t="n">
        <v>1.3</v>
      </c>
      <c r="L25" s="6" t="n">
        <v>0.9</v>
      </c>
      <c r="M25" s="6" t="n">
        <v>0.6</v>
      </c>
      <c r="N25" s="6" t="n">
        <v>0.4</v>
      </c>
      <c r="O25" s="6" t="n">
        <v>0.8</v>
      </c>
    </row>
    <row r="26">
      <c r="A26" s="6" t="inlineStr">
        <is>
          <t>Derivative financial liabilities</t>
        </is>
      </c>
      <c r="B26" s="6" t="n">
        <v>93.2</v>
      </c>
      <c r="C26" s="6" t="n">
        <v>117.1</v>
      </c>
      <c r="D26" s="6" t="n">
        <v>184.5</v>
      </c>
      <c r="E26" s="6" t="n">
        <v>90.5</v>
      </c>
      <c r="F26" s="6" t="n">
        <v>7.9</v>
      </c>
      <c r="G26" s="6" t="n">
        <v>42</v>
      </c>
      <c r="H26" s="6" t="n">
        <v>14.9</v>
      </c>
      <c r="I26" s="6" t="n">
        <v>5.7</v>
      </c>
      <c r="J26" s="6" t="n">
        <v>3.4</v>
      </c>
      <c r="K26" s="6" t="n">
        <v>0.4</v>
      </c>
      <c r="L26" s="6" t="n"/>
      <c r="M26" s="6" t="n"/>
      <c r="N26" s="6" t="n"/>
      <c r="O26" s="6" t="n">
        <v>0</v>
      </c>
    </row>
    <row r="27">
      <c r="A27" s="6" t="inlineStr">
        <is>
          <t>Current tax liabilities</t>
        </is>
      </c>
      <c r="B27" s="6" t="n"/>
      <c r="C27" s="6" t="n"/>
      <c r="D27" s="6" t="n">
        <v>0.2</v>
      </c>
      <c r="E27" s="6" t="n">
        <v>3.6</v>
      </c>
      <c r="F27" s="6" t="n"/>
      <c r="G27" s="6" t="n"/>
      <c r="H27" s="6" t="n">
        <v>1</v>
      </c>
      <c r="I27" s="6" t="n">
        <v>3.9</v>
      </c>
      <c r="J27" s="6" t="n">
        <v>7.8</v>
      </c>
      <c r="K27" s="6" t="n">
        <v>14.2</v>
      </c>
      <c r="L27" s="6" t="n">
        <v>7.5</v>
      </c>
      <c r="M27" s="6" t="n"/>
      <c r="N27" s="6" t="n"/>
      <c r="O27" s="6" t="n"/>
    </row>
    <row r="28">
      <c r="A28" s="6" t="inlineStr">
        <is>
          <t>Lease liabilities</t>
        </is>
      </c>
      <c r="B28" s="6" t="n">
        <v>24.4</v>
      </c>
      <c r="C28" s="6" t="n">
        <v>25</v>
      </c>
      <c r="D28" s="6" t="n">
        <v>5.2</v>
      </c>
      <c r="E28" s="6" t="n">
        <v>7.1</v>
      </c>
      <c r="F28" s="6" t="n">
        <v>9.4</v>
      </c>
      <c r="G28" s="6" t="n">
        <v>11.1</v>
      </c>
      <c r="H28" s="6" t="n">
        <v>12.4</v>
      </c>
      <c r="I28" s="6" t="n"/>
      <c r="J28" s="6" t="n"/>
      <c r="K28" s="6" t="n"/>
      <c r="L28" s="6" t="n"/>
      <c r="M28" s="6" t="n"/>
      <c r="N28" s="6" t="n"/>
      <c r="O28" s="6" t="n"/>
    </row>
    <row r="29">
      <c r="A29" s="6" t="inlineStr">
        <is>
          <t>Deferred tax liabilities</t>
        </is>
      </c>
      <c r="B29" s="6" t="n">
        <v>14.5</v>
      </c>
      <c r="C29" s="6" t="n">
        <v>7.1</v>
      </c>
      <c r="D29" s="6" t="n"/>
      <c r="E29" s="6" t="n"/>
      <c r="F29" s="6" t="n"/>
      <c r="G29" s="6" t="n"/>
      <c r="H29" s="6" t="n"/>
      <c r="I29" s="6" t="n"/>
      <c r="J29" s="6" t="n"/>
      <c r="K29" s="6" t="n"/>
      <c r="L29" s="6" t="n"/>
      <c r="M29" s="6" t="n"/>
      <c r="N29" s="6" t="n"/>
      <c r="O29" s="6" t="n"/>
    </row>
    <row r="30">
      <c r="A30" s="6" t="inlineStr">
        <is>
          <t>Other liabilities</t>
        </is>
      </c>
      <c r="B30" s="6" t="n">
        <v>188.3</v>
      </c>
      <c r="C30" s="6" t="n">
        <v>122.4</v>
      </c>
      <c r="D30" s="6" t="n">
        <v>85.40000000000001</v>
      </c>
      <c r="E30" s="6" t="n">
        <v>58.5</v>
      </c>
      <c r="F30" s="6" t="n">
        <v>60.7</v>
      </c>
      <c r="G30" s="6" t="n">
        <v>41.1</v>
      </c>
      <c r="H30" s="6" t="n">
        <v>93.90000000000001</v>
      </c>
      <c r="I30" s="6" t="n">
        <v>40.7</v>
      </c>
      <c r="J30" s="6" t="n">
        <v>26.8</v>
      </c>
      <c r="K30" s="6" t="n">
        <v>28.7</v>
      </c>
      <c r="L30" s="6" t="n">
        <v>333.7</v>
      </c>
      <c r="M30" s="6" t="n">
        <v>41.9</v>
      </c>
      <c r="N30" s="6" t="n">
        <v>21.3</v>
      </c>
      <c r="O30" s="6" t="n">
        <v>23.9</v>
      </c>
    </row>
    <row r="31">
      <c r="A31" s="6" t="inlineStr">
        <is>
          <t>Subordinated debt liability</t>
        </is>
      </c>
      <c r="B31" s="6" t="n">
        <v>171.5</v>
      </c>
      <c r="C31" s="6" t="n">
        <v>171.2</v>
      </c>
      <c r="D31" s="6" t="n">
        <v>188.8</v>
      </c>
      <c r="E31" s="6" t="n">
        <v>97.40000000000001</v>
      </c>
      <c r="F31" s="6" t="n">
        <v>97.5</v>
      </c>
      <c r="G31" s="6" t="n">
        <v>97.7</v>
      </c>
      <c r="H31" s="6" t="n">
        <v>96.40000000000001</v>
      </c>
      <c r="I31" s="6" t="n">
        <v>76.09999999999999</v>
      </c>
      <c r="J31" s="6" t="n">
        <v>76.09999999999999</v>
      </c>
      <c r="K31" s="6" t="n">
        <v>76.09999999999999</v>
      </c>
      <c r="L31" s="6" t="n">
        <v>75</v>
      </c>
      <c r="M31" s="6" t="n">
        <v>30.8</v>
      </c>
      <c r="N31" s="6" t="n">
        <v>27.6</v>
      </c>
      <c r="O31" s="6" t="n"/>
    </row>
    <row r="32">
      <c r="A32" s="6" t="inlineStr">
        <is>
          <t>Deemed loan due to structured entities</t>
        </is>
      </c>
      <c r="B32" s="6" t="n">
        <v>375.7</v>
      </c>
      <c r="C32" s="6" t="n">
        <v>388.5</v>
      </c>
      <c r="D32" s="6" t="n">
        <v>269.2</v>
      </c>
      <c r="E32" s="6" t="n">
        <v>133</v>
      </c>
      <c r="F32" s="6" t="n">
        <v>402.8</v>
      </c>
      <c r="G32" s="6" t="n">
        <v>268.2</v>
      </c>
      <c r="H32" s="6" t="n">
        <v>286.2</v>
      </c>
      <c r="I32" s="6" t="n"/>
      <c r="J32" s="6" t="n"/>
      <c r="K32" s="6" t="n"/>
      <c r="L32" s="6" t="n"/>
      <c r="M32" s="6" t="n"/>
      <c r="N32" s="6" t="n"/>
      <c r="O32" s="6" t="n"/>
    </row>
    <row r="33">
      <c r="A33" s="5" t="inlineStr">
        <is>
          <t>Total liabilities</t>
        </is>
      </c>
      <c r="B33" s="5" t="n">
        <v>20660</v>
      </c>
      <c r="C33" s="5" t="n">
        <v>18018.9</v>
      </c>
      <c r="D33" s="5" t="n">
        <v>15709.5</v>
      </c>
      <c r="E33" s="5" t="n">
        <v>12809.3</v>
      </c>
      <c r="F33" s="5" t="n">
        <v>10151.8</v>
      </c>
      <c r="G33" s="5" t="n">
        <v>8187.7</v>
      </c>
      <c r="H33" s="5" t="n">
        <v>7504.1</v>
      </c>
      <c r="I33" s="5" t="n">
        <v>6145.3</v>
      </c>
      <c r="J33" s="5" t="n">
        <v>5100.4</v>
      </c>
      <c r="K33" s="5" t="n">
        <v>4211.9</v>
      </c>
      <c r="L33" s="5" t="n">
        <v>3635.9</v>
      </c>
      <c r="M33" s="5" t="n">
        <v>2535.3</v>
      </c>
      <c r="N33" s="5" t="n">
        <v>1536.9</v>
      </c>
      <c r="O33" s="5" t="n">
        <v>948.4</v>
      </c>
    </row>
    <row r="34">
      <c r="A34" s="5" t="inlineStr">
        <is>
          <t>Equity</t>
        </is>
      </c>
      <c r="B34" s="6" t="n"/>
      <c r="C34" s="6" t="n"/>
      <c r="D34" s="6" t="n"/>
      <c r="E34" s="6" t="n"/>
      <c r="F34" s="6" t="n"/>
      <c r="G34" s="6" t="n"/>
      <c r="H34" s="6" t="n"/>
      <c r="I34" s="6" t="n"/>
      <c r="J34" s="6" t="n"/>
      <c r="K34" s="6" t="n"/>
      <c r="L34" s="6" t="n"/>
      <c r="M34" s="6" t="n"/>
      <c r="N34" s="6" t="n"/>
      <c r="O34" s="6" t="n"/>
    </row>
    <row r="35">
      <c r="A35" s="6" t="inlineStr">
        <is>
          <t>Share capital</t>
        </is>
      </c>
      <c r="B35" s="6" t="n">
        <v>225.5</v>
      </c>
      <c r="C35" s="6" t="n">
        <v>175.5</v>
      </c>
      <c r="D35" s="6" t="n">
        <v>175.5</v>
      </c>
      <c r="E35" s="6" t="n">
        <v>175.5</v>
      </c>
      <c r="F35" s="6" t="n">
        <v>175.5</v>
      </c>
      <c r="G35" s="6" t="n">
        <v>175.5</v>
      </c>
      <c r="H35" s="6" t="n">
        <v>175.5</v>
      </c>
      <c r="I35" s="6" t="n">
        <v>175.5</v>
      </c>
      <c r="J35" s="6" t="n">
        <v>175.5</v>
      </c>
      <c r="K35" s="6" t="n">
        <v>175.5</v>
      </c>
      <c r="L35" s="6" t="n">
        <v>175.5</v>
      </c>
      <c r="M35" s="6" t="n">
        <v>174.5</v>
      </c>
      <c r="N35" s="6" t="n">
        <v>129</v>
      </c>
      <c r="O35" s="6" t="n">
        <v>112</v>
      </c>
    </row>
    <row r="36">
      <c r="A36" s="6" t="inlineStr">
        <is>
          <t>Share premium account</t>
        </is>
      </c>
      <c r="B36" s="6" t="n">
        <v>81</v>
      </c>
      <c r="C36" s="6" t="n">
        <v>81</v>
      </c>
      <c r="D36" s="6" t="n">
        <v>81</v>
      </c>
      <c r="E36" s="6" t="n">
        <v>81</v>
      </c>
      <c r="F36" s="6" t="n">
        <v>81</v>
      </c>
      <c r="G36" s="6" t="n">
        <v>81</v>
      </c>
      <c r="H36" s="6" t="n">
        <v>81</v>
      </c>
      <c r="I36" s="6" t="n">
        <v>81</v>
      </c>
      <c r="J36" s="6" t="n">
        <v>81</v>
      </c>
      <c r="K36" s="6" t="n">
        <v>81</v>
      </c>
      <c r="L36" s="6" t="n">
        <v>81</v>
      </c>
      <c r="M36" s="6" t="n"/>
      <c r="N36" s="6" t="n"/>
      <c r="O36" s="6" t="n"/>
    </row>
    <row r="37">
      <c r="A37" s="6" t="inlineStr">
        <is>
          <t>Capital securities</t>
        </is>
      </c>
      <c r="B37" s="6" t="n">
        <v>125</v>
      </c>
      <c r="C37" s="6" t="n">
        <v>125</v>
      </c>
      <c r="D37" s="6" t="n">
        <v>125</v>
      </c>
      <c r="E37" s="6" t="n">
        <v>125</v>
      </c>
      <c r="F37" s="6" t="n">
        <v>125</v>
      </c>
      <c r="G37" s="6" t="n">
        <v>125</v>
      </c>
      <c r="H37" s="6" t="n">
        <v>125</v>
      </c>
      <c r="I37" s="6" t="n">
        <v>125</v>
      </c>
      <c r="J37" s="6" t="n">
        <v>125</v>
      </c>
      <c r="K37" s="6" t="n"/>
      <c r="L37" s="6" t="n"/>
      <c r="M37" s="6" t="n"/>
      <c r="N37" s="6" t="n"/>
      <c r="O37" s="6" t="n"/>
    </row>
    <row r="38">
      <c r="A38" s="6" t="inlineStr">
        <is>
          <t>Merger reserve</t>
        </is>
      </c>
      <c r="B38" s="6" t="n">
        <v>1.6</v>
      </c>
      <c r="C38" s="6" t="n">
        <v>1.6</v>
      </c>
      <c r="D38" s="6" t="n">
        <v>1.6</v>
      </c>
      <c r="E38" s="6" t="n">
        <v>1.6</v>
      </c>
      <c r="F38" s="6" t="n">
        <v>1.6</v>
      </c>
      <c r="G38" s="6" t="n">
        <v>1.6</v>
      </c>
      <c r="H38" s="6" t="n">
        <v>1.6</v>
      </c>
      <c r="I38" s="6" t="n">
        <v>1.6</v>
      </c>
      <c r="J38" s="6" t="n">
        <v>1.6</v>
      </c>
      <c r="K38" s="6" t="n">
        <v>1.6</v>
      </c>
      <c r="L38" s="6" t="n">
        <v>1.6</v>
      </c>
      <c r="M38" s="6" t="n">
        <v>1.6</v>
      </c>
      <c r="N38" s="6" t="n"/>
      <c r="O38" s="6" t="n"/>
    </row>
    <row r="39">
      <c r="A39" s="6" t="inlineStr">
        <is>
          <t>Capital contribution reserve</t>
        </is>
      </c>
      <c r="B39" s="6" t="n">
        <v>39.7</v>
      </c>
      <c r="C39" s="6" t="n">
        <v>39.7</v>
      </c>
      <c r="D39" s="6" t="n">
        <v>39</v>
      </c>
      <c r="E39" s="6" t="n">
        <v>24</v>
      </c>
      <c r="F39" s="6" t="n">
        <v>23.9</v>
      </c>
      <c r="G39" s="6" t="n">
        <v>17.7</v>
      </c>
      <c r="H39" s="6" t="n">
        <v>17.2</v>
      </c>
      <c r="I39" s="6" t="n">
        <v>16.4</v>
      </c>
      <c r="J39" s="6" t="n">
        <v>16.7</v>
      </c>
      <c r="K39" s="6" t="n">
        <v>9.199999999999999</v>
      </c>
      <c r="L39" s="6" t="n">
        <v>4.4</v>
      </c>
      <c r="M39" s="6" t="n">
        <v>0.3</v>
      </c>
      <c r="N39" s="6" t="n">
        <v>0.2</v>
      </c>
      <c r="O39" s="6" t="n">
        <v>0.2</v>
      </c>
    </row>
    <row r="40">
      <c r="A40" s="6" t="inlineStr">
        <is>
          <t>Cash flow hedging reserve</t>
        </is>
      </c>
      <c r="B40" s="6" t="n">
        <v>1.3</v>
      </c>
      <c r="C40" s="6" t="n">
        <v>0.1</v>
      </c>
      <c r="D40" s="6" t="n">
        <v>0.1</v>
      </c>
      <c r="E40" s="6" t="n"/>
      <c r="F40" s="6" t="n"/>
      <c r="G40" s="6" t="n"/>
      <c r="H40" s="6" t="n"/>
      <c r="I40" s="6" t="n"/>
      <c r="J40" s="6" t="n"/>
      <c r="K40" s="6" t="n"/>
      <c r="L40" s="6" t="n"/>
      <c r="M40" s="6" t="n"/>
      <c r="N40" s="6" t="n"/>
      <c r="O40" s="6" t="n"/>
    </row>
    <row r="41">
      <c r="A41" s="6" t="inlineStr">
        <is>
          <t>Fair value through other comprehensive income reserve</t>
        </is>
      </c>
      <c r="B41" s="6" t="n">
        <v>43.8</v>
      </c>
      <c r="C41" s="6" t="n">
        <v>29.6</v>
      </c>
      <c r="D41" s="6" t="n">
        <v>-0.3</v>
      </c>
      <c r="E41" s="6" t="n">
        <v>-10.7</v>
      </c>
      <c r="F41" s="6" t="n"/>
      <c r="G41" s="6" t="n"/>
      <c r="H41" s="6" t="n"/>
      <c r="I41" s="6" t="n"/>
      <c r="J41" s="6" t="n"/>
      <c r="K41" s="6" t="n"/>
      <c r="L41" s="6" t="n"/>
      <c r="M41" s="6" t="n"/>
      <c r="N41" s="6" t="n"/>
      <c r="O41" s="6" t="n"/>
    </row>
    <row r="42">
      <c r="A42" s="6" t="inlineStr">
        <is>
          <t>Retained earnings</t>
        </is>
      </c>
      <c r="B42" s="6" t="n">
        <v>1357.8</v>
      </c>
      <c r="C42" s="6" t="n">
        <v>1157.6</v>
      </c>
      <c r="D42" s="6" t="n">
        <v>969.5</v>
      </c>
      <c r="E42" s="6" t="n">
        <v>740</v>
      </c>
      <c r="F42" s="6" t="n">
        <v>535.8</v>
      </c>
      <c r="G42" s="6" t="n">
        <v>392.1</v>
      </c>
      <c r="H42" s="6" t="n">
        <v>343.6</v>
      </c>
      <c r="I42" s="6" t="n">
        <v>260.8</v>
      </c>
      <c r="J42" s="6" t="n">
        <v>201.2</v>
      </c>
      <c r="K42" s="6" t="n">
        <v>145.8</v>
      </c>
      <c r="L42" s="6" t="n">
        <v>79.7</v>
      </c>
      <c r="M42" s="6" t="n">
        <v>20.4</v>
      </c>
      <c r="N42" s="6" t="n">
        <v>-17.6</v>
      </c>
      <c r="O42" s="6" t="n">
        <v>-32</v>
      </c>
    </row>
    <row r="43">
      <c r="A43" s="5" t="inlineStr">
        <is>
          <t>Total equity</t>
        </is>
      </c>
      <c r="B43" s="5" t="n">
        <v>1875.7</v>
      </c>
      <c r="C43" s="5" t="n">
        <v>1610.1</v>
      </c>
      <c r="D43" s="5" t="n">
        <v>1391.4</v>
      </c>
      <c r="E43" s="5" t="n">
        <v>1136.4</v>
      </c>
      <c r="F43" s="5" t="n">
        <v>942.8</v>
      </c>
      <c r="G43" s="5" t="n">
        <v>792.9</v>
      </c>
      <c r="H43" s="5" t="n">
        <v>743.9</v>
      </c>
      <c r="I43" s="5" t="n">
        <v>660.3</v>
      </c>
      <c r="J43" s="5" t="n">
        <v>601</v>
      </c>
      <c r="K43" s="5" t="n">
        <v>413.1</v>
      </c>
      <c r="L43" s="5" t="n">
        <v>342.2</v>
      </c>
      <c r="M43" s="5" t="n">
        <v>196.8</v>
      </c>
      <c r="N43" s="5" t="n">
        <v>111.6</v>
      </c>
      <c r="O43" s="5" t="n">
        <v>80.2</v>
      </c>
    </row>
    <row r="44">
      <c r="A44" s="5" t="inlineStr">
        <is>
          <t>Total liabilities and equity</t>
        </is>
      </c>
      <c r="B44" s="5" t="n">
        <v>22535.7</v>
      </c>
      <c r="C44" s="5" t="n">
        <v>19629</v>
      </c>
      <c r="D44" s="5" t="n">
        <v>17100.9</v>
      </c>
      <c r="E44" s="5" t="n">
        <v>13945.7</v>
      </c>
      <c r="F44" s="5" t="n">
        <v>11094.6</v>
      </c>
      <c r="G44" s="5" t="n">
        <v>8980.6</v>
      </c>
      <c r="H44" s="5" t="n">
        <v>8248</v>
      </c>
      <c r="I44" s="5" t="n">
        <v>6805.6</v>
      </c>
      <c r="J44" s="5" t="n">
        <v>5701.4</v>
      </c>
      <c r="K44" s="5" t="n">
        <v>4625</v>
      </c>
      <c r="L44" s="5" t="n">
        <v>3978.1</v>
      </c>
      <c r="M44" s="5" t="n">
        <v>2732.1</v>
      </c>
      <c r="N44" s="5" t="n">
        <v>1648.5</v>
      </c>
      <c r="O44" s="5" t="n">
        <v>1028.5</v>
      </c>
    </row>
    <row r="46" ht="260" customHeight="1">
      <c r="A46"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deliberately left blank: the Annual Report's 147.2% is a point-in-time year-end ratio, not the 12-month-average UK KM1 measure used for FY2022-FY2024 here (the same Annual Report reports FY2024 as 176.0% against the 265.0% recorded here from that year's Bank Pillar 3)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FY2014/FY2015 Bank Total RWAs are derived from the Bank's own disclosed Pillar 1 capital requirement (Credit risk + Operational risk) grossed up at 8%, per each year's own Pillar 3 disclosure; FY2015's derived total (£2,173.8m) is used in preference to the £2,175.9m 'Total risk exposure amount' shown in that year's countercyclical-buffer table, which nets to the same figure within rounding.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
INVESTMENT SECURITIES MEASUREMENT-BASIS SPLIT: the Company's 'Investment securities' balance is disclosed by IFRS 9 measurement category for FY2018-FY2025, splitting into amortised cost and FVOCI (mandatorily-at-FVTPL is £nil in every reviewed year). No UK government/gilt/treasury-bill vs other-issuer split is disclosed in any reviewed year - the only issuer-type analysis Shawbrook gives (Note 25 of the FY2025 Annual Report; Note 16 of the FY2019 Annual Report) is 'covered bonds' vs 'debt securities' (retained mortgage-backed notes from the Group's own securitisations), neither of which is a government security, so that split is not reproduced here. FY2025/FY2024: Note 25 'Investment securities', Annual Report and Accounts 2025 pp.144-145, discloses '£178.1 million (2024: £nil) classified as FVOCI'; the Company figures used here (FY2025: £1,986.7m amortised cost / £178.1m FVOCI; FY2024: £1,449.3m amortised cost / £nil FVOCI) are taken from the Risk Report's 'Exposure to credit risk' table, p.70, which gives the Group/Company split by measurement category and ties exactly to each year's Balance Sheet total - https://www.shawbrook.co.uk/media/vkkpos4a/shawbrook-bank-limited-2025-annual-report-accounts.pdf
FY2023/FY2022: Note 38 'Financial assets and financial liabilities' (Classification of financial assets and financial liabilities), Annual Report and Accounts 2023 pp.159-160 (Company table p.160), shows Company Investment securities entirely in the amortised-cost column (FY2023: £816.3m; FY2022: £716.8m; £nil FVOCI/FVTPL in both years) - https://www.shawbrook.co.uk/media/iflapcxl/shawbrook-bank-ltd-annual-report-and-accounts-2023.pdf
FY2021/FY2020: Note 41 'Financial instruments' (Classification of financial assets and financial liabilities), Annual Report and Accounts 2021 pp.156-157, gives the Group table (Investment securities entirely amortised cost: FY2021 £521.4m; FY2020 £358.2m) plus a Company narrative confirming that 'the measurement categories that the Company's financial assets ... are allocated to are the same as the Group' - so the Company's own Investment securities balance (FY2021: £614.8m; FY2020: £421.6m) is taken as entirely amortised cost, £nil FVOCI/FVTPL - https://www.shawbrook.co.uk/media/ft4eulfp/shawbrook-bank-ara-2021.pdf
FY2019/FY2018: accounting policy Note 1.7(i), Annual Report and Accounts 2019 p.103, states plainly that 'Investment securities are classified as financial assets measured at amortised cost' with no FVOCI/FVTPL carve-out disclosed for either year (Note 16 'Investment securities', p.128, gives the £245.9m/£139.9m Company totals used elsewhere on this sheet, entirely amortised cost) - https://www.shawbrook.co.uk/media/pqtkvwzv/sb-limited-ara-2019.pdf
FY2017-FY2013 and FY2012 are left blank for this split: FY2017-FY2013 have no Investment securities balance at all (see the row above); FY2012's own Annual Report was not reviewed for a measurement-basis breakdown, so rather than assume its £144.9m follows the same amortised-cost-only pattern seen in every other reviewed year, it is left blank here.</t>
        </is>
      </c>
    </row>
  </sheetData>
  <mergeCells count="1">
    <mergeCell ref="A46:O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Profit &amp; Loss</t>
        </is>
      </c>
    </row>
    <row r="2">
      <c r="A2" s="2" t="inlineStr">
        <is>
          <t>Group/Consolidated basis, £m; FY2012-FY2025 calendar year-ends. Necessarily Group basis - the Company takes the s.408 Companies Act 2006 exemption and does not publish its own income statement (see source note for the Company's own disclosed after-tax profit each year, which differs from Group 'Profit after tax' shown here). FY2014-FY2021 have no disclosed OCI items at all - 'Profit after tax' equals 'Total comprehensive income' exactly in each of those years, per that year's own Annual Report. FY2013/FY2012 do have disclosed OCI (cash flow hedge and available-for-sale reserve movements), but only as a single combined net-of-tax figure per their own Annual Reports (not split per-reserve the way FY2022-FY2025 are) - so only the 'Other comprehensive income/(expense), net of tax' total is populated for those two years, not the per-reserve breakdown rows above it. 'Acquisition costs' (FY2012 only, £2.1m) is a genuine one-off line from that year's own Income Statement, not disclosed in any other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Income</t>
        </is>
      </c>
      <c r="B4" s="6" t="n"/>
      <c r="C4" s="6" t="n"/>
      <c r="D4" s="6" t="n"/>
      <c r="E4" s="6" t="n"/>
      <c r="F4" s="6" t="n"/>
      <c r="G4" s="6" t="n"/>
      <c r="H4" s="6" t="n"/>
      <c r="I4" s="6" t="n"/>
      <c r="J4" s="6" t="n"/>
      <c r="K4" s="6" t="n"/>
      <c r="L4" s="6" t="n"/>
      <c r="M4" s="6" t="n"/>
      <c r="N4" s="6" t="n"/>
      <c r="O4" s="6" t="n"/>
    </row>
    <row r="5">
      <c r="A5" s="6" t="inlineStr">
        <is>
          <t>Interest income calculated using the effective interest rate method</t>
        </is>
      </c>
      <c r="B5" s="6" t="n">
        <v>1284.6</v>
      </c>
      <c r="C5" s="6" t="n">
        <v>1199.3</v>
      </c>
      <c r="D5" s="6" t="n">
        <v>946</v>
      </c>
      <c r="E5" s="6" t="n">
        <v>588.1</v>
      </c>
      <c r="F5" s="6" t="n">
        <v>456.3</v>
      </c>
      <c r="G5" s="6" t="n">
        <v>399.9</v>
      </c>
      <c r="H5" s="6" t="n">
        <v>406</v>
      </c>
      <c r="I5" s="6" t="n">
        <v>356</v>
      </c>
      <c r="J5" s="6" t="n">
        <v>313.3</v>
      </c>
      <c r="K5" s="6" t="n">
        <v>280.2</v>
      </c>
      <c r="L5" s="6" t="n">
        <v>216.9</v>
      </c>
      <c r="M5" s="6" t="n">
        <v>156.7</v>
      </c>
      <c r="N5" s="6" t="n">
        <v>93.3</v>
      </c>
      <c r="O5" s="6" t="n">
        <v>46.9</v>
      </c>
    </row>
    <row r="6">
      <c r="A6" s="6" t="inlineStr">
        <is>
          <t>Other interest and similar income</t>
        </is>
      </c>
      <c r="B6" s="6" t="n">
        <v>137.3</v>
      </c>
      <c r="C6" s="6" t="n">
        <v>187.7</v>
      </c>
      <c r="D6" s="6" t="n">
        <v>197.8</v>
      </c>
      <c r="E6" s="6" t="n">
        <v>36.2</v>
      </c>
      <c r="F6" s="6" t="n">
        <v>-12.6</v>
      </c>
      <c r="G6" s="6" t="n">
        <v>-8.699999999999999</v>
      </c>
      <c r="H6" s="6" t="n">
        <v>-0.3</v>
      </c>
      <c r="I6" s="6" t="n">
        <v>0.8</v>
      </c>
      <c r="J6" s="6" t="n"/>
      <c r="K6" s="6" t="n"/>
      <c r="L6" s="6" t="n"/>
      <c r="M6" s="6" t="n"/>
      <c r="N6" s="6" t="n"/>
      <c r="O6" s="6" t="n"/>
    </row>
    <row r="7">
      <c r="A7" s="6" t="inlineStr">
        <is>
          <t>Interest expense and similar charges</t>
        </is>
      </c>
      <c r="B7" s="6" t="n">
        <v>-774.9</v>
      </c>
      <c r="C7" s="6" t="n">
        <v>-795.9</v>
      </c>
      <c r="D7" s="6" t="n">
        <v>-567.1</v>
      </c>
      <c r="E7" s="6" t="n">
        <v>-164.4</v>
      </c>
      <c r="F7" s="6" t="n">
        <v>-88.90000000000001</v>
      </c>
      <c r="G7" s="6" t="n">
        <v>-114.9</v>
      </c>
      <c r="H7" s="6" t="n">
        <v>-113.1</v>
      </c>
      <c r="I7" s="6" t="n">
        <v>-87.2</v>
      </c>
      <c r="J7" s="6" t="n">
        <v>-75.90000000000001</v>
      </c>
      <c r="K7" s="6" t="n">
        <v>-83</v>
      </c>
      <c r="L7" s="6" t="n">
        <v>-63.8</v>
      </c>
      <c r="M7" s="6" t="n">
        <v>-54</v>
      </c>
      <c r="N7" s="6" t="n">
        <v>-38.4</v>
      </c>
      <c r="O7" s="6" t="n">
        <v>-27.4</v>
      </c>
    </row>
    <row r="8">
      <c r="A8" s="5" t="inlineStr">
        <is>
          <t>Net interest income</t>
        </is>
      </c>
      <c r="B8" s="5" t="n">
        <v>647</v>
      </c>
      <c r="C8" s="5" t="n">
        <v>591.1</v>
      </c>
      <c r="D8" s="5" t="n">
        <v>576.7</v>
      </c>
      <c r="E8" s="5" t="n">
        <v>459.9</v>
      </c>
      <c r="F8" s="5" t="n">
        <v>354.8</v>
      </c>
      <c r="G8" s="5" t="n">
        <v>276.3</v>
      </c>
      <c r="H8" s="5" t="n">
        <v>292.6</v>
      </c>
      <c r="I8" s="5" t="n">
        <v>269.6</v>
      </c>
      <c r="J8" s="5" t="n">
        <v>237.4</v>
      </c>
      <c r="K8" s="5" t="n">
        <v>197.2</v>
      </c>
      <c r="L8" s="5" t="n">
        <v>153.1</v>
      </c>
      <c r="M8" s="5" t="n">
        <v>102.7</v>
      </c>
      <c r="N8" s="5" t="n">
        <v>54.9</v>
      </c>
      <c r="O8" s="5" t="n">
        <v>19.5</v>
      </c>
    </row>
    <row r="9">
      <c r="A9" s="6" t="inlineStr">
        <is>
          <t>Operating lease rental income</t>
        </is>
      </c>
      <c r="B9" s="6" t="n">
        <v>7.3</v>
      </c>
      <c r="C9" s="6" t="n">
        <v>8.699999999999999</v>
      </c>
      <c r="D9" s="6" t="n">
        <v>9.6</v>
      </c>
      <c r="E9" s="6" t="n">
        <v>10.1</v>
      </c>
      <c r="F9" s="6" t="n">
        <v>10.4</v>
      </c>
      <c r="G9" s="6" t="n">
        <v>10.9</v>
      </c>
      <c r="H9" s="6" t="n">
        <v>10.3</v>
      </c>
      <c r="I9" s="6" t="n">
        <v>10</v>
      </c>
      <c r="J9" s="6" t="n">
        <v>12.3</v>
      </c>
      <c r="K9" s="6" t="n">
        <v>13.5</v>
      </c>
      <c r="L9" s="6" t="n">
        <v>14.9</v>
      </c>
      <c r="M9" s="6" t="n">
        <v>15.7</v>
      </c>
      <c r="N9" s="6" t="n">
        <v>17.1</v>
      </c>
      <c r="O9" s="6" t="n">
        <v>15.1</v>
      </c>
    </row>
    <row r="10">
      <c r="A10" s="6" t="inlineStr">
        <is>
          <t>Depreciation on operating leases</t>
        </is>
      </c>
      <c r="B10" s="6" t="n">
        <v>-6.2</v>
      </c>
      <c r="C10" s="6" t="n">
        <v>-7.4</v>
      </c>
      <c r="D10" s="6" t="n">
        <v>-8.199999999999999</v>
      </c>
      <c r="E10" s="6" t="n">
        <v>-8.699999999999999</v>
      </c>
      <c r="F10" s="6" t="n">
        <v>-8.6</v>
      </c>
      <c r="G10" s="6" t="n">
        <v>-9.1</v>
      </c>
      <c r="H10" s="6" t="n">
        <v>-8.6</v>
      </c>
      <c r="I10" s="6" t="n">
        <v>-7.6</v>
      </c>
      <c r="J10" s="6" t="n">
        <v>-10.6</v>
      </c>
      <c r="K10" s="6" t="n">
        <v>-11.3</v>
      </c>
      <c r="L10" s="6" t="n">
        <v>-12.2</v>
      </c>
      <c r="M10" s="6" t="n">
        <v>-13.1</v>
      </c>
      <c r="N10" s="6" t="n">
        <v>-13.8</v>
      </c>
      <c r="O10" s="6" t="n">
        <v>-12</v>
      </c>
    </row>
    <row r="11">
      <c r="A11" s="6" t="inlineStr">
        <is>
          <t>Net other operating lease income/(expense)</t>
        </is>
      </c>
      <c r="B11" s="6" t="n">
        <v>0.1</v>
      </c>
      <c r="C11" s="6" t="n">
        <v>0.1</v>
      </c>
      <c r="D11" s="6" t="n">
        <v>0.1</v>
      </c>
      <c r="E11" s="6" t="n">
        <v>0.3</v>
      </c>
      <c r="F11" s="6" t="n"/>
      <c r="G11" s="6" t="n">
        <v>-0.1</v>
      </c>
      <c r="H11" s="6" t="n">
        <v>0.2</v>
      </c>
      <c r="I11" s="6" t="n">
        <v>-0.6</v>
      </c>
      <c r="J11" s="6" t="n"/>
      <c r="K11" s="6" t="n">
        <v>0.1</v>
      </c>
      <c r="L11" s="6" t="n">
        <v>1.1</v>
      </c>
      <c r="M11" s="6" t="n">
        <v>1.1</v>
      </c>
      <c r="N11" s="6" t="n">
        <v>1.1</v>
      </c>
      <c r="O11" s="6" t="n"/>
    </row>
    <row r="12">
      <c r="A12" s="5" t="inlineStr">
        <is>
          <t>Net operating lease income</t>
        </is>
      </c>
      <c r="B12" s="5" t="n">
        <v>1.2</v>
      </c>
      <c r="C12" s="5" t="n">
        <v>1.4</v>
      </c>
      <c r="D12" s="5" t="n">
        <v>1.5</v>
      </c>
      <c r="E12" s="5" t="n">
        <v>1.7</v>
      </c>
      <c r="F12" s="5" t="n">
        <v>1.8</v>
      </c>
      <c r="G12" s="5" t="n">
        <v>1.7</v>
      </c>
      <c r="H12" s="5" t="n">
        <v>1.9</v>
      </c>
      <c r="I12" s="5" t="n">
        <v>1.8</v>
      </c>
      <c r="J12" s="5" t="n">
        <v>1.7</v>
      </c>
      <c r="K12" s="5" t="n">
        <v>2.3</v>
      </c>
      <c r="L12" s="5" t="n">
        <v>3.8</v>
      </c>
      <c r="M12" s="5" t="n">
        <v>3.7</v>
      </c>
      <c r="N12" s="5" t="n">
        <v>4.4</v>
      </c>
      <c r="O12" s="5" t="n">
        <v>3.1</v>
      </c>
    </row>
    <row r="13">
      <c r="A13" s="6" t="inlineStr">
        <is>
          <t>Fee and commission income</t>
        </is>
      </c>
      <c r="B13" s="6" t="n">
        <v>17.3</v>
      </c>
      <c r="C13" s="6" t="n">
        <v>16.2</v>
      </c>
      <c r="D13" s="6" t="n">
        <v>16.9</v>
      </c>
      <c r="E13" s="6" t="n">
        <v>14.1</v>
      </c>
      <c r="F13" s="6" t="n">
        <v>11.5</v>
      </c>
      <c r="G13" s="6" t="n">
        <v>8.6</v>
      </c>
      <c r="H13" s="6" t="n">
        <v>9.699999999999999</v>
      </c>
      <c r="I13" s="6" t="n">
        <v>10.7</v>
      </c>
      <c r="J13" s="6" t="n">
        <v>12.3</v>
      </c>
      <c r="K13" s="6" t="n">
        <v>15.4</v>
      </c>
      <c r="L13" s="6" t="n">
        <v>13.1</v>
      </c>
      <c r="M13" s="6" t="n">
        <v>7.6</v>
      </c>
      <c r="N13" s="6" t="n">
        <v>0.8</v>
      </c>
      <c r="O13" s="6" t="n">
        <v>0.5</v>
      </c>
    </row>
    <row r="14">
      <c r="A14" s="6" t="inlineStr">
        <is>
          <t>Fee and commission expense</t>
        </is>
      </c>
      <c r="B14" s="6" t="n">
        <v>-19.6</v>
      </c>
      <c r="C14" s="6" t="n">
        <v>-17</v>
      </c>
      <c r="D14" s="6" t="n">
        <v>-13.3</v>
      </c>
      <c r="E14" s="6" t="n">
        <v>-8.800000000000001</v>
      </c>
      <c r="F14" s="6" t="n">
        <v>-7.3</v>
      </c>
      <c r="G14" s="6" t="n">
        <v>-9.199999999999999</v>
      </c>
      <c r="H14" s="6" t="n">
        <v>-8.699999999999999</v>
      </c>
      <c r="I14" s="6" t="n">
        <v>-9.699999999999999</v>
      </c>
      <c r="J14" s="6" t="n">
        <v>-13.5</v>
      </c>
      <c r="K14" s="6" t="n">
        <v>-5.7</v>
      </c>
      <c r="L14" s="6" t="n">
        <v>-2.8</v>
      </c>
      <c r="M14" s="6" t="n">
        <v>-1.7</v>
      </c>
      <c r="N14" s="6" t="n">
        <v>0</v>
      </c>
      <c r="O14" s="6" t="n">
        <v>-0.2</v>
      </c>
    </row>
    <row r="15">
      <c r="A15" s="5" t="inlineStr">
        <is>
          <t>Net fee and commission income/(expense)</t>
        </is>
      </c>
      <c r="B15" s="5" t="n">
        <v>-2.3</v>
      </c>
      <c r="C15" s="5" t="n">
        <v>-0.8</v>
      </c>
      <c r="D15" s="5" t="n">
        <v>3.6</v>
      </c>
      <c r="E15" s="5" t="n">
        <v>5.3</v>
      </c>
      <c r="F15" s="5" t="n">
        <v>4.2</v>
      </c>
      <c r="G15" s="5" t="n">
        <v>-0.6</v>
      </c>
      <c r="H15" s="5" t="n">
        <v>1</v>
      </c>
      <c r="I15" s="5" t="n">
        <v>1</v>
      </c>
      <c r="J15" s="5" t="n">
        <v>-1.2</v>
      </c>
      <c r="K15" s="5" t="n">
        <v>9.699999999999999</v>
      </c>
      <c r="L15" s="5" t="n">
        <v>10.3</v>
      </c>
      <c r="M15" s="5" t="n">
        <v>5.9</v>
      </c>
      <c r="N15" s="5" t="n">
        <v>0.8</v>
      </c>
      <c r="O15" s="5" t="n">
        <v>0.4</v>
      </c>
    </row>
    <row r="16">
      <c r="A16" s="6" t="inlineStr">
        <is>
          <t>Net gains on derecognition of financial assets measured at amortised cost</t>
        </is>
      </c>
      <c r="B16" s="6" t="n"/>
      <c r="C16" s="6" t="n"/>
      <c r="D16" s="6" t="n"/>
      <c r="E16" s="6" t="n">
        <v>7.7</v>
      </c>
      <c r="F16" s="6" t="n">
        <v>21.7</v>
      </c>
      <c r="G16" s="6" t="n">
        <v>9.4</v>
      </c>
      <c r="H16" s="6" t="n"/>
      <c r="I16" s="6" t="n"/>
      <c r="J16" s="6" t="n"/>
      <c r="K16" s="6" t="n"/>
      <c r="L16" s="6" t="n"/>
      <c r="M16" s="6" t="n"/>
      <c r="N16" s="6" t="n"/>
      <c r="O16" s="6" t="n"/>
    </row>
    <row r="17">
      <c r="A17" s="6" t="inlineStr">
        <is>
          <t>Net gains on structured asset sales</t>
        </is>
      </c>
      <c r="B17" s="6" t="n">
        <v>34.8</v>
      </c>
      <c r="C17" s="6" t="n">
        <v>14.1</v>
      </c>
      <c r="D17" s="6" t="n"/>
      <c r="E17" s="6" t="n"/>
      <c r="F17" s="6" t="n"/>
      <c r="G17" s="6" t="n"/>
      <c r="H17" s="6" t="n"/>
      <c r="I17" s="6" t="n"/>
      <c r="J17" s="6" t="n"/>
      <c r="K17" s="6" t="n"/>
      <c r="L17" s="6" t="n"/>
      <c r="M17" s="6" t="n"/>
      <c r="N17" s="6" t="n"/>
      <c r="O17" s="6" t="n"/>
    </row>
    <row r="18">
      <c r="A18" s="6" t="inlineStr">
        <is>
          <t>Net (losses)/gains on derivative financial instruments and hedge accounting</t>
        </is>
      </c>
      <c r="B18" s="6" t="n">
        <v>-2.2</v>
      </c>
      <c r="C18" s="6" t="n">
        <v>1.9</v>
      </c>
      <c r="D18" s="6" t="n">
        <v>5.1</v>
      </c>
      <c r="E18" s="6" t="n">
        <v>-0.8</v>
      </c>
      <c r="F18" s="6" t="n">
        <v>3.1</v>
      </c>
      <c r="G18" s="6" t="n">
        <v>-5</v>
      </c>
      <c r="H18" s="6" t="n">
        <v>2.3</v>
      </c>
      <c r="I18" s="6" t="n">
        <v>0.5</v>
      </c>
      <c r="J18" s="6" t="n">
        <v>0.2</v>
      </c>
      <c r="K18" s="6" t="n">
        <v>0.5</v>
      </c>
      <c r="L18" s="6" t="n">
        <v>-0.3</v>
      </c>
      <c r="M18" s="6" t="n">
        <v>-0.1</v>
      </c>
      <c r="N18" s="6" t="n">
        <v>0</v>
      </c>
      <c r="O18" s="6" t="n"/>
    </row>
    <row r="19">
      <c r="A19" s="6" t="inlineStr">
        <is>
          <t>Net gains on loans and advances measured at FVTPL</t>
        </is>
      </c>
      <c r="B19" s="6" t="n">
        <v>0.3</v>
      </c>
      <c r="C19" s="6" t="n"/>
      <c r="D19" s="6" t="n"/>
      <c r="E19" s="6" t="n"/>
      <c r="F19" s="6" t="n"/>
      <c r="G19" s="6" t="n"/>
      <c r="H19" s="6" t="n"/>
      <c r="I19" s="6" t="n"/>
      <c r="J19" s="6" t="n"/>
      <c r="K19" s="6" t="n"/>
      <c r="L19" s="6" t="n"/>
      <c r="M19" s="6" t="n"/>
      <c r="N19" s="6" t="n"/>
      <c r="O19" s="6" t="n"/>
    </row>
    <row r="20">
      <c r="A20" s="6" t="inlineStr">
        <is>
          <t>Net other operating income/(expense)</t>
        </is>
      </c>
      <c r="B20" s="6" t="n">
        <v>2.5</v>
      </c>
      <c r="C20" s="6" t="n">
        <v>1.4</v>
      </c>
      <c r="D20" s="6" t="n">
        <v>-0.9</v>
      </c>
      <c r="E20" s="6" t="n">
        <v>2.4</v>
      </c>
      <c r="F20" s="6" t="n">
        <v>0.4</v>
      </c>
      <c r="G20" s="6" t="n">
        <v>0.6</v>
      </c>
      <c r="H20" s="6" t="n">
        <v>-2.6</v>
      </c>
      <c r="I20" s="6" t="n"/>
      <c r="J20" s="6" t="n"/>
      <c r="K20" s="6" t="n"/>
      <c r="L20" s="6" t="n"/>
      <c r="M20" s="6" t="n"/>
      <c r="N20" s="6" t="n"/>
      <c r="O20" s="6" t="n"/>
    </row>
    <row r="21">
      <c r="A21" s="5" t="inlineStr">
        <is>
          <t>Net operating income</t>
        </is>
      </c>
      <c r="B21" s="5" t="n">
        <v>681.3</v>
      </c>
      <c r="C21" s="5" t="n">
        <v>609.1</v>
      </c>
      <c r="D21" s="5" t="n">
        <v>586</v>
      </c>
      <c r="E21" s="5" t="n">
        <v>476.2</v>
      </c>
      <c r="F21" s="5" t="n">
        <v>386</v>
      </c>
      <c r="G21" s="5" t="n">
        <v>282.4</v>
      </c>
      <c r="H21" s="5" t="n">
        <v>295.2</v>
      </c>
      <c r="I21" s="5" t="n">
        <v>272.9</v>
      </c>
      <c r="J21" s="5" t="n">
        <v>238.1</v>
      </c>
      <c r="K21" s="5" t="n">
        <v>209.7</v>
      </c>
      <c r="L21" s="5" t="n">
        <v>166.9</v>
      </c>
      <c r="M21" s="5" t="n">
        <v>112.2</v>
      </c>
      <c r="N21" s="5" t="n">
        <v>60.1</v>
      </c>
      <c r="O21" s="5" t="n">
        <v>22.9</v>
      </c>
    </row>
    <row r="22">
      <c r="A22" s="5" t="inlineStr">
        <is>
          <t>Operating expenses</t>
        </is>
      </c>
      <c r="B22" s="6" t="n"/>
      <c r="C22" s="6" t="n"/>
      <c r="D22" s="6" t="n"/>
      <c r="E22" s="6" t="n"/>
      <c r="F22" s="6" t="n"/>
      <c r="G22" s="6" t="n"/>
      <c r="H22" s="6" t="n"/>
      <c r="I22" s="6" t="n"/>
      <c r="J22" s="6" t="n"/>
      <c r="K22" s="6" t="n"/>
      <c r="L22" s="6" t="n"/>
      <c r="M22" s="6" t="n"/>
      <c r="N22" s="6" t="n"/>
      <c r="O22" s="6" t="n"/>
    </row>
    <row r="23">
      <c r="A23" s="6" t="inlineStr">
        <is>
          <t>Acquisition costs</t>
        </is>
      </c>
      <c r="B23" s="6" t="n"/>
      <c r="C23" s="6" t="n"/>
      <c r="D23" s="6" t="n"/>
      <c r="E23" s="6" t="n"/>
      <c r="F23" s="6" t="n"/>
      <c r="G23" s="6" t="n"/>
      <c r="H23" s="6" t="n"/>
      <c r="I23" s="6" t="n"/>
      <c r="J23" s="6" t="n"/>
      <c r="K23" s="6" t="n"/>
      <c r="L23" s="6" t="n"/>
      <c r="M23" s="6" t="n"/>
      <c r="N23" s="6" t="n"/>
      <c r="O23" s="6" t="n">
        <v>-2.1</v>
      </c>
    </row>
    <row r="24">
      <c r="A24" s="6" t="inlineStr">
        <is>
          <t>Administrative expenses</t>
        </is>
      </c>
      <c r="B24" s="6" t="n">
        <v>-325.9</v>
      </c>
      <c r="C24" s="6" t="n">
        <v>-252.2</v>
      </c>
      <c r="D24" s="6" t="n">
        <v>-225.6</v>
      </c>
      <c r="E24" s="6" t="n">
        <v>-189.3</v>
      </c>
      <c r="F24" s="6" t="n">
        <v>-164.2</v>
      </c>
      <c r="G24" s="6" t="n">
        <v>-131</v>
      </c>
      <c r="H24" s="6" t="n">
        <v>-138.4</v>
      </c>
      <c r="I24" s="6" t="n">
        <v>-128.8</v>
      </c>
      <c r="J24" s="6" t="n">
        <v>-113.2</v>
      </c>
      <c r="K24" s="6" t="n">
        <v>-95.2</v>
      </c>
      <c r="L24" s="6" t="n">
        <v>-84</v>
      </c>
      <c r="M24" s="6" t="n">
        <v>-58.3</v>
      </c>
      <c r="N24" s="6" t="n">
        <v>-39.1</v>
      </c>
      <c r="O24" s="6" t="n">
        <v>-26.9</v>
      </c>
    </row>
    <row r="25">
      <c r="A25" s="6" t="inlineStr">
        <is>
          <t>Impairment losses on financial assets</t>
        </is>
      </c>
      <c r="B25" s="6" t="n">
        <v>-83</v>
      </c>
      <c r="C25" s="6" t="n">
        <v>-67.2</v>
      </c>
      <c r="D25" s="6" t="n">
        <v>-60.1</v>
      </c>
      <c r="E25" s="6" t="n">
        <v>-47.7</v>
      </c>
      <c r="F25" s="6" t="n">
        <v>-31.4</v>
      </c>
      <c r="G25" s="6" t="n">
        <v>-54.9</v>
      </c>
      <c r="H25" s="6" t="n">
        <v>-29.9</v>
      </c>
      <c r="I25" s="6" t="n">
        <v>-23.2</v>
      </c>
      <c r="J25" s="6" t="n">
        <v>-23.3</v>
      </c>
      <c r="K25" s="6" t="n">
        <v>-24.3</v>
      </c>
      <c r="L25" s="6" t="n">
        <v>-6.5</v>
      </c>
      <c r="M25" s="6" t="n">
        <v>-6.7</v>
      </c>
      <c r="N25" s="6" t="n">
        <v>-3.5</v>
      </c>
      <c r="O25" s="6" t="n">
        <v>-0.9</v>
      </c>
    </row>
    <row r="26">
      <c r="A26" s="6" t="inlineStr">
        <is>
          <t>Provisions</t>
        </is>
      </c>
      <c r="B26" s="6" t="n">
        <v>-0.8</v>
      </c>
      <c r="C26" s="6" t="n">
        <v>5.3</v>
      </c>
      <c r="D26" s="6" t="n">
        <v>-13.1</v>
      </c>
      <c r="E26" s="6" t="n">
        <v>-0.8</v>
      </c>
      <c r="F26" s="6" t="n">
        <v>7</v>
      </c>
      <c r="G26" s="6" t="n">
        <v>-20.3</v>
      </c>
      <c r="H26" s="6" t="n">
        <v>-4.5</v>
      </c>
      <c r="I26" s="6" t="n">
        <v>-10.1</v>
      </c>
      <c r="J26" s="6" t="n">
        <v>-2.1</v>
      </c>
      <c r="K26" s="6" t="n">
        <v>-1.1</v>
      </c>
      <c r="L26" s="6" t="n">
        <v>-1.6</v>
      </c>
      <c r="M26" s="6" t="n">
        <v>-1.1</v>
      </c>
      <c r="N26" s="6" t="n">
        <v>-0.7</v>
      </c>
      <c r="O26" s="6" t="n">
        <v>-0.7</v>
      </c>
    </row>
    <row r="27">
      <c r="A27" s="5" t="inlineStr">
        <is>
          <t>Total operating expenses</t>
        </is>
      </c>
      <c r="B27" s="5" t="n">
        <v>-409.7</v>
      </c>
      <c r="C27" s="5" t="n">
        <v>-314.1</v>
      </c>
      <c r="D27" s="5" t="n">
        <v>-298.8</v>
      </c>
      <c r="E27" s="5" t="n">
        <v>-237.8</v>
      </c>
      <c r="F27" s="5" t="n">
        <v>-188.6</v>
      </c>
      <c r="G27" s="5" t="n">
        <v>-206.2</v>
      </c>
      <c r="H27" s="5" t="n">
        <v>-172.8</v>
      </c>
      <c r="I27" s="5" t="n">
        <v>-162.1</v>
      </c>
      <c r="J27" s="5" t="n">
        <v>-138.6</v>
      </c>
      <c r="K27" s="5" t="n">
        <v>-120.6</v>
      </c>
      <c r="L27" s="5" t="n">
        <v>-92.09999999999999</v>
      </c>
      <c r="M27" s="5" t="n">
        <v>-66.09999999999999</v>
      </c>
      <c r="N27" s="5" t="n">
        <v>-43.3</v>
      </c>
      <c r="O27" s="5" t="n">
        <v>-30.7</v>
      </c>
    </row>
    <row r="28">
      <c r="A28" s="6" t="inlineStr">
        <is>
          <t>Share of results of associates</t>
        </is>
      </c>
      <c r="B28" s="6" t="n"/>
      <c r="C28" s="6" t="n"/>
      <c r="D28" s="6" t="n"/>
      <c r="E28" s="6" t="n"/>
      <c r="F28" s="6" t="n"/>
      <c r="G28" s="6" t="n">
        <v>0.1</v>
      </c>
      <c r="H28" s="6" t="n">
        <v>-0.1</v>
      </c>
      <c r="I28" s="6" t="n">
        <v>-0.5</v>
      </c>
      <c r="J28" s="6" t="n"/>
      <c r="K28" s="6" t="n"/>
      <c r="L28" s="6" t="n"/>
      <c r="M28" s="6" t="n"/>
      <c r="N28" s="6" t="n"/>
      <c r="O28" s="6" t="n"/>
    </row>
    <row r="29">
      <c r="A29" s="6" t="inlineStr">
        <is>
          <t>Impairment of investment in associate</t>
        </is>
      </c>
      <c r="B29" s="6" t="n"/>
      <c r="C29" s="6" t="n"/>
      <c r="D29" s="6" t="n"/>
      <c r="E29" s="6" t="n"/>
      <c r="F29" s="6" t="n"/>
      <c r="G29" s="6" t="n">
        <v>-2.7</v>
      </c>
      <c r="H29" s="6" t="n"/>
      <c r="I29" s="6" t="n"/>
      <c r="J29" s="6" t="n"/>
      <c r="K29" s="6" t="n"/>
      <c r="L29" s="6" t="n"/>
      <c r="M29" s="6" t="n"/>
      <c r="N29" s="6" t="n"/>
      <c r="O29" s="6" t="n"/>
    </row>
    <row r="30">
      <c r="A30" s="6" t="inlineStr">
        <is>
          <t>Net gain on disposal of subsidiary</t>
        </is>
      </c>
      <c r="B30" s="6" t="n"/>
      <c r="C30" s="6" t="n"/>
      <c r="D30" s="6" t="n"/>
      <c r="E30" s="6" t="n"/>
      <c r="F30" s="6" t="n"/>
      <c r="G30" s="6" t="n"/>
      <c r="H30" s="6" t="n">
        <v>0.3</v>
      </c>
      <c r="I30" s="6" t="n"/>
      <c r="J30" s="6" t="n"/>
      <c r="K30" s="6" t="n"/>
      <c r="L30" s="6" t="n"/>
      <c r="M30" s="6" t="n"/>
      <c r="N30" s="6" t="n"/>
      <c r="O30" s="6" t="n"/>
    </row>
    <row r="31">
      <c r="A31" s="5" t="inlineStr">
        <is>
          <t>Profit before tax</t>
        </is>
      </c>
      <c r="B31" s="5" t="n">
        <v>271.6</v>
      </c>
      <c r="C31" s="5" t="n">
        <v>295</v>
      </c>
      <c r="D31" s="5" t="n">
        <v>287.2</v>
      </c>
      <c r="E31" s="5" t="n">
        <v>238.4</v>
      </c>
      <c r="F31" s="5" t="n">
        <v>197.4</v>
      </c>
      <c r="G31" s="5" t="n">
        <v>73.59999999999999</v>
      </c>
      <c r="H31" s="5" t="n">
        <v>122.6</v>
      </c>
      <c r="I31" s="5" t="n">
        <v>110.3</v>
      </c>
      <c r="J31" s="5" t="n">
        <v>99.5</v>
      </c>
      <c r="K31" s="5" t="n">
        <v>89.09999999999999</v>
      </c>
      <c r="L31" s="5" t="n">
        <v>74.8</v>
      </c>
      <c r="M31" s="5" t="n">
        <v>46.1</v>
      </c>
      <c r="N31" s="5" t="n">
        <v>16.8</v>
      </c>
      <c r="O31" s="5" t="n">
        <v>-7.8</v>
      </c>
    </row>
    <row r="32">
      <c r="A32" s="6" t="inlineStr">
        <is>
          <t>Tax</t>
        </is>
      </c>
      <c r="B32" s="6" t="n">
        <v>-76.7</v>
      </c>
      <c r="C32" s="6" t="n">
        <v>-75.2</v>
      </c>
      <c r="D32" s="6" t="n">
        <v>-74.59999999999999</v>
      </c>
      <c r="E32" s="6" t="n">
        <v>-58.7</v>
      </c>
      <c r="F32" s="6" t="n">
        <v>-47.9</v>
      </c>
      <c r="G32" s="6" t="n">
        <v>-15.4</v>
      </c>
      <c r="H32" s="6" t="n">
        <v>-28.8</v>
      </c>
      <c r="I32" s="6" t="n">
        <v>-28.3</v>
      </c>
      <c r="J32" s="6" t="n">
        <v>-25.3</v>
      </c>
      <c r="K32" s="6" t="n">
        <v>-23.4</v>
      </c>
      <c r="L32" s="6" t="n">
        <v>-11.8</v>
      </c>
      <c r="M32" s="6" t="n">
        <v>-10.8</v>
      </c>
      <c r="N32" s="6" t="n">
        <v>-3.3</v>
      </c>
      <c r="O32" s="6" t="n">
        <v>0.4</v>
      </c>
    </row>
    <row r="33">
      <c r="A33" s="5" t="inlineStr">
        <is>
          <t>Profit after tax, attributable to owners</t>
        </is>
      </c>
      <c r="B33" s="5" t="n">
        <v>194.9</v>
      </c>
      <c r="C33" s="5" t="n">
        <v>219.8</v>
      </c>
      <c r="D33" s="5" t="n">
        <v>212.6</v>
      </c>
      <c r="E33" s="5" t="n">
        <v>179.7</v>
      </c>
      <c r="F33" s="5" t="n">
        <v>149.5</v>
      </c>
      <c r="G33" s="5" t="n">
        <v>58.2</v>
      </c>
      <c r="H33" s="5" t="n">
        <v>93.8</v>
      </c>
      <c r="I33" s="5" t="n">
        <v>82</v>
      </c>
      <c r="J33" s="5" t="n">
        <v>74.2</v>
      </c>
      <c r="K33" s="5" t="n">
        <v>65.7</v>
      </c>
      <c r="L33" s="5" t="n">
        <v>63</v>
      </c>
      <c r="M33" s="5" t="n">
        <v>35.3</v>
      </c>
      <c r="N33" s="5" t="n">
        <v>13.5</v>
      </c>
      <c r="O33" s="5" t="n">
        <v>-7.4</v>
      </c>
    </row>
    <row r="34">
      <c r="A34" s="5" t="inlineStr">
        <is>
          <t>Other comprehensive income, net of tax (items that may be reclassified subsequently to the statement of profit and loss)</t>
        </is>
      </c>
      <c r="B34" s="6" t="n"/>
      <c r="C34" s="6" t="n"/>
      <c r="D34" s="6" t="n"/>
      <c r="E34" s="6" t="n"/>
      <c r="F34" s="6" t="n"/>
      <c r="G34" s="6" t="n"/>
      <c r="H34" s="6" t="n"/>
      <c r="I34" s="6" t="n"/>
      <c r="J34" s="6" t="n"/>
      <c r="K34" s="6" t="n"/>
      <c r="L34" s="6" t="n"/>
      <c r="M34" s="6" t="n"/>
      <c r="N34" s="6" t="n"/>
      <c r="O34" s="6" t="n"/>
    </row>
    <row r="35">
      <c r="A35" s="6" t="inlineStr">
        <is>
          <t>Cash flow hedging reserve - net (losses)/gains from effective portion of changes in fair value</t>
        </is>
      </c>
      <c r="B35" s="6" t="n">
        <v>-4.4</v>
      </c>
      <c r="C35" s="6" t="n">
        <v>17.6</v>
      </c>
      <c r="D35" s="6" t="n">
        <v>-23.1</v>
      </c>
      <c r="E35" s="6" t="n">
        <v>38.4</v>
      </c>
      <c r="F35" s="6" t="n"/>
      <c r="G35" s="6" t="n"/>
      <c r="H35" s="6" t="n"/>
      <c r="I35" s="6" t="n"/>
      <c r="J35" s="6" t="n"/>
      <c r="K35" s="6" t="n"/>
      <c r="L35" s="6" t="n"/>
      <c r="M35" s="6" t="n"/>
      <c r="N35" s="6" t="n"/>
      <c r="O35" s="6" t="n"/>
    </row>
    <row r="36">
      <c r="A36" s="6" t="inlineStr">
        <is>
          <t>Cash flow hedging reserve - reclassifications to statement of profit and loss</t>
        </is>
      </c>
      <c r="B36" s="6" t="n">
        <v>-6.6</v>
      </c>
      <c r="C36" s="6" t="n">
        <v>-6.2</v>
      </c>
      <c r="D36" s="6" t="n">
        <v>-6.8</v>
      </c>
      <c r="E36" s="6" t="n">
        <v>-2.2</v>
      </c>
      <c r="F36" s="6" t="n"/>
      <c r="G36" s="6" t="n"/>
      <c r="H36" s="6" t="n"/>
      <c r="I36" s="6" t="n"/>
      <c r="J36" s="6" t="n"/>
      <c r="K36" s="6" t="n"/>
      <c r="L36" s="6" t="n"/>
      <c r="M36" s="6" t="n"/>
      <c r="N36" s="6" t="n"/>
      <c r="O36" s="6" t="n"/>
    </row>
    <row r="37">
      <c r="A37" s="6" t="inlineStr">
        <is>
          <t>Cash flow hedging reserve - related tax</t>
        </is>
      </c>
      <c r="B37" s="6" t="n">
        <v>3</v>
      </c>
      <c r="C37" s="6" t="n">
        <v>-3.2</v>
      </c>
      <c r="D37" s="6" t="n">
        <v>8</v>
      </c>
      <c r="E37" s="6" t="n">
        <v>-9.800000000000001</v>
      </c>
      <c r="F37" s="6" t="n"/>
      <c r="G37" s="6" t="n"/>
      <c r="H37" s="6" t="n"/>
      <c r="I37" s="6" t="n"/>
      <c r="J37" s="6" t="n"/>
      <c r="K37" s="6" t="n"/>
      <c r="L37" s="6" t="n"/>
      <c r="M37" s="6" t="n"/>
      <c r="N37" s="6" t="n"/>
      <c r="O37" s="6" t="n"/>
    </row>
    <row r="38">
      <c r="A38" s="5" t="inlineStr">
        <is>
          <t>Movement in cash flow hedging reserve</t>
        </is>
      </c>
      <c r="B38" s="5" t="n">
        <v>-8</v>
      </c>
      <c r="C38" s="5" t="n">
        <v>8.199999999999999</v>
      </c>
      <c r="D38" s="5" t="n">
        <v>-21.9</v>
      </c>
      <c r="E38" s="5" t="n">
        <v>26.4</v>
      </c>
      <c r="F38" s="5" t="n"/>
      <c r="G38" s="5" t="n"/>
      <c r="H38" s="5" t="n"/>
      <c r="I38" s="5" t="n"/>
      <c r="J38" s="5" t="n"/>
      <c r="K38" s="5" t="n"/>
      <c r="L38" s="5" t="n"/>
      <c r="M38" s="5" t="n"/>
      <c r="N38" s="5" t="n"/>
      <c r="O38" s="5" t="n"/>
    </row>
    <row r="39">
      <c r="A39" s="6" t="inlineStr">
        <is>
          <t>FVOCI reserve - net gains/(losses) from changes in fair value</t>
        </is>
      </c>
      <c r="B39" s="6" t="n">
        <v>18.3</v>
      </c>
      <c r="C39" s="6" t="n">
        <v>35.6</v>
      </c>
      <c r="D39" s="6" t="n">
        <v>9.9</v>
      </c>
      <c r="E39" s="6" t="n">
        <v>-17.1</v>
      </c>
      <c r="F39" s="6" t="n"/>
      <c r="G39" s="6" t="n"/>
      <c r="H39" s="6" t="n"/>
      <c r="I39" s="6" t="n"/>
      <c r="J39" s="6" t="n"/>
      <c r="K39" s="6" t="n"/>
      <c r="L39" s="6" t="n"/>
      <c r="M39" s="6" t="n"/>
      <c r="N39" s="6" t="n"/>
      <c r="O39" s="6" t="n"/>
    </row>
    <row r="40">
      <c r="A40" s="6" t="inlineStr">
        <is>
          <t>FVOCI reserve - change in loss allowance</t>
        </is>
      </c>
      <c r="B40" s="6" t="n">
        <v>1.4</v>
      </c>
      <c r="C40" s="6" t="n">
        <v>5.3</v>
      </c>
      <c r="D40" s="6" t="n">
        <v>4.3</v>
      </c>
      <c r="E40" s="6" t="n">
        <v>2.4</v>
      </c>
      <c r="F40" s="6" t="n"/>
      <c r="G40" s="6" t="n"/>
      <c r="H40" s="6" t="n"/>
      <c r="I40" s="6" t="n"/>
      <c r="J40" s="6" t="n"/>
      <c r="K40" s="6" t="n"/>
      <c r="L40" s="6" t="n"/>
      <c r="M40" s="6" t="n"/>
      <c r="N40" s="6" t="n"/>
      <c r="O40" s="6" t="n"/>
    </row>
    <row r="41">
      <c r="A41" s="6" t="inlineStr">
        <is>
          <t>FVOCI reserve - related tax</t>
        </is>
      </c>
      <c r="B41" s="6" t="n">
        <v>-5.5</v>
      </c>
      <c r="C41" s="6" t="n">
        <v>-11</v>
      </c>
      <c r="D41" s="6" t="n">
        <v>-3.8</v>
      </c>
      <c r="E41" s="6" t="n">
        <v>4</v>
      </c>
      <c r="F41" s="6" t="n"/>
      <c r="G41" s="6" t="n"/>
      <c r="H41" s="6" t="n"/>
      <c r="I41" s="6" t="n"/>
      <c r="J41" s="6" t="n"/>
      <c r="K41" s="6" t="n"/>
      <c r="L41" s="6" t="n"/>
      <c r="M41" s="6" t="n"/>
      <c r="N41" s="6" t="n"/>
      <c r="O41" s="6" t="n"/>
    </row>
    <row r="42">
      <c r="A42" s="5" t="inlineStr">
        <is>
          <t>Movement in fair value through other comprehensive income reserve</t>
        </is>
      </c>
      <c r="B42" s="5" t="n">
        <v>14.2</v>
      </c>
      <c r="C42" s="5" t="n">
        <v>29.9</v>
      </c>
      <c r="D42" s="5" t="n">
        <v>10.4</v>
      </c>
      <c r="E42" s="5" t="n">
        <v>-10.7</v>
      </c>
      <c r="F42" s="5" t="n"/>
      <c r="G42" s="5" t="n"/>
      <c r="H42" s="5" t="n"/>
      <c r="I42" s="5" t="n"/>
      <c r="J42" s="5" t="n"/>
      <c r="K42" s="5" t="n"/>
      <c r="L42" s="5" t="n"/>
      <c r="M42" s="5" t="n"/>
      <c r="N42" s="5" t="n"/>
      <c r="O42" s="5" t="n"/>
    </row>
    <row r="43">
      <c r="A43" s="5" t="inlineStr">
        <is>
          <t>Other comprehensive income/(expense), net of tax</t>
        </is>
      </c>
      <c r="B43" s="5" t="n">
        <v>6.2</v>
      </c>
      <c r="C43" s="5" t="n">
        <v>38.1</v>
      </c>
      <c r="D43" s="5" t="n">
        <v>-11.5</v>
      </c>
      <c r="E43" s="5" t="n">
        <v>15.7</v>
      </c>
      <c r="F43" s="5" t="n"/>
      <c r="G43" s="5" t="n"/>
      <c r="H43" s="5" t="n"/>
      <c r="I43" s="5" t="n"/>
      <c r="J43" s="5" t="n"/>
      <c r="K43" s="5" t="n"/>
      <c r="L43" s="5" t="n"/>
      <c r="M43" s="5" t="n"/>
      <c r="N43" s="5" t="n">
        <v>0</v>
      </c>
      <c r="O43" s="5" t="n">
        <v>0.4</v>
      </c>
    </row>
    <row r="44">
      <c r="A44" s="5" t="inlineStr">
        <is>
          <t>Total comprehensive income, attributable to owners</t>
        </is>
      </c>
      <c r="B44" s="5" t="n">
        <v>201.1</v>
      </c>
      <c r="C44" s="5" t="n">
        <v>257.9</v>
      </c>
      <c r="D44" s="5" t="n">
        <v>201.1</v>
      </c>
      <c r="E44" s="5" t="n">
        <v>195.4</v>
      </c>
      <c r="F44" s="5" t="n">
        <v>149.5</v>
      </c>
      <c r="G44" s="5" t="n">
        <v>58.2</v>
      </c>
      <c r="H44" s="5" t="n">
        <v>93.8</v>
      </c>
      <c r="I44" s="5" t="n">
        <v>82</v>
      </c>
      <c r="J44" s="5" t="n">
        <v>74.2</v>
      </c>
      <c r="K44" s="5" t="n">
        <v>65.7</v>
      </c>
      <c r="L44" s="5" t="n">
        <v>63</v>
      </c>
      <c r="M44" s="5" t="n">
        <v>35.3</v>
      </c>
      <c r="N44" s="5" t="n">
        <v>13.5</v>
      </c>
      <c r="O44" s="5" t="n">
        <v>-6.9</v>
      </c>
    </row>
    <row r="46" ht="260" customHeight="1">
      <c r="A46"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deliberately left blank: the Annual Report's 147.2% is a point-in-time year-end ratio, not the 12-month-average UK KM1 measure used for FY2022-FY2024 here (the same Annual Report reports FY2024 as 176.0% against the 265.0% recorded here from that year's Bank Pillar 3)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FY2014/FY2015 Bank Total RWAs are derived from the Bank's own disclosed Pillar 1 capital requirement (Credit risk + Operational risk) grossed up at 8%, per each year's own Pillar 3 disclosure; FY2015's derived total (£2,173.8m) is used in preference to the £2,175.9m 'Total risk exposure amount' shown in that year's countercyclical-buffer table, which nets to the same figure within rounding.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
INVESTMENT SECURITIES MEASUREMENT-BASIS SPLIT: the Company's 'Investment securities' balance is disclosed by IFRS 9 measurement category for FY2018-FY2025, splitting into amortised cost and FVOCI (mandatorily-at-FVTPL is £nil in every reviewed year). No UK government/gilt/treasury-bill vs other-issuer split is disclosed in any reviewed year - the only issuer-type analysis Shawbrook gives (Note 25 of the FY2025 Annual Report; Note 16 of the FY2019 Annual Report) is 'covered bonds' vs 'debt securities' (retained mortgage-backed notes from the Group's own securitisations), neither of which is a government security, so that split is not reproduced here. FY2025/FY2024: Note 25 'Investment securities', Annual Report and Accounts 2025 pp.144-145, discloses '£178.1 million (2024: £nil) classified as FVOCI'; the Company figures used here (FY2025: £1,986.7m amortised cost / £178.1m FVOCI; FY2024: £1,449.3m amortised cost / £nil FVOCI) are taken from the Risk Report's 'Exposure to credit risk' table, p.70, which gives the Group/Company split by measurement category and ties exactly to each year's Balance Sheet total - https://www.shawbrook.co.uk/media/vkkpos4a/shawbrook-bank-limited-2025-annual-report-accounts.pdf
FY2023/FY2022: Note 38 'Financial assets and financial liabilities' (Classification of financial assets and financial liabilities), Annual Report and Accounts 2023 pp.159-160 (Company table p.160), shows Company Investment securities entirely in the amortised-cost column (FY2023: £816.3m; FY2022: £716.8m; £nil FVOCI/FVTPL in both years) - https://www.shawbrook.co.uk/media/iflapcxl/shawbrook-bank-ltd-annual-report-and-accounts-2023.pdf
FY2021/FY2020: Note 41 'Financial instruments' (Classification of financial assets and financial liabilities), Annual Report and Accounts 2021 pp.156-157, gives the Group table (Investment securities entirely amortised cost: FY2021 £521.4m; FY2020 £358.2m) plus a Company narrative confirming that 'the measurement categories that the Company's financial assets ... are allocated to are the same as the Group' - so the Company's own Investment securities balance (FY2021: £614.8m; FY2020: £421.6m) is taken as entirely amortised cost, £nil FVOCI/FVTPL - https://www.shawbrook.co.uk/media/ft4eulfp/shawbrook-bank-ara-2021.pdf
FY2019/FY2018: accounting policy Note 1.7(i), Annual Report and Accounts 2019 p.103, states plainly that 'Investment securities are classified as financial assets measured at amortised cost' with no FVOCI/FVTPL carve-out disclosed for either year (Note 16 'Investment securities', p.128, gives the £245.9m/£139.9m Company totals used elsewhere on this sheet, entirely amortised cost) - https://www.shawbrook.co.uk/media/pqtkvwzv/sb-limited-ara-2019.pdf
FY2017-FY2013 and FY2012 are left blank for this split: FY2017-FY2013 have no Investment securities balance at all (see the row above); FY2012's own Annual Report was not reviewed for a measurement-basis breakdown, so rather than assume its £144.9m follows the same amortised-cost-only pattern seen in every other reviewed year, it is left blank here.</t>
        </is>
      </c>
    </row>
  </sheetData>
  <mergeCells count="1">
    <mergeCell ref="A46:O4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2"/>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Shawbrook Bank Limited — Statement of Changes in Equity</t>
        </is>
      </c>
    </row>
    <row r="2">
      <c r="A2" s="2" t="inlineStr">
        <is>
          <t>Company/entity basis, £m, chronological (oldest to newest), FY2012-FY2025. Each year's closing Total equity ties exactly to that year's own Balance Sheet Total equity and to the next year's opening balance - zero undocumented plug rows across all 14 years. 'Profit for the year' rows use the Company's own disclosed profit figure (see the Profit &amp; Loss sheet's source note for why this differs from Group 'Profit after tax'). The 1 January 2018 IFRS 9 transition impact is shown as its own restatement row, consistent with the Asset Quality sheet's IAS 39/IFRS 9 basis break; the 1 January 2013 Note 4 restatement (a smaller, £549k accounting-policy break disclosed in the FY2013 Annual Report, affecting only FY2012's Company retained earnings/Total equity) is shown the same way, between FY2012's own closing balance and FY2013's own opening balance.</t>
        </is>
      </c>
    </row>
    <row r="3">
      <c r="A3" s="4" t="inlineStr">
        <is>
          <t>Movement</t>
        </is>
      </c>
      <c r="B3" s="4" t="inlineStr">
        <is>
          <t>Share capital</t>
        </is>
      </c>
      <c r="C3" s="4" t="inlineStr">
        <is>
          <t>Share premium account</t>
        </is>
      </c>
      <c r="D3" s="4" t="inlineStr">
        <is>
          <t>Capital securities</t>
        </is>
      </c>
      <c r="E3" s="4" t="inlineStr">
        <is>
          <t>Merger reserve</t>
        </is>
      </c>
      <c r="F3" s="4" t="inlineStr">
        <is>
          <t>Capital contribution reserve</t>
        </is>
      </c>
      <c r="G3" s="4" t="inlineStr">
        <is>
          <t>Cash flow hedging reserve</t>
        </is>
      </c>
      <c r="H3" s="4" t="inlineStr">
        <is>
          <t>FVOCI reserve</t>
        </is>
      </c>
      <c r="I3" s="4" t="inlineStr">
        <is>
          <t>Retained earnings</t>
        </is>
      </c>
      <c r="J3" s="4" t="inlineStr">
        <is>
          <t>Total equity</t>
        </is>
      </c>
    </row>
    <row r="4">
      <c r="A4" s="5" t="inlineStr">
        <is>
          <t>Balance at 1 January 2012</t>
        </is>
      </c>
      <c r="B4" s="5" t="n">
        <v>37</v>
      </c>
      <c r="C4" s="5" t="n"/>
      <c r="D4" s="5" t="n"/>
      <c r="E4" s="5" t="n"/>
      <c r="F4" s="5" t="n"/>
      <c r="G4" s="5" t="n">
        <v>0</v>
      </c>
      <c r="H4" s="5" t="n">
        <v>-0.5</v>
      </c>
      <c r="I4" s="5" t="n">
        <v>-5.7</v>
      </c>
      <c r="J4" s="5" t="n">
        <v>30.9</v>
      </c>
    </row>
    <row r="5">
      <c r="A5" s="6" t="inlineStr">
        <is>
          <t>Loss for the year</t>
        </is>
      </c>
      <c r="B5" s="6" t="n"/>
      <c r="C5" s="6" t="n"/>
      <c r="D5" s="6" t="n"/>
      <c r="E5" s="6" t="n"/>
      <c r="F5" s="6" t="n"/>
      <c r="G5" s="6" t="n"/>
      <c r="H5" s="6" t="n"/>
      <c r="I5" s="6" t="n">
        <v>-26.3</v>
      </c>
      <c r="J5" s="6" t="n">
        <v>-26.3</v>
      </c>
    </row>
    <row r="6">
      <c r="A6" s="6" t="inlineStr">
        <is>
          <t>Movement in cash flow hedging reserve</t>
        </is>
      </c>
      <c r="B6" s="6" t="n"/>
      <c r="C6" s="6" t="n"/>
      <c r="D6" s="6" t="n"/>
      <c r="E6" s="6" t="n"/>
      <c r="F6" s="6" t="n"/>
      <c r="G6" s="6" t="n">
        <v>0</v>
      </c>
      <c r="H6" s="6" t="n"/>
      <c r="I6" s="6" t="n"/>
      <c r="J6" s="6" t="n">
        <v>0</v>
      </c>
    </row>
    <row r="7">
      <c r="A7" s="6" t="inlineStr">
        <is>
          <t>Movement in fair value through other comprehensive income reserve</t>
        </is>
      </c>
      <c r="B7" s="6" t="n"/>
      <c r="C7" s="6" t="n"/>
      <c r="D7" s="6" t="n"/>
      <c r="E7" s="6" t="n"/>
      <c r="F7" s="6" t="n"/>
      <c r="G7" s="6" t="n"/>
      <c r="H7" s="6" t="n">
        <v>0.5</v>
      </c>
      <c r="I7" s="6" t="n"/>
      <c r="J7" s="6" t="n">
        <v>0.5</v>
      </c>
    </row>
    <row r="8">
      <c r="A8" s="6" t="inlineStr">
        <is>
          <t>Capital contribution</t>
        </is>
      </c>
      <c r="B8" s="6" t="n"/>
      <c r="C8" s="6" t="n"/>
      <c r="D8" s="6" t="n"/>
      <c r="E8" s="6" t="n"/>
      <c r="F8" s="6" t="n">
        <v>0.2</v>
      </c>
      <c r="G8" s="6" t="n"/>
      <c r="H8" s="6" t="n"/>
      <c r="I8" s="6" t="n"/>
      <c r="J8" s="6" t="n">
        <v>0.2</v>
      </c>
    </row>
    <row r="9">
      <c r="A9" s="6" t="inlineStr">
        <is>
          <t>Issue of ordinary shares</t>
        </is>
      </c>
      <c r="B9" s="6" t="n">
        <v>75</v>
      </c>
      <c r="C9" s="6" t="n"/>
      <c r="D9" s="6" t="n"/>
      <c r="E9" s="6" t="n"/>
      <c r="F9" s="6" t="n"/>
      <c r="G9" s="6" t="n"/>
      <c r="H9" s="6" t="n"/>
      <c r="I9" s="6" t="n"/>
      <c r="J9" s="6" t="n">
        <v>75</v>
      </c>
    </row>
    <row r="10">
      <c r="A10" s="5" t="inlineStr">
        <is>
          <t>Balance at 31 December 2012 / 1 January 2013</t>
        </is>
      </c>
      <c r="B10" s="5" t="n">
        <v>112</v>
      </c>
      <c r="C10" s="5" t="n"/>
      <c r="D10" s="5" t="n"/>
      <c r="E10" s="5" t="n"/>
      <c r="F10" s="5" t="n">
        <v>0.2</v>
      </c>
      <c r="G10" s="5" t="n">
        <v>0</v>
      </c>
      <c r="H10" s="5" t="n">
        <v>0</v>
      </c>
      <c r="I10" s="5" t="n">
        <v>-32</v>
      </c>
      <c r="J10" s="5" t="n">
        <v>80.2</v>
      </c>
    </row>
    <row r="11">
      <c r="A11" s="6" t="inlineStr">
        <is>
          <t>Effect of restatement (Note 4, FY2013 Annual Report)</t>
        </is>
      </c>
      <c r="B11" s="6" t="n"/>
      <c r="C11" s="6" t="n"/>
      <c r="D11" s="6" t="n"/>
      <c r="E11" s="6" t="n"/>
      <c r="F11" s="6" t="n"/>
      <c r="G11" s="6" t="n"/>
      <c r="H11" s="6" t="n"/>
      <c r="I11" s="6" t="n">
        <v>0.5</v>
      </c>
      <c r="J11" s="6" t="n">
        <v>0.5</v>
      </c>
    </row>
    <row r="12">
      <c r="A12" s="5" t="inlineStr">
        <is>
          <t>Restated balance at 1 January 2013</t>
        </is>
      </c>
      <c r="B12" s="5" t="n">
        <v>112</v>
      </c>
      <c r="C12" s="5" t="n"/>
      <c r="D12" s="5" t="n"/>
      <c r="E12" s="5" t="n"/>
      <c r="F12" s="5" t="n">
        <v>0.2</v>
      </c>
      <c r="G12" s="5" t="n">
        <v>0</v>
      </c>
      <c r="H12" s="5" t="n">
        <v>0</v>
      </c>
      <c r="I12" s="5" t="n">
        <v>-31.4</v>
      </c>
      <c r="J12" s="5" t="n">
        <v>80.7</v>
      </c>
    </row>
    <row r="13">
      <c r="A13" s="6" t="inlineStr">
        <is>
          <t>Profit for the year</t>
        </is>
      </c>
      <c r="B13" s="6" t="n"/>
      <c r="C13" s="6" t="n"/>
      <c r="D13" s="6" t="n"/>
      <c r="E13" s="6" t="n"/>
      <c r="F13" s="6" t="n"/>
      <c r="G13" s="6" t="n"/>
      <c r="H13" s="6" t="n"/>
      <c r="I13" s="6" t="n">
        <v>13.8</v>
      </c>
      <c r="J13" s="6" t="n">
        <v>13.8</v>
      </c>
    </row>
    <row r="14">
      <c r="A14" s="6" t="inlineStr">
        <is>
          <t>Movement in fair value through other comprehensive income reserve</t>
        </is>
      </c>
      <c r="B14" s="6" t="n"/>
      <c r="C14" s="6" t="n"/>
      <c r="D14" s="6" t="n"/>
      <c r="E14" s="6" t="n"/>
      <c r="F14" s="6" t="n"/>
      <c r="G14" s="6" t="n"/>
      <c r="H14" s="6" t="n">
        <v>0</v>
      </c>
      <c r="I14" s="6" t="n"/>
      <c r="J14" s="6" t="n">
        <v>0</v>
      </c>
    </row>
    <row r="15">
      <c r="A15" s="6" t="inlineStr">
        <is>
          <t>Issue of ordinary shares</t>
        </is>
      </c>
      <c r="B15" s="6" t="n">
        <v>17</v>
      </c>
      <c r="C15" s="6" t="n"/>
      <c r="D15" s="6" t="n"/>
      <c r="E15" s="6" t="n"/>
      <c r="F15" s="6" t="n"/>
      <c r="G15" s="6" t="n"/>
      <c r="H15" s="6" t="n"/>
      <c r="I15" s="6" t="n"/>
      <c r="J15" s="6" t="n">
        <v>17</v>
      </c>
    </row>
    <row r="16">
      <c r="A16" s="5" t="inlineStr">
        <is>
          <t>Balance at 31 December 2013 / 1 January 2014</t>
        </is>
      </c>
      <c r="B16" s="5" t="n">
        <v>129</v>
      </c>
      <c r="C16" s="5" t="n"/>
      <c r="D16" s="5" t="n"/>
      <c r="E16" s="5" t="n"/>
      <c r="F16" s="5" t="n">
        <v>0.2</v>
      </c>
      <c r="G16" s="5" t="n"/>
      <c r="H16" s="5" t="n"/>
      <c r="I16" s="5" t="n">
        <v>-17.6</v>
      </c>
      <c r="J16" s="5" t="n">
        <v>111.6</v>
      </c>
    </row>
    <row r="17">
      <c r="A17" s="6" t="inlineStr">
        <is>
          <t>Profit for the year</t>
        </is>
      </c>
      <c r="B17" s="6" t="n"/>
      <c r="C17" s="6" t="n"/>
      <c r="D17" s="6" t="n"/>
      <c r="E17" s="6" t="n"/>
      <c r="F17" s="6" t="n"/>
      <c r="G17" s="6" t="n"/>
      <c r="H17" s="6" t="n"/>
      <c r="I17" s="6" t="n">
        <v>38</v>
      </c>
      <c r="J17" s="6" t="n">
        <v>38</v>
      </c>
    </row>
    <row r="18">
      <c r="A18" s="6" t="inlineStr">
        <is>
          <t>Capital contribution</t>
        </is>
      </c>
      <c r="B18" s="6" t="n"/>
      <c r="C18" s="6" t="n"/>
      <c r="D18" s="6" t="n"/>
      <c r="E18" s="6" t="n"/>
      <c r="F18" s="6" t="n">
        <v>0.1</v>
      </c>
      <c r="G18" s="6" t="n"/>
      <c r="H18" s="6" t="n"/>
      <c r="I18" s="6" t="n"/>
      <c r="J18" s="6" t="n">
        <v>0.1</v>
      </c>
    </row>
    <row r="19">
      <c r="A19" s="6" t="inlineStr">
        <is>
          <t>Creation of merger reserve</t>
        </is>
      </c>
      <c r="B19" s="6" t="n"/>
      <c r="C19" s="6" t="n"/>
      <c r="D19" s="6" t="n"/>
      <c r="E19" s="6" t="n">
        <v>1.6</v>
      </c>
      <c r="F19" s="6" t="n"/>
      <c r="G19" s="6" t="n"/>
      <c r="H19" s="6" t="n"/>
      <c r="I19" s="6" t="n"/>
      <c r="J19" s="6" t="n">
        <v>1.6</v>
      </c>
    </row>
    <row r="20">
      <c r="A20" s="6" t="inlineStr">
        <is>
          <t>Issue of ordinary shares</t>
        </is>
      </c>
      <c r="B20" s="6" t="n">
        <v>45.5</v>
      </c>
      <c r="C20" s="6" t="n"/>
      <c r="D20" s="6" t="n"/>
      <c r="E20" s="6" t="n"/>
      <c r="F20" s="6" t="n"/>
      <c r="G20" s="6" t="n"/>
      <c r="H20" s="6" t="n"/>
      <c r="I20" s="6" t="n"/>
      <c r="J20" s="6" t="n">
        <v>45.5</v>
      </c>
    </row>
    <row r="21">
      <c r="A21" s="5" t="inlineStr">
        <is>
          <t>Balance at 31 December 2014 / 1 January 2015</t>
        </is>
      </c>
      <c r="B21" s="5" t="n">
        <v>174.5</v>
      </c>
      <c r="C21" s="5" t="n"/>
      <c r="D21" s="5" t="n"/>
      <c r="E21" s="5" t="n">
        <v>1.6</v>
      </c>
      <c r="F21" s="5" t="n">
        <v>0.3</v>
      </c>
      <c r="G21" s="5" t="n"/>
      <c r="H21" s="5" t="n"/>
      <c r="I21" s="5" t="n">
        <v>20.4</v>
      </c>
      <c r="J21" s="5" t="n">
        <v>196.8</v>
      </c>
    </row>
    <row r="22">
      <c r="A22" s="6" t="inlineStr">
        <is>
          <t>Profit for the year</t>
        </is>
      </c>
      <c r="B22" s="6" t="n"/>
      <c r="C22" s="6" t="n"/>
      <c r="D22" s="6" t="n"/>
      <c r="E22" s="6" t="n"/>
      <c r="F22" s="6" t="n"/>
      <c r="G22" s="6" t="n"/>
      <c r="H22" s="6" t="n"/>
      <c r="I22" s="6" t="n">
        <v>63.2</v>
      </c>
      <c r="J22" s="6" t="n">
        <v>63.2</v>
      </c>
    </row>
    <row r="23">
      <c r="A23" s="6" t="inlineStr">
        <is>
          <t>Issue of ordinary shares</t>
        </is>
      </c>
      <c r="B23" s="6" t="n">
        <v>1</v>
      </c>
      <c r="C23" s="6" t="n"/>
      <c r="D23" s="6" t="n"/>
      <c r="E23" s="6" t="n"/>
      <c r="F23" s="6" t="n"/>
      <c r="G23" s="6" t="n"/>
      <c r="H23" s="6" t="n"/>
      <c r="I23" s="6" t="n"/>
      <c r="J23" s="6" t="n">
        <v>1</v>
      </c>
    </row>
    <row r="24">
      <c r="A24" s="6" t="inlineStr">
        <is>
          <t>Transfer to share premium account</t>
        </is>
      </c>
      <c r="B24" s="6" t="n"/>
      <c r="C24" s="6" t="n">
        <v>81</v>
      </c>
      <c r="D24" s="6" t="n"/>
      <c r="E24" s="6" t="n"/>
      <c r="F24" s="6" t="n"/>
      <c r="G24" s="6" t="n"/>
      <c r="H24" s="6" t="n"/>
      <c r="I24" s="6" t="n"/>
      <c r="J24" s="6" t="n">
        <v>81</v>
      </c>
    </row>
    <row r="25">
      <c r="A25" s="6" t="inlineStr">
        <is>
          <t>Dividend paid to parent</t>
        </is>
      </c>
      <c r="B25" s="6" t="n"/>
      <c r="C25" s="6" t="n"/>
      <c r="D25" s="6" t="n"/>
      <c r="E25" s="6" t="n"/>
      <c r="F25" s="6" t="n"/>
      <c r="G25" s="6" t="n"/>
      <c r="H25" s="6" t="n"/>
      <c r="I25" s="6" t="n">
        <v>-4</v>
      </c>
      <c r="J25" s="6" t="n">
        <v>-4</v>
      </c>
    </row>
    <row r="26">
      <c r="A26" s="6" t="inlineStr">
        <is>
          <t>Other movements in reserves</t>
        </is>
      </c>
      <c r="B26" s="6" t="n"/>
      <c r="C26" s="6" t="n"/>
      <c r="D26" s="6" t="n"/>
      <c r="E26" s="6" t="n"/>
      <c r="F26" s="6" t="n">
        <v>4.1</v>
      </c>
      <c r="G26" s="6" t="n"/>
      <c r="H26" s="6" t="n"/>
      <c r="I26" s="6" t="n"/>
      <c r="J26" s="6" t="n">
        <v>4.1</v>
      </c>
    </row>
    <row r="27">
      <c r="A27" s="5" t="inlineStr">
        <is>
          <t>Balance at 31 December 2015 / 1 January 2016</t>
        </is>
      </c>
      <c r="B27" s="5" t="n">
        <v>175.5</v>
      </c>
      <c r="C27" s="5" t="n">
        <v>81</v>
      </c>
      <c r="D27" s="5" t="n"/>
      <c r="E27" s="5" t="n">
        <v>1.6</v>
      </c>
      <c r="F27" s="5" t="n">
        <v>4.4</v>
      </c>
      <c r="G27" s="5" t="n"/>
      <c r="H27" s="5" t="n"/>
      <c r="I27" s="5" t="n">
        <v>79.7</v>
      </c>
      <c r="J27" s="5" t="n">
        <v>342.2</v>
      </c>
    </row>
    <row r="28">
      <c r="A28" s="6" t="inlineStr">
        <is>
          <t>Profit for the year</t>
        </is>
      </c>
      <c r="B28" s="6" t="n"/>
      <c r="C28" s="6" t="n"/>
      <c r="D28" s="6" t="n"/>
      <c r="E28" s="6" t="n"/>
      <c r="F28" s="6" t="n"/>
      <c r="G28" s="6" t="n"/>
      <c r="H28" s="6" t="n"/>
      <c r="I28" s="6" t="n">
        <v>66.09999999999999</v>
      </c>
      <c r="J28" s="6" t="n">
        <v>66.09999999999999</v>
      </c>
    </row>
    <row r="29">
      <c r="A29" s="6" t="inlineStr">
        <is>
          <t>Share-based payments</t>
        </is>
      </c>
      <c r="B29" s="6" t="n"/>
      <c r="C29" s="6" t="n"/>
      <c r="D29" s="6" t="n"/>
      <c r="E29" s="6" t="n"/>
      <c r="F29" s="6" t="n">
        <v>4.8</v>
      </c>
      <c r="G29" s="6" t="n"/>
      <c r="H29" s="6" t="n"/>
      <c r="I29" s="6" t="n"/>
      <c r="J29" s="6" t="n">
        <v>4.8</v>
      </c>
    </row>
    <row r="30">
      <c r="A30" s="5" t="inlineStr">
        <is>
          <t>Balance at 31 December 2016 / 1 January 2017</t>
        </is>
      </c>
      <c r="B30" s="5" t="n">
        <v>175.5</v>
      </c>
      <c r="C30" s="5" t="n">
        <v>81</v>
      </c>
      <c r="D30" s="5" t="n"/>
      <c r="E30" s="5" t="n">
        <v>1.6</v>
      </c>
      <c r="F30" s="5" t="n">
        <v>9.199999999999999</v>
      </c>
      <c r="G30" s="5" t="n"/>
      <c r="H30" s="5" t="n"/>
      <c r="I30" s="5" t="n">
        <v>145.8</v>
      </c>
      <c r="J30" s="5" t="n">
        <v>413.1</v>
      </c>
    </row>
    <row r="31">
      <c r="A31" s="6" t="inlineStr">
        <is>
          <t>Profit for the year</t>
        </is>
      </c>
      <c r="B31" s="6" t="n"/>
      <c r="C31" s="6" t="n"/>
      <c r="D31" s="6" t="n"/>
      <c r="E31" s="6" t="n"/>
      <c r="F31" s="6" t="n"/>
      <c r="G31" s="6" t="n"/>
      <c r="H31" s="6" t="n"/>
      <c r="I31" s="6" t="n">
        <v>74.90000000000001</v>
      </c>
      <c r="J31" s="6" t="n">
        <v>74.90000000000001</v>
      </c>
    </row>
    <row r="32">
      <c r="A32" s="6" t="inlineStr">
        <is>
          <t>Dividend paid to shareholders</t>
        </is>
      </c>
      <c r="B32" s="6" t="n"/>
      <c r="C32" s="6" t="n"/>
      <c r="D32" s="6" t="n"/>
      <c r="E32" s="6" t="n"/>
      <c r="F32" s="6" t="n"/>
      <c r="G32" s="6" t="n"/>
      <c r="H32" s="6" t="n"/>
      <c r="I32" s="6" t="n">
        <v>-19.5</v>
      </c>
      <c r="J32" s="6" t="n">
        <v>-19.5</v>
      </c>
    </row>
    <row r="33">
      <c r="A33" s="6" t="inlineStr">
        <is>
          <t>Issue of capital securities</t>
        </is>
      </c>
      <c r="B33" s="6" t="n"/>
      <c r="C33" s="6" t="n"/>
      <c r="D33" s="6" t="n">
        <v>125</v>
      </c>
      <c r="E33" s="6" t="n"/>
      <c r="F33" s="6" t="n"/>
      <c r="G33" s="6" t="n"/>
      <c r="H33" s="6" t="n"/>
      <c r="I33" s="6" t="n"/>
      <c r="J33" s="6" t="n">
        <v>125</v>
      </c>
    </row>
    <row r="34">
      <c r="A34" s="6" t="inlineStr">
        <is>
          <t>Share-based payments</t>
        </is>
      </c>
      <c r="B34" s="6" t="n"/>
      <c r="C34" s="6" t="n"/>
      <c r="D34" s="6" t="n"/>
      <c r="E34" s="6" t="n"/>
      <c r="F34" s="6" t="n">
        <v>7.5</v>
      </c>
      <c r="G34" s="6" t="n"/>
      <c r="H34" s="6" t="n"/>
      <c r="I34" s="6" t="n"/>
      <c r="J34" s="6" t="n">
        <v>7.5</v>
      </c>
    </row>
    <row r="35">
      <c r="A35" s="5" t="inlineStr">
        <is>
          <t>Balance at 31 December 2017 / 1 January 2018</t>
        </is>
      </c>
      <c r="B35" s="5" t="n">
        <v>175.5</v>
      </c>
      <c r="C35" s="5" t="n">
        <v>81</v>
      </c>
      <c r="D35" s="5" t="n">
        <v>125</v>
      </c>
      <c r="E35" s="5" t="n">
        <v>1.6</v>
      </c>
      <c r="F35" s="5" t="n">
        <v>16.7</v>
      </c>
      <c r="G35" s="5" t="n"/>
      <c r="H35" s="5" t="n"/>
      <c r="I35" s="5" t="n">
        <v>201.2</v>
      </c>
      <c r="J35" s="5" t="n">
        <v>601</v>
      </c>
    </row>
    <row r="36">
      <c r="A36" s="6" t="inlineStr">
        <is>
          <t>Impact of adopting IFRS 9</t>
        </is>
      </c>
      <c r="B36" s="6" t="n"/>
      <c r="C36" s="6" t="n"/>
      <c r="D36" s="6" t="n"/>
      <c r="E36" s="6" t="n"/>
      <c r="F36" s="6" t="n"/>
      <c r="G36" s="6" t="n"/>
      <c r="H36" s="6" t="n"/>
      <c r="I36" s="6" t="n">
        <v>-15.7</v>
      </c>
      <c r="J36" s="6" t="n">
        <v>-15.7</v>
      </c>
    </row>
    <row r="37">
      <c r="A37" s="5" t="inlineStr">
        <is>
          <t>Restated balance at 1 January 2018</t>
        </is>
      </c>
      <c r="B37" s="5" t="n">
        <v>175.5</v>
      </c>
      <c r="C37" s="5" t="n">
        <v>81</v>
      </c>
      <c r="D37" s="5" t="n">
        <v>125</v>
      </c>
      <c r="E37" s="5" t="n">
        <v>1.6</v>
      </c>
      <c r="F37" s="5" t="n">
        <v>16.7</v>
      </c>
      <c r="G37" s="5" t="n"/>
      <c r="H37" s="5" t="n"/>
      <c r="I37" s="5" t="n">
        <v>185.5</v>
      </c>
      <c r="J37" s="5" t="n">
        <v>585.3</v>
      </c>
    </row>
    <row r="38">
      <c r="A38" s="6" t="inlineStr">
        <is>
          <t>Profit for the year</t>
        </is>
      </c>
      <c r="B38" s="6" t="n"/>
      <c r="C38" s="6" t="n"/>
      <c r="D38" s="6" t="n"/>
      <c r="E38" s="6" t="n"/>
      <c r="F38" s="6" t="n"/>
      <c r="G38" s="6" t="n"/>
      <c r="H38" s="6" t="n"/>
      <c r="I38" s="6" t="n">
        <v>82.59999999999999</v>
      </c>
      <c r="J38" s="6" t="n">
        <v>82.59999999999999</v>
      </c>
    </row>
    <row r="39">
      <c r="A39" s="6" t="inlineStr">
        <is>
          <t>Coupon paid on capital securities (net of tax)</t>
        </is>
      </c>
      <c r="B39" s="6" t="n"/>
      <c r="C39" s="6" t="n"/>
      <c r="D39" s="6" t="n"/>
      <c r="E39" s="6" t="n"/>
      <c r="F39" s="6" t="n"/>
      <c r="G39" s="6" t="n"/>
      <c r="H39" s="6" t="n"/>
      <c r="I39" s="6" t="n">
        <v>-7.3</v>
      </c>
      <c r="J39" s="6" t="n">
        <v>-7.3</v>
      </c>
    </row>
    <row r="40">
      <c r="A40" s="6" t="inlineStr">
        <is>
          <t>Share-based payments</t>
        </is>
      </c>
      <c r="B40" s="6" t="n"/>
      <c r="C40" s="6" t="n"/>
      <c r="D40" s="6" t="n"/>
      <c r="E40" s="6" t="n"/>
      <c r="F40" s="6" t="n">
        <v>-0.3</v>
      </c>
      <c r="G40" s="6" t="n"/>
      <c r="H40" s="6" t="n"/>
      <c r="I40" s="6" t="n"/>
      <c r="J40" s="6" t="n">
        <v>-0.3</v>
      </c>
    </row>
    <row r="41">
      <c r="A41" s="5" t="inlineStr">
        <is>
          <t>Balance at 31 December 2018 / 1 January 2019</t>
        </is>
      </c>
      <c r="B41" s="5" t="n">
        <v>175.5</v>
      </c>
      <c r="C41" s="5" t="n">
        <v>81</v>
      </c>
      <c r="D41" s="5" t="n">
        <v>125</v>
      </c>
      <c r="E41" s="5" t="n">
        <v>1.6</v>
      </c>
      <c r="F41" s="5" t="n">
        <v>16.4</v>
      </c>
      <c r="G41" s="5" t="n"/>
      <c r="H41" s="5" t="n"/>
      <c r="I41" s="5" t="n">
        <v>260.8</v>
      </c>
      <c r="J41" s="5" t="n">
        <v>660.3</v>
      </c>
    </row>
    <row r="42">
      <c r="A42" s="6" t="inlineStr">
        <is>
          <t>Profit for the year</t>
        </is>
      </c>
      <c r="B42" s="6" t="n"/>
      <c r="C42" s="6" t="n"/>
      <c r="D42" s="6" t="n"/>
      <c r="E42" s="6" t="n"/>
      <c r="F42" s="6" t="n"/>
      <c r="G42" s="6" t="n"/>
      <c r="H42" s="6" t="n"/>
      <c r="I42" s="6" t="n">
        <v>92.59999999999999</v>
      </c>
      <c r="J42" s="6" t="n">
        <v>92.59999999999999</v>
      </c>
    </row>
    <row r="43">
      <c r="A43" s="6" t="inlineStr">
        <is>
          <t>Coupon paid on capital securities</t>
        </is>
      </c>
      <c r="B43" s="6" t="n"/>
      <c r="C43" s="6" t="n"/>
      <c r="D43" s="6" t="n"/>
      <c r="E43" s="6" t="n"/>
      <c r="F43" s="6" t="n"/>
      <c r="G43" s="6" t="n"/>
      <c r="H43" s="6" t="n"/>
      <c r="I43" s="6" t="n">
        <v>-9.800000000000001</v>
      </c>
      <c r="J43" s="6" t="n">
        <v>-9.800000000000001</v>
      </c>
    </row>
    <row r="44">
      <c r="A44" s="6" t="inlineStr">
        <is>
          <t>Share-based payments</t>
        </is>
      </c>
      <c r="B44" s="6" t="n"/>
      <c r="C44" s="6" t="n"/>
      <c r="D44" s="6" t="n"/>
      <c r="E44" s="6" t="n"/>
      <c r="F44" s="6" t="n">
        <v>0.8</v>
      </c>
      <c r="G44" s="6" t="n"/>
      <c r="H44" s="6" t="n"/>
      <c r="I44" s="6" t="n"/>
      <c r="J44" s="6" t="n">
        <v>0.8</v>
      </c>
    </row>
    <row r="45">
      <c r="A45" s="5" t="inlineStr">
        <is>
          <t>Balance at 31 December 2019 / 1 January 2020</t>
        </is>
      </c>
      <c r="B45" s="5" t="n">
        <v>175.5</v>
      </c>
      <c r="C45" s="5" t="n">
        <v>81</v>
      </c>
      <c r="D45" s="5" t="n">
        <v>125</v>
      </c>
      <c r="E45" s="5" t="n">
        <v>1.6</v>
      </c>
      <c r="F45" s="5" t="n">
        <v>17.2</v>
      </c>
      <c r="G45" s="5" t="n"/>
      <c r="H45" s="5" t="n"/>
      <c r="I45" s="5" t="n">
        <v>343.6</v>
      </c>
      <c r="J45" s="5" t="n">
        <v>743.9</v>
      </c>
    </row>
    <row r="46">
      <c r="A46" s="6" t="inlineStr">
        <is>
          <t>Profit for the year</t>
        </is>
      </c>
      <c r="B46" s="6" t="n"/>
      <c r="C46" s="6" t="n"/>
      <c r="D46" s="6" t="n"/>
      <c r="E46" s="6" t="n"/>
      <c r="F46" s="6" t="n"/>
      <c r="G46" s="6" t="n"/>
      <c r="H46" s="6" t="n"/>
      <c r="I46" s="6" t="n">
        <v>58.3</v>
      </c>
      <c r="J46" s="6" t="n">
        <v>58.3</v>
      </c>
    </row>
    <row r="47">
      <c r="A47" s="6" t="inlineStr">
        <is>
          <t>Coupon paid on capital securities</t>
        </is>
      </c>
      <c r="B47" s="6" t="n"/>
      <c r="C47" s="6" t="n"/>
      <c r="D47" s="6" t="n"/>
      <c r="E47" s="6" t="n"/>
      <c r="F47" s="6" t="n"/>
      <c r="G47" s="6" t="n"/>
      <c r="H47" s="6" t="n"/>
      <c r="I47" s="6" t="n">
        <v>-9.800000000000001</v>
      </c>
      <c r="J47" s="6" t="n">
        <v>-9.800000000000001</v>
      </c>
    </row>
    <row r="48">
      <c r="A48" s="6" t="inlineStr">
        <is>
          <t>Share-based payments</t>
        </is>
      </c>
      <c r="B48" s="6" t="n"/>
      <c r="C48" s="6" t="n"/>
      <c r="D48" s="6" t="n"/>
      <c r="E48" s="6" t="n"/>
      <c r="F48" s="6" t="n">
        <v>0.5</v>
      </c>
      <c r="G48" s="6" t="n"/>
      <c r="H48" s="6" t="n"/>
      <c r="I48" s="6" t="n"/>
      <c r="J48" s="6" t="n">
        <v>0.5</v>
      </c>
    </row>
    <row r="49">
      <c r="A49" s="5" t="inlineStr">
        <is>
          <t>Balance at 31 December 2020 / 1 January 2021</t>
        </is>
      </c>
      <c r="B49" s="5" t="n">
        <v>175.5</v>
      </c>
      <c r="C49" s="5" t="n">
        <v>81</v>
      </c>
      <c r="D49" s="5" t="n">
        <v>125</v>
      </c>
      <c r="E49" s="5" t="n">
        <v>1.6</v>
      </c>
      <c r="F49" s="5" t="n">
        <v>17.7</v>
      </c>
      <c r="G49" s="5" t="n"/>
      <c r="H49" s="5" t="n"/>
      <c r="I49" s="5" t="n">
        <v>392.1</v>
      </c>
      <c r="J49" s="5" t="n">
        <v>792.9</v>
      </c>
    </row>
    <row r="50">
      <c r="A50" s="6" t="inlineStr">
        <is>
          <t>Profit for the year</t>
        </is>
      </c>
      <c r="B50" s="6" t="n"/>
      <c r="C50" s="6" t="n"/>
      <c r="D50" s="6" t="n"/>
      <c r="E50" s="6" t="n"/>
      <c r="F50" s="6" t="n"/>
      <c r="G50" s="6" t="n"/>
      <c r="H50" s="6" t="n"/>
      <c r="I50" s="6" t="n">
        <v>153.5</v>
      </c>
      <c r="J50" s="6" t="n">
        <v>153.5</v>
      </c>
    </row>
    <row r="51">
      <c r="A51" s="6" t="inlineStr">
        <is>
          <t>Equity-settled share-based payments</t>
        </is>
      </c>
      <c r="B51" s="6" t="n"/>
      <c r="C51" s="6" t="n"/>
      <c r="D51" s="6" t="n"/>
      <c r="E51" s="6" t="n"/>
      <c r="F51" s="6" t="n">
        <v>0.6</v>
      </c>
      <c r="G51" s="6" t="n"/>
      <c r="H51" s="6" t="n"/>
      <c r="I51" s="6" t="n"/>
      <c r="J51" s="6" t="n">
        <v>0.6</v>
      </c>
    </row>
    <row r="52">
      <c r="A52" s="6" t="inlineStr">
        <is>
          <t>Coupon paid on capital securities</t>
        </is>
      </c>
      <c r="B52" s="6" t="n"/>
      <c r="C52" s="6" t="n"/>
      <c r="D52" s="6" t="n"/>
      <c r="E52" s="6" t="n"/>
      <c r="F52" s="6" t="n"/>
      <c r="G52" s="6" t="n"/>
      <c r="H52" s="6" t="n"/>
      <c r="I52" s="6" t="n">
        <v>-9.800000000000001</v>
      </c>
      <c r="J52" s="6" t="n">
        <v>-9.800000000000001</v>
      </c>
    </row>
    <row r="53">
      <c r="A53" s="6" t="inlineStr">
        <is>
          <t>Capital contribution</t>
        </is>
      </c>
      <c r="B53" s="6" t="n"/>
      <c r="C53" s="6" t="n"/>
      <c r="D53" s="6" t="n"/>
      <c r="E53" s="6" t="n"/>
      <c r="F53" s="6" t="n">
        <v>5.6</v>
      </c>
      <c r="G53" s="6" t="n"/>
      <c r="H53" s="6" t="n"/>
      <c r="I53" s="6" t="n"/>
      <c r="J53" s="6" t="n">
        <v>5.6</v>
      </c>
    </row>
    <row r="54">
      <c r="A54" s="5" t="inlineStr">
        <is>
          <t>Balance at 31 December 2021 / 1 January 2022</t>
        </is>
      </c>
      <c r="B54" s="5" t="n">
        <v>175.5</v>
      </c>
      <c r="C54" s="5" t="n">
        <v>81</v>
      </c>
      <c r="D54" s="5" t="n">
        <v>125</v>
      </c>
      <c r="E54" s="5" t="n">
        <v>1.6</v>
      </c>
      <c r="F54" s="5" t="n">
        <v>23.9</v>
      </c>
      <c r="G54" s="5" t="n"/>
      <c r="H54" s="5" t="n"/>
      <c r="I54" s="5" t="n">
        <v>535.8</v>
      </c>
      <c r="J54" s="5" t="n">
        <v>942.8</v>
      </c>
    </row>
    <row r="55">
      <c r="A55" s="6" t="inlineStr">
        <is>
          <t>Profit for the year</t>
        </is>
      </c>
      <c r="B55" s="6" t="n"/>
      <c r="C55" s="6" t="n"/>
      <c r="D55" s="6" t="n"/>
      <c r="E55" s="6" t="n"/>
      <c r="F55" s="6" t="n"/>
      <c r="G55" s="6" t="n"/>
      <c r="H55" s="6" t="n"/>
      <c r="I55" s="6" t="n">
        <v>213</v>
      </c>
      <c r="J55" s="6" t="n">
        <v>213</v>
      </c>
    </row>
    <row r="56">
      <c r="A56" s="6" t="inlineStr">
        <is>
          <t>Movement in fair value through other comprehensive income reserve</t>
        </is>
      </c>
      <c r="B56" s="6" t="n"/>
      <c r="C56" s="6" t="n"/>
      <c r="D56" s="6" t="n"/>
      <c r="E56" s="6" t="n"/>
      <c r="F56" s="6" t="n"/>
      <c r="G56" s="6" t="n"/>
      <c r="H56" s="6" t="n">
        <v>-10.7</v>
      </c>
      <c r="I56" s="6" t="n"/>
      <c r="J56" s="6" t="n">
        <v>-10.7</v>
      </c>
    </row>
    <row r="57">
      <c r="A57" s="6" t="inlineStr">
        <is>
          <t>Equity-settled share-based payments</t>
        </is>
      </c>
      <c r="B57" s="6" t="n"/>
      <c r="C57" s="6" t="n"/>
      <c r="D57" s="6" t="n"/>
      <c r="E57" s="6" t="n"/>
      <c r="F57" s="6" t="n">
        <v>0.1</v>
      </c>
      <c r="G57" s="6" t="n"/>
      <c r="H57" s="6" t="n"/>
      <c r="I57" s="6" t="n"/>
      <c r="J57" s="6" t="n">
        <v>0.1</v>
      </c>
    </row>
    <row r="58">
      <c r="A58" s="6" t="inlineStr">
        <is>
          <t>Issue of capital securities</t>
        </is>
      </c>
      <c r="B58" s="6" t="n"/>
      <c r="C58" s="6" t="n"/>
      <c r="D58" s="6" t="n">
        <v>124</v>
      </c>
      <c r="E58" s="6" t="n"/>
      <c r="F58" s="6" t="n"/>
      <c r="G58" s="6" t="n"/>
      <c r="H58" s="6" t="n"/>
      <c r="I58" s="6" t="n"/>
      <c r="J58" s="6" t="n">
        <v>124</v>
      </c>
    </row>
    <row r="59">
      <c r="A59" s="6" t="inlineStr">
        <is>
          <t>Settlement of capital securities</t>
        </is>
      </c>
      <c r="B59" s="6" t="n"/>
      <c r="C59" s="6" t="n"/>
      <c r="D59" s="6" t="n">
        <v>-124</v>
      </c>
      <c r="E59" s="6" t="n"/>
      <c r="F59" s="6" t="n"/>
      <c r="G59" s="6" t="n"/>
      <c r="H59" s="6" t="n"/>
      <c r="I59" s="6" t="n"/>
      <c r="J59" s="6" t="n">
        <v>-124</v>
      </c>
    </row>
    <row r="60">
      <c r="A60" s="6" t="inlineStr">
        <is>
          <t>Coupon paid on capital securities</t>
        </is>
      </c>
      <c r="B60" s="6" t="n"/>
      <c r="C60" s="6" t="n"/>
      <c r="D60" s="6" t="n"/>
      <c r="E60" s="6" t="n"/>
      <c r="F60" s="6" t="n"/>
      <c r="G60" s="6" t="n"/>
      <c r="H60" s="6" t="n"/>
      <c r="I60" s="6" t="n">
        <v>-8.800000000000001</v>
      </c>
      <c r="J60" s="6" t="n">
        <v>-8.800000000000001</v>
      </c>
    </row>
    <row r="61">
      <c r="A61" s="5" t="inlineStr">
        <is>
          <t>Balance at 31 December 2022 / 1 January 2023</t>
        </is>
      </c>
      <c r="B61" s="5" t="n">
        <v>175.5</v>
      </c>
      <c r="C61" s="5" t="n">
        <v>81</v>
      </c>
      <c r="D61" s="5" t="n">
        <v>125</v>
      </c>
      <c r="E61" s="5" t="n">
        <v>1.6</v>
      </c>
      <c r="F61" s="5" t="n">
        <v>24</v>
      </c>
      <c r="G61" s="5" t="n"/>
      <c r="H61" s="5" t="n">
        <v>-10.7</v>
      </c>
      <c r="I61" s="5" t="n">
        <v>740</v>
      </c>
      <c r="J61" s="5" t="n">
        <v>1136.4</v>
      </c>
    </row>
    <row r="62">
      <c r="A62" s="6" t="inlineStr">
        <is>
          <t>Profit for the year</t>
        </is>
      </c>
      <c r="B62" s="6" t="n"/>
      <c r="C62" s="6" t="n"/>
      <c r="D62" s="6" t="n"/>
      <c r="E62" s="6" t="n"/>
      <c r="F62" s="6" t="n"/>
      <c r="G62" s="6" t="n"/>
      <c r="H62" s="6" t="n"/>
      <c r="I62" s="6" t="n">
        <v>246.4</v>
      </c>
      <c r="J62" s="6" t="n">
        <v>246.4</v>
      </c>
    </row>
    <row r="63">
      <c r="A63" s="6" t="inlineStr">
        <is>
          <t>Movement in cash flow hedging reserve</t>
        </is>
      </c>
      <c r="B63" s="6" t="n"/>
      <c r="C63" s="6" t="n"/>
      <c r="D63" s="6" t="n"/>
      <c r="E63" s="6" t="n"/>
      <c r="F63" s="6" t="n"/>
      <c r="G63" s="6" t="n">
        <v>0.1</v>
      </c>
      <c r="H63" s="6" t="n"/>
      <c r="I63" s="6" t="n"/>
      <c r="J63" s="6" t="n">
        <v>0.1</v>
      </c>
    </row>
    <row r="64">
      <c r="A64" s="6" t="inlineStr">
        <is>
          <t>Movement in fair value through other comprehensive income reserve</t>
        </is>
      </c>
      <c r="B64" s="6" t="n"/>
      <c r="C64" s="6" t="n"/>
      <c r="D64" s="6" t="n"/>
      <c r="E64" s="6" t="n"/>
      <c r="F64" s="6" t="n"/>
      <c r="G64" s="6" t="n"/>
      <c r="H64" s="6" t="n">
        <v>10.4</v>
      </c>
      <c r="I64" s="6" t="n"/>
      <c r="J64" s="6" t="n">
        <v>10.4</v>
      </c>
    </row>
    <row r="65">
      <c r="A65" s="6" t="inlineStr">
        <is>
          <t>Equity-settled share-based payments</t>
        </is>
      </c>
      <c r="B65" s="6" t="n"/>
      <c r="C65" s="6" t="n"/>
      <c r="D65" s="6" t="n"/>
      <c r="E65" s="6" t="n"/>
      <c r="F65" s="6" t="n">
        <v>0.7</v>
      </c>
      <c r="G65" s="6" t="n"/>
      <c r="H65" s="6" t="n"/>
      <c r="I65" s="6" t="n"/>
      <c r="J65" s="6" t="n">
        <v>0.7</v>
      </c>
    </row>
    <row r="66">
      <c r="A66" s="6" t="inlineStr">
        <is>
          <t>Coupon paid on capital securities</t>
        </is>
      </c>
      <c r="B66" s="6" t="n"/>
      <c r="C66" s="6" t="n"/>
      <c r="D66" s="6" t="n"/>
      <c r="E66" s="6" t="n"/>
      <c r="F66" s="6" t="n"/>
      <c r="G66" s="6" t="n"/>
      <c r="H66" s="6" t="n"/>
      <c r="I66" s="6" t="n">
        <v>-16.9</v>
      </c>
      <c r="J66" s="6" t="n">
        <v>-16.9</v>
      </c>
    </row>
    <row r="67">
      <c r="A67" s="6" t="inlineStr">
        <is>
          <t>Capital contribution</t>
        </is>
      </c>
      <c r="B67" s="6" t="n"/>
      <c r="C67" s="6" t="n"/>
      <c r="D67" s="6" t="n"/>
      <c r="E67" s="6" t="n"/>
      <c r="F67" s="6" t="n">
        <v>14.3</v>
      </c>
      <c r="G67" s="6" t="n"/>
      <c r="H67" s="6" t="n"/>
      <c r="I67" s="6" t="n"/>
      <c r="J67" s="6" t="n">
        <v>14.3</v>
      </c>
    </row>
    <row r="68">
      <c r="A68" s="5" t="inlineStr">
        <is>
          <t>Balance at 31 December 2023 / 1 January 2024</t>
        </is>
      </c>
      <c r="B68" s="5" t="n">
        <v>175.5</v>
      </c>
      <c r="C68" s="5" t="n">
        <v>81</v>
      </c>
      <c r="D68" s="5" t="n">
        <v>125</v>
      </c>
      <c r="E68" s="5" t="n">
        <v>1.6</v>
      </c>
      <c r="F68" s="5" t="n">
        <v>39</v>
      </c>
      <c r="G68" s="5" t="n">
        <v>0.1</v>
      </c>
      <c r="H68" s="5" t="n">
        <v>-0.3</v>
      </c>
      <c r="I68" s="5" t="n">
        <v>969.5</v>
      </c>
      <c r="J68" s="5" t="n">
        <v>1391.4</v>
      </c>
    </row>
    <row r="69">
      <c r="A69" s="6" t="inlineStr">
        <is>
          <t>Profit for the year</t>
        </is>
      </c>
      <c r="B69" s="6" t="n"/>
      <c r="C69" s="6" t="n"/>
      <c r="D69" s="6" t="n"/>
      <c r="E69" s="6" t="n"/>
      <c r="F69" s="6" t="n"/>
      <c r="G69" s="6" t="n"/>
      <c r="H69" s="6" t="n"/>
      <c r="I69" s="6" t="n">
        <v>203.2</v>
      </c>
      <c r="J69" s="6" t="n">
        <v>203.2</v>
      </c>
    </row>
    <row r="70">
      <c r="A70" s="6" t="inlineStr">
        <is>
          <t>Movement in fair value through other comprehensive income reserve</t>
        </is>
      </c>
      <c r="B70" s="6" t="n"/>
      <c r="C70" s="6" t="n"/>
      <c r="D70" s="6" t="n"/>
      <c r="E70" s="6" t="n"/>
      <c r="F70" s="6" t="n"/>
      <c r="G70" s="6" t="n"/>
      <c r="H70" s="6" t="n">
        <v>29.9</v>
      </c>
      <c r="I70" s="6" t="n"/>
      <c r="J70" s="6" t="n">
        <v>29.9</v>
      </c>
    </row>
    <row r="71">
      <c r="A71" s="6" t="inlineStr">
        <is>
          <t>Equity-settled share-based payments</t>
        </is>
      </c>
      <c r="B71" s="6" t="n"/>
      <c r="C71" s="6" t="n"/>
      <c r="D71" s="6" t="n"/>
      <c r="E71" s="6" t="n"/>
      <c r="F71" s="6" t="n">
        <v>0.7</v>
      </c>
      <c r="G71" s="6" t="n"/>
      <c r="H71" s="6" t="n"/>
      <c r="I71" s="6" t="n"/>
      <c r="J71" s="6" t="n">
        <v>0.7</v>
      </c>
    </row>
    <row r="72">
      <c r="A72" s="6" t="inlineStr">
        <is>
          <t>Coupon paid on capital securities</t>
        </is>
      </c>
      <c r="B72" s="6" t="n"/>
      <c r="C72" s="6" t="n"/>
      <c r="D72" s="6" t="n"/>
      <c r="E72" s="6" t="n"/>
      <c r="F72" s="6" t="n"/>
      <c r="G72" s="6" t="n"/>
      <c r="H72" s="6" t="n"/>
      <c r="I72" s="6" t="n">
        <v>-15.1</v>
      </c>
      <c r="J72" s="6" t="n">
        <v>-15.1</v>
      </c>
    </row>
    <row r="73">
      <c r="A73" s="5" t="inlineStr">
        <is>
          <t>Balance at 31 December 2024 / 1 January 2025</t>
        </is>
      </c>
      <c r="B73" s="5" t="n">
        <v>175.5</v>
      </c>
      <c r="C73" s="5" t="n">
        <v>81</v>
      </c>
      <c r="D73" s="5" t="n">
        <v>125</v>
      </c>
      <c r="E73" s="5" t="n">
        <v>1.6</v>
      </c>
      <c r="F73" s="5" t="n">
        <v>39.7</v>
      </c>
      <c r="G73" s="5" t="n">
        <v>0.1</v>
      </c>
      <c r="H73" s="5" t="n">
        <v>29.6</v>
      </c>
      <c r="I73" s="5" t="n">
        <v>1157.6</v>
      </c>
      <c r="J73" s="5" t="n">
        <v>1610.1</v>
      </c>
    </row>
    <row r="74">
      <c r="A74" s="6" t="inlineStr">
        <is>
          <t>Profit for the year</t>
        </is>
      </c>
      <c r="B74" s="6" t="n"/>
      <c r="C74" s="6" t="n"/>
      <c r="D74" s="6" t="n"/>
      <c r="E74" s="6" t="n"/>
      <c r="F74" s="6" t="n"/>
      <c r="G74" s="6" t="n"/>
      <c r="H74" s="6" t="n"/>
      <c r="I74" s="6" t="n">
        <v>189.2</v>
      </c>
      <c r="J74" s="6" t="n">
        <v>189.2</v>
      </c>
    </row>
    <row r="75">
      <c r="A75" s="6" t="inlineStr">
        <is>
          <t>Movement in cash flow hedging reserve</t>
        </is>
      </c>
      <c r="B75" s="6" t="n"/>
      <c r="C75" s="6" t="n"/>
      <c r="D75" s="6" t="n"/>
      <c r="E75" s="6" t="n"/>
      <c r="F75" s="6" t="n"/>
      <c r="G75" s="6" t="n">
        <v>1.2</v>
      </c>
      <c r="H75" s="6" t="n"/>
      <c r="I75" s="6" t="n"/>
      <c r="J75" s="6" t="n">
        <v>1.2</v>
      </c>
    </row>
    <row r="76">
      <c r="A76" s="6" t="inlineStr">
        <is>
          <t>Movement in fair value through other comprehensive income reserve</t>
        </is>
      </c>
      <c r="B76" s="6" t="n"/>
      <c r="C76" s="6" t="n"/>
      <c r="D76" s="6" t="n"/>
      <c r="E76" s="6" t="n"/>
      <c r="F76" s="6" t="n"/>
      <c r="G76" s="6" t="n"/>
      <c r="H76" s="6" t="n">
        <v>14.2</v>
      </c>
      <c r="I76" s="6" t="n"/>
      <c r="J76" s="6" t="n">
        <v>14.2</v>
      </c>
    </row>
    <row r="77">
      <c r="A77" s="6" t="inlineStr">
        <is>
          <t>Issue of ordinary shares</t>
        </is>
      </c>
      <c r="B77" s="6" t="n">
        <v>50</v>
      </c>
      <c r="C77" s="6" t="n"/>
      <c r="D77" s="6" t="n"/>
      <c r="E77" s="6" t="n"/>
      <c r="F77" s="6" t="n"/>
      <c r="G77" s="6" t="n"/>
      <c r="H77" s="6" t="n"/>
      <c r="I77" s="6" t="n"/>
      <c r="J77" s="6" t="n">
        <v>50</v>
      </c>
    </row>
    <row r="78">
      <c r="A78" s="6" t="inlineStr">
        <is>
          <t>Equity-settled share-based payments</t>
        </is>
      </c>
      <c r="B78" s="6" t="n"/>
      <c r="C78" s="6" t="n"/>
      <c r="D78" s="6" t="n"/>
      <c r="E78" s="6" t="n"/>
      <c r="F78" s="6" t="n"/>
      <c r="G78" s="6" t="n"/>
      <c r="H78" s="6" t="n"/>
      <c r="I78" s="6" t="n">
        <v>26.1</v>
      </c>
      <c r="J78" s="6" t="n">
        <v>26.1</v>
      </c>
    </row>
    <row r="79">
      <c r="A79" s="6" t="inlineStr">
        <is>
          <t>Coupon paid on capital securities</t>
        </is>
      </c>
      <c r="B79" s="6" t="n"/>
      <c r="C79" s="6" t="n"/>
      <c r="D79" s="6" t="n"/>
      <c r="E79" s="6" t="n"/>
      <c r="F79" s="6" t="n"/>
      <c r="G79" s="6" t="n"/>
      <c r="H79" s="6" t="n"/>
      <c r="I79" s="6" t="n">
        <v>-15.1</v>
      </c>
      <c r="J79" s="6" t="n">
        <v>-15.1</v>
      </c>
    </row>
    <row r="80">
      <c r="A80" s="5" t="inlineStr">
        <is>
          <t>Balance at 31 December 2025</t>
        </is>
      </c>
      <c r="B80" s="5" t="n">
        <v>225.5</v>
      </c>
      <c r="C80" s="5" t="n">
        <v>81</v>
      </c>
      <c r="D80" s="5" t="n">
        <v>125</v>
      </c>
      <c r="E80" s="5" t="n">
        <v>1.6</v>
      </c>
      <c r="F80" s="5" t="n">
        <v>39.7</v>
      </c>
      <c r="G80" s="5" t="n">
        <v>1.3</v>
      </c>
      <c r="H80" s="5" t="n">
        <v>43.8</v>
      </c>
      <c r="I80" s="5" t="n">
        <v>1357.8</v>
      </c>
      <c r="J80" s="5" t="n">
        <v>1875.7</v>
      </c>
    </row>
    <row r="82" ht="260" customHeight="1">
      <c r="A82"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deliberately left blank: the Annual Report's 147.2% is a point-in-time year-end ratio, not the 12-month-average UK KM1 measure used for FY2022-FY2024 here (the same Annual Report reports FY2024 as 176.0% against the 265.0% recorded here from that year's Bank Pillar 3)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FY2014/FY2015 Bank Total RWAs are derived from the Bank's own disclosed Pillar 1 capital requirement (Credit risk + Operational risk) grossed up at 8%, per each year's own Pillar 3 disclosure; FY2015's derived total (£2,173.8m) is used in preference to the £2,175.9m 'Total risk exposure amount' shown in that year's countercyclical-buffer table, which nets to the same figure within rounding.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
INVESTMENT SECURITIES MEASUREMENT-BASIS SPLIT: the Company's 'Investment securities' balance is disclosed by IFRS 9 measurement category for FY2018-FY2025, splitting into amortised cost and FVOCI (mandatorily-at-FVTPL is £nil in every reviewed year). No UK government/gilt/treasury-bill vs other-issuer split is disclosed in any reviewed year - the only issuer-type analysis Shawbrook gives (Note 25 of the FY2025 Annual Report; Note 16 of the FY2019 Annual Report) is 'covered bonds' vs 'debt securities' (retained mortgage-backed notes from the Group's own securitisations), neither of which is a government security, so that split is not reproduced here. FY2025/FY2024: Note 25 'Investment securities', Annual Report and Accounts 2025 pp.144-145, discloses '£178.1 million (2024: £nil) classified as FVOCI'; the Company figures used here (FY2025: £1,986.7m amortised cost / £178.1m FVOCI; FY2024: £1,449.3m amortised cost / £nil FVOCI) are taken from the Risk Report's 'Exposure to credit risk' table, p.70, which gives the Group/Company split by measurement category and ties exactly to each year's Balance Sheet total - https://www.shawbrook.co.uk/media/vkkpos4a/shawbrook-bank-limited-2025-annual-report-accounts.pdf
FY2023/FY2022: Note 38 'Financial assets and financial liabilities' (Classification of financial assets and financial liabilities), Annual Report and Accounts 2023 pp.159-160 (Company table p.160), shows Company Investment securities entirely in the amortised-cost column (FY2023: £816.3m; FY2022: £716.8m; £nil FVOCI/FVTPL in both years) - https://www.shawbrook.co.uk/media/iflapcxl/shawbrook-bank-ltd-annual-report-and-accounts-2023.pdf
FY2021/FY2020: Note 41 'Financial instruments' (Classification of financial assets and financial liabilities), Annual Report and Accounts 2021 pp.156-157, gives the Group table (Investment securities entirely amortised cost: FY2021 £521.4m; FY2020 £358.2m) plus a Company narrative confirming that 'the measurement categories that the Company's financial assets ... are allocated to are the same as the Group' - so the Company's own Investment securities balance (FY2021: £614.8m; FY2020: £421.6m) is taken as entirely amortised cost, £nil FVOCI/FVTPL - https://www.shawbrook.co.uk/media/ft4eulfp/shawbrook-bank-ara-2021.pdf
FY2019/FY2018: accounting policy Note 1.7(i), Annual Report and Accounts 2019 p.103, states plainly that 'Investment securities are classified as financial assets measured at amortised cost' with no FVOCI/FVTPL carve-out disclosed for either year (Note 16 'Investment securities', p.128, gives the £245.9m/£139.9m Company totals used elsewhere on this sheet, entirely amortised cost) - https://www.shawbrook.co.uk/media/pqtkvwzv/sb-limited-ara-2019.pdf
FY2017-FY2013 and FY2012 are left blank for this split: FY2017-FY2013 have no Investment securities balance at all (see the row above); FY2012's own Annual Report was not reviewed for a measurement-basis breakdown, so rather than assume its £144.9m follows the same amortised-cost-only pattern seen in every other reviewed year, it is left blank here.</t>
        </is>
      </c>
    </row>
  </sheetData>
  <mergeCells count="1">
    <mergeCell ref="A82:J8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Company Cash Flow Statement</t>
        </is>
      </c>
    </row>
    <row r="2">
      <c r="A2" s="2" t="inlineStr">
        <is>
          <t>Company/entity basis, £m; FY2012-FY2025 calendar year-ends. FY2012-FY2017 granular operating-asset/liability line items are condensed into the same 2-line 'increase/decrease' format used from FY2018 onward; each year's condensed subtotal ties exactly to that year's own disclosed net change. FY2012's own closing balance ties exactly to FY2013's own opening balance (both £180.1m, per each year's own Annual Report). FY2013's own closing balance (£230.3m) does NOT tie to FY2014's opening balance already shown here (£229.6m) - a genuine, sourced ~£0.7m break from a 'cash and cash equivalents' definition change first introduced in the FY2014 Annual Report (see source note), not an omitted plug row.</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Cash flows from operating activities</t>
        </is>
      </c>
      <c r="B4" s="6" t="n"/>
      <c r="C4" s="6" t="n"/>
      <c r="D4" s="6" t="n"/>
      <c r="E4" s="6" t="n"/>
      <c r="F4" s="6" t="n"/>
      <c r="G4" s="6" t="n"/>
      <c r="H4" s="6" t="n"/>
      <c r="I4" s="6" t="n"/>
      <c r="J4" s="6" t="n"/>
      <c r="K4" s="6" t="n"/>
      <c r="L4" s="6" t="n"/>
      <c r="M4" s="6" t="n"/>
      <c r="N4" s="6" t="n"/>
      <c r="O4" s="6" t="n"/>
    </row>
    <row r="5">
      <c r="A5" s="6" t="inlineStr">
        <is>
          <t>Profit before tax</t>
        </is>
      </c>
      <c r="B5" s="6" t="n">
        <v>252.7</v>
      </c>
      <c r="C5" s="6" t="n">
        <v>271.6</v>
      </c>
      <c r="D5" s="6" t="n">
        <v>333.8</v>
      </c>
      <c r="E5" s="6" t="n">
        <v>284.6</v>
      </c>
      <c r="F5" s="6" t="n">
        <v>203.8</v>
      </c>
      <c r="G5" s="6" t="n">
        <v>73.7</v>
      </c>
      <c r="H5" s="6" t="n">
        <v>121.4</v>
      </c>
      <c r="I5" s="6" t="n">
        <v>110.9</v>
      </c>
      <c r="J5" s="6" t="n">
        <v>100.2</v>
      </c>
      <c r="K5" s="6" t="n">
        <v>89.5</v>
      </c>
      <c r="L5" s="6" t="n">
        <v>75.2</v>
      </c>
      <c r="M5" s="6" t="n">
        <v>48.8</v>
      </c>
      <c r="N5" s="6" t="n">
        <v>19.4</v>
      </c>
      <c r="O5" s="6" t="n">
        <v>-26.3</v>
      </c>
    </row>
    <row r="6">
      <c r="A6" s="6" t="inlineStr">
        <is>
          <t>Adjustments for non-cash items and other adjustments</t>
        </is>
      </c>
      <c r="B6" s="6" t="n">
        <v>182.2</v>
      </c>
      <c r="C6" s="6" t="n">
        <v>52.4</v>
      </c>
      <c r="D6" s="6" t="n">
        <v>63.2</v>
      </c>
      <c r="E6" s="6" t="n">
        <v>67.40000000000001</v>
      </c>
      <c r="F6" s="6" t="n">
        <v>2.6</v>
      </c>
      <c r="G6" s="6" t="n">
        <v>59.1</v>
      </c>
      <c r="H6" s="6" t="n">
        <v>23.5</v>
      </c>
      <c r="I6" s="6" t="n">
        <v>39.2</v>
      </c>
      <c r="J6" s="6" t="n">
        <v>54.3</v>
      </c>
      <c r="K6" s="6" t="n">
        <v>51.3</v>
      </c>
      <c r="L6" s="6" t="n">
        <v>26.2</v>
      </c>
      <c r="M6" s="6" t="n">
        <v>23.6</v>
      </c>
      <c r="N6" s="6" t="n">
        <v>14</v>
      </c>
      <c r="O6" s="6" t="n">
        <v>34.9</v>
      </c>
    </row>
    <row r="7">
      <c r="A7" s="6" t="inlineStr">
        <is>
          <t>(Increase)/decrease in operating assets</t>
        </is>
      </c>
      <c r="B7" s="6" t="n">
        <v>-2597.8</v>
      </c>
      <c r="C7" s="6" t="n">
        <v>-1906</v>
      </c>
      <c r="D7" s="6" t="n">
        <v>-2632.5</v>
      </c>
      <c r="E7" s="6" t="n">
        <v>-2234.4</v>
      </c>
      <c r="F7" s="6" t="n">
        <v>-1526.5</v>
      </c>
      <c r="G7" s="6" t="n">
        <v>-369</v>
      </c>
      <c r="H7" s="6" t="n">
        <v>-948.5</v>
      </c>
      <c r="I7" s="6" t="n">
        <v>-1087.2</v>
      </c>
      <c r="J7" s="6" t="n">
        <v>-777.9</v>
      </c>
      <c r="K7" s="6" t="n">
        <v>-775.5</v>
      </c>
      <c r="L7" s="6" t="n">
        <v>-1040.6</v>
      </c>
      <c r="M7" s="6" t="n">
        <v>-750.5</v>
      </c>
      <c r="N7" s="6" t="n">
        <v>-578.2</v>
      </c>
      <c r="O7" s="6" t="n">
        <v>-376.4</v>
      </c>
    </row>
    <row r="8">
      <c r="A8" s="6" t="inlineStr">
        <is>
          <t>Increase in operating liabilities</t>
        </is>
      </c>
      <c r="B8" s="6" t="n">
        <v>2590</v>
      </c>
      <c r="C8" s="6" t="n">
        <v>2209.7</v>
      </c>
      <c r="D8" s="6" t="n">
        <v>2775.8</v>
      </c>
      <c r="E8" s="6" t="n">
        <v>2627.5</v>
      </c>
      <c r="F8" s="6" t="n">
        <v>1449.6</v>
      </c>
      <c r="G8" s="6" t="n">
        <v>768.7</v>
      </c>
      <c r="H8" s="6" t="n">
        <v>1191.2</v>
      </c>
      <c r="I8" s="6" t="n">
        <v>626.2</v>
      </c>
      <c r="J8" s="6" t="n">
        <v>432.3</v>
      </c>
      <c r="K8" s="6" t="n">
        <v>460.1</v>
      </c>
      <c r="L8" s="6" t="n">
        <v>1055.3</v>
      </c>
      <c r="M8" s="6" t="n">
        <v>966.2</v>
      </c>
      <c r="N8" s="6" t="n">
        <v>537.1</v>
      </c>
      <c r="O8" s="6" t="n">
        <v>748.4</v>
      </c>
    </row>
    <row r="9">
      <c r="A9" s="6" t="inlineStr">
        <is>
          <t>Tax (paid)/recovered</t>
        </is>
      </c>
      <c r="B9" s="6" t="n">
        <v>-56.5</v>
      </c>
      <c r="C9" s="6" t="n">
        <v>-85.09999999999999</v>
      </c>
      <c r="D9" s="6" t="n">
        <v>-88.5</v>
      </c>
      <c r="E9" s="6" t="n">
        <v>-61.9</v>
      </c>
      <c r="F9" s="6" t="n">
        <v>-48.4</v>
      </c>
      <c r="G9" s="6" t="n">
        <v>-16.8</v>
      </c>
      <c r="H9" s="6" t="n">
        <v>-28.6</v>
      </c>
      <c r="I9" s="6" t="n">
        <v>-26.4</v>
      </c>
      <c r="J9" s="6" t="n">
        <v>-29.5</v>
      </c>
      <c r="K9" s="6" t="n">
        <v>-20.5</v>
      </c>
      <c r="L9" s="6" t="n">
        <v>-13.8</v>
      </c>
      <c r="M9" s="6" t="n">
        <v>-4.6</v>
      </c>
      <c r="N9" s="6" t="n">
        <v>-2.2</v>
      </c>
      <c r="O9" s="6" t="n">
        <v>0</v>
      </c>
    </row>
    <row r="10">
      <c r="A10" s="5" t="inlineStr">
        <is>
          <t>Net cash generated from operating activities</t>
        </is>
      </c>
      <c r="B10" s="5" t="n">
        <v>370.6</v>
      </c>
      <c r="C10" s="5" t="n">
        <v>542.6</v>
      </c>
      <c r="D10" s="5" t="n">
        <v>451.8</v>
      </c>
      <c r="E10" s="5" t="n">
        <v>683.2</v>
      </c>
      <c r="F10" s="5" t="n">
        <v>81.09999999999999</v>
      </c>
      <c r="G10" s="5" t="n">
        <v>515.7</v>
      </c>
      <c r="H10" s="5" t="n">
        <v>359</v>
      </c>
      <c r="I10" s="5" t="n">
        <v>-337.3</v>
      </c>
      <c r="J10" s="5" t="n">
        <v>-220.6</v>
      </c>
      <c r="K10" s="5" t="n">
        <v>-195.1</v>
      </c>
      <c r="L10" s="5" t="n">
        <v>102.3</v>
      </c>
      <c r="M10" s="5" t="n">
        <v>283.5</v>
      </c>
      <c r="N10" s="5" t="n">
        <v>-10</v>
      </c>
      <c r="O10" s="5" t="n">
        <v>380.5</v>
      </c>
    </row>
    <row r="11">
      <c r="A11" s="5" t="inlineStr">
        <is>
          <t>Cash flows from investing activities</t>
        </is>
      </c>
      <c r="B11" s="6" t="n"/>
      <c r="C11" s="6" t="n"/>
      <c r="D11" s="6" t="n"/>
      <c r="E11" s="6" t="n"/>
      <c r="F11" s="6" t="n"/>
      <c r="G11" s="6" t="n"/>
      <c r="H11" s="6" t="n"/>
      <c r="I11" s="6" t="n"/>
      <c r="J11" s="6" t="n"/>
      <c r="K11" s="6" t="n"/>
      <c r="L11" s="6" t="n"/>
      <c r="M11" s="6" t="n"/>
      <c r="N11" s="6" t="n"/>
      <c r="O11" s="6" t="n"/>
    </row>
    <row r="12">
      <c r="A12" s="6" t="inlineStr">
        <is>
          <t>Purchase of investment securities</t>
        </is>
      </c>
      <c r="B12" s="6" t="n">
        <v>-1254</v>
      </c>
      <c r="C12" s="6" t="n">
        <v>-691.3</v>
      </c>
      <c r="D12" s="6" t="n">
        <v>-308.4</v>
      </c>
      <c r="E12" s="6" t="n">
        <v>-204.8</v>
      </c>
      <c r="F12" s="6" t="n">
        <v>-231.9</v>
      </c>
      <c r="G12" s="6" t="n">
        <v>-176.8</v>
      </c>
      <c r="H12" s="6" t="n">
        <v>-105.9</v>
      </c>
      <c r="I12" s="6" t="n">
        <v>-139.7</v>
      </c>
      <c r="J12" s="6" t="n"/>
      <c r="K12" s="6" t="n"/>
      <c r="L12" s="6" t="n"/>
      <c r="M12" s="6" t="n"/>
      <c r="N12" s="6" t="n"/>
      <c r="O12" s="6" t="n"/>
    </row>
    <row r="13">
      <c r="A13" s="6" t="inlineStr">
        <is>
          <t>Disposals and maturities of investment securities</t>
        </is>
      </c>
      <c r="B13" s="6" t="n">
        <v>441.1</v>
      </c>
      <c r="C13" s="6" t="n">
        <v>60.7</v>
      </c>
      <c r="D13" s="6" t="n">
        <v>194.8</v>
      </c>
      <c r="E13" s="6" t="n">
        <v>92.90000000000001</v>
      </c>
      <c r="F13" s="6" t="n">
        <v>37.7</v>
      </c>
      <c r="G13" s="6" t="n"/>
      <c r="H13" s="6" t="n"/>
      <c r="I13" s="6" t="n"/>
      <c r="J13" s="6" t="n"/>
      <c r="K13" s="6" t="n"/>
      <c r="L13" s="6" t="n"/>
      <c r="M13" s="6" t="n"/>
      <c r="N13" s="6" t="n"/>
      <c r="O13" s="6" t="n"/>
    </row>
    <row r="14">
      <c r="A14" s="6" t="inlineStr">
        <is>
          <t>Purchase of property, plant and equipment</t>
        </is>
      </c>
      <c r="B14" s="6" t="n">
        <v>-0.3</v>
      </c>
      <c r="C14" s="6" t="n">
        <v>-2.3</v>
      </c>
      <c r="D14" s="6" t="n">
        <v>-0.7</v>
      </c>
      <c r="E14" s="6" t="n">
        <v>-0.4</v>
      </c>
      <c r="F14" s="6" t="n">
        <v>-0.7</v>
      </c>
      <c r="G14" s="6" t="n">
        <v>-0.8</v>
      </c>
      <c r="H14" s="6" t="n">
        <v>-3.3</v>
      </c>
      <c r="I14" s="6" t="n">
        <v>-3.4</v>
      </c>
      <c r="J14" s="6" t="n">
        <v>-1.6</v>
      </c>
      <c r="K14" s="6" t="n">
        <v>-0.2</v>
      </c>
      <c r="L14" s="6" t="n">
        <v>-14.8</v>
      </c>
      <c r="M14" s="6" t="n">
        <v>-11</v>
      </c>
      <c r="N14" s="6" t="n">
        <v>-11.2</v>
      </c>
      <c r="O14" s="6" t="n">
        <v>-12.5</v>
      </c>
    </row>
    <row r="15">
      <c r="A15" s="6" t="inlineStr">
        <is>
          <t>Sale of property, plant and equipment</t>
        </is>
      </c>
      <c r="B15" s="6" t="n"/>
      <c r="C15" s="6" t="n"/>
      <c r="D15" s="6" t="n"/>
      <c r="E15" s="6" t="n"/>
      <c r="F15" s="6" t="n"/>
      <c r="G15" s="6" t="n"/>
      <c r="H15" s="6" t="n"/>
      <c r="I15" s="6" t="n"/>
      <c r="J15" s="6" t="n"/>
      <c r="K15" s="6" t="n">
        <v>0.2</v>
      </c>
      <c r="L15" s="6" t="n">
        <v>2.7</v>
      </c>
      <c r="M15" s="6" t="n">
        <v>2.2</v>
      </c>
      <c r="N15" s="6" t="n">
        <v>3.8</v>
      </c>
      <c r="O15" s="6" t="n">
        <v>3.8</v>
      </c>
    </row>
    <row r="16">
      <c r="A16" s="6" t="inlineStr">
        <is>
          <t>Purchase and development of intangible assets</t>
        </is>
      </c>
      <c r="B16" s="6" t="n">
        <v>-17.2</v>
      </c>
      <c r="C16" s="6" t="n">
        <v>-13.3</v>
      </c>
      <c r="D16" s="6" t="n">
        <v>-13.4</v>
      </c>
      <c r="E16" s="6" t="n">
        <v>-9.1</v>
      </c>
      <c r="F16" s="6" t="n">
        <v>-7.1</v>
      </c>
      <c r="G16" s="6" t="n">
        <v>-7.5</v>
      </c>
      <c r="H16" s="6" t="n">
        <v>-8</v>
      </c>
      <c r="I16" s="6" t="n">
        <v>-9.800000000000001</v>
      </c>
      <c r="J16" s="6" t="n">
        <v>-9.800000000000001</v>
      </c>
      <c r="K16" s="6" t="n">
        <v>-7.9</v>
      </c>
      <c r="L16" s="6" t="n">
        <v>-6.1</v>
      </c>
      <c r="M16" s="6" t="n">
        <v>-3.9</v>
      </c>
      <c r="N16" s="6" t="n">
        <v>-1.1</v>
      </c>
      <c r="O16" s="6" t="n"/>
    </row>
    <row r="17">
      <c r="A17" s="6" t="inlineStr">
        <is>
          <t>Investment in right-of-use asset</t>
        </is>
      </c>
      <c r="B17" s="6" t="n">
        <v>0</v>
      </c>
      <c r="C17" s="6" t="n">
        <v>-6.9</v>
      </c>
      <c r="D17" s="6" t="n">
        <v>0</v>
      </c>
      <c r="E17" s="6" t="n">
        <v>0</v>
      </c>
      <c r="F17" s="6" t="n">
        <v>0</v>
      </c>
      <c r="G17" s="6" t="n"/>
      <c r="H17" s="6" t="n"/>
      <c r="I17" s="6" t="n"/>
      <c r="J17" s="6" t="n"/>
      <c r="K17" s="6" t="n"/>
      <c r="L17" s="6" t="n"/>
      <c r="M17" s="6" t="n"/>
      <c r="N17" s="6" t="n"/>
      <c r="O17" s="6" t="n"/>
    </row>
    <row r="18">
      <c r="A18" s="6" t="inlineStr">
        <is>
          <t>Purchase of subsidiary/shares in associate</t>
        </is>
      </c>
      <c r="B18" s="6" t="n">
        <v>-64.8</v>
      </c>
      <c r="C18" s="6" t="n">
        <v>-22</v>
      </c>
      <c r="D18" s="6" t="n">
        <v>-44.7</v>
      </c>
      <c r="E18" s="6" t="n">
        <v>0</v>
      </c>
      <c r="F18" s="6" t="n">
        <v>-5.5</v>
      </c>
      <c r="G18" s="6" t="n"/>
      <c r="H18" s="6" t="n"/>
      <c r="I18" s="6" t="n">
        <v>-6</v>
      </c>
      <c r="J18" s="6" t="n"/>
      <c r="K18" s="6" t="n"/>
      <c r="L18" s="6" t="n"/>
      <c r="M18" s="6" t="n">
        <v>-76.3</v>
      </c>
      <c r="N18" s="6" t="n">
        <v>0</v>
      </c>
      <c r="O18" s="6" t="n">
        <v>-15.3</v>
      </c>
    </row>
    <row r="19">
      <c r="A19" s="6" t="inlineStr">
        <is>
          <t>Disposal of subsidiary, net of cash disposed</t>
        </is>
      </c>
      <c r="B19" s="6" t="n"/>
      <c r="C19" s="6" t="n"/>
      <c r="D19" s="6" t="n"/>
      <c r="E19" s="6" t="n"/>
      <c r="F19" s="6" t="n"/>
      <c r="G19" s="6" t="n"/>
      <c r="H19" s="6" t="n">
        <v>28.4</v>
      </c>
      <c r="I19" s="6" t="n"/>
      <c r="J19" s="6" t="n"/>
      <c r="K19" s="6" t="n"/>
      <c r="L19" s="6" t="n"/>
      <c r="M19" s="6" t="n"/>
      <c r="N19" s="6" t="n"/>
      <c r="O19" s="6" t="n"/>
    </row>
    <row r="20">
      <c r="A20" s="5" t="inlineStr">
        <is>
          <t>Net cash (used by)/generated from investing activities</t>
        </is>
      </c>
      <c r="B20" s="5" t="n">
        <v>-895.2</v>
      </c>
      <c r="C20" s="5" t="n">
        <v>-675.1</v>
      </c>
      <c r="D20" s="5" t="n">
        <v>-172.4</v>
      </c>
      <c r="E20" s="5" t="n">
        <v>-121.4</v>
      </c>
      <c r="F20" s="5" t="n">
        <v>-207.5</v>
      </c>
      <c r="G20" s="5" t="n">
        <v>-185.1</v>
      </c>
      <c r="H20" s="5" t="n">
        <v>-88.8</v>
      </c>
      <c r="I20" s="5" t="n">
        <v>-158.9</v>
      </c>
      <c r="J20" s="5" t="n">
        <v>-11.4</v>
      </c>
      <c r="K20" s="5" t="n">
        <v>-7.9</v>
      </c>
      <c r="L20" s="5" t="n">
        <v>-18.2</v>
      </c>
      <c r="M20" s="5" t="n">
        <v>-89</v>
      </c>
      <c r="N20" s="5" t="n">
        <v>-8.5</v>
      </c>
      <c r="O20" s="5" t="n">
        <v>-24</v>
      </c>
    </row>
    <row r="21">
      <c r="A21" s="5" t="inlineStr">
        <is>
          <t>Cash flows from financing activities</t>
        </is>
      </c>
      <c r="B21" s="6" t="n"/>
      <c r="C21" s="6" t="n"/>
      <c r="D21" s="6" t="n"/>
      <c r="E21" s="6" t="n"/>
      <c r="F21" s="6" t="n"/>
      <c r="G21" s="6" t="n"/>
      <c r="H21" s="6" t="n"/>
      <c r="I21" s="6" t="n"/>
      <c r="J21" s="6" t="n"/>
      <c r="K21" s="6" t="n"/>
      <c r="L21" s="6" t="n"/>
      <c r="M21" s="6" t="n"/>
      <c r="N21" s="6" t="n"/>
      <c r="O21" s="6" t="n"/>
    </row>
    <row r="22">
      <c r="A22" s="6" t="inlineStr">
        <is>
          <t>Increase/(decrease) in amounts due to banks</t>
        </is>
      </c>
      <c r="B22" s="6" t="n">
        <v>58.5</v>
      </c>
      <c r="C22" s="6" t="n">
        <v>-25.5</v>
      </c>
      <c r="D22" s="6" t="n">
        <v>-101.1</v>
      </c>
      <c r="E22" s="6" t="n">
        <v>298</v>
      </c>
      <c r="F22" s="6" t="n">
        <v>385.2</v>
      </c>
      <c r="G22" s="6" t="n">
        <v>-66.09999999999999</v>
      </c>
      <c r="H22" s="6" t="n">
        <v>-147.8</v>
      </c>
      <c r="I22" s="6" t="n">
        <v>422.1</v>
      </c>
      <c r="J22" s="6" t="n">
        <v>459.6</v>
      </c>
      <c r="K22" s="6" t="n">
        <v>107.8</v>
      </c>
      <c r="L22" s="6" t="n">
        <v>-1.1</v>
      </c>
      <c r="M22" s="6" t="n">
        <v>16.4</v>
      </c>
      <c r="N22" s="6" t="n">
        <v>24.6</v>
      </c>
      <c r="O22" s="6" t="n"/>
    </row>
    <row r="23">
      <c r="A23" s="6" t="inlineStr">
        <is>
          <t>Issue of debt securities</t>
        </is>
      </c>
      <c r="B23" s="6" t="n">
        <v>0</v>
      </c>
      <c r="C23" s="6" t="n">
        <v>0</v>
      </c>
      <c r="D23" s="6" t="n">
        <v>0</v>
      </c>
      <c r="E23" s="6" t="n">
        <v>0</v>
      </c>
      <c r="F23" s="6" t="n">
        <v>0</v>
      </c>
      <c r="G23" s="6" t="n"/>
      <c r="H23" s="6" t="n"/>
      <c r="I23" s="6" t="n"/>
      <c r="J23" s="6" t="n"/>
      <c r="K23" s="6" t="n"/>
      <c r="L23" s="6" t="n"/>
      <c r="M23" s="6" t="n"/>
      <c r="N23" s="6" t="n"/>
      <c r="O23" s="6" t="n"/>
    </row>
    <row r="24">
      <c r="A24" s="6" t="inlineStr">
        <is>
          <t>Repurchase and redemption of debt securities</t>
        </is>
      </c>
      <c r="B24" s="6" t="n">
        <v>0</v>
      </c>
      <c r="C24" s="6" t="n">
        <v>0</v>
      </c>
      <c r="D24" s="6" t="n">
        <v>0</v>
      </c>
      <c r="E24" s="6" t="n">
        <v>0</v>
      </c>
      <c r="F24" s="6" t="n">
        <v>0</v>
      </c>
      <c r="G24" s="6" t="n"/>
      <c r="H24" s="6" t="n"/>
      <c r="I24" s="6" t="n"/>
      <c r="J24" s="6" t="n"/>
      <c r="K24" s="6" t="n"/>
      <c r="L24" s="6" t="n"/>
      <c r="M24" s="6" t="n"/>
      <c r="N24" s="6" t="n"/>
      <c r="O24" s="6" t="n"/>
    </row>
    <row r="25">
      <c r="A25" s="6" t="inlineStr">
        <is>
          <t>Costs arising on issue of debt securities</t>
        </is>
      </c>
      <c r="B25" s="6" t="n">
        <v>0</v>
      </c>
      <c r="C25" s="6" t="n">
        <v>0</v>
      </c>
      <c r="D25" s="6" t="n">
        <v>0</v>
      </c>
      <c r="E25" s="6" t="n">
        <v>0</v>
      </c>
      <c r="F25" s="6" t="n">
        <v>0</v>
      </c>
      <c r="G25" s="6" t="n"/>
      <c r="H25" s="6" t="n"/>
      <c r="I25" s="6" t="n"/>
      <c r="J25" s="6" t="n"/>
      <c r="K25" s="6" t="n"/>
      <c r="L25" s="6" t="n"/>
      <c r="M25" s="6" t="n"/>
      <c r="N25" s="6" t="n"/>
      <c r="O25" s="6" t="n"/>
    </row>
    <row r="26">
      <c r="A26" s="6" t="inlineStr">
        <is>
          <t>Payment of principal portion of lease liabilities</t>
        </is>
      </c>
      <c r="B26" s="6" t="n">
        <v>-0.6</v>
      </c>
      <c r="C26" s="6" t="n">
        <v>-1.5</v>
      </c>
      <c r="D26" s="6" t="n">
        <v>-1.9</v>
      </c>
      <c r="E26" s="6" t="n">
        <v>-2.1</v>
      </c>
      <c r="F26" s="6" t="n">
        <v>-1.8</v>
      </c>
      <c r="G26" s="6" t="n">
        <v>-1.2</v>
      </c>
      <c r="H26" s="6" t="n">
        <v>-0.8</v>
      </c>
      <c r="I26" s="6" t="n"/>
      <c r="J26" s="6" t="n"/>
      <c r="K26" s="6" t="n"/>
      <c r="L26" s="6" t="n"/>
      <c r="M26" s="6" t="n"/>
      <c r="N26" s="6" t="n"/>
      <c r="O26" s="6" t="n"/>
    </row>
    <row r="27">
      <c r="A27" s="6" t="inlineStr">
        <is>
          <t>Issue of subordinated debt</t>
        </is>
      </c>
      <c r="B27" s="6" t="n">
        <v>75</v>
      </c>
      <c r="C27" s="6" t="n">
        <v>0</v>
      </c>
      <c r="D27" s="6" t="n">
        <v>90</v>
      </c>
      <c r="E27" s="6" t="n">
        <v>0</v>
      </c>
      <c r="F27" s="6" t="n">
        <v>0</v>
      </c>
      <c r="G27" s="6" t="n">
        <v>75</v>
      </c>
      <c r="H27" s="6" t="n">
        <v>20</v>
      </c>
      <c r="I27" s="6" t="n"/>
      <c r="J27" s="6" t="n"/>
      <c r="K27" s="6" t="n"/>
      <c r="L27" s="6" t="n">
        <v>75</v>
      </c>
      <c r="M27" s="6" t="n"/>
      <c r="N27" s="6" t="n">
        <v>27.1</v>
      </c>
      <c r="O27" s="6" t="n"/>
    </row>
    <row r="28">
      <c r="A28" s="6" t="inlineStr">
        <is>
          <t>Redemption of subordinated debt</t>
        </is>
      </c>
      <c r="B28" s="6" t="n">
        <v>-76.5</v>
      </c>
      <c r="C28" s="6" t="n">
        <v>-20</v>
      </c>
      <c r="D28" s="6" t="n">
        <v>0</v>
      </c>
      <c r="E28" s="6" t="n">
        <v>0</v>
      </c>
      <c r="F28" s="6" t="n">
        <v>0</v>
      </c>
      <c r="G28" s="6" t="n">
        <v>-75</v>
      </c>
      <c r="H28" s="6" t="n"/>
      <c r="I28" s="6" t="n"/>
      <c r="J28" s="6" t="n"/>
      <c r="K28" s="6" t="n"/>
      <c r="L28" s="6" t="n">
        <v>-33.7</v>
      </c>
      <c r="M28" s="6" t="n"/>
      <c r="N28" s="6" t="n"/>
      <c r="O28" s="6" t="n"/>
    </row>
    <row r="29">
      <c r="A29" s="6" t="inlineStr">
        <is>
          <t>Costs arising on issue of subordinated debt</t>
        </is>
      </c>
      <c r="B29" s="6" t="n">
        <v>-0.9</v>
      </c>
      <c r="C29" s="6" t="n">
        <v>0</v>
      </c>
      <c r="D29" s="6" t="n">
        <v>-1</v>
      </c>
      <c r="E29" s="6" t="n">
        <v>0</v>
      </c>
      <c r="F29" s="6" t="n">
        <v>0</v>
      </c>
      <c r="G29" s="6" t="n"/>
      <c r="H29" s="6" t="n"/>
      <c r="I29" s="6" t="n"/>
      <c r="J29" s="6" t="n"/>
      <c r="K29" s="6" t="n"/>
      <c r="L29" s="6" t="n"/>
      <c r="M29" s="6" t="n"/>
      <c r="N29" s="6" t="n"/>
      <c r="O29" s="6" t="n"/>
    </row>
    <row r="30">
      <c r="A30" s="6" t="inlineStr">
        <is>
          <t>Net proceeds from issue of share capital</t>
        </is>
      </c>
      <c r="B30" s="6" t="n">
        <v>50</v>
      </c>
      <c r="C30" s="6" t="n">
        <v>0</v>
      </c>
      <c r="D30" s="6" t="n">
        <v>0</v>
      </c>
      <c r="E30" s="6" t="n">
        <v>0</v>
      </c>
      <c r="F30" s="6" t="n">
        <v>0</v>
      </c>
      <c r="G30" s="6" t="n"/>
      <c r="H30" s="6" t="n"/>
      <c r="I30" s="6" t="n"/>
      <c r="J30" s="6" t="n"/>
      <c r="K30" s="6" t="n"/>
      <c r="L30" s="6" t="n">
        <v>82</v>
      </c>
      <c r="M30" s="6" t="n">
        <v>45.5</v>
      </c>
      <c r="N30" s="6" t="n">
        <v>17</v>
      </c>
      <c r="O30" s="6" t="n">
        <v>75</v>
      </c>
    </row>
    <row r="31">
      <c r="A31" s="6" t="inlineStr">
        <is>
          <t>Decrease/(increase) in deemed loan due from structured entities</t>
        </is>
      </c>
      <c r="B31" s="6" t="n">
        <v>78.2</v>
      </c>
      <c r="C31" s="6" t="n">
        <v>83.09999999999999</v>
      </c>
      <c r="D31" s="6" t="n">
        <v>-120.7</v>
      </c>
      <c r="E31" s="6" t="n">
        <v>0</v>
      </c>
      <c r="F31" s="6" t="n">
        <v>0</v>
      </c>
      <c r="G31" s="6" t="n"/>
      <c r="H31" s="6" t="n"/>
      <c r="I31" s="6" t="n"/>
      <c r="J31" s="6" t="n"/>
      <c r="K31" s="6" t="n"/>
      <c r="L31" s="6" t="n"/>
      <c r="M31" s="6" t="n"/>
      <c r="N31" s="6" t="n"/>
      <c r="O31" s="6" t="n"/>
    </row>
    <row r="32">
      <c r="A32" s="6" t="inlineStr">
        <is>
          <t>(Decrease)/increase in deemed loan due to structured entities</t>
        </is>
      </c>
      <c r="B32" s="6" t="n">
        <v>-12.8</v>
      </c>
      <c r="C32" s="6" t="n">
        <v>119.3</v>
      </c>
      <c r="D32" s="6" t="n">
        <v>136.2</v>
      </c>
      <c r="E32" s="6" t="n">
        <v>-269.8</v>
      </c>
      <c r="F32" s="6" t="n">
        <v>134.6</v>
      </c>
      <c r="G32" s="6" t="n">
        <v>-18</v>
      </c>
      <c r="H32" s="6" t="n">
        <v>286.2</v>
      </c>
      <c r="I32" s="6" t="n"/>
      <c r="J32" s="6" t="n"/>
      <c r="K32" s="6" t="n"/>
      <c r="L32" s="6" t="n"/>
      <c r="M32" s="6" t="n"/>
      <c r="N32" s="6" t="n"/>
      <c r="O32" s="6" t="n"/>
    </row>
    <row r="33">
      <c r="A33" s="6" t="inlineStr">
        <is>
          <t>Increase in deemed loan due from structured entities</t>
        </is>
      </c>
      <c r="B33" s="6" t="n">
        <v>0</v>
      </c>
      <c r="C33" s="6" t="n">
        <v>0</v>
      </c>
      <c r="D33" s="6" t="n">
        <v>0</v>
      </c>
      <c r="E33" s="6" t="n">
        <v>-93.40000000000001</v>
      </c>
      <c r="F33" s="6" t="n">
        <v>0</v>
      </c>
      <c r="G33" s="6" t="n"/>
      <c r="H33" s="6" t="n"/>
      <c r="I33" s="6" t="n"/>
      <c r="J33" s="6" t="n"/>
      <c r="K33" s="6" t="n"/>
      <c r="L33" s="6" t="n"/>
      <c r="M33" s="6" t="n"/>
      <c r="N33" s="6" t="n"/>
      <c r="O33" s="6" t="n"/>
    </row>
    <row r="34">
      <c r="A34" s="6" t="inlineStr">
        <is>
          <t>Capital contribution</t>
        </is>
      </c>
      <c r="B34" s="6" t="n">
        <v>0</v>
      </c>
      <c r="C34" s="6" t="n">
        <v>0</v>
      </c>
      <c r="D34" s="6" t="n">
        <v>14.3</v>
      </c>
      <c r="E34" s="6" t="n">
        <v>0</v>
      </c>
      <c r="F34" s="6" t="n">
        <v>0</v>
      </c>
      <c r="G34" s="6" t="n"/>
      <c r="H34" s="6" t="n"/>
      <c r="I34" s="6" t="n"/>
      <c r="J34" s="6" t="n"/>
      <c r="K34" s="6" t="n"/>
      <c r="L34" s="6" t="n"/>
      <c r="M34" s="6" t="n"/>
      <c r="N34" s="6" t="n"/>
      <c r="O34" s="6" t="n"/>
    </row>
    <row r="35">
      <c r="A35" s="6" t="inlineStr">
        <is>
          <t>Coupon paid to holders of capital securities</t>
        </is>
      </c>
      <c r="B35" s="6" t="n">
        <v>-15.1</v>
      </c>
      <c r="C35" s="6" t="n">
        <v>-15.1</v>
      </c>
      <c r="D35" s="6" t="n">
        <v>-16.9</v>
      </c>
      <c r="E35" s="6" t="n">
        <v>-8.800000000000001</v>
      </c>
      <c r="F35" s="6" t="n">
        <v>-9.800000000000001</v>
      </c>
      <c r="G35" s="6" t="n">
        <v>-9.800000000000001</v>
      </c>
      <c r="H35" s="6" t="n">
        <v>-9.800000000000001</v>
      </c>
      <c r="I35" s="6" t="n">
        <v>-9.800000000000001</v>
      </c>
      <c r="J35" s="6" t="n"/>
      <c r="K35" s="6" t="n"/>
      <c r="L35" s="6" t="n"/>
      <c r="M35" s="6" t="n"/>
      <c r="N35" s="6" t="n"/>
      <c r="O35" s="6" t="n"/>
    </row>
    <row r="36">
      <c r="A36" s="6" t="inlineStr">
        <is>
          <t>Payment of subordinated debt interest</t>
        </is>
      </c>
      <c r="B36" s="6" t="n"/>
      <c r="C36" s="6" t="n"/>
      <c r="D36" s="6" t="n"/>
      <c r="E36" s="6" t="n"/>
      <c r="F36" s="6" t="n"/>
      <c r="G36" s="6" t="n"/>
      <c r="H36" s="6" t="n"/>
      <c r="I36" s="6" t="n">
        <v>-6.4</v>
      </c>
      <c r="J36" s="6" t="n">
        <v>-6.4</v>
      </c>
      <c r="K36" s="6" t="n">
        <v>-5.3</v>
      </c>
      <c r="L36" s="6" t="n"/>
      <c r="M36" s="6" t="n"/>
      <c r="N36" s="6" t="n"/>
      <c r="O36" s="6" t="n"/>
    </row>
    <row r="37">
      <c r="A37" s="6" t="inlineStr">
        <is>
          <t>Net proceeds from issue of capital securities</t>
        </is>
      </c>
      <c r="B37" s="6" t="n"/>
      <c r="C37" s="6" t="n"/>
      <c r="D37" s="6" t="n"/>
      <c r="E37" s="6" t="n"/>
      <c r="F37" s="6" t="n"/>
      <c r="G37" s="6" t="n"/>
      <c r="H37" s="6" t="n"/>
      <c r="I37" s="6" t="n"/>
      <c r="J37" s="6" t="n">
        <v>125</v>
      </c>
      <c r="K37" s="6" t="n"/>
      <c r="L37" s="6" t="n"/>
      <c r="M37" s="6" t="n"/>
      <c r="N37" s="6" t="n"/>
      <c r="O37" s="6" t="n"/>
    </row>
    <row r="38">
      <c r="A38" s="6" t="inlineStr">
        <is>
          <t>Dividends paid to parent/shareholders</t>
        </is>
      </c>
      <c r="B38" s="6" t="n"/>
      <c r="C38" s="6" t="n"/>
      <c r="D38" s="6" t="n"/>
      <c r="E38" s="6" t="n"/>
      <c r="F38" s="6" t="n"/>
      <c r="G38" s="6" t="n"/>
      <c r="H38" s="6" t="n"/>
      <c r="I38" s="6" t="n"/>
      <c r="J38" s="6" t="n">
        <v>-19.5</v>
      </c>
      <c r="K38" s="6" t="n"/>
      <c r="L38" s="6" t="n">
        <v>-4</v>
      </c>
      <c r="M38" s="6" t="n"/>
      <c r="N38" s="6" t="n"/>
      <c r="O38" s="6" t="n"/>
    </row>
    <row r="39">
      <c r="A39" s="6" t="inlineStr">
        <is>
          <t>Repayment of Centric third party funding</t>
        </is>
      </c>
      <c r="B39" s="6" t="n"/>
      <c r="C39" s="6" t="n"/>
      <c r="D39" s="6" t="n"/>
      <c r="E39" s="6" t="n"/>
      <c r="F39" s="6" t="n"/>
      <c r="G39" s="6" t="n"/>
      <c r="H39" s="6" t="n"/>
      <c r="I39" s="6" t="n"/>
      <c r="J39" s="6" t="n"/>
      <c r="K39" s="6" t="n"/>
      <c r="L39" s="6" t="n"/>
      <c r="M39" s="6" t="n">
        <v>-138.2</v>
      </c>
      <c r="N39" s="6" t="n"/>
      <c r="O39" s="6" t="n"/>
    </row>
    <row r="40">
      <c r="A40" s="6" t="inlineStr">
        <is>
          <t>Repayment of SAF third party funding</t>
        </is>
      </c>
      <c r="B40" s="6" t="n"/>
      <c r="C40" s="6" t="n"/>
      <c r="D40" s="6" t="n"/>
      <c r="E40" s="6" t="n"/>
      <c r="F40" s="6" t="n"/>
      <c r="G40" s="6" t="n"/>
      <c r="H40" s="6" t="n"/>
      <c r="I40" s="6" t="n"/>
      <c r="J40" s="6" t="n"/>
      <c r="K40" s="6" t="n"/>
      <c r="L40" s="6" t="n"/>
      <c r="M40" s="6" t="n"/>
      <c r="N40" s="6" t="n"/>
      <c r="O40" s="6" t="n">
        <v>-325.1</v>
      </c>
    </row>
    <row r="41">
      <c r="A41" s="5" t="inlineStr">
        <is>
          <t>Net cash (used by)/generated from financing activities</t>
        </is>
      </c>
      <c r="B41" s="5" t="n">
        <v>155.8</v>
      </c>
      <c r="C41" s="5" t="n">
        <v>140.3</v>
      </c>
      <c r="D41" s="5" t="n">
        <v>-1.1</v>
      </c>
      <c r="E41" s="5" t="n">
        <v>-76.09999999999999</v>
      </c>
      <c r="F41" s="5" t="n">
        <v>508.2</v>
      </c>
      <c r="G41" s="5" t="n">
        <v>-95.09999999999999</v>
      </c>
      <c r="H41" s="5" t="n">
        <v>147.8</v>
      </c>
      <c r="I41" s="5" t="n">
        <v>405.9</v>
      </c>
      <c r="J41" s="5" t="n">
        <v>558.7</v>
      </c>
      <c r="K41" s="5" t="n">
        <v>102.5</v>
      </c>
      <c r="L41" s="5" t="n">
        <v>118.2</v>
      </c>
      <c r="M41" s="5" t="n">
        <v>-76.3</v>
      </c>
      <c r="N41" s="5" t="n">
        <v>68.7</v>
      </c>
      <c r="O41" s="5" t="n">
        <v>-250.1</v>
      </c>
    </row>
    <row r="42">
      <c r="A42" s="5" t="inlineStr">
        <is>
          <t>Net (decrease)/increase in cash and cash equivalents</t>
        </is>
      </c>
      <c r="B42" s="5" t="n">
        <v>-368.8</v>
      </c>
      <c r="C42" s="5" t="n">
        <v>7.8</v>
      </c>
      <c r="D42" s="5" t="n">
        <v>278.3</v>
      </c>
      <c r="E42" s="5" t="n">
        <v>485.7</v>
      </c>
      <c r="F42" s="5" t="n">
        <v>381.8</v>
      </c>
      <c r="G42" s="5" t="n">
        <v>235.5</v>
      </c>
      <c r="H42" s="5" t="n">
        <v>418</v>
      </c>
      <c r="I42" s="5" t="n">
        <v>-90.3</v>
      </c>
      <c r="J42" s="5" t="n">
        <v>326.7</v>
      </c>
      <c r="K42" s="5" t="n">
        <v>-100.5</v>
      </c>
      <c r="L42" s="5" t="n">
        <v>202.7</v>
      </c>
      <c r="M42" s="5" t="n">
        <v>118.2</v>
      </c>
      <c r="N42" s="5" t="n">
        <v>50.2</v>
      </c>
      <c r="O42" s="5" t="n">
        <v>106.4</v>
      </c>
    </row>
    <row r="43">
      <c r="A43" s="6" t="inlineStr">
        <is>
          <t>Cash and cash equivalents as at 1 January</t>
        </is>
      </c>
      <c r="B43" s="6" t="n">
        <v>2493.5</v>
      </c>
      <c r="C43" s="6" t="n">
        <v>2485.7</v>
      </c>
      <c r="D43" s="6" t="n">
        <v>2207.4</v>
      </c>
      <c r="E43" s="6" t="n">
        <v>1721.7</v>
      </c>
      <c r="F43" s="6" t="n">
        <v>1339.9</v>
      </c>
      <c r="G43" s="6" t="n">
        <v>1104.4</v>
      </c>
      <c r="H43" s="6" t="n">
        <v>686.4</v>
      </c>
      <c r="I43" s="6" t="n">
        <v>776.7</v>
      </c>
      <c r="J43" s="6" t="n">
        <v>450</v>
      </c>
      <c r="K43" s="6" t="n">
        <v>550.5</v>
      </c>
      <c r="L43" s="6" t="n">
        <v>347.8</v>
      </c>
      <c r="M43" s="6" t="n">
        <v>229.6</v>
      </c>
      <c r="N43" s="6" t="n">
        <v>180.1</v>
      </c>
      <c r="O43" s="6" t="n">
        <v>73.7</v>
      </c>
    </row>
    <row r="44">
      <c r="A44" s="5" t="inlineStr">
        <is>
          <t>Cash and cash equivalents as at 31 December</t>
        </is>
      </c>
      <c r="B44" s="5" t="n">
        <v>2124.7</v>
      </c>
      <c r="C44" s="5" t="n">
        <v>2493.5</v>
      </c>
      <c r="D44" s="5" t="n">
        <v>2485.7</v>
      </c>
      <c r="E44" s="5" t="n">
        <v>2207.4</v>
      </c>
      <c r="F44" s="5" t="n">
        <v>1721.7</v>
      </c>
      <c r="G44" s="5" t="n">
        <v>1339.9</v>
      </c>
      <c r="H44" s="5" t="n">
        <v>1104.4</v>
      </c>
      <c r="I44" s="5" t="n">
        <v>686.4</v>
      </c>
      <c r="J44" s="5" t="n">
        <v>776.7</v>
      </c>
      <c r="K44" s="5" t="n">
        <v>450</v>
      </c>
      <c r="L44" s="5" t="n">
        <v>550.5</v>
      </c>
      <c r="M44" s="5" t="n">
        <v>347.8</v>
      </c>
      <c r="N44" s="5" t="n">
        <v>230.3</v>
      </c>
      <c r="O44" s="5" t="n">
        <v>180.1</v>
      </c>
    </row>
    <row r="46" ht="230" customHeight="1">
      <c r="A46" s="8" t="inlineStr">
        <is>
          <t xml:space="preserve">Sources - Shawbrook Bank Limited Company cash flows (£m):
FY2025: Annual Report and Accounts cash-flow statement, p.114, https://www.shawbrook.co.uk/media/vkkpos4a/shawbrook-bank-limited-2025-annual-report-accounts.pdf
FY2024: Annual Report and Accounts cash-flow statement, p.107, https://www.shawbrook.co.uk/media/jhujcnzh/shawbrook-bank-limited-2024-annual-report-accounts.pdf
FY2023: Annual Report and Accounts cash-flow statement, p.111, https://www.shawbrook.co.uk/media/iflapcxl/shawbrook-bank-ltd-annual-report-and-accounts-2023.pdf
FY2022: Annual Report and Accounts cash-flow statement, p.98, https://www.shawbrook.co.uk/media/wttf0kdt/2022-shawbrook-bank-limited-annual-report-and-accounts.pdf
FY2021: Annual Report and Accounts cash-flow statement, p.106, https://www.shawbrook.co.uk/media/ft4eulfp/shawbrook-bank-ara-2021.pdf
FY2020: Annual Report and Accounts 2020, p.111 - https://www.shawbrook.co.uk/media/bvvovq0d/shawbrook-bank-limited-annual-report-2020.pdf
FY2019: Annual Report and Accounts 2019, p.90 - https://www.shawbrook.co.uk/media/pqtkvwzv/sb-limited-ara-2019.pdf
FY2018: Annual Report and Accounts 2018 (Companies House filing), p.80 - https://find-and-update.company-information.service.gov.uk/company/00388466/filing-history (Shawbrook Bank Limited Annual Report and Accounts 2018, as filed with Companies House)
FY2017: Annual Report and Accounts 2017 (Companies House filing), p.37 - https://find-and-update.company-information.service.gov.uk/company/00388466/filing-history (Shawbrook Bank Limited Annual Report and Accounts 2017, as filed with Companies House)
FY2016: Annual Report and Accounts 2016 (Companies House filing), p.41 - https://find-and-update.company-information.service.gov.uk/company/00388466/filing-history (Shawbrook Bank Limited Annual Report and Accounts 2016, as filed with Companies House)
FY2015: Annual Report and Accounts 2015 (Companies House filing), p.53 - https://find-and-update.company-information.service.gov.uk/company/00388466/filing-history (Shawbrook Bank Limited Annual Report and Accounts 2015, as filed with Companies House)
FY2014: Annual Report and Accounts 2014 (Companies House filing) - https://find-and-update.company-information.service.gov.uk/company/00388466/filing-history (Shawbrook Bank Limited Annual Report and Accounts 2014, as filed with Companies House)
FY2013: Annual Report and Accounts 2013 (Companies House filing), Company Statement of Cashflows p.20 -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p.35, which agrees exactly on the investing- and financing-activities subtotals but diverges on the operating-activities subtotal (-£10.5m there vs -£10.0m per FY2013's own report) and hence on the cash-and-cash-equivalents balances themselves (see note below) - both attributable to the same reclassification.
FY2012: Annual Report and Accounts 2012 (Companies House filing), Company Statement of Cashflows p.21 - https://find-and-update.company-information.service.gov.uk/company/00388466/filing-history (Shawbrook Bank Limited Annual Report and Accounts 2012, as filed with Companies House, filed 20 May 2013)
NOTE ON A GENUINE, DOCUMENTED CASH-FLOW-CHAIN BREAK AT THE FY2013/FY2014 BOUNDARY: FY2013's own Annual Report </t>
        </is>
      </c>
    </row>
  </sheetData>
  <mergeCells count="1">
    <mergeCell ref="A46:O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Asset Quality</t>
        </is>
      </c>
    </row>
    <row r="2">
      <c r="A2" s="2" t="inlineStr">
        <is>
          <t>Group basis, £m. Loans and advances to customers at amortised cost only - see source note for why this doesn't tie exactly to the Balance Sheet's broader 'Loans and advances to customers' line. FY2021-FY2024 include POCI loans within the Stage 3 total (each year's own report's footnote gives the POCI split; FY2025 is the first year POCI is broken out as its own row). A genuine methodology break occurs at 1 January 2018 (IFRS 9 adoption): FY2014-FY2017 use a pre-IFRS 9 product-based (loan receivables/finance lease receivables/instalment credit receivables, IAS 39) gross/allowance/net breakdown shown in its own section below, not comparable to the IFRS 9 stage-based rows above, which are blank for those years.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Loans and advances to customers at amortised cost, by IFRS 9 stage (£m)</t>
        </is>
      </c>
      <c r="B4" s="6" t="n"/>
      <c r="C4" s="6" t="n"/>
      <c r="D4" s="6" t="n"/>
      <c r="E4" s="6" t="n"/>
      <c r="F4" s="6" t="n"/>
      <c r="G4" s="6" t="n"/>
      <c r="H4" s="6" t="n"/>
      <c r="I4" s="6" t="n"/>
      <c r="J4" s="6" t="n"/>
      <c r="K4" s="6" t="n"/>
      <c r="L4" s="6" t="n"/>
      <c r="M4" s="6" t="n"/>
    </row>
    <row r="5">
      <c r="A5" s="6" t="inlineStr">
        <is>
          <t>Gross loans - Stage 1</t>
        </is>
      </c>
      <c r="B5" s="6" t="n">
        <v>12235.5</v>
      </c>
      <c r="C5" s="6" t="n">
        <v>10276.9</v>
      </c>
      <c r="D5" s="6" t="n">
        <v>9281</v>
      </c>
      <c r="E5" s="6" t="n">
        <v>8279.5</v>
      </c>
      <c r="F5" s="6" t="n">
        <v>7315.7</v>
      </c>
      <c r="G5" s="6" t="n">
        <v>5410.9</v>
      </c>
      <c r="H5" s="6" t="n">
        <v>5847.8</v>
      </c>
      <c r="I5" s="6" t="n">
        <v>4922</v>
      </c>
      <c r="J5" s="6" t="n"/>
      <c r="K5" s="6" t="n"/>
      <c r="L5" s="6" t="n"/>
      <c r="M5" s="6" t="n"/>
    </row>
    <row r="6">
      <c r="A6" s="6" t="inlineStr">
        <is>
          <t>Gross loans - Stage 2</t>
        </is>
      </c>
      <c r="B6" s="6" t="n">
        <v>1064.7</v>
      </c>
      <c r="C6" s="6" t="n">
        <v>1023.3</v>
      </c>
      <c r="D6" s="6" t="n">
        <v>997.5</v>
      </c>
      <c r="E6" s="6" t="n">
        <v>897.3</v>
      </c>
      <c r="F6" s="6" t="n">
        <v>831.2</v>
      </c>
      <c r="G6" s="6" t="n">
        <v>1552.3</v>
      </c>
      <c r="H6" s="6" t="n">
        <v>716.6</v>
      </c>
      <c r="I6" s="6" t="n">
        <v>871.6</v>
      </c>
      <c r="J6" s="6" t="n"/>
      <c r="K6" s="6" t="n"/>
      <c r="L6" s="6" t="n"/>
      <c r="M6" s="6" t="n"/>
    </row>
    <row r="7">
      <c r="A7" s="6" t="inlineStr">
        <is>
          <t>Gross loans - Stage 3</t>
        </is>
      </c>
      <c r="B7" s="6" t="n">
        <v>474.7</v>
      </c>
      <c r="C7" s="6" t="n">
        <v>506.8</v>
      </c>
      <c r="D7" s="6" t="n">
        <v>352.1</v>
      </c>
      <c r="E7" s="6" t="n">
        <v>287.9</v>
      </c>
      <c r="F7" s="6" t="n">
        <v>221.6</v>
      </c>
      <c r="G7" s="6" t="n">
        <v>156.3</v>
      </c>
      <c r="H7" s="6" t="n">
        <v>125.6</v>
      </c>
      <c r="I7" s="6" t="n">
        <v>121.2</v>
      </c>
      <c r="J7" s="6" t="n"/>
      <c r="K7" s="6" t="n"/>
      <c r="L7" s="6" t="n"/>
      <c r="M7" s="6" t="n"/>
    </row>
    <row r="8">
      <c r="A8" s="6" t="inlineStr">
        <is>
          <t>Gross loans - POCI (purchased or originated credit-impaired)</t>
        </is>
      </c>
      <c r="B8" s="6" t="n">
        <v>40.3</v>
      </c>
      <c r="C8" s="6" t="n"/>
      <c r="D8" s="6" t="n"/>
      <c r="E8" s="6" t="n"/>
      <c r="F8" s="6" t="n"/>
      <c r="G8" s="6" t="n"/>
      <c r="H8" s="6" t="n"/>
      <c r="I8" s="6" t="n"/>
      <c r="J8" s="6" t="n"/>
      <c r="K8" s="6" t="n"/>
      <c r="L8" s="6" t="n"/>
      <c r="M8" s="6" t="n"/>
    </row>
    <row r="9">
      <c r="A9" s="5" t="inlineStr">
        <is>
          <t>Gross carrying amount</t>
        </is>
      </c>
      <c r="B9" s="5" t="n">
        <v>13815.2</v>
      </c>
      <c r="C9" s="5" t="n">
        <v>11807</v>
      </c>
      <c r="D9" s="5" t="n">
        <v>10630.6</v>
      </c>
      <c r="E9" s="5" t="n">
        <v>9464.700000000001</v>
      </c>
      <c r="F9" s="5" t="n">
        <v>8368.5</v>
      </c>
      <c r="G9" s="5" t="n">
        <v>7119.5</v>
      </c>
      <c r="H9" s="5" t="n">
        <v>6690</v>
      </c>
      <c r="I9" s="5" t="n">
        <v>5914.8</v>
      </c>
      <c r="J9" s="5" t="n"/>
      <c r="K9" s="5" t="n"/>
      <c r="L9" s="5" t="n"/>
      <c r="M9" s="5" t="n"/>
    </row>
    <row r="10">
      <c r="A10" s="6" t="inlineStr">
        <is>
          <t>Loss allowance - Stage 1</t>
        </is>
      </c>
      <c r="B10" s="6" t="n">
        <v>-59.8</v>
      </c>
      <c r="C10" s="6" t="n">
        <v>-48</v>
      </c>
      <c r="D10" s="6" t="n">
        <v>-47.3</v>
      </c>
      <c r="E10" s="6" t="n">
        <v>-43.2</v>
      </c>
      <c r="F10" s="6" t="n">
        <v>-25.8</v>
      </c>
      <c r="G10" s="6" t="n">
        <v>-29</v>
      </c>
      <c r="H10" s="6" t="n">
        <v>-20.6</v>
      </c>
      <c r="I10" s="6" t="n">
        <v>-23.5</v>
      </c>
      <c r="J10" s="6" t="n"/>
      <c r="K10" s="6" t="n"/>
      <c r="L10" s="6" t="n"/>
      <c r="M10" s="6" t="n"/>
    </row>
    <row r="11">
      <c r="A11" s="6" t="inlineStr">
        <is>
          <t>Loss allowance - Stage 2</t>
        </is>
      </c>
      <c r="B11" s="6" t="n">
        <v>-31.5</v>
      </c>
      <c r="C11" s="6" t="n">
        <v>-33.4</v>
      </c>
      <c r="D11" s="6" t="n">
        <v>-29</v>
      </c>
      <c r="E11" s="6" t="n">
        <v>-22.6</v>
      </c>
      <c r="F11" s="6" t="n">
        <v>-15.2</v>
      </c>
      <c r="G11" s="6" t="n">
        <v>-34.4</v>
      </c>
      <c r="H11" s="6" t="n">
        <v>-14.2</v>
      </c>
      <c r="I11" s="6" t="n">
        <v>-20.7</v>
      </c>
      <c r="J11" s="6" t="n"/>
      <c r="K11" s="6" t="n"/>
      <c r="L11" s="6" t="n"/>
      <c r="M11" s="6" t="n"/>
    </row>
    <row r="12">
      <c r="A12" s="6" t="inlineStr">
        <is>
          <t>Loss allowance - Stage 3</t>
        </is>
      </c>
      <c r="B12" s="6" t="n">
        <v>-93.3</v>
      </c>
      <c r="C12" s="6" t="n">
        <v>-78</v>
      </c>
      <c r="D12" s="6" t="n">
        <v>-53.9</v>
      </c>
      <c r="E12" s="6" t="n">
        <v>-46</v>
      </c>
      <c r="F12" s="6" t="n">
        <v>-35</v>
      </c>
      <c r="G12" s="6" t="n">
        <v>-28.9</v>
      </c>
      <c r="H12" s="6" t="n">
        <v>-26.3</v>
      </c>
      <c r="I12" s="6" t="n">
        <v>-23.6</v>
      </c>
      <c r="J12" s="6" t="n"/>
      <c r="K12" s="6" t="n"/>
      <c r="L12" s="6" t="n"/>
      <c r="M12" s="6" t="n"/>
    </row>
    <row r="13">
      <c r="A13" s="6" t="inlineStr">
        <is>
          <t>Loss allowance - POCI</t>
        </is>
      </c>
      <c r="B13" s="6" t="n">
        <v>-4.8</v>
      </c>
      <c r="C13" s="6" t="n"/>
      <c r="D13" s="6" t="n"/>
      <c r="E13" s="6" t="n"/>
      <c r="F13" s="6" t="n"/>
      <c r="G13" s="6" t="n"/>
      <c r="H13" s="6" t="n"/>
      <c r="I13" s="6" t="n"/>
      <c r="J13" s="6" t="n"/>
      <c r="K13" s="6" t="n"/>
      <c r="L13" s="6" t="n"/>
      <c r="M13" s="6" t="n"/>
    </row>
    <row r="14">
      <c r="A14" s="5" t="inlineStr">
        <is>
          <t>Loss allowance</t>
        </is>
      </c>
      <c r="B14" s="5" t="n">
        <v>-189.4</v>
      </c>
      <c r="C14" s="5" t="n">
        <v>-159.4</v>
      </c>
      <c r="D14" s="5" t="n">
        <v>-130.2</v>
      </c>
      <c r="E14" s="5" t="n">
        <v>-111.8</v>
      </c>
      <c r="F14" s="5" t="n">
        <v>-76</v>
      </c>
      <c r="G14" s="5" t="n">
        <v>-92.3</v>
      </c>
      <c r="H14" s="5" t="n">
        <v>-61.1</v>
      </c>
      <c r="I14" s="5" t="n">
        <v>-67.8</v>
      </c>
      <c r="J14" s="5" t="n"/>
      <c r="K14" s="5" t="n"/>
      <c r="L14" s="5" t="n"/>
      <c r="M14" s="5" t="n"/>
    </row>
    <row r="15">
      <c r="A15" s="5" t="inlineStr">
        <is>
          <t>Net carrying amount</t>
        </is>
      </c>
      <c r="B15" s="5" t="n">
        <v>13625.8</v>
      </c>
      <c r="C15" s="5" t="n">
        <v>11647.6</v>
      </c>
      <c r="D15" s="5" t="n">
        <v>10500.4</v>
      </c>
      <c r="E15" s="5" t="n">
        <v>9352.9</v>
      </c>
      <c r="F15" s="5" t="n">
        <v>8292.5</v>
      </c>
      <c r="G15" s="5" t="n">
        <v>7027.2</v>
      </c>
      <c r="H15" s="5" t="n">
        <v>6628.9</v>
      </c>
      <c r="I15" s="5" t="n">
        <v>5847</v>
      </c>
      <c r="J15" s="5" t="n"/>
      <c r="K15" s="5" t="n"/>
      <c r="L15" s="5" t="n"/>
      <c r="M15" s="5" t="n"/>
    </row>
    <row r="16">
      <c r="A16" s="5" t="inlineStr">
        <is>
          <t>Derived ratios (IFRS 9 basis)</t>
        </is>
      </c>
      <c r="B16" s="6" t="n"/>
      <c r="C16" s="6" t="n"/>
      <c r="D16" s="6" t="n"/>
      <c r="E16" s="6" t="n"/>
      <c r="F16" s="6" t="n"/>
      <c r="G16" s="6" t="n"/>
      <c r="H16" s="6" t="n"/>
      <c r="I16" s="6" t="n"/>
      <c r="J16" s="6" t="n"/>
      <c r="K16" s="6" t="n"/>
      <c r="L16" s="6" t="n"/>
      <c r="M16" s="6" t="n"/>
    </row>
    <row r="17">
      <c r="A17" s="6" t="inlineStr">
        <is>
          <t>NPL ratio (Stage 3 gross / Total gross loans)</t>
        </is>
      </c>
      <c r="B17" s="6" t="inlineStr">
        <is>
          <t>3.44%</t>
        </is>
      </c>
      <c r="C17" s="6" t="inlineStr">
        <is>
          <t>4.29%</t>
        </is>
      </c>
      <c r="D17" s="6" t="inlineStr">
        <is>
          <t>3.31%</t>
        </is>
      </c>
      <c r="E17" s="6" t="inlineStr">
        <is>
          <t>3.04%</t>
        </is>
      </c>
      <c r="F17" s="6" t="inlineStr">
        <is>
          <t>2.65%</t>
        </is>
      </c>
      <c r="G17" s="6" t="inlineStr">
        <is>
          <t>2.20%</t>
        </is>
      </c>
      <c r="H17" s="6" t="inlineStr">
        <is>
          <t>1.88%</t>
        </is>
      </c>
      <c r="I17" s="6" t="inlineStr">
        <is>
          <t>2.05%</t>
        </is>
      </c>
      <c r="J17" s="6" t="n"/>
      <c r="K17" s="6" t="n"/>
      <c r="L17" s="6" t="n"/>
      <c r="M17" s="6" t="n"/>
    </row>
    <row r="18">
      <c r="A18" s="6" t="inlineStr">
        <is>
          <t>Stage 3 coverage ratio (Stage 3 loss allowance / Stage 3 gross)</t>
        </is>
      </c>
      <c r="B18" s="6" t="inlineStr">
        <is>
          <t>19.65%</t>
        </is>
      </c>
      <c r="C18" s="6" t="inlineStr">
        <is>
          <t>15.39%</t>
        </is>
      </c>
      <c r="D18" s="6" t="inlineStr">
        <is>
          <t>15.31%</t>
        </is>
      </c>
      <c r="E18" s="6" t="inlineStr">
        <is>
          <t>15.98%</t>
        </is>
      </c>
      <c r="F18" s="6" t="inlineStr">
        <is>
          <t>15.79%</t>
        </is>
      </c>
      <c r="G18" s="6" t="inlineStr">
        <is>
          <t>18.49%</t>
        </is>
      </c>
      <c r="H18" s="6" t="inlineStr">
        <is>
          <t>20.94%</t>
        </is>
      </c>
      <c r="I18" s="6" t="inlineStr">
        <is>
          <t>19.47%</t>
        </is>
      </c>
      <c r="J18" s="6" t="n"/>
      <c r="K18" s="6" t="n"/>
      <c r="L18" s="6" t="n"/>
      <c r="M18" s="6" t="n"/>
    </row>
    <row r="19">
      <c r="A19" s="5" t="inlineStr">
        <is>
          <t>Loans and advances to customers, product basis (pre-IFRS 9 / IAS 39; £m) - superseded by the IFRS 9 stage basis above from 1 January 2018</t>
        </is>
      </c>
      <c r="B19" s="6" t="n"/>
      <c r="C19" s="6" t="n"/>
      <c r="D19" s="6" t="n"/>
      <c r="E19" s="6" t="n"/>
      <c r="F19" s="6" t="n"/>
      <c r="G19" s="6" t="n"/>
      <c r="H19" s="6" t="n"/>
      <c r="I19" s="6" t="n"/>
      <c r="J19" s="6" t="n"/>
      <c r="K19" s="6" t="n"/>
      <c r="L19" s="6" t="n"/>
      <c r="M19" s="6" t="n"/>
    </row>
    <row r="20">
      <c r="A20" s="6" t="inlineStr">
        <is>
          <t>Gross carrying amount (product basis)</t>
        </is>
      </c>
      <c r="B20" s="6" t="n"/>
      <c r="C20" s="6" t="n"/>
      <c r="D20" s="6" t="n"/>
      <c r="E20" s="6" t="n"/>
      <c r="F20" s="6" t="n"/>
      <c r="G20" s="6" t="n"/>
      <c r="H20" s="6" t="n"/>
      <c r="I20" s="6" t="n"/>
      <c r="J20" s="6" t="n">
        <v>4830.8</v>
      </c>
      <c r="K20" s="6" t="n">
        <v>4074.8</v>
      </c>
      <c r="L20" s="6" t="n">
        <v>3332.6</v>
      </c>
      <c r="M20" s="6" t="n">
        <v>2295.9</v>
      </c>
    </row>
    <row r="21">
      <c r="A21" s="6" t="inlineStr">
        <is>
          <t>Loss allowance (product basis)</t>
        </is>
      </c>
      <c r="B21" s="6" t="n"/>
      <c r="C21" s="6" t="n"/>
      <c r="D21" s="6" t="n"/>
      <c r="E21" s="6" t="n"/>
      <c r="F21" s="6" t="n"/>
      <c r="G21" s="6" t="n"/>
      <c r="H21" s="6" t="n"/>
      <c r="I21" s="6" t="n"/>
      <c r="J21" s="6" t="n">
        <v>-31.5</v>
      </c>
      <c r="K21" s="6" t="n">
        <v>-24.4</v>
      </c>
      <c r="L21" s="6" t="n">
        <v>-13.5</v>
      </c>
      <c r="M21" s="6" t="n">
        <v>-11.1</v>
      </c>
    </row>
    <row r="22">
      <c r="A22" s="5" t="inlineStr">
        <is>
          <t>Net carrying amount (product basis)</t>
        </is>
      </c>
      <c r="B22" s="5" t="n"/>
      <c r="C22" s="5" t="n"/>
      <c r="D22" s="5" t="n"/>
      <c r="E22" s="5" t="n"/>
      <c r="F22" s="5" t="n"/>
      <c r="G22" s="5" t="n"/>
      <c r="H22" s="5" t="n"/>
      <c r="I22" s="5" t="n"/>
      <c r="J22" s="5" t="n">
        <v>4799.3</v>
      </c>
      <c r="K22" s="5" t="n">
        <v>4050.4</v>
      </c>
      <c r="L22" s="5" t="n">
        <v>3319.1</v>
      </c>
      <c r="M22" s="5" t="n">
        <v>2284.7</v>
      </c>
    </row>
    <row r="24" ht="240" customHeight="1">
      <c r="A24" s="8" t="inlineStr">
        <is>
          <t>Sources - Shawbrook Bank Limited, 'loans and advances to customers at amortised cost' stage analysis:
FY2025: Annual Report and Accounts 2025, p.54 - https://www.shawbrook.co.uk/media/vkkpos4a/shawbrook-bank-limited-2025-annual-report-accounts.pdf
FY2024: Annual Report and Accounts 2024, p.52 - https://www.shawbrook.co.uk/media/jhujcnzh/shawbrook-bank-limited-2024-annual-report-accounts.pdf
FY2023: Annual Report and Accounts 2023, p.52 (independently cross-checked against the FY2023 comparative column in Annual Report and Accounts 2024, p.52, which agrees exactly) - https://www.shawbrook.co.uk/media/iflapcxl/shawbrook-bank-ltd-annual-report-and-accounts-2023.pdf
FY2022: Annual Report and Accounts 2022, p.49 (independently cross-checked against the FY2022 restated comparative in Annual Report and Accounts 2023, p.52, which agrees on Total figures) - https://www.shawbrook.co.uk/media/wttf0kdt/2022-shawbrook-bank-limited-annual-report-and-accounts.pdf
FY2021: Annual Report and Accounts 2021, p.56-57 (independently cross-checked against the FY2021 comparative column in Annual Report and Accounts 2022, p.48, which agrees exactly) - https://www.shawbrook.co.uk/media/ft4eulfp/shawbrook-bank-ara-2021.pdf
FY2020: Annual Report and Accounts 2020, IFRS 9 stage analysis by segment, p.44-45 - https://www.shawbrook.co.uk/media/bvvovq0d/shawbrook-bank-limited-annual-report-2020.pdf
FY2019: Annual Report and Accounts 2019, IFRS 9 stage analysis by segment, p.44 - https://www.shawbrook.co.uk/media/pqtkvwzv/sb-limited-ara-2019.pdf
FY2018 (Stage basis): Annual Report and Accounts 2019, FY2018 comparative column in the IFRS 9 stage analysis by segment, p.44 - https://www.shawbrook.co.uk/media/pqtkvwzv/sb-limited-ara-2019.pdf. FY2018's own Annual Report (Companies House filing) does not itself break out this stage analysis at Bank level in a form usable here; using the following year's disclosed comparative (same methodology, no restatement) avoids leaving a first-transition-year gap.
FY2017 product-basis: Annual Report and Accounts 2017 (Companies House filing), Note 12, p.55-56 - https://find-and-update.company-information.service.gov.uk/company/00388466/filing-history (Shawbrook Bank Limited Annual Report and Accounts 2017, as filed with Companies House)
FY2016 product-basis: Annual Report and Accounts 2016 (Companies House filing), impairment allowance movement note, p.44-45 - https://find-and-update.company-information.service.gov.uk/company/00388466/filing-history (Shawbrook Bank Limited Annual Report and Accounts 2016, as filed with Companies House)
FY2015 product-basis: Annual Report and Accounts 2015 (Companies House filing), Note 13/14, p.68-71 - https://find-and-update.company-information.service.gov.uk/company/00388466/filing-history (Shawbrook Bank Limited Annual Report and Accounts 2015, as filed with Companies House)
FY2014 product-basis: Annual Report and Accounts 2014 (Companies House filing), loans and advances to customers note - https://find-and-update.company-information.service.gov.uk/company/00388466/filing-history (Shawbrook Bank Limited Annual Report and Accounts 2014, as filed with Companies House)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deliberately left blank: the Annual Report's 147.2% is a point-in-time year-end ratio, not the 12-month-average UK KM1 measure used for FY2022-FY2024 here (the same Annual Report reports FY2024 as 176.0% against the 265.0% recorded here from that year's Bank Pillar 3)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FY2014/FY2015 Bank Total RWAs are derived from the Bank's own disclosed Pillar 1 capital requirement (Credit risk + Operational risk) grossed up at 8%, per each year's own Pillar 3 disclosure; FY2015's derived total (£2,173.8m) is used in preference to the £2,175.9m 'Total risk exposure amount' shown in that year's countercyclical-buffer table, which nets to the same figure within rounding.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t>
        </is>
      </c>
    </row>
  </sheetData>
  <mergeCells count="1">
    <mergeCell ref="A24:M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Capital</t>
        </is>
      </c>
      <c r="B4" s="6" t="n">
        <v>1495.7</v>
      </c>
      <c r="C4" s="6" t="n">
        <v>1297</v>
      </c>
      <c r="D4" s="6" t="n">
        <v>1122.7</v>
      </c>
      <c r="E4" s="6" t="n">
        <v>951.5</v>
      </c>
      <c r="F4" s="6" t="n">
        <v>775.7</v>
      </c>
      <c r="G4" s="6" t="n">
        <v>663.8</v>
      </c>
      <c r="H4" s="6" t="n">
        <v>594.4</v>
      </c>
      <c r="I4" s="6" t="n">
        <v>514.4</v>
      </c>
      <c r="J4" s="6" t="n">
        <v>431.4</v>
      </c>
      <c r="K4" s="6" t="n">
        <v>367.6</v>
      </c>
      <c r="L4" s="6" t="n">
        <v>308.6</v>
      </c>
      <c r="M4" s="6" t="n">
        <v>168.4</v>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12.4%</t>
        </is>
      </c>
      <c r="C4" s="6" t="inlineStr">
        <is>
          <t>13.0%</t>
        </is>
      </c>
      <c r="D4" s="6" t="inlineStr">
        <is>
          <t>12.9%</t>
        </is>
      </c>
      <c r="E4" s="6" t="inlineStr">
        <is>
          <t>12.7%</t>
        </is>
      </c>
      <c r="F4" s="6" t="inlineStr">
        <is>
          <t>12.6%</t>
        </is>
      </c>
      <c r="G4" s="6" t="inlineStr">
        <is>
          <t>12.6%</t>
        </is>
      </c>
      <c r="H4" s="6" t="inlineStr">
        <is>
          <t>12.0%</t>
        </is>
      </c>
      <c r="I4" s="6" t="n"/>
      <c r="J4" s="6" t="n"/>
      <c r="K4" s="6" t="n"/>
      <c r="L4" s="6" t="inlineStr">
        <is>
          <t>14.2%</t>
        </is>
      </c>
      <c r="M4" s="6" t="inlineStr">
        <is>
          <t>11.5%</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FY2018-FY2016 blank: no Bank-level Total RWA is available those years (see Total RWAs note), so a CET1 ratio cannot be computed without a Group proxy. FY2015/FY2014 CET1 ratio equals the Bank's disclosed Tier 1 capital ratio, since CET1 = Tier 1 capital in both years (no Additional Tier 1 issued until FY2017).</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1620.7</v>
      </c>
      <c r="C4" s="6" t="n">
        <v>1422</v>
      </c>
      <c r="D4" s="6" t="n">
        <v>1247.7</v>
      </c>
      <c r="E4" s="6" t="n">
        <v>1076.5</v>
      </c>
      <c r="F4" s="6" t="n">
        <v>900.7</v>
      </c>
      <c r="G4" s="6" t="n">
        <v>788.8</v>
      </c>
      <c r="H4" s="6" t="n">
        <v>719.4</v>
      </c>
      <c r="I4" s="6" t="n">
        <v>639.4</v>
      </c>
      <c r="J4" s="6" t="n">
        <v>556.4</v>
      </c>
      <c r="K4" s="6" t="n">
        <v>367.6</v>
      </c>
      <c r="L4" s="6" t="n">
        <v>308.6</v>
      </c>
      <c r="M4" s="6" t="n">
        <v>168.4</v>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13.5%</t>
        </is>
      </c>
      <c r="C4" s="6" t="inlineStr">
        <is>
          <t>14.3%</t>
        </is>
      </c>
      <c r="D4" s="6" t="inlineStr">
        <is>
          <t>14.3%</t>
        </is>
      </c>
      <c r="E4" s="6" t="inlineStr">
        <is>
          <t>14.6%</t>
        </is>
      </c>
      <c r="F4" s="6" t="inlineStr">
        <is>
          <t>14.7%</t>
        </is>
      </c>
      <c r="G4" s="6" t="inlineStr">
        <is>
          <t>15.0%</t>
        </is>
      </c>
      <c r="H4" s="6" t="inlineStr">
        <is>
          <t>14.5%</t>
        </is>
      </c>
      <c r="I4" s="6" t="n"/>
      <c r="J4" s="6" t="n"/>
      <c r="K4" s="6" t="n"/>
      <c r="L4" s="6" t="inlineStr">
        <is>
          <t>14.2%</t>
        </is>
      </c>
      <c r="M4" s="6" t="inlineStr">
        <is>
          <t>11.5%</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FY2018-FY2016 blank: no Bank-level Total RWA is available those years (see Total RWAs note).</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1784.5</v>
      </c>
      <c r="C4" s="6" t="n">
        <v>1586.2</v>
      </c>
      <c r="D4" s="6" t="n">
        <v>1431.7</v>
      </c>
      <c r="E4" s="6" t="n">
        <v>1171.5</v>
      </c>
      <c r="F4" s="6" t="n">
        <v>995.7</v>
      </c>
      <c r="G4" s="6" t="n">
        <v>883.8</v>
      </c>
      <c r="H4" s="6" t="n">
        <v>814.3</v>
      </c>
      <c r="I4" s="6" t="n">
        <v>714.4</v>
      </c>
      <c r="J4" s="6" t="n">
        <v>642.4</v>
      </c>
      <c r="K4" s="6" t="n">
        <v>452.4</v>
      </c>
      <c r="L4" s="6" t="n">
        <v>388.2</v>
      </c>
      <c r="M4" s="6" t="n">
        <v>202.2</v>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14.9%</t>
        </is>
      </c>
      <c r="C4" s="6" t="inlineStr">
        <is>
          <t>15.9%</t>
        </is>
      </c>
      <c r="D4" s="6" t="inlineStr">
        <is>
          <t>16.4%</t>
        </is>
      </c>
      <c r="E4" s="6" t="inlineStr">
        <is>
          <t>15.9%</t>
        </is>
      </c>
      <c r="F4" s="6" t="inlineStr">
        <is>
          <t>16.2%</t>
        </is>
      </c>
      <c r="G4" s="6" t="inlineStr">
        <is>
          <t>16.8%</t>
        </is>
      </c>
      <c r="H4" s="6" t="inlineStr">
        <is>
          <t>16.4%</t>
        </is>
      </c>
      <c r="I4" s="6" t="n"/>
      <c r="J4" s="6" t="n"/>
      <c r="K4" s="6" t="n"/>
      <c r="L4" s="6" t="inlineStr">
        <is>
          <t>17.9%</t>
        </is>
      </c>
      <c r="M4" s="6" t="inlineStr">
        <is>
          <t>13.8%</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FY2018-FY2016 blank: no Bank-level Total RWA is available those years (see Total RWAs note).</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RWAs</t>
        </is>
      </c>
      <c r="B4" s="6" t="n">
        <v>12000.4</v>
      </c>
      <c r="C4" s="6" t="n">
        <v>9952.200000000001</v>
      </c>
      <c r="D4" s="6" t="n">
        <v>8707.299999999999</v>
      </c>
      <c r="E4" s="6" t="n">
        <v>7466.4</v>
      </c>
      <c r="F4" s="6" t="n">
        <v>6134</v>
      </c>
      <c r="G4" s="6" t="n">
        <v>5268.4</v>
      </c>
      <c r="H4" s="6" t="n">
        <v>4972.5</v>
      </c>
      <c r="I4" s="6" t="n"/>
      <c r="J4" s="6" t="n"/>
      <c r="K4" s="6" t="n"/>
      <c r="L4" s="6" t="n">
        <v>2175.9</v>
      </c>
      <c r="M4" s="6" t="n">
        <v>1460</v>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FY2016-FY2018 blank: those years' Pillar 3 disclosures give a Bank-level credit-risk RWA figure but never disclose a Bank-level operational-risk RWA component, so Total RWA cannot be assembled without substituting a Group figure - not done, per this workbook's convention. FY2019 uses the comparative column in the FY2020 Pillar 3 disclosure (the first year with a full Bank RWA-by-category table); FY2019's own document did not disclose this breakdown. FY2015/FY2014 are derived from the Bank's own disclosed Pillar 1 capital requirement (Credit risk + Operational risk) grossed up at 8%.</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RWA Breakdown</t>
        </is>
      </c>
    </row>
    <row r="2">
      <c r="A2" s="2" t="inlineStr">
        <is>
          <t>Bank-specific basis, £m. FY2025 comes from Shawbrook Bank Limited's own Annual Report and Accounts 2025, not a Pillar 3 document (the only FY2025 Pillar 3 publication is Shawbrook Group plc-only, post-listing, and is not substituted for Bank data) - its four risk categories map one-for-one onto the UK OV1 rows and its FY2024 column reproduces this sheet's FY2024 figures exactly; see source note. FY2022 uses the restated figures published in the FY2023 Pillar 3 disclosure (RWAs increased £80.6m on a CVA/CCR adjustment - see source note). FY2016-FY2018 blank - no Bank-level operational-risk RWA is disclosed those years. FY2015/FY2014 categories are derived from the Bank's own disclosed Pillar 1 capital requirement (Credit risk + Operational risk) grossed up at 8%, since no RWA-by-category template existed yet; no CCR/securitisation breakout is available at Bank level for those two years. All other populated years sum exactly to Total RWAs.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RWA by risk category (Pillar 3 UK OV1 template FY2022-FY2024; EU OV1 template FY2021; FY2025 from the Bank's own Annual Report 'Risk-weighted assets' table - see source note)</t>
        </is>
      </c>
      <c r="B4" s="6" t="n"/>
      <c r="C4" s="6" t="n"/>
      <c r="D4" s="6" t="n"/>
      <c r="E4" s="6" t="n"/>
      <c r="F4" s="6" t="n"/>
      <c r="G4" s="6" t="n"/>
      <c r="H4" s="6" t="n"/>
      <c r="I4" s="6" t="n"/>
      <c r="J4" s="6" t="n"/>
      <c r="K4" s="6" t="n"/>
      <c r="L4" s="6" t="n"/>
      <c r="M4" s="6" t="n"/>
    </row>
    <row r="5">
      <c r="A5" s="6" t="inlineStr">
        <is>
          <t>Credit risk (excluding CCR)</t>
        </is>
      </c>
      <c r="B5" s="6" t="n">
        <v>10739.3</v>
      </c>
      <c r="C5" s="6" t="n">
        <v>8925.4</v>
      </c>
      <c r="D5" s="6" t="n">
        <v>7942.9</v>
      </c>
      <c r="E5" s="6" t="n">
        <v>6768</v>
      </c>
      <c r="F5" s="6" t="n">
        <v>5582.3</v>
      </c>
      <c r="G5" s="6" t="n">
        <v>4748</v>
      </c>
      <c r="H5" s="6" t="n">
        <v>4519</v>
      </c>
      <c r="I5" s="6" t="n"/>
      <c r="J5" s="6" t="n"/>
      <c r="K5" s="6" t="n"/>
      <c r="L5" s="6" t="n">
        <v>2051.3</v>
      </c>
      <c r="M5" s="6" t="n">
        <v>1405</v>
      </c>
    </row>
    <row r="6">
      <c r="A6" s="6" t="inlineStr">
        <is>
          <t>Counterparty credit risk (CCR) - credit valuation adjustment</t>
        </is>
      </c>
      <c r="B6" s="6" t="n">
        <v>2.5</v>
      </c>
      <c r="C6" s="6" t="n">
        <v>4.2</v>
      </c>
      <c r="D6" s="6" t="n">
        <v>2.7</v>
      </c>
      <c r="E6" s="6" t="n">
        <v>65.09999999999999</v>
      </c>
      <c r="F6" s="6" t="n">
        <v>1</v>
      </c>
      <c r="G6" s="6" t="n">
        <v>2.6</v>
      </c>
      <c r="H6" s="6" t="n">
        <v>3.8</v>
      </c>
      <c r="I6" s="6" t="n"/>
      <c r="J6" s="6" t="n"/>
      <c r="K6" s="6" t="n"/>
      <c r="L6" s="6" t="n"/>
      <c r="M6" s="6" t="n"/>
    </row>
    <row r="7">
      <c r="A7" s="6" t="inlineStr">
        <is>
          <t>Securitisation exposures in the non-trading book (after the cap)</t>
        </is>
      </c>
      <c r="B7" s="6" t="n">
        <v>213.8</v>
      </c>
      <c r="C7" s="6" t="n">
        <v>117.3</v>
      </c>
      <c r="D7" s="6" t="n">
        <v>46.2</v>
      </c>
      <c r="E7" s="6" t="n">
        <v>31.8</v>
      </c>
      <c r="F7" s="6" t="n">
        <v>20.9</v>
      </c>
      <c r="G7" s="6" t="n">
        <v>15.9</v>
      </c>
      <c r="H7" s="6" t="n"/>
      <c r="I7" s="6" t="n"/>
      <c r="J7" s="6" t="n"/>
      <c r="K7" s="6" t="n"/>
      <c r="L7" s="6" t="n"/>
      <c r="M7" s="6" t="n"/>
    </row>
    <row r="8">
      <c r="A8" s="6" t="inlineStr">
        <is>
          <t>Operational risk</t>
        </is>
      </c>
      <c r="B8" s="6" t="n">
        <v>1044.8</v>
      </c>
      <c r="C8" s="6" t="n">
        <v>905.3</v>
      </c>
      <c r="D8" s="6" t="n">
        <v>715.5</v>
      </c>
      <c r="E8" s="6" t="n">
        <v>601.5</v>
      </c>
      <c r="F8" s="6" t="n">
        <v>529.8</v>
      </c>
      <c r="G8" s="6" t="n">
        <v>501.9</v>
      </c>
      <c r="H8" s="6" t="n">
        <v>449.7</v>
      </c>
      <c r="I8" s="6" t="n"/>
      <c r="J8" s="6" t="n"/>
      <c r="K8" s="6" t="n"/>
      <c r="L8" s="6" t="n">
        <v>122.5</v>
      </c>
      <c r="M8" s="6" t="n">
        <v>55</v>
      </c>
    </row>
    <row r="9">
      <c r="A9" s="5" t="inlineStr">
        <is>
          <t>Total RWAs</t>
        </is>
      </c>
      <c r="B9" s="5" t="n">
        <v>12000.4</v>
      </c>
      <c r="C9" s="5" t="n">
        <v>9952.200000000001</v>
      </c>
      <c r="D9" s="5" t="n">
        <v>8707.299999999999</v>
      </c>
      <c r="E9" s="5" t="n">
        <v>7466.4</v>
      </c>
      <c r="F9" s="5" t="n">
        <v>6134</v>
      </c>
      <c r="G9" s="5" t="n">
        <v>5268.4</v>
      </c>
      <c r="H9" s="5" t="n">
        <v>4972.5</v>
      </c>
      <c r="I9" s="5" t="n"/>
      <c r="J9" s="5" t="n"/>
      <c r="K9" s="5" t="n"/>
      <c r="L9" s="5" t="n">
        <v>2175.9</v>
      </c>
      <c r="M9" s="5" t="n">
        <v>1460</v>
      </c>
    </row>
    <row r="11" ht="220" customHeight="1">
      <c r="A11" s="8" t="inlineStr">
        <is>
          <t>Sources - Shawbrook Bank Limited, UK OV1 / EU OV1: Overview of risk-weighted exposure amounts:
FY2024: Pillar 3 Disclosures 2024, Table 11 (UK OV1), p.16 - https://www.shawbrook.co.uk/media/rzpdavyj/shawbrook-2024-pillar-3-disclosures.pdf
FY2023: Pillar 3 Disclosures 2023, Table 14 (UK OV1), p.19 - https://www.shawbrook.co.uk/media/wrpglj2h/shawbrook-pillar-3-disclosures-2023.pdf
FY2022 (restated): Pillar 3 Disclosures 2023, Table 14 (UK OV1, FY2022 restated comparative column), p.19 - RWAs restated from £7,385.8m to £7,466.4m to reflect a CVA/CCR adjustment on the Bank's structured entities' interest rate swap derivatives (footnote 1) - https://www.shawbrook.co.uk/media/wrpglj2h/shawbrook-pillar-3-disclosures-2023.pdf
FY2021: Pillar 3 Disclosures 2021, Appendix 4 ('Overview of risk-weighted assets (EU OV1) and minimum capital requirements under Pillar 1 for Shawbrook Bank Limited'), p.57 - independently cross-checked against Pillar 3 Disclosures 2022, Table 14's FY2021 comparative column, which agrees exactly - https://www.shawbrook.co.uk/media/hlbpmnjm/pillar-3-2021.pdf
FY2025: Shawbrook Bank Limited Annual Report and Accounts 2025, Risk Report - 'Principal risks: Market, liquidity and capital risk', 'Risk-weighted assets' table, p.91 - https://www.shawbrook.co.uk/media/vkkpos4a/shawbrook-bank-limited-2025-annual-report-accounts.pdf
  The FY2025 Pillar 3 publication (https://www.shawbrook.co.uk/media/w5chxn4q/shawbrook-pillar-3-disclosures-2025.pdf) is Shawbrook Group plc-only and is NOT used. The Annual Report's table splits credit risk by product (Real Estate 3,615.8; SME 4,389.7; Consumer Finance 743.0; Retail Mortgage Brands 1,768.9; Other 221.9) and prints its own 'Total credit risk' of 10,739.3 - reproduced here on the 'Credit risk (excluding CCR)' row because it is the same quantity as the UK OV1 row: the product sub-rows foot exactly to 10,739.3, and the table's remaining three lines are labelled identically to the OV1 rows ('Counterparty credit risk: credit valuation adjustment' 2.5; 'Securitisation exposures in the banking book' 213.8; 'Operational risk' 1,044.8), summing exactly to the disclosed Total risk-weighted assets of 12,000.4. BASIS CHECK: that same table's FY2024 column (credit risk 8,925.4; CVA 4.2; securitisation 117.3; operational risk 905.3; total 9,952.2) reproduces this sheet's Pillar 3-sourced FY2024 row values exactly, line for line, confirming the Annual Report table and the Bank UK OV1 template are the same measure on the same Bank (solo-consolidated) basis.
FY2020: Pillar 3 Disclosures 2020, Appendix 1 capital-composition table (Bank-level RWA by category), p.49 - https://www.shawbrook.co.uk/media/xexpjjkq/shawbrook-pillar-3-disclosures-2020.pdf
FY2019: Pillar 3 Disclosures 2020, Appendix 1, FY2019 comparative column, p.49 (FY2019's own Pillar 3 document did not itself disclose a Bank-level operational-risk RWA) - https://www.shawbrook.co.uk/media/xexpjjkq/shawbrook-pillar-3-disclosures-2020.pdf
FY2018/FY2017/FY2016: not applicable - see subtitle - https://www.shawbrook.co.uk/media/kfnfg0oe/shawbrook-pillar-3-disclosures-2018.pdf, https://www.shawbrook.co.uk/media/3lifgtxe/shawbrook-pillar-3-disclosures-2017.pdf, https://www.shawbrook.co.uk/media/1lhngswy/shawbrook-pillar-3-disclosures-2016.pdf
FY2015 (derived): Pillar 3 Disclosures 2015, Appendix 1 'Pillar 1 requirements' table, p.33 (Credit risk £164.1m, Operational risk £9.8m, each grossed up at 8%) - https://www.shawbrook.co.uk/media/wdvhqxsn/shawbrook-pillar-3-disclosures-2015.pdf
FY2014 (derived): Pillar 3 Disclosures 2014, Appendix 1 'Pillar 1 requirements' table, p.39-40 (Credit risk £112.4m, Operational risk £4.4m, each grossed up at 8%) - https://www.shawbrook.co.uk/media/qsxpg41l/shawbrook-pillar-3-disclosures-2014.pdf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deliberately left blank: the Annual Report's 147.2% is a point-in-time year-end ratio, not the 12-month-average UK KM1 measure used for FY2022-FY2024 here (the same Annual Report reports FY2024 as 176.0% against the 265.0% recorded here from that year's Bank Pillar 3)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FY2014/FY2015 Bank Total RWAs are derived from the Bank's own disclosed Pillar 1 capital requirement (Credit risk + Operational risk) grossed up at 8%, per each year's own Pillar 3 disclosure; FY2015's derived total (£2,173.8m) is used in preference to the £2,175.9m 'Total risk exposure amount' shown in that year's countercyclical-buffer table, which nets to the same figure within rounding.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t>
        </is>
      </c>
    </row>
  </sheetData>
  <mergeCells count="1">
    <mergeCell ref="A11:M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7.8%</t>
        </is>
      </c>
      <c r="C4" s="6" t="inlineStr">
        <is>
          <t>8.1%</t>
        </is>
      </c>
      <c r="D4" s="6" t="inlineStr">
        <is>
          <t>8.2%</t>
        </is>
      </c>
      <c r="E4" s="6" t="inlineStr">
        <is>
          <t>8.8%</t>
        </is>
      </c>
      <c r="F4" s="6" t="inlineStr">
        <is>
          <t>8.0%</t>
        </is>
      </c>
      <c r="G4" s="6" t="inlineStr">
        <is>
          <t>8.6%</t>
        </is>
      </c>
      <c r="H4" s="6" t="inlineStr">
        <is>
          <t>8.6%</t>
        </is>
      </c>
      <c r="I4" s="6" t="inlineStr">
        <is>
          <t>9.2%</t>
        </is>
      </c>
      <c r="J4" s="6" t="inlineStr">
        <is>
          <t>9.5%</t>
        </is>
      </c>
      <c r="K4" s="6" t="inlineStr">
        <is>
          <t>7.7%</t>
        </is>
      </c>
      <c r="L4" s="6" t="inlineStr">
        <is>
          <t>6.9%</t>
        </is>
      </c>
      <c r="M4" s="6" t="inlineStr">
        <is>
          <t>6.1%</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FY2022 uses the UK leverage framework effective 1 January 2022; FY2021 uses the prior basis and comparatives were not restated. FY2014-FY2020 each use that year's own Bank-specific leverage-ratio disclosure (methodology evolved gradually year to year under CRD IV/Basel III transitional rules).</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LCR</t>
        </is>
      </c>
      <c r="B4" s="6" t="n"/>
      <c r="C4" s="6" t="inlineStr">
        <is>
          <t>265.0%</t>
        </is>
      </c>
      <c r="D4" s="6" t="inlineStr">
        <is>
          <t>310.9%</t>
        </is>
      </c>
      <c r="E4" s="6" t="inlineStr">
        <is>
          <t>290.3%</t>
        </is>
      </c>
      <c r="F4" s="6" t="n"/>
      <c r="G4" s="6" t="n"/>
      <c r="H4" s="6" t="n"/>
      <c r="I4" s="6" t="n"/>
      <c r="J4" s="6" t="n"/>
      <c r="K4" s="6" t="n"/>
      <c r="L4" s="6" t="n"/>
      <c r="M4" s="6" t="n"/>
    </row>
    <row r="5" ht="60" customHeight="1">
      <c r="A5" s="7" t="inlineStr">
        <is>
          <t>Note: FY2025 DELIBERATELY LEFT BLANK - BASIS MISMATCH: the FY2025 Pillar 3 is Shawbrook Group plc-only (no Bank-level section), and although Shawbrook Bank Limited's own Annual Report and Accounts 2025 does state an LCR of 147.2% (2024: 176.0%), that is a different measure from the one in this series. The same Annual Report gives FY2024 as 176.0% where this workbook records 265.0% from the FY2024 Bank Pillar 3 - an 89-point gap for the same year and the same entity, because the Annual Report reports a point-in-time year-end LCR (liquidity buffer 2,975.8 / total net cash outflows 2,022.0 at 31 December 2025) while the Pillar 3 UK KM1 reports a 12-month average. Splicing 147.2% onto this series would produce a false year-on-year collapse, so it is omitted. Note this is the ONLY metric where the two bases disagree: CET1/Tier 1/Total capital, all three ratios, RWAs, leverage and NSFR all reproduce exactly. Bank-specific FY2021 LCR was not provided; Group data was not substituted. No Bank-specific LCR is disclosed for any of FY2014-FY2020 either - Group-only throughout.</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NSFR</t>
        </is>
      </c>
      <c r="B4" s="6" t="inlineStr">
        <is>
          <t>124.9%</t>
        </is>
      </c>
      <c r="C4" s="6" t="inlineStr">
        <is>
          <t>134.5%</t>
        </is>
      </c>
      <c r="D4" s="6" t="inlineStr">
        <is>
          <t>145.8%</t>
        </is>
      </c>
      <c r="E4" s="6" t="n"/>
      <c r="F4" s="6" t="n"/>
      <c r="G4" s="6" t="n"/>
      <c r="H4" s="6" t="n"/>
      <c r="I4" s="6" t="n"/>
      <c r="J4" s="6" t="n"/>
      <c r="K4" s="6" t="n"/>
      <c r="L4" s="6" t="n"/>
      <c r="M4" s="6" t="n"/>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The Annual Report 2025 states the FY2024 NSFR as 134.5%, exactly matching the figure already recorded here from the FY2024 Pillar 3, so the NSFR basis is unchanged. NSFR was not applicable in the FY2022 disclosure. No Bank-specific NSFR is disclosed for any of FY2014-FY2020 - Group-only throughout, and the UK had no binding NSFR requirement before 1 January 2022 (CRR II).</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n"/>
      <c r="C4" s="6" t="n"/>
      <c r="D4" s="6" t="n"/>
      <c r="E4" s="6" t="n"/>
      <c r="F4" s="6" t="n"/>
      <c r="G4" s="6" t="n"/>
      <c r="H4" s="6" t="n"/>
      <c r="I4" s="6" t="n"/>
      <c r="J4" s="6" t="n"/>
      <c r="K4" s="6" t="n"/>
      <c r="L4" s="6" t="n"/>
      <c r="M4" s="6" t="n"/>
    </row>
    <row r="5" ht="60" customHeight="1">
      <c r="A5" s="7" t="inlineStr">
        <is>
          <t>Note: No Bank-specific quantitative MREL ratio was disclosed in any year FY2014-FY2025; MREL itself did not apply to UK banks until several years into this window.</t>
        </is>
      </c>
    </row>
    <row r="7" ht="1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https://www.shawbrook.co.uk/media/xexpjjkq/shawbrook-pillar-3-disclosures-2020.pdf
FY2019: https://www.shawbrook.co.uk/media/2azlz2vz/shawbrook-pillar-3-disclosures-2019.pdf
FY2018: https://www.shawbrook.co.uk/media/kfnfg0oe/shawbrook-pillar-3-disclosures-2018.pdf
FY2017: https://www.shawbrook.co.uk/media/3lifgtxe/shawbrook-pillar-3-disclosures-2017.pdf
FY2016: https://www.shawbrook.co.uk/media/1lhngswy/shawbrook-pillar-3-disclosures-2016.pdf
FY2015: https://www.shawbrook.co.uk/media/wdvhqxsn/shawbrook-pillar-3-disclosures-2015.pdf
FY2014: https://www.shawbrook.co.uk/media/qsxpg41l/shawbrook-pillar-3-disclosures-2014.pdf
Blank cells mean not publicly disclosed/not applicable; FY2025 Group-only data is not used as a Bank proxy. FY2013/FY2012 are out of scope for this workbook's Pillar 3 sheets (see wayfinder ticket HD-072) and are simply blank, same as any other undisclosed year.</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2026-09-15T09:40:15Z</dcterms:created>
  <dcterms:modified xmlns:dcterms="http://purl.org/dc/terms/" xmlns:xsi="http://www.w3.org/2001/XMLSchema-instance" xsi:type="dcterms:W3CDTF">2026-09-15T09:40:15Z</dcterms:modified>
</cp:coreProperties>
</file>