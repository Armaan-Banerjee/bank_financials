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Reliance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Reliance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ser>
          <idx val="3"/>
          <order val="3"/>
          <tx>
            <strRef>
              <f>'Overview'!W16</f>
            </strRef>
          </tx>
          <spPr>
            <a:ln xmlns:a="http://schemas.openxmlformats.org/drawingml/2006/main">
              <a:prstDash val="solid"/>
            </a:ln>
          </spPr>
          <cat>
            <numRef>
              <f>'Overview'!$X$12:$AE$12</f>
            </numRef>
          </cat>
          <val>
            <numRef>
              <f>'Overview'!$X$16:$AE$16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Reliance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'Overview'!AH20</f>
            </strRef>
          </tx>
          <spPr>
            <a:ln xmlns:a="http://schemas.openxmlformats.org/drawingml/2006/main">
              <a:prstDash val="solid"/>
            </a:ln>
          </spPr>
          <cat>
            <numRef>
              <f>'Overview'!$AI$19:$AP$19</f>
            </numRef>
          </cat>
          <val>
            <numRef>
              <f>'Overview'!$AI$20:$AP$20</f>
            </numRef>
          </val>
        </ser>
        <ser>
          <idx val="1"/>
          <order val="1"/>
          <tx>
            <strRef>
              <f>'Overview'!AH21</f>
            </strRef>
          </tx>
          <spPr>
            <a:ln xmlns:a="http://schemas.openxmlformats.org/drawingml/2006/main">
              <a:prstDash val="solid"/>
            </a:ln>
          </spPr>
          <cat>
            <numRef>
              <f>'Overview'!$AI$19:$AP$19</f>
            </numRef>
          </cat>
          <val>
            <numRef>
              <f>'Overview'!$AI$21:$AP$21</f>
            </numRef>
          </val>
        </ser>
        <ser>
          <idx val="2"/>
          <order val="2"/>
          <tx>
            <strRef>
              <f>'Overview'!AH22</f>
            </strRef>
          </tx>
          <spPr>
            <a:ln xmlns:a="http://schemas.openxmlformats.org/drawingml/2006/main">
              <a:prstDash val="solid"/>
            </a:ln>
          </spPr>
          <cat>
            <numRef>
              <f>'Overview'!$AI$19:$AP$19</f>
            </numRef>
          </cat>
          <val>
            <numRef>
              <f>'Overview'!$AI$22:$AP$22</f>
            </numRef>
          </val>
        </ser>
        <ser>
          <idx val="3"/>
          <order val="3"/>
          <tx>
            <strRef>
              <f>'Overview'!AH23</f>
            </strRef>
          </tx>
          <spPr>
            <a:ln xmlns:a="http://schemas.openxmlformats.org/drawingml/2006/main">
              <a:prstDash val="solid"/>
            </a:ln>
          </spPr>
          <cat>
            <numRef>
              <f>'Overview'!$AI$19:$AP$19</f>
            </numRef>
          </cat>
          <val>
            <numRef>
              <f>'Overview'!$AI$23:$AP$23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Reliance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'Overview'!AS27</f>
            </strRef>
          </tx>
          <spPr>
            <a:ln xmlns:a="http://schemas.openxmlformats.org/drawingml/2006/main">
              <a:prstDash val="solid"/>
            </a:ln>
          </spPr>
          <cat>
            <numRef>
              <f>'Overview'!$AT$26:$BA$26</f>
            </numRef>
          </cat>
          <val>
            <numRef>
              <f>'Overview'!$AT$27:$BA$27</f>
            </numRef>
          </val>
        </ser>
        <ser>
          <idx val="1"/>
          <order val="1"/>
          <tx>
            <strRef>
              <f>'Overview'!AS28</f>
            </strRef>
          </tx>
          <spPr>
            <a:ln xmlns:a="http://schemas.openxmlformats.org/drawingml/2006/main">
              <a:prstDash val="solid"/>
            </a:ln>
          </spPr>
          <cat>
            <numRef>
              <f>'Overview'!$AT$26:$BA$26</f>
            </numRef>
          </cat>
          <val>
            <numRef>
              <f>'Overview'!$AT$28:$BA$28</f>
            </numRef>
          </val>
        </ser>
        <ser>
          <idx val="2"/>
          <order val="2"/>
          <tx>
            <strRef>
              <f>'Overview'!AS29</f>
            </strRef>
          </tx>
          <spPr>
            <a:ln xmlns:a="http://schemas.openxmlformats.org/drawingml/2006/main">
              <a:prstDash val="solid"/>
            </a:ln>
          </spPr>
          <cat>
            <numRef>
              <f>'Overview'!$AT$26:$BA$26</f>
            </numRef>
          </cat>
          <val>
            <numRef>
              <f>'Overview'!$AT$29:$BA$29</f>
            </numRef>
          </val>
        </ser>
        <ser>
          <idx val="3"/>
          <order val="3"/>
          <tx>
            <strRef>
              <f>'Overview'!AS30</f>
            </strRef>
          </tx>
          <spPr>
            <a:ln xmlns:a="http://schemas.openxmlformats.org/drawingml/2006/main">
              <a:prstDash val="solid"/>
            </a:ln>
          </spPr>
          <cat>
            <numRef>
              <f>'Overview'!$AT$26:$BA$26</f>
            </numRef>
          </cat>
          <val>
            <numRef>
              <f>'Overview'!$AT$30:$BA$30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Reliance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Reliance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M5" t="inlineStr">
        <is>
          <t>FY2019</t>
        </is>
      </c>
      <c r="N5" t="inlineStr">
        <is>
          <t>FY2020</t>
        </is>
      </c>
      <c r="O5" t="inlineStr">
        <is>
          <t>FY2021</t>
        </is>
      </c>
      <c r="P5" t="inlineStr">
        <is>
          <t>FY2022</t>
        </is>
      </c>
      <c r="Q5" t="inlineStr">
        <is>
          <t>FY2023</t>
        </is>
      </c>
      <c r="R5" t="inlineStr">
        <is>
          <t>FY2024</t>
        </is>
      </c>
      <c r="S5" t="inlineStr">
        <is>
          <t>FY2025</t>
        </is>
      </c>
      <c r="T5" t="inlineStr">
        <is>
          <t>FY2026</t>
        </is>
      </c>
      <c r="BE5" t="inlineStr">
        <is>
          <t>FY2019</t>
        </is>
      </c>
      <c r="BF5" t="inlineStr">
        <is>
          <t>FY2020</t>
        </is>
      </c>
      <c r="BG5" t="inlineStr">
        <is>
          <t>FY2021</t>
        </is>
      </c>
      <c r="BH5" t="inlineStr">
        <is>
          <t>FY2022</t>
        </is>
      </c>
      <c r="BI5" t="inlineStr">
        <is>
          <t>FY2023</t>
        </is>
      </c>
      <c r="BJ5" t="inlineStr">
        <is>
          <t>FY2024</t>
        </is>
      </c>
      <c r="BK5" t="inlineStr">
        <is>
          <t>FY2025</t>
        </is>
      </c>
      <c r="BL5" t="inlineStr">
        <is>
          <t>FY2026</t>
        </is>
      </c>
    </row>
    <row r="6">
      <c r="A6" s="5" t="inlineStr">
        <is>
          <t>Total assets</t>
        </is>
      </c>
      <c r="B6" s="5" t="n">
        <v>285462333</v>
      </c>
      <c r="C6" s="5" t="n">
        <v>266650946</v>
      </c>
      <c r="D6" s="5" t="n">
        <v>276893185</v>
      </c>
      <c r="E6" s="5" t="n">
        <v>252188264</v>
      </c>
      <c r="F6" s="5" t="n">
        <v>251247132</v>
      </c>
      <c r="G6" s="5" t="n">
        <v>244326240</v>
      </c>
      <c r="H6" s="5" t="n">
        <v>198450609</v>
      </c>
      <c r="I6" s="5" t="n">
        <v>184245691</v>
      </c>
      <c r="L6" t="inlineStr">
        <is>
          <t>Total assets</t>
        </is>
      </c>
      <c r="M6" t="n">
        <v>184245691</v>
      </c>
      <c r="N6" t="n">
        <v>198450609</v>
      </c>
      <c r="O6" t="n">
        <v>244326240</v>
      </c>
      <c r="P6" t="n">
        <v>251247132</v>
      </c>
      <c r="Q6" t="n">
        <v>252188264</v>
      </c>
      <c r="R6" t="n">
        <v>276893185</v>
      </c>
      <c r="S6" t="n">
        <v>266650946</v>
      </c>
      <c r="T6" t="n">
        <v>285462333</v>
      </c>
      <c r="BD6" t="inlineStr">
        <is>
          <t>CET1 Ratio</t>
        </is>
      </c>
      <c r="BH6" t="n">
        <v>18.2</v>
      </c>
      <c r="BI6" t="n">
        <v>23.1</v>
      </c>
      <c r="BJ6" t="n">
        <v>20.7</v>
      </c>
      <c r="BK6" t="n">
        <v>19.9</v>
      </c>
      <c r="BL6" t="n">
        <v>21.8</v>
      </c>
    </row>
    <row r="7">
      <c r="A7" s="5" t="inlineStr">
        <is>
          <t>Loans and advances to customers</t>
        </is>
      </c>
      <c r="B7" s="5" t="n">
        <v>146696075</v>
      </c>
      <c r="C7" s="5" t="n">
        <v>142039997</v>
      </c>
      <c r="D7" s="5" t="n">
        <v>125748749</v>
      </c>
      <c r="E7" s="5" t="n">
        <v>118818336</v>
      </c>
      <c r="F7" s="5" t="n">
        <v>96522411</v>
      </c>
      <c r="G7" s="5" t="n">
        <v>77505973</v>
      </c>
      <c r="H7" s="5" t="n">
        <v>53204878</v>
      </c>
      <c r="I7" s="5" t="n">
        <v>47220230</v>
      </c>
      <c r="L7" t="inlineStr">
        <is>
          <t>Loans and advances to customers</t>
        </is>
      </c>
      <c r="M7" t="n">
        <v>47220230</v>
      </c>
      <c r="N7" t="n">
        <v>53204878</v>
      </c>
      <c r="O7" t="n">
        <v>77505973</v>
      </c>
      <c r="P7" t="n">
        <v>96522411</v>
      </c>
      <c r="Q7" t="n">
        <v>118818336</v>
      </c>
      <c r="R7" t="n">
        <v>125748749</v>
      </c>
      <c r="S7" t="n">
        <v>142039997</v>
      </c>
      <c r="T7" t="n">
        <v>146696075</v>
      </c>
      <c r="BD7" t="inlineStr">
        <is>
          <t>Leverage Ratio</t>
        </is>
      </c>
      <c r="BH7" t="n">
        <v>7.6</v>
      </c>
      <c r="BI7" t="n">
        <v>11.5</v>
      </c>
      <c r="BJ7" t="n">
        <v>10.8</v>
      </c>
      <c r="BK7" t="n">
        <v>11</v>
      </c>
      <c r="BL7" t="n">
        <v>13.3</v>
      </c>
    </row>
    <row r="8">
      <c r="A8" s="5" t="inlineStr">
        <is>
          <t>Customer accounts</t>
        </is>
      </c>
      <c r="B8" s="5" t="n">
        <v>254118275</v>
      </c>
      <c r="C8" s="5" t="n">
        <v>241237545</v>
      </c>
      <c r="D8" s="5" t="n">
        <v>252228935</v>
      </c>
      <c r="E8" s="5" t="n">
        <v>230049991</v>
      </c>
      <c r="F8" s="5" t="n">
        <v>236212051</v>
      </c>
      <c r="G8" s="5" t="n">
        <v>231503315</v>
      </c>
      <c r="H8" s="5" t="n">
        <v>186411063</v>
      </c>
      <c r="I8" s="5" t="n">
        <v>171635444</v>
      </c>
      <c r="L8" t="inlineStr">
        <is>
          <t>Customer accounts</t>
        </is>
      </c>
      <c r="M8" t="n">
        <v>171635444</v>
      </c>
      <c r="N8" t="n">
        <v>186411063</v>
      </c>
      <c r="O8" t="n">
        <v>231503315</v>
      </c>
      <c r="P8" t="n">
        <v>236212051</v>
      </c>
      <c r="Q8" t="n">
        <v>230049991</v>
      </c>
      <c r="R8" t="n">
        <v>252228935</v>
      </c>
      <c r="S8" t="n">
        <v>241237545</v>
      </c>
      <c r="T8" t="n">
        <v>254118275</v>
      </c>
      <c r="BD8" t="inlineStr">
        <is>
          <t>LCR</t>
        </is>
      </c>
      <c r="BE8" t="n">
        <v>1100</v>
      </c>
      <c r="BF8" t="n">
        <v>690</v>
      </c>
      <c r="BG8" t="n">
        <v>986</v>
      </c>
      <c r="BH8" t="n">
        <v>605</v>
      </c>
      <c r="BI8" t="n">
        <v>315</v>
      </c>
      <c r="BJ8" t="n">
        <v>408</v>
      </c>
      <c r="BK8" t="n">
        <v>247</v>
      </c>
      <c r="BL8" t="n">
        <v>228</v>
      </c>
    </row>
    <row r="9">
      <c r="A9" s="5" t="inlineStr">
        <is>
          <t>Total equity</t>
        </is>
      </c>
      <c r="B9" s="5" t="n">
        <v>30556187</v>
      </c>
      <c r="C9" s="5" t="n">
        <v>24721622</v>
      </c>
      <c r="D9" s="5" t="n">
        <v>22999662</v>
      </c>
      <c r="E9" s="5" t="n">
        <v>21249653</v>
      </c>
      <c r="F9" s="5" t="n">
        <v>14442793</v>
      </c>
      <c r="G9" s="5" t="n">
        <v>12192437</v>
      </c>
      <c r="H9" s="5" t="n">
        <v>11652208</v>
      </c>
      <c r="I9" s="5" t="n">
        <v>12142972</v>
      </c>
      <c r="L9" t="inlineStr">
        <is>
          <t>Total equity</t>
        </is>
      </c>
      <c r="M9" t="n">
        <v>12142972</v>
      </c>
      <c r="N9" t="n">
        <v>11652208</v>
      </c>
      <c r="O9" t="n">
        <v>12192437</v>
      </c>
      <c r="P9" t="n">
        <v>14442793</v>
      </c>
      <c r="Q9" t="n">
        <v>21249653</v>
      </c>
      <c r="R9" t="n">
        <v>22999662</v>
      </c>
      <c r="S9" t="n">
        <v>24721622</v>
      </c>
      <c r="T9" t="n">
        <v>30556187</v>
      </c>
    </row>
    <row r="11">
      <c r="A11" s="3" t="inlineStr">
        <is>
          <t>Profit &amp; Loss Summary (£)</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X12" t="inlineStr">
        <is>
          <t>FY2019</t>
        </is>
      </c>
      <c r="Y12" t="inlineStr">
        <is>
          <t>FY2020</t>
        </is>
      </c>
      <c r="Z12" t="inlineStr">
        <is>
          <t>FY2021</t>
        </is>
      </c>
      <c r="AA12" t="inlineStr">
        <is>
          <t>FY2022</t>
        </is>
      </c>
      <c r="AB12" t="inlineStr">
        <is>
          <t>FY2023</t>
        </is>
      </c>
      <c r="AC12" t="inlineStr">
        <is>
          <t>FY2024</t>
        </is>
      </c>
      <c r="AD12" t="inlineStr">
        <is>
          <t>FY2025</t>
        </is>
      </c>
      <c r="AE12" t="inlineStr">
        <is>
          <t>FY2026</t>
        </is>
      </c>
    </row>
    <row r="13">
      <c r="A13" s="5" t="inlineStr">
        <is>
          <t>Total interest income</t>
        </is>
      </c>
      <c r="B13" s="5" t="n">
        <v>13834883</v>
      </c>
      <c r="C13" s="5" t="n">
        <v>14351706</v>
      </c>
      <c r="D13" s="5" t="n">
        <v>11630100</v>
      </c>
      <c r="E13" s="5" t="n">
        <v>6777658</v>
      </c>
      <c r="F13" s="5" t="n">
        <v>3342104</v>
      </c>
      <c r="G13" s="5" t="n"/>
      <c r="H13" s="5" t="n"/>
      <c r="I13" s="5" t="n"/>
      <c r="W13" t="inlineStr">
        <is>
          <t>Total interest income</t>
        </is>
      </c>
      <c r="AA13" t="n">
        <v>3342104</v>
      </c>
      <c r="AB13" t="n">
        <v>6777658</v>
      </c>
      <c r="AC13" t="n">
        <v>11630100</v>
      </c>
      <c r="AD13" t="n">
        <v>14351706</v>
      </c>
      <c r="AE13" t="n">
        <v>13834883</v>
      </c>
    </row>
    <row r="14">
      <c r="A14" s="5" t="inlineStr">
        <is>
          <t>Operating income</t>
        </is>
      </c>
      <c r="B14" s="5" t="n">
        <v>9700259</v>
      </c>
      <c r="C14" s="5" t="n">
        <v>9577790</v>
      </c>
      <c r="D14" s="5" t="n">
        <v>9090242</v>
      </c>
      <c r="E14" s="5" t="n">
        <v>6115348</v>
      </c>
      <c r="F14" s="5" t="n">
        <v>3501910</v>
      </c>
      <c r="G14" s="5" t="n"/>
      <c r="H14" s="5" t="n"/>
      <c r="I14" s="5" t="n"/>
      <c r="W14" t="inlineStr">
        <is>
          <t>Operating income</t>
        </is>
      </c>
      <c r="AA14" t="n">
        <v>3501910</v>
      </c>
      <c r="AB14" t="n">
        <v>6115348</v>
      </c>
      <c r="AC14" t="n">
        <v>9090242</v>
      </c>
      <c r="AD14" t="n">
        <v>9577790</v>
      </c>
      <c r="AE14" t="n">
        <v>9700259</v>
      </c>
    </row>
    <row r="15">
      <c r="A15" s="5" t="inlineStr">
        <is>
          <t>Total operating expense</t>
        </is>
      </c>
      <c r="B15" s="5" t="n">
        <v>-8602455</v>
      </c>
      <c r="C15" s="5" t="n">
        <v>-8146664</v>
      </c>
      <c r="D15" s="5" t="n">
        <v>-7171830</v>
      </c>
      <c r="E15" s="5" t="n">
        <v>-5881403</v>
      </c>
      <c r="F15" s="5" t="n">
        <v>-4251554</v>
      </c>
      <c r="G15" s="5" t="n"/>
      <c r="H15" s="5" t="n"/>
      <c r="I15" s="5" t="n"/>
      <c r="W15" t="inlineStr">
        <is>
          <t>Total operating expense</t>
        </is>
      </c>
      <c r="AA15" t="n">
        <v>-4251554</v>
      </c>
      <c r="AB15" t="n">
        <v>-5881403</v>
      </c>
      <c r="AC15" t="n">
        <v>-7171830</v>
      </c>
      <c r="AD15" t="n">
        <v>-8146664</v>
      </c>
      <c r="AE15" t="n">
        <v>-8602455</v>
      </c>
    </row>
    <row r="16">
      <c r="A16" s="5" t="inlineStr">
        <is>
          <t>Profit/(loss) on activities after tax</t>
        </is>
      </c>
      <c r="B16" s="5" t="n">
        <v>869584</v>
      </c>
      <c r="C16" s="5" t="n">
        <v>1221144</v>
      </c>
      <c r="D16" s="5" t="n">
        <v>1850741</v>
      </c>
      <c r="E16" s="5" t="n">
        <v>127173</v>
      </c>
      <c r="F16" s="5" t="n">
        <v>-608827</v>
      </c>
      <c r="G16" s="5" t="n">
        <v>-1360807</v>
      </c>
      <c r="H16" s="5" t="n">
        <v>-1490764</v>
      </c>
      <c r="I16" s="5" t="n">
        <v>-647859</v>
      </c>
      <c r="W16" t="inlineStr">
        <is>
          <t>Profit/(loss) on activities after tax</t>
        </is>
      </c>
      <c r="X16" t="n">
        <v>-647859</v>
      </c>
      <c r="Y16" t="n">
        <v>-1490764</v>
      </c>
      <c r="Z16" t="n">
        <v>-1360807</v>
      </c>
      <c r="AA16" t="n">
        <v>-608827</v>
      </c>
      <c r="AB16" t="n">
        <v>127173</v>
      </c>
      <c r="AC16" t="n">
        <v>1850741</v>
      </c>
      <c r="AD16" t="n">
        <v>1221144</v>
      </c>
      <c r="AE16" t="n">
        <v>869584</v>
      </c>
    </row>
    <row r="18">
      <c r="A18" s="3" t="inlineStr">
        <is>
          <t>Statement of Changes in Equity Summary (£)</t>
        </is>
      </c>
    </row>
    <row r="19">
      <c r="A19" s="4" t="inlineStr">
        <is>
          <t>Line item</t>
        </is>
      </c>
      <c r="B19" s="4" t="inlineStr">
        <is>
          <t>FY2026</t>
        </is>
      </c>
      <c r="C19" s="4" t="inlineStr">
        <is>
          <t>FY2025</t>
        </is>
      </c>
      <c r="D19" s="4" t="inlineStr">
        <is>
          <t>FY2024</t>
        </is>
      </c>
      <c r="E19" s="4" t="inlineStr">
        <is>
          <t>FY2023</t>
        </is>
      </c>
      <c r="F19" s="4" t="inlineStr">
        <is>
          <t>FY2022</t>
        </is>
      </c>
      <c r="G19" s="4" t="inlineStr">
        <is>
          <t>FY2021</t>
        </is>
      </c>
      <c r="H19" s="4" t="inlineStr">
        <is>
          <t>FY2020</t>
        </is>
      </c>
      <c r="I19" s="4" t="inlineStr">
        <is>
          <t>FY2019</t>
        </is>
      </c>
      <c r="AI19" t="inlineStr">
        <is>
          <t>FY2019</t>
        </is>
      </c>
      <c r="AJ19" t="inlineStr">
        <is>
          <t>FY2020</t>
        </is>
      </c>
      <c r="AK19" t="inlineStr">
        <is>
          <t>FY2021</t>
        </is>
      </c>
      <c r="AL19" t="inlineStr">
        <is>
          <t>FY2022</t>
        </is>
      </c>
      <c r="AM19" t="inlineStr">
        <is>
          <t>FY2023</t>
        </is>
      </c>
      <c r="AN19" t="inlineStr">
        <is>
          <t>FY2024</t>
        </is>
      </c>
      <c r="AO19" t="inlineStr">
        <is>
          <t>FY2025</t>
        </is>
      </c>
      <c r="AP19" t="inlineStr">
        <is>
          <t>FY2026</t>
        </is>
      </c>
    </row>
    <row r="20">
      <c r="A20" s="5" t="inlineStr">
        <is>
          <t>Opening equity</t>
        </is>
      </c>
      <c r="B20" s="5" t="n">
        <v>24721622</v>
      </c>
      <c r="C20" s="5" t="n">
        <v>22999662</v>
      </c>
      <c r="D20" s="5" t="n">
        <v>21249653</v>
      </c>
      <c r="E20" s="5" t="n">
        <v>14442793</v>
      </c>
      <c r="F20" s="5" t="n">
        <v>12192437</v>
      </c>
      <c r="G20" s="5" t="n"/>
      <c r="H20" s="5" t="n"/>
      <c r="I20" s="5" t="n"/>
      <c r="AH20" t="inlineStr">
        <is>
          <t>Opening equity</t>
        </is>
      </c>
      <c r="AL20" t="n">
        <v>12192437</v>
      </c>
      <c r="AM20" t="n">
        <v>14442793</v>
      </c>
      <c r="AN20" t="n">
        <v>21249653</v>
      </c>
      <c r="AO20" t="n">
        <v>22999662</v>
      </c>
      <c r="AP20" t="n">
        <v>24721622</v>
      </c>
    </row>
    <row r="21">
      <c r="A21" s="5" t="inlineStr">
        <is>
          <t>Total comprehensive income/(loss) for the year</t>
        </is>
      </c>
      <c r="B21" s="5" t="n">
        <v>1234565</v>
      </c>
      <c r="C21" s="5" t="n">
        <v>1821960</v>
      </c>
      <c r="D21" s="5" t="n">
        <v>1850741</v>
      </c>
      <c r="E21" s="5" t="n">
        <v>-193139</v>
      </c>
      <c r="F21" s="5" t="n">
        <v>-703945</v>
      </c>
      <c r="G21" s="5" t="n"/>
      <c r="H21" s="5" t="n"/>
      <c r="I21" s="5" t="n"/>
      <c r="AH21" t="inlineStr">
        <is>
          <t>Total comprehensive income/(loss) for the year</t>
        </is>
      </c>
      <c r="AL21" t="n">
        <v>-703945</v>
      </c>
      <c r="AM21" t="n">
        <v>-193139</v>
      </c>
      <c r="AN21" t="n">
        <v>1850741</v>
      </c>
      <c r="AO21" t="n">
        <v>1821960</v>
      </c>
      <c r="AP21" t="n">
        <v>1234565</v>
      </c>
    </row>
    <row r="22">
      <c r="A22" s="5" t="inlineStr">
        <is>
          <t>Other equity movements, net</t>
        </is>
      </c>
      <c r="B22" s="5" t="n">
        <v>4600000</v>
      </c>
      <c r="C22" s="5" t="n">
        <v>-100000</v>
      </c>
      <c r="D22" s="5" t="n">
        <v>-100732</v>
      </c>
      <c r="E22" s="5" t="n">
        <v>7000000</v>
      </c>
      <c r="F22" s="5" t="n">
        <v>2954301</v>
      </c>
      <c r="G22" s="5" t="n"/>
      <c r="H22" s="5" t="n"/>
      <c r="I22" s="5" t="n"/>
      <c r="AH22" t="inlineStr">
        <is>
          <t>Other equity movements, net</t>
        </is>
      </c>
      <c r="AL22" t="n">
        <v>2954301</v>
      </c>
      <c r="AM22" t="n">
        <v>7000000</v>
      </c>
      <c r="AN22" t="n">
        <v>-100732</v>
      </c>
      <c r="AO22" t="n">
        <v>-100000</v>
      </c>
      <c r="AP22" t="n">
        <v>4600000</v>
      </c>
    </row>
    <row r="23">
      <c r="A23" s="5" t="inlineStr">
        <is>
          <t>Closing equity</t>
        </is>
      </c>
      <c r="B23" s="5" t="n">
        <v>30556187</v>
      </c>
      <c r="C23" s="5" t="n">
        <v>24721622</v>
      </c>
      <c r="D23" s="5" t="n">
        <v>22999662</v>
      </c>
      <c r="E23" s="5" t="n">
        <v>21249653</v>
      </c>
      <c r="F23" s="5" t="n">
        <v>14442793</v>
      </c>
      <c r="G23" s="5" t="n"/>
      <c r="H23" s="5" t="n"/>
      <c r="I23" s="5" t="n"/>
      <c r="AH23" t="inlineStr">
        <is>
          <t>Closing equity</t>
        </is>
      </c>
      <c r="AL23" t="n">
        <v>14442793</v>
      </c>
      <c r="AM23" t="n">
        <v>21249653</v>
      </c>
      <c r="AN23" t="n">
        <v>22999662</v>
      </c>
      <c r="AO23" t="n">
        <v>24721622</v>
      </c>
      <c r="AP23" t="n">
        <v>30556187</v>
      </c>
    </row>
    <row r="25">
      <c r="A25" s="3" t="inlineStr">
        <is>
          <t>Cash Flow Summary (£)</t>
        </is>
      </c>
    </row>
    <row r="26">
      <c r="A26" s="4" t="inlineStr">
        <is>
          <t>Line item</t>
        </is>
      </c>
      <c r="B26" s="4" t="inlineStr">
        <is>
          <t>FY2026</t>
        </is>
      </c>
      <c r="C26" s="4" t="inlineStr">
        <is>
          <t>FY2025</t>
        </is>
      </c>
      <c r="D26" s="4" t="inlineStr">
        <is>
          <t>FY2024</t>
        </is>
      </c>
      <c r="E26" s="4" t="inlineStr">
        <is>
          <t>FY2023</t>
        </is>
      </c>
      <c r="F26" s="4" t="inlineStr">
        <is>
          <t>FY2022</t>
        </is>
      </c>
      <c r="G26" s="4" t="inlineStr">
        <is>
          <t>FY2021</t>
        </is>
      </c>
      <c r="H26" s="4" t="inlineStr">
        <is>
          <t>FY2020</t>
        </is>
      </c>
      <c r="I26" s="4" t="inlineStr">
        <is>
          <t>FY2019</t>
        </is>
      </c>
      <c r="AT26" t="inlineStr">
        <is>
          <t>FY2019</t>
        </is>
      </c>
      <c r="AU26" t="inlineStr">
        <is>
          <t>FY2020</t>
        </is>
      </c>
      <c r="AV26" t="inlineStr">
        <is>
          <t>FY2021</t>
        </is>
      </c>
      <c r="AW26" t="inlineStr">
        <is>
          <t>FY2022</t>
        </is>
      </c>
      <c r="AX26" t="inlineStr">
        <is>
          <t>FY2023</t>
        </is>
      </c>
      <c r="AY26" t="inlineStr">
        <is>
          <t>FY2024</t>
        </is>
      </c>
      <c r="AZ26" t="inlineStr">
        <is>
          <t>FY2025</t>
        </is>
      </c>
      <c r="BA26" t="inlineStr">
        <is>
          <t>FY2026</t>
        </is>
      </c>
    </row>
    <row r="27">
      <c r="A27" s="5" t="inlineStr">
        <is>
          <t>Net cash from/(used in) operating activities</t>
        </is>
      </c>
      <c r="B27" s="5" t="n">
        <v>9866447</v>
      </c>
      <c r="C27" s="5" t="n">
        <v>-26050380</v>
      </c>
      <c r="D27" s="5" t="n">
        <v>18698728</v>
      </c>
      <c r="E27" s="5" t="n">
        <v>-28182841</v>
      </c>
      <c r="F27" s="5" t="n">
        <v>-14594539</v>
      </c>
      <c r="G27" s="5" t="n"/>
      <c r="H27" s="5" t="n"/>
      <c r="I27" s="5" t="n"/>
      <c r="AS27" t="inlineStr">
        <is>
          <t>Net cash from/(used in) operating activities</t>
        </is>
      </c>
      <c r="AW27" t="n">
        <v>-14594539</v>
      </c>
      <c r="AX27" t="n">
        <v>-28182841</v>
      </c>
      <c r="AY27" t="n">
        <v>18698728</v>
      </c>
      <c r="AZ27" t="n">
        <v>-26050380</v>
      </c>
      <c r="BA27" t="n">
        <v>9866447</v>
      </c>
    </row>
    <row r="28">
      <c r="A28" s="5" t="inlineStr">
        <is>
          <t>Net cash from/(used in) investing activities</t>
        </is>
      </c>
      <c r="B28" s="5" t="n">
        <v>-16150833</v>
      </c>
      <c r="C28" s="5" t="n">
        <v>-6687324</v>
      </c>
      <c r="D28" s="5" t="n">
        <v>6724219</v>
      </c>
      <c r="E28" s="5" t="n">
        <v>1766363</v>
      </c>
      <c r="F28" s="5" t="n">
        <v>20376709</v>
      </c>
      <c r="G28" s="5" t="n"/>
      <c r="H28" s="5" t="n"/>
      <c r="I28" s="5" t="n"/>
      <c r="AS28" t="inlineStr">
        <is>
          <t>Net cash from/(used in) investing activities</t>
        </is>
      </c>
      <c r="AW28" t="n">
        <v>20376709</v>
      </c>
      <c r="AX28" t="n">
        <v>1766363</v>
      </c>
      <c r="AY28" t="n">
        <v>6724219</v>
      </c>
      <c r="AZ28" t="n">
        <v>-6687324</v>
      </c>
      <c r="BA28" t="n">
        <v>-16150833</v>
      </c>
    </row>
    <row r="29">
      <c r="A29" s="5" t="inlineStr">
        <is>
          <t>Net cash from/(used in) financing activities</t>
        </is>
      </c>
      <c r="B29" s="5" t="n">
        <v>4600000</v>
      </c>
      <c r="C29" s="5" t="n">
        <v>-100000</v>
      </c>
      <c r="D29" s="5" t="n">
        <v>-100000</v>
      </c>
      <c r="E29" s="5" t="n">
        <v>7000000</v>
      </c>
      <c r="F29" s="5" t="n">
        <v>3000000</v>
      </c>
      <c r="G29" s="5" t="n"/>
      <c r="H29" s="5" t="n"/>
      <c r="I29" s="5" t="n"/>
      <c r="AS29" t="inlineStr">
        <is>
          <t>Net cash from/(used in) financing activities</t>
        </is>
      </c>
      <c r="AW29" t="n">
        <v>3000000</v>
      </c>
      <c r="AX29" t="n">
        <v>7000000</v>
      </c>
      <c r="AY29" t="n">
        <v>-100000</v>
      </c>
      <c r="AZ29" t="n">
        <v>-100000</v>
      </c>
      <c r="BA29" t="n">
        <v>4600000</v>
      </c>
    </row>
    <row r="30">
      <c r="A30" s="5" t="inlineStr">
        <is>
          <t>Cash and cash equivalents at end of reporting period</t>
        </is>
      </c>
      <c r="B30" s="5" t="n">
        <v>85395984</v>
      </c>
      <c r="C30" s="5" t="n">
        <v>87080370</v>
      </c>
      <c r="D30" s="5" t="n">
        <v>119918074</v>
      </c>
      <c r="E30" s="5" t="n">
        <v>94595127</v>
      </c>
      <c r="F30" s="5" t="n">
        <v>114011606</v>
      </c>
      <c r="G30" s="5" t="n">
        <v>105229436</v>
      </c>
      <c r="H30" s="5" t="n">
        <v>69895792</v>
      </c>
      <c r="I30" s="5" t="n">
        <v>48599492</v>
      </c>
      <c r="AS30" t="inlineStr">
        <is>
          <t>Cash and cash equivalents at end of reporting period</t>
        </is>
      </c>
      <c r="AT30" t="n">
        <v>48599492</v>
      </c>
      <c r="AU30" t="n">
        <v>69895792</v>
      </c>
      <c r="AV30" t="n">
        <v>105229436</v>
      </c>
      <c r="AW30" t="n">
        <v>114011606</v>
      </c>
      <c r="AX30" t="n">
        <v>94595127</v>
      </c>
      <c r="AY30" t="n">
        <v>119918074</v>
      </c>
      <c r="AZ30" t="n">
        <v>87080370</v>
      </c>
      <c r="BA30" t="n">
        <v>85395984</v>
      </c>
    </row>
    <row r="32">
      <c r="A32" s="3" t="inlineStr">
        <is>
          <t>Pillar 3 Key Metrics</t>
        </is>
      </c>
    </row>
    <row r="33">
      <c r="A33" s="4" t="inlineStr">
        <is>
          <t>Line item</t>
        </is>
      </c>
      <c r="B33" s="4" t="inlineStr">
        <is>
          <t>FY2026</t>
        </is>
      </c>
      <c r="C33" s="4" t="inlineStr">
        <is>
          <t>FY2025</t>
        </is>
      </c>
      <c r="D33" s="4" t="inlineStr">
        <is>
          <t>FY2024</t>
        </is>
      </c>
      <c r="E33" s="4" t="inlineStr">
        <is>
          <t>FY2023</t>
        </is>
      </c>
      <c r="F33" s="4" t="inlineStr">
        <is>
          <t>FY2022</t>
        </is>
      </c>
      <c r="G33" s="4" t="inlineStr">
        <is>
          <t>FY2021</t>
        </is>
      </c>
      <c r="H33" s="4" t="inlineStr">
        <is>
          <t>FY2020</t>
        </is>
      </c>
      <c r="I33" s="4" t="inlineStr">
        <is>
          <t>FY2019</t>
        </is>
      </c>
    </row>
    <row r="34">
      <c r="A34" s="6" t="inlineStr">
        <is>
          <t>CET1 Ratio</t>
        </is>
      </c>
      <c r="B34" s="6" t="inlineStr">
        <is>
          <t>21.8%</t>
        </is>
      </c>
      <c r="C34" s="6" t="inlineStr">
        <is>
          <t>19.9%</t>
        </is>
      </c>
      <c r="D34" s="6" t="inlineStr">
        <is>
          <t>20.7%</t>
        </is>
      </c>
      <c r="E34" s="6" t="inlineStr">
        <is>
          <t>23.1%</t>
        </is>
      </c>
      <c r="F34" s="6" t="inlineStr">
        <is>
          <t>18.2%</t>
        </is>
      </c>
      <c r="G34" s="6" t="n"/>
      <c r="H34" s="6" t="n"/>
      <c r="I34" s="6" t="n"/>
    </row>
    <row r="35">
      <c r="A35" s="6" t="inlineStr">
        <is>
          <t>Leverage Ratio</t>
        </is>
      </c>
      <c r="B35" s="6" t="inlineStr">
        <is>
          <t>13.3%</t>
        </is>
      </c>
      <c r="C35" s="6" t="inlineStr">
        <is>
          <t>11.0%</t>
        </is>
      </c>
      <c r="D35" s="6" t="inlineStr">
        <is>
          <t>10.8%</t>
        </is>
      </c>
      <c r="E35" s="6" t="inlineStr">
        <is>
          <t>11.5%</t>
        </is>
      </c>
      <c r="F35" s="6" t="inlineStr">
        <is>
          <t>7.6%</t>
        </is>
      </c>
      <c r="G35" s="6" t="n"/>
      <c r="H35" s="6" t="n"/>
      <c r="I35" s="6" t="n"/>
    </row>
    <row r="36">
      <c r="A36" s="6" t="inlineStr">
        <is>
          <t>LCR</t>
        </is>
      </c>
      <c r="B36" s="6" t="inlineStr">
        <is>
          <t>228%</t>
        </is>
      </c>
      <c r="C36" s="6" t="inlineStr">
        <is>
          <t>247%</t>
        </is>
      </c>
      <c r="D36" s="6" t="inlineStr">
        <is>
          <t>408%</t>
        </is>
      </c>
      <c r="E36" s="6" t="inlineStr">
        <is>
          <t>315%</t>
        </is>
      </c>
      <c r="F36" s="6" t="inlineStr">
        <is>
          <t>605%</t>
        </is>
      </c>
      <c r="G36" s="6" t="inlineStr">
        <is>
          <t>986%</t>
        </is>
      </c>
      <c r="H36" s="6" t="inlineStr">
        <is>
          <t>690%</t>
        </is>
      </c>
      <c r="I36" s="6" t="inlineStr">
        <is>
          <t>1100%</t>
        </is>
      </c>
    </row>
    <row r="38" ht="45" customHeight="1">
      <c r="A38" s="7" t="inlineStr">
        <is>
          <t>Note: Entity-only cash flows. Regulatory ratios are disclosed on the Bank's regulatory basis. Blank cells mean not disclosed, not zero. The 2023 cash-flow comparative restatement is explained on the cash-flow sheet.</t>
        </is>
      </c>
    </row>
  </sheetData>
  <mergeCells count="1">
    <mergeCell ref="A38:I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Balance Sheet</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Assets</t>
        </is>
      </c>
      <c r="B4" s="6" t="n"/>
      <c r="C4" s="6" t="n"/>
      <c r="D4" s="6" t="n"/>
      <c r="E4" s="6" t="n"/>
      <c r="F4" s="6" t="n"/>
      <c r="G4" s="6" t="n"/>
      <c r="H4" s="6" t="n"/>
      <c r="I4" s="6" t="n"/>
    </row>
    <row r="5">
      <c r="A5" s="6" t="inlineStr">
        <is>
          <t>Cash and balances at central bank</t>
        </is>
      </c>
      <c r="B5" s="6" t="n">
        <v>65404792</v>
      </c>
      <c r="C5" s="6" t="n">
        <v>68150991</v>
      </c>
      <c r="D5" s="6" t="n">
        <v>99657428</v>
      </c>
      <c r="E5" s="6" t="n">
        <v>83261986</v>
      </c>
      <c r="F5" s="6" t="n">
        <v>91287306</v>
      </c>
      <c r="G5" s="6" t="n">
        <v>73927250</v>
      </c>
      <c r="H5" s="6" t="n">
        <v>51769502</v>
      </c>
      <c r="I5" s="6" t="n">
        <v>36565164</v>
      </c>
    </row>
    <row r="6">
      <c r="A6" s="6" t="inlineStr">
        <is>
          <t>Loans and advances to banks / Balances at banks</t>
        </is>
      </c>
      <c r="B6" s="6" t="n">
        <v>8415747</v>
      </c>
      <c r="C6" s="6" t="n">
        <v>5729293</v>
      </c>
      <c r="D6" s="6" t="n">
        <v>9342232</v>
      </c>
      <c r="E6" s="6" t="n">
        <v>12342225</v>
      </c>
      <c r="F6" s="6" t="n">
        <v>23726132</v>
      </c>
      <c r="G6" s="6" t="n">
        <v>46802990</v>
      </c>
      <c r="H6" s="6" t="n">
        <v>29850667</v>
      </c>
      <c r="I6" s="6" t="n">
        <v>32119504</v>
      </c>
    </row>
    <row r="7">
      <c r="A7" s="6" t="inlineStr">
        <is>
          <t>Loans and advances to customers</t>
        </is>
      </c>
      <c r="B7" s="6" t="n">
        <v>146696075</v>
      </c>
      <c r="C7" s="6" t="n">
        <v>142039997</v>
      </c>
      <c r="D7" s="6" t="n">
        <v>125748749</v>
      </c>
      <c r="E7" s="6" t="n">
        <v>118818336</v>
      </c>
      <c r="F7" s="6" t="n">
        <v>96522411</v>
      </c>
      <c r="G7" s="6" t="n">
        <v>77505973</v>
      </c>
      <c r="H7" s="6" t="n">
        <v>53204878</v>
      </c>
      <c r="I7" s="6" t="n">
        <v>47220230</v>
      </c>
    </row>
    <row r="8">
      <c r="A8" s="6" t="inlineStr">
        <is>
          <t>Debt securities (amortised cost, issued by banks/building societies)</t>
        </is>
      </c>
      <c r="B8" s="6" t="n">
        <v>47845043</v>
      </c>
      <c r="C8" s="6" t="n">
        <v>31152108</v>
      </c>
      <c r="D8" s="6" t="n">
        <v>25735400</v>
      </c>
      <c r="E8" s="6" t="n">
        <v>32981508</v>
      </c>
      <c r="F8" s="6" t="n">
        <v>34201068</v>
      </c>
      <c r="G8" s="6" t="n">
        <v>40540011</v>
      </c>
      <c r="H8" s="6" t="n">
        <v>60210153</v>
      </c>
      <c r="I8" s="6" t="n">
        <v>65285621</v>
      </c>
    </row>
    <row r="9">
      <c r="A9" s="6" t="inlineStr">
        <is>
          <t>Intangible fixed assets</t>
        </is>
      </c>
      <c r="B9" s="6" t="n">
        <v>126970</v>
      </c>
      <c r="C9" s="6" t="n">
        <v>175064</v>
      </c>
      <c r="D9" s="6" t="n">
        <v>147533</v>
      </c>
      <c r="E9" s="6" t="n">
        <v>284207</v>
      </c>
      <c r="F9" s="6" t="n">
        <v>443170</v>
      </c>
      <c r="G9" s="6" t="n">
        <v>392501</v>
      </c>
      <c r="H9" s="6" t="n">
        <v>394287</v>
      </c>
      <c r="I9" s="6" t="n">
        <v>301903</v>
      </c>
    </row>
    <row r="10">
      <c r="A10" s="6" t="inlineStr">
        <is>
          <t>Tangible fixed assets</t>
        </is>
      </c>
      <c r="B10" s="6" t="n">
        <v>4845723</v>
      </c>
      <c r="C10" s="6" t="n">
        <v>4745873</v>
      </c>
      <c r="D10" s="6" t="n">
        <v>4035112</v>
      </c>
      <c r="E10" s="6" t="n">
        <v>3620828</v>
      </c>
      <c r="F10" s="6" t="n">
        <v>3153335</v>
      </c>
      <c r="G10" s="6" t="n">
        <v>3282956</v>
      </c>
      <c r="H10" s="6" t="n">
        <v>2599924</v>
      </c>
      <c r="I10" s="6" t="n">
        <v>2450094</v>
      </c>
    </row>
    <row r="11">
      <c r="A11" s="6" t="inlineStr">
        <is>
          <t>Investment property</t>
        </is>
      </c>
      <c r="B11" s="6" t="n"/>
      <c r="C11" s="6" t="n"/>
      <c r="D11" s="6" t="n"/>
      <c r="E11" s="6" t="n">
        <v>603774</v>
      </c>
      <c r="F11" s="6" t="n">
        <v>1573962</v>
      </c>
      <c r="G11" s="6" t="n">
        <v>1573962</v>
      </c>
      <c r="H11" s="6" t="n"/>
      <c r="I11" s="6" t="n"/>
    </row>
    <row r="12">
      <c r="A12" s="6" t="inlineStr">
        <is>
          <t>Other assets</t>
        </is>
      </c>
      <c r="B12" s="6" t="n">
        <v>11828905</v>
      </c>
      <c r="C12" s="6" t="n">
        <v>14247232</v>
      </c>
      <c r="D12" s="6" t="n">
        <v>11959308</v>
      </c>
      <c r="E12" s="6" t="n">
        <v>8250</v>
      </c>
      <c r="F12" s="6" t="n">
        <v>17750</v>
      </c>
      <c r="G12" s="6" t="n">
        <v>13081</v>
      </c>
      <c r="H12" s="6" t="n">
        <v>12476</v>
      </c>
      <c r="I12" s="6" t="n">
        <v>18577</v>
      </c>
    </row>
    <row r="13">
      <c r="A13" s="6" t="inlineStr">
        <is>
          <t>Prepayments and accrued income</t>
        </is>
      </c>
      <c r="B13" s="6" t="n">
        <v>299078</v>
      </c>
      <c r="C13" s="6" t="n">
        <v>410388</v>
      </c>
      <c r="D13" s="6" t="n">
        <v>267423</v>
      </c>
      <c r="E13" s="6" t="n">
        <v>267150</v>
      </c>
      <c r="F13" s="6" t="n">
        <v>321998</v>
      </c>
      <c r="G13" s="6" t="n">
        <v>287516</v>
      </c>
      <c r="H13" s="6" t="n">
        <v>408722</v>
      </c>
      <c r="I13" s="6" t="n">
        <v>284598</v>
      </c>
    </row>
    <row r="14">
      <c r="A14" s="5" t="inlineStr">
        <is>
          <t>Total assets</t>
        </is>
      </c>
      <c r="B14" s="5" t="n">
        <v>285462333</v>
      </c>
      <c r="C14" s="5" t="n">
        <v>266650946</v>
      </c>
      <c r="D14" s="5" t="n">
        <v>276893185</v>
      </c>
      <c r="E14" s="5" t="n">
        <v>252188264</v>
      </c>
      <c r="F14" s="5" t="n">
        <v>251247132</v>
      </c>
      <c r="G14" s="5" t="n">
        <v>244326240</v>
      </c>
      <c r="H14" s="5" t="n">
        <v>198450609</v>
      </c>
      <c r="I14" s="5" t="n">
        <v>184245691</v>
      </c>
    </row>
    <row r="15">
      <c r="A15" s="5" t="inlineStr">
        <is>
          <t>Liabilities</t>
        </is>
      </c>
      <c r="B15" s="6" t="n"/>
      <c r="C15" s="6" t="n"/>
      <c r="D15" s="6" t="n"/>
      <c r="E15" s="6" t="n"/>
      <c r="F15" s="6" t="n"/>
      <c r="G15" s="6" t="n"/>
      <c r="H15" s="6" t="n"/>
      <c r="I15" s="6" t="n"/>
    </row>
    <row r="16">
      <c r="A16" s="6" t="inlineStr">
        <is>
          <t>Customer accounts</t>
        </is>
      </c>
      <c r="B16" s="6" t="n">
        <v>254118275</v>
      </c>
      <c r="C16" s="6" t="n">
        <v>241237545</v>
      </c>
      <c r="D16" s="6" t="n">
        <v>252228935</v>
      </c>
      <c r="E16" s="6" t="n">
        <v>230049991</v>
      </c>
      <c r="F16" s="6" t="n">
        <v>236212051</v>
      </c>
      <c r="G16" s="6" t="n">
        <v>231503315</v>
      </c>
      <c r="H16" s="6" t="n">
        <v>186411063</v>
      </c>
      <c r="I16" s="6" t="n">
        <v>171635444</v>
      </c>
    </row>
    <row r="17">
      <c r="A17" s="6" t="inlineStr">
        <is>
          <t>Other liabilities</t>
        </is>
      </c>
      <c r="B17" s="6" t="n">
        <v>557347</v>
      </c>
      <c r="C17" s="6" t="n">
        <v>689476</v>
      </c>
      <c r="D17" s="6" t="n">
        <v>681122</v>
      </c>
      <c r="E17" s="6" t="n">
        <v>131819</v>
      </c>
      <c r="F17" s="6" t="n">
        <v>139116</v>
      </c>
      <c r="G17" s="6" t="n">
        <v>112920</v>
      </c>
      <c r="H17" s="6" t="n">
        <v>11864</v>
      </c>
      <c r="I17" s="6" t="n">
        <v>12868</v>
      </c>
    </row>
    <row r="18">
      <c r="A18" s="6" t="inlineStr">
        <is>
          <t>Accruals and deferred income</t>
        </is>
      </c>
      <c r="B18" s="6" t="n"/>
      <c r="C18" s="6" t="n">
        <v>0</v>
      </c>
      <c r="D18" s="6" t="n">
        <v>915795</v>
      </c>
      <c r="E18" s="6" t="n">
        <v>756801</v>
      </c>
      <c r="F18" s="6" t="n">
        <v>453172</v>
      </c>
      <c r="G18" s="6" t="n">
        <v>517568</v>
      </c>
      <c r="H18" s="6" t="n">
        <v>361945</v>
      </c>
      <c r="I18" s="6" t="n">
        <v>443315</v>
      </c>
    </row>
    <row r="19">
      <c r="A19" s="6" t="inlineStr">
        <is>
          <t>Current tax liability</t>
        </is>
      </c>
      <c r="B19" s="6" t="n">
        <v>185893</v>
      </c>
      <c r="C19" s="6" t="n"/>
      <c r="D19" s="6" t="n"/>
      <c r="E19" s="6" t="n"/>
      <c r="F19" s="6" t="n"/>
      <c r="G19" s="6" t="n"/>
      <c r="H19" s="6" t="n"/>
      <c r="I19" s="6" t="n"/>
    </row>
    <row r="20">
      <c r="A20" s="6" t="inlineStr">
        <is>
          <t>Deferred tax liability</t>
        </is>
      </c>
      <c r="B20" s="6" t="n">
        <v>44631</v>
      </c>
      <c r="C20" s="6" t="n">
        <v>2303</v>
      </c>
      <c r="D20" s="6" t="n">
        <v>67671</v>
      </c>
      <c r="E20" s="6" t="n">
        <v>0</v>
      </c>
      <c r="F20" s="6" t="n">
        <v>0</v>
      </c>
      <c r="G20" s="6" t="n">
        <v>0</v>
      </c>
      <c r="H20" s="6" t="n">
        <v>13529</v>
      </c>
      <c r="I20" s="6" t="n">
        <v>11092</v>
      </c>
    </row>
    <row r="21">
      <c r="A21" s="5" t="inlineStr">
        <is>
          <t>Total liabilities</t>
        </is>
      </c>
      <c r="B21" s="5" t="n">
        <v>254906146</v>
      </c>
      <c r="C21" s="5" t="n">
        <v>241929324</v>
      </c>
      <c r="D21" s="5" t="n">
        <v>253893523</v>
      </c>
      <c r="E21" s="5" t="n">
        <v>230938611</v>
      </c>
      <c r="F21" s="5" t="n">
        <v>236804339</v>
      </c>
      <c r="G21" s="5" t="n">
        <v>232133803</v>
      </c>
      <c r="H21" s="5" t="n">
        <v>186798401</v>
      </c>
      <c r="I21" s="5" t="n">
        <v>172102719</v>
      </c>
    </row>
    <row r="22">
      <c r="A22" s="5" t="inlineStr">
        <is>
          <t>Equity</t>
        </is>
      </c>
      <c r="B22" s="6" t="n"/>
      <c r="C22" s="6" t="n"/>
      <c r="D22" s="6" t="n"/>
      <c r="E22" s="6" t="n"/>
      <c r="F22" s="6" t="n"/>
      <c r="G22" s="6" t="n"/>
      <c r="H22" s="6" t="n"/>
      <c r="I22" s="6" t="n"/>
    </row>
    <row r="23">
      <c r="A23" s="6" t="inlineStr">
        <is>
          <t>Called up share capital</t>
        </is>
      </c>
      <c r="B23" s="6" t="n">
        <v>25000000</v>
      </c>
      <c r="C23" s="6" t="n">
        <v>20000000</v>
      </c>
      <c r="D23" s="6" t="n">
        <v>20000000</v>
      </c>
      <c r="E23" s="6" t="n">
        <v>20000000</v>
      </c>
      <c r="F23" s="6" t="n">
        <v>13000000</v>
      </c>
      <c r="G23" s="6" t="n">
        <v>10000000</v>
      </c>
      <c r="H23" s="6" t="n">
        <v>10000000</v>
      </c>
      <c r="I23" s="6" t="n">
        <v>9000000</v>
      </c>
    </row>
    <row r="24">
      <c r="A24" s="6" t="inlineStr">
        <is>
          <t>Revaluation reserve</t>
        </is>
      </c>
      <c r="B24" s="6" t="n">
        <v>1777644</v>
      </c>
      <c r="C24" s="6" t="n">
        <v>1412663</v>
      </c>
      <c r="D24" s="6" t="n">
        <v>811847</v>
      </c>
      <c r="E24" s="6" t="n">
        <v>811847</v>
      </c>
      <c r="F24" s="6" t="n">
        <v>1132160</v>
      </c>
      <c r="G24" s="6" t="n">
        <v>1258277</v>
      </c>
      <c r="H24" s="6" t="n">
        <v>0</v>
      </c>
      <c r="I24" s="6" t="n">
        <v>0</v>
      </c>
    </row>
    <row r="25">
      <c r="A25" s="6" t="inlineStr">
        <is>
          <t>Profit and loss account</t>
        </is>
      </c>
      <c r="B25" s="6" t="n">
        <v>3778543</v>
      </c>
      <c r="C25" s="6" t="n">
        <v>3308959</v>
      </c>
      <c r="D25" s="6" t="n">
        <v>2187815</v>
      </c>
      <c r="E25" s="6" t="n">
        <v>437806</v>
      </c>
      <c r="F25" s="6" t="n">
        <v>310633</v>
      </c>
      <c r="G25" s="6" t="n">
        <v>934160</v>
      </c>
      <c r="H25" s="6" t="n">
        <v>1652208</v>
      </c>
      <c r="I25" s="6" t="n">
        <v>3142972</v>
      </c>
    </row>
    <row r="26">
      <c r="A26" s="5" t="inlineStr">
        <is>
          <t>Equity shareholder's funds</t>
        </is>
      </c>
      <c r="B26" s="5" t="n">
        <v>30556187</v>
      </c>
      <c r="C26" s="5" t="n">
        <v>24721622</v>
      </c>
      <c r="D26" s="5" t="n">
        <v>22999662</v>
      </c>
      <c r="E26" s="5" t="n">
        <v>21249653</v>
      </c>
      <c r="F26" s="5" t="n">
        <v>14442793</v>
      </c>
      <c r="G26" s="5" t="n">
        <v>12192437</v>
      </c>
      <c r="H26" s="5" t="n">
        <v>11652208</v>
      </c>
      <c r="I26" s="5" t="n">
        <v>12142972</v>
      </c>
    </row>
    <row r="27">
      <c r="A27" s="5" t="inlineStr">
        <is>
          <t>Total liabilities and equity</t>
        </is>
      </c>
      <c r="B27" s="5" t="n">
        <v>285462333</v>
      </c>
      <c r="C27" s="5" t="n">
        <v>266650946</v>
      </c>
      <c r="D27" s="5" t="n">
        <v>276893185</v>
      </c>
      <c r="E27" s="5" t="n">
        <v>252188264</v>
      </c>
      <c r="F27" s="5" t="n">
        <v>251247132</v>
      </c>
      <c r="G27" s="5" t="n">
        <v>244326240</v>
      </c>
      <c r="H27" s="5" t="n">
        <v>198450609</v>
      </c>
      <c r="I27" s="5" t="n">
        <v>184245691</v>
      </c>
    </row>
    <row r="29" ht="220" customHeight="1">
      <c r="A29" s="8" t="inlineStr">
        <is>
          <t>Sources - Reliance Bank Limited entity balance sheet, £:
FY2026: Annual Report and Accounts for year ended 31 March 2026, Balance Sheet, https://find-and-update.company-information.service.gov.uk/company/00068835/filing-history/MzUzNTUyMDU0NWFkaXF6a2N4/document?format=pdf&amp;download=0
FY2025: Annual Report and Accounts for year ended 31 March 2025, Balance Sheet, https://find-and-update.company-information.service.gov.uk/company/00068835/filing-history/MzQ3NTMwMjc2NGFkaXF6a2N4/document?format=pdf&amp;download=0
FY2024: Annual Report and Accounts for year ended 31 March 2024, Balance Sheet, https://find-and-update.company-information.service.gov.uk/company/00068835/filing-history/MzQzMDIwODk2MGFkaXF6a2N4/document?format=pdf&amp;download=0
FY2023: Annual Report and Accounts for year ended 31 March 2023, Balance Sheet, https://find-and-update.company-information.service.gov.uk/company/00068835/filing-history/MzM5NDkwNzg3NmFkaXF6a2N4/document?format=pdf&amp;download=0
FY2022: Annual Report and Accounts for year ended 31 March 2022, Balance Sheet, https://find-and-update.company-information.service.gov.uk/company/00068835/filing-history/MzM1MjMwMDYyNWFkaXF6a2N4/document?format=pdf&amp;download=0
FY2021: Annual Report and Accounts for year ended 31 March 2021, Balance Sheet, https://www.reliancebankltd.com/wp-content/uploads/2021/11/Reliance-Bank-Report-and-Accounts-for-the-year-ending-31March2021.pdf
FY2020: Annual Report and Accounts for year ended 31 March 2020, Balance Sheet, https://www.reliancebankltd.com/wp-content/uploads/2021/09/Reliance-Bank-Ltd-Annual-Accounts-for-the-year-ending-31March2020-1-1.pdf
FY2019: Annual Report and Accounts for year ended 31 March 2019, Balance Sheet,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The FY2024 Annual Report's FY2023 comparative balance sheet reclassifies figures relative to the FY2023 Annual Report's own originally published FY2023 balance sheet: Investment Property (£603,774) was folded into Other Assets, part of Loans and Advances to Banks was reclassified into Other Assets, and Other Liabilities/Accruals and Deferred Income were regrouped. Per project convention, each year's own originally published figures are used rather than a later restated comparative.
DEBT SECURITIES COMPOSITION: the 'Debt Securities' note (numbered variously 10, 11 or 9 across years - FY2019/FY2020 Report and Accounts p.38, FY2021 p.43, FY2023 p.43, FY2024 p.49, FY2025 p.52, FY2026 p.62) discloses a single line, '[Sterling Certificates of Deposit/Securities] Issued by [Commercial] Banks/Building Societies' (wording varies slightly by year), for every year FY2019-FY2026: 100% of the balance in every year is issued by banks/building societies (no UK government/gilts/sovereign or corporate/supranational/ABS component disclosed) and valued at amortised cost less impairment (the note states securities are 'generally held to maturity and valued at amortised cost'; the FY2026 accounting-policy note confirms subsequent measurement at amortised cost using the effective interest method - no FVOCI/FVTPL portion is disclosed in any year). Each year's note gives only a maturity-band breakdown (e.g. &lt;3 months, 3-6 months, etc.), not a further measurement-basis or issuer-type split - there is nothing to sub-divide against, so the row is relabelled in place rather than split into sub-rows.</t>
        </is>
      </c>
    </row>
  </sheetData>
  <mergeCells count="1">
    <mergeCell ref="A29:I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Income Statement</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Interest income</t>
        </is>
      </c>
      <c r="B4" s="6" t="n"/>
      <c r="C4" s="6" t="n"/>
      <c r="D4" s="6" t="n"/>
      <c r="E4" s="6" t="n"/>
      <c r="F4" s="6" t="n"/>
      <c r="G4" s="6" t="n"/>
      <c r="H4" s="6" t="n"/>
      <c r="I4" s="6" t="n"/>
    </row>
    <row r="5">
      <c r="A5" s="6" t="inlineStr">
        <is>
          <t>On debt securities</t>
        </is>
      </c>
      <c r="B5" s="6" t="n">
        <v>617560</v>
      </c>
      <c r="C5" s="6" t="n">
        <v>616711</v>
      </c>
      <c r="D5" s="6" t="n">
        <v>906012</v>
      </c>
      <c r="E5" s="6" t="n">
        <v>422427</v>
      </c>
      <c r="F5" s="6" t="n">
        <v>87111</v>
      </c>
      <c r="G5" s="6" t="n">
        <v>351962</v>
      </c>
      <c r="H5" s="6" t="n">
        <v>594066</v>
      </c>
      <c r="I5" s="6" t="n">
        <v>641280</v>
      </c>
    </row>
    <row r="6">
      <c r="A6" s="6" t="inlineStr">
        <is>
          <t>On loans and advances to customers</t>
        </is>
      </c>
      <c r="B6" s="6" t="n">
        <v>9112271</v>
      </c>
      <c r="C6" s="6" t="n">
        <v>8061008</v>
      </c>
      <c r="D6" s="6" t="n">
        <v>6720038</v>
      </c>
      <c r="E6" s="6" t="n">
        <v>4295434</v>
      </c>
      <c r="F6" s="6" t="n">
        <v>3007940</v>
      </c>
      <c r="G6" s="6" t="n"/>
      <c r="H6" s="6" t="n"/>
      <c r="I6" s="6" t="n"/>
    </row>
    <row r="7">
      <c r="A7" s="6" t="inlineStr">
        <is>
          <t>Bank and discount market deposits / Other</t>
        </is>
      </c>
      <c r="B7" s="6" t="n">
        <v>4105052</v>
      </c>
      <c r="C7" s="6" t="n">
        <v>5673987</v>
      </c>
      <c r="D7" s="6" t="n">
        <v>4004050</v>
      </c>
      <c r="E7" s="6" t="n">
        <v>2059797</v>
      </c>
      <c r="F7" s="6" t="n">
        <v>247053</v>
      </c>
      <c r="G7" s="6" t="n">
        <v>2231261</v>
      </c>
      <c r="H7" s="6" t="n">
        <v>2368407</v>
      </c>
      <c r="I7" s="6" t="n">
        <v>2114057</v>
      </c>
    </row>
    <row r="8">
      <c r="A8" s="5" t="inlineStr">
        <is>
          <t>Total interest income</t>
        </is>
      </c>
      <c r="B8" s="5" t="n">
        <v>13834883</v>
      </c>
      <c r="C8" s="5" t="n">
        <v>14351706</v>
      </c>
      <c r="D8" s="5" t="n">
        <v>11630100</v>
      </c>
      <c r="E8" s="5" t="n">
        <v>6777658</v>
      </c>
      <c r="F8" s="5" t="n">
        <v>3342104</v>
      </c>
      <c r="G8" s="5" t="n">
        <v>2583223</v>
      </c>
      <c r="H8" s="5" t="n">
        <v>2962473</v>
      </c>
      <c r="I8" s="5" t="n">
        <v>2755337</v>
      </c>
    </row>
    <row r="9">
      <c r="A9" s="6" t="inlineStr">
        <is>
          <t>Interest expense</t>
        </is>
      </c>
      <c r="B9" s="6" t="n">
        <v>-4230881</v>
      </c>
      <c r="C9" s="6" t="n">
        <v>-4871055</v>
      </c>
      <c r="D9" s="6" t="n">
        <v>-2908023</v>
      </c>
      <c r="E9" s="6" t="n">
        <v>-1048467</v>
      </c>
      <c r="F9" s="6" t="n">
        <v>-226523</v>
      </c>
      <c r="G9" s="6" t="n">
        <v>-339335</v>
      </c>
      <c r="H9" s="6" t="n">
        <v>-888263</v>
      </c>
      <c r="I9" s="6" t="n">
        <v>-822418</v>
      </c>
    </row>
    <row r="10">
      <c r="A10" s="5" t="inlineStr">
        <is>
          <t>Net interest income</t>
        </is>
      </c>
      <c r="B10" s="5" t="n">
        <v>9604002</v>
      </c>
      <c r="C10" s="5" t="n">
        <v>9480651</v>
      </c>
      <c r="D10" s="5" t="n">
        <v>8722077</v>
      </c>
      <c r="E10" s="5" t="n">
        <v>5729191</v>
      </c>
      <c r="F10" s="5" t="n">
        <v>3115581</v>
      </c>
      <c r="G10" s="5" t="n">
        <v>2243888</v>
      </c>
      <c r="H10" s="5" t="n">
        <v>2074210</v>
      </c>
      <c r="I10" s="5" t="n">
        <v>1932919</v>
      </c>
    </row>
    <row r="11">
      <c r="A11" s="5" t="inlineStr">
        <is>
          <t>Fees, commissions and other operating income</t>
        </is>
      </c>
      <c r="B11" s="6" t="n"/>
      <c r="C11" s="6" t="n"/>
      <c r="D11" s="6" t="n"/>
      <c r="E11" s="6" t="n"/>
      <c r="F11" s="6" t="n"/>
      <c r="G11" s="6" t="n"/>
      <c r="H11" s="6" t="n"/>
      <c r="I11" s="6" t="n"/>
    </row>
    <row r="12">
      <c r="A12" s="6" t="inlineStr">
        <is>
          <t>Fees and commissions income</t>
        </is>
      </c>
      <c r="B12" s="6" t="n">
        <v>609353</v>
      </c>
      <c r="C12" s="6" t="n">
        <v>617013</v>
      </c>
      <c r="D12" s="6" t="n">
        <v>844088</v>
      </c>
      <c r="E12" s="6" t="n">
        <v>777631</v>
      </c>
      <c r="F12" s="6" t="n">
        <v>741012</v>
      </c>
      <c r="G12" s="6" t="n">
        <v>538562</v>
      </c>
      <c r="H12" s="6" t="n">
        <v>765852</v>
      </c>
      <c r="I12" s="6" t="n">
        <v>700492</v>
      </c>
    </row>
    <row r="13">
      <c r="A13" s="6" t="inlineStr">
        <is>
          <t>Other operating income</t>
        </is>
      </c>
      <c r="B13" s="6" t="n"/>
      <c r="C13" s="6" t="n">
        <v>0</v>
      </c>
      <c r="D13" s="6" t="n">
        <v>30214</v>
      </c>
      <c r="E13" s="6" t="n">
        <v>76718</v>
      </c>
      <c r="F13" s="6" t="n">
        <v>111614</v>
      </c>
      <c r="G13" s="6" t="n">
        <v>109094</v>
      </c>
      <c r="H13" s="6" t="n">
        <v>96892</v>
      </c>
      <c r="I13" s="6" t="n">
        <v>62245</v>
      </c>
    </row>
    <row r="14">
      <c r="A14" s="6" t="inlineStr">
        <is>
          <t>Fees and commissions expense</t>
        </is>
      </c>
      <c r="B14" s="6" t="n">
        <v>-513096</v>
      </c>
      <c r="C14" s="6" t="n">
        <v>-519874</v>
      </c>
      <c r="D14" s="6" t="n">
        <v>-506137</v>
      </c>
      <c r="E14" s="6" t="n">
        <v>-468192</v>
      </c>
      <c r="F14" s="6" t="n">
        <v>-466297</v>
      </c>
      <c r="G14" s="6" t="n">
        <v>-203075</v>
      </c>
      <c r="H14" s="6" t="n">
        <v>-256682</v>
      </c>
      <c r="I14" s="6" t="n">
        <v>-186947</v>
      </c>
    </row>
    <row r="15">
      <c r="A15" s="5" t="inlineStr">
        <is>
          <t>Net fees and commission income</t>
        </is>
      </c>
      <c r="B15" s="5" t="n">
        <v>96257</v>
      </c>
      <c r="C15" s="5" t="n">
        <v>97139</v>
      </c>
      <c r="D15" s="5" t="n">
        <v>368165</v>
      </c>
      <c r="E15" s="5" t="n">
        <v>386157</v>
      </c>
      <c r="F15" s="5" t="n">
        <v>386329</v>
      </c>
      <c r="G15" s="5" t="n"/>
      <c r="H15" s="5" t="n"/>
      <c r="I15" s="5" t="n"/>
    </row>
    <row r="16">
      <c r="A16" s="5" t="inlineStr">
        <is>
          <t>Operating income</t>
        </is>
      </c>
      <c r="B16" s="5" t="n">
        <v>9700259</v>
      </c>
      <c r="C16" s="5" t="n">
        <v>9577790</v>
      </c>
      <c r="D16" s="5" t="n">
        <v>9090242</v>
      </c>
      <c r="E16" s="5" t="n">
        <v>6115348</v>
      </c>
      <c r="F16" s="5" t="n">
        <v>3501910</v>
      </c>
      <c r="G16" s="5" t="n">
        <v>2688469</v>
      </c>
      <c r="H16" s="5" t="n">
        <v>2680272</v>
      </c>
      <c r="I16" s="5" t="n">
        <v>2508709</v>
      </c>
    </row>
    <row r="17">
      <c r="A17" s="5" t="inlineStr">
        <is>
          <t>Operating expenses</t>
        </is>
      </c>
      <c r="B17" s="6" t="n"/>
      <c r="C17" s="6" t="n"/>
      <c r="D17" s="6" t="n"/>
      <c r="E17" s="6" t="n"/>
      <c r="F17" s="6" t="n"/>
      <c r="G17" s="6" t="n"/>
      <c r="H17" s="6" t="n"/>
      <c r="I17" s="6" t="n"/>
    </row>
    <row r="18">
      <c r="A18" s="6" t="inlineStr">
        <is>
          <t>Administrative expenses</t>
        </is>
      </c>
      <c r="B18" s="6" t="n">
        <v>-7929596</v>
      </c>
      <c r="C18" s="6" t="n">
        <v>-7563544</v>
      </c>
      <c r="D18" s="6" t="n">
        <v>-6724210</v>
      </c>
      <c r="E18" s="6" t="n">
        <v>-5166893</v>
      </c>
      <c r="F18" s="6" t="n">
        <v>-3907710</v>
      </c>
      <c r="G18" s="6" t="n">
        <v>-3667941</v>
      </c>
      <c r="H18" s="6" t="n">
        <v>-2998818</v>
      </c>
      <c r="I18" s="6" t="n">
        <v>-1971987</v>
      </c>
    </row>
    <row r="19">
      <c r="A19" s="6" t="inlineStr">
        <is>
          <t>Amortisation</t>
        </is>
      </c>
      <c r="B19" s="6" t="n">
        <v>-71120</v>
      </c>
      <c r="C19" s="6" t="n">
        <v>-116162</v>
      </c>
      <c r="D19" s="6" t="n">
        <v>-175719</v>
      </c>
      <c r="E19" s="6" t="n">
        <v>-202157</v>
      </c>
      <c r="F19" s="6" t="n">
        <v>-203839</v>
      </c>
      <c r="G19" s="6" t="n">
        <v>-178797</v>
      </c>
      <c r="H19" s="6" t="n">
        <v>-160986</v>
      </c>
      <c r="I19" s="6" t="n">
        <v>-146267</v>
      </c>
    </row>
    <row r="20">
      <c r="A20" s="6" t="inlineStr">
        <is>
          <t>Depreciation</t>
        </is>
      </c>
      <c r="B20" s="6" t="n">
        <v>-370918</v>
      </c>
      <c r="C20" s="6" t="n">
        <v>-373648</v>
      </c>
      <c r="D20" s="6" t="n">
        <v>-262446</v>
      </c>
      <c r="E20" s="6" t="n">
        <v>-163034</v>
      </c>
      <c r="F20" s="6" t="n">
        <v>-156387</v>
      </c>
      <c r="G20" s="6" t="n">
        <v>-158545</v>
      </c>
      <c r="H20" s="6" t="n">
        <v>-101758</v>
      </c>
      <c r="I20" s="6" t="n">
        <v>-91616</v>
      </c>
    </row>
    <row r="21">
      <c r="A21" s="6" t="inlineStr">
        <is>
          <t>Revaluation of investment property</t>
        </is>
      </c>
      <c r="B21" s="6" t="n"/>
      <c r="C21" s="6" t="n"/>
      <c r="D21" s="6" t="n"/>
      <c r="E21" s="6" t="n">
        <v>-128301</v>
      </c>
      <c r="F21" s="6" t="n"/>
      <c r="G21" s="6" t="n"/>
      <c r="H21" s="6" t="n"/>
      <c r="I21" s="6" t="n"/>
    </row>
    <row r="22">
      <c r="A22" s="6" t="inlineStr">
        <is>
          <t>Impairment (charge)/credit on loans and advances</t>
        </is>
      </c>
      <c r="B22" s="6" t="n">
        <v>-230821</v>
      </c>
      <c r="C22" s="6" t="n">
        <v>-93310</v>
      </c>
      <c r="D22" s="6" t="n">
        <v>-9455</v>
      </c>
      <c r="E22" s="6" t="n">
        <v>-221018</v>
      </c>
      <c r="F22" s="6" t="n">
        <v>16382</v>
      </c>
      <c r="G22" s="6" t="n">
        <v>38829</v>
      </c>
      <c r="H22" s="6" t="n">
        <v>-90466</v>
      </c>
      <c r="I22" s="6" t="n">
        <v>-105205</v>
      </c>
    </row>
    <row r="23">
      <c r="A23" s="5" t="inlineStr">
        <is>
          <t>Operating expenses</t>
        </is>
      </c>
      <c r="B23" s="5" t="n">
        <v>-8602455</v>
      </c>
      <c r="C23" s="5" t="n">
        <v>-8146664</v>
      </c>
      <c r="D23" s="5" t="n">
        <v>-7171830</v>
      </c>
      <c r="E23" s="5" t="n">
        <v>-5881403</v>
      </c>
      <c r="F23" s="5" t="n">
        <v>-4251554</v>
      </c>
      <c r="G23" s="5" t="n">
        <v>-4508727</v>
      </c>
      <c r="H23" s="5" t="n">
        <v>-4168599</v>
      </c>
      <c r="I23" s="5" t="n">
        <v>-3194202</v>
      </c>
    </row>
    <row r="24">
      <c r="A24" s="5" t="inlineStr">
        <is>
          <t>Profit/(loss) before tax</t>
        </is>
      </c>
      <c r="B24" s="5" t="n">
        <v>1097804</v>
      </c>
      <c r="C24" s="5" t="n">
        <v>1431126</v>
      </c>
      <c r="D24" s="5" t="n">
        <v>1918412</v>
      </c>
      <c r="E24" s="5" t="n">
        <v>233945</v>
      </c>
      <c r="F24" s="5" t="n">
        <v>-749644</v>
      </c>
      <c r="G24" s="5" t="n">
        <v>-1820258</v>
      </c>
      <c r="H24" s="5" t="n">
        <v>-1488327</v>
      </c>
      <c r="I24" s="5" t="n">
        <v>-685493</v>
      </c>
    </row>
    <row r="25">
      <c r="A25" s="6" t="inlineStr">
        <is>
          <t>Taxation charge/(credit)</t>
        </is>
      </c>
      <c r="B25" s="6" t="n">
        <v>-228220</v>
      </c>
      <c r="C25" s="6" t="n">
        <v>-209982</v>
      </c>
      <c r="D25" s="6" t="n">
        <v>-67671</v>
      </c>
      <c r="E25" s="6" t="n">
        <v>-106772</v>
      </c>
      <c r="F25" s="6" t="n">
        <v>140817</v>
      </c>
      <c r="G25" s="6" t="n">
        <v>459451</v>
      </c>
      <c r="H25" s="6" t="n">
        <v>-2437</v>
      </c>
      <c r="I25" s="6" t="n">
        <v>37634</v>
      </c>
    </row>
    <row r="26">
      <c r="A26" s="5" t="inlineStr">
        <is>
          <t>Profit/(loss) on activities after tax</t>
        </is>
      </c>
      <c r="B26" s="5" t="n">
        <v>869584</v>
      </c>
      <c r="C26" s="5" t="n">
        <v>1221144</v>
      </c>
      <c r="D26" s="5" t="n">
        <v>1850741</v>
      </c>
      <c r="E26" s="5" t="n">
        <v>127173</v>
      </c>
      <c r="F26" s="5" t="n">
        <v>-608827</v>
      </c>
      <c r="G26" s="5" t="n">
        <v>-1360807</v>
      </c>
      <c r="H26" s="5" t="n">
        <v>-1490764</v>
      </c>
      <c r="I26" s="5" t="n">
        <v>-647859</v>
      </c>
    </row>
    <row r="27">
      <c r="A27" s="5" t="inlineStr">
        <is>
          <t>Other comprehensive income</t>
        </is>
      </c>
      <c r="B27" s="6" t="n"/>
      <c r="C27" s="6" t="n"/>
      <c r="D27" s="6" t="n"/>
      <c r="E27" s="6" t="n"/>
      <c r="F27" s="6" t="n"/>
      <c r="G27" s="6" t="n"/>
      <c r="H27" s="6" t="n"/>
      <c r="I27" s="6" t="n"/>
    </row>
    <row r="28">
      <c r="A28" s="6" t="inlineStr">
        <is>
          <t>Revaluation of tangible fixed assets, net of deferred tax</t>
        </is>
      </c>
      <c r="B28" s="6" t="n">
        <v>364981</v>
      </c>
      <c r="C28" s="6" t="n">
        <v>600816</v>
      </c>
      <c r="D28" s="6" t="n"/>
      <c r="E28" s="6" t="n">
        <v>-320312</v>
      </c>
      <c r="F28" s="6" t="n"/>
      <c r="G28" s="6" t="n"/>
      <c r="H28" s="6" t="n"/>
      <c r="I28" s="6" t="n"/>
    </row>
    <row r="29">
      <c r="A29" s="6" t="inlineStr">
        <is>
          <t>Deferred tax rate change related to OCI items</t>
        </is>
      </c>
      <c r="B29" s="6" t="n"/>
      <c r="C29" s="6" t="n"/>
      <c r="D29" s="6" t="n"/>
      <c r="E29" s="6" t="n"/>
      <c r="F29" s="6" t="n">
        <v>-95118</v>
      </c>
      <c r="G29" s="6" t="n"/>
      <c r="H29" s="6" t="n"/>
      <c r="I29" s="6" t="n"/>
    </row>
    <row r="30">
      <c r="A30" s="5" t="inlineStr">
        <is>
          <t>Total comprehensive income/(loss) for the year</t>
        </is>
      </c>
      <c r="B30" s="5" t="n">
        <v>1234565</v>
      </c>
      <c r="C30" s="5" t="n">
        <v>1821960</v>
      </c>
      <c r="D30" s="5" t="n">
        <v>1850741</v>
      </c>
      <c r="E30" s="5" t="n">
        <v>-193139</v>
      </c>
      <c r="F30" s="5" t="n">
        <v>-703945</v>
      </c>
      <c r="G30" s="5" t="n"/>
      <c r="H30" s="5" t="n"/>
      <c r="I30" s="5" t="n"/>
    </row>
    <row r="32" ht="240" customHeight="1">
      <c r="A32" s="8" t="inlineStr">
        <is>
          <t>Sources - Reliance Bank Limited entity income statement, £:
FY2026: Annual Report and Accounts for year ended 31 March 2026, Income Statement and Statement of Comprehensive Income, https://find-and-update.company-information.service.gov.uk/company/00068835/filing-history/MzUzNTUyMDU0NWFkaXF6a2N4/document?format=pdf&amp;download=0
FY2025: Annual Report and Accounts for year ended 31 March 2025, Income Statement and Statement of Comprehensive Income, https://find-and-update.company-information.service.gov.uk/company/00068835/filing-history/MzQ3NTMwMjc2NGFkaXF6a2N4/document?format=pdf&amp;download=0
FY2024: Annual Report and Accounts for year ended 31 March 2024, Income Statement and Statement of Comprehensive Income, https://find-and-update.company-information.service.gov.uk/company/00068835/filing-history/MzQzMDIwODk2MGFkaXF6a2N4/document?format=pdf&amp;download=0
FY2023: Annual Report and Accounts for year ended 31 March 2023, Income Statement and Statement of Comprehensive Income, https://find-and-update.company-information.service.gov.uk/company/00068835/filing-history/MzM5NDkwNzg3NmFkaXF6a2N4/document?format=pdf&amp;download=0
FY2022: Annual Report and Accounts for year ended 31 March 2022, Income Statement and Statement of Comprehensive Income, https://find-and-update.company-information.service.gov.uk/company/00068835/filing-history/MzM1MjMwMDYyNWFkaXF6a2N4/document?format=pdf&amp;download=0
FY2021: Annual Report and Accounts for year ended 31 March 2021, Income Statement and Statement of Comprehensive Income, https://www.reliancebankltd.com/wp-content/uploads/2021/11/Reliance-Bank-Report-and-Accounts-for-the-year-ending-31March2021.pdf
FY2020: Annual Report and Accounts for year ended 31 March 2020, Income Statement and Statement of Comprehensive Income, https://www.reliancebankltd.com/wp-content/uploads/2021/09/Reliance-Bank-Ltd-Annual-Accounts-for-the-year-ending-31March2020-1-1.pdf
FY2019: Annual Report and Accounts for year ended 31 March 2019, Income Statement and Statement of Comprehensive Income,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Presentation notes: FY2026 relabelled the third interest-income line "Bank and Discount Market Deposits" (previously "Other") and combined fee income/expense into a single "Net Fees and Commission Income" row without a separate "Other Operating Income" line - blank cells reflect that year's own published structure. "Revaluation of Investment Property" was a charge only in FY2023. "Impairment Charge on Loans and Advances" was a credit (income) in FY2022, shown as a positive value here matching the report's own sign.</t>
        </is>
      </c>
    </row>
  </sheetData>
  <mergeCells count="1">
    <mergeCell ref="A32:I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Reliance Bank Limited - Statement of Changes in Equity</t>
        </is>
      </c>
    </row>
    <row r="2">
      <c r="A2" s="2" t="inlineStr">
        <is>
          <t>Entity basis, £; chronological roll-forward FY2022-FY2026. See source note.</t>
        </is>
      </c>
    </row>
    <row r="3">
      <c r="A3" s="4" t="inlineStr">
        <is>
          <t>Movement</t>
        </is>
      </c>
      <c r="B3" s="4" t="inlineStr">
        <is>
          <t>Called up share capital</t>
        </is>
      </c>
      <c r="C3" s="4" t="inlineStr">
        <is>
          <t>Revaluation reserve</t>
        </is>
      </c>
      <c r="D3" s="4" t="inlineStr">
        <is>
          <t>Profit and loss reserve</t>
        </is>
      </c>
      <c r="E3" s="4" t="inlineStr">
        <is>
          <t>Total shareholder funds</t>
        </is>
      </c>
    </row>
    <row r="4">
      <c r="A4" s="5" t="inlineStr">
        <is>
          <t>At 31 March 2021 (opening balance)</t>
        </is>
      </c>
      <c r="B4" s="5" t="n">
        <v>10000000</v>
      </c>
      <c r="C4" s="5" t="n">
        <v>1258277</v>
      </c>
      <c r="D4" s="5" t="n">
        <v>934160</v>
      </c>
      <c r="E4" s="5" t="n">
        <v>12192437</v>
      </c>
    </row>
    <row r="5">
      <c r="A5" s="6" t="inlineStr">
        <is>
          <t>Loss for the year (FY2022)</t>
        </is>
      </c>
      <c r="B5" s="6" t="n"/>
      <c r="C5" s="6" t="n"/>
      <c r="D5" s="6" t="n">
        <v>-608827</v>
      </c>
      <c r="E5" s="6" t="n">
        <v>-608827</v>
      </c>
    </row>
    <row r="6">
      <c r="A6" s="6" t="inlineStr">
        <is>
          <t>Reserve - depreciation on revaluation</t>
        </is>
      </c>
      <c r="B6" s="6" t="n"/>
      <c r="C6" s="6" t="n">
        <v>-30999</v>
      </c>
      <c r="D6" s="6" t="n">
        <v>30999</v>
      </c>
      <c r="E6" s="6" t="n">
        <v>0</v>
      </c>
    </row>
    <row r="7">
      <c r="A7" s="6" t="inlineStr">
        <is>
          <t>Reserve - deferred tax rate change</t>
        </is>
      </c>
      <c r="B7" s="6" t="n"/>
      <c r="C7" s="6" t="n">
        <v>-95118</v>
      </c>
      <c r="D7" s="6" t="n">
        <v>-45699</v>
      </c>
      <c r="E7" s="6" t="n">
        <v>-140817</v>
      </c>
    </row>
    <row r="8">
      <c r="A8" s="6" t="inlineStr">
        <is>
          <t>New shares issued</t>
        </is>
      </c>
      <c r="B8" s="6" t="n">
        <v>3000000</v>
      </c>
      <c r="C8" s="6" t="n"/>
      <c r="D8" s="6" t="n"/>
      <c r="E8" s="6" t="n">
        <v>3000000</v>
      </c>
    </row>
    <row r="9">
      <c r="A9" s="5" t="inlineStr">
        <is>
          <t>At 31 March 2022</t>
        </is>
      </c>
      <c r="B9" s="5" t="n">
        <v>13000000</v>
      </c>
      <c r="C9" s="5" t="n">
        <v>1132160</v>
      </c>
      <c r="D9" s="5" t="n">
        <v>310633</v>
      </c>
      <c r="E9" s="5" t="n">
        <v>14442793</v>
      </c>
    </row>
    <row r="10">
      <c r="A10" s="6" t="inlineStr">
        <is>
          <t>Revaluation, net of deferred tax (FY2023)</t>
        </is>
      </c>
      <c r="B10" s="6" t="n"/>
      <c r="C10" s="6" t="n">
        <v>-320313</v>
      </c>
      <c r="D10" s="6" t="n"/>
      <c r="E10" s="6" t="n">
        <v>-320313</v>
      </c>
    </row>
    <row r="11">
      <c r="A11" s="6" t="inlineStr">
        <is>
          <t>Profit for the year (FY2023)</t>
        </is>
      </c>
      <c r="B11" s="6" t="n"/>
      <c r="C11" s="6" t="n"/>
      <c r="D11" s="6" t="n">
        <v>127173</v>
      </c>
      <c r="E11" s="6" t="n">
        <v>127173</v>
      </c>
    </row>
    <row r="12">
      <c r="A12" s="6" t="inlineStr">
        <is>
          <t>New shares issued</t>
        </is>
      </c>
      <c r="B12" s="6" t="n">
        <v>7000000</v>
      </c>
      <c r="C12" s="6" t="n"/>
      <c r="D12" s="6" t="n"/>
      <c r="E12" s="6" t="n">
        <v>7000000</v>
      </c>
    </row>
    <row r="13">
      <c r="A13" s="5" t="inlineStr">
        <is>
          <t>At 31 March 2023</t>
        </is>
      </c>
      <c r="B13" s="5" t="n">
        <v>20000000</v>
      </c>
      <c r="C13" s="5" t="n">
        <v>811847</v>
      </c>
      <c r="D13" s="5" t="n">
        <v>437806</v>
      </c>
      <c r="E13" s="5" t="n">
        <v>21249653</v>
      </c>
    </row>
    <row r="14">
      <c r="A14" s="6" t="inlineStr">
        <is>
          <t>Profit for the year (FY2024)</t>
        </is>
      </c>
      <c r="B14" s="6" t="n"/>
      <c r="C14" s="6" t="n"/>
      <c r="D14" s="6" t="n">
        <v>1850741</v>
      </c>
      <c r="E14" s="6" t="n">
        <v>1850741</v>
      </c>
    </row>
    <row r="15">
      <c r="A15" s="6" t="inlineStr">
        <is>
          <t>Distributions to Salvation Army</t>
        </is>
      </c>
      <c r="B15" s="6" t="n"/>
      <c r="C15" s="6" t="n"/>
      <c r="D15" s="6" t="n">
        <v>-100000</v>
      </c>
      <c r="E15" s="6" t="n">
        <v>-100000</v>
      </c>
    </row>
    <row r="16">
      <c r="A16" s="6" t="inlineStr">
        <is>
          <t>Adjustment</t>
        </is>
      </c>
      <c r="B16" s="6" t="n"/>
      <c r="C16" s="6" t="n"/>
      <c r="D16" s="6" t="n">
        <v>-732</v>
      </c>
      <c r="E16" s="6" t="n">
        <v>-732</v>
      </c>
    </row>
    <row r="17">
      <c r="A17" s="5" t="inlineStr">
        <is>
          <t>At 31 March 2024</t>
        </is>
      </c>
      <c r="B17" s="5" t="n">
        <v>20000000</v>
      </c>
      <c r="C17" s="5" t="n">
        <v>811847</v>
      </c>
      <c r="D17" s="5" t="n">
        <v>2187815</v>
      </c>
      <c r="E17" s="5" t="n">
        <v>22999662</v>
      </c>
    </row>
    <row r="18">
      <c r="A18" s="6" t="inlineStr">
        <is>
          <t>Revaluation of property, net of deferred tax (FY2025)</t>
        </is>
      </c>
      <c r="B18" s="6" t="n"/>
      <c r="C18" s="6" t="n">
        <v>600816</v>
      </c>
      <c r="D18" s="6" t="n"/>
      <c r="E18" s="6" t="n">
        <v>600816</v>
      </c>
    </row>
    <row r="19">
      <c r="A19" s="6" t="inlineStr">
        <is>
          <t>Profit for the year (FY2025)</t>
        </is>
      </c>
      <c r="B19" s="6" t="n"/>
      <c r="C19" s="6" t="n"/>
      <c r="D19" s="6" t="n">
        <v>1221144</v>
      </c>
      <c r="E19" s="6" t="n">
        <v>1221144</v>
      </c>
    </row>
    <row r="20">
      <c r="A20" s="6" t="inlineStr">
        <is>
          <t>Distributions to Salvation Army</t>
        </is>
      </c>
      <c r="B20" s="6" t="n"/>
      <c r="C20" s="6" t="n"/>
      <c r="D20" s="6" t="n">
        <v>-100000</v>
      </c>
      <c r="E20" s="6" t="n">
        <v>-100000</v>
      </c>
    </row>
    <row r="21">
      <c r="A21" s="5" t="inlineStr">
        <is>
          <t>At 31 March 2025</t>
        </is>
      </c>
      <c r="B21" s="5" t="n">
        <v>20000000</v>
      </c>
      <c r="C21" s="5" t="n">
        <v>1412663</v>
      </c>
      <c r="D21" s="5" t="n">
        <v>3308959</v>
      </c>
      <c r="E21" s="5" t="n">
        <v>24721622</v>
      </c>
    </row>
    <row r="22">
      <c r="A22" s="6" t="inlineStr">
        <is>
          <t>New shares issued</t>
        </is>
      </c>
      <c r="B22" s="6" t="n">
        <v>5000000</v>
      </c>
      <c r="C22" s="6" t="n"/>
      <c r="D22" s="6" t="n"/>
      <c r="E22" s="6" t="n">
        <v>5000000</v>
      </c>
    </row>
    <row r="23">
      <c r="A23" s="6" t="inlineStr">
        <is>
          <t>Revaluation of property (FY2026)</t>
        </is>
      </c>
      <c r="B23" s="6" t="n"/>
      <c r="C23" s="6" t="n">
        <v>364981</v>
      </c>
      <c r="D23" s="6" t="n"/>
      <c r="E23" s="6" t="n">
        <v>364981</v>
      </c>
    </row>
    <row r="24">
      <c r="A24" s="6" t="inlineStr">
        <is>
          <t>Profit for the year (FY2026)</t>
        </is>
      </c>
      <c r="B24" s="6" t="n"/>
      <c r="C24" s="6" t="n"/>
      <c r="D24" s="6" t="n">
        <v>869584</v>
      </c>
      <c r="E24" s="6" t="n">
        <v>869584</v>
      </c>
    </row>
    <row r="25">
      <c r="A25" s="6" t="inlineStr">
        <is>
          <t>Distributions to Salvation Army</t>
        </is>
      </c>
      <c r="B25" s="6" t="n"/>
      <c r="C25" s="6" t="n"/>
      <c r="D25" s="6" t="n">
        <v>-400000</v>
      </c>
      <c r="E25" s="6" t="n">
        <v>-400000</v>
      </c>
    </row>
    <row r="26">
      <c r="A26" s="5" t="inlineStr">
        <is>
          <t>At 31 March 2026 (Total Equity)</t>
        </is>
      </c>
      <c r="B26" s="5" t="n">
        <v>25000000</v>
      </c>
      <c r="C26" s="5" t="n">
        <v>1777644</v>
      </c>
      <c r="D26" s="5" t="n">
        <v>3778543</v>
      </c>
      <c r="E26" s="5" t="n">
        <v>30556187</v>
      </c>
    </row>
    <row r="28" ht="150" customHeight="1">
      <c r="A28" s="8" t="inlineStr">
        <is>
          <t>Sources - Reliance Bank Limited entity Statement of Changes in Equity, £:
FY2026: Annual Report and Accounts for year ended 31 March 2026, Statement of Changes in Equity, https://find-and-update.company-information.service.gov.uk/company/00068835/filing-history/MzUzNTUyMDU0NWFkaXF6a2N4/document?format=pdf&amp;download=0
FY2025: Annual Report and Accounts for year ended 31 March 2025, Statement of Changes in Equity, https://find-and-update.company-information.service.gov.uk/company/00068835/filing-history/MzQ3NTMwMjc2NGFkaXF6a2N4/document?format=pdf&amp;download=0
FY2024: Annual Report and Accounts for year ended 31 March 2024, Statement of Changes in Equity, https://find-and-update.company-information.service.gov.uk/company/00068835/filing-history/MzQzMDIwODk2MGFkaXF6a2N4/document?format=pdf&amp;download=0
FY2023: Annual Report and Accounts for year ended 31 March 2023, Statement of Changes in Equity, https://find-and-update.company-information.service.gov.uk/company/00068835/filing-history/MzM5NDkwNzg3NmFkaXF6a2N4/document?format=pdf&amp;download=0
FY2022: Annual Report and Accounts for year ended 31 March 2022, Statement of Changes in Equity, https://find-and-update.company-information.service.gov.uk/company/00068835/filing-history/MzM1MjMwMDYyNWFkaXF6a2N4/document?format=pdf&amp;download=0
FY2021: Annual Report and Accounts for year ended 31 March 2021, Statement of Changes in Equity, https://www.reliancebankltd.com/wp-content/uploads/2021/11/Reliance-Bank-Report-and-Accounts-for-the-year-ending-31March2021.pdf
FY2020: Annual Report and Accounts for year ended 31 March 2020, Statement of Changes in Equity, https://www.reliancebankltd.com/wp-content/uploads/2021/09/Reliance-Bank-Ltd-Annual-Accounts-for-the-year-ending-31March2020-1-1.pdf
FY2019: Annual Report and Accounts for year ended 31 March 2019, Statement of Changes in Equity,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t>
        </is>
      </c>
    </row>
  </sheetData>
  <mergeCells count="1">
    <mergeCell ref="A28:E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Cash Flow Statement</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Cash flows from operating activities</t>
        </is>
      </c>
      <c r="B4" s="6" t="n"/>
      <c r="C4" s="6" t="n"/>
      <c r="D4" s="6" t="n"/>
      <c r="E4" s="6" t="n"/>
      <c r="F4" s="6" t="n"/>
      <c r="G4" s="6" t="n"/>
      <c r="H4" s="6" t="n"/>
      <c r="I4" s="6" t="n"/>
    </row>
    <row r="5">
      <c r="A5" s="6" t="inlineStr">
        <is>
          <t>Profit/(loss) before tax / operating loss</t>
        </is>
      </c>
      <c r="B5" s="6" t="n">
        <v>1097804</v>
      </c>
      <c r="C5" s="6" t="n">
        <v>1431126</v>
      </c>
      <c r="D5" s="6" t="n">
        <v>1918412</v>
      </c>
      <c r="E5" s="6" t="n">
        <v>233945</v>
      </c>
      <c r="F5" s="6" t="n">
        <v>-749645</v>
      </c>
      <c r="G5" s="6" t="n"/>
      <c r="H5" s="6" t="n"/>
      <c r="I5" s="6" t="n"/>
    </row>
    <row r="6">
      <c r="A6" s="6" t="inlineStr">
        <is>
          <t>Add back revaluation of investment property</t>
        </is>
      </c>
      <c r="B6" s="6" t="n"/>
      <c r="C6" s="6" t="n"/>
      <c r="D6" s="6" t="n"/>
      <c r="E6" s="6" t="n">
        <v>128301</v>
      </c>
      <c r="F6" s="6" t="n"/>
      <c r="G6" s="6" t="n"/>
      <c r="H6" s="6" t="n"/>
      <c r="I6" s="6" t="n"/>
    </row>
    <row r="7">
      <c r="A7" s="6" t="inlineStr">
        <is>
          <t>Movement in provision for bad debts</t>
        </is>
      </c>
      <c r="B7" s="6" t="n">
        <v>230821</v>
      </c>
      <c r="C7" s="6" t="n">
        <v>83855</v>
      </c>
      <c r="D7" s="6" t="n">
        <v>9455</v>
      </c>
      <c r="E7" s="6" t="n">
        <v>-221048</v>
      </c>
      <c r="F7" s="6" t="n">
        <v>16412</v>
      </c>
      <c r="G7" s="6" t="n"/>
      <c r="H7" s="6" t="n"/>
      <c r="I7" s="6" t="n"/>
    </row>
    <row r="8">
      <c r="A8" s="6" t="inlineStr">
        <is>
          <t>Movement in value of debt securities/investments</t>
        </is>
      </c>
      <c r="B8" s="6" t="n">
        <v>169844</v>
      </c>
      <c r="C8" s="6" t="n">
        <v>372879</v>
      </c>
      <c r="D8" s="6" t="n">
        <v>386849</v>
      </c>
      <c r="E8" s="6" t="n">
        <v>-813173</v>
      </c>
      <c r="F8" s="6" t="n">
        <v>179932</v>
      </c>
      <c r="G8" s="6" t="n"/>
      <c r="H8" s="6" t="n"/>
      <c r="I8" s="6" t="n"/>
    </row>
    <row r="9">
      <c r="A9" s="6" t="inlineStr">
        <is>
          <t>Amortisation of intangible fixed assets</t>
        </is>
      </c>
      <c r="B9" s="6" t="n">
        <v>71120</v>
      </c>
      <c r="C9" s="6" t="n">
        <v>116162</v>
      </c>
      <c r="D9" s="6" t="n">
        <v>175719</v>
      </c>
      <c r="E9" s="6" t="n">
        <v>202157</v>
      </c>
      <c r="F9" s="6" t="n">
        <v>203839</v>
      </c>
      <c r="G9" s="6" t="n"/>
      <c r="H9" s="6" t="n"/>
      <c r="I9" s="6" t="n"/>
    </row>
    <row r="10">
      <c r="A10" s="6" t="inlineStr">
        <is>
          <t>Depreciation of tangible fixed assets</t>
        </is>
      </c>
      <c r="B10" s="6" t="n">
        <v>370918</v>
      </c>
      <c r="C10" s="6" t="n">
        <v>373648</v>
      </c>
      <c r="D10" s="6" t="n">
        <v>262446</v>
      </c>
      <c r="E10" s="6" t="n">
        <v>163234</v>
      </c>
      <c r="F10" s="6" t="n">
        <v>156387</v>
      </c>
      <c r="G10" s="6" t="n"/>
      <c r="H10" s="6" t="n"/>
      <c r="I10" s="6" t="n"/>
    </row>
    <row r="11">
      <c r="A11" s="6" t="inlineStr">
        <is>
          <t>Other operating items included in reported subtotal (source arithmetic difference)</t>
        </is>
      </c>
      <c r="B11" s="6" t="n">
        <v>67891</v>
      </c>
      <c r="C11" s="6" t="n"/>
      <c r="D11" s="6" t="n"/>
      <c r="E11" s="6" t="n"/>
      <c r="F11" s="6" t="n">
        <v>1</v>
      </c>
      <c r="G11" s="6" t="n"/>
      <c r="H11" s="6" t="n"/>
      <c r="I11" s="6" t="n"/>
    </row>
    <row r="12">
      <c r="A12" s="6" t="inlineStr">
        <is>
          <t>(Decrease)/increase in prepayments and accrued income</t>
        </is>
      </c>
      <c r="B12" s="6" t="n">
        <v>111310</v>
      </c>
      <c r="C12" s="6" t="n">
        <v>-142965</v>
      </c>
      <c r="D12" s="6" t="n">
        <v>-274</v>
      </c>
      <c r="E12" s="6" t="n">
        <v>54848</v>
      </c>
      <c r="F12" s="6" t="n">
        <v>-34482</v>
      </c>
      <c r="G12" s="6" t="n"/>
      <c r="H12" s="6" t="n"/>
      <c r="I12" s="6" t="n"/>
    </row>
    <row r="13">
      <c r="A13" s="6" t="inlineStr">
        <is>
          <t>(Decrease)/increase in accruals and deferred income</t>
        </is>
      </c>
      <c r="B13" s="6" t="n">
        <v>0</v>
      </c>
      <c r="C13" s="6" t="n">
        <v>-915795</v>
      </c>
      <c r="D13" s="6" t="n">
        <v>722273</v>
      </c>
      <c r="E13" s="6" t="n">
        <v>303630</v>
      </c>
      <c r="F13" s="6" t="n">
        <v>-64396</v>
      </c>
      <c r="G13" s="6" t="n"/>
      <c r="H13" s="6" t="n"/>
      <c r="I13" s="6" t="n"/>
    </row>
    <row r="14">
      <c r="A14" s="6" t="inlineStr">
        <is>
          <t>(Decrease)/increase in other liabilities</t>
        </is>
      </c>
      <c r="B14" s="6" t="n">
        <v>-132129</v>
      </c>
      <c r="C14" s="6" t="n">
        <v>8354</v>
      </c>
      <c r="D14" s="6" t="n">
        <v>-13969</v>
      </c>
      <c r="E14" s="6" t="n">
        <v>-7297</v>
      </c>
      <c r="F14" s="6" t="n">
        <v>26197</v>
      </c>
      <c r="G14" s="6" t="n"/>
      <c r="H14" s="6" t="n"/>
      <c r="I14" s="6" t="n"/>
    </row>
    <row r="15">
      <c r="A15" s="6" t="inlineStr">
        <is>
          <t>(Increase)/decrease in other assets</t>
        </is>
      </c>
      <c r="B15" s="6" t="n">
        <v>-47072</v>
      </c>
      <c r="C15" s="6" t="n">
        <v>-11150</v>
      </c>
      <c r="D15" s="6" t="n">
        <v>-524</v>
      </c>
      <c r="E15" s="6" t="n">
        <v>9499</v>
      </c>
      <c r="F15" s="6" t="n">
        <v>-4671</v>
      </c>
      <c r="G15" s="6" t="n"/>
      <c r="H15" s="6" t="n"/>
      <c r="I15" s="6" t="n"/>
    </row>
    <row r="16">
      <c r="A16" s="5" t="inlineStr">
        <is>
          <t>Cash flows from operating activities before changes in operating assets and liabilities</t>
        </is>
      </c>
      <c r="B16" s="5" t="n">
        <v>1940507</v>
      </c>
      <c r="C16" s="5" t="n">
        <v>1316114</v>
      </c>
      <c r="D16" s="5" t="n">
        <v>3460387</v>
      </c>
      <c r="E16" s="5" t="n">
        <v>54096</v>
      </c>
      <c r="F16" s="5" t="n">
        <v>-270426</v>
      </c>
      <c r="G16" s="5" t="n"/>
      <c r="H16" s="5" t="n"/>
      <c r="I16" s="5" t="n"/>
    </row>
    <row r="17">
      <c r="A17" s="6" t="inlineStr">
        <is>
          <t>Increase in loans and advances to customers</t>
        </is>
      </c>
      <c r="B17" s="6" t="n">
        <v>-4886899</v>
      </c>
      <c r="C17" s="6" t="n">
        <v>-16375104</v>
      </c>
      <c r="D17" s="6" t="n">
        <v>-6940602</v>
      </c>
      <c r="E17" s="6" t="n">
        <v>-22074877</v>
      </c>
      <c r="F17" s="6" t="n">
        <v>-19032850</v>
      </c>
      <c r="G17" s="6" t="n"/>
      <c r="H17" s="6" t="n"/>
      <c r="I17" s="6" t="n"/>
    </row>
    <row r="18">
      <c r="A18" s="6" t="inlineStr">
        <is>
          <t>Increase/(decrease) in customer accounts</t>
        </is>
      </c>
      <c r="B18" s="6" t="n">
        <v>12880730</v>
      </c>
      <c r="C18" s="6" t="n">
        <v>-10991390</v>
      </c>
      <c r="D18" s="6" t="n">
        <v>22178943</v>
      </c>
      <c r="E18" s="6" t="n">
        <v>-6162060</v>
      </c>
      <c r="F18" s="6" t="n">
        <v>4708736</v>
      </c>
      <c r="G18" s="6" t="n"/>
      <c r="H18" s="6" t="n"/>
      <c r="I18" s="6" t="n"/>
    </row>
    <row r="19">
      <c r="A19" s="6" t="inlineStr">
        <is>
          <t>Other operating items included in reported operating cash total (source arithmetic difference)</t>
        </is>
      </c>
      <c r="B19" s="6" t="n">
        <v>-67891</v>
      </c>
      <c r="C19" s="6" t="n"/>
      <c r="D19" s="6" t="n"/>
      <c r="E19" s="6" t="n"/>
      <c r="F19" s="6" t="n">
        <v>1</v>
      </c>
      <c r="G19" s="6" t="n"/>
      <c r="H19" s="6" t="n"/>
      <c r="I19" s="6" t="n"/>
    </row>
    <row r="20">
      <c r="A20" s="5" t="inlineStr">
        <is>
          <t>Net cash from/(used in) operating activities</t>
        </is>
      </c>
      <c r="B20" s="5" t="n">
        <v>9866447</v>
      </c>
      <c r="C20" s="5" t="n">
        <v>-26050380</v>
      </c>
      <c r="D20" s="5" t="n">
        <v>18698728</v>
      </c>
      <c r="E20" s="5" t="n">
        <v>-28182841</v>
      </c>
      <c r="F20" s="5" t="n">
        <v>-14594539</v>
      </c>
      <c r="G20" s="5" t="n">
        <v>19788171</v>
      </c>
      <c r="H20" s="5" t="n">
        <v>7440459</v>
      </c>
      <c r="I20" s="5" t="n">
        <v>-27420769</v>
      </c>
    </row>
    <row r="21">
      <c r="A21" s="5" t="inlineStr">
        <is>
          <t>Cash flows from investing activities</t>
        </is>
      </c>
      <c r="B21" s="6" t="n"/>
      <c r="C21" s="6" t="n"/>
      <c r="D21" s="6" t="n"/>
      <c r="E21" s="6" t="n"/>
      <c r="F21" s="6" t="n"/>
      <c r="G21" s="6" t="n"/>
      <c r="H21" s="6" t="n"/>
      <c r="I21" s="6" t="n"/>
    </row>
    <row r="22">
      <c r="A22" s="6" t="inlineStr">
        <is>
          <t>Sale and maturity of debt securities</t>
        </is>
      </c>
      <c r="B22" s="6" t="n">
        <v>66320081</v>
      </c>
      <c r="C22" s="6" t="n">
        <v>74717939</v>
      </c>
      <c r="D22" s="6" t="n">
        <v>54372721</v>
      </c>
      <c r="E22" s="6" t="n">
        <v>49694094</v>
      </c>
      <c r="F22" s="6" t="n">
        <v>33000000</v>
      </c>
      <c r="G22" s="6" t="n"/>
      <c r="H22" s="6" t="n"/>
      <c r="I22" s="6" t="n"/>
    </row>
    <row r="23">
      <c r="A23" s="6" t="inlineStr">
        <is>
          <t>Purchase of debt securities</t>
        </is>
      </c>
      <c r="B23" s="6" t="n">
        <v>-83182860</v>
      </c>
      <c r="C23" s="6" t="n">
        <v>-80507526</v>
      </c>
      <c r="D23" s="6" t="n">
        <v>-47513462</v>
      </c>
      <c r="E23" s="6" t="n">
        <v>-47661362</v>
      </c>
      <c r="F23" s="6" t="n">
        <v>-26840989</v>
      </c>
      <c r="G23" s="6" t="n"/>
      <c r="H23" s="6" t="n"/>
      <c r="I23" s="6" t="n"/>
    </row>
    <row r="24">
      <c r="A24" s="6" t="inlineStr">
        <is>
          <t>Purchase of intangible fixed assets</t>
        </is>
      </c>
      <c r="B24" s="6" t="n">
        <v>-23026</v>
      </c>
      <c r="C24" s="6" t="n">
        <v>-143693</v>
      </c>
      <c r="D24" s="6" t="n">
        <v>-39045</v>
      </c>
      <c r="E24" s="6" t="n">
        <v>-43194</v>
      </c>
      <c r="F24" s="6" t="n">
        <v>-254508</v>
      </c>
      <c r="G24" s="6" t="n"/>
      <c r="H24" s="6" t="n"/>
      <c r="I24" s="6" t="n"/>
    </row>
    <row r="25">
      <c r="A25" s="6" t="inlineStr">
        <is>
          <t>Purchase of tangible fixed assets</t>
        </is>
      </c>
      <c r="B25" s="6" t="n">
        <v>-105786</v>
      </c>
      <c r="C25" s="6" t="n">
        <v>-758943</v>
      </c>
      <c r="D25" s="6" t="n">
        <v>-72957</v>
      </c>
      <c r="E25" s="6" t="n">
        <v>-215926</v>
      </c>
      <c r="F25" s="6" t="n">
        <v>-26765</v>
      </c>
      <c r="G25" s="6" t="n"/>
      <c r="H25" s="6" t="n"/>
      <c r="I25" s="6" t="n"/>
    </row>
    <row r="26">
      <c r="A26" s="6" t="inlineStr">
        <is>
          <t>Movement in interest on security deposit</t>
        </is>
      </c>
      <c r="B26" s="6" t="n">
        <v>840758</v>
      </c>
      <c r="C26" s="6" t="n">
        <v>4899</v>
      </c>
      <c r="D26" s="6" t="n">
        <v>-23038</v>
      </c>
      <c r="E26" s="6" t="n">
        <v>-7249</v>
      </c>
      <c r="F26" s="6" t="n"/>
      <c r="G26" s="6" t="n"/>
      <c r="H26" s="6" t="n"/>
      <c r="I26" s="6" t="n"/>
    </row>
    <row r="27">
      <c r="A27" s="6" t="inlineStr">
        <is>
          <t>Net movement in loans and advances to banks not recoverable on demand</t>
        </is>
      </c>
      <c r="B27" s="6" t="n"/>
      <c r="C27" s="6" t="n"/>
      <c r="D27" s="6" t="n"/>
      <c r="E27" s="6" t="n"/>
      <c r="F27" s="6" t="n">
        <v>14498971</v>
      </c>
      <c r="G27" s="6" t="n"/>
      <c r="H27" s="6" t="n"/>
      <c r="I27" s="6" t="n"/>
    </row>
    <row r="28">
      <c r="A28" s="5" t="inlineStr">
        <is>
          <t>Net cash from/(used in) investing activities</t>
        </is>
      </c>
      <c r="B28" s="5" t="n">
        <v>-16150833</v>
      </c>
      <c r="C28" s="5" t="n">
        <v>-6687324</v>
      </c>
      <c r="D28" s="5" t="n">
        <v>6724219</v>
      </c>
      <c r="E28" s="5" t="n">
        <v>1766363</v>
      </c>
      <c r="F28" s="5" t="n">
        <v>20376709</v>
      </c>
      <c r="G28" s="5" t="n">
        <v>15545473</v>
      </c>
      <c r="H28" s="5" t="n">
        <v>12855842</v>
      </c>
      <c r="I28" s="5" t="n">
        <v>36459741</v>
      </c>
    </row>
    <row r="29">
      <c r="A29" s="5" t="inlineStr">
        <is>
          <t>Cash flows from financing activities</t>
        </is>
      </c>
      <c r="B29" s="6" t="n"/>
      <c r="C29" s="6" t="n"/>
      <c r="D29" s="6" t="n"/>
      <c r="E29" s="6" t="n"/>
      <c r="F29" s="6" t="n"/>
      <c r="G29" s="6" t="n"/>
      <c r="H29" s="6" t="n"/>
      <c r="I29" s="6" t="n"/>
    </row>
    <row r="30">
      <c r="A30" s="6" t="inlineStr">
        <is>
          <t>Issue of ordinary shares</t>
        </is>
      </c>
      <c r="B30" s="6" t="n">
        <v>5000000</v>
      </c>
      <c r="C30" s="6" t="n"/>
      <c r="D30" s="6" t="n"/>
      <c r="E30" s="6" t="n">
        <v>7000000</v>
      </c>
      <c r="F30" s="6" t="n">
        <v>3000000</v>
      </c>
      <c r="G30" s="6" t="n"/>
      <c r="H30" s="6" t="n"/>
      <c r="I30" s="6" t="n"/>
    </row>
    <row r="31">
      <c r="A31" s="6" t="inlineStr">
        <is>
          <t>Distribution to parent company/Salvation Army</t>
        </is>
      </c>
      <c r="B31" s="6" t="n">
        <v>-400000</v>
      </c>
      <c r="C31" s="6" t="n">
        <v>-100000</v>
      </c>
      <c r="D31" s="6" t="n">
        <v>-100000</v>
      </c>
      <c r="E31" s="6" t="n"/>
      <c r="F31" s="6" t="n"/>
      <c r="G31" s="6" t="n"/>
      <c r="H31" s="6" t="n"/>
      <c r="I31" s="6" t="n"/>
    </row>
    <row r="32">
      <c r="A32" s="5" t="inlineStr">
        <is>
          <t>Net cash from/(used in) financing activities</t>
        </is>
      </c>
      <c r="B32" s="5" t="n">
        <v>4600000</v>
      </c>
      <c r="C32" s="5" t="n">
        <v>-100000</v>
      </c>
      <c r="D32" s="5" t="n">
        <v>-100000</v>
      </c>
      <c r="E32" s="5" t="n">
        <v>7000000</v>
      </c>
      <c r="F32" s="5" t="n">
        <v>3000000</v>
      </c>
      <c r="G32" s="5" t="n">
        <v>0</v>
      </c>
      <c r="H32" s="5" t="n">
        <v>1000000</v>
      </c>
      <c r="I32" s="5" t="n">
        <v>1500000</v>
      </c>
    </row>
    <row r="33">
      <c r="A33" s="5" t="inlineStr">
        <is>
          <t>Increase/(decrease) in cash and cash equivalents</t>
        </is>
      </c>
      <c r="B33" s="5" t="n">
        <v>-1684386</v>
      </c>
      <c r="C33" s="5" t="n">
        <v>-32837704</v>
      </c>
      <c r="D33" s="5" t="n">
        <v>25322947</v>
      </c>
      <c r="E33" s="5" t="n">
        <v>-19416478</v>
      </c>
      <c r="F33" s="5" t="n">
        <v>8782169</v>
      </c>
      <c r="G33" s="5" t="n">
        <v>35333644</v>
      </c>
      <c r="H33" s="5" t="n">
        <v>21296301</v>
      </c>
      <c r="I33" s="5" t="n">
        <v>10538972</v>
      </c>
    </row>
    <row r="34">
      <c r="A34" s="6" t="inlineStr">
        <is>
          <t>Cash and cash equivalents at 1 April/beginning of reporting period</t>
        </is>
      </c>
      <c r="B34" s="6" t="n">
        <v>87080370</v>
      </c>
      <c r="C34" s="6" t="n">
        <v>119918074</v>
      </c>
      <c r="D34" s="6" t="n">
        <v>94595127</v>
      </c>
      <c r="E34" s="6" t="n">
        <v>114011605</v>
      </c>
      <c r="F34" s="6" t="n">
        <v>105229436</v>
      </c>
      <c r="G34" s="6" t="n">
        <v>69895792</v>
      </c>
      <c r="H34" s="6" t="n">
        <v>48599491</v>
      </c>
      <c r="I34" s="6" t="n">
        <v>38060520</v>
      </c>
    </row>
    <row r="35">
      <c r="A35" s="5" t="inlineStr">
        <is>
          <t>Cash and cash equivalents at 31 March/end of reporting period</t>
        </is>
      </c>
      <c r="B35" s="5" t="n">
        <v>85395984</v>
      </c>
      <c r="C35" s="5" t="n">
        <v>87080370</v>
      </c>
      <c r="D35" s="5" t="n">
        <v>119918074</v>
      </c>
      <c r="E35" s="5" t="n">
        <v>94595127</v>
      </c>
      <c r="F35" s="5" t="n">
        <v>114011606</v>
      </c>
      <c r="G35" s="5" t="n">
        <v>105229436</v>
      </c>
      <c r="H35" s="5" t="n">
        <v>69895792</v>
      </c>
      <c r="I35" s="5" t="n">
        <v>48599492</v>
      </c>
    </row>
    <row r="37" ht="220" customHeight="1">
      <c r="A37" s="8" t="inlineStr">
        <is>
          <t>Sources - Reliance Bank Limited entity cash flows, £:
FY2026: Annual Report and Accounts for year ended 31 March 2026, cash-flow statement and notes 23-25, https://find-and-update.company-information.service.gov.uk/company/00068835/filing-history/MzUzNTUyMDU0NWFkaXF6a2N4/document?format=pdf&amp;download=0
FY2025: Annual Report and Accounts for year ended 31 March 2025, cash-flow statement and notes 23-25, https://find-and-update.company-information.service.gov.uk/company/00068835/filing-history/MzQ3NTMwMjc2NGFkaXF6a2N4/document?format=pdf&amp;download=0
FY2024: Annual Report and Accounts for year ended 31 March 2024, cash-flow statement and notes 23-25, https://find-and-update.company-information.service.gov.uk/company/00068835/filing-history/MzQzMDIwODk2MGFkaXF6a2N4/document?format=pdf&amp;download=0
FY2023: Annual Report and Accounts for year ended 31 March 2023, cash-flow statement and notes 23-25, https://find-and-update.company-information.service.gov.uk/company/00068835/filing-history/MzM5NDkwNzg3NmFkaXF6a2N4/document?format=pdf&amp;download=0
FY2022: Annual Report and Accounts for year ended 31 March 2022, cash-flow statement and notes 23-25, https://find-and-update.company-information.service.gov.uk/company/00068835/filing-history/MzM1MjMwMDYyNWFkaXF6a2N4/document?format=pdf&amp;download=0
FY2021: Annual Report and Accounts for year ended 31 March 2021, cash-flow statement and notes 23-25, https://www.reliancebankltd.com/wp-content/uploads/2021/11/Reliance-Bank-Report-and-Accounts-for-the-year-ending-31March2021.pdf
FY2020: Annual Report and Accounts for year ended 31 March 2020, cash-flow statement and notes 23-25, https://www.reliancebankltd.com/wp-content/uploads/2021/09/Reliance-Bank-Ltd-Annual-Accounts-for-the-year-ending-31March2020-1-1.pdf
FY2019: Annual Report and Accounts for year ended 31 March 2019, cash-flow statement and notes 23-25,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t>
        </is>
      </c>
    </row>
  </sheetData>
  <mergeCells count="1">
    <mergeCell ref="A37:I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Asset Quality</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Loan book by product</t>
        </is>
      </c>
      <c r="B4" s="6" t="n"/>
      <c r="C4" s="6" t="n"/>
      <c r="D4" s="6" t="n"/>
      <c r="E4" s="6" t="n"/>
      <c r="F4" s="6" t="n"/>
      <c r="G4" s="6" t="n"/>
      <c r="H4" s="6" t="n"/>
      <c r="I4" s="6" t="n"/>
    </row>
    <row r="5">
      <c r="A5" s="6" t="inlineStr">
        <is>
          <t>Overdrafts (recoverable on demand)</t>
        </is>
      </c>
      <c r="B5" s="6" t="n">
        <v>15167</v>
      </c>
      <c r="C5" s="6" t="n">
        <v>1591</v>
      </c>
      <c r="D5" s="6" t="n">
        <v>446798</v>
      </c>
      <c r="E5" s="6" t="n">
        <v>327417</v>
      </c>
      <c r="F5" s="6" t="n">
        <v>458905</v>
      </c>
      <c r="G5" s="6" t="n"/>
      <c r="H5" s="6" t="n"/>
      <c r="I5" s="6" t="n"/>
    </row>
    <row r="6">
      <c r="A6" s="6" t="inlineStr">
        <is>
          <t>Mortgages</t>
        </is>
      </c>
      <c r="B6" s="6" t="n">
        <v>44833297</v>
      </c>
      <c r="C6" s="6" t="n">
        <v>61413123</v>
      </c>
      <c r="D6" s="6" t="n">
        <v>63859773</v>
      </c>
      <c r="E6" s="6" t="n">
        <v>60906781</v>
      </c>
      <c r="F6" s="6" t="n">
        <v>47009328</v>
      </c>
      <c r="G6" s="6" t="n"/>
      <c r="H6" s="6" t="n"/>
      <c r="I6" s="6" t="n"/>
    </row>
    <row r="7">
      <c r="A7" s="6" t="inlineStr">
        <is>
          <t>Loans / SME Loans</t>
        </is>
      </c>
      <c r="B7" s="6" t="n">
        <v>101847611</v>
      </c>
      <c r="C7" s="6" t="n">
        <v>80625283</v>
      </c>
      <c r="D7" s="6" t="n">
        <v>61442178</v>
      </c>
      <c r="E7" s="6" t="n">
        <v>57584138</v>
      </c>
      <c r="F7" s="6" t="n">
        <v>49054178</v>
      </c>
      <c r="G7" s="6" t="n"/>
      <c r="H7" s="6" t="n"/>
      <c r="I7" s="6" t="n"/>
    </row>
    <row r="8">
      <c r="A8" s="6" t="inlineStr">
        <is>
          <t>Impairment provision</t>
        </is>
      </c>
      <c r="B8" s="6" t="n">
        <v>-692585</v>
      </c>
      <c r="C8" s="6" t="n">
        <v>-461764</v>
      </c>
      <c r="D8" s="6" t="n">
        <v>-368454</v>
      </c>
      <c r="E8" s="6" t="n">
        <v>-358999</v>
      </c>
      <c r="F8" s="6" t="n">
        <v>-137981</v>
      </c>
      <c r="G8" s="6" t="n"/>
      <c r="H8" s="6" t="n"/>
      <c r="I8" s="6" t="n"/>
    </row>
    <row r="9">
      <c r="A9" s="5" t="inlineStr">
        <is>
          <t>Total loans and advances to customers</t>
        </is>
      </c>
      <c r="B9" s="5" t="n">
        <v>146696075</v>
      </c>
      <c r="C9" s="5" t="n">
        <v>142039997</v>
      </c>
      <c r="D9" s="5" t="n">
        <v>125748749</v>
      </c>
      <c r="E9" s="5" t="n">
        <v>118818336</v>
      </c>
      <c r="F9" s="5" t="n">
        <v>96522411</v>
      </c>
      <c r="G9" s="5" t="n"/>
      <c r="H9" s="5" t="n"/>
      <c r="I9" s="5" t="n"/>
    </row>
    <row r="10">
      <c r="A10" s="5" t="inlineStr">
        <is>
          <t>Impairment provision roll-forward</t>
        </is>
      </c>
      <c r="B10" s="6" t="n"/>
      <c r="C10" s="6" t="n"/>
      <c r="D10" s="6" t="n"/>
      <c r="E10" s="6" t="n"/>
      <c r="F10" s="6" t="n"/>
      <c r="G10" s="6" t="n"/>
      <c r="H10" s="6" t="n"/>
      <c r="I10" s="6" t="n"/>
    </row>
    <row r="11">
      <c r="A11" s="6" t="inlineStr">
        <is>
          <t>Provision at 1 April</t>
        </is>
      </c>
      <c r="B11" s="6" t="n">
        <v>461764</v>
      </c>
      <c r="C11" s="6" t="n">
        <v>368454</v>
      </c>
      <c r="D11" s="6" t="n">
        <v>358999</v>
      </c>
      <c r="E11" s="6" t="n">
        <v>137981</v>
      </c>
      <c r="F11" s="6" t="n">
        <v>154363</v>
      </c>
      <c r="G11" s="6" t="n"/>
      <c r="H11" s="6" t="n"/>
      <c r="I11" s="6" t="n"/>
    </row>
    <row r="12">
      <c r="A12" s="6" t="inlineStr">
        <is>
          <t>Increase in impairment provision</t>
        </is>
      </c>
      <c r="B12" s="6" t="n">
        <v>230821</v>
      </c>
      <c r="C12" s="6" t="n">
        <v>93310</v>
      </c>
      <c r="D12" s="6" t="n">
        <v>9455</v>
      </c>
      <c r="E12" s="6" t="n">
        <v>221018</v>
      </c>
      <c r="F12" s="6" t="n"/>
      <c r="G12" s="6" t="n"/>
      <c r="H12" s="6" t="n"/>
      <c r="I12" s="6" t="n"/>
    </row>
    <row r="13">
      <c r="A13" s="6" t="inlineStr">
        <is>
          <t>Release of impairment provision</t>
        </is>
      </c>
      <c r="B13" s="6" t="n"/>
      <c r="C13" s="6" t="n"/>
      <c r="D13" s="6" t="n"/>
      <c r="E13" s="6" t="n"/>
      <c r="F13" s="6" t="n">
        <v>-16382</v>
      </c>
      <c r="G13" s="6" t="n"/>
      <c r="H13" s="6" t="n"/>
      <c r="I13" s="6" t="n"/>
    </row>
    <row r="14">
      <c r="A14" s="5" t="inlineStr">
        <is>
          <t>Provision at 31 March</t>
        </is>
      </c>
      <c r="B14" s="5" t="n">
        <v>692585</v>
      </c>
      <c r="C14" s="5" t="n">
        <v>461764</v>
      </c>
      <c r="D14" s="5" t="n">
        <v>368454</v>
      </c>
      <c r="E14" s="5" t="n">
        <v>358999</v>
      </c>
      <c r="F14" s="5" t="n">
        <v>137981</v>
      </c>
      <c r="G14" s="5" t="n"/>
      <c r="H14" s="5" t="n"/>
      <c r="I14" s="5" t="n"/>
    </row>
    <row r="15">
      <c r="A15" s="5" t="inlineStr">
        <is>
          <t>Non-performing loans and advances to customers</t>
        </is>
      </c>
      <c r="B15" s="6" t="n"/>
      <c r="C15" s="6" t="n"/>
      <c r="D15" s="6" t="n"/>
      <c r="E15" s="6" t="n"/>
      <c r="F15" s="6" t="n"/>
      <c r="G15" s="6" t="n"/>
      <c r="H15" s="6" t="n"/>
      <c r="I15" s="6" t="n"/>
    </row>
    <row r="16">
      <c r="A16" s="6" t="inlineStr">
        <is>
          <t>Before provisions</t>
        </is>
      </c>
      <c r="B16" s="6" t="n">
        <v>2906004</v>
      </c>
      <c r="C16" s="6" t="n">
        <v>614575</v>
      </c>
      <c r="D16" s="6" t="n">
        <v>2153227</v>
      </c>
      <c r="E16" s="6" t="n">
        <v>1857399</v>
      </c>
      <c r="F16" s="6" t="n">
        <v>277279</v>
      </c>
      <c r="G16" s="6" t="n"/>
      <c r="H16" s="6" t="n"/>
      <c r="I16" s="6" t="n"/>
    </row>
    <row r="17">
      <c r="A17" s="6" t="inlineStr">
        <is>
          <t>Specific provision applied</t>
        </is>
      </c>
      <c r="B17" s="6" t="n">
        <v>-543921</v>
      </c>
      <c r="C17" s="6" t="n">
        <v>-361305</v>
      </c>
      <c r="D17" s="6" t="n">
        <v>-168000</v>
      </c>
      <c r="E17" s="6" t="n">
        <v>-106376</v>
      </c>
      <c r="F17" s="6" t="n">
        <v>-2289</v>
      </c>
      <c r="G17" s="6" t="n"/>
      <c r="H17" s="6" t="n"/>
      <c r="I17" s="6" t="n"/>
    </row>
    <row r="18">
      <c r="A18" s="5" t="inlineStr">
        <is>
          <t>After provisions</t>
        </is>
      </c>
      <c r="B18" s="5" t="n">
        <v>2362083</v>
      </c>
      <c r="C18" s="5" t="n">
        <v>253270</v>
      </c>
      <c r="D18" s="5" t="n">
        <v>1985227</v>
      </c>
      <c r="E18" s="5" t="n">
        <v>1751023</v>
      </c>
      <c r="F18" s="5" t="n">
        <v>274990</v>
      </c>
      <c r="G18" s="5" t="n"/>
      <c r="H18" s="5" t="n"/>
      <c r="I18" s="5" t="n"/>
    </row>
    <row r="19">
      <c r="A19" s="5" t="inlineStr">
        <is>
          <t>Derived ratios</t>
        </is>
      </c>
      <c r="B19" s="6" t="n"/>
      <c r="C19" s="6" t="n"/>
      <c r="D19" s="6" t="n"/>
      <c r="E19" s="6" t="n"/>
      <c r="F19" s="6" t="n"/>
      <c r="G19" s="6" t="n"/>
      <c r="H19" s="6" t="n"/>
      <c r="I19" s="6" t="n"/>
    </row>
    <row r="20">
      <c r="A20" s="6" t="inlineStr">
        <is>
          <t>NPL ratio (before provisions / gross loans)</t>
        </is>
      </c>
      <c r="B20" s="6" t="inlineStr">
        <is>
          <t>1.98%</t>
        </is>
      </c>
      <c r="C20" s="6" t="inlineStr">
        <is>
          <t>0.43%</t>
        </is>
      </c>
      <c r="D20" s="6" t="inlineStr">
        <is>
          <t>1.71%</t>
        </is>
      </c>
      <c r="E20" s="6" t="inlineStr">
        <is>
          <t>1.56%</t>
        </is>
      </c>
      <c r="F20" s="6" t="inlineStr">
        <is>
          <t>0.29%</t>
        </is>
      </c>
      <c r="G20" s="6" t="n"/>
      <c r="H20" s="6" t="n"/>
      <c r="I20" s="6" t="n"/>
    </row>
    <row r="21">
      <c r="A21" s="6" t="inlineStr">
        <is>
          <t>Coverage ratio (provision / NPL before provisions)</t>
        </is>
      </c>
      <c r="B21" s="6" t="inlineStr">
        <is>
          <t>23.84%</t>
        </is>
      </c>
      <c r="C21" s="6" t="inlineStr">
        <is>
          <t>75.13%</t>
        </is>
      </c>
      <c r="D21" s="6" t="inlineStr">
        <is>
          <t>17.11%</t>
        </is>
      </c>
      <c r="E21" s="6" t="inlineStr">
        <is>
          <t>19.33%</t>
        </is>
      </c>
      <c r="F21" s="6" t="inlineStr">
        <is>
          <t>49.76%</t>
        </is>
      </c>
      <c r="G21" s="6" t="n"/>
      <c r="H21" s="6" t="n"/>
      <c r="I21" s="6" t="n"/>
    </row>
    <row r="23" ht="200" customHeight="1">
      <c r="A23" s="8" t="inlineStr">
        <is>
          <t>Sources - Reliance Bank Limited entity loan book, £:
FY2026: Annual Report and Accounts for year ended 31 March 2026, Loans and Advances to Customers and Loan Loss Provisioning notes, https://find-and-update.company-information.service.gov.uk/company/00068835/filing-history/MzUzNTUyMDU0NWFkaXF6a2N4/document?format=pdf&amp;download=0
FY2025: Annual Report and Accounts for year ended 31 March 2025, Loans and Advances to Customers and Loan Loss Provisioning notes, https://find-and-update.company-information.service.gov.uk/company/00068835/filing-history/MzQ3NTMwMjc2NGFkaXF6a2N4/document?format=pdf&amp;download=0
FY2024: Annual Report and Accounts for year ended 31 March 2024, Loans and Advances to Customers and Loan Loss Provisioning notes, https://find-and-update.company-information.service.gov.uk/company/00068835/filing-history/MzQzMDIwODk2MGFkaXF6a2N4/document?format=pdf&amp;download=0
FY2023: Annual Report and Accounts for year ended 31 March 2023, Loans and Advances to Customers and Loan Loss Provisioning notes, https://find-and-update.company-information.service.gov.uk/company/00068835/filing-history/MzM5NDkwNzg3NmFkaXF6a2N4/document?format=pdf&amp;download=0
FY2022: Annual Report and Accounts for year ended 31 March 2022, Loans and Advances to Customers and Loan Loss Provisioning notes, https://find-and-update.company-information.service.gov.uk/company/00068835/filing-history/MzM1MjMwMDYyNWFkaXF6a2N4/document?format=pdf&amp;download=0
FY2021: Annual Report and Accounts for year ended 31 March 2021, Loans and Advances to Customers and Loan Loss Provisioning notes, https://www.reliancebankltd.com/wp-content/uploads/2021/11/Reliance-Bank-Report-and-Accounts-for-the-year-ending-31March2021.pdf
FY2020: Annual Report and Accounts for year ended 31 March 2020, Loans and Advances to Customers and Loan Loss Provisioning notes, https://www.reliancebankltd.com/wp-content/uploads/2021/09/Reliance-Bank-Ltd-Annual-Accounts-for-the-year-ending-31March2020-1-1.pdf
FY2019: Annual Report and Accounts for year ended 31 March 2019, Loans and Advances to Customers and Loan Loss Provisioning notes,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NPL ratio = non-performing loans and advances before provisions / total loans and advances to customers (gross of impairment provision, i.e. before the deduction shown on the Balance Sheet). Coverage ratio = impairment provision / non-performing loans and advances before provisions. Both are derived from disclosed figures, not themselves separately labelled ratios in the source. "Loans" was relabelled "SME Loans" in the FY2026 Annual Report - same underlying product line.</t>
        </is>
      </c>
    </row>
  </sheetData>
  <mergeCells count="1">
    <mergeCell ref="A23:I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CET1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CET1 capital</t>
        </is>
      </c>
      <c r="B4" s="6" t="n"/>
      <c r="C4" s="6" t="n"/>
      <c r="D4" s="6" t="n"/>
      <c r="E4" s="6" t="n">
        <v>20965000</v>
      </c>
      <c r="F4" s="6" t="n">
        <v>13952000</v>
      </c>
      <c r="G4" s="6" t="n"/>
      <c r="H4" s="6" t="n"/>
      <c r="I4" s="6" t="n"/>
    </row>
    <row r="5" ht="60" customHeight="1">
      <c r="A5" s="7" t="inlineStr">
        <is>
          <t>Note: £20,965,000 (FY2023) and £13,952,000 (FY2022) per the Pillar 3 Summary of Key Metrics table. FY2024-FY2026: not found - see RWA Breakdown sheet's access-gap note.</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I5"/>
    <mergeCell ref="A7:I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CET1 ratio</t>
        </is>
      </c>
      <c r="B4" s="6" t="inlineStr">
        <is>
          <t>21.8%</t>
        </is>
      </c>
      <c r="C4" s="6" t="inlineStr">
        <is>
          <t>19.9%</t>
        </is>
      </c>
      <c r="D4" s="6" t="inlineStr">
        <is>
          <t>20.7%</t>
        </is>
      </c>
      <c r="E4" s="6" t="inlineStr">
        <is>
          <t>23.1%</t>
        </is>
      </c>
      <c r="F4" s="6" t="inlineStr">
        <is>
          <t>18.2%</t>
        </is>
      </c>
      <c r="G4" s="6" t="inlineStr">
        <is>
          <t>15.7%</t>
        </is>
      </c>
      <c r="H4" s="6" t="inlineStr">
        <is>
          <t>17.7%</t>
        </is>
      </c>
      <c r="I4" s="6" t="inlineStr">
        <is>
          <t>20.2%</t>
        </is>
      </c>
    </row>
    <row r="6" ht="200" customHeight="1">
      <c r="A6"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Tier 1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capital</t>
        </is>
      </c>
      <c r="B4" s="6" t="n"/>
      <c r="C4" s="6" t="n"/>
      <c r="D4" s="6" t="n"/>
      <c r="E4" s="6" t="n"/>
      <c r="F4" s="6" t="n"/>
      <c r="G4" s="6" t="n"/>
      <c r="H4" s="6" t="n"/>
      <c r="I4" s="6" t="n"/>
    </row>
    <row r="5" ht="60" customHeight="1">
      <c r="A5" s="7" t="inlineStr">
        <is>
          <t>Note: Not publicly disclosed as an absolute amount; the Bank states its simple capital structure is primarily CET1 but this does not supply a Tier 1 amount.</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ratio</t>
        </is>
      </c>
      <c r="B4" s="6" t="n"/>
      <c r="C4" s="6" t="n"/>
      <c r="D4" s="6" t="n"/>
      <c r="E4" s="6" t="n"/>
      <c r="F4" s="6" t="n"/>
      <c r="G4" s="6" t="n"/>
      <c r="H4" s="6" t="n"/>
      <c r="I4" s="6" t="n"/>
    </row>
    <row r="5" ht="60" customHeight="1">
      <c r="A5" s="7" t="inlineStr">
        <is>
          <t>Note: Not publicly disclosed.</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Total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t>
        </is>
      </c>
      <c r="B4" s="6" t="n"/>
      <c r="C4" s="6" t="n"/>
      <c r="D4" s="6" t="n"/>
      <c r="E4" s="6" t="n">
        <v>21218000</v>
      </c>
      <c r="F4" s="6" t="n">
        <v>14137000</v>
      </c>
      <c r="G4" s="6" t="n"/>
      <c r="H4" s="6" t="n"/>
      <c r="I4" s="6" t="n"/>
    </row>
    <row r="5" ht="60" customHeight="1">
      <c r="A5" s="7" t="inlineStr">
        <is>
          <t>Note: £21,218,000 (FY2023) and £14,137,000 (FY2022) per the Pillar 3 Capital Resources table (CET1 capital prior to adjustments less CRR adjustments). FY2024-FY2026: not found - see RWA Breakdown sheet's access-gap note.</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 ratio</t>
        </is>
      </c>
      <c r="B4" s="6" t="n"/>
      <c r="C4" s="6" t="n"/>
      <c r="D4" s="6" t="n"/>
      <c r="E4" s="6" t="inlineStr">
        <is>
          <t>25.5%</t>
        </is>
      </c>
      <c r="F4" s="6" t="inlineStr">
        <is>
          <t>19.7%</t>
        </is>
      </c>
      <c r="G4" s="6" t="inlineStr">
        <is>
          <t>15.9%</t>
        </is>
      </c>
      <c r="H4" s="6" t="inlineStr">
        <is>
          <t>17.9%</t>
        </is>
      </c>
      <c r="I4" s="6" t="inlineStr">
        <is>
          <t>20.2%</t>
        </is>
      </c>
    </row>
    <row r="5" ht="60" customHeight="1">
      <c r="A5" s="7" t="inlineStr">
        <is>
          <t>Note: FY2023/FY2022 are derived from disclosed Pillar 3 capital and RWAs; FY2021-FY2019 are directly disclosed in the annual-report Strategic Report (FY2021: 15.9%; FY2020: 17.9%; FY2019: 20.2%). The accounts also disclose total capital requirement (TCR), a distinct figure not substituted here. FY2024-FY2026: not found.</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Total RWAs</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risk-weighted assets</t>
        </is>
      </c>
      <c r="B4" s="6" t="n"/>
      <c r="C4" s="6" t="n"/>
      <c r="D4" s="6" t="n"/>
      <c r="E4" s="6" t="n">
        <v>83146000</v>
      </c>
      <c r="F4" s="6" t="n">
        <v>71782000</v>
      </c>
      <c r="G4" s="6" t="n"/>
      <c r="H4" s="6" t="n"/>
      <c r="I4" s="6" t="n"/>
    </row>
    <row r="5" ht="60" customHeight="1">
      <c r="A5" s="7" t="inlineStr">
        <is>
          <t>Note: £83,146,000 (FY2023) and £71,782,000 (FY2022) per the Pillar 3 Summary of Key Metrics table; ties to the RWA Breakdown sheet's standardised-approach total. FY2024-FY2026: not found - see RWA Breakdown sheet's access-gap note.</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RWA Breakdown</t>
        </is>
      </c>
    </row>
    <row r="2">
      <c r="A2" s="2" t="inlineStr">
        <is>
          <t>Entity basis, £; standardised approach to credit risk, FY2023 and FY2022 only.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Standardised approach to credit risk - exposure and risk-weighted exposure</t>
        </is>
      </c>
      <c r="B4" s="6" t="n"/>
      <c r="C4" s="6" t="n"/>
      <c r="D4" s="6" t="n"/>
      <c r="E4" s="6" t="n"/>
      <c r="F4" s="6" t="n"/>
      <c r="G4" s="6" t="n"/>
      <c r="H4" s="6" t="n"/>
      <c r="I4" s="6" t="n"/>
    </row>
    <row r="5">
      <c r="A5" s="6" t="inlineStr">
        <is>
          <t>Central governments or central banks</t>
        </is>
      </c>
      <c r="B5" s="6" t="n"/>
      <c r="C5" s="6" t="n"/>
      <c r="D5" s="6" t="n"/>
      <c r="E5" s="6" t="n">
        <v>0</v>
      </c>
      <c r="F5" s="6" t="n">
        <v>0</v>
      </c>
      <c r="G5" s="6" t="n"/>
      <c r="H5" s="6" t="n"/>
      <c r="I5" s="6" t="n"/>
    </row>
    <row r="6">
      <c r="A6" s="6" t="inlineStr">
        <is>
          <t>Financial institutions</t>
        </is>
      </c>
      <c r="B6" s="6" t="n"/>
      <c r="C6" s="6" t="n"/>
      <c r="D6" s="6" t="n"/>
      <c r="E6" s="6" t="n">
        <v>6693000</v>
      </c>
      <c r="F6" s="6" t="n">
        <v>7008000</v>
      </c>
      <c r="G6" s="6" t="n"/>
      <c r="H6" s="6" t="n"/>
      <c r="I6" s="6" t="n"/>
    </row>
    <row r="7">
      <c r="A7" s="6" t="inlineStr">
        <is>
          <t>Covered bonds</t>
        </is>
      </c>
      <c r="B7" s="6" t="n"/>
      <c r="C7" s="6" t="n"/>
      <c r="D7" s="6" t="n"/>
      <c r="E7" s="6" t="n">
        <v>1824000</v>
      </c>
      <c r="F7" s="6" t="n">
        <v>2432000</v>
      </c>
      <c r="G7" s="6" t="n"/>
      <c r="H7" s="6" t="n"/>
      <c r="I7" s="6" t="n"/>
    </row>
    <row r="8">
      <c r="A8" s="6" t="inlineStr">
        <is>
          <t>Corporates</t>
        </is>
      </c>
      <c r="B8" s="6" t="n"/>
      <c r="C8" s="6" t="n"/>
      <c r="D8" s="6" t="n"/>
      <c r="E8" s="6" t="n">
        <v>0</v>
      </c>
      <c r="F8" s="6" t="n">
        <v>0</v>
      </c>
      <c r="G8" s="6" t="n"/>
      <c r="H8" s="6" t="n"/>
      <c r="I8" s="6" t="n"/>
    </row>
    <row r="9">
      <c r="A9" s="6" t="inlineStr">
        <is>
          <t>Retail</t>
        </is>
      </c>
      <c r="B9" s="6" t="n"/>
      <c r="C9" s="6" t="n"/>
      <c r="D9" s="6" t="n"/>
      <c r="E9" s="6" t="n">
        <v>20000</v>
      </c>
      <c r="F9" s="6" t="n">
        <v>28000</v>
      </c>
      <c r="G9" s="6" t="n"/>
      <c r="H9" s="6" t="n"/>
      <c r="I9" s="6" t="n"/>
    </row>
    <row r="10">
      <c r="A10" s="6" t="inlineStr">
        <is>
          <t>Secured on real estate property</t>
        </is>
      </c>
      <c r="B10" s="6" t="n"/>
      <c r="C10" s="6" t="n"/>
      <c r="D10" s="6" t="n"/>
      <c r="E10" s="6" t="n">
        <v>62925000</v>
      </c>
      <c r="F10" s="6" t="n">
        <v>50630000</v>
      </c>
      <c r="G10" s="6" t="n"/>
      <c r="H10" s="6" t="n"/>
      <c r="I10" s="6" t="n"/>
    </row>
    <row r="11">
      <c r="A11" s="6" t="inlineStr">
        <is>
          <t>Past due items</t>
        </is>
      </c>
      <c r="B11" s="6" t="n"/>
      <c r="C11" s="6" t="n"/>
      <c r="D11" s="6" t="n"/>
      <c r="E11" s="6" t="n">
        <v>2627000</v>
      </c>
      <c r="F11" s="6" t="n">
        <v>243000</v>
      </c>
      <c r="G11" s="6" t="n"/>
      <c r="H11" s="6" t="n"/>
      <c r="I11" s="6" t="n"/>
    </row>
    <row r="12">
      <c r="A12" s="6" t="inlineStr">
        <is>
          <t>Other items</t>
        </is>
      </c>
      <c r="B12" s="6" t="n"/>
      <c r="C12" s="6" t="n"/>
      <c r="D12" s="6" t="n"/>
      <c r="E12" s="6" t="n">
        <v>5736000</v>
      </c>
      <c r="F12" s="6" t="n">
        <v>6012000</v>
      </c>
      <c r="G12" s="6" t="n"/>
      <c r="H12" s="6" t="n"/>
      <c r="I12" s="6" t="n"/>
    </row>
    <row r="13">
      <c r="A13" s="6" t="inlineStr">
        <is>
          <t>Particularly high risk items (development loans)</t>
        </is>
      </c>
      <c r="B13" s="6" t="n"/>
      <c r="C13" s="6" t="n"/>
      <c r="D13" s="6" t="n"/>
      <c r="E13" s="6" t="n">
        <v>3321000</v>
      </c>
      <c r="F13" s="6" t="n">
        <v>5429000</v>
      </c>
      <c r="G13" s="6" t="n"/>
      <c r="H13" s="6" t="n"/>
      <c r="I13" s="6" t="n"/>
    </row>
    <row r="14">
      <c r="A14" s="5" t="inlineStr">
        <is>
          <t>Total risk-weighted assets</t>
        </is>
      </c>
      <c r="B14" s="5" t="n"/>
      <c r="C14" s="5" t="n"/>
      <c r="D14" s="5" t="n"/>
      <c r="E14" s="5" t="n">
        <v>83146000</v>
      </c>
      <c r="F14" s="5" t="n">
        <v>71782000</v>
      </c>
      <c r="G14" s="5" t="n"/>
      <c r="H14" s="5" t="n"/>
      <c r="I14" s="5" t="n"/>
    </row>
    <row r="16" ht="200" customHeight="1">
      <c r="A16" s="8" t="inlineStr">
        <is>
          <t>Reliance Bank Pillar 3 Disclosures 31 March 2023 (section 7.1, Standardised Approach to Credit Risk), https://www.reliancebankltd.com/wp-content/uploads/2023/10/RBL-Pillar-3-Disclosures-31-March-2023-for-website-30Oct2023.pdf
Reliance Bank Pillar 3 Disclosures 31 March 2022 (section 7.1, Standardised Approach to Credit Risk), https://www.reliancebankltd.com/wp-content/uploads/2023/04/RBL-Pillar-3-Disclosures-31-March-2022-final-post-Board.pdf
No standalone Pillar 3 disclosure document for 31 March 2024, 2025 or 2026 was found on the Bank's website, in Companies House filings, or via the Wayback Machine (URL guesses against the FY2023 document's naming pattern also failed) - FY2024-FY2026 are left as an honest access gap, not a confirmed non-disclosure, queued for follow-up. Re-checked 2026-09-04 (ST-031 follow-up): a full Wayback Machine CDX crawl of every reliancebankltd.com/wp-content/uploads/* URL ever archived (2021-2026, 640+ files) turned up no Pillar 3 document later than 31 March 2023, and the FY2024, FY2025 and FY2026 Annual Report and Accounts (both the bank's own website PDFs and the Companies House filings, the latter OCR'd) were searched for risk-weighted-asset amounts and found to disclose none - the Strategic Report gives only the total capital requirement/TCR as a percentage, not an RWA or capital amount in £. Figures converted from the source's £'000 to £ for consistency with the rest of this workbook. Standardised approach to credit risk only - the Bank does not disclose market or operational risk RWA components separately, consistent with its stated minimal market risk exposure.</t>
        </is>
      </c>
    </row>
  </sheetData>
  <mergeCells count="1">
    <mergeCell ref="A16:I1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Leverage ratio excluding claims on central banks</t>
        </is>
      </c>
      <c r="B4" s="6" t="inlineStr">
        <is>
          <t>13.3%</t>
        </is>
      </c>
      <c r="C4" s="6" t="inlineStr">
        <is>
          <t>11.0%</t>
        </is>
      </c>
      <c r="D4" s="6" t="inlineStr">
        <is>
          <t>10.8%</t>
        </is>
      </c>
      <c r="E4" s="6" t="inlineStr">
        <is>
          <t>11.5%</t>
        </is>
      </c>
      <c r="F4" s="6" t="inlineStr">
        <is>
          <t>7.6%</t>
        </is>
      </c>
      <c r="G4" s="6" t="inlineStr">
        <is>
          <t>4.50%</t>
        </is>
      </c>
      <c r="H4" s="6" t="inlineStr">
        <is>
          <t>5.45%</t>
        </is>
      </c>
      <c r="I4" s="6" t="inlineStr">
        <is>
          <t>6.12%</t>
        </is>
      </c>
    </row>
    <row r="5" ht="60" customHeight="1">
      <c r="A5" s="7" t="inlineStr">
        <is>
          <t>Note: FY2025's own report says 11.0%; FY2026's comparative chart labels FY2025 11.4%. The own-year figure is retained and the cross-report difference is documented. FY2021-FY2019 are directly disclosed in the annual reports.</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I5"/>
    <mergeCell ref="A7:I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Liquidity Coverage Ratio</t>
        </is>
      </c>
      <c r="B4" s="6" t="inlineStr">
        <is>
          <t>228%</t>
        </is>
      </c>
      <c r="C4" s="6" t="inlineStr">
        <is>
          <t>247%</t>
        </is>
      </c>
      <c r="D4" s="6" t="inlineStr">
        <is>
          <t>408%</t>
        </is>
      </c>
      <c r="E4" s="6" t="inlineStr">
        <is>
          <t>315%</t>
        </is>
      </c>
      <c r="F4" s="6" t="inlineStr">
        <is>
          <t>605%</t>
        </is>
      </c>
      <c r="G4" s="6" t="inlineStr">
        <is>
          <t>986%</t>
        </is>
      </c>
      <c r="H4" s="6" t="inlineStr">
        <is>
          <t>690%</t>
        </is>
      </c>
      <c r="I4" s="6" t="inlineStr">
        <is>
          <t>1100%</t>
        </is>
      </c>
    </row>
    <row r="5" ht="60" customHeight="1">
      <c r="A5" s="7" t="inlineStr">
        <is>
          <t>Note: Ratios are the Bank's year-end disclosures; FY2021-FY2019 are directly disclosed in the annual reports.</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I5"/>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Net Stable Funding Ratio</t>
        </is>
      </c>
      <c r="B4" s="6" t="n"/>
      <c r="C4" s="6" t="n"/>
      <c r="D4" s="6" t="n"/>
      <c r="E4" s="6" t="n"/>
      <c r="F4" s="6" t="n"/>
      <c r="G4" s="6" t="n"/>
      <c r="H4" s="6" t="n"/>
      <c r="I4" s="6" t="n"/>
    </row>
    <row r="5" ht="60" customHeight="1">
      <c r="A5" s="7" t="inlineStr">
        <is>
          <t>Note: Not publicly disclosed in the reviewed annual reports or 31 March 2023 Pillar 3 disclosure.</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MREL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MREL ratio</t>
        </is>
      </c>
      <c r="B4" s="6" t="n"/>
      <c r="C4" s="6" t="n"/>
      <c r="D4" s="6" t="n"/>
      <c r="E4" s="6" t="n"/>
      <c r="F4" s="6" t="n"/>
      <c r="G4" s="6" t="n"/>
      <c r="H4" s="6" t="n"/>
      <c r="I4" s="6" t="n"/>
    </row>
    <row r="5" ht="60" customHeight="1">
      <c r="A5" s="7" t="inlineStr">
        <is>
          <t>Note: The reports describe the Bank as subject to an MREL requirement equal to its TCR/Pillar 1 and Pillar 2 requirements, but disclose no quantitative MREL ratio; no value is inferred.</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2026-09-07T18:28:38Z</dcterms:created>
  <dcterms:modified xmlns:dcterms="http://purl.org/dc/terms/" xmlns:xsi="http://www.w3.org/2001/XMLSchema-instance" xsi:type="dcterms:W3CDTF">2026-09-07T18:28:38Z</dcterms:modified>
</cp:coreProperties>
</file>