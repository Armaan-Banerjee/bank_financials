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alance Sheet" sheetId="2" state="visible" r:id="rId2"/>
    <sheet name="Profit &amp; Loss" sheetId="3" state="visible" r:id="rId3"/>
    <sheet name="Statement of Changes in Equity" sheetId="4" state="visible" r:id="rId4"/>
    <sheet name="Cash Flow Statement" sheetId="5" state="visible" r:id="rId5"/>
    <sheet name="Asset Quality" sheetId="6" state="visible" r:id="rId6"/>
    <sheet name="CET1 Capital" sheetId="7" state="visible" r:id="rId7"/>
    <sheet name="CET1 Ratio" sheetId="8" state="visible" r:id="rId8"/>
    <sheet name="Tier 1 Capital" sheetId="9" state="visible" r:id="rId9"/>
    <sheet name="Tier 1 Ratio" sheetId="10" state="visible" r:id="rId10"/>
    <sheet name="Total Capital" sheetId="11" state="visible" r:id="rId11"/>
    <sheet name="Total Capital Ratio" sheetId="12" state="visible" r:id="rId12"/>
    <sheet name="Total RWAs" sheetId="13" state="visible" r:id="rId13"/>
    <sheet name="RWA Breakdown" sheetId="14" state="visible" r:id="rId14"/>
    <sheet name="Leverage Ratio" sheetId="15" state="visible" r:id="rId15"/>
    <sheet name="LCR" sheetId="16" state="visible" r:id="rId16"/>
    <sheet name="NSFR" sheetId="17" state="visible" r:id="rId17"/>
    <sheet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'Overview'!AO25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'Overview'!$AP$25:$AV$25</f>
            </numRef>
          </val>
        </ser>
        <ser>
          <idx val="1"/>
          <order val="1"/>
          <tx>
            <strRef>
              <f>'Overview'!AO26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'Overview'!$AP$26:$AV$26</f>
            </numRef>
          </val>
        </ser>
        <ser>
          <idx val="2"/>
          <order val="2"/>
          <tx>
            <strRef>
              <f>'Overview'!AO27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'Overview'!$AP$27:$AV$27</f>
            </numRef>
          </val>
        </ser>
        <ser>
          <idx val="3"/>
          <order val="3"/>
          <tx>
            <strRef>
              <f>'Overview'!AO28</f>
            </strRef>
          </tx>
          <spPr>
            <a:ln>
              <a:prstDash val="solid"/>
            </a:ln>
          </spPr>
          <cat>
            <numRef>
              <f>'Overview'!$AP$24:$AV$24</f>
            </numRef>
          </cat>
          <val>
            <numRef>
              <f>'Overview'!$AP$28:$AV$28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82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8640000" cy="46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126</row>
      <rowOff>0</rowOff>
    </from>
    <ext cx="864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Alpha Bank London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547316</v>
      </c>
      <c r="C6" s="5" t="n">
        <v>485136</v>
      </c>
      <c r="D6" s="5" t="n">
        <v>453075</v>
      </c>
      <c r="E6" s="5" t="n">
        <v>463872</v>
      </c>
      <c r="F6" s="5" t="n">
        <v>530496</v>
      </c>
      <c r="G6" s="5" t="n">
        <v>592579</v>
      </c>
      <c r="H6" s="5" t="n">
        <v>627764</v>
      </c>
      <c r="K6" t="inlineStr">
        <is>
          <t>Total assets</t>
        </is>
      </c>
      <c r="L6" t="n">
        <v>627764</v>
      </c>
      <c r="M6" t="n">
        <v>592579</v>
      </c>
      <c r="N6" t="n">
        <v>530496</v>
      </c>
      <c r="O6" t="n">
        <v>463872</v>
      </c>
      <c r="P6" t="n">
        <v>453075</v>
      </c>
      <c r="Q6" t="n">
        <v>485136</v>
      </c>
      <c r="R6" t="n">
        <v>547316</v>
      </c>
      <c r="AY6" t="inlineStr">
        <is>
          <t>Total Capital Ratio</t>
        </is>
      </c>
      <c r="BD6" t="n">
        <v>25</v>
      </c>
      <c r="BE6" t="n">
        <v>23</v>
      </c>
      <c r="BF6" t="n">
        <v>20</v>
      </c>
    </row>
    <row r="7">
      <c r="A7" s="5" t="inlineStr">
        <is>
          <t>Loans and advances to customers</t>
        </is>
      </c>
      <c r="B7" s="5" t="n">
        <v>454489</v>
      </c>
      <c r="C7" s="5" t="n">
        <v>397459</v>
      </c>
      <c r="D7" s="5" t="n">
        <v>330090</v>
      </c>
      <c r="E7" s="5" t="n">
        <v>325461</v>
      </c>
      <c r="F7" s="5" t="n">
        <v>357822</v>
      </c>
      <c r="G7" s="5" t="n">
        <v>337615</v>
      </c>
      <c r="H7" s="5" t="n">
        <v>339047</v>
      </c>
      <c r="K7" t="inlineStr">
        <is>
          <t>Loans and advances to customers</t>
        </is>
      </c>
      <c r="L7" t="n">
        <v>339047</v>
      </c>
      <c r="M7" t="n">
        <v>337615</v>
      </c>
      <c r="N7" t="n">
        <v>357822</v>
      </c>
      <c r="O7" t="n">
        <v>325461</v>
      </c>
      <c r="P7" t="n">
        <v>330090</v>
      </c>
      <c r="Q7" t="n">
        <v>397459</v>
      </c>
      <c r="R7" t="n">
        <v>454489</v>
      </c>
      <c r="AY7" t="inlineStr">
        <is>
          <t>Leverage Ratio</t>
        </is>
      </c>
      <c r="BD7" t="n">
        <v>13</v>
      </c>
      <c r="BE7" t="n">
        <v>13</v>
      </c>
      <c r="BF7" t="n">
        <v>11</v>
      </c>
    </row>
    <row r="8">
      <c r="A8" s="5" t="inlineStr">
        <is>
          <t>Due to customers</t>
        </is>
      </c>
      <c r="B8" s="5" t="n">
        <v>454928</v>
      </c>
      <c r="C8" s="5" t="n">
        <v>397172</v>
      </c>
      <c r="D8" s="5" t="n">
        <v>370324</v>
      </c>
      <c r="E8" s="5" t="n">
        <v>380738</v>
      </c>
      <c r="F8" s="5" t="n">
        <v>424160</v>
      </c>
      <c r="G8" s="5" t="n">
        <v>515898</v>
      </c>
      <c r="H8" s="5" t="n">
        <v>551341</v>
      </c>
      <c r="K8" t="inlineStr">
        <is>
          <t>Due to customers</t>
        </is>
      </c>
      <c r="L8" t="n">
        <v>551341</v>
      </c>
      <c r="M8" t="n">
        <v>515898</v>
      </c>
      <c r="N8" t="n">
        <v>424160</v>
      </c>
      <c r="O8" t="n">
        <v>380738</v>
      </c>
      <c r="P8" t="n">
        <v>370324</v>
      </c>
      <c r="Q8" t="n">
        <v>397172</v>
      </c>
      <c r="R8" t="n">
        <v>454928</v>
      </c>
      <c r="AY8" t="inlineStr">
        <is>
          <t>LCR</t>
        </is>
      </c>
      <c r="BD8" t="n">
        <v>349</v>
      </c>
      <c r="BE8" t="n">
        <v>323</v>
      </c>
      <c r="BF8" t="n">
        <v>310</v>
      </c>
    </row>
    <row r="9">
      <c r="A9" s="5" t="inlineStr">
        <is>
          <t>Total equity</t>
        </is>
      </c>
      <c r="B9" s="5" t="n">
        <v>67549</v>
      </c>
      <c r="C9" s="5" t="n">
        <v>68382</v>
      </c>
      <c r="D9" s="5" t="n">
        <v>66003</v>
      </c>
      <c r="E9" s="5" t="n">
        <v>59534</v>
      </c>
      <c r="F9" s="5" t="n">
        <v>56370</v>
      </c>
      <c r="G9" s="5" t="n">
        <v>54785</v>
      </c>
      <c r="H9" s="5" t="n">
        <v>53451</v>
      </c>
      <c r="K9" t="inlineStr">
        <is>
          <t>Total equity</t>
        </is>
      </c>
      <c r="L9" t="n">
        <v>53451</v>
      </c>
      <c r="M9" t="n">
        <v>54785</v>
      </c>
      <c r="N9" t="n">
        <v>56370</v>
      </c>
      <c r="O9" t="n">
        <v>59534</v>
      </c>
      <c r="P9" t="n">
        <v>66003</v>
      </c>
      <c r="Q9" t="n">
        <v>68382</v>
      </c>
      <c r="R9" t="n">
        <v>67549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21386</v>
      </c>
      <c r="C13" s="5" t="n">
        <v>22265</v>
      </c>
      <c r="D13" s="5" t="n">
        <v>21918</v>
      </c>
      <c r="E13" s="5" t="n">
        <v>16300</v>
      </c>
      <c r="F13" s="5" t="n">
        <v>13426</v>
      </c>
      <c r="G13" s="5" t="n">
        <v>12454</v>
      </c>
      <c r="H13" s="5" t="n">
        <v>14155</v>
      </c>
      <c r="U13" t="inlineStr">
        <is>
          <t>Operating income</t>
        </is>
      </c>
      <c r="V13" t="n">
        <v>14155</v>
      </c>
      <c r="W13" t="n">
        <v>12454</v>
      </c>
      <c r="X13" t="n">
        <v>13426</v>
      </c>
      <c r="Y13" t="n">
        <v>16300</v>
      </c>
      <c r="Z13" t="n">
        <v>21918</v>
      </c>
      <c r="AA13" t="n">
        <v>22265</v>
      </c>
      <c r="AB13" t="n">
        <v>21386</v>
      </c>
    </row>
    <row r="14">
      <c r="A14" s="5" t="inlineStr">
        <is>
          <t>Operating expenses</t>
        </is>
      </c>
      <c r="B14" s="5" t="n">
        <v>-22455</v>
      </c>
      <c r="C14" s="5" t="n">
        <v>-19109</v>
      </c>
      <c r="D14" s="5" t="n">
        <v>-13822</v>
      </c>
      <c r="E14" s="5" t="n">
        <v>-12396</v>
      </c>
      <c r="F14" s="5" t="n">
        <v>-11666</v>
      </c>
      <c r="G14" s="5" t="n">
        <v>-10965</v>
      </c>
      <c r="H14" s="5" t="n">
        <v>-11014</v>
      </c>
      <c r="U14" t="inlineStr">
        <is>
          <t>Operating expenses</t>
        </is>
      </c>
      <c r="V14" t="n">
        <v>-11014</v>
      </c>
      <c r="W14" t="n">
        <v>-10965</v>
      </c>
      <c r="X14" t="n">
        <v>-11666</v>
      </c>
      <c r="Y14" t="n">
        <v>-12396</v>
      </c>
      <c r="Z14" t="n">
        <v>-13822</v>
      </c>
      <c r="AA14" t="n">
        <v>-19109</v>
      </c>
      <c r="AB14" t="n">
        <v>-22455</v>
      </c>
    </row>
    <row r="15">
      <c r="A15" s="5" t="inlineStr">
        <is>
          <t>(Loss)/Profit after tax</t>
        </is>
      </c>
      <c r="B15" s="5" t="n">
        <v>-820</v>
      </c>
      <c r="C15" s="5" t="n">
        <v>2355</v>
      </c>
      <c r="D15" s="5" t="n">
        <v>6320</v>
      </c>
      <c r="E15" s="5" t="n">
        <v>3367</v>
      </c>
      <c r="F15" s="5" t="n">
        <v>1504</v>
      </c>
      <c r="G15" s="5" t="n">
        <v>1304</v>
      </c>
      <c r="H15" s="5" t="n">
        <v>2595</v>
      </c>
      <c r="U15" t="inlineStr">
        <is>
          <t>(Loss)/Profit after tax</t>
        </is>
      </c>
      <c r="V15" t="n">
        <v>2595</v>
      </c>
      <c r="W15" t="n">
        <v>1304</v>
      </c>
      <c r="X15" t="n">
        <v>1504</v>
      </c>
      <c r="Y15" t="n">
        <v>3367</v>
      </c>
      <c r="Z15" t="n">
        <v>6320</v>
      </c>
      <c r="AA15" t="n">
        <v>2355</v>
      </c>
      <c r="AB15" t="n">
        <v>-820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68382</v>
      </c>
      <c r="C19" s="5" t="n">
        <v>66003</v>
      </c>
      <c r="D19" s="5" t="n">
        <v>59534</v>
      </c>
      <c r="E19" s="5" t="n">
        <v>56370</v>
      </c>
      <c r="F19" s="5" t="n">
        <v>54785</v>
      </c>
      <c r="G19" s="5" t="n">
        <v>53451</v>
      </c>
      <c r="H19" s="5" t="n">
        <v>50531</v>
      </c>
      <c r="AE19" t="inlineStr">
        <is>
          <t>Opening equity</t>
        </is>
      </c>
      <c r="AF19" t="n">
        <v>50531</v>
      </c>
      <c r="AG19" t="n">
        <v>53451</v>
      </c>
      <c r="AH19" t="n">
        <v>54785</v>
      </c>
      <c r="AI19" t="n">
        <v>56370</v>
      </c>
      <c r="AJ19" t="n">
        <v>59534</v>
      </c>
      <c r="AK19" t="n">
        <v>66003</v>
      </c>
      <c r="AL19" t="n">
        <v>68382</v>
      </c>
    </row>
    <row r="20">
      <c r="A20" s="5" t="inlineStr">
        <is>
          <t>Total comprehensive income for the year</t>
        </is>
      </c>
      <c r="B20" s="5" t="n">
        <v>-833</v>
      </c>
      <c r="C20" s="5" t="n">
        <v>2379</v>
      </c>
      <c r="D20" s="5" t="n">
        <v>6469</v>
      </c>
      <c r="E20" s="5" t="n">
        <v>3164</v>
      </c>
      <c r="F20" s="5" t="n">
        <v>1585</v>
      </c>
      <c r="G20" s="5" t="n">
        <v>1334</v>
      </c>
      <c r="H20" s="5" t="n">
        <v>2920</v>
      </c>
      <c r="AE20" t="inlineStr">
        <is>
          <t>Total comprehensive income for the year</t>
        </is>
      </c>
      <c r="AF20" t="n">
        <v>2920</v>
      </c>
      <c r="AG20" t="n">
        <v>1334</v>
      </c>
      <c r="AH20" t="n">
        <v>1585</v>
      </c>
      <c r="AI20" t="n">
        <v>3164</v>
      </c>
      <c r="AJ20" t="n">
        <v>6469</v>
      </c>
      <c r="AK20" t="n">
        <v>2379</v>
      </c>
      <c r="AL20" t="n">
        <v>-833</v>
      </c>
    </row>
    <row r="21">
      <c r="A21" s="5" t="inlineStr">
        <is>
          <t>Closing equity</t>
        </is>
      </c>
      <c r="B21" s="5" t="n">
        <v>67549</v>
      </c>
      <c r="C21" s="5" t="n">
        <v>68382</v>
      </c>
      <c r="D21" s="5" t="n">
        <v>66003</v>
      </c>
      <c r="E21" s="5" t="n">
        <v>59534</v>
      </c>
      <c r="F21" s="5" t="n">
        <v>56370</v>
      </c>
      <c r="G21" s="5" t="n">
        <v>54785</v>
      </c>
      <c r="H21" s="5" t="n">
        <v>53451</v>
      </c>
      <c r="AE21" t="inlineStr">
        <is>
          <t>Closing equity</t>
        </is>
      </c>
      <c r="AF21" t="n">
        <v>53451</v>
      </c>
      <c r="AG21" t="n">
        <v>54785</v>
      </c>
      <c r="AH21" t="n">
        <v>56370</v>
      </c>
      <c r="AI21" t="n">
        <v>59534</v>
      </c>
      <c r="AJ21" t="n">
        <v>66003</v>
      </c>
      <c r="AK21" t="n">
        <v>68382</v>
      </c>
      <c r="AL21" t="n">
        <v>67549</v>
      </c>
    </row>
    <row r="23">
      <c r="A23" s="3" t="inlineStr">
        <is>
          <t>Cash Flow Summary (£'000)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G24" s="4" t="inlineStr">
        <is>
          <t>FY2020</t>
        </is>
      </c>
      <c r="H24" s="4" t="inlineStr">
        <is>
          <t>FY2019</t>
        </is>
      </c>
      <c r="AP24" t="inlineStr">
        <is>
          <t>FY2019</t>
        </is>
      </c>
      <c r="AQ24" t="inlineStr">
        <is>
          <t>FY2020</t>
        </is>
      </c>
      <c r="AR24" t="inlineStr">
        <is>
          <t>FY2021</t>
        </is>
      </c>
      <c r="AS24" t="inlineStr">
        <is>
          <t>FY2022</t>
        </is>
      </c>
      <c r="AT24" t="inlineStr">
        <is>
          <t>FY2023</t>
        </is>
      </c>
      <c r="AU24" t="inlineStr">
        <is>
          <t>FY2024</t>
        </is>
      </c>
      <c r="AV24" t="inlineStr">
        <is>
          <t>FY2025</t>
        </is>
      </c>
    </row>
    <row r="25">
      <c r="A25" s="5" t="inlineStr">
        <is>
          <t>Net cash from operating activities</t>
        </is>
      </c>
      <c r="B25" s="5" t="n">
        <v>7196</v>
      </c>
      <c r="C25" s="5" t="n">
        <v>-31370</v>
      </c>
      <c r="D25" s="5" t="n">
        <v>-12026</v>
      </c>
      <c r="E25" s="5" t="n">
        <v>-40650</v>
      </c>
      <c r="F25" s="5" t="n">
        <v>-82764</v>
      </c>
      <c r="G25" s="5" t="n">
        <v>-35072</v>
      </c>
      <c r="H25" s="5" t="n">
        <v>-259065</v>
      </c>
      <c r="AO25" t="inlineStr">
        <is>
          <t>Net cash from operating activities</t>
        </is>
      </c>
      <c r="AP25" t="n">
        <v>-259065</v>
      </c>
      <c r="AQ25" t="n">
        <v>-35072</v>
      </c>
      <c r="AR25" t="n">
        <v>-82764</v>
      </c>
      <c r="AS25" t="n">
        <v>-40650</v>
      </c>
      <c r="AT25" t="n">
        <v>-12026</v>
      </c>
      <c r="AU25" t="n">
        <v>-31370</v>
      </c>
      <c r="AV25" t="n">
        <v>7196</v>
      </c>
    </row>
    <row r="26">
      <c r="A26" s="5" t="inlineStr">
        <is>
          <t>Net cash from investing activities</t>
        </is>
      </c>
      <c r="B26" s="5" t="n">
        <v>1325</v>
      </c>
      <c r="C26" s="5" t="n">
        <v>29199</v>
      </c>
      <c r="D26" s="5" t="n">
        <v>16148</v>
      </c>
      <c r="E26" s="5" t="n">
        <v>-574</v>
      </c>
      <c r="F26" s="5" t="n">
        <v>66905</v>
      </c>
      <c r="G26" s="5" t="n">
        <v>27166</v>
      </c>
      <c r="H26" s="5" t="n">
        <v>222571</v>
      </c>
      <c r="AO26" t="inlineStr">
        <is>
          <t>Net cash from investing activities</t>
        </is>
      </c>
      <c r="AP26" t="n">
        <v>222571</v>
      </c>
      <c r="AQ26" t="n">
        <v>27166</v>
      </c>
      <c r="AR26" t="n">
        <v>66905</v>
      </c>
      <c r="AS26" t="n">
        <v>-574</v>
      </c>
      <c r="AT26" t="n">
        <v>16148</v>
      </c>
      <c r="AU26" t="n">
        <v>29199</v>
      </c>
      <c r="AV26" t="n">
        <v>1325</v>
      </c>
    </row>
    <row r="27">
      <c r="A27" s="5" t="inlineStr">
        <is>
          <t>Net cash from financing activities</t>
        </is>
      </c>
      <c r="B27" s="5" t="n">
        <v>-1602</v>
      </c>
      <c r="C27" s="5" t="n">
        <v>-1680</v>
      </c>
      <c r="D27" s="5" t="n">
        <v>-1653</v>
      </c>
      <c r="E27" s="5" t="n">
        <v>-1253</v>
      </c>
      <c r="F27" s="5" t="n">
        <v>-1094</v>
      </c>
      <c r="G27" s="5" t="n">
        <v>-723</v>
      </c>
      <c r="H27" s="5" t="n">
        <v>-801</v>
      </c>
      <c r="AO27" t="inlineStr">
        <is>
          <t>Net cash from financing activities</t>
        </is>
      </c>
      <c r="AP27" t="n">
        <v>-801</v>
      </c>
      <c r="AQ27" t="n">
        <v>-723</v>
      </c>
      <c r="AR27" t="n">
        <v>-1094</v>
      </c>
      <c r="AS27" t="n">
        <v>-1253</v>
      </c>
      <c r="AT27" t="n">
        <v>-1653</v>
      </c>
      <c r="AU27" t="n">
        <v>-1680</v>
      </c>
      <c r="AV27" t="n">
        <v>-1602</v>
      </c>
    </row>
    <row r="28">
      <c r="A28" s="5" t="inlineStr">
        <is>
          <t>Cash and cash equivalents at end of year</t>
        </is>
      </c>
      <c r="B28" s="5" t="n">
        <v>44211</v>
      </c>
      <c r="C28" s="5" t="n">
        <v>36967</v>
      </c>
      <c r="D28" s="5" t="n">
        <v>40658</v>
      </c>
      <c r="E28" s="5" t="n">
        <v>38160</v>
      </c>
      <c r="F28" s="5" t="n">
        <v>80857</v>
      </c>
      <c r="G28" s="5" t="n">
        <v>97765</v>
      </c>
      <c r="H28" s="5" t="n">
        <v>106249</v>
      </c>
      <c r="AO28" t="inlineStr">
        <is>
          <t>Cash and cash equivalents at end of year</t>
        </is>
      </c>
      <c r="AP28" t="n">
        <v>106249</v>
      </c>
      <c r="AQ28" t="n">
        <v>97765</v>
      </c>
      <c r="AR28" t="n">
        <v>80857</v>
      </c>
      <c r="AS28" t="n">
        <v>38160</v>
      </c>
      <c r="AT28" t="n">
        <v>40658</v>
      </c>
      <c r="AU28" t="n">
        <v>36967</v>
      </c>
      <c r="AV28" t="n">
        <v>44211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  <c r="G31" s="4" t="inlineStr">
        <is>
          <t>FY2020</t>
        </is>
      </c>
      <c r="H31" s="4" t="inlineStr">
        <is>
          <t>FY2019</t>
        </is>
      </c>
    </row>
    <row r="32">
      <c r="A32" s="6" t="inlineStr">
        <is>
          <t>Total Capital Ratio</t>
        </is>
      </c>
      <c r="B32" s="6" t="inlineStr">
        <is>
          <t>20%</t>
        </is>
      </c>
      <c r="C32" s="6" t="inlineStr">
        <is>
          <t>23%</t>
        </is>
      </c>
      <c r="D32" s="6" t="inlineStr">
        <is>
          <t>25%</t>
        </is>
      </c>
      <c r="E32" s="6" t="n"/>
      <c r="F32" s="6" t="n"/>
      <c r="G32" s="6" t="n"/>
      <c r="H32" s="6" t="n"/>
    </row>
    <row r="33">
      <c r="A33" s="6" t="inlineStr">
        <is>
          <t>Leverage Ratio</t>
        </is>
      </c>
      <c r="B33" s="6" t="inlineStr">
        <is>
          <t>11%</t>
        </is>
      </c>
      <c r="C33" s="6" t="inlineStr">
        <is>
          <t>13%</t>
        </is>
      </c>
      <c r="D33" s="6" t="inlineStr">
        <is>
          <t>13%</t>
        </is>
      </c>
      <c r="E33" s="6" t="n"/>
      <c r="F33" s="6" t="n"/>
      <c r="G33" s="6" t="n"/>
      <c r="H33" s="6" t="n"/>
    </row>
    <row r="34">
      <c r="A34" s="6" t="inlineStr">
        <is>
          <t>LCR</t>
        </is>
      </c>
      <c r="B34" s="6" t="inlineStr">
        <is>
          <t>310%</t>
        </is>
      </c>
      <c r="C34" s="6" t="inlineStr">
        <is>
          <t>323%</t>
        </is>
      </c>
      <c r="D34" s="6" t="inlineStr">
        <is>
          <t>349%</t>
        </is>
      </c>
      <c r="E34" s="6" t="n"/>
      <c r="F34" s="6" t="n"/>
      <c r="G34" s="6" t="n"/>
      <c r="H34" s="6" t="n"/>
    </row>
    <row r="36" ht="45" customHeight="1">
      <c r="A36" s="7" t="inlineStr">
        <is>
          <t>Note: CET1/Tier 1 ratios not shown here — only a single combined 'Capital adequacy ratio' is disclosed by this bank (see the Total Capital Ratio sheet's note). No ratios of any kind disclosed for FY2021/FY2022. Figures are duplicated from the detail sheets for at-a-glance trend viewing; see each sheet's own source citation for the underlying document/page.</t>
        </is>
      </c>
    </row>
  </sheetData>
  <mergeCells count="1">
    <mergeCell ref="A36:H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Statement of Financial Position</t>
        </is>
      </c>
    </row>
    <row r="2">
      <c r="A2" s="2" t="inlineStr">
        <is>
          <t>Entity-level basis, £000's, as at 31 December,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cash equivalents</t>
        </is>
      </c>
      <c r="B5" s="6" t="n">
        <v>44211</v>
      </c>
      <c r="C5" s="6" t="n">
        <v>36967</v>
      </c>
      <c r="D5" s="6" t="n">
        <v>40658</v>
      </c>
      <c r="E5" s="6" t="n">
        <v>38160</v>
      </c>
      <c r="F5" s="6" t="n">
        <v>80857</v>
      </c>
      <c r="G5" s="6" t="n">
        <v>97765</v>
      </c>
      <c r="H5" s="6" t="n">
        <v>106249</v>
      </c>
    </row>
    <row r="6">
      <c r="A6" s="6" t="inlineStr">
        <is>
          <t>Derivative financial instruments</t>
        </is>
      </c>
      <c r="B6" s="6" t="n">
        <v>263</v>
      </c>
      <c r="C6" s="6" t="n">
        <v>2868</v>
      </c>
      <c r="D6" s="6" t="n">
        <v>345</v>
      </c>
      <c r="E6" s="6" t="n">
        <v>3261</v>
      </c>
      <c r="F6" s="6" t="n"/>
      <c r="G6" s="6" t="n">
        <v>452</v>
      </c>
      <c r="H6" s="6" t="n">
        <v>213</v>
      </c>
    </row>
    <row r="7">
      <c r="A7" s="6" t="inlineStr">
        <is>
          <t>Investment securities</t>
        </is>
      </c>
      <c r="B7" s="6" t="n">
        <v>39897</v>
      </c>
      <c r="C7" s="6" t="n">
        <v>42230</v>
      </c>
      <c r="D7" s="6" t="n">
        <v>78097</v>
      </c>
      <c r="E7" s="6" t="n">
        <v>92051</v>
      </c>
      <c r="F7" s="6" t="n">
        <v>85647</v>
      </c>
      <c r="G7" s="6" t="n">
        <v>149729</v>
      </c>
      <c r="H7" s="6" t="n">
        <v>174633</v>
      </c>
    </row>
    <row r="8">
      <c r="A8" s="6" t="inlineStr">
        <is>
          <t>Loans and advances to customers</t>
        </is>
      </c>
      <c r="B8" s="6" t="n">
        <v>454489</v>
      </c>
      <c r="C8" s="6" t="n">
        <v>397459</v>
      </c>
      <c r="D8" s="6" t="n">
        <v>330090</v>
      </c>
      <c r="E8" s="6" t="n">
        <v>325461</v>
      </c>
      <c r="F8" s="6" t="n">
        <v>357822</v>
      </c>
      <c r="G8" s="6" t="n">
        <v>337615</v>
      </c>
      <c r="H8" s="6" t="n">
        <v>339047</v>
      </c>
    </row>
    <row r="9">
      <c r="A9" s="6" t="inlineStr">
        <is>
          <t>Property and equipment</t>
        </is>
      </c>
      <c r="B9" s="6" t="n">
        <v>1020</v>
      </c>
      <c r="C9" s="6" t="n">
        <v>1987</v>
      </c>
      <c r="D9" s="6" t="n">
        <v>2861</v>
      </c>
      <c r="E9" s="6" t="n">
        <v>3804</v>
      </c>
      <c r="F9" s="6" t="n">
        <v>4787</v>
      </c>
      <c r="G9" s="6" t="n">
        <v>5743</v>
      </c>
      <c r="H9" s="6" t="n">
        <v>6596</v>
      </c>
    </row>
    <row r="10">
      <c r="A10" s="6" t="inlineStr">
        <is>
          <t>Intangible assets</t>
        </is>
      </c>
      <c r="B10" s="6" t="n">
        <v>3021</v>
      </c>
      <c r="C10" s="6" t="n">
        <v>1367</v>
      </c>
      <c r="D10" s="6" t="n">
        <v>87</v>
      </c>
      <c r="E10" s="6" t="n">
        <v>69</v>
      </c>
      <c r="F10" s="6" t="n">
        <v>116</v>
      </c>
      <c r="G10" s="6" t="n"/>
      <c r="H10" s="6" t="n">
        <v>15</v>
      </c>
    </row>
    <row r="11">
      <c r="A11" s="6" t="inlineStr">
        <is>
          <t>Current tax assets</t>
        </is>
      </c>
      <c r="B11" s="6" t="n">
        <v>584</v>
      </c>
      <c r="C11" s="6" t="n">
        <v>402</v>
      </c>
      <c r="D11" s="6" t="n">
        <v>110</v>
      </c>
      <c r="E11" s="6" t="n">
        <v>14</v>
      </c>
      <c r="F11" s="6" t="n">
        <v>52</v>
      </c>
      <c r="G11" s="6" t="n"/>
      <c r="H11" s="6" t="n"/>
    </row>
    <row r="12">
      <c r="A12" s="6" t="inlineStr">
        <is>
          <t>Deferred tax assets</t>
        </is>
      </c>
      <c r="B12" s="6" t="n">
        <v>611</v>
      </c>
      <c r="C12" s="6" t="n"/>
      <c r="D12" s="6" t="n">
        <v>28</v>
      </c>
      <c r="E12" s="6" t="n">
        <v>50</v>
      </c>
      <c r="F12" s="6" t="n"/>
      <c r="G12" s="6" t="n"/>
      <c r="H12" s="6" t="n"/>
    </row>
    <row r="13">
      <c r="A13" s="6" t="inlineStr">
        <is>
          <t>Other assets</t>
        </is>
      </c>
      <c r="B13" s="6" t="n">
        <v>3220</v>
      </c>
      <c r="C13" s="6" t="n">
        <v>1856</v>
      </c>
      <c r="D13" s="6" t="n">
        <v>799</v>
      </c>
      <c r="E13" s="6" t="n">
        <v>1002</v>
      </c>
      <c r="F13" s="6" t="n">
        <v>1215</v>
      </c>
      <c r="G13" s="6" t="n">
        <v>1276</v>
      </c>
      <c r="H13" s="6" t="n">
        <v>1011</v>
      </c>
    </row>
    <row r="14">
      <c r="A14" s="5" t="inlineStr">
        <is>
          <t>Total assets</t>
        </is>
      </c>
      <c r="B14" s="5" t="n">
        <v>547316</v>
      </c>
      <c r="C14" s="5" t="n">
        <v>485136</v>
      </c>
      <c r="D14" s="5" t="n">
        <v>453075</v>
      </c>
      <c r="E14" s="5" t="n">
        <v>463872</v>
      </c>
      <c r="F14" s="5" t="n">
        <v>530496</v>
      </c>
      <c r="G14" s="5" t="n">
        <v>592579</v>
      </c>
      <c r="H14" s="5" t="n">
        <v>627764</v>
      </c>
    </row>
    <row r="15">
      <c r="A15" s="5" t="inlineStr">
        <is>
          <t>Liabilities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6" t="inlineStr">
        <is>
          <t>Due to banks</t>
        </is>
      </c>
      <c r="B16" s="6" t="n">
        <v>7300</v>
      </c>
      <c r="C16" s="6" t="n">
        <v>1962</v>
      </c>
      <c r="D16" s="6" t="n">
        <v>201</v>
      </c>
      <c r="E16" s="6" t="n">
        <v>6388</v>
      </c>
      <c r="F16" s="6" t="n">
        <v>30194</v>
      </c>
      <c r="G16" s="6" t="n">
        <v>3065</v>
      </c>
      <c r="H16" s="6" t="n">
        <v>2408</v>
      </c>
    </row>
    <row r="17">
      <c r="A17" s="6" t="inlineStr">
        <is>
          <t>Derivative financial instruments</t>
        </is>
      </c>
      <c r="B17" s="6" t="n">
        <v>793</v>
      </c>
      <c r="C17" s="6" t="n">
        <v>899</v>
      </c>
      <c r="D17" s="6" t="n">
        <v>1724</v>
      </c>
      <c r="E17" s="6" t="n">
        <v>1843</v>
      </c>
      <c r="F17" s="6" t="n">
        <v>2502</v>
      </c>
      <c r="G17" s="6" t="n">
        <v>1979</v>
      </c>
      <c r="H17" s="6" t="n">
        <v>3272</v>
      </c>
    </row>
    <row r="18">
      <c r="A18" s="6" t="inlineStr">
        <is>
          <t>Due to customers</t>
        </is>
      </c>
      <c r="B18" s="6" t="n">
        <v>454928</v>
      </c>
      <c r="C18" s="6" t="n">
        <v>397172</v>
      </c>
      <c r="D18" s="6" t="n">
        <v>370324</v>
      </c>
      <c r="E18" s="6" t="n">
        <v>380738</v>
      </c>
      <c r="F18" s="6" t="n">
        <v>424160</v>
      </c>
      <c r="G18" s="6" t="n">
        <v>515898</v>
      </c>
      <c r="H18" s="6" t="n">
        <v>551341</v>
      </c>
    </row>
    <row r="19">
      <c r="A19" s="6" t="inlineStr">
        <is>
          <t>Subordinated debt</t>
        </is>
      </c>
      <c r="B19" s="6" t="n">
        <v>10004</v>
      </c>
      <c r="C19" s="6" t="n">
        <v>10004</v>
      </c>
      <c r="D19" s="6" t="n">
        <v>10006</v>
      </c>
      <c r="E19" s="6" t="n">
        <v>10003</v>
      </c>
      <c r="F19" s="6" t="n">
        <v>10001</v>
      </c>
      <c r="G19" s="6" t="n">
        <v>10001</v>
      </c>
      <c r="H19" s="6" t="n">
        <v>10002</v>
      </c>
    </row>
    <row r="20">
      <c r="A20" s="6" t="inlineStr">
        <is>
          <t>Deferred tax liabilities</t>
        </is>
      </c>
      <c r="B20" s="6" t="n">
        <v>616</v>
      </c>
      <c r="C20" s="6" t="n">
        <v>251</v>
      </c>
      <c r="D20" s="6" t="n">
        <v>16</v>
      </c>
      <c r="E20" s="6" t="n">
        <v>16</v>
      </c>
      <c r="F20" s="6" t="n">
        <v>64</v>
      </c>
      <c r="G20" s="6" t="n">
        <v>59</v>
      </c>
      <c r="H20" s="6" t="n">
        <v>81</v>
      </c>
    </row>
    <row r="21">
      <c r="A21" s="6" t="inlineStr">
        <is>
          <t>Lease liabilities</t>
        </is>
      </c>
      <c r="B21" s="6" t="n">
        <v>1138</v>
      </c>
      <c r="C21" s="6" t="n">
        <v>1996</v>
      </c>
      <c r="D21" s="6" t="n">
        <v>2811</v>
      </c>
      <c r="E21" s="6" t="n">
        <v>3611</v>
      </c>
      <c r="F21" s="6" t="n">
        <v>4385</v>
      </c>
      <c r="G21" s="6" t="n">
        <v>5110</v>
      </c>
      <c r="H21" s="6" t="n">
        <v>5444</v>
      </c>
    </row>
    <row r="22">
      <c r="A22" s="6" t="inlineStr">
        <is>
          <t>Provisions</t>
        </is>
      </c>
      <c r="B22" s="6" t="n">
        <v>1</v>
      </c>
      <c r="C22" s="6" t="n"/>
      <c r="D22" s="6" t="n">
        <v>1</v>
      </c>
      <c r="E22" s="6" t="n"/>
      <c r="F22" s="6" t="n">
        <v>6</v>
      </c>
      <c r="G22" s="6" t="n"/>
      <c r="H22" s="6" t="n"/>
    </row>
    <row r="23">
      <c r="A23" s="6" t="inlineStr">
        <is>
          <t>Other liabilities</t>
        </is>
      </c>
      <c r="B23" s="6" t="n">
        <v>4987</v>
      </c>
      <c r="C23" s="6" t="n">
        <v>4470</v>
      </c>
      <c r="D23" s="6" t="n">
        <v>1989</v>
      </c>
      <c r="E23" s="6" t="n">
        <v>1739</v>
      </c>
      <c r="F23" s="6" t="n">
        <v>2814</v>
      </c>
      <c r="G23" s="6" t="n">
        <v>1611</v>
      </c>
      <c r="H23" s="6" t="n">
        <v>1340</v>
      </c>
    </row>
    <row r="24">
      <c r="A24" s="5" t="inlineStr">
        <is>
          <t>Total liabilities</t>
        </is>
      </c>
      <c r="B24" s="5" t="n">
        <v>479767</v>
      </c>
      <c r="C24" s="5" t="n">
        <v>416754</v>
      </c>
      <c r="D24" s="5" t="n">
        <v>387072</v>
      </c>
      <c r="E24" s="5" t="n">
        <v>404338</v>
      </c>
      <c r="F24" s="5" t="n">
        <v>474126</v>
      </c>
      <c r="G24" s="5" t="n">
        <v>537794</v>
      </c>
      <c r="H24" s="5" t="n">
        <v>574313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s="6" t="inlineStr">
        <is>
          <t>Share capital</t>
        </is>
      </c>
      <c r="B26" s="6" t="n">
        <v>30000</v>
      </c>
      <c r="C26" s="6" t="n">
        <v>30000</v>
      </c>
      <c r="D26" s="6" t="n">
        <v>30000</v>
      </c>
      <c r="E26" s="6" t="n">
        <v>30000</v>
      </c>
      <c r="F26" s="6" t="n">
        <v>30000</v>
      </c>
      <c r="G26" s="6" t="n">
        <v>30000</v>
      </c>
      <c r="H26" s="6" t="n">
        <v>30000</v>
      </c>
    </row>
    <row r="27">
      <c r="A27" s="6" t="inlineStr">
        <is>
          <t>Retained earnings</t>
        </is>
      </c>
      <c r="B27" s="6" t="n">
        <v>37540</v>
      </c>
      <c r="C27" s="6" t="n">
        <v>38360</v>
      </c>
      <c r="D27" s="6" t="n">
        <v>36005</v>
      </c>
      <c r="E27" s="6" t="n">
        <v>29685</v>
      </c>
      <c r="F27" s="6" t="n">
        <v>26318</v>
      </c>
      <c r="G27" s="6" t="n">
        <v>24814</v>
      </c>
      <c r="H27" s="6" t="n">
        <v>23510</v>
      </c>
    </row>
    <row r="28">
      <c r="A28" s="6" t="inlineStr">
        <is>
          <t>Fair value reserve</t>
        </is>
      </c>
      <c r="B28" s="6" t="n">
        <v>9</v>
      </c>
      <c r="C28" s="6" t="n">
        <v>22</v>
      </c>
      <c r="D28" s="6" t="n">
        <v>-2</v>
      </c>
      <c r="E28" s="6" t="n">
        <v>-151</v>
      </c>
      <c r="F28" s="6" t="n">
        <v>52</v>
      </c>
      <c r="G28" s="6" t="n">
        <v>-29</v>
      </c>
      <c r="H28" s="6" t="n">
        <v>-59</v>
      </c>
    </row>
    <row r="29">
      <c r="A29" s="5" t="inlineStr">
        <is>
          <t>Total equity</t>
        </is>
      </c>
      <c r="B29" s="5" t="n">
        <v>67549</v>
      </c>
      <c r="C29" s="5" t="n">
        <v>68382</v>
      </c>
      <c r="D29" s="5" t="n">
        <v>66003</v>
      </c>
      <c r="E29" s="5" t="n">
        <v>59534</v>
      </c>
      <c r="F29" s="5" t="n">
        <v>56370</v>
      </c>
      <c r="G29" s="5" t="n">
        <v>54785</v>
      </c>
      <c r="H29" s="5" t="n">
        <v>53451</v>
      </c>
    </row>
    <row r="30">
      <c r="A30" s="5" t="inlineStr">
        <is>
          <t>Total liabilities and equity</t>
        </is>
      </c>
      <c r="B30" s="5" t="n">
        <v>547316</v>
      </c>
      <c r="C30" s="5" t="n">
        <v>485136</v>
      </c>
      <c r="D30" s="5" t="n">
        <v>453075</v>
      </c>
      <c r="E30" s="5" t="n">
        <v>463872</v>
      </c>
      <c r="F30" s="5" t="n">
        <v>530496</v>
      </c>
      <c r="G30" s="5" t="n">
        <v>592579</v>
      </c>
      <c r="H30" s="5" t="n">
        <v>627764</v>
      </c>
    </row>
    <row r="32" ht="150" customHeight="1">
      <c r="A32" s="8" t="inlineStr">
        <is>
          <t>Sources — Alpha Bank London Limited's own Statement of Financial Position, £000's:
FY2025 &amp; FY2024: Annual Report and Financial Statements 31 December 2025, p.23 (Statement of Financial Position)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p.24 — https://find-and-update.company-information.service.gov.uk/company/00185070/filing-history/MzQ2NDAyMTQ4MGFkaXF6a2N4/document?format=pdf&amp;download=0
FY2022 &amp; FY2021: Annual Report and Financial Statements 31 December 2022, p.20 — https://find-and-update.company-information.service.gov.uk/company/00185070/filing-history/MzM3OTU0ODM0NWFkaXF6a2N4/document?format=pdf&amp;download=0
FY2020 &amp; FY2019: Annual Report and Financial Statements 31 December 2020, p.21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page, cross-checked against the adjacent year's comparative column where available. All figures GBP throughout.
Alpha Bank London Limited (FRN 135327, company 00185070) prepares entity-only accounts - no group/consolidated statements are produced. All figures below are on that entity-level basis, consistent with the Cash Flow Statement and Pillar 3 sheets.
PRESENTATION NOTE: 'Cash and cash equivalents' (FY2025) is labelled 'Cash and due from credit institutions' in FY2024-FY2019 - same line, relabelled; both are shown under this sheet's 'Cash and cash equivalents' label. All TOTAL rows (Total assets/Total liabilities/Total equity/Total liabilities and equity) tie out exactly for every year.</t>
        </is>
      </c>
    </row>
  </sheetData>
  <mergeCells count="1">
    <mergeCell ref="A32:H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Statement of Profit or Loss and Other Comprehensive Income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and similar income</t>
        </is>
      </c>
      <c r="B5" s="6" t="n">
        <v>40745</v>
      </c>
      <c r="C5" s="6" t="n">
        <v>41240</v>
      </c>
      <c r="D5" s="6" t="n">
        <v>36264</v>
      </c>
      <c r="E5" s="6" t="n">
        <v>19333</v>
      </c>
      <c r="F5" s="6" t="n">
        <v>13080</v>
      </c>
      <c r="G5" s="6" t="n">
        <v>13062</v>
      </c>
      <c r="H5" s="6" t="n">
        <v>16827</v>
      </c>
    </row>
    <row r="6">
      <c r="A6" s="6" t="inlineStr">
        <is>
          <t>Interest expense and similar charges</t>
        </is>
      </c>
      <c r="B6" s="6" t="n">
        <v>-20860</v>
      </c>
      <c r="C6" s="6" t="n">
        <v>-20382</v>
      </c>
      <c r="D6" s="6" t="n">
        <v>-15359</v>
      </c>
      <c r="E6" s="6" t="n">
        <v>-4329</v>
      </c>
      <c r="F6" s="6" t="n">
        <v>-2107</v>
      </c>
      <c r="G6" s="6" t="n">
        <v>-3073</v>
      </c>
      <c r="H6" s="6" t="n">
        <v>-5048</v>
      </c>
    </row>
    <row r="7">
      <c r="A7" s="5" t="inlineStr">
        <is>
          <t>Net interest income</t>
        </is>
      </c>
      <c r="B7" s="5" t="n">
        <v>19885</v>
      </c>
      <c r="C7" s="5" t="n">
        <v>20858</v>
      </c>
      <c r="D7" s="5" t="n">
        <v>20905</v>
      </c>
      <c r="E7" s="5" t="n">
        <v>15004</v>
      </c>
      <c r="F7" s="5" t="n">
        <v>10973</v>
      </c>
      <c r="G7" s="5" t="n">
        <v>9989</v>
      </c>
      <c r="H7" s="5" t="n">
        <v>11779</v>
      </c>
    </row>
    <row r="8">
      <c r="A8" s="6" t="inlineStr">
        <is>
          <t>Fees and commission income</t>
        </is>
      </c>
      <c r="B8" s="6" t="n">
        <v>1162</v>
      </c>
      <c r="C8" s="6" t="n">
        <v>1284</v>
      </c>
      <c r="D8" s="6" t="n">
        <v>1126</v>
      </c>
      <c r="E8" s="6" t="n">
        <v>1557</v>
      </c>
      <c r="F8" s="6" t="n">
        <v>2446</v>
      </c>
      <c r="G8" s="6" t="n">
        <v>2250</v>
      </c>
      <c r="H8" s="6" t="n">
        <v>2108</v>
      </c>
    </row>
    <row r="9">
      <c r="A9" s="6" t="inlineStr">
        <is>
          <t>Net trading income/(expense)</t>
        </is>
      </c>
      <c r="B9" s="6" t="n">
        <v>374</v>
      </c>
      <c r="C9" s="6" t="n">
        <v>60</v>
      </c>
      <c r="D9" s="6" t="n">
        <v>-67</v>
      </c>
      <c r="E9" s="6" t="n">
        <v>-340</v>
      </c>
      <c r="F9" s="6" t="n">
        <v>-98</v>
      </c>
      <c r="G9" s="6" t="n">
        <v>-21</v>
      </c>
      <c r="H9" s="6" t="n">
        <v>43</v>
      </c>
    </row>
    <row r="10">
      <c r="A10" s="6" t="inlineStr">
        <is>
          <t>Other operating (expense)/income</t>
        </is>
      </c>
      <c r="B10" s="6" t="n">
        <v>-35</v>
      </c>
      <c r="C10" s="6" t="n">
        <v>97</v>
      </c>
      <c r="D10" s="6" t="n">
        <v>36</v>
      </c>
      <c r="E10" s="6" t="n">
        <v>120</v>
      </c>
      <c r="F10" s="6" t="n">
        <v>143</v>
      </c>
      <c r="G10" s="6" t="n">
        <v>236</v>
      </c>
      <c r="H10" s="6" t="n">
        <v>171</v>
      </c>
    </row>
    <row r="11">
      <c r="A11" s="6" t="inlineStr">
        <is>
          <t>Net loss from derecognition of financial assets measured at FVTOCI</t>
        </is>
      </c>
      <c r="B11" s="6" t="n">
        <v>0</v>
      </c>
      <c r="C11" s="6" t="n">
        <v>-34</v>
      </c>
      <c r="D11" s="6" t="n">
        <v>-82</v>
      </c>
      <c r="E11" s="6" t="n">
        <v>-41</v>
      </c>
      <c r="F11" s="6" t="n">
        <v>-38</v>
      </c>
      <c r="G11" s="6" t="n">
        <v>0</v>
      </c>
      <c r="H11" s="6" t="n">
        <v>54</v>
      </c>
    </row>
    <row r="12">
      <c r="A12" s="5" t="inlineStr">
        <is>
          <t>Operating income</t>
        </is>
      </c>
      <c r="B12" s="5" t="n">
        <v>21386</v>
      </c>
      <c r="C12" s="5" t="n">
        <v>22265</v>
      </c>
      <c r="D12" s="5" t="n">
        <v>21918</v>
      </c>
      <c r="E12" s="5" t="n">
        <v>16300</v>
      </c>
      <c r="F12" s="5" t="n">
        <v>13426</v>
      </c>
      <c r="G12" s="5" t="n">
        <v>12454</v>
      </c>
      <c r="H12" s="5" t="n">
        <v>14155</v>
      </c>
    </row>
    <row r="13">
      <c r="A13" s="5" t="inlineStr">
        <is>
          <t>Operating expenses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6" t="inlineStr">
        <is>
          <t>Staff costs</t>
        </is>
      </c>
      <c r="B14" s="6" t="n">
        <v>-11526</v>
      </c>
      <c r="C14" s="6" t="n">
        <v>-9688</v>
      </c>
      <c r="D14" s="6" t="n">
        <v>-8892</v>
      </c>
      <c r="E14" s="6" t="n">
        <v>-7845</v>
      </c>
      <c r="F14" s="6" t="n">
        <v>-7176</v>
      </c>
      <c r="G14" s="6" t="n">
        <v>-6981</v>
      </c>
      <c r="H14" s="6" t="n">
        <v>-6085</v>
      </c>
    </row>
    <row r="15">
      <c r="A15" s="6" t="inlineStr">
        <is>
          <t>General administrative expenses</t>
        </is>
      </c>
      <c r="B15" s="6" t="n">
        <v>-9699</v>
      </c>
      <c r="C15" s="6" t="n">
        <v>-8415</v>
      </c>
      <c r="D15" s="6" t="n">
        <v>-3886</v>
      </c>
      <c r="E15" s="6" t="n">
        <v>-3512</v>
      </c>
      <c r="F15" s="6" t="n">
        <v>-3462</v>
      </c>
      <c r="G15" s="6" t="n">
        <v>-3118</v>
      </c>
      <c r="H15" s="6" t="n">
        <v>-3952</v>
      </c>
    </row>
    <row r="16">
      <c r="A16" s="6" t="inlineStr">
        <is>
          <t>Depreciation and amortisation</t>
        </is>
      </c>
      <c r="B16" s="6" t="n">
        <v>-1230</v>
      </c>
      <c r="C16" s="6" t="n">
        <v>-1006</v>
      </c>
      <c r="D16" s="6" t="n">
        <v>-1044</v>
      </c>
      <c r="E16" s="6" t="n">
        <v>-1039</v>
      </c>
      <c r="F16" s="6" t="n">
        <v>-1028</v>
      </c>
      <c r="G16" s="6" t="n">
        <v>-866</v>
      </c>
      <c r="H16" s="6" t="n">
        <v>-977</v>
      </c>
    </row>
    <row r="17">
      <c r="A17" s="5" t="inlineStr">
        <is>
          <t>Operating expenses</t>
        </is>
      </c>
      <c r="B17" s="5" t="n">
        <v>-22455</v>
      </c>
      <c r="C17" s="5" t="n">
        <v>-19109</v>
      </c>
      <c r="D17" s="5" t="n">
        <v>-13822</v>
      </c>
      <c r="E17" s="5" t="n">
        <v>-12396</v>
      </c>
      <c r="F17" s="5" t="n">
        <v>-11666</v>
      </c>
      <c r="G17" s="5" t="n">
        <v>-10965</v>
      </c>
      <c r="H17" s="5" t="n">
        <v>-11014</v>
      </c>
    </row>
    <row r="18">
      <c r="A18" s="6" t="inlineStr">
        <is>
          <t>Reversal of impairment/(provision) for credit losses</t>
        </is>
      </c>
      <c r="B18" s="6" t="n">
        <v>3</v>
      </c>
      <c r="C18" s="6" t="n">
        <v>7</v>
      </c>
      <c r="D18" s="6" t="n">
        <v>171</v>
      </c>
      <c r="E18" s="6" t="n">
        <v>256</v>
      </c>
      <c r="F18" s="6" t="n">
        <v>108</v>
      </c>
      <c r="G18" s="6" t="n">
        <v>-32</v>
      </c>
      <c r="H18" s="6" t="n">
        <v>-8</v>
      </c>
    </row>
    <row r="19">
      <c r="A19" s="5" t="inlineStr">
        <is>
          <t>(Loss)/Profit before tax</t>
        </is>
      </c>
      <c r="B19" s="5" t="n">
        <v>-1066</v>
      </c>
      <c r="C19" s="5" t="n">
        <v>3163</v>
      </c>
      <c r="D19" s="5" t="n">
        <v>8267</v>
      </c>
      <c r="E19" s="5" t="n">
        <v>4160</v>
      </c>
      <c r="F19" s="5" t="n">
        <v>1868</v>
      </c>
      <c r="G19" s="5" t="n">
        <v>1457</v>
      </c>
      <c r="H19" s="5" t="n">
        <v>3133</v>
      </c>
    </row>
    <row r="20">
      <c r="A20" s="6" t="inlineStr">
        <is>
          <t>Income tax (expense)/credit</t>
        </is>
      </c>
      <c r="B20" s="6" t="n">
        <v>246</v>
      </c>
      <c r="C20" s="6" t="n">
        <v>-808</v>
      </c>
      <c r="D20" s="6" t="n">
        <v>-1947</v>
      </c>
      <c r="E20" s="6" t="n">
        <v>-793</v>
      </c>
      <c r="F20" s="6" t="n">
        <v>-364</v>
      </c>
      <c r="G20" s="6" t="n">
        <v>-153</v>
      </c>
      <c r="H20" s="6" t="n">
        <v>-538</v>
      </c>
    </row>
    <row r="21">
      <c r="A21" s="5" t="inlineStr">
        <is>
          <t>(Loss)/Profit after tax</t>
        </is>
      </c>
      <c r="B21" s="5" t="n">
        <v>-820</v>
      </c>
      <c r="C21" s="5" t="n">
        <v>2355</v>
      </c>
      <c r="D21" s="5" t="n">
        <v>6320</v>
      </c>
      <c r="E21" s="5" t="n">
        <v>3367</v>
      </c>
      <c r="F21" s="5" t="n">
        <v>1504</v>
      </c>
      <c r="G21" s="5" t="n">
        <v>1304</v>
      </c>
      <c r="H21" s="5" t="n">
        <v>2595</v>
      </c>
    </row>
    <row r="22">
      <c r="A22" s="5" t="inlineStr">
        <is>
          <t>Other comprehensive income</t>
        </is>
      </c>
      <c r="B22" s="6" t="n"/>
      <c r="C22" s="6" t="n"/>
      <c r="D22" s="6" t="n"/>
      <c r="E22" s="6" t="n"/>
      <c r="F22" s="6" t="n"/>
      <c r="G22" s="6" t="n"/>
      <c r="H22" s="6" t="n"/>
    </row>
    <row r="23">
      <c r="A23" s="6" t="inlineStr">
        <is>
          <t>Fair value movement of debt instruments at FVTOCI</t>
        </is>
      </c>
      <c r="B23" s="6" t="n">
        <v>-1</v>
      </c>
      <c r="C23" s="6" t="n">
        <v>-5</v>
      </c>
      <c r="D23" s="6" t="n">
        <v>70</v>
      </c>
      <c r="E23" s="6" t="n">
        <v>-247</v>
      </c>
      <c r="F23" s="6" t="n">
        <v>56</v>
      </c>
      <c r="G23" s="6" t="n">
        <v>37</v>
      </c>
      <c r="H23" s="6" t="n">
        <v>274</v>
      </c>
    </row>
    <row r="24">
      <c r="A24" s="6" t="inlineStr">
        <is>
          <t>Allowance for ECL movement of debt instruments at FVTOCI</t>
        </is>
      </c>
      <c r="B24" s="6" t="n">
        <v>-12</v>
      </c>
      <c r="C24" s="6" t="n">
        <v>-5</v>
      </c>
      <c r="D24" s="6" t="n">
        <v>-3</v>
      </c>
      <c r="E24" s="6" t="n">
        <v>3</v>
      </c>
      <c r="F24" s="6" t="n">
        <v>-13</v>
      </c>
      <c r="G24" s="6" t="n">
        <v>-7</v>
      </c>
      <c r="H24" s="6" t="n">
        <v>-3</v>
      </c>
    </row>
    <row r="25">
      <c r="A25" s="6" t="inlineStr">
        <is>
          <t>Amounts reclassified to profit or loss for debt instruments measured at FVTOCI</t>
        </is>
      </c>
      <c r="B25" s="6" t="n">
        <v>0</v>
      </c>
      <c r="C25" s="6" t="n">
        <v>34</v>
      </c>
      <c r="D25" s="6" t="n">
        <v>82</v>
      </c>
      <c r="E25" s="6" t="n">
        <v>41</v>
      </c>
      <c r="F25" s="6" t="n">
        <v>38</v>
      </c>
      <c r="G25" s="6" t="n">
        <v>0</v>
      </c>
      <c r="H25" s="6" t="n">
        <v>54</v>
      </c>
    </row>
    <row r="26">
      <c r="A26" s="5" t="inlineStr">
        <is>
          <t>Other comprehensive (expense)/income</t>
        </is>
      </c>
      <c r="B26" s="5" t="n">
        <v>-13</v>
      </c>
      <c r="C26" s="5" t="n">
        <v>24</v>
      </c>
      <c r="D26" s="5" t="n">
        <v>149</v>
      </c>
      <c r="E26" s="5" t="n">
        <v>-203</v>
      </c>
      <c r="F26" s="5" t="n">
        <v>81</v>
      </c>
      <c r="G26" s="5" t="n">
        <v>30</v>
      </c>
      <c r="H26" s="5" t="n">
        <v>325</v>
      </c>
    </row>
    <row r="27">
      <c r="A27" s="5" t="inlineStr">
        <is>
          <t>Total comprehensive income for the year, net of tax</t>
        </is>
      </c>
      <c r="B27" s="5" t="n">
        <v>-833</v>
      </c>
      <c r="C27" s="5" t="n">
        <v>2379</v>
      </c>
      <c r="D27" s="5" t="n">
        <v>6469</v>
      </c>
      <c r="E27" s="5" t="n">
        <v>3164</v>
      </c>
      <c r="F27" s="5" t="n">
        <v>1585</v>
      </c>
      <c r="G27" s="5" t="n">
        <v>1334</v>
      </c>
      <c r="H27" s="5" t="n">
        <v>2920</v>
      </c>
    </row>
    <row r="29" ht="150" customHeight="1">
      <c r="A29" s="8" t="inlineStr">
        <is>
          <t>Sources — Alpha Bank London Limited's own Statement of Profit or Loss and Statement of Comprehensive Income, £000's:
FY2025 &amp; FY2024: Annual Report and Financial Statements 31 December 2025, p.22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p.23 — https://find-and-update.company-information.service.gov.uk/company/00185070/filing-history/MzQ2NDAyMTQ4MGFkaXF6a2N4/document?format=pdf&amp;download=0
FY2022 &amp; FY2021: Annual Report and Financial Statements 31 December 2022, p.19 — https://find-and-update.company-information.service.gov.uk/company/00185070/filing-history/MzM3OTU0ODM0NWFkaXF6a2N4/document?format=pdf&amp;download=0
FY2020 &amp; FY2019: Annual Report and Financial Statements 31 December 2020, p.20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'Net trading income/(expense)' is presented as a positive figure some years and negative in others exactly as printed in the source (a genuine swing between net trading gains and losses year to year, not a sign error). All TOTAL rows tie out exactly for every year; 'Total comprehensive income for the year, net of tax' also ties to the Statement of Changes in Equity's own 'Total comprehensive income' movement row for every year.</t>
        </is>
      </c>
    </row>
  </sheetData>
  <mergeCells count="1">
    <mergeCell ref="A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Alpha Bank London Limited — Statement of Changes in Equity</t>
        </is>
      </c>
    </row>
    <row r="2">
      <c r="A2" s="2" t="inlineStr">
        <is>
          <t>Entity-level basis, £000's, chronological, 1 January 2019 - 31 December 2025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Fair value reserve</t>
        </is>
      </c>
      <c r="E3" s="4" t="inlineStr">
        <is>
          <t>Total equity</t>
        </is>
      </c>
    </row>
    <row r="4">
      <c r="A4" s="5" t="inlineStr">
        <is>
          <t>Balance as at 1 January 2019</t>
        </is>
      </c>
      <c r="B4" s="5" t="n">
        <v>30000</v>
      </c>
      <c r="C4" s="5" t="n">
        <v>20915</v>
      </c>
      <c r="D4" s="5" t="n">
        <v>-384</v>
      </c>
      <c r="E4" s="5" t="n">
        <v>50531</v>
      </c>
    </row>
    <row r="5">
      <c r="A5" s="6" t="inlineStr">
        <is>
          <t>Profit after tax</t>
        </is>
      </c>
      <c r="B5" s="6" t="n"/>
      <c r="C5" s="6" t="n">
        <v>2595</v>
      </c>
      <c r="D5" s="6" t="n"/>
      <c r="E5" s="6" t="n">
        <v>2595</v>
      </c>
    </row>
    <row r="6">
      <c r="A6" s="6" t="inlineStr">
        <is>
          <t>Other comprehensive income for the year</t>
        </is>
      </c>
      <c r="B6" s="6" t="n"/>
      <c r="C6" s="6" t="n"/>
      <c r="D6" s="6" t="n">
        <v>325</v>
      </c>
      <c r="E6" s="6" t="n">
        <v>325</v>
      </c>
    </row>
    <row r="7">
      <c r="A7" s="5" t="inlineStr">
        <is>
          <t>Total comprehensive income for the year</t>
        </is>
      </c>
      <c r="B7" s="5" t="n"/>
      <c r="C7" s="5" t="n">
        <v>2595</v>
      </c>
      <c r="D7" s="5" t="n">
        <v>325</v>
      </c>
      <c r="E7" s="5" t="n">
        <v>2920</v>
      </c>
    </row>
    <row r="8">
      <c r="A8" s="5" t="inlineStr">
        <is>
          <t>Balance attributable to the owner as at 31 December 2019</t>
        </is>
      </c>
      <c r="B8" s="5" t="n">
        <v>30000</v>
      </c>
      <c r="C8" s="5" t="n">
        <v>23510</v>
      </c>
      <c r="D8" s="5" t="n">
        <v>-59</v>
      </c>
      <c r="E8" s="5" t="n">
        <v>53451</v>
      </c>
    </row>
    <row r="9">
      <c r="A9" s="5" t="inlineStr">
        <is>
          <t>Balance as at 1 January 2020</t>
        </is>
      </c>
      <c r="B9" s="5" t="n">
        <v>30000</v>
      </c>
      <c r="C9" s="5" t="n">
        <v>23510</v>
      </c>
      <c r="D9" s="5" t="n">
        <v>-59</v>
      </c>
      <c r="E9" s="5" t="n">
        <v>53451</v>
      </c>
    </row>
    <row r="10">
      <c r="A10" s="6" t="inlineStr">
        <is>
          <t>Profit after tax</t>
        </is>
      </c>
      <c r="B10" s="6" t="n"/>
      <c r="C10" s="6" t="n">
        <v>1304</v>
      </c>
      <c r="D10" s="6" t="n"/>
      <c r="E10" s="6" t="n">
        <v>1304</v>
      </c>
    </row>
    <row r="11">
      <c r="A11" s="6" t="inlineStr">
        <is>
          <t>Other comprehensive income for the year</t>
        </is>
      </c>
      <c r="B11" s="6" t="n"/>
      <c r="C11" s="6" t="n"/>
      <c r="D11" s="6" t="n">
        <v>30</v>
      </c>
      <c r="E11" s="6" t="n">
        <v>30</v>
      </c>
    </row>
    <row r="12">
      <c r="A12" s="5" t="inlineStr">
        <is>
          <t>Total comprehensive income for the year</t>
        </is>
      </c>
      <c r="B12" s="5" t="n"/>
      <c r="C12" s="5" t="n">
        <v>1304</v>
      </c>
      <c r="D12" s="5" t="n">
        <v>30</v>
      </c>
      <c r="E12" s="5" t="n">
        <v>1334</v>
      </c>
    </row>
    <row r="13">
      <c r="A13" s="5" t="inlineStr">
        <is>
          <t>Balance attributable to the owner as at 31 December 2020</t>
        </is>
      </c>
      <c r="B13" s="5" t="n">
        <v>30000</v>
      </c>
      <c r="C13" s="5" t="n">
        <v>24814</v>
      </c>
      <c r="D13" s="5" t="n">
        <v>-29</v>
      </c>
      <c r="E13" s="5" t="n">
        <v>54785</v>
      </c>
    </row>
    <row r="14">
      <c r="A14" s="5" t="inlineStr">
        <is>
          <t>Balance as at 1 January 2021</t>
        </is>
      </c>
      <c r="B14" s="5" t="n">
        <v>30000</v>
      </c>
      <c r="C14" s="5" t="n">
        <v>24814</v>
      </c>
      <c r="D14" s="5" t="n">
        <v>-29</v>
      </c>
      <c r="E14" s="5" t="n">
        <v>54785</v>
      </c>
    </row>
    <row r="15">
      <c r="A15" s="6" t="inlineStr">
        <is>
          <t>Profit after tax</t>
        </is>
      </c>
      <c r="B15" s="6" t="n"/>
      <c r="C15" s="6" t="n">
        <v>1504</v>
      </c>
      <c r="D15" s="6" t="n"/>
      <c r="E15" s="6" t="n">
        <v>1504</v>
      </c>
    </row>
    <row r="16">
      <c r="A16" s="6" t="inlineStr">
        <is>
          <t>Other comprehensive income for the year</t>
        </is>
      </c>
      <c r="B16" s="6" t="n"/>
      <c r="C16" s="6" t="n"/>
      <c r="D16" s="6" t="n">
        <v>81</v>
      </c>
      <c r="E16" s="6" t="n">
        <v>81</v>
      </c>
    </row>
    <row r="17">
      <c r="A17" s="5" t="inlineStr">
        <is>
          <t>Total comprehensive income for the year</t>
        </is>
      </c>
      <c r="B17" s="5" t="n"/>
      <c r="C17" s="5" t="n">
        <v>1504</v>
      </c>
      <c r="D17" s="5" t="n">
        <v>81</v>
      </c>
      <c r="E17" s="5" t="n">
        <v>1585</v>
      </c>
    </row>
    <row r="18">
      <c r="A18" s="5" t="inlineStr">
        <is>
          <t>Balance attributable to the owner as at 31 December 2021</t>
        </is>
      </c>
      <c r="B18" s="5" t="n">
        <v>30000</v>
      </c>
      <c r="C18" s="5" t="n">
        <v>26318</v>
      </c>
      <c r="D18" s="5" t="n">
        <v>52</v>
      </c>
      <c r="E18" s="5" t="n">
        <v>56370</v>
      </c>
    </row>
    <row r="19">
      <c r="A19" s="5" t="inlineStr">
        <is>
          <t>Balance as at 1 January 2022</t>
        </is>
      </c>
      <c r="B19" s="5" t="n">
        <v>30000</v>
      </c>
      <c r="C19" s="5" t="n">
        <v>26318</v>
      </c>
      <c r="D19" s="5" t="n">
        <v>52</v>
      </c>
      <c r="E19" s="5" t="n">
        <v>56370</v>
      </c>
    </row>
    <row r="20">
      <c r="A20" s="6" t="inlineStr">
        <is>
          <t>Profit after tax</t>
        </is>
      </c>
      <c r="B20" s="6" t="n"/>
      <c r="C20" s="6" t="n">
        <v>3367</v>
      </c>
      <c r="D20" s="6" t="n"/>
      <c r="E20" s="6" t="n">
        <v>3367</v>
      </c>
    </row>
    <row r="21">
      <c r="A21" s="6" t="inlineStr">
        <is>
          <t>Other comprehensive expense for the year</t>
        </is>
      </c>
      <c r="B21" s="6" t="n"/>
      <c r="C21" s="6" t="n"/>
      <c r="D21" s="6" t="n">
        <v>-203</v>
      </c>
      <c r="E21" s="6" t="n">
        <v>-203</v>
      </c>
    </row>
    <row r="22">
      <c r="A22" s="5" t="inlineStr">
        <is>
          <t>Total comprehensive income for the year</t>
        </is>
      </c>
      <c r="B22" s="5" t="n"/>
      <c r="C22" s="5" t="n">
        <v>3367</v>
      </c>
      <c r="D22" s="5" t="n">
        <v>-203</v>
      </c>
      <c r="E22" s="5" t="n">
        <v>3164</v>
      </c>
    </row>
    <row r="23">
      <c r="A23" s="5" t="inlineStr">
        <is>
          <t>Balance attributable to the owner as at 31 December 2022</t>
        </is>
      </c>
      <c r="B23" s="5" t="n">
        <v>30000</v>
      </c>
      <c r="C23" s="5" t="n">
        <v>29685</v>
      </c>
      <c r="D23" s="5" t="n">
        <v>-151</v>
      </c>
      <c r="E23" s="5" t="n">
        <v>59534</v>
      </c>
    </row>
    <row r="24">
      <c r="A24" s="5" t="inlineStr">
        <is>
          <t>Balance as at 1 January 2023</t>
        </is>
      </c>
      <c r="B24" s="5" t="n">
        <v>30000</v>
      </c>
      <c r="C24" s="5" t="n">
        <v>29685</v>
      </c>
      <c r="D24" s="5" t="n">
        <v>-151</v>
      </c>
      <c r="E24" s="5" t="n">
        <v>59534</v>
      </c>
    </row>
    <row r="25">
      <c r="A25" s="6" t="inlineStr">
        <is>
          <t>Profit after tax</t>
        </is>
      </c>
      <c r="B25" s="6" t="n"/>
      <c r="C25" s="6" t="n">
        <v>6320</v>
      </c>
      <c r="D25" s="6" t="n"/>
      <c r="E25" s="6" t="n">
        <v>6320</v>
      </c>
    </row>
    <row r="26">
      <c r="A26" s="6" t="inlineStr">
        <is>
          <t>Other comprehensive income for the year</t>
        </is>
      </c>
      <c r="B26" s="6" t="n"/>
      <c r="C26" s="6" t="n"/>
      <c r="D26" s="6" t="n">
        <v>149</v>
      </c>
      <c r="E26" s="6" t="n">
        <v>149</v>
      </c>
    </row>
    <row r="27">
      <c r="A27" s="5" t="inlineStr">
        <is>
          <t>Total comprehensive income for the year</t>
        </is>
      </c>
      <c r="B27" s="5" t="n"/>
      <c r="C27" s="5" t="n">
        <v>6320</v>
      </c>
      <c r="D27" s="5" t="n">
        <v>149</v>
      </c>
      <c r="E27" s="5" t="n">
        <v>6469</v>
      </c>
    </row>
    <row r="28">
      <c r="A28" s="5" t="inlineStr">
        <is>
          <t>Balance attributable to the owner as at 31 December 2023</t>
        </is>
      </c>
      <c r="B28" s="5" t="n">
        <v>30000</v>
      </c>
      <c r="C28" s="5" t="n">
        <v>36005</v>
      </c>
      <c r="D28" s="5" t="n">
        <v>-2</v>
      </c>
      <c r="E28" s="5" t="n">
        <v>66003</v>
      </c>
    </row>
    <row r="29">
      <c r="A29" s="5" t="inlineStr">
        <is>
          <t>Balance as at 1 January 2024</t>
        </is>
      </c>
      <c r="B29" s="5" t="n">
        <v>30000</v>
      </c>
      <c r="C29" s="5" t="n">
        <v>36005</v>
      </c>
      <c r="D29" s="5" t="n">
        <v>-2</v>
      </c>
      <c r="E29" s="5" t="n">
        <v>66003</v>
      </c>
    </row>
    <row r="30">
      <c r="A30" s="6" t="inlineStr">
        <is>
          <t>Profit after tax</t>
        </is>
      </c>
      <c r="B30" s="6" t="n"/>
      <c r="C30" s="6" t="n">
        <v>2355</v>
      </c>
      <c r="D30" s="6" t="n"/>
      <c r="E30" s="6" t="n">
        <v>2355</v>
      </c>
    </row>
    <row r="31">
      <c r="A31" s="6" t="inlineStr">
        <is>
          <t>Other comprehensive income for the year</t>
        </is>
      </c>
      <c r="B31" s="6" t="n"/>
      <c r="C31" s="6" t="n"/>
      <c r="D31" s="6" t="n">
        <v>24</v>
      </c>
      <c r="E31" s="6" t="n">
        <v>24</v>
      </c>
    </row>
    <row r="32">
      <c r="A32" s="5" t="inlineStr">
        <is>
          <t>Total comprehensive income for the year</t>
        </is>
      </c>
      <c r="B32" s="5" t="n"/>
      <c r="C32" s="5" t="n">
        <v>2355</v>
      </c>
      <c r="D32" s="5" t="n">
        <v>24</v>
      </c>
      <c r="E32" s="5" t="n">
        <v>2379</v>
      </c>
    </row>
    <row r="33">
      <c r="A33" s="5" t="inlineStr">
        <is>
          <t>Balance attributable to the owner as at 31 December 2024</t>
        </is>
      </c>
      <c r="B33" s="5" t="n">
        <v>30000</v>
      </c>
      <c r="C33" s="5" t="n">
        <v>38360</v>
      </c>
      <c r="D33" s="5" t="n">
        <v>22</v>
      </c>
      <c r="E33" s="5" t="n">
        <v>68382</v>
      </c>
    </row>
    <row r="34">
      <c r="A34" s="5" t="inlineStr">
        <is>
          <t>Balance as at 1 January 2025</t>
        </is>
      </c>
      <c r="B34" s="5" t="n">
        <v>30000</v>
      </c>
      <c r="C34" s="5" t="n">
        <v>38360</v>
      </c>
      <c r="D34" s="5" t="n">
        <v>22</v>
      </c>
      <c r="E34" s="5" t="n">
        <v>68382</v>
      </c>
    </row>
    <row r="35">
      <c r="A35" s="6" t="inlineStr">
        <is>
          <t>(Loss) after tax</t>
        </is>
      </c>
      <c r="B35" s="6" t="n"/>
      <c r="C35" s="6" t="n">
        <v>-820</v>
      </c>
      <c r="D35" s="6" t="n"/>
      <c r="E35" s="6" t="n">
        <v>-820</v>
      </c>
    </row>
    <row r="36">
      <c r="A36" s="6" t="inlineStr">
        <is>
          <t>Other comprehensive expense for the year</t>
        </is>
      </c>
      <c r="B36" s="6" t="n"/>
      <c r="C36" s="6" t="n"/>
      <c r="D36" s="6" t="n">
        <v>-13</v>
      </c>
      <c r="E36" s="6" t="n">
        <v>-13</v>
      </c>
    </row>
    <row r="37">
      <c r="A37" s="5" t="inlineStr">
        <is>
          <t>Total comprehensive income for the year</t>
        </is>
      </c>
      <c r="B37" s="5" t="n"/>
      <c r="C37" s="5" t="n">
        <v>-820</v>
      </c>
      <c r="D37" s="5" t="n">
        <v>-13</v>
      </c>
      <c r="E37" s="5" t="n">
        <v>-833</v>
      </c>
    </row>
    <row r="38">
      <c r="A38" s="5" t="inlineStr">
        <is>
          <t>Balance attributable to the owner as at 31 December 2025</t>
        </is>
      </c>
      <c r="B38" s="5" t="n">
        <v>30000</v>
      </c>
      <c r="C38" s="5" t="n">
        <v>37540</v>
      </c>
      <c r="D38" s="5" t="n">
        <v>9</v>
      </c>
      <c r="E38" s="5" t="n">
        <v>67549</v>
      </c>
    </row>
    <row r="40" ht="150" customHeight="1">
      <c r="A40" s="8" t="inlineStr">
        <is>
          <t>Sources — Alpha Bank London Limited's own Statement of Changes in Equity, £000's, chronological (1 January 2019 to 31 December 2025):
FY2025 &amp; FY2024 movements: Annual Report and Financial Statements 31 December 2025, p.24 — https://find-and-update.company-information.service.gov.uk/company/00185070/filing-history/MzUyMzkyMTM5MGFkaXF6a2N4/document?format=pdf&amp;download=0
FY2023 movements (cross-checked against FY2024 &amp; FY2023 comparative): Annual Report and Financial Statements 31 December 2024, p.25 — https://find-and-update.company-information.service.gov.uk/company/00185070/filing-history/MzQ2NDAyMTQ4MGFkaXF6a2N4/document?format=pdf&amp;download=0
FY2022 &amp; FY2021 movements: Annual Report and Financial Statements 31 December 2022, p.21 — https://find-and-update.company-information.service.gov.uk/company/00185070/filing-history/MzM3OTU0ODM0NWFkaXF6a2N4/document?format=pdf&amp;download=0
FY2020 &amp; FY2019 movements: Annual Report and Financial Statements 31 December 2020, p.22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Equity components are Share capital, Retained earnings, and a Fair value reserve (FVTOCI debt-instrument movements) - no other reserve types exist across the 7 years. All 'Balance as at' rows tie out exactly to the Balance Sheet sheet's own Total equity figure for the matching year-end.</t>
        </is>
      </c>
    </row>
  </sheetData>
  <mergeCells count="1">
    <mergeCell ref="A40:E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Cash Flow Statement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(Loss)/profit before tax</t>
        </is>
      </c>
      <c r="B5" s="6" t="n">
        <v>-1066</v>
      </c>
      <c r="C5" s="6" t="n">
        <v>3163</v>
      </c>
      <c r="D5" s="6" t="n">
        <v>8267</v>
      </c>
      <c r="E5" s="6" t="n">
        <v>4160</v>
      </c>
      <c r="F5" s="6" t="n">
        <v>1868</v>
      </c>
      <c r="G5" s="6" t="n">
        <v>1457</v>
      </c>
      <c r="H5" s="6" t="n">
        <v>3133</v>
      </c>
    </row>
    <row r="6">
      <c r="A6" s="6" t="inlineStr">
        <is>
          <t>Interest income on investment securities</t>
        </is>
      </c>
      <c r="B6" s="6" t="n">
        <v>-1367</v>
      </c>
      <c r="C6" s="6" t="n">
        <v>-2894</v>
      </c>
      <c r="D6" s="6" t="n">
        <v>-4042</v>
      </c>
      <c r="E6" s="6" t="n">
        <v>-630</v>
      </c>
      <c r="F6" s="6" t="n">
        <v>248</v>
      </c>
      <c r="G6" s="6" t="n">
        <v>-648</v>
      </c>
      <c r="H6" s="6" t="n">
        <v>-1945</v>
      </c>
    </row>
    <row r="7">
      <c r="A7" s="6" t="inlineStr">
        <is>
          <t>Interest income on loans and advances to customers (accrued)</t>
        </is>
      </c>
      <c r="B7" s="6" t="n"/>
      <c r="C7" s="6" t="n">
        <v>-29603</v>
      </c>
      <c r="D7" s="6" t="n">
        <v>-25319</v>
      </c>
      <c r="E7" s="6" t="n">
        <v>-16874</v>
      </c>
      <c r="F7" s="6" t="n">
        <v>-12771</v>
      </c>
      <c r="G7" s="6" t="n">
        <v>-12955</v>
      </c>
      <c r="H7" s="6" t="n">
        <v>-13967</v>
      </c>
    </row>
    <row r="8">
      <c r="A8" s="6" t="inlineStr">
        <is>
          <t>Interest expense on due to banks (accrued)</t>
        </is>
      </c>
      <c r="B8" s="6" t="n"/>
      <c r="C8" s="6" t="n">
        <v>0</v>
      </c>
      <c r="D8" s="6" t="n">
        <v>624</v>
      </c>
      <c r="E8" s="6" t="n">
        <v>2316</v>
      </c>
      <c r="F8" s="6" t="n">
        <v>1484</v>
      </c>
      <c r="G8" s="6" t="n">
        <v>1887</v>
      </c>
      <c r="H8" s="6" t="n">
        <v>2750</v>
      </c>
    </row>
    <row r="9">
      <c r="A9" s="6" t="inlineStr">
        <is>
          <t>Interest expense on due to customers (accrued)</t>
        </is>
      </c>
      <c r="B9" s="6" t="n"/>
      <c r="C9" s="6" t="n">
        <v>7547</v>
      </c>
      <c r="D9" s="6" t="n">
        <v>7383</v>
      </c>
      <c r="E9" s="6" t="n">
        <v>355</v>
      </c>
      <c r="F9" s="6" t="n">
        <v>144</v>
      </c>
      <c r="G9" s="6" t="n">
        <v>1122</v>
      </c>
      <c r="H9" s="6" t="n">
        <v>2009</v>
      </c>
    </row>
    <row r="10">
      <c r="A10" s="6" t="inlineStr">
        <is>
          <t>Interest expense on debt securities in issue and other borrowed funds</t>
        </is>
      </c>
      <c r="B10" s="6" t="n">
        <v>690</v>
      </c>
      <c r="C10" s="6" t="n">
        <v>726</v>
      </c>
      <c r="D10" s="6" t="n">
        <v>669</v>
      </c>
      <c r="E10" s="6" t="n">
        <v>340</v>
      </c>
      <c r="F10" s="6" t="n">
        <v>207</v>
      </c>
      <c r="G10" s="6" t="n">
        <v>240</v>
      </c>
      <c r="H10" s="6" t="n">
        <v>283</v>
      </c>
    </row>
    <row r="11">
      <c r="A11" s="6" t="inlineStr">
        <is>
          <t>Interest expense on lease liabilities</t>
        </is>
      </c>
      <c r="B11" s="6" t="n">
        <v>54</v>
      </c>
      <c r="C11" s="6" t="n">
        <v>139</v>
      </c>
      <c r="D11" s="6" t="n">
        <v>185</v>
      </c>
      <c r="E11" s="6" t="n">
        <v>138</v>
      </c>
      <c r="F11" s="6" t="n">
        <v>161</v>
      </c>
      <c r="G11" s="6" t="n">
        <v>149</v>
      </c>
      <c r="H11" s="6" t="n">
        <v>131</v>
      </c>
    </row>
    <row r="12">
      <c r="A12" s="6" t="inlineStr">
        <is>
          <t>Gain/(loss) on forward revaluation of FX transactions</t>
        </is>
      </c>
      <c r="B12" s="6" t="n">
        <v>-374</v>
      </c>
      <c r="C12" s="6" t="n">
        <v>-60</v>
      </c>
      <c r="D12" s="6" t="n">
        <v>67</v>
      </c>
      <c r="E12" s="6" t="n">
        <v>340</v>
      </c>
      <c r="F12" s="6" t="n">
        <v>98</v>
      </c>
      <c r="G12" s="6" t="n">
        <v>21</v>
      </c>
      <c r="H12" s="6" t="n">
        <v>-42</v>
      </c>
    </row>
    <row r="13">
      <c r="A13" s="6" t="inlineStr">
        <is>
          <t>Gain on foreign exchange</t>
        </is>
      </c>
      <c r="B13" s="6" t="n">
        <v>49</v>
      </c>
      <c r="C13" s="6" t="n">
        <v>-100</v>
      </c>
      <c r="D13" s="6" t="n">
        <v>-96</v>
      </c>
      <c r="E13" s="6" t="n">
        <v>-120</v>
      </c>
      <c r="F13" s="6" t="n">
        <v>-143</v>
      </c>
      <c r="G13" s="6" t="n">
        <v>-167</v>
      </c>
      <c r="H13" s="6" t="n">
        <v>-161</v>
      </c>
    </row>
    <row r="14">
      <c r="A14" s="6" t="inlineStr">
        <is>
          <t>(Loss)/gain from derecognition of investment securities</t>
        </is>
      </c>
      <c r="B14" s="6" t="n">
        <v>-1</v>
      </c>
      <c r="C14" s="6" t="n">
        <v>28</v>
      </c>
      <c r="D14" s="6" t="n">
        <v>152</v>
      </c>
      <c r="E14" s="6" t="n">
        <v>-206</v>
      </c>
      <c r="F14" s="6" t="n">
        <v>94</v>
      </c>
      <c r="G14" s="6" t="n">
        <v>0</v>
      </c>
      <c r="H14" s="6" t="n">
        <v>-54</v>
      </c>
    </row>
    <row r="15">
      <c r="A15" s="6" t="inlineStr">
        <is>
          <t>Movement in ECL allowance on investment securities</t>
        </is>
      </c>
      <c r="B15" s="6" t="n">
        <v>0</v>
      </c>
      <c r="C15" s="6" t="n">
        <v>-5</v>
      </c>
      <c r="D15" s="6" t="n">
        <v>-3</v>
      </c>
      <c r="E15" s="6" t="n">
        <v>3</v>
      </c>
      <c r="F15" s="6" t="n">
        <v>-13</v>
      </c>
      <c r="G15" s="6" t="n">
        <v>-7</v>
      </c>
      <c r="H15" s="6" t="n">
        <v>-3</v>
      </c>
    </row>
    <row r="16">
      <c r="A16" s="6" t="inlineStr">
        <is>
          <t>Movement in ECL allowance on loans and advances to customers</t>
        </is>
      </c>
      <c r="B16" s="6" t="n">
        <v>2</v>
      </c>
      <c r="C16" s="6" t="n">
        <v>-1</v>
      </c>
      <c r="D16" s="6" t="n">
        <v>-168</v>
      </c>
      <c r="E16" s="6" t="n">
        <v>-254</v>
      </c>
      <c r="F16" s="6" t="n">
        <v>-92</v>
      </c>
      <c r="G16" s="6" t="n">
        <v>32</v>
      </c>
      <c r="H16" s="6" t="n">
        <v>11</v>
      </c>
    </row>
    <row r="17">
      <c r="A17" s="6" t="inlineStr">
        <is>
          <t>Movement in ECL allowance on undrawn commitments</t>
        </is>
      </c>
      <c r="B17" s="6" t="n">
        <v>1</v>
      </c>
      <c r="C17" s="6" t="n">
        <v>-1</v>
      </c>
      <c r="D17" s="6" t="n"/>
      <c r="E17" s="6" t="n"/>
      <c r="F17" s="6" t="n"/>
      <c r="G17" s="6" t="n"/>
      <c r="H17" s="6" t="n"/>
    </row>
    <row r="18">
      <c r="A18" s="6" t="inlineStr">
        <is>
          <t>Depreciation and amortisation</t>
        </is>
      </c>
      <c r="B18" s="6" t="n">
        <v>1230</v>
      </c>
      <c r="C18" s="6" t="n">
        <v>992</v>
      </c>
      <c r="D18" s="6" t="n">
        <v>1044</v>
      </c>
      <c r="E18" s="6" t="n">
        <v>1039</v>
      </c>
      <c r="F18" s="6" t="n">
        <v>1028</v>
      </c>
      <c r="G18" s="6" t="n">
        <v>1009</v>
      </c>
      <c r="H18" s="6" t="n">
        <v>1150</v>
      </c>
    </row>
    <row r="19">
      <c r="A19" s="6" t="inlineStr">
        <is>
          <t>Provision</t>
        </is>
      </c>
      <c r="B19" s="6" t="n"/>
      <c r="C19" s="6" t="n"/>
      <c r="D19" s="6" t="n">
        <v>1</v>
      </c>
      <c r="E19" s="6" t="n">
        <v>0</v>
      </c>
      <c r="F19" s="6" t="n">
        <v>6</v>
      </c>
      <c r="G19" s="6" t="n">
        <v>109</v>
      </c>
      <c r="H19" s="6" t="n">
        <v>0</v>
      </c>
    </row>
    <row r="20">
      <c r="A20" s="5" t="inlineStr">
        <is>
          <t>Cash flows before changes in operating assets/liabilities (as reported; not broken out FY2025)</t>
        </is>
      </c>
      <c r="B20" s="5" t="n"/>
      <c r="C20" s="5" t="n">
        <v>-20069</v>
      </c>
      <c r="D20" s="5" t="n">
        <v>-11236</v>
      </c>
      <c r="E20" s="5" t="n">
        <v>-9393</v>
      </c>
      <c r="F20" s="5" t="n">
        <v>-7681</v>
      </c>
      <c r="G20" s="5" t="n">
        <v>-7751</v>
      </c>
      <c r="H20" s="5" t="n">
        <v>-6705</v>
      </c>
    </row>
    <row r="21">
      <c r="A21" s="5" t="inlineStr">
        <is>
          <t>Net increase/(decrease) in assets relating to operating activities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s="6" t="inlineStr">
        <is>
          <t>Derivative financial instruments</t>
        </is>
      </c>
      <c r="B22" s="6" t="n">
        <v>2605</v>
      </c>
      <c r="C22" s="6" t="n">
        <v>-2523</v>
      </c>
      <c r="D22" s="6" t="n">
        <v>2916</v>
      </c>
      <c r="E22" s="6" t="n">
        <v>-3261</v>
      </c>
      <c r="F22" s="6" t="n">
        <v>452</v>
      </c>
      <c r="G22" s="6" t="n">
        <v>-239</v>
      </c>
      <c r="H22" s="6" t="n">
        <v>1141</v>
      </c>
    </row>
    <row r="23">
      <c r="A23" s="6" t="inlineStr">
        <is>
          <t>Investment securities</t>
        </is>
      </c>
      <c r="B23" s="6" t="n">
        <v>447</v>
      </c>
      <c r="C23" s="6" t="n">
        <v>8164</v>
      </c>
      <c r="D23" s="6" t="n">
        <v>1729</v>
      </c>
      <c r="E23" s="6" t="n">
        <v>-5211</v>
      </c>
      <c r="F23" s="6" t="n">
        <v>-3265</v>
      </c>
      <c r="G23" s="6" t="n">
        <v>-1748</v>
      </c>
      <c r="H23" s="6" t="n">
        <v>12240</v>
      </c>
    </row>
    <row r="24">
      <c r="A24" s="6" t="inlineStr">
        <is>
          <t>Loans and advances to customers</t>
        </is>
      </c>
      <c r="B24" s="6" t="n">
        <v>-57033</v>
      </c>
      <c r="C24" s="6" t="n">
        <v>-67368</v>
      </c>
      <c r="D24" s="6" t="n">
        <v>-4461</v>
      </c>
      <c r="E24" s="6" t="n">
        <v>32615</v>
      </c>
      <c r="F24" s="6" t="n">
        <v>-20115</v>
      </c>
      <c r="G24" s="6" t="n">
        <v>1433</v>
      </c>
      <c r="H24" s="6" t="n">
        <v>-49640</v>
      </c>
    </row>
    <row r="25">
      <c r="A25" s="6" t="inlineStr">
        <is>
          <t>Right-of-use assets</t>
        </is>
      </c>
      <c r="B25" s="6" t="n"/>
      <c r="C25" s="6" t="n"/>
      <c r="D25" s="6" t="n"/>
      <c r="E25" s="6" t="n"/>
      <c r="F25" s="6" t="n"/>
      <c r="G25" s="6" t="n"/>
      <c r="H25" s="6" t="n">
        <v>-4892</v>
      </c>
    </row>
    <row r="26">
      <c r="A26" s="6" t="inlineStr">
        <is>
          <t>Other assets</t>
        </is>
      </c>
      <c r="B26" s="6" t="n">
        <v>-1364</v>
      </c>
      <c r="C26" s="6" t="n">
        <v>-1057</v>
      </c>
      <c r="D26" s="6" t="n">
        <v>203</v>
      </c>
      <c r="E26" s="6" t="n">
        <v>213</v>
      </c>
      <c r="F26" s="6" t="n">
        <v>61</v>
      </c>
      <c r="G26" s="6" t="n">
        <v>-266</v>
      </c>
      <c r="H26" s="6" t="n">
        <v>38</v>
      </c>
    </row>
    <row r="27">
      <c r="A27" s="5" t="inlineStr">
        <is>
          <t>Total change in operating assets</t>
        </is>
      </c>
      <c r="B27" s="5" t="n">
        <v>-55345</v>
      </c>
      <c r="C27" s="5" t="n">
        <v>-62784</v>
      </c>
      <c r="D27" s="5" t="n">
        <v>387</v>
      </c>
      <c r="E27" s="5" t="n">
        <v>24356</v>
      </c>
      <c r="F27" s="5" t="n">
        <v>-22867</v>
      </c>
      <c r="G27" s="5" t="n">
        <v>-821</v>
      </c>
      <c r="H27" s="5" t="n">
        <v>-41113</v>
      </c>
    </row>
    <row r="28">
      <c r="A28" s="5" t="inlineStr">
        <is>
          <t>Net increase/(decrease) in liabilities relating to operating activities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6" t="inlineStr">
        <is>
          <t>Derivative financial instruments</t>
        </is>
      </c>
      <c r="B29" s="6" t="n">
        <v>-106</v>
      </c>
      <c r="C29" s="6" t="n">
        <v>-825</v>
      </c>
      <c r="D29" s="6" t="n">
        <v>-119</v>
      </c>
      <c r="E29" s="6" t="n">
        <v>-659</v>
      </c>
      <c r="F29" s="6" t="n">
        <v>523</v>
      </c>
      <c r="G29" s="6" t="n">
        <v>-1293</v>
      </c>
      <c r="H29" s="6" t="n">
        <v>3150</v>
      </c>
    </row>
    <row r="30">
      <c r="A30" s="6" t="inlineStr">
        <is>
          <t>Due to banks</t>
        </is>
      </c>
      <c r="B30" s="6" t="n">
        <v>5337</v>
      </c>
      <c r="C30" s="6" t="n">
        <v>1761</v>
      </c>
      <c r="D30" s="6" t="n">
        <v>-6187</v>
      </c>
      <c r="E30" s="6" t="n">
        <v>-23806</v>
      </c>
      <c r="F30" s="6" t="n">
        <v>27128</v>
      </c>
      <c r="G30" s="6" t="n">
        <v>657</v>
      </c>
      <c r="H30" s="6" t="n">
        <v>-1426</v>
      </c>
    </row>
    <row r="31">
      <c r="A31" s="6" t="inlineStr">
        <is>
          <t>Due to customers</t>
        </is>
      </c>
      <c r="B31" s="6" t="n">
        <v>57757</v>
      </c>
      <c r="C31" s="6" t="n">
        <v>26848</v>
      </c>
      <c r="D31" s="6" t="n">
        <v>-10414</v>
      </c>
      <c r="E31" s="6" t="n">
        <v>-43423</v>
      </c>
      <c r="F31" s="6" t="n">
        <v>-91738</v>
      </c>
      <c r="G31" s="6" t="n">
        <v>-35443</v>
      </c>
      <c r="H31" s="6" t="n">
        <v>-226829</v>
      </c>
    </row>
    <row r="32">
      <c r="A32" s="6" t="inlineStr">
        <is>
          <t>Other borrowed funds</t>
        </is>
      </c>
      <c r="B32" s="6" t="n">
        <v>0</v>
      </c>
      <c r="C32" s="6" t="n">
        <v>-2</v>
      </c>
      <c r="D32" s="6" t="n">
        <v>3</v>
      </c>
      <c r="E32" s="6" t="n">
        <v>2</v>
      </c>
      <c r="F32" s="6" t="n">
        <v>1</v>
      </c>
      <c r="G32" s="6" t="n">
        <v>-1</v>
      </c>
      <c r="H32" s="6" t="n">
        <v>-1</v>
      </c>
    </row>
    <row r="33">
      <c r="A33" s="6" t="inlineStr">
        <is>
          <t>Lease liabilities</t>
        </is>
      </c>
      <c r="B33" s="6" t="n"/>
      <c r="C33" s="6" t="n"/>
      <c r="D33" s="6" t="n"/>
      <c r="E33" s="6" t="n"/>
      <c r="F33" s="6" t="n"/>
      <c r="G33" s="6" t="n"/>
      <c r="H33" s="6" t="n">
        <v>5831</v>
      </c>
    </row>
    <row r="34">
      <c r="A34" s="6" t="inlineStr">
        <is>
          <t>Other liabilities</t>
        </is>
      </c>
      <c r="B34" s="6" t="n">
        <v>517</v>
      </c>
      <c r="C34" s="6" t="n">
        <v>2481</v>
      </c>
      <c r="D34" s="6" t="n">
        <v>250</v>
      </c>
      <c r="E34" s="6" t="n">
        <v>-1075</v>
      </c>
      <c r="F34" s="6" t="n">
        <v>1209</v>
      </c>
      <c r="G34" s="6" t="n">
        <v>160</v>
      </c>
      <c r="H34" s="6" t="n">
        <v>-640</v>
      </c>
    </row>
    <row r="35">
      <c r="A35" s="5" t="inlineStr">
        <is>
          <t>Total change in operating liabilities</t>
        </is>
      </c>
      <c r="B35" s="5" t="n">
        <v>63505</v>
      </c>
      <c r="C35" s="5" t="n">
        <v>30263</v>
      </c>
      <c r="D35" s="5" t="n">
        <v>-16467</v>
      </c>
      <c r="E35" s="5" t="n">
        <v>-68961</v>
      </c>
      <c r="F35" s="5" t="n">
        <v>-62877</v>
      </c>
      <c r="G35" s="5" t="n">
        <v>-35920</v>
      </c>
      <c r="H35" s="5" t="n">
        <v>-219915</v>
      </c>
    </row>
    <row r="36">
      <c r="A36" s="5" t="inlineStr">
        <is>
          <t>Cash interest received/(paid) reconciliation (as reported; not broken out FY2025)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s="6" t="inlineStr">
        <is>
          <t>Interest income on loans and advances to customers (cash received)</t>
        </is>
      </c>
      <c r="B37" s="6" t="n"/>
      <c r="C37" s="6" t="n">
        <v>29603</v>
      </c>
      <c r="D37" s="6" t="n">
        <v>25319</v>
      </c>
      <c r="E37" s="6" t="n">
        <v>16874</v>
      </c>
      <c r="F37" s="6" t="n">
        <v>12771</v>
      </c>
      <c r="G37" s="6" t="n">
        <v>12955</v>
      </c>
      <c r="H37" s="6" t="n">
        <v>13967</v>
      </c>
    </row>
    <row r="38">
      <c r="A38" s="6" t="inlineStr">
        <is>
          <t>Interest expense on due to banks (cash paid)</t>
        </is>
      </c>
      <c r="B38" s="6" t="n"/>
      <c r="C38" s="6" t="n">
        <v>0</v>
      </c>
      <c r="D38" s="6" t="n">
        <v>-624</v>
      </c>
      <c r="E38" s="6" t="n">
        <v>-2316</v>
      </c>
      <c r="F38" s="6" t="n">
        <v>-1484</v>
      </c>
      <c r="G38" s="6" t="n">
        <v>-1887</v>
      </c>
      <c r="H38" s="6" t="n">
        <v>-2750</v>
      </c>
    </row>
    <row r="39">
      <c r="A39" s="6" t="inlineStr">
        <is>
          <t>Interest expense on due to customers (cash paid)</t>
        </is>
      </c>
      <c r="B39" s="6" t="n"/>
      <c r="C39" s="6" t="n">
        <v>-7547</v>
      </c>
      <c r="D39" s="6" t="n">
        <v>-7383</v>
      </c>
      <c r="E39" s="6" t="n">
        <v>-355</v>
      </c>
      <c r="F39" s="6" t="n">
        <v>-144</v>
      </c>
      <c r="G39" s="6" t="n">
        <v>-1122</v>
      </c>
      <c r="H39" s="6" t="n">
        <v>-2009</v>
      </c>
    </row>
    <row r="40">
      <c r="A40" s="5" t="inlineStr">
        <is>
          <t>Total cash interest reconciliation</t>
        </is>
      </c>
      <c r="B40" s="5" t="n"/>
      <c r="C40" s="5" t="n">
        <v>22056</v>
      </c>
      <c r="D40" s="5" t="n">
        <v>17312</v>
      </c>
      <c r="E40" s="5" t="n">
        <v>14203</v>
      </c>
      <c r="F40" s="5" t="n">
        <v>11143</v>
      </c>
      <c r="G40" s="5" t="n">
        <v>9946</v>
      </c>
      <c r="H40" s="5" t="n">
        <v>9208</v>
      </c>
    </row>
    <row r="41">
      <c r="A41" s="6" t="inlineStr">
        <is>
          <t>Income tax paid</t>
        </is>
      </c>
      <c r="B41" s="6" t="n">
        <v>-182</v>
      </c>
      <c r="C41" s="6" t="n">
        <v>-836</v>
      </c>
      <c r="D41" s="6" t="n">
        <v>-2022</v>
      </c>
      <c r="E41" s="6" t="n">
        <v>-805</v>
      </c>
      <c r="F41" s="6" t="n">
        <v>-482</v>
      </c>
      <c r="G41" s="6" t="n">
        <v>-528</v>
      </c>
      <c r="H41" s="6" t="n">
        <v>-540</v>
      </c>
    </row>
    <row r="42">
      <c r="A42" s="5" t="inlineStr">
        <is>
          <t>Net cash flows used in operating activities</t>
        </is>
      </c>
      <c r="B42" s="5" t="n">
        <v>7196</v>
      </c>
      <c r="C42" s="5" t="n">
        <v>-31370</v>
      </c>
      <c r="D42" s="5" t="n">
        <v>-12026</v>
      </c>
      <c r="E42" s="5" t="n">
        <v>-40650</v>
      </c>
      <c r="F42" s="5" t="n">
        <v>-82764</v>
      </c>
      <c r="G42" s="5" t="n">
        <v>-35072</v>
      </c>
      <c r="H42" s="5" t="n">
        <v>-259065</v>
      </c>
    </row>
    <row r="43">
      <c r="A43" s="5" t="inlineStr">
        <is>
          <t>Cash flows from investing activities</t>
        </is>
      </c>
      <c r="B43" s="6" t="n"/>
      <c r="C43" s="6" t="n"/>
      <c r="D43" s="6" t="n"/>
      <c r="E43" s="6" t="n"/>
      <c r="F43" s="6" t="n"/>
      <c r="G43" s="6" t="n"/>
      <c r="H43" s="6" t="n"/>
    </row>
    <row r="44">
      <c r="A44" s="6" t="inlineStr">
        <is>
          <t>Acquisition of investment securities</t>
        </is>
      </c>
      <c r="B44" s="6" t="n">
        <v>-102879</v>
      </c>
      <c r="C44" s="6" t="n">
        <v>-32554</v>
      </c>
      <c r="D44" s="6" t="n">
        <v>-44562</v>
      </c>
      <c r="E44" s="6" t="n">
        <v>-97105</v>
      </c>
      <c r="F44" s="6" t="n">
        <v>-62157</v>
      </c>
      <c r="G44" s="6" t="n">
        <v>-21746</v>
      </c>
      <c r="H44" s="6" t="n">
        <v>-16260</v>
      </c>
    </row>
    <row r="45">
      <c r="A45" s="6" t="inlineStr">
        <is>
          <t>Disposal/maturity of investment securities</t>
        </is>
      </c>
      <c r="B45" s="6" t="n">
        <v>104753</v>
      </c>
      <c r="C45" s="6" t="n">
        <v>60257</v>
      </c>
      <c r="D45" s="6" t="n">
        <v>56786</v>
      </c>
      <c r="E45" s="6" t="n">
        <v>95910</v>
      </c>
      <c r="F45" s="6" t="n">
        <v>129499</v>
      </c>
      <c r="G45" s="6" t="n">
        <v>48405</v>
      </c>
      <c r="H45" s="6" t="n">
        <v>236957</v>
      </c>
    </row>
    <row r="46">
      <c r="A46" s="6" t="inlineStr">
        <is>
          <t>Interest income/(expense) on investment securities</t>
        </is>
      </c>
      <c r="B46" s="6" t="n">
        <v>1367</v>
      </c>
      <c r="C46" s="6" t="n">
        <v>2894</v>
      </c>
      <c r="D46" s="6" t="n">
        <v>4042</v>
      </c>
      <c r="E46" s="6" t="n">
        <v>630</v>
      </c>
      <c r="F46" s="6" t="n">
        <v>-248</v>
      </c>
      <c r="G46" s="6" t="n">
        <v>648</v>
      </c>
      <c r="H46" s="6" t="n">
        <v>1945</v>
      </c>
    </row>
    <row r="47">
      <c r="A47" s="6" t="inlineStr">
        <is>
          <t>Acquisition of fixed assets (including intangibles)</t>
        </is>
      </c>
      <c r="B47" s="6" t="n">
        <v>-1916</v>
      </c>
      <c r="C47" s="6" t="n">
        <v>-1398</v>
      </c>
      <c r="D47" s="6" t="n">
        <v>-119</v>
      </c>
      <c r="E47" s="6" t="n">
        <v>-9</v>
      </c>
      <c r="F47" s="6" t="n">
        <v>-189</v>
      </c>
      <c r="G47" s="6" t="n">
        <v>-141</v>
      </c>
      <c r="H47" s="6" t="n">
        <v>-72</v>
      </c>
    </row>
    <row r="48">
      <c r="A48" s="6" t="inlineStr">
        <is>
          <t>Proceeds from disposal of fixed assets</t>
        </is>
      </c>
      <c r="B48" s="6" t="n"/>
      <c r="C48" s="6" t="n"/>
      <c r="D48" s="6" t="n"/>
      <c r="E48" s="6" t="n"/>
      <c r="F48" s="6" t="n"/>
      <c r="G48" s="6" t="n"/>
      <c r="H48" s="6" t="n">
        <v>1</v>
      </c>
    </row>
    <row r="49">
      <c r="A49" s="5" t="inlineStr">
        <is>
          <t>Net cash flows from investing activities</t>
        </is>
      </c>
      <c r="B49" s="5" t="n">
        <v>1325</v>
      </c>
      <c r="C49" s="5" t="n">
        <v>29199</v>
      </c>
      <c r="D49" s="5" t="n">
        <v>16148</v>
      </c>
      <c r="E49" s="5" t="n">
        <v>-574</v>
      </c>
      <c r="F49" s="5" t="n">
        <v>66905</v>
      </c>
      <c r="G49" s="5" t="n">
        <v>27166</v>
      </c>
      <c r="H49" s="5" t="n">
        <v>222571</v>
      </c>
    </row>
    <row r="50">
      <c r="A50" s="5" t="inlineStr">
        <is>
          <t>Cash flows from financing activities</t>
        </is>
      </c>
      <c r="B50" s="6" t="n"/>
      <c r="C50" s="6" t="n"/>
      <c r="D50" s="6" t="n"/>
      <c r="E50" s="6" t="n"/>
      <c r="F50" s="6" t="n"/>
      <c r="G50" s="6" t="n"/>
      <c r="H50" s="6" t="n"/>
    </row>
    <row r="51">
      <c r="A51" s="6" t="inlineStr">
        <is>
          <t>Repayment of lease liabilities</t>
        </is>
      </c>
      <c r="B51" s="6" t="n">
        <v>-858</v>
      </c>
      <c r="C51" s="6" t="n">
        <v>-815</v>
      </c>
      <c r="D51" s="6" t="n">
        <v>-800</v>
      </c>
      <c r="E51" s="6" t="n">
        <v>-775</v>
      </c>
      <c r="F51" s="6" t="n">
        <v>-725</v>
      </c>
      <c r="G51" s="6" t="n">
        <v>-334</v>
      </c>
      <c r="H51" s="6" t="n">
        <v>-387</v>
      </c>
    </row>
    <row r="52">
      <c r="A52" s="6" t="inlineStr">
        <is>
          <t>Interest paid on other borrowed funds</t>
        </is>
      </c>
      <c r="B52" s="6" t="n">
        <v>-690</v>
      </c>
      <c r="C52" s="6" t="n">
        <v>-726</v>
      </c>
      <c r="D52" s="6" t="n">
        <v>-668</v>
      </c>
      <c r="E52" s="6" t="n">
        <v>-340</v>
      </c>
      <c r="F52" s="6" t="n">
        <v>-207</v>
      </c>
      <c r="G52" s="6" t="n">
        <v>-240</v>
      </c>
      <c r="H52" s="6" t="n">
        <v>-283</v>
      </c>
    </row>
    <row r="53">
      <c r="A53" s="6" t="inlineStr">
        <is>
          <t>Interest paid on lease liabilities</t>
        </is>
      </c>
      <c r="B53" s="6" t="n">
        <v>-54</v>
      </c>
      <c r="C53" s="6" t="n">
        <v>-139</v>
      </c>
      <c r="D53" s="6" t="n">
        <v>-185</v>
      </c>
      <c r="E53" s="6" t="n">
        <v>-138</v>
      </c>
      <c r="F53" s="6" t="n">
        <v>-162</v>
      </c>
      <c r="G53" s="6" t="n">
        <v>-149</v>
      </c>
      <c r="H53" s="6" t="n">
        <v>-131</v>
      </c>
    </row>
    <row r="54">
      <c r="A54" s="5" t="inlineStr">
        <is>
          <t>Net cash flows used in financing activities</t>
        </is>
      </c>
      <c r="B54" s="5" t="n">
        <v>-1602</v>
      </c>
      <c r="C54" s="5" t="n">
        <v>-1680</v>
      </c>
      <c r="D54" s="5" t="n">
        <v>-1653</v>
      </c>
      <c r="E54" s="5" t="n">
        <v>-1253</v>
      </c>
      <c r="F54" s="5" t="n">
        <v>-1094</v>
      </c>
      <c r="G54" s="5" t="n">
        <v>-723</v>
      </c>
      <c r="H54" s="5" t="n">
        <v>-801</v>
      </c>
    </row>
    <row r="55">
      <c r="A55" s="5" t="inlineStr">
        <is>
          <t>Net increase/(decrease) in cash and cash equivalents</t>
        </is>
      </c>
      <c r="B55" s="5" t="n">
        <v>6919</v>
      </c>
      <c r="C55" s="5" t="n">
        <v>-3851</v>
      </c>
      <c r="D55" s="5" t="n">
        <v>2469</v>
      </c>
      <c r="E55" s="5" t="n">
        <v>-42477</v>
      </c>
      <c r="F55" s="5" t="n">
        <v>-16953</v>
      </c>
      <c r="G55" s="5" t="n">
        <v>-8629</v>
      </c>
      <c r="H55" s="5" t="n">
        <v>-37295</v>
      </c>
    </row>
    <row r="56">
      <c r="A56" s="6" t="inlineStr">
        <is>
          <t>Cash and cash equivalents at beginning of the year</t>
        </is>
      </c>
      <c r="B56" s="6" t="n">
        <v>36967</v>
      </c>
      <c r="C56" s="6" t="n">
        <v>40658</v>
      </c>
      <c r="D56" s="6" t="n">
        <v>38160</v>
      </c>
      <c r="E56" s="6" t="n">
        <v>80857</v>
      </c>
      <c r="F56" s="6" t="n">
        <v>97765</v>
      </c>
      <c r="G56" s="6" t="n">
        <v>106249</v>
      </c>
      <c r="H56" s="6" t="n">
        <v>143364</v>
      </c>
    </row>
    <row r="57">
      <c r="A57" s="6" t="inlineStr">
        <is>
          <t>Net effect of foreign exchange fluctuations</t>
        </is>
      </c>
      <c r="B57" s="6" t="n">
        <v>325</v>
      </c>
      <c r="C57" s="6" t="n">
        <v>160</v>
      </c>
      <c r="D57" s="6" t="n">
        <v>29</v>
      </c>
      <c r="E57" s="6" t="n">
        <v>-220</v>
      </c>
      <c r="F57" s="6" t="n">
        <v>45</v>
      </c>
      <c r="G57" s="6" t="n">
        <v>145</v>
      </c>
      <c r="H57" s="6" t="n">
        <v>180</v>
      </c>
    </row>
    <row r="58">
      <c r="A58" s="5" t="inlineStr">
        <is>
          <t>Cash and cash equivalents at end of the year</t>
        </is>
      </c>
      <c r="B58" s="5" t="n">
        <v>44211</v>
      </c>
      <c r="C58" s="5" t="n">
        <v>36967</v>
      </c>
      <c r="D58" s="5" t="n">
        <v>40658</v>
      </c>
      <c r="E58" s="5" t="n">
        <v>38160</v>
      </c>
      <c r="F58" s="5" t="n">
        <v>80857</v>
      </c>
      <c r="G58" s="5" t="n">
        <v>97765</v>
      </c>
      <c r="H58" s="5" t="n">
        <v>106249</v>
      </c>
    </row>
    <row r="60" ht="150" customHeight="1">
      <c r="A60" s="8" t="inlineStr">
        <is>
          <t>Sources — Alpha Bank London Limited (FRN 135327, company 00185070) own Statement of Cash Flows, £000's:
FY2025 &amp; FY2024: Annual Report and Financial Statements 31 December 2025, p.25-26 (Statement of Cash Flows) — https://find-and-update.company-information.service.gov.uk/company/00185070/filing-history/MzUyMzkyMTM5MGFkaXF6a2N4/document?format=pdf&amp;download=0
FY2023 &amp; FY2024 (cross-checked): Annual Report and Financial Statements 31 December 2024, p.26-27 (Statement of Cash Flows) — https://find-and-update.company-information.service.gov.uk/company/00185070/filing-history/MzQ2NDAyMTQ4MGFkaXF6a2N4/document?format=pdf&amp;download=0
FY2022 &amp; FY2021: Annual Report and Financial Statements 31 December 2022, p.22-23 (Statement of Cash Flows) — https://find-and-update.company-information.service.gov.uk/company/00185070/filing-history/MzM3OTU0ODM0NWFkaXF6a2N4/document?format=pdf&amp;download=0
FY2020 &amp; FY2019: Annual Report and Financial Statements 31 December 2020, p.23-24 (Statement of Cash Flows) — https://www.alphabanklondon.co.uk/sites/default/files/2025-10/ABL-Financial-Statements-2020.pdf
FY2019 is also the prior-year comparative in the FY2020 report. Figures are directly transcribed from the Bank's own searchable PDF archive; no Companies House copy is used for these two years.
Filed accounts at Companies House are fully scanned/image-only for FY2021-FY2025 — figures transcribed via OCR (tesseract) then manually cross-checked against a rendered page image. All figures GBP throughout (no FX conversion needed).
PRESENTATION NOTE: the source restructures this statement across the 5 years. FY2021-FY2024 report an 'adjustments' block (incl. accrued interest income/expense removed from profit) feeding an unlabelled interim subtotal, then separate blocks for changes in operating assets and operating liabilities, then a block adding back actual CASH interest received/paid, then tax paid, before the final 'Net cash flows used in operating activities' total. FY2025 drops both the interim subtotal and the separate cash-interest block entirely (cash interest is folded directly into the asset/liability movement figures) — cells left blank for FY2025 where FY2021-FY2024 show a value are genuinely not broken out that year, not a data gap. Section TOTALs (assets change, liabilities change, investing, financing, and the final operating/net-change/closing-balance figures) are fully consistent and comparable across all 7 years — verified by hand line-by-line; see scripts/verify_workbook.py's own docstring re: its known limitation on multi-block tail reconciliation, which applies here (it will only cleanly auto-check the asset-change and liability-change blocks).
Two immaterial (£1k) accrued-vs-cash timing differences exist between the operating-adjustments block's accrued interest figures and the financing section's actual cash-paid interest figures for FY2023 (£669k accrued vs £668k paid) and FY2021 (£161k accrued vs £162k paid) — normal accrual/cash timing, not an error, both used exactly as each section states them.
FY2023 investing-activities section: component lines sum to £16,147k but the source's own printed total reads £16,148k — an immaterial £1k rounding artifact in the original filing, kept as printed (not force-corrected).</t>
        </is>
      </c>
    </row>
  </sheetData>
  <mergeCells count="1">
    <mergeCell ref="A60:H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Asset Quality / Credit Risk Disclosures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Loans and advances to customers by product — gross carrying amount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Mortgage lending</t>
        </is>
      </c>
      <c r="B5" s="6" t="n">
        <v>21626</v>
      </c>
      <c r="C5" s="6" t="n">
        <v>22798</v>
      </c>
      <c r="D5" s="6" t="n">
        <v>24460</v>
      </c>
      <c r="E5" s="6" t="n">
        <v>24842</v>
      </c>
      <c r="F5" s="6" t="n">
        <v>28943</v>
      </c>
      <c r="G5" s="6" t="n">
        <v>23719</v>
      </c>
      <c r="H5" s="6" t="n">
        <v>21272</v>
      </c>
    </row>
    <row r="6">
      <c r="A6" s="6" t="inlineStr">
        <is>
          <t>Consumer lending</t>
        </is>
      </c>
      <c r="B6" s="6" t="n">
        <v>13088</v>
      </c>
      <c r="C6" s="6" t="n">
        <v>11055</v>
      </c>
      <c r="D6" s="6" t="n">
        <v>5891</v>
      </c>
      <c r="E6" s="6" t="n">
        <v>5459</v>
      </c>
      <c r="F6" s="6" t="n">
        <v>6608</v>
      </c>
      <c r="G6" s="6" t="n">
        <v>6294</v>
      </c>
      <c r="H6" s="6" t="n">
        <v>7698</v>
      </c>
    </row>
    <row r="7">
      <c r="A7" s="5" t="inlineStr">
        <is>
          <t>Retail lending (gross)</t>
        </is>
      </c>
      <c r="B7" s="5" t="n">
        <v>34714</v>
      </c>
      <c r="C7" s="5" t="n">
        <v>33853</v>
      </c>
      <c r="D7" s="5" t="n">
        <v>30351</v>
      </c>
      <c r="E7" s="5" t="n">
        <v>30301</v>
      </c>
      <c r="F7" s="5" t="n">
        <v>35551</v>
      </c>
      <c r="G7" s="5" t="n">
        <v>30013</v>
      </c>
      <c r="H7" s="5" t="n">
        <v>28970</v>
      </c>
    </row>
    <row r="8">
      <c r="A8" s="6" t="inlineStr">
        <is>
          <t>Corporate lending (gross)</t>
        </is>
      </c>
      <c r="B8" s="6" t="n">
        <v>419778</v>
      </c>
      <c r="C8" s="6" t="n">
        <v>363615</v>
      </c>
      <c r="D8" s="6" t="n">
        <v>299749</v>
      </c>
      <c r="E8" s="6" t="n">
        <v>295339</v>
      </c>
      <c r="F8" s="6" t="n">
        <v>322703</v>
      </c>
      <c r="G8" s="6" t="n">
        <v>308160</v>
      </c>
      <c r="H8" s="6" t="n">
        <v>310573</v>
      </c>
    </row>
    <row r="9">
      <c r="A9" s="5" t="inlineStr">
        <is>
          <t>Total lending (gross carrying amount)</t>
        </is>
      </c>
      <c r="B9" s="5" t="n">
        <v>454492</v>
      </c>
      <c r="C9" s="5" t="n">
        <v>397468</v>
      </c>
      <c r="D9" s="5" t="n">
        <v>330100</v>
      </c>
      <c r="E9" s="5" t="n">
        <v>325640</v>
      </c>
      <c r="F9" s="5" t="n">
        <v>358254</v>
      </c>
      <c r="G9" s="5" t="n">
        <v>338173</v>
      </c>
      <c r="H9" s="5" t="n">
        <v>339543</v>
      </c>
    </row>
    <row r="10">
      <c r="A10" s="5" t="inlineStr">
        <is>
          <t>ECL allowance by product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6" t="inlineStr">
        <is>
          <t>Retail lending ECL allowance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-385</v>
      </c>
      <c r="G11" s="6" t="n">
        <v>-531</v>
      </c>
      <c r="H11" s="6" t="n">
        <v>-479</v>
      </c>
    </row>
    <row r="12">
      <c r="A12" s="6" t="inlineStr">
        <is>
          <t>Corporate lending ECL allowance</t>
        </is>
      </c>
      <c r="B12" s="6" t="n">
        <v>-3</v>
      </c>
      <c r="C12" s="6" t="n">
        <v>-9</v>
      </c>
      <c r="D12" s="6" t="n">
        <v>-10</v>
      </c>
      <c r="E12" s="6" t="n">
        <v>-179</v>
      </c>
      <c r="F12" s="6" t="n">
        <v>-47</v>
      </c>
      <c r="G12" s="6" t="n">
        <v>-27</v>
      </c>
      <c r="H12" s="6" t="n">
        <v>-17</v>
      </c>
    </row>
    <row r="13">
      <c r="A13" s="5" t="inlineStr">
        <is>
          <t>Total ECL allowance</t>
        </is>
      </c>
      <c r="B13" s="5" t="n">
        <v>-3</v>
      </c>
      <c r="C13" s="5" t="n">
        <v>-9</v>
      </c>
      <c r="D13" s="5" t="n">
        <v>-10</v>
      </c>
      <c r="E13" s="5" t="n">
        <v>-179</v>
      </c>
      <c r="F13" s="5" t="n">
        <v>-432</v>
      </c>
      <c r="G13" s="5" t="n">
        <v>-558</v>
      </c>
      <c r="H13" s="5" t="n">
        <v>-496</v>
      </c>
    </row>
    <row r="14">
      <c r="A14" s="5" t="inlineStr">
        <is>
          <t>Total lending (net carrying amount)</t>
        </is>
      </c>
      <c r="B14" s="5" t="n">
        <v>454489</v>
      </c>
      <c r="C14" s="5" t="n">
        <v>397459</v>
      </c>
      <c r="D14" s="5" t="n">
        <v>330090</v>
      </c>
      <c r="E14" s="5" t="n">
        <v>325461</v>
      </c>
      <c r="F14" s="5" t="n">
        <v>357822</v>
      </c>
      <c r="G14" s="5" t="n">
        <v>337615</v>
      </c>
      <c r="H14" s="5" t="n">
        <v>339047</v>
      </c>
    </row>
    <row r="15">
      <c r="A15" s="5" t="inlineStr">
        <is>
          <t>ECL allowance by IFRS 9 stage — Loans and advances to customers (closing balance; gross exposure by stage not separately disclosed)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6" t="inlineStr">
        <is>
          <t>Stage 1 (12-month ECL)</t>
        </is>
      </c>
      <c r="B16" s="6" t="n">
        <v>-2</v>
      </c>
      <c r="C16" s="6" t="n">
        <v>-9</v>
      </c>
      <c r="D16" s="6" t="n"/>
      <c r="E16" s="6" t="n"/>
      <c r="F16" s="6" t="n"/>
      <c r="G16" s="6" t="n"/>
      <c r="H16" s="6" t="n"/>
    </row>
    <row r="17">
      <c r="A17" s="6" t="inlineStr">
        <is>
          <t>Stage 2 (lifetime ECL, not credit-impaired)</t>
        </is>
      </c>
      <c r="B17" s="6" t="n">
        <v>-1</v>
      </c>
      <c r="C17" s="6" t="n">
        <v>0</v>
      </c>
      <c r="D17" s="6" t="n"/>
      <c r="E17" s="6" t="n"/>
      <c r="F17" s="6" t="n"/>
      <c r="G17" s="6" t="n"/>
      <c r="H17" s="6" t="n"/>
    </row>
    <row r="18">
      <c r="A18" s="6" t="inlineStr">
        <is>
          <t>Stage 3 (lifetime ECL, credit-impaired)</t>
        </is>
      </c>
      <c r="B18" s="6" t="n">
        <v>0</v>
      </c>
      <c r="C18" s="6" t="n">
        <v>0</v>
      </c>
      <c r="D18" s="6" t="n"/>
      <c r="E18" s="6" t="n"/>
      <c r="F18" s="6" t="n"/>
      <c r="G18" s="6" t="n"/>
      <c r="H18" s="6" t="n"/>
    </row>
    <row r="19">
      <c r="A19" s="5" t="inlineStr">
        <is>
          <t>Total ECL allowance by stage</t>
        </is>
      </c>
      <c r="B19" s="5" t="n">
        <v>-3</v>
      </c>
      <c r="C19" s="5" t="n">
        <v>-9</v>
      </c>
      <c r="D19" s="5" t="n"/>
      <c r="E19" s="5" t="n"/>
      <c r="F19" s="5" t="n"/>
      <c r="G19" s="5" t="n"/>
      <c r="H19" s="5" t="n"/>
    </row>
    <row r="20">
      <c r="A20" s="5" t="inlineStr">
        <is>
          <t>Derived ratios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ECL coverage ratio (Total ECL allowance ÷ Total gross lending)</t>
        </is>
      </c>
      <c r="B21" s="6" t="inlineStr">
        <is>
          <t>0.00%</t>
        </is>
      </c>
      <c r="C21" s="6" t="inlineStr">
        <is>
          <t>0.00%</t>
        </is>
      </c>
      <c r="D21" s="6" t="inlineStr">
        <is>
          <t>0.00%</t>
        </is>
      </c>
      <c r="E21" s="6" t="inlineStr">
        <is>
          <t>0.05%</t>
        </is>
      </c>
      <c r="F21" s="6" t="inlineStr">
        <is>
          <t>0.12%</t>
        </is>
      </c>
      <c r="G21" s="6" t="inlineStr">
        <is>
          <t>0.17%</t>
        </is>
      </c>
      <c r="H21" s="6" t="inlineStr">
        <is>
          <t>0.15%</t>
        </is>
      </c>
    </row>
    <row r="23" ht="150" customHeight="1">
      <c r="A23" s="8" t="inlineStr">
        <is>
          <t>Sources — Alpha Bank London Limited's own Note 19 (Loans and advances to customers) and Note 34.3 (Credit risk) IFRS 9 loss-allowance-by-stage disclosures, £000's:
FY2025 &amp; FY2024 (by-product breakdown, gross/ECL/carrying): Annual Report and Financial Statements 31 December 2025, p.45 — https://find-and-update.company-information.service.gov.uk/company/00185070/filing-history/MzUyMzkyMTM5MGFkaXF6a2N4/document?format=pdf&amp;download=0
FY2023 (cross-checked against FY2024 &amp; FY2023 comparative): Annual Report and Financial Statements 31 December 2024, p.46 — https://find-and-update.company-information.service.gov.uk/company/00185070/filing-history/MzQ2NDAyMTQ4MGFkaXF6a2N4/document?format=pdf&amp;download=0
FY2022 &amp; FY2021: Annual Report and Financial Statements 31 December 2022, p.44 — https://find-and-update.company-information.service.gov.uk/company/00185070/filing-history/MzM3OTU0ODM0NWFkaXF6a2N4/document?format=pdf&amp;download=0
FY2020 &amp; FY2019: Annual Report and Financial Statements 31 December 2020, p.45 — https://www.alphabanklondon.co.uk/sites/default/files/2025-10/ABL-Financial-Statements-2020.pdf
FY2025 &amp; FY2024 loss-allowance-by-IFRS-9-stage roll-forward (Loans and advances to customers): Annual Report and Financial Statements 31 December 2025, p.57 — https://find-and-update.company-information.service.gov.uk/company/00185070/filing-history/MzUyMzkyMTM5MGFkaXF6a2N4/document?format=pdf&amp;download=0
FY2019 is the FY2020 report's comparative. The Bank's own searchable archive PDF is used for both years. Companies House copies are used only for the FY2021-FY2025 OCR work — figures transcribed via pdf_tools.py render+visual read of each note page.
Alpha Bank London Limited (FRN 135327, company 00185070) prepares entity-only accounts - no group/consolidated statements are produced. All figures below are on that entity-level basis, consistent with the Cash Flow Statement and Pillar 3 sheets.
DISCLOSURE GRANULARITY NOTE: the by-product split (Retail = Mortgage + Consumer lending; Corporate lending) with gross carrying amount/ECL allowance/net carrying amount is disclosed for all 7 years. The £-value by-IFRS-9-Stage-1/2/3 GROSS EXPOSURE breakdown is not disclosed in any year reviewed - only the loss ALLOWANCE (not the underlying exposure) is broken out by stage, and only for FY2025/FY2024 (a stage-level table for FY2023/FY2022/FY2021 was not located in the sections reviewed). This is an extremely low-credit-risk book (ECL allowance is £3k-£432k against £325m-£454m of gross lending across the 5 years, reflecting that 'almost 100%' of lending is fully collateralised per the source's own Note 34.3.4) - Stage 2/3 allowances are consistently nil or near-nil. No NPL/non-performing-exposure £ or % figure is separately disclosed in any year; a coverage ratio (ECL allowance ÷ gross lending) is shown below instead, calculated from the disclosed totals.</t>
        </is>
      </c>
    </row>
  </sheetData>
  <mergeCells count="1"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CET1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 = Total Tier 1 capital (no AT1 instruments)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  <c r="G4" s="6" t="n">
        <v>54785</v>
      </c>
      <c r="H4" s="6" t="n">
        <v>53436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CET1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CET1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  <c r="G4" s="6" t="inlineStr">
        <is>
          <t>Not separately disclosed</t>
        </is>
      </c>
      <c r="H4" s="6" t="inlineStr">
        <is>
          <t>Not separately disclosed</t>
        </is>
      </c>
    </row>
    <row r="5" ht="60" customHeight="1">
      <c r="A5" s="7" t="inlineStr">
        <is>
          <t>Note: The source discloses only a single combined 'Capital adequacy ratio' (see Total Capital Ratio sheet), not separately-stated CET1/Tier 1/Total Capital ratios. Since Tier 2 capital (subordinated debt) is a material part of total regulatory capital in every year, a CET1-only ratio would differ measurably from the disclosed combined ratio — left blank rather than assume which capital measure the disclosed ratio uses.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Tier 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 (share capital, retained earnings, FVTOCI reserve, less intangible assets)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  <c r="G4" s="6" t="n">
        <v>54785</v>
      </c>
      <c r="H4" s="6" t="n">
        <v>53436</v>
      </c>
    </row>
    <row r="5" ht="60" customHeight="1">
      <c r="A5" s="7" t="inlineStr">
        <is>
          <t>Note: No AT1 instruments in any year — Tier 1 = CET1.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Tier 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  <c r="G4" s="6" t="inlineStr">
        <is>
          <t>Not separately disclosed</t>
        </is>
      </c>
      <c r="H4" s="6" t="inlineStr">
        <is>
          <t>Not separately disclosed</t>
        </is>
      </c>
    </row>
    <row r="5" ht="60" customHeight="1">
      <c r="A5" s="7" t="inlineStr">
        <is>
          <t>Note: Same basis issue as the CET1 Ratio sheet — only a single combined 'Capital adequacy ratio' is disclosed.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regulatory capital (Tier 1 + Tier 2)</t>
        </is>
      </c>
      <c r="B4" s="6" t="n">
        <v>74528</v>
      </c>
      <c r="C4" s="6" t="n">
        <v>77015</v>
      </c>
      <c r="D4" s="6" t="n">
        <v>67916</v>
      </c>
      <c r="E4" s="6" t="n">
        <v>63465</v>
      </c>
      <c r="F4" s="6" t="n">
        <v>62254</v>
      </c>
      <c r="G4" s="6" t="n">
        <v>62785</v>
      </c>
      <c r="H4" s="6" t="n">
        <v>63436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Capital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Capital adequacy ratio (as disclosed; source does not specify whether the numerator is Total Capital or Tier 1 only — treated as Total Capital ratio per standard Basel/PRA usage of this exact term)</t>
        </is>
      </c>
      <c r="B4" s="6" t="inlineStr">
        <is>
          <t>20%</t>
        </is>
      </c>
      <c r="C4" s="6" t="inlineStr">
        <is>
          <t>23%</t>
        </is>
      </c>
      <c r="D4" s="6" t="inlineStr">
        <is>
          <t>25%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at all for FY2021/FY2022 — the Annual Report's KPI table for those years lists only Profit before tax, Total equity, and Return on equity; the Capital adequacy/LCR/Leverage ratio KPI trio was introduced from the FY2023 report onward.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RWAs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assets (calculated: Total Capital ÷ Capital adequacy ratio, as reported)</t>
        </is>
      </c>
      <c r="B4" s="6" t="n">
        <v>372640</v>
      </c>
      <c r="C4" s="6" t="n">
        <v>334848</v>
      </c>
      <c r="D4" s="6" t="n">
        <v>271664</v>
      </c>
      <c r="E4" s="6" t="n"/>
      <c r="F4" s="6" t="n"/>
      <c r="G4" s="6" t="n"/>
      <c r="H4" s="6" t="n"/>
    </row>
    <row r="5" ht="60" customHeight="1">
      <c r="A5" s="7" t="inlineStr">
        <is>
          <t>Note: Not directly disclosed any year — calculated from the two most literal disclosed figures for the years the capital adequacy ratio exists (FY2023-FY2025). Not calculable for FY2021/FY2022 since no ratio is disclosed for those years either.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RWA Breakdown</t>
        </is>
      </c>
    </row>
    <row r="2">
      <c r="A2" s="2" t="inlineStr">
        <is>
          <t>Entity-level basis, FY2019-FY2025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RWA category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6" ht="150" customHeight="1">
      <c r="A6" s="8" t="inlineStr">
        <is>
          <t>Sources — Alpha Bank London Limited's own Note 34.7 (Capital management, Regulatory analysis) and the Annual Report's Key Performance Indicators table:
https://find-and-update.company-information.service.gov.uk/company/00185070/filing-history/MzUyMzkyMTM5MGFkaXF6a2N4/document?format=pdf&amp;download=0
https://find-and-update.company-information.service.gov.uk/company/00185070/filing-history/MzQ2NDAyMTQ4MGFkaXF6a2N4/document?format=pdf&amp;download=0
https://find-and-update.company-information.service.gov.uk/company/00185070/filing-history/MzM3OTU0ODM0NWFkaXF6a2N4/document?format=pdf&amp;download=0
https://www.alphabanklondon.co.uk/sites/default/files/2025-10/ABL-Financial-Statements-2020.pdf
NOT PUBLICLY DISCLOSED: as noted on the Total RWAs sheet, this bank does not publish a standalone Pillar 3 document or a UK OV1-style risk-weighted-exposure-by-category table in any of the 7 Annual Reports reviewed (confirmed by reading Note 34.7 in full, p.67 of the 2025 Annual Report and the equivalent pages of the 2024/2022 Annual Reports — it discloses only the aggregate Tier 1/Tier 2/Total regulatory capital build-up, not a risk-category RWA split). Total RWAs (a single aggregate figure) is calculated on the Total RWAs sheet from Total Capital ÷ Capital adequacy ratio, per that sheet's own note; no further breakdown by credit/market/operational risk is available for any year.</t>
        </is>
      </c>
    </row>
  </sheetData>
  <mergeCells count="1">
    <mergeCell ref="A6:H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Leverage Ratio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</t>
        </is>
      </c>
      <c r="B4" s="6" t="inlineStr">
        <is>
          <t>11%</t>
        </is>
      </c>
      <c r="C4" s="6" t="inlineStr">
        <is>
          <t>13%</t>
        </is>
      </c>
      <c r="D4" s="6" t="inlineStr">
        <is>
          <t>13%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for FY2021/FY2022 (same KPI-table introduction timing as the Total Capital Ratio sheet). No exposure-measure £ figure is disclosed alongside the ratio in any year.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LCR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</t>
        </is>
      </c>
      <c r="B4" s="6" t="inlineStr">
        <is>
          <t>310%</t>
        </is>
      </c>
      <c r="C4" s="6" t="inlineStr">
        <is>
          <t>323%</t>
        </is>
      </c>
      <c r="D4" s="6" t="inlineStr">
        <is>
          <t>349%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for FY2021/FY2022 (same KPI-table introduction timing as the other ratio sheets).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disclosed in any of the 5 years reviewed — no NSFR figure or qualitative statement found in any Annual Report, including the years the LCR/leverage/capital-adequacy KPI trio was introduced.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disclosed in any of the 5 years reviewed, and no explicit exemption statement found either — plausibly reflects the Bank's small balance sheet size sitting below the threshold requiring a stated MREL requirement, but this is not confirmed by the source.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2026-09-05T21:44:12Z</dcterms:created>
  <dcterms:modified xsi:type="dcterms:W3CDTF">2026-09-05T21:44:12Z</dcterms:modified>
</cp:coreProperties>
</file>