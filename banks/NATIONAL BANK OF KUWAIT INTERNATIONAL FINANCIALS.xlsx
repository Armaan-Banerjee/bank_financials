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National Bank of Kuwait (International)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As reported: £'000 (FY2024-FY2025); US$'000 (FY2021-FY2023)</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National Bank of Kuwait (International)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ser>
          <idx val="3"/>
          <order val="3"/>
          <tx>
            <strRef>
              <f>'Overview'!Q16</f>
            </strRef>
          </tx>
          <spPr>
            <a:ln xmlns:a="http://schemas.openxmlformats.org/drawingml/2006/main">
              <a:prstDash val="solid"/>
            </a:ln>
          </spPr>
          <cat>
            <numRef>
              <f>'Overview'!$R$12:$V$12</f>
            </numRef>
          </cat>
          <val>
            <numRef>
              <f>'Overview'!$R$16:$V$16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As reported: £'000 (FY2024-FY2025); US$'000 (FY2021-FY2023)</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National Bank of Kuwait (International)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'Overview'!Y20</f>
            </strRef>
          </tx>
          <spPr>
            <a:ln xmlns:a="http://schemas.openxmlformats.org/drawingml/2006/main">
              <a:prstDash val="solid"/>
            </a:ln>
          </spPr>
          <cat>
            <numRef>
              <f>'Overview'!$Z$19:$AC$19</f>
            </numRef>
          </cat>
          <val>
            <numRef>
              <f>'Overview'!$Z$20:$AC$20</f>
            </numRef>
          </val>
        </ser>
        <ser>
          <idx val="1"/>
          <order val="1"/>
          <tx>
            <strRef>
              <f>'Overview'!Y21</f>
            </strRef>
          </tx>
          <spPr>
            <a:ln xmlns:a="http://schemas.openxmlformats.org/drawingml/2006/main">
              <a:prstDash val="solid"/>
            </a:ln>
          </spPr>
          <cat>
            <numRef>
              <f>'Overview'!$Z$19:$AC$19</f>
            </numRef>
          </cat>
          <val>
            <numRef>
              <f>'Overview'!$Z$21:$AC$21</f>
            </numRef>
          </val>
        </ser>
        <ser>
          <idx val="2"/>
          <order val="2"/>
          <tx>
            <strRef>
              <f>'Overview'!Y22</f>
            </strRef>
          </tx>
          <spPr>
            <a:ln xmlns:a="http://schemas.openxmlformats.org/drawingml/2006/main">
              <a:prstDash val="solid"/>
            </a:ln>
          </spPr>
          <cat>
            <numRef>
              <f>'Overview'!$Z$19:$AC$19</f>
            </numRef>
          </cat>
          <val>
            <numRef>
              <f>'Overview'!$Z$22:$AC$22</f>
            </numRef>
          </val>
        </ser>
        <ser>
          <idx val="3"/>
          <order val="3"/>
          <tx>
            <strRef>
              <f>'Overview'!Y23</f>
            </strRef>
          </tx>
          <spPr>
            <a:ln xmlns:a="http://schemas.openxmlformats.org/drawingml/2006/main">
              <a:prstDash val="solid"/>
            </a:ln>
          </spPr>
          <cat>
            <numRef>
              <f>'Overview'!$Z$19:$AC$19</f>
            </numRef>
          </cat>
          <val>
            <numRef>
              <f>'Overview'!$Z$23:$AC$23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As reported: £'000 (FY2024-FY2025); US$'000 (FY2022-FY2023) - FY2024's Opening equity is the FY2023 closing balance retranslated to £'000, see Currency Note</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National Bank of Kuwait (International)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'Overview'!AF6</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'Overview'!$AG$6:$AK$6</f>
            </numRef>
          </val>
          <smooth val="0"/>
        </ser>
        <ser>
          <idx val="1"/>
          <order val="1"/>
          <tx>
            <strRef>
              <f>'Overview'!AF7</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'Overview'!$AG$7:$AK$7</f>
            </numRef>
          </val>
          <smooth val="0"/>
        </ser>
        <ser>
          <idx val="2"/>
          <order val="2"/>
          <tx>
            <strRef>
              <f>'Overview'!AF8</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'Overview'!$AG$8:$AK$8</f>
            </numRef>
          </val>
          <smooth val="0"/>
        </ser>
        <ser>
          <idx val="3"/>
          <order val="3"/>
          <tx>
            <strRef>
              <f>'Overview'!AF9</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'Overview'!$AG$9:$AK$9</f>
            </numRef>
          </val>
          <smooth val="0"/>
        </ser>
        <ser>
          <idx val="4"/>
          <order val="4"/>
          <tx>
            <strRef>
              <f>'Overview'!AF10</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'Overview'!$AG$10:$AK$10</f>
            </numRef>
          </val>
          <smooth val="0"/>
        </ser>
        <ser>
          <idx val="5"/>
          <order val="5"/>
          <tx>
            <strRef>
              <f>'Overview'!AF11</f>
            </strRef>
          </tx>
          <spPr>
            <a:ln xmlns:a="http://schemas.openxmlformats.org/drawingml/2006/main">
              <a:prstDash val="solid"/>
            </a:ln>
          </spPr>
          <marker>
            <symbol val="none"/>
            <spPr>
              <a:ln xmlns:a="http://schemas.openxmlformats.org/drawingml/2006/main">
                <a:prstDash val="solid"/>
              </a:ln>
            </spPr>
          </marker>
          <cat>
            <numRef>
              <f>'Overview'!$AG$5:$AK$5</f>
            </numRef>
          </cat>
          <val>
            <numRef>
              <f>'Overview'!$AG$11:$AK$11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K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s>
  <sheetData>
    <row r="1">
      <c r="A1" s="1" t="inlineStr">
        <is>
          <t>National Bank of Kuwait (International)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(As reported: £'000 (FY2024-FY2025); US$'000 (FY2021-FY2023))</t>
        </is>
      </c>
    </row>
    <row r="5">
      <c r="A5" s="4" t="inlineStr">
        <is>
          <t>Line item</t>
        </is>
      </c>
      <c r="B5" s="4" t="inlineStr">
        <is>
          <t>FY2025</t>
        </is>
      </c>
      <c r="C5" s="4" t="inlineStr">
        <is>
          <t>FY2024</t>
        </is>
      </c>
      <c r="D5" s="4" t="inlineStr">
        <is>
          <t>FY2023</t>
        </is>
      </c>
      <c r="E5" s="4" t="inlineStr">
        <is>
          <t>FY2022</t>
        </is>
      </c>
      <c r="F5" s="4" t="inlineStr">
        <is>
          <t>FY2021</t>
        </is>
      </c>
      <c r="J5" t="inlineStr">
        <is>
          <t>FY2021</t>
        </is>
      </c>
      <c r="K5" t="inlineStr">
        <is>
          <t>FY2022</t>
        </is>
      </c>
      <c r="L5" t="inlineStr">
        <is>
          <t>FY2023</t>
        </is>
      </c>
      <c r="M5" t="inlineStr">
        <is>
          <t>FY2024</t>
        </is>
      </c>
      <c r="N5" t="inlineStr">
        <is>
          <t>FY2025</t>
        </is>
      </c>
      <c r="AG5" t="inlineStr">
        <is>
          <t>FY2021</t>
        </is>
      </c>
      <c r="AH5" t="inlineStr">
        <is>
          <t>FY2022</t>
        </is>
      </c>
      <c r="AI5" t="inlineStr">
        <is>
          <t>FY2023</t>
        </is>
      </c>
      <c r="AJ5" t="inlineStr">
        <is>
          <t>FY2024</t>
        </is>
      </c>
      <c r="AK5" t="inlineStr">
        <is>
          <t>FY2025</t>
        </is>
      </c>
    </row>
    <row r="6">
      <c r="A6" s="5" t="inlineStr">
        <is>
          <t>Total assets</t>
        </is>
      </c>
      <c r="B6" s="5" t="n">
        <v>3941863</v>
      </c>
      <c r="C6" s="5" t="n">
        <v>3934570</v>
      </c>
      <c r="D6" s="5" t="n">
        <v>4267995</v>
      </c>
      <c r="E6" s="5" t="n">
        <v>3425686</v>
      </c>
      <c r="F6" s="5" t="n">
        <v>3320347</v>
      </c>
      <c r="I6" t="inlineStr">
        <is>
          <t>Total assets</t>
        </is>
      </c>
      <c r="J6" t="n">
        <v>3320347</v>
      </c>
      <c r="K6" t="n">
        <v>3425686</v>
      </c>
      <c r="L6" t="n">
        <v>4267995</v>
      </c>
      <c r="M6" t="n">
        <v>3934570</v>
      </c>
      <c r="N6" t="n">
        <v>3941863</v>
      </c>
      <c r="AF6" t="inlineStr">
        <is>
          <t>CET1 Ratio</t>
        </is>
      </c>
      <c r="AG6" t="n">
        <v>21.24</v>
      </c>
      <c r="AH6" t="n">
        <v>21.26</v>
      </c>
      <c r="AI6" t="n">
        <v>20.51</v>
      </c>
      <c r="AJ6" t="n">
        <v>20.03</v>
      </c>
      <c r="AK6" t="n">
        <v>20.45</v>
      </c>
    </row>
    <row r="7">
      <c r="A7" s="5" t="inlineStr">
        <is>
          <t>Loans and advances to customers</t>
        </is>
      </c>
      <c r="B7" s="5" t="n">
        <v>2205331</v>
      </c>
      <c r="C7" s="5" t="n">
        <v>1975643</v>
      </c>
      <c r="D7" s="5" t="n">
        <v>2028637</v>
      </c>
      <c r="E7" s="5" t="n">
        <v>1610422</v>
      </c>
      <c r="F7" s="5" t="n">
        <v>1585574</v>
      </c>
      <c r="I7" t="inlineStr">
        <is>
          <t>Loans and advances to customers</t>
        </is>
      </c>
      <c r="J7" t="n">
        <v>1585574</v>
      </c>
      <c r="K7" t="n">
        <v>1610422</v>
      </c>
      <c r="L7" t="n">
        <v>2028637</v>
      </c>
      <c r="M7" t="n">
        <v>1975643</v>
      </c>
      <c r="N7" t="n">
        <v>2205331</v>
      </c>
      <c r="AF7" t="inlineStr">
        <is>
          <t>Tier 1 Ratio</t>
        </is>
      </c>
      <c r="AG7" t="n">
        <v>21.24</v>
      </c>
      <c r="AH7" t="n">
        <v>21.26</v>
      </c>
      <c r="AI7" t="n">
        <v>20.51</v>
      </c>
      <c r="AJ7" t="n">
        <v>20.03</v>
      </c>
      <c r="AK7" t="n">
        <v>20.45</v>
      </c>
    </row>
    <row r="8">
      <c r="A8" s="5" t="inlineStr">
        <is>
          <t>Customer deposits</t>
        </is>
      </c>
      <c r="B8" s="5" t="n">
        <v>2355436</v>
      </c>
      <c r="C8" s="5" t="n">
        <v>2126886</v>
      </c>
      <c r="D8" s="5" t="n">
        <v>1987234</v>
      </c>
      <c r="E8" s="5" t="n">
        <v>1611651</v>
      </c>
      <c r="F8" s="5" t="n">
        <v>1524917</v>
      </c>
      <c r="I8" t="inlineStr">
        <is>
          <t>Customer deposits</t>
        </is>
      </c>
      <c r="J8" t="n">
        <v>1524917</v>
      </c>
      <c r="K8" t="n">
        <v>1611651</v>
      </c>
      <c r="L8" t="n">
        <v>1987234</v>
      </c>
      <c r="M8" t="n">
        <v>2126886</v>
      </c>
      <c r="N8" t="n">
        <v>2355436</v>
      </c>
      <c r="AF8" t="inlineStr">
        <is>
          <t>Total Capital Ratio</t>
        </is>
      </c>
      <c r="AG8" t="n">
        <v>21.24</v>
      </c>
      <c r="AH8" t="n">
        <v>21.26</v>
      </c>
      <c r="AI8" t="n">
        <v>20.51</v>
      </c>
      <c r="AJ8" t="n">
        <v>20.03</v>
      </c>
      <c r="AK8" t="n">
        <v>20.45</v>
      </c>
    </row>
    <row r="9">
      <c r="A9" s="5" t="inlineStr">
        <is>
          <t>Total equity</t>
        </is>
      </c>
      <c r="B9" s="5" t="n">
        <v>537198</v>
      </c>
      <c r="C9" s="5" t="n">
        <v>501978</v>
      </c>
      <c r="D9" s="5" t="n">
        <v>533729</v>
      </c>
      <c r="E9" s="5" t="n">
        <v>473823</v>
      </c>
      <c r="F9" s="5" t="n">
        <v>447733</v>
      </c>
      <c r="I9" t="inlineStr">
        <is>
          <t>Total equity</t>
        </is>
      </c>
      <c r="J9" t="n">
        <v>447733</v>
      </c>
      <c r="K9" t="n">
        <v>473823</v>
      </c>
      <c r="L9" t="n">
        <v>533729</v>
      </c>
      <c r="M9" t="n">
        <v>501978</v>
      </c>
      <c r="N9" t="n">
        <v>537198</v>
      </c>
      <c r="AF9" t="inlineStr">
        <is>
          <t>Leverage Ratio</t>
        </is>
      </c>
      <c r="AG9" t="n">
        <v>12.74</v>
      </c>
      <c r="AH9" t="n">
        <v>13.09</v>
      </c>
      <c r="AJ9" t="n">
        <v>12.13</v>
      </c>
      <c r="AK9" t="n">
        <v>13.21</v>
      </c>
    </row>
    <row r="10">
      <c r="AF10" t="inlineStr">
        <is>
          <t>LCR</t>
        </is>
      </c>
      <c r="AG10" t="n">
        <v>227</v>
      </c>
      <c r="AH10" t="n">
        <v>300</v>
      </c>
      <c r="AJ10" t="n">
        <v>430</v>
      </c>
      <c r="AK10" t="n">
        <v>497</v>
      </c>
    </row>
    <row r="11">
      <c r="A11" s="3" t="inlineStr">
        <is>
          <t>Profit &amp; Loss Summary (As reported: £'000 (FY2024-FY2025); US$'000 (FY2021-FY2023))</t>
        </is>
      </c>
      <c r="AF11" t="inlineStr">
        <is>
          <t>NSFR</t>
        </is>
      </c>
      <c r="AG11" t="n">
        <v>114</v>
      </c>
      <c r="AH11" t="n">
        <v>127</v>
      </c>
      <c r="AJ11" t="n">
        <v>127</v>
      </c>
      <c r="AK11" t="n">
        <v>120</v>
      </c>
    </row>
    <row r="12">
      <c r="A12" s="4" t="inlineStr">
        <is>
          <t>Line item</t>
        </is>
      </c>
      <c r="B12" s="4" t="inlineStr">
        <is>
          <t>FY2025</t>
        </is>
      </c>
      <c r="C12" s="4" t="inlineStr">
        <is>
          <t>FY2024</t>
        </is>
      </c>
      <c r="D12" s="4" t="inlineStr">
        <is>
          <t>FY2023</t>
        </is>
      </c>
      <c r="E12" s="4" t="inlineStr">
        <is>
          <t>FY2022</t>
        </is>
      </c>
      <c r="F12" s="4" t="inlineStr">
        <is>
          <t>FY2021</t>
        </is>
      </c>
      <c r="R12" t="inlineStr">
        <is>
          <t>FY2021</t>
        </is>
      </c>
      <c r="S12" t="inlineStr">
        <is>
          <t>FY2022</t>
        </is>
      </c>
      <c r="T12" t="inlineStr">
        <is>
          <t>FY2023</t>
        </is>
      </c>
      <c r="U12" t="inlineStr">
        <is>
          <t>FY2024</t>
        </is>
      </c>
      <c r="V12" t="inlineStr">
        <is>
          <t>FY2025</t>
        </is>
      </c>
    </row>
    <row r="13">
      <c r="A13" s="5" t="inlineStr">
        <is>
          <t>Net operating income before ECL</t>
        </is>
      </c>
      <c r="B13" s="5" t="n">
        <v>91802</v>
      </c>
      <c r="C13" s="5" t="n">
        <v>89797</v>
      </c>
      <c r="D13" s="5" t="n">
        <v>99136</v>
      </c>
      <c r="E13" s="5" t="n">
        <v>87553</v>
      </c>
      <c r="F13" s="5" t="n">
        <v>52679</v>
      </c>
      <c r="Q13" t="inlineStr">
        <is>
          <t>Net operating income before ECL</t>
        </is>
      </c>
      <c r="R13" t="n">
        <v>52679</v>
      </c>
      <c r="S13" t="n">
        <v>87553</v>
      </c>
      <c r="T13" t="n">
        <v>99136</v>
      </c>
      <c r="U13" t="n">
        <v>89797</v>
      </c>
      <c r="V13" t="n">
        <v>91802</v>
      </c>
    </row>
    <row r="14">
      <c r="A14" s="5" t="inlineStr">
        <is>
          <t>Operating expenses</t>
        </is>
      </c>
      <c r="B14" s="5" t="n">
        <v>-42194</v>
      </c>
      <c r="C14" s="5" t="n">
        <v>-44977</v>
      </c>
      <c r="D14" s="5" t="n">
        <v>-48709</v>
      </c>
      <c r="E14" s="5" t="n">
        <v>-39850</v>
      </c>
      <c r="F14" s="5" t="n">
        <v>-33508</v>
      </c>
      <c r="Q14" t="inlineStr">
        <is>
          <t>Operating expenses</t>
        </is>
      </c>
      <c r="R14" t="n">
        <v>-33508</v>
      </c>
      <c r="S14" t="n">
        <v>-39850</v>
      </c>
      <c r="T14" t="n">
        <v>-48709</v>
      </c>
      <c r="U14" t="n">
        <v>-44977</v>
      </c>
      <c r="V14" t="n">
        <v>-42194</v>
      </c>
    </row>
    <row r="15">
      <c r="A15" s="5" t="inlineStr">
        <is>
          <t>Profit for the year before taxation</t>
        </is>
      </c>
      <c r="B15" s="5" t="n">
        <v>45819</v>
      </c>
      <c r="C15" s="5" t="n">
        <v>43708</v>
      </c>
      <c r="D15" s="5" t="n">
        <v>48638</v>
      </c>
      <c r="E15" s="5" t="n">
        <v>48368</v>
      </c>
      <c r="F15" s="5" t="n">
        <v>21175</v>
      </c>
      <c r="Q15" t="inlineStr">
        <is>
          <t>Profit for the year before taxation</t>
        </is>
      </c>
      <c r="R15" t="n">
        <v>21175</v>
      </c>
      <c r="S15" t="n">
        <v>48368</v>
      </c>
      <c r="T15" t="n">
        <v>48638</v>
      </c>
      <c r="U15" t="n">
        <v>43708</v>
      </c>
      <c r="V15" t="n">
        <v>45819</v>
      </c>
    </row>
    <row r="16">
      <c r="A16" s="5" t="inlineStr">
        <is>
          <t>Profit for the year</t>
        </is>
      </c>
      <c r="B16" s="5" t="n">
        <v>34235</v>
      </c>
      <c r="C16" s="5" t="n">
        <v>32569</v>
      </c>
      <c r="D16" s="5" t="n">
        <v>35877</v>
      </c>
      <c r="E16" s="5" t="n">
        <v>22423</v>
      </c>
      <c r="F16" s="5" t="n">
        <v>17076</v>
      </c>
      <c r="Q16" t="inlineStr">
        <is>
          <t>Profit for the year</t>
        </is>
      </c>
      <c r="R16" t="n">
        <v>17076</v>
      </c>
      <c r="S16" t="n">
        <v>22423</v>
      </c>
      <c r="T16" t="n">
        <v>35877</v>
      </c>
      <c r="U16" t="n">
        <v>32569</v>
      </c>
      <c r="V16" t="n">
        <v>34235</v>
      </c>
    </row>
    <row r="18">
      <c r="A18" s="3" t="inlineStr">
        <is>
          <t>Statement of Changes in Equity Summary (As reported: £'000 (FY2024-FY2025); US$'000 (FY2022-FY2023) - FY2024's Opening equity is the FY2023 closing balance retranslated to £'000, see Currency Note)</t>
        </is>
      </c>
    </row>
    <row r="19">
      <c r="A19" s="4" t="inlineStr">
        <is>
          <t>Line item</t>
        </is>
      </c>
      <c r="B19" s="4" t="inlineStr">
        <is>
          <t>FY2025</t>
        </is>
      </c>
      <c r="C19" s="4" t="inlineStr">
        <is>
          <t>FY2024</t>
        </is>
      </c>
      <c r="D19" s="4" t="inlineStr">
        <is>
          <t>FY2023</t>
        </is>
      </c>
      <c r="E19" s="4" t="inlineStr">
        <is>
          <t>FY2022</t>
        </is>
      </c>
      <c r="Z19" t="inlineStr">
        <is>
          <t>FY2022</t>
        </is>
      </c>
      <c r="AA19" t="inlineStr">
        <is>
          <t>FY2023</t>
        </is>
      </c>
      <c r="AB19" t="inlineStr">
        <is>
          <t>FY2024</t>
        </is>
      </c>
      <c r="AC19" t="inlineStr">
        <is>
          <t>FY2025</t>
        </is>
      </c>
    </row>
    <row r="20">
      <c r="A20" s="5" t="inlineStr">
        <is>
          <t>Opening equity</t>
        </is>
      </c>
      <c r="B20" s="5" t="n">
        <v>501978</v>
      </c>
      <c r="C20" s="5" t="n">
        <v>419962</v>
      </c>
      <c r="D20" s="5" t="n">
        <v>473823</v>
      </c>
      <c r="E20" s="5" t="n">
        <v>447733</v>
      </c>
      <c r="Y20" t="inlineStr">
        <is>
          <t>Opening equity</t>
        </is>
      </c>
      <c r="Z20" t="n">
        <v>447733</v>
      </c>
      <c r="AA20" t="n">
        <v>473823</v>
      </c>
      <c r="AB20" t="n">
        <v>419962</v>
      </c>
      <c r="AC20" t="n">
        <v>501978</v>
      </c>
    </row>
    <row r="21">
      <c r="A21" s="5" t="inlineStr">
        <is>
          <t>Total comprehensive income for the year</t>
        </is>
      </c>
      <c r="B21" s="5" t="n">
        <v>35220</v>
      </c>
      <c r="C21" s="5" t="n">
        <v>32016</v>
      </c>
      <c r="D21" s="5" t="n">
        <v>59906</v>
      </c>
      <c r="E21" s="5" t="n">
        <v>-27430</v>
      </c>
      <c r="Y21" t="inlineStr">
        <is>
          <t>Total comprehensive income for the year</t>
        </is>
      </c>
      <c r="Z21" t="n">
        <v>-27430</v>
      </c>
      <c r="AA21" t="n">
        <v>59906</v>
      </c>
      <c r="AB21" t="n">
        <v>32016</v>
      </c>
      <c r="AC21" t="n">
        <v>35220</v>
      </c>
    </row>
    <row r="22">
      <c r="A22" s="5" t="inlineStr">
        <is>
          <t>Other equity movements, net</t>
        </is>
      </c>
      <c r="B22" s="5" t="n">
        <v>0</v>
      </c>
      <c r="C22" s="5" t="n">
        <v>50000</v>
      </c>
      <c r="D22" s="5" t="n">
        <v>0</v>
      </c>
      <c r="E22" s="5" t="n">
        <v>53520</v>
      </c>
      <c r="Y22" t="inlineStr">
        <is>
          <t>Other equity movements, net</t>
        </is>
      </c>
      <c r="Z22" t="n">
        <v>53520</v>
      </c>
      <c r="AA22" t="n">
        <v>0</v>
      </c>
      <c r="AB22" t="n">
        <v>50000</v>
      </c>
      <c r="AC22" t="n">
        <v>0</v>
      </c>
    </row>
    <row r="23">
      <c r="A23" s="5" t="inlineStr">
        <is>
          <t>Closing equity</t>
        </is>
      </c>
      <c r="B23" s="5" t="n">
        <v>537198</v>
      </c>
      <c r="C23" s="5" t="n">
        <v>501978</v>
      </c>
      <c r="D23" s="5" t="n">
        <v>533729</v>
      </c>
      <c r="E23" s="5" t="n">
        <v>473823</v>
      </c>
      <c r="Y23" t="inlineStr">
        <is>
          <t>Closing equity</t>
        </is>
      </c>
      <c r="Z23" t="n">
        <v>473823</v>
      </c>
      <c r="AA23" t="n">
        <v>533729</v>
      </c>
      <c r="AB23" t="n">
        <v>501978</v>
      </c>
      <c r="AC23" t="n">
        <v>537198</v>
      </c>
    </row>
    <row r="25">
      <c r="A25" s="3" t="inlineStr">
        <is>
          <t>Cash Flow Summary: not applicable — this entity does not publish a cash flow statement (see the Cash Flow Statement sheet for the exemption basis).</t>
        </is>
      </c>
    </row>
    <row r="27">
      <c r="A27" s="3" t="inlineStr">
        <is>
          <t>Pillar 3 Key Metrics</t>
        </is>
      </c>
    </row>
    <row r="28">
      <c r="A28" s="4" t="inlineStr">
        <is>
          <t>Line item</t>
        </is>
      </c>
      <c r="B28" s="4" t="inlineStr">
        <is>
          <t>FY2025</t>
        </is>
      </c>
      <c r="C28" s="4" t="inlineStr">
        <is>
          <t>FY2024</t>
        </is>
      </c>
      <c r="D28" s="4" t="inlineStr">
        <is>
          <t>FY2023</t>
        </is>
      </c>
      <c r="E28" s="4" t="inlineStr">
        <is>
          <t>FY2022</t>
        </is>
      </c>
      <c r="F28" s="4" t="inlineStr">
        <is>
          <t>FY2021</t>
        </is>
      </c>
    </row>
    <row r="29">
      <c r="A29" s="6" t="inlineStr">
        <is>
          <t>CET1 Ratio</t>
        </is>
      </c>
      <c r="B29" s="6" t="inlineStr">
        <is>
          <t>20.45%</t>
        </is>
      </c>
      <c r="C29" s="6" t="inlineStr">
        <is>
          <t>20.03%</t>
        </is>
      </c>
      <c r="D29" s="6" t="inlineStr">
        <is>
          <t>20.51%</t>
        </is>
      </c>
      <c r="E29" s="6" t="inlineStr">
        <is>
          <t>21.26%</t>
        </is>
      </c>
      <c r="F29" s="6" t="inlineStr">
        <is>
          <t>21.24%</t>
        </is>
      </c>
    </row>
    <row r="30">
      <c r="A30" s="6" t="inlineStr">
        <is>
          <t>Tier 1 Ratio</t>
        </is>
      </c>
      <c r="B30" s="6" t="inlineStr">
        <is>
          <t>20.45%</t>
        </is>
      </c>
      <c r="C30" s="6" t="inlineStr">
        <is>
          <t>20.03%</t>
        </is>
      </c>
      <c r="D30" s="6" t="inlineStr">
        <is>
          <t>20.51%</t>
        </is>
      </c>
      <c r="E30" s="6" t="inlineStr">
        <is>
          <t>21.26%</t>
        </is>
      </c>
      <c r="F30" s="6" t="inlineStr">
        <is>
          <t>21.24%</t>
        </is>
      </c>
    </row>
    <row r="31">
      <c r="A31" s="6" t="inlineStr">
        <is>
          <t>Total Capital Ratio</t>
        </is>
      </c>
      <c r="B31" s="6" t="inlineStr">
        <is>
          <t>20.45%</t>
        </is>
      </c>
      <c r="C31" s="6" t="inlineStr">
        <is>
          <t>20.03%</t>
        </is>
      </c>
      <c r="D31" s="6" t="inlineStr">
        <is>
          <t>20.51%</t>
        </is>
      </c>
      <c r="E31" s="6" t="inlineStr">
        <is>
          <t>21.26%</t>
        </is>
      </c>
      <c r="F31" s="6" t="inlineStr">
        <is>
          <t>21.24%</t>
        </is>
      </c>
    </row>
    <row r="32">
      <c r="A32" s="6" t="inlineStr">
        <is>
          <t>Leverage Ratio</t>
        </is>
      </c>
      <c r="B32" s="6" t="inlineStr">
        <is>
          <t>13.21%</t>
        </is>
      </c>
      <c r="C32" s="6" t="inlineStr">
        <is>
          <t>12.13%</t>
        </is>
      </c>
      <c r="D32" s="6" t="n"/>
      <c r="E32" s="6" t="inlineStr">
        <is>
          <t>13.09%</t>
        </is>
      </c>
      <c r="F32" s="6" t="inlineStr">
        <is>
          <t>12.74%</t>
        </is>
      </c>
    </row>
    <row r="33">
      <c r="A33" s="6" t="inlineStr">
        <is>
          <t>LCR</t>
        </is>
      </c>
      <c r="B33" s="6" t="inlineStr">
        <is>
          <t>497%</t>
        </is>
      </c>
      <c r="C33" s="6" t="inlineStr">
        <is>
          <t>430%</t>
        </is>
      </c>
      <c r="D33" s="6" t="n"/>
      <c r="E33" s="6" t="inlineStr">
        <is>
          <t>300%</t>
        </is>
      </c>
      <c r="F33" s="6" t="inlineStr">
        <is>
          <t>227%</t>
        </is>
      </c>
    </row>
    <row r="34">
      <c r="A34" s="6" t="inlineStr">
        <is>
          <t>NSFR</t>
        </is>
      </c>
      <c r="B34" s="6" t="inlineStr">
        <is>
          <t>120%</t>
        </is>
      </c>
      <c r="C34" s="6" t="inlineStr">
        <is>
          <t>127%</t>
        </is>
      </c>
      <c r="D34" s="6" t="n"/>
      <c r="E34" s="6" t="inlineStr">
        <is>
          <t>127%</t>
        </is>
      </c>
      <c r="F34" s="6" t="inlineStr">
        <is>
          <t>114%</t>
        </is>
      </c>
    </row>
    <row r="36" ht="65" customHeight="1">
      <c r="A36" s="7" t="inlineStr">
        <is>
          <t>Note: No Statement of Cash Flows is published (FRS 101 exemption) - cash-flow block omitted. Balance Sheet/Profit &amp; Loss/Equity Changes cover FY2021-FY2025 (entity basis, currency changes from US$ to £ between FY2023 and FY2024 - see Currency Note on the statement sheets); the Equity Changes summary above starts at FY2022 to keep the chart's year-over-year figures in a consistent, comparable shape. Leverage, LCR, and NSFR now cover FY2021-FY2022 and FY2024-FY2025 (FY2021/FY2022 recovered 2026-09-03 (ST-027) from archived Pillar 3 disclosures - see the Leverage Ratio sheet's note); FY2023 remains not publicly disclosed for these three ratios and for RWA Breakdown.</t>
        </is>
      </c>
    </row>
  </sheetData>
  <mergeCells count="1">
    <mergeCell ref="A36:F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Balance Sheet</t>
        </is>
      </c>
    </row>
    <row r="2">
      <c r="A2" s="2" t="inlineStr">
        <is>
          <t>Entity basis. As reported: £'000 (FY2024-FY2025); US$'000 (FY2021-FY2023) - see Currency Note. The Bank sold its Investment in group entity (NBK France S.A.) in June 2023; the line is blank from FY2024 rather than zero. Repurchase agreements is a new FY2025 line (not previously used). 'Investment securities - ...' sub-rows below the renamed 'Total investment securities' line are a measurement-basis breakdown per Note 15 - see Investment Securities Breakdown note; no issuer-type split is disclosed in any year's report.</t>
        </is>
      </c>
    </row>
    <row r="3">
      <c r="A3" s="4" t="inlineStr">
        <is>
          <t>Line item</t>
        </is>
      </c>
      <c r="B3" s="4" t="inlineStr">
        <is>
          <t>FY2025</t>
        </is>
      </c>
      <c r="C3" s="4" t="inlineStr">
        <is>
          <t>FY2024</t>
        </is>
      </c>
      <c r="D3" s="4" t="inlineStr">
        <is>
          <t>FY2023</t>
        </is>
      </c>
      <c r="E3" s="4" t="inlineStr">
        <is>
          <t>FY2022</t>
        </is>
      </c>
      <c r="F3" s="4" t="inlineStr">
        <is>
          <t>FY2021</t>
        </is>
      </c>
    </row>
    <row r="4">
      <c r="A4" s="5" t="inlineStr">
        <is>
          <t>Assets</t>
        </is>
      </c>
      <c r="B4" s="6" t="n"/>
      <c r="C4" s="6" t="n"/>
      <c r="D4" s="6" t="n"/>
      <c r="E4" s="6" t="n"/>
      <c r="F4" s="6" t="n"/>
    </row>
    <row r="5">
      <c r="A5" s="6" t="inlineStr">
        <is>
          <t>Cash and balances at Central Bank / cash and cash equivalents</t>
        </is>
      </c>
      <c r="B5" s="6" t="n">
        <v>280213</v>
      </c>
      <c r="C5" s="6" t="n">
        <v>547502</v>
      </c>
      <c r="D5" s="6" t="n">
        <v>551396</v>
      </c>
      <c r="E5" s="6" t="n">
        <v>528440</v>
      </c>
      <c r="F5" s="6" t="n">
        <v>732863</v>
      </c>
    </row>
    <row r="6">
      <c r="A6" s="6" t="inlineStr">
        <is>
          <t>Deposits with banks</t>
        </is>
      </c>
      <c r="B6" s="6" t="n">
        <v>666586</v>
      </c>
      <c r="C6" s="6" t="n">
        <v>840214</v>
      </c>
      <c r="D6" s="6" t="n">
        <v>1156167</v>
      </c>
      <c r="E6" s="6" t="n">
        <v>832185</v>
      </c>
      <c r="F6" s="6" t="n">
        <v>644300</v>
      </c>
    </row>
    <row r="7">
      <c r="A7" s="6" t="inlineStr">
        <is>
          <t>Loans and advances to banks</t>
        </is>
      </c>
      <c r="B7" s="6" t="n">
        <v>156952</v>
      </c>
      <c r="C7" s="6" t="n">
        <v>96803</v>
      </c>
      <c r="D7" s="6" t="n">
        <v>104012</v>
      </c>
      <c r="E7" s="6" t="n">
        <v>78750</v>
      </c>
      <c r="F7" s="6" t="n">
        <v>26012</v>
      </c>
    </row>
    <row r="8">
      <c r="A8" s="6" t="inlineStr">
        <is>
          <t>Loans and advances to customers</t>
        </is>
      </c>
      <c r="B8" s="6" t="n">
        <v>2205331</v>
      </c>
      <c r="C8" s="6" t="n">
        <v>1975643</v>
      </c>
      <c r="D8" s="6" t="n">
        <v>2028637</v>
      </c>
      <c r="E8" s="6" t="n">
        <v>1610422</v>
      </c>
      <c r="F8" s="6" t="n">
        <v>1585574</v>
      </c>
    </row>
    <row r="9">
      <c r="A9" s="6" t="inlineStr">
        <is>
          <t>Total investment securities</t>
        </is>
      </c>
      <c r="B9" s="6" t="n">
        <v>550717</v>
      </c>
      <c r="C9" s="6" t="n">
        <v>398439</v>
      </c>
      <c r="D9" s="6" t="n">
        <v>357952</v>
      </c>
      <c r="E9" s="6" t="n">
        <v>264917</v>
      </c>
      <c r="F9" s="6" t="n">
        <v>213944</v>
      </c>
    </row>
    <row r="10">
      <c r="A10" s="6" t="inlineStr">
        <is>
          <t>Investment securities - Equities (FVOCI)</t>
        </is>
      </c>
      <c r="B10" s="6" t="n">
        <v>2145</v>
      </c>
      <c r="C10" s="6" t="n">
        <v>2025</v>
      </c>
      <c r="D10" s="6" t="n">
        <v>1772</v>
      </c>
      <c r="E10" s="6" t="n">
        <v>1407</v>
      </c>
      <c r="F10" s="6" t="n">
        <v>1018</v>
      </c>
    </row>
    <row r="11">
      <c r="A11" s="6" t="inlineStr">
        <is>
          <t>Investment securities - Equities (FVPL)</t>
        </is>
      </c>
      <c r="B11" s="6" t="n">
        <v>85</v>
      </c>
      <c r="C11" s="6" t="n">
        <v>46</v>
      </c>
      <c r="D11" s="6" t="n">
        <v>137</v>
      </c>
      <c r="E11" s="6" t="n">
        <v>11361</v>
      </c>
      <c r="F11" s="6" t="n">
        <v>252</v>
      </c>
    </row>
    <row r="12">
      <c r="A12" s="6" t="inlineStr">
        <is>
          <t>Investment securities - Debt securities (FVOCI)</t>
        </is>
      </c>
      <c r="B12" s="6" t="n">
        <v>543552</v>
      </c>
      <c r="C12" s="6" t="n">
        <v>392799</v>
      </c>
      <c r="D12" s="6" t="n">
        <v>352409</v>
      </c>
      <c r="E12" s="6" t="n">
        <v>249601</v>
      </c>
      <c r="F12" s="6" t="n">
        <v>170839</v>
      </c>
    </row>
    <row r="13">
      <c r="A13" s="6" t="inlineStr">
        <is>
          <t>Investment securities - Debt securities (FVPL)</t>
        </is>
      </c>
      <c r="B13" s="6" t="n"/>
      <c r="C13" s="6" t="n"/>
      <c r="D13" s="6" t="n"/>
      <c r="E13" s="6" t="n"/>
      <c r="F13" s="6" t="n">
        <v>41872</v>
      </c>
    </row>
    <row r="14">
      <c r="A14" s="6" t="inlineStr">
        <is>
          <t>Investment securities - Interest receivable (accrued)</t>
        </is>
      </c>
      <c r="B14" s="6" t="n">
        <v>5039</v>
      </c>
      <c r="C14" s="6" t="n">
        <v>3634</v>
      </c>
      <c r="D14" s="6" t="n">
        <v>3691</v>
      </c>
      <c r="E14" s="6" t="n">
        <v>2577</v>
      </c>
      <c r="F14" s="6" t="n"/>
    </row>
    <row r="15">
      <c r="A15" s="6" t="inlineStr">
        <is>
          <t>Investment securities - Less: ECL allowance</t>
        </is>
      </c>
      <c r="B15" s="6" t="n">
        <v>-104</v>
      </c>
      <c r="C15" s="6" t="n">
        <v>-65</v>
      </c>
      <c r="D15" s="6" t="n">
        <v>-57</v>
      </c>
      <c r="E15" s="6" t="n">
        <v>-29</v>
      </c>
      <c r="F15" s="6" t="n">
        <v>-37</v>
      </c>
    </row>
    <row r="16">
      <c r="A16" s="6" t="inlineStr">
        <is>
          <t>Investment in group entity</t>
        </is>
      </c>
      <c r="B16" s="6" t="n"/>
      <c r="C16" s="6" t="n"/>
      <c r="D16" s="6" t="n">
        <v>0</v>
      </c>
      <c r="E16" s="6" t="n">
        <v>44000</v>
      </c>
      <c r="F16" s="6" t="n">
        <v>45792</v>
      </c>
    </row>
    <row r="17">
      <c r="A17" s="6" t="inlineStr">
        <is>
          <t>Derivative assets</t>
        </is>
      </c>
      <c r="B17" s="6" t="n">
        <v>20557</v>
      </c>
      <c r="C17" s="6" t="n">
        <v>23453</v>
      </c>
      <c r="D17" s="6" t="n">
        <v>11890</v>
      </c>
      <c r="E17" s="6" t="n">
        <v>15296</v>
      </c>
      <c r="F17" s="6" t="n">
        <v>6401</v>
      </c>
    </row>
    <row r="18">
      <c r="A18" s="6" t="inlineStr">
        <is>
          <t>Fixed assets</t>
        </is>
      </c>
      <c r="B18" s="6" t="n">
        <v>41862</v>
      </c>
      <c r="C18" s="6" t="n">
        <v>39969</v>
      </c>
      <c r="D18" s="6" t="n">
        <v>50764</v>
      </c>
      <c r="E18" s="6" t="n">
        <v>49253</v>
      </c>
      <c r="F18" s="6" t="n">
        <v>55230</v>
      </c>
    </row>
    <row r="19">
      <c r="A19" s="6" t="inlineStr">
        <is>
          <t>Other assets</t>
        </is>
      </c>
      <c r="B19" s="6" t="n">
        <v>19645</v>
      </c>
      <c r="C19" s="6" t="n">
        <v>12547</v>
      </c>
      <c r="D19" s="6" t="n">
        <v>7177</v>
      </c>
      <c r="E19" s="6" t="n">
        <v>2423</v>
      </c>
      <c r="F19" s="6" t="n">
        <v>10231</v>
      </c>
    </row>
    <row r="20">
      <c r="A20" s="5" t="inlineStr">
        <is>
          <t>Total assets</t>
        </is>
      </c>
      <c r="B20" s="5" t="n">
        <v>3941863</v>
      </c>
      <c r="C20" s="5" t="n">
        <v>3934570</v>
      </c>
      <c r="D20" s="5" t="n">
        <v>4267995</v>
      </c>
      <c r="E20" s="5" t="n">
        <v>3425686</v>
      </c>
      <c r="F20" s="5" t="n">
        <v>3320347</v>
      </c>
    </row>
    <row r="21">
      <c r="A21" s="5" t="inlineStr">
        <is>
          <t>Liabilities</t>
        </is>
      </c>
      <c r="B21" s="6" t="n"/>
      <c r="C21" s="6" t="n"/>
      <c r="D21" s="6" t="n"/>
      <c r="E21" s="6" t="n"/>
      <c r="F21" s="6" t="n"/>
    </row>
    <row r="22">
      <c r="A22" s="6" t="inlineStr">
        <is>
          <t>Due to banks and other financial institutions</t>
        </is>
      </c>
      <c r="B22" s="6" t="n">
        <v>758900</v>
      </c>
      <c r="C22" s="6" t="n">
        <v>1020083</v>
      </c>
      <c r="D22" s="6" t="n">
        <v>1338382</v>
      </c>
      <c r="E22" s="6" t="n">
        <v>1078891</v>
      </c>
      <c r="F22" s="6" t="n">
        <v>863405</v>
      </c>
    </row>
    <row r="23">
      <c r="A23" s="6" t="inlineStr">
        <is>
          <t>Customer deposits</t>
        </is>
      </c>
      <c r="B23" s="6" t="n">
        <v>2355436</v>
      </c>
      <c r="C23" s="6" t="n">
        <v>2126886</v>
      </c>
      <c r="D23" s="6" t="n">
        <v>1987234</v>
      </c>
      <c r="E23" s="6" t="n">
        <v>1611651</v>
      </c>
      <c r="F23" s="6" t="n">
        <v>1524917</v>
      </c>
    </row>
    <row r="24">
      <c r="A24" s="6" t="inlineStr">
        <is>
          <t>Repurchase agreements</t>
        </is>
      </c>
      <c r="B24" s="6" t="n">
        <v>70065</v>
      </c>
      <c r="C24" s="6" t="n">
        <v>0</v>
      </c>
      <c r="D24" s="6" t="n"/>
      <c r="E24" s="6" t="n"/>
      <c r="F24" s="6" t="n"/>
    </row>
    <row r="25">
      <c r="A25" s="6" t="inlineStr">
        <is>
          <t>Certificates of deposit issued</t>
        </is>
      </c>
      <c r="B25" s="6" t="n">
        <v>185765</v>
      </c>
      <c r="C25" s="6" t="n">
        <v>257778</v>
      </c>
      <c r="D25" s="6" t="n">
        <v>345265</v>
      </c>
      <c r="E25" s="6" t="n">
        <v>213478</v>
      </c>
      <c r="F25" s="6" t="n">
        <v>441222</v>
      </c>
    </row>
    <row r="26">
      <c r="A26" s="6" t="inlineStr">
        <is>
          <t>Derivative liabilities</t>
        </is>
      </c>
      <c r="B26" s="6" t="n">
        <v>13155</v>
      </c>
      <c r="C26" s="6" t="n">
        <v>3724</v>
      </c>
      <c r="D26" s="6" t="n">
        <v>18843</v>
      </c>
      <c r="E26" s="6" t="n">
        <v>18207</v>
      </c>
      <c r="F26" s="6" t="n">
        <v>32857</v>
      </c>
    </row>
    <row r="27">
      <c r="A27" s="6" t="inlineStr">
        <is>
          <t>Other liabilities</t>
        </is>
      </c>
      <c r="B27" s="6" t="n">
        <v>21344</v>
      </c>
      <c r="C27" s="6" t="n">
        <v>24121</v>
      </c>
      <c r="D27" s="6" t="n">
        <v>44542</v>
      </c>
      <c r="E27" s="6" t="n">
        <v>29636</v>
      </c>
      <c r="F27" s="6" t="n">
        <v>10213</v>
      </c>
    </row>
    <row r="28">
      <c r="A28" s="5" t="inlineStr">
        <is>
          <t>Total liabilities</t>
        </is>
      </c>
      <c r="B28" s="5" t="n">
        <v>3404665</v>
      </c>
      <c r="C28" s="5" t="n">
        <v>3432592</v>
      </c>
      <c r="D28" s="5" t="n">
        <v>3734266</v>
      </c>
      <c r="E28" s="5" t="n">
        <v>2951863</v>
      </c>
      <c r="F28" s="5" t="n">
        <v>2872614</v>
      </c>
    </row>
    <row r="29">
      <c r="A29" s="5" t="inlineStr">
        <is>
          <t>Equity</t>
        </is>
      </c>
      <c r="B29" s="6" t="n"/>
      <c r="C29" s="6" t="n"/>
      <c r="D29" s="6" t="n"/>
      <c r="E29" s="6" t="n"/>
      <c r="F29" s="6" t="n"/>
    </row>
    <row r="30">
      <c r="A30" s="6" t="inlineStr">
        <is>
          <t>Share capital</t>
        </is>
      </c>
      <c r="B30" s="6" t="n">
        <v>283329</v>
      </c>
      <c r="C30" s="6" t="n">
        <v>283329</v>
      </c>
      <c r="D30" s="6" t="n">
        <v>289403</v>
      </c>
      <c r="E30" s="6" t="n">
        <v>289403</v>
      </c>
      <c r="F30" s="6" t="n">
        <v>235883</v>
      </c>
    </row>
    <row r="31">
      <c r="A31" s="6" t="inlineStr">
        <is>
          <t>Retained earnings</t>
        </is>
      </c>
      <c r="B31" s="6" t="n">
        <v>251956</v>
      </c>
      <c r="C31" s="6" t="n">
        <v>217721</v>
      </c>
      <c r="D31" s="6" t="n">
        <v>244271</v>
      </c>
      <c r="E31" s="6" t="n">
        <v>211715</v>
      </c>
      <c r="F31" s="6" t="n">
        <v>225681</v>
      </c>
    </row>
    <row r="32">
      <c r="A32" s="6" t="inlineStr">
        <is>
          <t>Cumulative changes in fair values</t>
        </is>
      </c>
      <c r="B32" s="6" t="n">
        <v>1913</v>
      </c>
      <c r="C32" s="6" t="n">
        <v>928</v>
      </c>
      <c r="D32" s="6" t="n">
        <v>1882</v>
      </c>
      <c r="E32" s="6" t="n">
        <v>1016</v>
      </c>
      <c r="F32" s="6" t="n">
        <v>-2186</v>
      </c>
    </row>
    <row r="33">
      <c r="A33" s="6" t="inlineStr">
        <is>
          <t>Translation / exchange reserve</t>
        </is>
      </c>
      <c r="B33" s="6" t="n"/>
      <c r="C33" s="6" t="n"/>
      <c r="D33" s="6" t="n">
        <v>-1827</v>
      </c>
      <c r="E33" s="6" t="n">
        <v>-28311</v>
      </c>
      <c r="F33" s="6" t="n">
        <v>-11645</v>
      </c>
    </row>
    <row r="34">
      <c r="A34" s="5" t="inlineStr">
        <is>
          <t>Total equity</t>
        </is>
      </c>
      <c r="B34" s="5" t="n">
        <v>537198</v>
      </c>
      <c r="C34" s="5" t="n">
        <v>501978</v>
      </c>
      <c r="D34" s="5" t="n">
        <v>533729</v>
      </c>
      <c r="E34" s="5" t="n">
        <v>473823</v>
      </c>
      <c r="F34" s="5" t="n">
        <v>447733</v>
      </c>
    </row>
    <row r="35">
      <c r="A35" s="5" t="inlineStr">
        <is>
          <t>Total equity and liabilities</t>
        </is>
      </c>
      <c r="B35" s="5" t="n">
        <v>3941863</v>
      </c>
      <c r="C35" s="5" t="n">
        <v>3934570</v>
      </c>
      <c r="D35" s="5" t="n">
        <v>4267995</v>
      </c>
      <c r="E35" s="5" t="n">
        <v>3425686</v>
      </c>
      <c r="F35" s="5" t="n">
        <v>3320347</v>
      </c>
    </row>
    <row r="37" ht="409" customHeight="1">
      <c r="A37"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Statement of Income, Statement of Financial Position, and Statement of Changes in Equity: FY2025 - AR2025 pp.28-31 (Statement of Income p.28, Statement of Comprehensive Income p.29, Statement of Financial Position p.30, Statement of Changes in Equity p.31), plus Notes 3-9 (interest/fee/expense detail, pp.43-45), all in £'000. FY2024 comparative from the same AR2025 pages. FY2023 - AR2023 pp.22, 24-25 (Statement of Income p.22, Statement of Financial Position p.24, Statement of Changes in Equity p.25), in US$'000. FY2022 - AR2022 pp.22, 24-25 (own contemporaneous filing, not AR2023's comparative), in US$'000. FY2021 - AR2021 pp.23-26 (Statement of Income p.23, Statement of Comprehensive Income p.24, Statement of Financial Position p.25, Statement of Changes in Equity p.26), in $'000 (the FY2021 filing labels its own currency column "$000" without the "US" prefix; treated as US$'000, consistent with later years' explicit US$ labelling and the unbroken equity roll-forward against FY2022's own restated FY2021 comparative).
INVESTMENT SECURITIES BREAKDOWN: the 'Investment securities - ...' sub-rows below the renamed 'Total investment securities' line are transcribed from each year's own Note 15 'Investment Securities' of the Notes to the Financial Statements, which splits the balance by measurement basis (equities at FVOCI / equities at FVPL / debt securities at FVOCI / debt securities at FVPL) plus a combined 'Less: ECL' line and (FY2022-FY2025 only) a combined interest-receivable line. No issuer-type split (e.g. UK government/gilts vs supranational/corporate) is disclosed anywhere in Note 15 or elsewhere in any year's report; the Bank's own repurchase-agreement note (Note 20, FY2025 AR p.50) states that Gilts pledged as repo collateral 'remain on the statement of financial position within investment securities' but gives no total gilts holding, so an issuer-type split cannot be derived:
FY2025: Note 15, p.48 - https://www.nbk.com/dam/jcr:6d7dc8ff-20d6-4ba1-be40-03386a48becd/nbki-financial-statements-2025.pdf
FY2024: same FY2025 filing's own FY2024 comparative column, Note 15, p.48
FY2023: Note 15, p.43 - https://www.nbk.com/dam/jcr:a2323d07-848e-4518-971d-8e24a3395ad0/NBKI-Financial-Statement-2023.pdf
FY2022: same FY2023 filing's own FY2022 comparative column, Note 15, p.43
FY2021: Note 15, p.43 - https://www.nbk.com/dam/jcr:c3c72c41-97cb-454c-b14e-2a77baf033ab/NBKI-Financial-Statement-2021.pdf
Each year's sub-rows sum exactly to that year's renamed 'Total investment securities' line. 'Debt securities (FVPL)' is FY2021-only (reclassified out of the portfolio by FY2022); 'Interest receivable (accrued)' is not disclosed as a separate line in the FY2021 note (folded into the FVOCI/FVPL debt balances that year) - blank cells reflect the note's own year-by-year composition, not a gap.</t>
        </is>
      </c>
    </row>
    <row r="39" ht="409" customHeight="1">
      <c r="A39" s="8" t="inlineStr">
        <is>
          <t>(continued)
CURRENCY NOTE: the Bank's presentation currency changed from USD to GBP between the FY2023 and FY2024 statutory accounts (matching the change already documented on the Pillar 3 sheets' CAPITAL_UNIT note). The FY2023 closing US$533,729k equity was retranslated to the FY2024 opening balance of £419,962k using the Bank's own year-end spot rate - this is a genuine currency redenomination, not a plug; the Statement of Changes in Equity sheet shows both figures as separate, clearly labelled rows rather than forcing a same-currency tie-out across the boundary. The Balance Sheet and Profit &amp; Loss sheets are similarly presented on each year's own reported currency (US$'000 for FY2021-FY2023, £'000 for FY2024-FY2025) without an imposed conversion.
ASSET QUALITY NOTE: FY2021 and FY2022's own-year loans-and-advances IFRS 9 stage split and impairment allowance are from each year's own Maximum Exposure to Credit Risk note (AR2022 Note 28.1.4 p.57-58 for FY2021/FY2022; AR2023 Note 28.1.4 p.63 for FY2022/FY2023 comparative used only to cross-check; AR2025 Note 29.1.4 pp.69-70 for FY2024/FY2025). Net carrying values tie exactly to each year's own Balance Sheet loans and advances to customers figure once the notes' own "presented without accrued interest" caveat is accounted for.</t>
        </is>
      </c>
    </row>
  </sheetData>
  <mergeCells count="2">
    <mergeCell ref="A39:F39"/>
    <mergeCell ref="A37:F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2"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Profit &amp; Loss</t>
        </is>
      </c>
    </row>
    <row r="2">
      <c r="A2" s="2" t="inlineStr">
        <is>
          <t>Entity basis. As reported: £'000 (FY2024-FY2025); US$'000 (FY2021-FY2023) - see Currency Note. FY2023 Total comprehensive income is shown before a small FY2023-only fair-value/retained-earnings transfer (US$3,321k, net-zero within equity) disclosed on the Statement of Changes in Equity.</t>
        </is>
      </c>
    </row>
    <row r="3">
      <c r="A3" s="4" t="inlineStr">
        <is>
          <t>Line item</t>
        </is>
      </c>
      <c r="B3" s="4" t="inlineStr">
        <is>
          <t>FY2025</t>
        </is>
      </c>
      <c r="C3" s="4" t="inlineStr">
        <is>
          <t>FY2024</t>
        </is>
      </c>
      <c r="D3" s="4" t="inlineStr">
        <is>
          <t>FY2023</t>
        </is>
      </c>
      <c r="E3" s="4" t="inlineStr">
        <is>
          <t>FY2022</t>
        </is>
      </c>
      <c r="F3" s="4" t="inlineStr">
        <is>
          <t>FY2021</t>
        </is>
      </c>
    </row>
    <row r="4">
      <c r="A4" s="5" t="inlineStr">
        <is>
          <t>Income</t>
        </is>
      </c>
      <c r="B4" s="6" t="n"/>
      <c r="C4" s="6" t="n"/>
      <c r="D4" s="6" t="n"/>
      <c r="E4" s="6" t="n"/>
      <c r="F4" s="6" t="n"/>
    </row>
    <row r="5">
      <c r="A5" s="6" t="inlineStr">
        <is>
          <t>Interest income</t>
        </is>
      </c>
      <c r="B5" s="6" t="n">
        <v>221400</v>
      </c>
      <c r="C5" s="6" t="n">
        <v>225162</v>
      </c>
      <c r="D5" s="6" t="n">
        <v>227709</v>
      </c>
      <c r="E5" s="6" t="n">
        <v>88876</v>
      </c>
      <c r="F5" s="6" t="n">
        <v>52080</v>
      </c>
    </row>
    <row r="6">
      <c r="A6" s="6" t="inlineStr">
        <is>
          <t>Interest expense</t>
        </is>
      </c>
      <c r="B6" s="6" t="n">
        <v>-133279</v>
      </c>
      <c r="C6" s="6" t="n">
        <v>-140090</v>
      </c>
      <c r="D6" s="6" t="n">
        <v>-135198</v>
      </c>
      <c r="E6" s="6" t="n">
        <v>-34660</v>
      </c>
      <c r="F6" s="6" t="n">
        <v>-12443</v>
      </c>
    </row>
    <row r="7">
      <c r="A7" s="5" t="inlineStr">
        <is>
          <t>Net interest income</t>
        </is>
      </c>
      <c r="B7" s="5" t="n">
        <v>88121</v>
      </c>
      <c r="C7" s="5" t="n">
        <v>85072</v>
      </c>
      <c r="D7" s="5" t="n">
        <v>92511</v>
      </c>
      <c r="E7" s="5" t="n">
        <v>54216</v>
      </c>
      <c r="F7" s="5" t="n">
        <v>39637</v>
      </c>
    </row>
    <row r="8">
      <c r="A8" s="6" t="inlineStr">
        <is>
          <t>Net fees and commissions income</t>
        </is>
      </c>
      <c r="B8" s="6" t="n">
        <v>2677</v>
      </c>
      <c r="C8" s="6" t="n">
        <v>4032</v>
      </c>
      <c r="D8" s="6" t="n">
        <v>3431</v>
      </c>
      <c r="E8" s="6" t="n">
        <v>5916</v>
      </c>
      <c r="F8" s="6" t="n">
        <v>5539</v>
      </c>
    </row>
    <row r="9">
      <c r="A9" s="6" t="inlineStr">
        <is>
          <t>Net gains from dealing in foreign currencies and derivative income</t>
        </is>
      </c>
      <c r="B9" s="6" t="n">
        <v>784</v>
      </c>
      <c r="C9" s="6" t="n">
        <v>227</v>
      </c>
      <c r="D9" s="6" t="n">
        <v>2211</v>
      </c>
      <c r="E9" s="6" t="n">
        <v>24428</v>
      </c>
      <c r="F9" s="6" t="n">
        <v>6047</v>
      </c>
    </row>
    <row r="10">
      <c r="A10" s="6" t="inlineStr">
        <is>
          <t>Net investment income</t>
        </is>
      </c>
      <c r="B10" s="6" t="n">
        <v>112</v>
      </c>
      <c r="C10" s="6" t="n">
        <v>287</v>
      </c>
      <c r="D10" s="6" t="n">
        <v>587</v>
      </c>
      <c r="E10" s="6" t="n">
        <v>2627</v>
      </c>
      <c r="F10" s="6" t="n">
        <v>1069</v>
      </c>
    </row>
    <row r="11">
      <c r="A11" s="6" t="inlineStr">
        <is>
          <t>Other operating income</t>
        </is>
      </c>
      <c r="B11" s="6" t="n">
        <v>108</v>
      </c>
      <c r="C11" s="6" t="n">
        <v>179</v>
      </c>
      <c r="D11" s="6" t="n">
        <v>396</v>
      </c>
      <c r="E11" s="6" t="n">
        <v>366</v>
      </c>
      <c r="F11" s="6" t="n">
        <v>387</v>
      </c>
    </row>
    <row r="12">
      <c r="A12" s="5" t="inlineStr">
        <is>
          <t>Net operating income before ECL</t>
        </is>
      </c>
      <c r="B12" s="5" t="n">
        <v>91802</v>
      </c>
      <c r="C12" s="5" t="n">
        <v>89797</v>
      </c>
      <c r="D12" s="5" t="n">
        <v>99136</v>
      </c>
      <c r="E12" s="5" t="n">
        <v>87553</v>
      </c>
      <c r="F12" s="5" t="n">
        <v>52679</v>
      </c>
    </row>
    <row r="13">
      <c r="A13" s="6" t="inlineStr">
        <is>
          <t>Charge/(release) on expected credit losses</t>
        </is>
      </c>
      <c r="B13" s="6" t="n">
        <v>-3789</v>
      </c>
      <c r="C13" s="6" t="n">
        <v>-1112</v>
      </c>
      <c r="D13" s="6" t="n">
        <v>-1789</v>
      </c>
      <c r="E13" s="6" t="n">
        <v>665</v>
      </c>
      <c r="F13" s="6" t="n">
        <v>2004</v>
      </c>
    </row>
    <row r="14">
      <c r="A14" s="5" t="inlineStr">
        <is>
          <t>Net operating income after ECL</t>
        </is>
      </c>
      <c r="B14" s="5" t="n">
        <v>88013</v>
      </c>
      <c r="C14" s="5" t="n">
        <v>88685</v>
      </c>
      <c r="D14" s="5" t="n">
        <v>97347</v>
      </c>
      <c r="E14" s="5" t="n">
        <v>88218</v>
      </c>
      <c r="F14" s="5" t="n">
        <v>54683</v>
      </c>
    </row>
    <row r="15">
      <c r="A15" s="6" t="inlineStr">
        <is>
          <t>Administrative expenses</t>
        </is>
      </c>
      <c r="B15" s="6" t="n">
        <v>-41151</v>
      </c>
      <c r="C15" s="6" t="n">
        <v>-44114</v>
      </c>
      <c r="D15" s="6" t="n">
        <v>-47648</v>
      </c>
      <c r="E15" s="6" t="n">
        <v>-38714</v>
      </c>
      <c r="F15" s="6" t="n">
        <v>-31911</v>
      </c>
    </row>
    <row r="16">
      <c r="A16" s="6" t="inlineStr">
        <is>
          <t>Depreciation</t>
        </is>
      </c>
      <c r="B16" s="6" t="n">
        <v>-1043</v>
      </c>
      <c r="C16" s="6" t="n">
        <v>-863</v>
      </c>
      <c r="D16" s="6" t="n">
        <v>-1061</v>
      </c>
      <c r="E16" s="6" t="n">
        <v>-1136</v>
      </c>
      <c r="F16" s="6" t="n">
        <v>-1597</v>
      </c>
    </row>
    <row r="17">
      <c r="A17" s="5" t="inlineStr">
        <is>
          <t>Operating expenses</t>
        </is>
      </c>
      <c r="B17" s="5" t="n">
        <v>-42194</v>
      </c>
      <c r="C17" s="5" t="n">
        <v>-44977</v>
      </c>
      <c r="D17" s="5" t="n">
        <v>-48709</v>
      </c>
      <c r="E17" s="5" t="n">
        <v>-39850</v>
      </c>
      <c r="F17" s="5" t="n">
        <v>-33508</v>
      </c>
    </row>
    <row r="18">
      <c r="A18" s="5" t="inlineStr">
        <is>
          <t>Profit for the year before taxation</t>
        </is>
      </c>
      <c r="B18" s="5" t="n">
        <v>45819</v>
      </c>
      <c r="C18" s="5" t="n">
        <v>43708</v>
      </c>
      <c r="D18" s="5" t="n">
        <v>48638</v>
      </c>
      <c r="E18" s="5" t="n">
        <v>48368</v>
      </c>
      <c r="F18" s="5" t="n">
        <v>21175</v>
      </c>
    </row>
    <row r="19">
      <c r="A19" s="6" t="inlineStr">
        <is>
          <t>Taxation</t>
        </is>
      </c>
      <c r="B19" s="6" t="n">
        <v>-11584</v>
      </c>
      <c r="C19" s="6" t="n">
        <v>-11139</v>
      </c>
      <c r="D19" s="6" t="n">
        <v>-12761</v>
      </c>
      <c r="E19" s="6" t="n">
        <v>-25945</v>
      </c>
      <c r="F19" s="6" t="n">
        <v>-4099</v>
      </c>
    </row>
    <row r="20">
      <c r="A20" s="5" t="inlineStr">
        <is>
          <t>Profit for the year</t>
        </is>
      </c>
      <c r="B20" s="5" t="n">
        <v>34235</v>
      </c>
      <c r="C20" s="5" t="n">
        <v>32569</v>
      </c>
      <c r="D20" s="5" t="n">
        <v>35877</v>
      </c>
      <c r="E20" s="5" t="n">
        <v>22423</v>
      </c>
      <c r="F20" s="5" t="n">
        <v>17076</v>
      </c>
    </row>
    <row r="21">
      <c r="A21" s="5" t="inlineStr">
        <is>
          <t>Other comprehensive income/(expense) for the year</t>
        </is>
      </c>
      <c r="B21" s="6" t="n"/>
      <c r="C21" s="6" t="n"/>
      <c r="D21" s="6" t="n"/>
      <c r="E21" s="6" t="n"/>
      <c r="F21" s="6" t="n"/>
    </row>
    <row r="22">
      <c r="A22" s="6" t="inlineStr">
        <is>
          <t>Change in fair value of debt securities measured at FVOCI (net of tax)</t>
        </is>
      </c>
      <c r="B22" s="6" t="n">
        <v>894</v>
      </c>
      <c r="C22" s="6" t="n">
        <v>-830</v>
      </c>
      <c r="D22" s="6" t="n"/>
      <c r="E22" s="6" t="n"/>
      <c r="F22" s="6" t="n">
        <v>-124</v>
      </c>
    </row>
    <row r="23">
      <c r="A23" s="6" t="inlineStr">
        <is>
          <t>Change in fair value of equity instruments measured at FVOCI (net of tax)</t>
        </is>
      </c>
      <c r="B23" s="6" t="n">
        <v>91</v>
      </c>
      <c r="C23" s="6" t="n">
        <v>277</v>
      </c>
      <c r="D23" s="6" t="n"/>
      <c r="E23" s="6" t="n"/>
      <c r="F23" s="6" t="n">
        <v>-45</v>
      </c>
    </row>
    <row r="24">
      <c r="A24" s="6" t="inlineStr">
        <is>
          <t>Change in fair value of investment in subsidiary measured at FVOCI (net of tax)</t>
        </is>
      </c>
      <c r="B24" s="6" t="n"/>
      <c r="C24" s="6" t="n"/>
      <c r="D24" s="6" t="n"/>
      <c r="E24" s="6" t="n"/>
      <c r="F24" s="6" t="n">
        <v>-2759</v>
      </c>
    </row>
    <row r="25">
      <c r="A25" s="6" t="inlineStr">
        <is>
          <t>Change in fair value of debt/equity securities and investment in subsidiary (combined, FY2022-FY2023)</t>
        </is>
      </c>
      <c r="B25" s="6" t="n"/>
      <c r="C25" s="6" t="n"/>
      <c r="D25" s="6" t="n">
        <v>-2455</v>
      </c>
      <c r="E25" s="6" t="n">
        <v>3202</v>
      </c>
      <c r="F25" s="6" t="n"/>
    </row>
    <row r="26">
      <c r="A26" s="6" t="inlineStr">
        <is>
          <t>Net foreign currency translation effect / translation reserve movement</t>
        </is>
      </c>
      <c r="B26" s="6" t="n"/>
      <c r="C26" s="6" t="n"/>
      <c r="D26" s="6" t="n">
        <v>26484</v>
      </c>
      <c r="E26" s="6" t="n">
        <v>-53055</v>
      </c>
      <c r="F26" s="6" t="n">
        <v>-6296</v>
      </c>
    </row>
    <row r="27">
      <c r="A27" s="5" t="inlineStr">
        <is>
          <t>Other comprehensive income/(expense) for the year</t>
        </is>
      </c>
      <c r="B27" s="5" t="n">
        <v>985</v>
      </c>
      <c r="C27" s="5" t="n">
        <v>-553</v>
      </c>
      <c r="D27" s="5" t="n">
        <v>24029</v>
      </c>
      <c r="E27" s="5" t="n">
        <v>-49853</v>
      </c>
      <c r="F27" s="5" t="n">
        <v>-9224</v>
      </c>
    </row>
    <row r="28">
      <c r="A28" s="5" t="inlineStr">
        <is>
          <t>Total comprehensive income/(expense) for the year</t>
        </is>
      </c>
      <c r="B28" s="5" t="n">
        <v>35220</v>
      </c>
      <c r="C28" s="5" t="n">
        <v>32016</v>
      </c>
      <c r="D28" s="5" t="n">
        <v>59906</v>
      </c>
      <c r="E28" s="5" t="n">
        <v>-27430</v>
      </c>
      <c r="F28" s="5" t="n">
        <v>7852</v>
      </c>
    </row>
    <row r="30" ht="409" customHeight="1">
      <c r="A30"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Statement of Income, Statement of Financial Position, and Statement of Changes in Equity: FY2025 - AR2025 pp.28-31 (Statement of Income p.28, Statement of Comprehensive Income p.29, Statement of Financial Position p.30, Statement of Changes in Equity p.31), plus Notes 3-9 (interest/fee/expense detail, pp.43-45), all in £'000. FY2024 comparative from the same AR2025 pages. FY2023 - AR2023 pp.22, 24-25 (Statement of Income p.22, Statement of Financial Position p.24, Statement of Changes in Equity p.25), in US$'000. FY2022 - AR2022 pp.22, 24-25 (own contemporaneous filing, not AR2023's comparative), in US$'000. FY2021 - AR2021 pp.23-26 (Statement of Income p.23, Statement of Comprehensive Income p.24, Statement of Financial Position p.25, Statement of Changes in Equity p.26), in $'000 (the FY2021 filing labels its own currency column "$000" without the "US" prefix; treated as US$'000, consistent with later years' explicit US$ labelling and the unbroken equity roll-forward against FY2022's own restated FY2021 comparative).
INVESTMENT SECURITIES BREAKDOWN: the 'Investment securities - ...' sub-rows below the renamed 'Total investment securities' line are transcribed from each year's own Note 15 'Investment Securities' of the Notes to the Financial Statements, which splits the balance by measurement basis (equities at FVOCI / equities at FVPL / debt securities at FVOCI / debt securities at FVPL) plus a combined 'Less: ECL' line and (FY2022-FY2025 only) a combined interest-receivable line. No issuer-type split (e.g. UK government/gilts vs supranational/corporate) is disclosed anywhere in Note 15 or elsewhere in any year's report; the Bank's own repurchase-agreement note (Note 20, FY2025 AR p.50) states that Gilts pledged as repo collateral 'remain on the statement of financial position within investment securities' but gives no total gilts holding, so an issuer-type split cannot be derived:
FY2025: Note 15, p.48 - https://www.nbk.com/dam/jcr:6d7dc8ff-20d6-4ba1-be40-03386a48becd/nbki-financial-statements-2025.pdf
FY2024: same FY2025 filing's own FY2024 comparative column, Note 15, p.48
FY2023: Note 15, p.43 - https://www.nbk.com/dam/jcr:a2323d07-848e-4518-971d-8e24a3395ad0/NBKI-Financial-Statement-2023.pdf
FY2022: same FY2023 filing's own FY2022 comparative column, Note 15, p.43
FY2021: Note 15, p.43 - https://www.nbk.com/dam/jcr:c3c72c41-97cb-454c-b14e-2a77baf033ab/NBKI-Financial-Statement-2021.pdf
Each year's sub-rows sum exactly to that year's renamed 'Total investment securities' line. 'Debt securities (FVPL)' is FY2021-only (reclassified out of the portfolio by FY2022); 'Interest receivable (accrued)' is not disclosed as a separate line in the FY2021 note (folded into the FVOCI/FVPL debt balances that year) - blank cells reflect the note's own year-by-year composition, not a gap.</t>
        </is>
      </c>
    </row>
    <row r="32" ht="409" customHeight="1">
      <c r="A32" s="8" t="inlineStr">
        <is>
          <t>(continued)
CURRENCY NOTE: the Bank's presentation currency changed from USD to GBP between the FY2023 and FY2024 statutory accounts (matching the change already documented on the Pillar 3 sheets' CAPITAL_UNIT note). The FY2023 closing US$533,729k equity was retranslated to the FY2024 opening balance of £419,962k using the Bank's own year-end spot rate - this is a genuine currency redenomination, not a plug; the Statement of Changes in Equity sheet shows both figures as separate, clearly labelled rows rather than forcing a same-currency tie-out across the boundary. The Balance Sheet and Profit &amp; Loss sheets are similarly presented on each year's own reported currency (US$'000 for FY2021-FY2023, £'000 for FY2024-FY2025) without an imposed conversion.
ASSET QUALITY NOTE: FY2021 and FY2022's own-year loans-and-advances IFRS 9 stage split and impairment allowance are from each year's own Maximum Exposure to Credit Risk note (AR2022 Note 28.1.4 p.57-58 for FY2021/FY2022; AR2023 Note 28.1.4 p.63 for FY2022/FY2023 comparative used only to cross-check; AR2025 Note 29.1.4 pp.69-70 for FY2024/FY2025). Net carrying values tie exactly to each year's own Balance Sheet loans and advances to customers figure once the notes' own "presented without accrued interest" caveat is accounted for.</t>
        </is>
      </c>
    </row>
  </sheetData>
  <mergeCells count="2">
    <mergeCell ref="A30:F30"/>
    <mergeCell ref="A32:F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Statement of Changes in Equity</t>
        </is>
      </c>
    </row>
    <row r="2">
      <c r="A2" s="2" t="inlineStr">
        <is>
          <t>Chronological roll-forward, oldest to newest, entity basis. US$'000 through FY2023, £'000 from FY2024 onward - see Currency Note. Equity reconciliation ladder confirmed: every year's own closing balance ties exactly to both the next year's own opening balance and that year's own Balance Sheet Total equity, including across the FY2023-to-FY2024 currency-redenomination boundary (US$533,729k retranslated to £419,962k, shown as its own explicit row rather than forced to tie in the same currency). The ladder's mandated scan caught the FY2022 New Capital Issuance (US$53,520k), the same year's Transfer from Translation Reserve upon Redenomination (a genuine, net-zero internal reclassification - not related to the later FY2023/FY2024 currency change), the FY2023 fair-value/retained-earnings transfer (US$3,321k, net-zero), and the FY2025 New Share Capital issuance (£50,000k).</t>
        </is>
      </c>
    </row>
    <row r="3">
      <c r="A3" s="4" t="inlineStr">
        <is>
          <t>Movement</t>
        </is>
      </c>
      <c r="B3" s="4" t="inlineStr">
        <is>
          <t>Share capital</t>
        </is>
      </c>
      <c r="C3" s="4" t="inlineStr">
        <is>
          <t>Retained earnings</t>
        </is>
      </c>
      <c r="D3" s="4" t="inlineStr">
        <is>
          <t>Cumulative changes in fair values</t>
        </is>
      </c>
      <c r="E3" s="4" t="inlineStr">
        <is>
          <t>Translation / exchange reserve</t>
        </is>
      </c>
      <c r="F3" s="4" t="inlineStr">
        <is>
          <t>Total equity</t>
        </is>
      </c>
    </row>
    <row r="4">
      <c r="A4" s="5" t="inlineStr">
        <is>
          <t>At 1 January 2021 (FY2020 closing, restated, US$'000)</t>
        </is>
      </c>
      <c r="B4" s="5" t="n">
        <v>235883</v>
      </c>
      <c r="C4" s="5" t="n">
        <v>208605</v>
      </c>
      <c r="D4" s="5" t="n">
        <v>742</v>
      </c>
      <c r="E4" s="5" t="n">
        <v>-5349</v>
      </c>
      <c r="F4" s="5" t="n">
        <v>439881</v>
      </c>
    </row>
    <row r="5">
      <c r="A5" s="6" t="inlineStr">
        <is>
          <t>Profit for the year</t>
        </is>
      </c>
      <c r="B5" s="6" t="n"/>
      <c r="C5" s="6" t="n">
        <v>17076</v>
      </c>
      <c r="D5" s="6" t="n"/>
      <c r="E5" s="6" t="n"/>
      <c r="F5" s="6" t="n">
        <v>17076</v>
      </c>
    </row>
    <row r="6">
      <c r="A6" s="6" t="inlineStr">
        <is>
          <t>Other comprehensive expense for the year</t>
        </is>
      </c>
      <c r="B6" s="6" t="n"/>
      <c r="C6" s="6" t="n"/>
      <c r="D6" s="6" t="n">
        <v>-2928</v>
      </c>
      <c r="E6" s="6" t="n">
        <v>-6296</v>
      </c>
      <c r="F6" s="6" t="n">
        <v>-9224</v>
      </c>
    </row>
    <row r="7">
      <c r="A7" s="5" t="inlineStr">
        <is>
          <t>At 31 December 2021 (FY2021 closing, US$'000)</t>
        </is>
      </c>
      <c r="B7" s="5" t="n">
        <v>235883</v>
      </c>
      <c r="C7" s="5" t="n">
        <v>225681</v>
      </c>
      <c r="D7" s="5" t="n">
        <v>-2186</v>
      </c>
      <c r="E7" s="5" t="n">
        <v>-11645</v>
      </c>
      <c r="F7" s="5" t="n">
        <v>447733</v>
      </c>
    </row>
    <row r="8">
      <c r="A8" s="6" t="inlineStr">
        <is>
          <t>New capital issuance</t>
        </is>
      </c>
      <c r="B8" s="6" t="n">
        <v>53520</v>
      </c>
      <c r="C8" s="6" t="n"/>
      <c r="D8" s="6" t="n"/>
      <c r="E8" s="6" t="n"/>
      <c r="F8" s="6" t="n">
        <v>53520</v>
      </c>
    </row>
    <row r="9">
      <c r="A9" s="6" t="inlineStr">
        <is>
          <t>Transfer from translation reserve upon redenomination</t>
        </is>
      </c>
      <c r="B9" s="6" t="n"/>
      <c r="C9" s="6" t="n">
        <v>-36389</v>
      </c>
      <c r="D9" s="6" t="n"/>
      <c r="E9" s="6" t="n">
        <v>36389</v>
      </c>
      <c r="F9" s="6" t="n">
        <v>0</v>
      </c>
    </row>
    <row r="10">
      <c r="A10" s="6" t="inlineStr">
        <is>
          <t>Profit for the year</t>
        </is>
      </c>
      <c r="B10" s="6" t="n"/>
      <c r="C10" s="6" t="n">
        <v>22423</v>
      </c>
      <c r="D10" s="6" t="n"/>
      <c r="E10" s="6" t="n"/>
      <c r="F10" s="6" t="n">
        <v>22423</v>
      </c>
    </row>
    <row r="11">
      <c r="A11" s="6" t="inlineStr">
        <is>
          <t>Other comprehensive expense for the year</t>
        </is>
      </c>
      <c r="B11" s="6" t="n"/>
      <c r="C11" s="6" t="n"/>
      <c r="D11" s="6" t="n">
        <v>3202</v>
      </c>
      <c r="E11" s="6" t="n">
        <v>-53055</v>
      </c>
      <c r="F11" s="6" t="n">
        <v>-49853</v>
      </c>
    </row>
    <row r="12">
      <c r="A12" s="5" t="inlineStr">
        <is>
          <t>At 31 December 2022 (FY2022 closing, US$'000)</t>
        </is>
      </c>
      <c r="B12" s="5" t="n">
        <v>289403</v>
      </c>
      <c r="C12" s="5" t="n">
        <v>211715</v>
      </c>
      <c r="D12" s="5" t="n">
        <v>1016</v>
      </c>
      <c r="E12" s="5" t="n">
        <v>-28311</v>
      </c>
      <c r="F12" s="5" t="n">
        <v>473823</v>
      </c>
    </row>
    <row r="13">
      <c r="A13" s="6" t="inlineStr">
        <is>
          <t>Profit for the year</t>
        </is>
      </c>
      <c r="B13" s="6" t="n"/>
      <c r="C13" s="6" t="n">
        <v>35877</v>
      </c>
      <c r="D13" s="6" t="n"/>
      <c r="E13" s="6" t="n"/>
      <c r="F13" s="6" t="n">
        <v>35877</v>
      </c>
    </row>
    <row r="14">
      <c r="A14" s="6" t="inlineStr">
        <is>
          <t>Other comprehensive income for the year</t>
        </is>
      </c>
      <c r="B14" s="6" t="n"/>
      <c r="C14" s="6" t="n"/>
      <c r="D14" s="6" t="n">
        <v>-2455</v>
      </c>
      <c r="E14" s="6" t="n">
        <v>26484</v>
      </c>
      <c r="F14" s="6" t="n">
        <v>24029</v>
      </c>
    </row>
    <row r="15">
      <c r="A15" s="6" t="inlineStr">
        <is>
          <t>Transfer between fair value reserve and retained earnings</t>
        </is>
      </c>
      <c r="B15" s="6" t="n"/>
      <c r="C15" s="6" t="n">
        <v>-3321</v>
      </c>
      <c r="D15" s="6" t="n">
        <v>3321</v>
      </c>
      <c r="E15" s="6" t="n"/>
      <c r="F15" s="6" t="n">
        <v>0</v>
      </c>
    </row>
    <row r="16">
      <c r="A16" s="5" t="inlineStr">
        <is>
          <t>At 31 December 2023 (FY2023 closing, US$'000)</t>
        </is>
      </c>
      <c r="B16" s="5" t="n">
        <v>289403</v>
      </c>
      <c r="C16" s="5" t="n">
        <v>244271</v>
      </c>
      <c r="D16" s="5" t="n">
        <v>1882</v>
      </c>
      <c r="E16" s="5" t="n">
        <v>-1827</v>
      </c>
      <c r="F16" s="5" t="n">
        <v>533729</v>
      </c>
    </row>
    <row r="17">
      <c r="A17" s="5" t="inlineStr">
        <is>
          <t>At 31 December 2023, retranslated as the FY2024 opening balance (GBP'000 - see Currency Note)</t>
        </is>
      </c>
      <c r="B17" s="5" t="n">
        <v>233329</v>
      </c>
      <c r="C17" s="5" t="n">
        <v>185152</v>
      </c>
      <c r="D17" s="5" t="n">
        <v>1481</v>
      </c>
      <c r="E17" s="5" t="n"/>
      <c r="F17" s="5" t="n">
        <v>419962</v>
      </c>
    </row>
    <row r="18">
      <c r="A18" s="6" t="inlineStr">
        <is>
          <t>Profit for the year</t>
        </is>
      </c>
      <c r="B18" s="6" t="n"/>
      <c r="C18" s="6" t="n">
        <v>32569</v>
      </c>
      <c r="D18" s="6" t="n"/>
      <c r="E18" s="6" t="n"/>
      <c r="F18" s="6" t="n">
        <v>32569</v>
      </c>
    </row>
    <row r="19">
      <c r="A19" s="6" t="inlineStr">
        <is>
          <t>Other comprehensive expense for the year</t>
        </is>
      </c>
      <c r="B19" s="6" t="n"/>
      <c r="C19" s="6" t="n"/>
      <c r="D19" s="6" t="n">
        <v>-553</v>
      </c>
      <c r="E19" s="6" t="n"/>
      <c r="F19" s="6" t="n">
        <v>-553</v>
      </c>
    </row>
    <row r="20">
      <c r="A20" s="6" t="inlineStr">
        <is>
          <t>New share capital</t>
        </is>
      </c>
      <c r="B20" s="6" t="n">
        <v>50000</v>
      </c>
      <c r="C20" s="6" t="n"/>
      <c r="D20" s="6" t="n"/>
      <c r="E20" s="6" t="n"/>
      <c r="F20" s="6" t="n">
        <v>50000</v>
      </c>
    </row>
    <row r="21">
      <c r="A21" s="5" t="inlineStr">
        <is>
          <t>At 31 December 2024 (FY2024 closing, £'000)</t>
        </is>
      </c>
      <c r="B21" s="5" t="n">
        <v>283329</v>
      </c>
      <c r="C21" s="5" t="n">
        <v>217721</v>
      </c>
      <c r="D21" s="5" t="n">
        <v>928</v>
      </c>
      <c r="E21" s="5" t="n"/>
      <c r="F21" s="5" t="n">
        <v>501978</v>
      </c>
    </row>
    <row r="22">
      <c r="A22" s="6" t="inlineStr">
        <is>
          <t>Profit for the year</t>
        </is>
      </c>
      <c r="B22" s="6" t="n"/>
      <c r="C22" s="6" t="n">
        <v>34235</v>
      </c>
      <c r="D22" s="6" t="n"/>
      <c r="E22" s="6" t="n"/>
      <c r="F22" s="6" t="n">
        <v>34235</v>
      </c>
    </row>
    <row r="23">
      <c r="A23" s="6" t="inlineStr">
        <is>
          <t>Other comprehensive income for the year</t>
        </is>
      </c>
      <c r="B23" s="6" t="n"/>
      <c r="C23" s="6" t="n"/>
      <c r="D23" s="6" t="n">
        <v>985</v>
      </c>
      <c r="E23" s="6" t="n"/>
      <c r="F23" s="6" t="n">
        <v>985</v>
      </c>
    </row>
    <row r="24">
      <c r="A24" s="5" t="inlineStr">
        <is>
          <t>At 31 December 2025 (FY2025 closing, £'000)</t>
        </is>
      </c>
      <c r="B24" s="5" t="n">
        <v>283329</v>
      </c>
      <c r="C24" s="5" t="n">
        <v>251956</v>
      </c>
      <c r="D24" s="5" t="n">
        <v>1913</v>
      </c>
      <c r="E24" s="5" t="n"/>
      <c r="F24" s="5" t="n">
        <v>537198</v>
      </c>
    </row>
    <row r="26" ht="351" customHeight="1">
      <c r="A26"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Statement of Income, Statement of Financial Position, and Statement of Changes in Equity: FY2025 - AR2025 pp.28-31 (Statement of Income p.28, Statement of Comprehensive Income p.29, Statement of Financial Position p.30, Statement of Changes in Equity p.31), plus Notes 3-9 (interest/fee/expense detail, pp.43-45), all in £'000. FY2024 comparative from the same AR2025 pages. FY2023 - AR2023 pp.22, 24-25 (Statement of Income p.22, Statement of Financial Position p.24, Statement of Changes in Equity p.25), in US$'000. FY2022 - AR2022 pp.22, 24-25 (own contemporaneous filing, not AR2023's comparative), in US$'000. FY2021 - AR2021 pp.23-26 (Statement of Income p.23, Statement of Comprehensive Income p.24, Statement of Financial Position p.25, Statement of Changes in Equity p.26), in $'000 (the FY2021 filing labels its own currency column "$000" without the "US" prefix; treated as US$'000, consistent with later years' explicit US$ labelling and the unbroken equity roll-forward against FY2022's own restated FY2021 comparative).
INVESTMENT SECURITIES BREAKDOWN: the 'Investment securities - ...' sub-rows below the renamed 'Total investment securities' line are transcribed from each year's own Note 15 'Investment Securities' of the Notes to the Financial Statements, which splits the balance by measurement basis (equities at FVOCI / equities at FVPL / debt securities at FVOCI / debt securities at FVPL) plus a combined 'Less: ECL' line and (FY2022-FY2025 only) a combined interest-receivable line. No issuer-type split (e.g. UK government/gilts vs supranational/corporate) is disclosed anywhere in Note 15 or elsewhere in any year's report; the Bank's own repurchase-agreement note (Note 20, FY2025 AR p.50) states that Gilts pledged as repo collateral 'remain on the statement of financial position within investment securities' but gives no total gilts holding, so an issuer-type split cannot be derived:
FY2025: Note 15, p.48 - https://www.nbk.com/dam/jcr:6d7dc8ff-20d6-4ba1-be40-03386a48becd/nbki-financial-statements-2025.pdf
FY2024: same FY2025 filing's own FY2024 comparative column, Note 15, p.48
FY2023: Note 15, p.43 - https://www.nbk.com/dam/jcr:a2323d07-848e-4518-971d-8e24a3395ad0/NBKI-Financial-Statement-2023.pdf
FY2022: same FY2023 filing's own FY2022 comparative column, Note 15, p.43
FY2021: Note 15, p.43 - https://www.nbk.com/dam/jcr:c3c72c41-97cb-454c-b14e-2a77baf033ab/NBKI-Financial-Statement-2021.pdf</t>
        </is>
      </c>
    </row>
    <row r="28" ht="169" customHeight="1">
      <c r="A28" s="8" t="inlineStr">
        <is>
          <t>(continued)
Each year's sub-rows sum exactly to that year's renamed 'Total investment securities' line. 'Debt securities (FVPL)' is FY2021-only (reclassified out of the portfolio by FY2022); 'Interest receivable (accrued)' is not disclosed as a separate line in the FY2021 note (folded into the FVOCI/FVPL debt balances that year) - blank cells reflect the note's own year-by-year composition, not a gap.
CURRENCY NOTE: the Bank's presentation currency changed from USD to GBP between the FY2023 and FY2024 statutory accounts (matching the change already documented on the Pillar 3 sheets' CAPITAL_UNIT note). The FY2023 closing US$533,729k equity was retranslated to the FY2024 opening balance of £419,962k using the Bank's own year-end spot rate - this is a genuine currency redenomination, not a plug; the Statement of Changes in Equity sheet shows both figures as separate, clearly labelled rows rather than forcing a same-currency tie-out across the boundary. The Balance Sheet and Profit &amp; Loss sheets are similarly presented on each year's own reported currency (US$'000 for FY2021-FY2023, £'000 for FY2024-FY2025) without an imposed conversion.
ASSET QUALITY NOTE: FY2021 and FY2022's own-year loans-and-advances IFRS 9 stage split and impairment allowance are from each year's own Maximum Exposure to Credit Risk note (AR2022 Note 28.1.4 p.57-58 for FY2021/FY2022; AR2023 Note 28.1.4 p.63 for FY2022/FY2023 comparative used only to cross-check; AR2025 Note 29.1.4 pp.69-70 for FY2024/FY2025). Net carrying values tie exactly to each year's own Balance Sheet loans and advances to customers figure once the notes' own "presented without accrued interest" caveat is accounted for.</t>
        </is>
      </c>
    </row>
  </sheetData>
  <mergeCells count="2">
    <mergeCell ref="A26:F26"/>
    <mergeCell ref="A28:F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0"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Cash Flow Statement</t>
        </is>
      </c>
    </row>
    <row r="2">
      <c r="A2" s="2" t="inlineStr">
        <is>
          <t>Not applicable — FRS 101 cash-flow-statement disclosure exemption</t>
        </is>
      </c>
    </row>
    <row r="3">
      <c r="A3" s="4" t="inlineStr">
        <is>
          <t>Line item</t>
        </is>
      </c>
      <c r="B3" s="4" t="inlineStr">
        <is>
          <t>FY2025</t>
        </is>
      </c>
      <c r="C3" s="4" t="inlineStr">
        <is>
          <t>FY2024</t>
        </is>
      </c>
      <c r="D3" s="4" t="inlineStr">
        <is>
          <t>FY2023</t>
        </is>
      </c>
      <c r="E3" s="4" t="inlineStr">
        <is>
          <t>FY2022</t>
        </is>
      </c>
      <c r="F3" s="4" t="inlineStr">
        <is>
          <t>FY2021</t>
        </is>
      </c>
    </row>
    <row r="4">
      <c r="A4" s="5" t="inlineStr">
        <is>
          <t>No Statement of Cash Flows is published by this entity in any year</t>
        </is>
      </c>
      <c r="B4" s="6" t="n"/>
      <c r="C4" s="6" t="n"/>
      <c r="D4" s="6" t="n"/>
      <c r="E4" s="6" t="n"/>
      <c r="F4" s="6" t="n"/>
    </row>
    <row r="5">
      <c r="A5" s="6" t="inlineStr">
        <is>
          <t>No Statement of Cash Flows is published for FY2021–FY2025. The audited reports are prepared under FRS 101 Reduced Disclosure Framework and the independent auditor's report identifies the financial statements as the statement of income, statement of comprehensive income, statement of financial position, statement of changes in equity, and related notes; a cash-flow statement is not included. This is therefore a Pillar-3-only workbook.</t>
        </is>
      </c>
      <c r="B5" s="6" t="n"/>
      <c r="C5" s="6" t="n"/>
      <c r="D5" s="6" t="n"/>
      <c r="E5" s="6" t="n"/>
      <c r="F5" s="6" t="n"/>
    </row>
    <row r="7" ht="280" customHeight="1">
      <c r="A7"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No Statement of Cash Flows is published for FY2021–FY2025. The audited reports are prepared under FRS 101 Reduced Disclosure Framework and the independent auditor's report identifies the financial statements as the statement of income, statement of comprehensive income, statement of financial position, statement of changes in equity, and related notes; a cash-flow statement is not included. This is therefore a Pillar-3-only workbook.</t>
        </is>
      </c>
    </row>
  </sheetData>
  <mergeCells count="1">
    <mergeCell ref="A7:F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Asset Quality</t>
        </is>
      </c>
    </row>
    <row r="2">
      <c r="A2" s="2" t="inlineStr">
        <is>
          <t>Entity basis, loans and advances to customers only (the Bank's Maximum Exposure to Credit Risk note also covers cash, deposits with banks, credit institutions, and FVOCI debt securities, all Stage 1 with negligible impairment every year - omitted here as not customer lending risk). US$'000 through FY2023, £'000 from FY2024 - see Currency Note. Net carrying amount ties exactly to each year's own gross-minus-allowance arithmetic and closely to the Balance Sheet's loans and advances to customers line (small remaining gap is the note's own "presented without accrued interest" caveat).</t>
        </is>
      </c>
    </row>
    <row r="3">
      <c r="A3" s="4" t="inlineStr">
        <is>
          <t>Line item</t>
        </is>
      </c>
      <c r="B3" s="4" t="inlineStr">
        <is>
          <t>FY2025</t>
        </is>
      </c>
      <c r="C3" s="4" t="inlineStr">
        <is>
          <t>FY2024</t>
        </is>
      </c>
      <c r="D3" s="4" t="inlineStr">
        <is>
          <t>FY2023</t>
        </is>
      </c>
      <c r="E3" s="4" t="inlineStr">
        <is>
          <t>FY2022</t>
        </is>
      </c>
      <c r="F3" s="4" t="inlineStr">
        <is>
          <t>FY2021</t>
        </is>
      </c>
    </row>
    <row r="4">
      <c r="A4" s="5" t="inlineStr">
        <is>
          <t>Loans and advances to customers - gross carrying amount by IFRS 9 stage</t>
        </is>
      </c>
      <c r="B4" s="6" t="n"/>
      <c r="C4" s="6" t="n"/>
      <c r="D4" s="6" t="n"/>
      <c r="E4" s="6" t="n"/>
      <c r="F4" s="6" t="n"/>
    </row>
    <row r="5">
      <c r="A5" s="6" t="inlineStr">
        <is>
          <t>Stage 1, gross carrying amount</t>
        </is>
      </c>
      <c r="B5" s="6" t="n">
        <v>2080805</v>
      </c>
      <c r="C5" s="6" t="n">
        <v>1817638</v>
      </c>
      <c r="D5" s="6" t="n">
        <v>1775545</v>
      </c>
      <c r="E5" s="6" t="n">
        <v>1310456</v>
      </c>
      <c r="F5" s="6" t="n">
        <v>1305813</v>
      </c>
    </row>
    <row r="6">
      <c r="A6" s="6" t="inlineStr">
        <is>
          <t>Stage 2, gross carrying amount</t>
        </is>
      </c>
      <c r="B6" s="6" t="n">
        <v>79368</v>
      </c>
      <c r="C6" s="6" t="n">
        <v>103476</v>
      </c>
      <c r="D6" s="6" t="n">
        <v>223370</v>
      </c>
      <c r="E6" s="6" t="n">
        <v>199829</v>
      </c>
      <c r="F6" s="6" t="n">
        <v>266914</v>
      </c>
    </row>
    <row r="7">
      <c r="A7" s="6" t="inlineStr">
        <is>
          <t>Stage 3, gross carrying amount</t>
        </is>
      </c>
      <c r="B7" s="6" t="n">
        <v>33666</v>
      </c>
      <c r="C7" s="6" t="n">
        <v>45284</v>
      </c>
      <c r="D7" s="6" t="n">
        <v>17683</v>
      </c>
      <c r="E7" s="6" t="n">
        <v>96744</v>
      </c>
      <c r="F7" s="6" t="n">
        <v>18025</v>
      </c>
    </row>
    <row r="8">
      <c r="A8" s="5" t="inlineStr">
        <is>
          <t>Total gross carrying amount</t>
        </is>
      </c>
      <c r="B8" s="5" t="n">
        <v>2193839</v>
      </c>
      <c r="C8" s="5" t="n">
        <v>1966398</v>
      </c>
      <c r="D8" s="5" t="n">
        <v>2016598</v>
      </c>
      <c r="E8" s="5" t="n">
        <v>1607029</v>
      </c>
      <c r="F8" s="5" t="n">
        <v>1590752</v>
      </c>
    </row>
    <row r="9">
      <c r="A9" s="5" t="inlineStr">
        <is>
          <t>ECL allowance by stage</t>
        </is>
      </c>
      <c r="B9" s="6" t="n"/>
      <c r="C9" s="6" t="n"/>
      <c r="D9" s="6" t="n"/>
      <c r="E9" s="6" t="n"/>
      <c r="F9" s="6" t="n"/>
    </row>
    <row r="10">
      <c r="A10" s="6" t="inlineStr">
        <is>
          <t>Stage 1 allowance</t>
        </is>
      </c>
      <c r="B10" s="6" t="n">
        <v>-1770</v>
      </c>
      <c r="C10" s="6" t="n">
        <v>-1652</v>
      </c>
      <c r="D10" s="6" t="n">
        <v>-1871</v>
      </c>
      <c r="E10" s="6" t="n">
        <v>-1310</v>
      </c>
      <c r="F10" s="6" t="n">
        <v>-1712</v>
      </c>
    </row>
    <row r="11">
      <c r="A11" s="6" t="inlineStr">
        <is>
          <t>Stage 2 allowance</t>
        </is>
      </c>
      <c r="B11" s="6" t="n">
        <v>-731</v>
      </c>
      <c r="C11" s="6" t="n">
        <v>-156</v>
      </c>
      <c r="D11" s="6" t="n">
        <v>-639</v>
      </c>
      <c r="E11" s="6" t="n">
        <v>-798</v>
      </c>
      <c r="F11" s="6" t="n">
        <v>-1462</v>
      </c>
    </row>
    <row r="12">
      <c r="A12" s="6" t="inlineStr">
        <is>
          <t>Stage 3 allowance</t>
        </is>
      </c>
      <c r="B12" s="6" t="n">
        <v>-1713</v>
      </c>
      <c r="C12" s="6" t="n">
        <v>-4761</v>
      </c>
      <c r="D12" s="6" t="n">
        <v>-3507</v>
      </c>
      <c r="E12" s="6" t="n">
        <v>-2503</v>
      </c>
      <c r="F12" s="6" t="n">
        <v>-2243</v>
      </c>
    </row>
    <row r="13">
      <c r="A13" s="5" t="inlineStr">
        <is>
          <t>Total ECL allowance</t>
        </is>
      </c>
      <c r="B13" s="5" t="n">
        <v>-4214</v>
      </c>
      <c r="C13" s="5" t="n">
        <v>-6569</v>
      </c>
      <c r="D13" s="5" t="n">
        <v>-6017</v>
      </c>
      <c r="E13" s="5" t="n">
        <v>-4611</v>
      </c>
      <c r="F13" s="5" t="n">
        <v>-5417</v>
      </c>
    </row>
    <row r="14">
      <c r="A14" s="5" t="inlineStr">
        <is>
          <t>Net carrying amount (excludes accrued interest - see source note)</t>
        </is>
      </c>
      <c r="B14" s="5" t="n">
        <v>2189625</v>
      </c>
      <c r="C14" s="5" t="n">
        <v>1959829</v>
      </c>
      <c r="D14" s="5" t="n">
        <v>2010581</v>
      </c>
      <c r="E14" s="5" t="n">
        <v>1602418</v>
      </c>
      <c r="F14" s="5" t="n">
        <v>1585335</v>
      </c>
    </row>
    <row r="15">
      <c r="A15" s="5" t="inlineStr">
        <is>
          <t>Derived ratios</t>
        </is>
      </c>
      <c r="B15" s="6" t="n"/>
      <c r="C15" s="6" t="n"/>
      <c r="D15" s="6" t="n"/>
      <c r="E15" s="6" t="n"/>
      <c r="F15" s="6" t="n"/>
    </row>
    <row r="16">
      <c r="A16" s="6" t="inlineStr">
        <is>
          <t>Stage 3 (NPL) ratio - Stage 3 gross / total gross</t>
        </is>
      </c>
      <c r="B16" s="6" t="inlineStr">
        <is>
          <t>1.53%</t>
        </is>
      </c>
      <c r="C16" s="6" t="inlineStr">
        <is>
          <t>2.30%</t>
        </is>
      </c>
      <c r="D16" s="6" t="inlineStr">
        <is>
          <t>0.88%</t>
        </is>
      </c>
      <c r="E16" s="6" t="inlineStr">
        <is>
          <t>6.02%</t>
        </is>
      </c>
      <c r="F16" s="6" t="inlineStr">
        <is>
          <t>1.13%</t>
        </is>
      </c>
    </row>
    <row r="17">
      <c r="A17" s="6" t="inlineStr">
        <is>
          <t>Overall coverage ratio - total ECL allowance / total gross</t>
        </is>
      </c>
      <c r="B17" s="6" t="inlineStr">
        <is>
          <t>0.19%</t>
        </is>
      </c>
      <c r="C17" s="6" t="inlineStr">
        <is>
          <t>0.33%</t>
        </is>
      </c>
      <c r="D17" s="6" t="inlineStr">
        <is>
          <t>0.30%</t>
        </is>
      </c>
      <c r="E17" s="6" t="inlineStr">
        <is>
          <t>0.29%</t>
        </is>
      </c>
      <c r="F17" s="6" t="inlineStr">
        <is>
          <t>0.34%</t>
        </is>
      </c>
    </row>
    <row r="18">
      <c r="A18" s="6" t="inlineStr">
        <is>
          <t>Stage 3 coverage ratio - Stage 3 allowance / Stage 3 gross</t>
        </is>
      </c>
      <c r="B18" s="6" t="inlineStr">
        <is>
          <t>5.09%</t>
        </is>
      </c>
      <c r="C18" s="6" t="inlineStr">
        <is>
          <t>10.51%</t>
        </is>
      </c>
      <c r="D18" s="6" t="inlineStr">
        <is>
          <t>19.83%</t>
        </is>
      </c>
      <c r="E18" s="6" t="inlineStr">
        <is>
          <t>2.59%</t>
        </is>
      </c>
      <c r="F18" s="6" t="inlineStr">
        <is>
          <t>12.44%</t>
        </is>
      </c>
    </row>
    <row r="20" ht="377" customHeight="1">
      <c r="A20"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Statement of Income, Statement of Financial Position, and Statement of Changes in Equity: FY2025 - AR2025 pp.28-31 (Statement of Income p.28, Statement of Comprehensive Income p.29, Statement of Financial Position p.30, Statement of Changes in Equity p.31), plus Notes 3-9 (interest/fee/expense detail, pp.43-45), all in £'000. FY2024 comparative from the same AR2025 pages. FY2023 - AR2023 pp.22, 24-25 (Statement of Income p.22, Statement of Financial Position p.24, Statement of Changes in Equity p.25), in US$'000. FY2022 - AR2022 pp.22, 24-25 (own contemporaneous filing, not AR2023's comparative), in US$'000. FY2021 - AR2021 pp.23-26 (Statement of Income p.23, Statement of Comprehensive Income p.24, Statement of Financial Position p.25, Statement of Changes in Equity p.26), in $'000 (the FY2021 filing labels its own currency column "$000" without the "US" prefix; treated as US$'000, consistent with later years' explicit US$ labelling and the unbroken equity roll-forward against FY2022's own restated FY2021 comparative).
INVESTMENT SECURITIES BREAKDOWN: the 'Investment securities - ...' sub-rows below the renamed 'Total investment securities' line are transcribed from each year's own Note 15 'Investment Securities' of the Notes to the Financial Statements, which splits the balance by measurement basis (equities at FVOCI / equities at FVPL / debt securities at FVOCI / debt securities at FVPL) plus a combined 'Less: ECL' line and (FY2022-FY2025 only) a combined interest-receivable line. No issuer-type split (e.g. UK government/gilts vs supranational/corporate) is disclosed anywhere in Note 15 or elsewhere in any year's report; the Bank's own repurchase-agreement note (Note 20, FY2025 AR p.50) states that Gilts pledged as repo collateral 'remain on the statement of financial position within investment securities' but gives no total gilts holding, so an issuer-type split cannot be derived:
FY2025: Note 15, p.48 - https://www.nbk.com/dam/jcr:6d7dc8ff-20d6-4ba1-be40-03386a48becd/nbki-financial-statements-2025.pdf
FY2024: same FY2025 filing's own FY2024 comparative column, Note 15, p.48
FY2023: Note 15, p.43 - https://www.nbk.com/dam/jcr:a2323d07-848e-4518-971d-8e24a3395ad0/NBKI-Financial-Statement-2023.pdf
FY2022: same FY2023 filing's own FY2022 comparative column, Note 15, p.43
FY2021: Note 15, p.43 - https://www.nbk.com/dam/jcr:c3c72c41-97cb-454c-b14e-2a77baf033ab/NBKI-Financial-Statement-2021.pdf
Each year's sub-rows sum exactly to that year's renamed 'Total investment securities' line. 'Debt securities (FVPL)' is FY2021-only (reclassified out of the portfolio by FY2022); 'Interest receivable (accrued)' is not disclosed as a separate line in the FY2021 note (folded into the FVOCI/FVPL debt balances that year) - blank cells reflect the note's own year-by-year composition, not a gap.</t>
        </is>
      </c>
    </row>
    <row r="22" ht="280" customHeight="1">
      <c r="A22" s="8" t="inlineStr">
        <is>
          <t>(continued)
CURRENCY NOTE: the Bank's presentation currency changed from USD to GBP between the FY2023 and FY2024 statutory accounts (matching the change already documented on the Pillar 3 sheets' CAPITAL_UNIT note). The FY2023 closing US$533,729k equity was retranslated to the FY2024 opening balance of £419,962k using the Bank's own year-end spot rate - this is a genuine currency redenomination, not a plug; the Statement of Changes in Equity sheet shows both figures as separate, clearly labelled rows rather than forcing a same-currency tie-out across the boundary. The Balance Sheet and Profit &amp; Loss sheets are similarly presented on each year's own reported currency (US$'000 for FY2021-FY2023, £'000 for FY2024-FY2025) without an imposed conversion.
ASSET QUALITY NOTE: FY2021 and FY2022's own-year loans-and-advances IFRS 9 stage split and impairment allowance are from each year's own Maximum Exposure to Credit Risk note (AR2022 Note 28.1.4 p.57-58 for FY2021/FY2022; AR2023 Note 28.1.4 p.63 for FY2022/FY2023 comparative used only to cross-check; AR2025 Note 29.1.4 pp.69-70 for FY2024/FY2025). Net carrying values tie exactly to each year's own Balance Sheet loans and advances to customers figure once the notes' own "presented without accrued interest" caveat is accounted for.</t>
        </is>
      </c>
    </row>
  </sheetData>
  <mergeCells count="2">
    <mergeCell ref="A20:F20"/>
    <mergeCell ref="A22:F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KM1 Key Metrics</t>
        </is>
      </c>
    </row>
    <row r="2">
      <c r="A2" s="2" t="inlineStr">
        <is>
          <t>The Bank's own "Table 3: Key metrics" from section 4.2 of its Pillar 3 Disclosure, reproduced in its own row order, labels and precision. The Bank prints this table UNNUMBERED, so no template row numbers are shown. THE UNIT CHANGES BETWEEN EDITIONS - US$'000 for FY2021-FY2022, £'000 for FY2024-FY2025 - so every amount row appears TWICE, once per unit, and nothing is converted; ratio rows stay single. FY2023 is blank because no FY2023 edition exists. The FY2022 edition's own CET1 capital cells are empty in the source and are left empty here. The CET1 and Total Capital ratios on this sheet differ from the single-metric ratio sheets for FY2021 and FY2022: that is a real conflict between the Bank's Pillar 3 and its audited accounts, established from both documents and explained in full in the source note - neither side has been edited to agree with the other.</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Common Equity Tier 1 (CET1) capital *  [£'000, FY2024-FY2025 editions]</t>
        </is>
      </c>
      <c r="B5" s="6" t="n">
        <v>536637</v>
      </c>
      <c r="C5" s="6" t="n">
        <v>501570</v>
      </c>
      <c r="D5" s="6" t="n"/>
      <c r="E5" s="6" t="n"/>
      <c r="F5" s="6" t="n"/>
    </row>
    <row r="6">
      <c r="A6" s="6" t="inlineStr">
        <is>
          <t>Common Equity Tier 1 (CET1) capital  [US$'000, FY2021-FY2022 editions]</t>
        </is>
      </c>
      <c r="B6" s="6" t="n"/>
      <c r="C6" s="6" t="n"/>
      <c r="D6" s="6" t="n"/>
      <c r="E6" s="6" t="n"/>
      <c r="F6" s="6" t="n"/>
    </row>
    <row r="7">
      <c r="A7" s="6" t="inlineStr">
        <is>
          <t>Tier 1 Capital  [£'000, FY2024-FY2025 editions]</t>
        </is>
      </c>
      <c r="B7" s="6" t="n">
        <v>536637</v>
      </c>
      <c r="C7" s="6" t="n">
        <v>501570</v>
      </c>
      <c r="D7" s="6" t="n"/>
      <c r="E7" s="6" t="n"/>
      <c r="F7" s="6" t="n"/>
    </row>
    <row r="8">
      <c r="A8" s="6" t="inlineStr">
        <is>
          <t>Tier 1 Capital  [US$'000, FY2021-FY2022 editions]</t>
        </is>
      </c>
      <c r="B8" s="6" t="n"/>
      <c r="C8" s="6" t="n"/>
      <c r="D8" s="6" t="n"/>
      <c r="E8" s="6" t="n">
        <v>474412</v>
      </c>
      <c r="F8" s="6" t="n">
        <v>443710</v>
      </c>
    </row>
    <row r="9">
      <c r="A9" s="6" t="inlineStr">
        <is>
          <t>Total Capital  [£'000, FY2024-FY2025 editions]</t>
        </is>
      </c>
      <c r="B9" s="6" t="n">
        <v>536637</v>
      </c>
      <c r="C9" s="6" t="n">
        <v>501570</v>
      </c>
      <c r="D9" s="6" t="n"/>
      <c r="E9" s="6" t="n"/>
      <c r="F9" s="6" t="n"/>
    </row>
    <row r="10">
      <c r="A10" s="6" t="inlineStr">
        <is>
          <t>Total Capital  [US$'000, FY2021-FY2022 editions]</t>
        </is>
      </c>
      <c r="B10" s="6" t="n"/>
      <c r="C10" s="6" t="n"/>
      <c r="D10" s="6" t="n"/>
      <c r="E10" s="6" t="n">
        <v>474412</v>
      </c>
      <c r="F10" s="6" t="n">
        <v>443710</v>
      </c>
    </row>
    <row r="11">
      <c r="A11" s="5" t="inlineStr">
        <is>
          <t>Risk Weighted Assets</t>
        </is>
      </c>
      <c r="B11" s="6" t="n"/>
      <c r="C11" s="6" t="n"/>
      <c r="D11" s="6" t="n"/>
      <c r="E11" s="6" t="n"/>
      <c r="F11" s="6" t="n"/>
    </row>
    <row r="12">
      <c r="A12" s="6" t="inlineStr">
        <is>
          <t>Total RWA  [£'000, FY2024-FY2025 editions]</t>
        </is>
      </c>
      <c r="B12" s="6" t="n">
        <v>2624404</v>
      </c>
      <c r="C12" s="6" t="n">
        <v>2503806</v>
      </c>
      <c r="D12" s="6" t="n"/>
      <c r="E12" s="6" t="n"/>
      <c r="F12" s="6" t="n"/>
    </row>
    <row r="13">
      <c r="A13" s="6" t="inlineStr">
        <is>
          <t>Total RWA  [US$'000, FY2021-FY2022 editions]</t>
        </is>
      </c>
      <c r="B13" s="6" t="n"/>
      <c r="C13" s="6" t="n"/>
      <c r="D13" s="6" t="n"/>
      <c r="E13" s="6" t="n">
        <v>2131640</v>
      </c>
      <c r="F13" s="6" t="n">
        <v>2034858</v>
      </c>
    </row>
    <row r="14">
      <c r="A14" s="5" t="inlineStr">
        <is>
          <t>Capital Ratios (as percentage of RWA)</t>
        </is>
      </c>
      <c r="B14" s="6" t="n"/>
      <c r="C14" s="6" t="n"/>
      <c r="D14" s="6" t="n"/>
      <c r="E14" s="6" t="n"/>
      <c r="F14" s="6" t="n"/>
    </row>
    <row r="15">
      <c r="A15" s="6" t="inlineStr">
        <is>
          <t>Common Equity Tier 1 Ratio</t>
        </is>
      </c>
      <c r="B15" s="6" t="inlineStr">
        <is>
          <t>20.45%</t>
        </is>
      </c>
      <c r="C15" s="6" t="inlineStr">
        <is>
          <t>20.03%</t>
        </is>
      </c>
      <c r="D15" s="6" t="n"/>
      <c r="E15" s="6" t="inlineStr">
        <is>
          <t>22.26%</t>
        </is>
      </c>
      <c r="F15" s="6" t="inlineStr">
        <is>
          <t>21.81%</t>
        </is>
      </c>
    </row>
    <row r="16">
      <c r="A16" s="6" t="inlineStr">
        <is>
          <t>Total Capital Ratio</t>
        </is>
      </c>
      <c r="B16" s="6" t="inlineStr">
        <is>
          <t>20.45%</t>
        </is>
      </c>
      <c r="C16" s="6" t="inlineStr">
        <is>
          <t>20.03%</t>
        </is>
      </c>
      <c r="D16" s="6" t="n"/>
      <c r="E16" s="6" t="inlineStr">
        <is>
          <t>22.26%</t>
        </is>
      </c>
      <c r="F16" s="6" t="inlineStr">
        <is>
          <t>21.81%</t>
        </is>
      </c>
    </row>
    <row r="17">
      <c r="A17" s="5" t="inlineStr">
        <is>
          <t>Leverage Ratio</t>
        </is>
      </c>
      <c r="B17" s="6" t="n"/>
      <c r="C17" s="6" t="n"/>
      <c r="D17" s="6" t="n"/>
      <c r="E17" s="6" t="n"/>
      <c r="F17" s="6" t="n"/>
    </row>
    <row r="18">
      <c r="A18" s="6" t="inlineStr">
        <is>
          <t>Total exposure measure excluding claims on central banks  [£'000, FY2024-FY2025 editions]</t>
        </is>
      </c>
      <c r="B18" s="6" t="n">
        <v>4062395</v>
      </c>
      <c r="C18" s="6" t="n">
        <v>4133905</v>
      </c>
      <c r="D18" s="6" t="n"/>
      <c r="E18" s="6" t="n"/>
      <c r="F18" s="6" t="n"/>
    </row>
    <row r="19">
      <c r="A19" s="6" t="inlineStr">
        <is>
          <t>Total exposure measure excluding claims on central banks  [US$'000, FY2021-FY2022 editions]</t>
        </is>
      </c>
      <c r="B19" s="6" t="n"/>
      <c r="C19" s="6" t="n"/>
      <c r="D19" s="6" t="n"/>
      <c r="E19" s="6" t="n">
        <v>3625281</v>
      </c>
      <c r="F19" s="6" t="n">
        <v>3482137</v>
      </c>
    </row>
    <row r="20">
      <c r="A20" s="6" t="inlineStr">
        <is>
          <t>Leverage ratio excluding claims on central banks (%)</t>
        </is>
      </c>
      <c r="B20" s="6" t="inlineStr">
        <is>
          <t>13.21%</t>
        </is>
      </c>
      <c r="C20" s="6" t="inlineStr">
        <is>
          <t>12.13%</t>
        </is>
      </c>
      <c r="D20" s="6" t="inlineStr">
        <is>
          <t>Not available - no FY2023 edition retrievable; stable URL overwritten</t>
        </is>
      </c>
      <c r="E20" s="6" t="inlineStr">
        <is>
          <t>13.09%</t>
        </is>
      </c>
      <c r="F20" s="6" t="inlineStr">
        <is>
          <t>12.74%</t>
        </is>
      </c>
    </row>
    <row r="21">
      <c r="A21" s="5" t="inlineStr">
        <is>
          <t>Liquidity Coverage Ratio ('LCR')</t>
        </is>
      </c>
      <c r="B21" s="6" t="n"/>
      <c r="C21" s="6" t="n"/>
      <c r="D21" s="6" t="n"/>
      <c r="E21" s="6" t="n"/>
      <c r="F21" s="6" t="n"/>
    </row>
    <row r="22">
      <c r="A22" s="6" t="inlineStr">
        <is>
          <t>Total high-quality liquid assets (HQLA) (Weighted value average)  [£'000, FY2024-FY2025 editions]</t>
        </is>
      </c>
      <c r="B22" s="6" t="n">
        <v>731707</v>
      </c>
      <c r="C22" s="6" t="n">
        <v>925985</v>
      </c>
      <c r="D22" s="6" t="n"/>
      <c r="E22" s="6" t="n"/>
      <c r="F22" s="6" t="n"/>
    </row>
    <row r="23">
      <c r="A23" s="6" t="inlineStr">
        <is>
          <t>Total high-quality liquid assets (HQLA) (Weighted value average)  [US$'000, FY2021-FY2022 editions]</t>
        </is>
      </c>
      <c r="B23" s="6" t="n"/>
      <c r="C23" s="6" t="n"/>
      <c r="D23" s="6" t="n"/>
      <c r="E23" s="6" t="n">
        <v>659703</v>
      </c>
      <c r="F23" s="6" t="n">
        <v>702588</v>
      </c>
    </row>
    <row r="24">
      <c r="A24" s="6" t="inlineStr">
        <is>
          <t>Total net cash outflows (adjusted value)  [£'000, FY2024-FY2025 editions]</t>
        </is>
      </c>
      <c r="B24" s="6" t="n">
        <v>147299</v>
      </c>
      <c r="C24" s="6" t="n">
        <v>215454</v>
      </c>
      <c r="D24" s="6" t="n"/>
      <c r="E24" s="6" t="n"/>
      <c r="F24" s="6" t="n"/>
    </row>
    <row r="25">
      <c r="A25" s="6" t="inlineStr">
        <is>
          <t>Total net cash outflows (adjusted value)  [US$'000, FY2021-FY2022 editions]</t>
        </is>
      </c>
      <c r="B25" s="6" t="n"/>
      <c r="C25" s="6" t="n"/>
      <c r="D25" s="6" t="n"/>
      <c r="E25" s="6" t="n">
        <v>220185</v>
      </c>
      <c r="F25" s="6" t="n">
        <v>209655</v>
      </c>
    </row>
    <row r="26">
      <c r="A26" s="6" t="inlineStr">
        <is>
          <t>Liquidity coverage ratio (%) (adjusted value)</t>
        </is>
      </c>
      <c r="B26" s="6" t="inlineStr">
        <is>
          <t>497%</t>
        </is>
      </c>
      <c r="C26" s="6" t="inlineStr">
        <is>
          <t>430%</t>
        </is>
      </c>
      <c r="D26" s="6" t="n"/>
      <c r="E26" s="6" t="inlineStr">
        <is>
          <t>300%</t>
        </is>
      </c>
      <c r="F26" s="6" t="inlineStr">
        <is>
          <t>227%</t>
        </is>
      </c>
    </row>
    <row r="27">
      <c r="A27" s="5" t="inlineStr">
        <is>
          <t>Net Stable Funding Ratio ('NSFR')</t>
        </is>
      </c>
      <c r="B27" s="6" t="n"/>
      <c r="C27" s="6" t="n"/>
      <c r="D27" s="6" t="n"/>
      <c r="E27" s="6" t="n"/>
      <c r="F27" s="6" t="n"/>
    </row>
    <row r="28">
      <c r="A28" s="6" t="inlineStr">
        <is>
          <t>NSFR ratio (%)   [FY2022 edition: "NSFR ratio (%) (adjusted value)"]</t>
        </is>
      </c>
      <c r="B28" s="6" t="inlineStr">
        <is>
          <t>120%</t>
        </is>
      </c>
      <c r="C28" s="6" t="inlineStr">
        <is>
          <t>127%</t>
        </is>
      </c>
      <c r="D28" s="6" t="n"/>
      <c r="E28" s="6" t="inlineStr">
        <is>
          <t>127%</t>
        </is>
      </c>
      <c r="F28" s="6" t="inlineStr">
        <is>
          <t>114%</t>
        </is>
      </c>
    </row>
    <row r="30" ht="409" customHeight="1">
      <c r="A30" s="8" t="inlineStr">
        <is>
          <t>Sources - National Bank of Kuwait (International) Plc's own Pillar 3 Disclosure, section 4.2 "Key Metrics", Table 3 "Key metrics". Amounts and percentages exactly as printed; nothing converted, rounded or computed:
FY2025 and FY2024: Pillar 3 Disclosure 31 December 2025, Table 3, p.16, columns '31 Dec 2025' and '31 Dec 2024', "In GBP 000's" - https://www.nbk.com/dam/jcr:19757e7d-4d03-40f8-bf39-63c995186e39/Pillar_III_Disclosures.pdf
FY2022 and FY2021: the archived edition whose cover reads "Pillar 3 Disclosure / December 2023" but whose Table 3 columns read '31/12/22' and '31/12/21', "In USD $", p.16 - Wayback Machine capture of the same stable URL, 2024-02-17: https://web.archive.org/web/20240217111133/https://www.nbk.com/dam/jcr:19757e7d-4d03-40f8-bf39-63c995186e39/Pillar_III_Disclosures.pdf
FY2023: no edition exists to transcribe (see below).
LATEST-EDITION CHECK, 2026-09-16. The Bank's own live Pillar 3 URL was re-fetched directly (HTTP 200, Content-Type application/pdf, %PDF magic bytes verified) and serves the 31 December 2025 edition - the newest NBKI Pillar 3 published. NBK's group investor-relations page (https://www.nbk.com/nbk-group/investor-relations.html) was also read in full: the only NBKI-named Pillar 3 it links is a 2014 file. FY2025 is therefore the newest edition and this workbook already holds it; no year was added.
TRANSCRIPTION NOTES:
• NO ROW NUMBERS. NBKI prints this table unnumbered. It carries the KM1 row set and the template's own section headings in the template's own order, so it is the template - but the Bank's rows are reproduced under the Bank's own labels, with no template row numbers attached, because attaching them would assert a correspondence the Bank never published.
• ROWS THE BANK DOES NOT PRINT ARE ABSENT FROM THE SOURCE, not missing from this sheet: no Tier 1 ratio row, no SREP block (UK 7a-7d), no buffer block (8, 9, 11, UK 11a, 12), and no NSFR stable-funding build-up. The lead-in sentence's claim that the table covers "buffer requirements and ratios" is the Bank's own; no buffer row is in fact printed. Recorded, not corrected.
• A BLANK CET1 ROW IN THE FY2022 EDITION IS THE SOURCE'S OWN. That edition prints the "Common Equity Tier 1 (CET1) capital" caption with both value cells EMPTY, while printing Tier 1 Capital and Total Capital as 474,412 / 443,710. RE-VERIFIED 2026-09-16 by rendering p.16 at 300 dpi and looking: the table is fully ruled, every row sits in its own bordered cell, and the CET1 row's two cells are visibly empty. The two cells are therefore left blank here. In every year NBKI does print all three, they are identical, because the Bank holds no AT1 and no Tier 2. The SAME EDITION does supply the missing figure two pages later - its section 4.4 "Composition of Regulatory Own Funds", Table 5 "Capital movement" (p.18), prints "Common Equity Tier 1 (CET1) capital after Regulatory adjustments" as 474,412 and 443,710 - but this sheet reproduces Table 3, and filling Table 3's blank from Table 4/5 would be normalising, so the blank stands and the cross-reference is recorded here instead.
• THE UNIT CHANGES BETWEEN EDITIONS, so every AMOUNT row is split into two caption blocks (restructured 2026-09-16 under map rule 17). FY2021-FY2022 are US$'000 - the FY2022 edition's stub column reads "In USD $" - while FY2024-FY2025 are £'000, the FY2025 edition's stub reading "In GBP 000's" with both column heads repeating "GBP 000's", after the Bank's presentation-currency change from USD to GBP. No single row can carry two units honestly, so each amount row appears twice, once per unit, the same shape map rule 5 uses for the leverage basis break. RATIO rows stay single, because a percentage is unit-free. Nothing is converted and neither edition's amounts are restated into the other's unit; within each unit block the Bank's own row order is preserved exactly.
• The asterisk on the CET1 row is the Bank's own: the FY2025 edition footnotes it "* Includes audited current year profits". The FY2022 edition carries no such footnote.
• LABEL DRIFT on the last row: the FY2025 edition prints "NSFR ratio (%)"; the FY2022 edition prints "NSFR ratio (%) (adjusted value)". Both are shown in the row label rather than one being chosen.</t>
        </is>
      </c>
    </row>
    <row r="32" ht="409" customHeight="1">
      <c r="A32" s="8" t="inlineStr">
        <is>
          <t>(continued)
• FY2021 IS THE FY2022 EDITION'S COMPARATIVE COLUMN, deliberately, because the FY2021 edition prints no such table. Its "Table 1: Key metrics USD 000's as at 31.12.2021" (p.3) is an eight-tile dashboard with no section structure, no Tier 1 row and no LCR build-up - a different object, not an unnumbered template - so it cannot supply these rows: https://web.archive.org/web/20231209144740/https://www.nbk.com/dam/jcr:19757e7d-4d03-40f8-bf39-63c995186e39/Pillar_III_Disclosures.pdf
• AND THE TWO EDITIONS DISAGREE FOR FY2021, which is why the choice matters. The FY2021 edition's own dashboard gives CET1 capital and Total Regulatory capital as US$432,220k with a CET1/Total Capital ratio of 21.81%, against Total RWAs of US$2,034,858k - an internally impossible pair (432,220/2,034,858 = 21.24%). The FY2022 edition's comparative column gives US$443,710k with the same 21.81%, which does tie (443,710/2,034,858 = 21.81%). Its RWA, leverage ratio (12.74%), LCR (227%) and NSFR (114%) are identical in both editions. Both figures are recorded, neither is reconciled.
WHY THIS SHEET AND THE CET1 RATIO / TOTAL CAPITAL RATIO SHEETS DISAGREE FOR FY2021 AND FY2022 - FOUR CELLS, EACH RE-ESTABLISHED FROM THE SOURCES ON 2026-09-16 AND EACH A GENUINE DIVERGENCE BETWEEN TWO OF THE BANK'S OWN DOCUMENTS, NOT A TRANSCRIPTION ERROR. The four are: CET1 Ratio FY2022 (this sheet 22.26% vs the CET1 Ratio sheet's 21.26%), CET1 Ratio FY2021 (21.81% vs 21.24%), and Total Capital Ratio for the same two years, which carry the identical pair of figures.
  THE SUSPICION THAT HAD TO BE RULED OUT was a row-alignment slip: this table prints the SAME percentage for its CET1 Ratio row and its Total Capital Ratio row in both years, which is the classic signature of rows sliding by one during extraction. It was ruled out four ways, all first-hand:
  (1) The FY2022 edition's p.16 was RENDERED AT 300 DPI AND LOOKED AT, not read from the text layer. The table is fully ruled; "Common Equity Tier 1 Ratio 22.26% | 21.81%" and "Total Capital Ratio 22.26% | 21.81%" each sit in their own bordered row, one below the other. Nothing has slid.
  (2) The ratios tie to the amounts printed in the same table, to the basis point: 474,412 / 2,131,640 = 22.26% and 443,710 / 2,034,858 = 21.81%.
  (3) The two ratios being equal is not an artefact but an arithmetic necessity for this bank. NBKI holds no AT1 and no Tier 2 - the audited accounts' own capital note prints "Tier 2 capital  -" for every year - so CET1 = Tier 1 = Total Capital, and all three ratios must coincide. The audited accounts print all three ratios as equal too (21.26% / 21.26% / 21.26% for FY2022), just at a different level.
  (4) THE SAME EDITION CORROBORATES ITSELF ON A SECOND TABLE. Its section 4.4 Table 5 "Capital movement" (p.18), an own-funds composition table, builds CET1 up from components and then prints three separate ratio rows - "Common Equity Tier 1 (as a percentage of total risk exposure amount)", "Tier 1 (...)" and "Total capital (...)" - all three 22.26% for FY2022 and all three 21.81% for FY2021, against CET1 after regulatory adjustments of 474,412 / 443,710 and the same RWA. Two independent tables, same figures.
  THE COLUMN HEADERS AND THE TABLE CAPTION WERE CHECKED TOO (map rules 18 and 19), because a misidentified entity block is the other way two adjacent figures come to look like two different ratios. They rule it out here. This table's two value columns are headed with DATES - "31/12/22" and "31/12/21" - not with entity names, so there is no Group-beside-Individual pair to confuse, and the CET1 Ratio and Total Capital Ratio figures sit on two separately captioned ROWS, not in two columns of one row. The document is NBKI's own, not a parent's with a subsidiary block in it: its section 1.1 says "This document comprises the Pillar 3 disclosures on capital and risk management for NBKI Limited ('NBKI' or 'the Bank') as of 31 December 2022", section 1.2 identifies "National Bank of Kuwait International ('NBKI') PLC ... company number 02773743 ... Firm number on the FCA Register is 171532" - the Banks List entity exactly - and section 1.1 states the document exists "to meet the regulatory disclosure requirements under Part 8 of the UK Capital Requirements Regulation (CRR) ... including the Disclosure (CRR) part of the PRA Rulebook". So NBKI discharges its own UK disclosure duty in its own document; the Kuwaiti parent National Bank of Kuwait S.A.K.P. reports under Central Bank of Kuwait Basel III rules and publishes no UK KM1 for this subsidiary. The edition's own list of tables runs Tables 1-6 with exactly one "Key metrics" entry, so there is no second, appendix-away printing of the template either (map rule 11).</t>
        </is>
      </c>
    </row>
    <row r="34" ht="409" customHeight="1">
      <c r="A34" s="8" t="inlineStr">
        <is>
          <t>(continued)
THE OTHER SIDE WAS RE-READ TOO, from the Bank's own audited accounts rather than from this project's notes: AR2022 Note 31 "Capital management (unaudited)" (printed p.65) gives RWA 2,131,640 / 2,034,858 with CET1 = Tier 1 = Total capital of 453,162 / 432,220 and ratios 21.26% / 21.24%; AR2021 Note 32 (same title, printed p.73) gives 432,220 and 21.24% for FY2021 against the same RWA. Those also tie to the basis point. So BOTH SIDES ARE INTERNALLY CONSISTENT and they differ only in the capital numerator: US$21,250k for FY2022 and US$11,490k for FY2021.
  WHAT THE GAP IS. The Pillar 3's Table 5 shows CET1 before regulatory adjustments of 473,823 (FY2022) and 447,733 (FY2021) - exactly the total equity on the Bank's own audited balance sheet for those two dates - and then takes it to 474,412 and 443,710 "after Regulatory adjustments". The audited capital note reaches 453,162 and 432,220 from the same starting equity. The two documents therefore apply DIFFERENT REGULATORY ADJUSTMENTS to the same audited equity, and the Bank does not reconcile them anywhere. This project does not reconcile them either, and no figure has been edited so that the two sides agree.
  WHICH SHEET CARRIES WHICH, DELIBERATELY: this KM1 sheet reproduces the PILLAR 3 table, because that is what a KM1 sheet is for; the single-metric capital and ratio sheets carry the AUDITED ANNUAL REPORT figures, chosen there (HD-066, 2026-09-06) as audited-adjacent. The verifier reports the four disagreements every run, and that is the intended outcome - the workbook shows both of the Bank's own answers side by side rather than quietly picking one. RWA, leverage, LCR and NSFR agree across all sources for both years, which is itself evidence that only the own-funds definition is in dispute.
  A SEPARATE SOURCE DEFECT IN THAT SAME TABLE 5, recorded and not corrected (map rule 7): its FY2022 column does not foot. 289,403 + 211,714 - 26,277 = 474,840, against a printed "CET1 capital before regulatory adjustments" of 473,823 (the AOCI figure would need to be -27,294 to foot, and -27,294 is what the audited balance sheet implies). The FY2021 column foots exactly (235,883 + 225,681 - 13,831 = 447,733). Note also that FY2022's "after regulatory adjustments" figure is HIGHER than its "before" figure, while FY2021's is lower. None of this is on this sheet - Table 5 is not the KM1 - but it is recorded because it bears on how much weight the Pillar 3's own-funds numbers can carry.
FY2023: no FY2023 Pillar 3 edition exists to transcribe. NBKI republishes at a single stable URL rather than minting a per-year file, the Wayback Machine holds only four captures of it (2023-12-09 = the FY2021 edition, 2024-02-17 = the FY2022 edition, and two 2025 captures that are text/html error pages), and the live FY2025 edition carries a single FY2024 comparative only. A domain-wide Wayback CDX enumeration of nbk.com surfaced two files called "Pillar III Disclosures 2023.pdf" and "Pillar III Disclosres 2024.pdf" [sic] - BOTH ARE NBK FRANCE SA, a different legal entity reporting in euros on the EU KM1 template, and neither may be used here. (Re-checked 2026-09-16: both of those French URLs now return HTTP 200 with Content-Type text/html - a soft-404 - so they are dead as well as wrong.) See the RWA Breakdown sheet for the full four-stage verification of this gap.
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t>
        </is>
      </c>
    </row>
  </sheetData>
  <mergeCells count="3">
    <mergeCell ref="A30:F30"/>
    <mergeCell ref="A34:F34"/>
    <mergeCell ref="A32:F3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CET1 Capital</t>
        </is>
      </c>
    </row>
    <row r="2">
      <c r="A2" s="2" t="inlineStr">
        <is>
          <t>As reported: £000 (FY2024–FY2025); US$000 (FY2021–FY2023)</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(CET1) capital</t>
        </is>
      </c>
      <c r="B4" s="6" t="n">
        <v>536637</v>
      </c>
      <c r="C4" s="6" t="n">
        <v>501570</v>
      </c>
      <c r="D4" s="6" t="n">
        <v>533272</v>
      </c>
      <c r="E4" s="6" t="n">
        <v>453162</v>
      </c>
      <c r="F4" s="6" t="n">
        <v>432220</v>
      </c>
    </row>
    <row r="5" ht="234" customHeight="1">
      <c r="A5" s="7" t="inlineStr">
        <is>
          <t>Note: CET1, Tier 1, and Total Capital are equal in every year because the Bank reports no Tier 2 capital and its regulatory capital is comprised entirely of CET1. FY2021–FY2023 are reported in US$000; FY2024–FY2025 are reported in GBP£000 following the presentation-currency change. No conversion has been imposed.
DATA QUALITY NOTE (FY2021/FY2022, verified 2026-09-06, HD-066): the FY2021 and FY2022 CET1/Total Capital and ratio figures here are taken from each year's own audited Annual Report Note 32/31 "Capital management (unaudited)" (US$432,220k/21.24% for FY2021; US$453,162k/21.26% for FY2022 - each self-consistent against the same year's own RWA of US$2,034,858k/US$2,131,640k to the basis point). Both years' archived Pillar 3 disclosures state different capital amounts against the identical RWA: the "December 2021"-dated document's own Table 1 states US$432,220k (matching the AR) but pairs it with a 21.81% ratio that is arithmetically inconsistent with that amount (432,220/2,034,858 = 21.24%, not 21.81% - an apparent error within that document); the "December 2023"-dated document's own Table 3/5 states a different, internally-consistent pair for both years (US$443,710k/21.81% FY2021; US$474,412k/22.26% FY2022 - each ties exactly to the same RWA). The two Pillar 3 documents' own RWA, Leverage Ratio, LCR, and NSFR agree with each other and are used on those sheets; only the CET1/Total Capital amount and ratio are disputed between the Bank's own statutory accounts and its own Pillar 3 disclosures for these two years, and the statutory accounts' figures are used here as the audited-adjacent, internally self-consistent source.
RE-ESTABLISHED FIRST-HAND 2026-09-16 (KM1-022), from the documents rather than from this note: AR2022 Note 31 (printed p.65) and AR2021 Note 32 (printed p.73) were re-read and confirm 453,162/21.26% and 432,220/21.24% against RWA of 2,131,640 and 2,034,858, with "Tier 2 capital  -" in every year; the "December 2023"-dated Pillar 3's p.16 was rendered at 300 dpi and confirms 474,412/22.26% and 443,710/21.81%, corroborated by that same edition's Table 5 own-funds composition on p.18. Both sides are internally consistent; they differ only in the regulatory adjustments applied to the same audited equity. The KM1 Key Metrics sheet in this workbook carries the PILLAR 3 side, this sheet carries the AUDITED side, and the workbook verifier reports the resulting four-cell disagreement on every run - which is the intended outcome, not an open defect. See the KM1 sheet's source note for the full four-way test that ruled out a row-alignment slip.</t>
        </is>
      </c>
    </row>
    <row r="7" ht="220" customHeight="1">
      <c r="A7"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2">
    <mergeCell ref="A5:F5"/>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Common Equity Tier 1 capital adequacy ratio</t>
        </is>
      </c>
      <c r="B4" s="6" t="inlineStr">
        <is>
          <t>20.45%</t>
        </is>
      </c>
      <c r="C4" s="6" t="inlineStr">
        <is>
          <t>20.03%</t>
        </is>
      </c>
      <c r="D4" s="6" t="inlineStr">
        <is>
          <t>20.51%</t>
        </is>
      </c>
      <c r="E4" s="6" t="inlineStr">
        <is>
          <t>21.26%</t>
        </is>
      </c>
      <c r="F4" s="6" t="inlineStr">
        <is>
          <t>21.24%</t>
        </is>
      </c>
    </row>
    <row r="6" ht="220" customHeight="1">
      <c r="A6"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1">
    <mergeCell ref="A6:F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Tier 1 Capital</t>
        </is>
      </c>
    </row>
    <row r="2">
      <c r="A2" s="2" t="inlineStr">
        <is>
          <t>As reported: £000 (FY2024–FY2025); US$000 (FY2021–FY2023)</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t>
        </is>
      </c>
      <c r="B4" s="6" t="n">
        <v>536637</v>
      </c>
      <c r="C4" s="6" t="n">
        <v>501570</v>
      </c>
      <c r="D4" s="6" t="n">
        <v>533272</v>
      </c>
      <c r="E4" s="6" t="n">
        <v>453162</v>
      </c>
      <c r="F4" s="6" t="n">
        <v>432220</v>
      </c>
    </row>
    <row r="5" ht="234" customHeight="1">
      <c r="A5" s="7" t="inlineStr">
        <is>
          <t>Note: CET1, Tier 1, and Total Capital are equal in every year because the Bank reports no Tier 2 capital and its regulatory capital is comprised entirely of CET1. FY2021–FY2023 are reported in US$000; FY2024–FY2025 are reported in GBP£000 following the presentation-currency change. No conversion has been imposed.
DATA QUALITY NOTE (FY2021/FY2022, verified 2026-09-06, HD-066): the FY2021 and FY2022 CET1/Total Capital and ratio figures here are taken from each year's own audited Annual Report Note 32/31 "Capital management (unaudited)" (US$432,220k/21.24% for FY2021; US$453,162k/21.26% for FY2022 - each self-consistent against the same year's own RWA of US$2,034,858k/US$2,131,640k to the basis point). Both years' archived Pillar 3 disclosures state different capital amounts against the identical RWA: the "December 2021"-dated document's own Table 1 states US$432,220k (matching the AR) but pairs it with a 21.81% ratio that is arithmetically inconsistent with that amount (432,220/2,034,858 = 21.24%, not 21.81% - an apparent error within that document); the "December 2023"-dated document's own Table 3/5 states a different, internally-consistent pair for both years (US$443,710k/21.81% FY2021; US$474,412k/22.26% FY2022 - each ties exactly to the same RWA). The two Pillar 3 documents' own RWA, Leverage Ratio, LCR, and NSFR agree with each other and are used on those sheets; only the CET1/Total Capital amount and ratio are disputed between the Bank's own statutory accounts and its own Pillar 3 disclosures for these two years, and the statutory accounts' figures are used here as the audited-adjacent, internally self-consistent source.
RE-ESTABLISHED FIRST-HAND 2026-09-16 (KM1-022), from the documents rather than from this note: AR2022 Note 31 (printed p.65) and AR2021 Note 32 (printed p.73) were re-read and confirm 453,162/21.26% and 432,220/21.24% against RWA of 2,131,640 and 2,034,858, with "Tier 2 capital  -" in every year; the "December 2023"-dated Pillar 3's p.16 was rendered at 300 dpi and confirms 474,412/22.26% and 443,710/21.81%, corroborated by that same edition's Table 5 own-funds composition on p.18. Both sides are internally consistent; they differ only in the regulatory adjustments applied to the same audited equity. The KM1 Key Metrics sheet in this workbook carries the PILLAR 3 side, this sheet carries the AUDITED side, and the workbook verifier reports the resulting four-cell disagreement on every run - which is the intended outcome, not an open defect. See the KM1 sheet's source note for the full four-way test that ruled out a row-alignment slip.</t>
        </is>
      </c>
    </row>
    <row r="7" ht="220" customHeight="1">
      <c r="A7"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2">
    <mergeCell ref="A5:F5"/>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Tier 1 capital adequacy ratio</t>
        </is>
      </c>
      <c r="B4" s="6" t="inlineStr">
        <is>
          <t>20.45%</t>
        </is>
      </c>
      <c r="C4" s="6" t="inlineStr">
        <is>
          <t>20.03%</t>
        </is>
      </c>
      <c r="D4" s="6" t="inlineStr">
        <is>
          <t>20.51%</t>
        </is>
      </c>
      <c r="E4" s="6" t="inlineStr">
        <is>
          <t>21.26%</t>
        </is>
      </c>
      <c r="F4" s="6" t="inlineStr">
        <is>
          <t>21.24%</t>
        </is>
      </c>
    </row>
    <row r="6" ht="220" customHeight="1">
      <c r="A6"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1">
    <mergeCell ref="A6:F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Total Capital</t>
        </is>
      </c>
    </row>
    <row r="2">
      <c r="A2" s="2" t="inlineStr">
        <is>
          <t>As reported: £000 (FY2024–FY2025); US$000 (FY2021–FY2023)</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t>
        </is>
      </c>
      <c r="B4" s="6" t="n">
        <v>536637</v>
      </c>
      <c r="C4" s="6" t="n">
        <v>501570</v>
      </c>
      <c r="D4" s="6" t="n">
        <v>533272</v>
      </c>
      <c r="E4" s="6" t="n">
        <v>453162</v>
      </c>
      <c r="F4" s="6" t="n">
        <v>432220</v>
      </c>
    </row>
    <row r="5" ht="234" customHeight="1">
      <c r="A5" s="7" t="inlineStr">
        <is>
          <t>Note: CET1, Tier 1, and Total Capital are equal in every year because the Bank reports no Tier 2 capital and its regulatory capital is comprised entirely of CET1. FY2021–FY2023 are reported in US$000; FY2024–FY2025 are reported in GBP£000 following the presentation-currency change. No conversion has been imposed.
DATA QUALITY NOTE (FY2021/FY2022, verified 2026-09-06, HD-066): the FY2021 and FY2022 CET1/Total Capital and ratio figures here are taken from each year's own audited Annual Report Note 32/31 "Capital management (unaudited)" (US$432,220k/21.24% for FY2021; US$453,162k/21.26% for FY2022 - each self-consistent against the same year's own RWA of US$2,034,858k/US$2,131,640k to the basis point). Both years' archived Pillar 3 disclosures state different capital amounts against the identical RWA: the "December 2021"-dated document's own Table 1 states US$432,220k (matching the AR) but pairs it with a 21.81% ratio that is arithmetically inconsistent with that amount (432,220/2,034,858 = 21.24%, not 21.81% - an apparent error within that document); the "December 2023"-dated document's own Table 3/5 states a different, internally-consistent pair for both years (US$443,710k/21.81% FY2021; US$474,412k/22.26% FY2022 - each ties exactly to the same RWA). The two Pillar 3 documents' own RWA, Leverage Ratio, LCR, and NSFR agree with each other and are used on those sheets; only the CET1/Total Capital amount and ratio are disputed between the Bank's own statutory accounts and its own Pillar 3 disclosures for these two years, and the statutory accounts' figures are used here as the audited-adjacent, internally self-consistent source.
RE-ESTABLISHED FIRST-HAND 2026-09-16 (KM1-022), from the documents rather than from this note: AR2022 Note 31 (printed p.65) and AR2021 Note 32 (printed p.73) were re-read and confirm 453,162/21.26% and 432,220/21.24% against RWA of 2,131,640 and 2,034,858, with "Tier 2 capital  -" in every year; the "December 2023"-dated Pillar 3's p.16 was rendered at 300 dpi and confirms 474,412/22.26% and 443,710/21.81%, corroborated by that same edition's Table 5 own-funds composition on p.18. Both sides are internally consistent; they differ only in the regulatory adjustments applied to the same audited equity. The KM1 Key Metrics sheet in this workbook carries the PILLAR 3 side, this sheet carries the AUDITED side, and the workbook verifier reports the resulting four-cell disagreement on every run - which is the intended outcome, not an open defect. See the KM1 sheet's source note for the full four-way test that ruled out a row-alignment slip.</t>
        </is>
      </c>
    </row>
    <row r="7" ht="220" customHeight="1">
      <c r="A7"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2">
    <mergeCell ref="A5:F5"/>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capital adequacy ratio</t>
        </is>
      </c>
      <c r="B4" s="6" t="inlineStr">
        <is>
          <t>20.45%</t>
        </is>
      </c>
      <c r="C4" s="6" t="inlineStr">
        <is>
          <t>20.03%</t>
        </is>
      </c>
      <c r="D4" s="6" t="inlineStr">
        <is>
          <t>20.51%</t>
        </is>
      </c>
      <c r="E4" s="6" t="inlineStr">
        <is>
          <t>21.26%</t>
        </is>
      </c>
      <c r="F4" s="6" t="inlineStr">
        <is>
          <t>21.24%</t>
        </is>
      </c>
    </row>
    <row r="6" ht="220" customHeight="1">
      <c r="A6"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1">
    <mergeCell ref="A6:F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Total RWAs</t>
        </is>
      </c>
    </row>
    <row r="2">
      <c r="A2" s="2" t="inlineStr">
        <is>
          <t>As reported: £000 (FY2024–FY2025); US$000 (FY2021–FY2023)</t>
        </is>
      </c>
    </row>
    <row r="3">
      <c r="A3" s="4" t="inlineStr">
        <is>
          <t>Metric</t>
        </is>
      </c>
      <c r="B3" s="4" t="inlineStr">
        <is>
          <t>FY2025</t>
        </is>
      </c>
      <c r="C3" s="4" t="inlineStr">
        <is>
          <t>FY2024</t>
        </is>
      </c>
      <c r="D3" s="4" t="inlineStr">
        <is>
          <t>FY2023</t>
        </is>
      </c>
      <c r="E3" s="4" t="inlineStr">
        <is>
          <t>FY2022</t>
        </is>
      </c>
      <c r="F3" s="4" t="inlineStr">
        <is>
          <t>FY2021</t>
        </is>
      </c>
    </row>
    <row r="4">
      <c r="A4" s="6" t="inlineStr">
        <is>
          <t>Risk-weighted assets</t>
        </is>
      </c>
      <c r="B4" s="6" t="n">
        <v>2624404</v>
      </c>
      <c r="C4" s="6" t="n">
        <v>2503806</v>
      </c>
      <c r="D4" s="6" t="n">
        <v>2599821</v>
      </c>
      <c r="E4" s="6" t="n">
        <v>2131640</v>
      </c>
      <c r="F4" s="6" t="n">
        <v>2034858</v>
      </c>
    </row>
    <row r="6" ht="220" customHeight="1">
      <c r="A6"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1">
    <mergeCell ref="A6:F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RWA Breakdown</t>
        </is>
      </c>
    </row>
    <row r="2">
      <c r="A2" s="2" t="inlineStr">
        <is>
          <t>Pillar 3 UK OV1 template. £'000 (FY2024-FY2025) / US$'000 (FY2021-FY2022) - see Currency Note. FY2023 not available - no FY2023 Pillar 3 edition is retrievable (see source note).</t>
        </is>
      </c>
    </row>
    <row r="3">
      <c r="A3" s="4" t="inlineStr">
        <is>
          <t>Line item</t>
        </is>
      </c>
      <c r="B3" s="4" t="inlineStr">
        <is>
          <t>FY2025</t>
        </is>
      </c>
      <c r="C3" s="4" t="inlineStr">
        <is>
          <t>FY2024</t>
        </is>
      </c>
      <c r="D3" s="4" t="inlineStr">
        <is>
          <t>FY2023</t>
        </is>
      </c>
      <c r="E3" s="4" t="inlineStr">
        <is>
          <t>FY2022</t>
        </is>
      </c>
      <c r="F3" s="4" t="inlineStr">
        <is>
          <t>FY2021</t>
        </is>
      </c>
    </row>
    <row r="4">
      <c r="A4" s="6" t="inlineStr">
        <is>
          <t>Credit risk (excluding CCR)</t>
        </is>
      </c>
      <c r="B4" s="6" t="n">
        <v>2449107</v>
      </c>
      <c r="C4" s="6" t="n">
        <v>2342000</v>
      </c>
      <c r="D4" s="6" t="n"/>
      <c r="E4" s="6" t="n">
        <v>2020121</v>
      </c>
      <c r="F4" s="6" t="n">
        <v>1929456</v>
      </c>
    </row>
    <row r="5">
      <c r="A5" s="6" t="inlineStr">
        <is>
          <t>Counterparty credit risk - CCR</t>
        </is>
      </c>
      <c r="B5" s="6" t="n">
        <v>12096</v>
      </c>
      <c r="C5" s="6" t="n">
        <v>11448</v>
      </c>
      <c r="D5" s="6" t="n"/>
      <c r="E5" s="6" t="n">
        <v>21783</v>
      </c>
      <c r="F5" s="6" t="n">
        <v>3162</v>
      </c>
    </row>
    <row r="6">
      <c r="A6" s="6" t="inlineStr">
        <is>
          <t>Operational risk</t>
        </is>
      </c>
      <c r="B6" s="6" t="n">
        <v>163201</v>
      </c>
      <c r="C6" s="6" t="n">
        <v>150357</v>
      </c>
      <c r="D6" s="6" t="n"/>
      <c r="E6" s="6" t="n">
        <v>89736</v>
      </c>
      <c r="F6" s="6" t="n">
        <v>102240</v>
      </c>
    </row>
    <row r="7">
      <c r="A7" s="5" t="inlineStr">
        <is>
          <t>Total</t>
        </is>
      </c>
      <c r="B7" s="5" t="n">
        <v>2624404</v>
      </c>
      <c r="C7" s="5" t="n">
        <v>2503806</v>
      </c>
      <c r="D7" s="5" t="inlineStr">
        <is>
          <t>Not available - no FY2023 Pillar 3 retrievable; accounts give the total only</t>
        </is>
      </c>
      <c r="E7" s="5" t="n">
        <v>2131640</v>
      </c>
      <c r="F7" s="5" t="n">
        <v>2034858</v>
      </c>
    </row>
    <row r="9" ht="340" customHeight="1">
      <c r="A9"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
RWA Breakdown (Table 4: "Pillar 1 RWA capital requirement"): FY2025/FY2024 - official Pillar 3 Disclosure 31 December 2025, Table 4, p.17 (same document as the Key Metrics table above). FY2022/FY2021 - the archived "December 2023"-dated document's own Table 4 (Wayback Machine snapshot captured 2024-02-17, https://web.archive.org/web/20240217111133/https://www.nbk.com/dam/jcr:19757e7d-4d03-40f8-bf39-63c995186e39/Pillar_III_Disclosures.pdf, p.17), cross-checked against the "December 2021"-dated document's own Table 8 operational risk figure (Wayback Machine snapshot captured 2023-12-09, https://web.archive.org/web/20231209144740/https://www.nbk.com/dam/jcr:19757e7d-4d03-40f8-bf39-63c995186e39/Pillar_III_Disclosures.pdf, p.17).
DATA QUALITY NOTE: the archived document's own published "Counterparty credit risk - CCR" row is internally inconsistent with its own Total RWA figure for both FY2021 and FY2022 - the published figures ($3,162,887k FY2021 [sic; likely a transcription error inserting extra digits into the "of which standardised approach" sub-line] and $14,466,197k FY2022) are 10-2,500x larger than the Bank's own reported Total RWA, an impossibility since CCR cannot exceed Total RWA. Credit risk and Operational risk are reproduced exactly as published (both tie consistently between the two archived documents and against the Key Metrics Total RWA). Counterparty credit risk - CCR is instead shown as the residual needed to reach the Bank's own disclosed Total RWA (Total RWA minus Credit risk minus Operational risk) rather than the source document's own unusable CCR figure - FY2021's residual (3,162) exactly matches the document's own separately-disclosed "of which credit valuation adjustment - CVA" sub-line, supporting this as the correct CCR figure with only the CVA component genuinely present that year; FY2022's residual (21,783) could not be similarly cross-checked against a clean sub-line and is flagged as a best-available derived figure, not an independently re-confirmed one.</t>
        </is>
      </c>
    </row>
    <row r="11" ht="390" customHeight="1">
      <c r="A11" s="8" t="inlineStr">
        <is>
          <t>(continued)
FY2023 RE-VERIFICATION (2026-09-12, independent re-check): confirmed still genuinely unobtainable. The Bank republishes its Pillar 3 PDF at the same stable URL each year rather than a new per-year URL, so a specific year's vintage survives only if the Wayback Machine happened to crawl it before it was overwritten - checked the full Wayback CDX capture history for this URL (only 4 captures exist: 2023-12-09 = the FY2021-dated document; 2024-02-17 = the FY2022-dated document; two 2025 captures returned only a broken text/html page, not a PDF) - no FY2023-dated capture exists, and the live URL now serves the FY2025 document (confirmed by fetching it directly). Also checked NBKI-Financial-Statement-2023.pdf (the FY2023 Annual Report/statutory accounts, a separate stable document) Note 31 'Capital management' - it discloses only the aggregate Risk weighted assets figure ($2,599,821k, which ties exactly to this workbook's Total RWAs sheet), with no category-level credit/market/operational/CCR split. No other source was found.
FY2023 THIRD VERIFICATION (2026-09-15) - AND A WARNING ABOUT THIS DOCUMENT'S COVER DATE. The archived document referenced above is titled, on its cover and in the running header of every page, 'Pillar 3 Disclosure / December 2023'. That title is misleading and has already caused this document to be described inconsistently in these very notes (as both 'the December 2023-dated document' and 'the FY2022-dated document'). It contains NO FY2023 data whatsoever. Re-downloaded and re-read in full on 2026-09-15, it is a December 2022 disclosure throughout, on three independent pieces of internal evidence: (1) its Table 3 'Key metrics' column headers read '31/12/22' and '31/12/21' - Total RWA 2,131,640 / 2,034,858, matching this workbook's FY2022/FY2021, not FY2023; (2) its Table 4 'Pillar 1 RWA capital requirement' column headers read '31 Dec 2022' and '31 Dec 2021'; and (3) its own section 4.1 body text directs the reader to 'the 2022 Annual Report and Consolidated Financial Statements'. The 'December 2023' on the cover therefore reflects when the Bank posted the file, not the reporting date of its contents. A future pass finding this document must NOT read its figures as FY2023. FY2023 remains genuinely unobtainable: the Bank overwrites a single stable URL rather than publishing per-year files, the Wayback CDX history for that URL was re-queried on 2026-09-15 and still returns exactly four captures (2023-12-09 PDF, 2024-02-17 PDF = this document, and two 2025 captures that are text/html error pages, not PDFs), so no FY2023 vintage was ever archived.
FY2023 FOURTH VERIFICATION (2026-09-15) - DOMAIN-WIDE ENUMERATION, AND A SECOND, MORE DANGEROUS TRAP. Every prior check queried only the single stable URL, which can fail to find a document but can never show one does not exist. This pass instead enumerated the WHOLE nbk.com domain via unfiltered Wayback CDX (40,000 captures), which does settle it. 39 captures match 'pillar'. That sweep DID surface two per-year Pillar 3 PDFs at previously-unknown AEM asset UUIDs - 'Pillar III Disclosures 2023.pdf' at jcr:6ed10da3-e2cf-4194-b3b2-eb19e0b4b447 and 'Pillar III Disclosres 2024.pdf' [sic] at jcr:7ba4c7e4-c705-4d5a-b6a6-2867045845bb - proving the Bank's group CDN does sometimes mint a new UUID per year rather than overwriting. BOTH WERE DOWNLOADED AND READ, AND NEITHER IS THIS ENTITY'S. They are NBK FRANCE SA ('NBKF', active in France since 1987, named as such in the 2024 document's Bank Overview), reported in euros on the EU KM1 template - the 2023 file's own Table EU KM1 shows CET1 220,981 and Total RWA 689,321 in euros against NBKI's US$533,272k and US$2,599,821k for the same year-end. DO NOT USE EITHER FILE FOR THIS WORKBOOK. The hazard is that their filenames are entirely generic and carry no hint of the French entity, so a future domain sweep will surface a file literally called 'Pillar III Disclosures 2023.pdf' precisely where this workbook's FY2023 hole is - it is the wrong bank. Of the 39 pillar-matching captures, the only NBKI (London) items are the stable URL cited above and a 2014 file ('NBK-(International)-PLC-Pillar-3-Disclosures-2014.pdf'); every other per-year Pillar 3 on that CDN belongs to NBK France SA or NBK UAE. The stable URL's own entity was re-confirmed in the same pass by reading its section 1.2 directly: 'National Bank of Kuwait International ("NBKI") PLC, whose registered office is 13 George Street, London, W1U 3QJ ... company number 02773743 ... Firm number on the FCA Register is 171532', with Total RWA 2,131,640 / 2,034,858 tying to this workbook's FY2022/FY2021. So the existing figures are correctly sourced and correctly attributed, and FY2023 has now been shown absent by enumeration rather than merely not found by probing. Treat this gap as closed.</t>
        </is>
      </c>
    </row>
  </sheetData>
  <mergeCells count="2">
    <mergeCell ref="A11:F11"/>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Leverage Ratio</t>
        </is>
      </c>
    </row>
    <row r="2">
      <c r="A2" s="2" t="inlineStr">
        <is>
          <t>£000 /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exposure measure excluding claims on central banks</t>
        </is>
      </c>
      <c r="B4" s="6" t="n">
        <v>4062395</v>
      </c>
      <c r="C4" s="6" t="n">
        <v>4133905</v>
      </c>
      <c r="D4" s="6" t="n"/>
      <c r="E4" s="6" t="n">
        <v>3625281</v>
      </c>
      <c r="F4" s="6" t="n">
        <v>3482137</v>
      </c>
    </row>
    <row r="5">
      <c r="A5" s="6" t="inlineStr">
        <is>
          <t>Leverage ratio excluding claims on central banks</t>
        </is>
      </c>
      <c r="B5" s="6" t="inlineStr">
        <is>
          <t>13.21%</t>
        </is>
      </c>
      <c r="C5" s="6" t="inlineStr">
        <is>
          <t>12.13%</t>
        </is>
      </c>
      <c r="D5" s="6" t="inlineStr">
        <is>
          <t>Not available - FY2023 Pillar 3 unretrievable; none in the FY2023 accounts</t>
        </is>
      </c>
      <c r="E5" s="6" t="inlineStr">
        <is>
          <t>13.09%</t>
        </is>
      </c>
      <c r="F5" s="6" t="inlineStr">
        <is>
          <t>12.74%</t>
        </is>
      </c>
    </row>
    <row r="6" ht="325" customHeight="1">
      <c r="A6" s="7" t="inlineStr">
        <is>
          <t>Note: FY2023: not available - no FY2023 Pillar 3 edition is retrievable; see note below. FY2024-FY2025 are £000, from the official Pillar 3 Table 3, p.16. FY2021-FY2022 are US$000, from archived Pillar 3 disclosures - see note below.
FY2021 and FY2022 figures on this sheet were recovered 2026-09-03 (ST-027) from two archived NBKI Pillar 3 disclosures no longer linked from the Bank's current disclosures page - a "Pillar III Disclosures December 2021" document (Wayback Machine snapshot of https://www.nbk.com/dam/jcr:19757e7d-4d03-40f8-bf39-63c995186e39/Pillar_III_Disclosures.pdf captured 2023-12-09, https://web.archive.org/web/20231209144740/https://www.nbk.com/dam/jcr:19757e7d-4d03-40f8-bf39-63c995186e39/Pillar_III_Disclosures.pdf) and a "December 2023"-dated document that (despite its filename) itself only discloses FY2022 with an FY2021 comparative (Wayback Machine snapshot captured 2024-02-17, https://web.archive.org/web/20240217111133/https://www.nbk.com/dam/jcr:19757e7d-4d03-40f8-bf39-63c995186e39/Pillar_III_Disclosures.pdf). Both were previously treated as "not publicly disclosed" for FY2021-FY2023 - FY2023 remains genuinely unrecoverable (no FY2023 Pillar 3 document was located via the live site or the Wayback Machine, and the only file with "2023" in its name resolved to an unrelated NBK entity's disclosure) and stays not publicly disclosed.
FY2023 RE-VERIFIED AGAIN 2026-09-15 (independent interior-gap sweep; still genuinely not disclosed). Four checks, all negative:
1. The live NBKI Pillar 3 document at the Bank's stable URL was re-downloaded and is the 31 December 2025 edition; its Table 3 'Key metrics' (p.16) has exactly TWO columns, 31 Dec 2025 and 31 Dec 2024. There is no FY2023 comparative to recover, so the usual "read the next year's comparative column" route is closed for this bank - NBKI's KM1-equivalent never carries more than one prior year.
2. A Wayback CDX scan across the whole nbk.com domain for any URL containing "pillar" returned the same four captures of NBKI's own stable URL already documented above, and nothing else NBKI-related.
3. That scan DID surface two nbk.com documents whose filenames look promising - https://www.nbk.com/dam/jcr:6ed10da3-e2cf-4194-b3b2-eb19e0b4b447/Pillar-III-Disclosures-2023.pdf and https://www.nbk.com/dam/jcr:7ba4c7e4-c705-4d5a-b6a6-2867045845bb/Pillar%20III%20Disclosres%202024.pdf (the second filename's typo is the Bank's own). Both were downloaded live and read: both are NBK FRANCE SA ("NBKF") reports, a different legal entity in a different jurisdiction ("NBK France SA ('NBKF') has been active in France since 1987... the National Bank of Kuwait Group selected France as its preferred Member State"). This pins down the earlier note's vague "an unrelated NBK entity" to the exact entity and the exact two URLs, so a future session does not have to re-open them. Using either would be a cross-entity substitution and is not done.
4. The FY2023 statutory accounts (NBKI-Financial-Statement-2023.pdf) were re-read: Note 28.2 'Liquidity Risk' is a contractual-maturity table only, and neither the term LCR/NSFR nor any leverage ratio appears anywhere in that document (nor in the FY2024 accounts).
Conclusion unchanged: NBKI's FY2023 Leverage Ratio, LCR and NSFR are genuinely not publicly disclosed.</t>
        </is>
      </c>
    </row>
    <row r="7" ht="273" customHeight="1">
      <c r="A7" s="7" t="inlineStr">
        <is>
          <t xml:space="preserve">(continued)
FIFTH VERIFICATION, AND A CORRECTION TO HOW THIS GAP IS DESCRIBED (2026-09-19). Two of the four checks above were re-run independently from the documents rather than from these notes, and both hold: (a) the 2024-02-17 capture was re-downloaded (HTTP 200, application/pdf, %PDF verified, 335,231 bytes) and its own body text reads "...for NBKI Limited ('NBKI' or 'the Bank') as of 31 December 2022", so the "December 2023" on its cover is indeed a posting date and not a reporting date; (b) the 2024-08-04 capture of "Pillar III Disclosures 2023.pdf" was re-downloaded and its Table EU KM1 is headed "in millions euros" with CET1 220,981 - NBK France SA, not this entity, exactly as recorded above. A fresh domain-wide Wayback CDX sweep of nbk.com for 'pillar' returned 51 rows and no NBKI-London item beyond the stable URL and the 2014 file.
THE CORRECTION is to the phrase "shown absent by enumeration ... treat this gap as closed" used in the RWA Breakdown note. Enumeration shows that no FY2023 vintage was ever ARCHIVED, which - given that this Bank overwrites one stable URL rather than minting a per-year file - is what would be observed whether or not an FY2023 edition was published. The Wayback Machine's coverage of that URL is four captures in six years, two of them error pages. So the defensible finding is UNREACHED, not never-published: no FY2023 edition is retrievable today by any route tried, and nothing shows the Bank failed to publish one. The FY2023 cells on this sheet, on LCR, on NSFR, on RWA Breakdown and on KM1 now say "Not available" rather than standing blank, so that a reader can tell a limit on our reach from a fact about the Bank. What IS a fact about the Bank, separately established and unchanged: the FY2023 statutory accounts (Note 31 'Capital management') print the aggregate RWA figure and nothing else - no LCR, no NSFR, no leverage ratio, and no category-level RWA split.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(10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9" ht="220" customHeight="1">
      <c r="A9"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3">
    <mergeCell ref="A6:F6"/>
    <mergeCell ref="A7:F7"/>
    <mergeCell ref="A9:F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LCR</t>
        </is>
      </c>
    </row>
    <row r="2">
      <c r="A2" s="2" t="inlineStr">
        <is>
          <t>£000 / $000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HQLA (weighted value average)</t>
        </is>
      </c>
      <c r="B4" s="6" t="n">
        <v>731707</v>
      </c>
      <c r="C4" s="6" t="n">
        <v>925985</v>
      </c>
      <c r="D4" s="6" t="n"/>
      <c r="E4" s="6" t="n">
        <v>659703</v>
      </c>
      <c r="F4" s="6" t="n">
        <v>702588</v>
      </c>
    </row>
    <row r="5">
      <c r="A5" s="6" t="inlineStr">
        <is>
          <t>Total net cash outflows (adjusted value)</t>
        </is>
      </c>
      <c r="B5" s="6" t="n">
        <v>147299</v>
      </c>
      <c r="C5" s="6" t="n">
        <v>215454</v>
      </c>
      <c r="D5" s="6" t="n"/>
      <c r="E5" s="6" t="n">
        <v>220185</v>
      </c>
      <c r="F5" s="6" t="n">
        <v>209655</v>
      </c>
    </row>
    <row r="6">
      <c r="A6" s="6" t="inlineStr">
        <is>
          <t>Liquidity Coverage Ratio (adjusted value)</t>
        </is>
      </c>
      <c r="B6" s="6" t="inlineStr">
        <is>
          <t>497%</t>
        </is>
      </c>
      <c r="C6" s="6" t="inlineStr">
        <is>
          <t>430%</t>
        </is>
      </c>
      <c r="D6" s="6" t="inlineStr">
        <is>
          <t>Not available - FY2023 Pillar 3 unretrievable; none in the FY2023 accounts</t>
        </is>
      </c>
      <c r="E6" s="6" t="inlineStr">
        <is>
          <t>300%</t>
        </is>
      </c>
      <c r="F6" s="6" t="inlineStr">
        <is>
          <t>227%</t>
        </is>
      </c>
    </row>
    <row r="7" ht="325" customHeight="1">
      <c r="A7" s="7" t="inlineStr">
        <is>
          <t>Note: FY2023: not available - no FY2023 Pillar 3 edition is retrievable; see note below. FY2024-FY2025 are £000, from the official Pillar 3 Table 3, p.16. FY2021-FY2022 are US$000, from archived Pillar 3 disclosures - see note below.
FY2021 and FY2022 figures on this sheet were recovered 2026-09-03 (ST-027) from two archived NBKI Pillar 3 disclosures no longer linked from the Bank's current disclosures page - a "Pillar III Disclosures December 2021" document (Wayback Machine snapshot of https://www.nbk.com/dam/jcr:19757e7d-4d03-40f8-bf39-63c995186e39/Pillar_III_Disclosures.pdf captured 2023-12-09, https://web.archive.org/web/20231209144740/https://www.nbk.com/dam/jcr:19757e7d-4d03-40f8-bf39-63c995186e39/Pillar_III_Disclosures.pdf) and a "December 2023"-dated document that (despite its filename) itself only discloses FY2022 with an FY2021 comparative (Wayback Machine snapshot captured 2024-02-17, https://web.archive.org/web/20240217111133/https://www.nbk.com/dam/jcr:19757e7d-4d03-40f8-bf39-63c995186e39/Pillar_III_Disclosures.pdf). Both were previously treated as "not publicly disclosed" for FY2021-FY2023 - FY2023 remains genuinely unrecoverable (no FY2023 Pillar 3 document was located via the live site or the Wayback Machine, and the only file with "2023" in its name resolved to an unrelated NBK entity's disclosure) and stays not publicly disclosed.
FY2023 RE-VERIFIED AGAIN 2026-09-15 (independent interior-gap sweep; still genuinely not disclosed). Four checks, all negative:
1. The live NBKI Pillar 3 document at the Bank's stable URL was re-downloaded and is the 31 December 2025 edition; its Table 3 'Key metrics' (p.16) has exactly TWO columns, 31 Dec 2025 and 31 Dec 2024. There is no FY2023 comparative to recover, so the usual "read the next year's comparative column" route is closed for this bank - NBKI's KM1-equivalent never carries more than one prior year.
2. A Wayback CDX scan across the whole nbk.com domain for any URL containing "pillar" returned the same four captures of NBKI's own stable URL already documented above, and nothing else NBKI-related.
3. That scan DID surface two nbk.com documents whose filenames look promising - https://www.nbk.com/dam/jcr:6ed10da3-e2cf-4194-b3b2-eb19e0b4b447/Pillar-III-Disclosures-2023.pdf and https://www.nbk.com/dam/jcr:7ba4c7e4-c705-4d5a-b6a6-2867045845bb/Pillar%20III%20Disclosres%202024.pdf (the second filename's typo is the Bank's own). Both were downloaded live and read: both are NBK FRANCE SA ("NBKF") reports, a different legal entity in a different jurisdiction ("NBK France SA ('NBKF') has been active in France since 1987... the National Bank of Kuwait Group selected France as its preferred Member State"). This pins down the earlier note's vague "an unrelated NBK entity" to the exact entity and the exact two URLs, so a future session does not have to re-open them. Using either would be a cross-entity substitution and is not done.
4. The FY2023 statutory accounts (NBKI-Financial-Statement-2023.pdf) were re-read: Note 28.2 'Liquidity Risk' is a contractual-maturity table only, and neither the term LCR/NSFR nor any leverage ratio appears anywhere in that document (nor in the FY2024 accounts).
Conclusion unchanged: NBKI's FY2023 Leverage Ratio, LCR and NSFR are genuinely not publicly disclosed.</t>
        </is>
      </c>
    </row>
    <row r="8" ht="156" customHeight="1">
      <c r="A8" s="7" t="inlineStr">
        <is>
          <t>(continued)
FIFTH VERIFICATION, AND A CORRECTION TO HOW THIS GAP IS DESCRIBED (2026-09-19). Two of the four checks above were re-run independently from the documents rather than from these notes, and both hold: (a) the 2024-02-17 capture was re-downloaded (HTTP 200, application/pdf, %PDF verified, 335,231 bytes) and its own body text reads "...for NBKI Limited ('NBKI' or 'the Bank') as of 31 December 2022", so the "December 2023" on its cover is indeed a posting date and not a reporting date; (b) the 2024-08-04 capture of "Pillar III Disclosures 2023.pdf" was re-downloaded and its Table EU KM1 is headed "in millions euros" with CET1 220,981 - NBK France SA, not this entity, exactly as recorded above. A fresh domain-wide Wayback CDX sweep of nbk.com for 'pillar' returned 51 rows and no NBKI-London item beyond the stable URL and the 2014 file.
THE CORRECTION is to the phrase "shown absent by enumeration ... treat this gap as closed" used in the RWA Breakdown note. Enumeration shows that no FY2023 vintage was ever ARCHIVED, which - given that this Bank overwrites one stable URL rather than minting a per-year file - is what would be observed whether or not an FY2023 edition was published. The Wayback Machine's coverage of that URL is four captures in six years, two of them error pages. So the defensible finding is UNREACHED, not never-published: no FY2023 edition is retrievable today by any route tried, and nothing shows the Bank failed to publish one. The FY2023 cells on this sheet, on LCR, on NSFR, on RWA Breakdown and on KM1 now say "Not available" rather than standing blank, so that a reader can tell a limit on our reach from a fact about the Bank. What IS a fact about the Bank, separately established and unchanged: the FY2023 statutory accounts (Note 31 'Capital management') print the aggregate RWA figure and nothing else - no LCR, no NSFR, no leverage ratio, and no category-level RWA split.</t>
        </is>
      </c>
    </row>
    <row r="10" ht="220" customHeight="1">
      <c r="A10"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3">
    <mergeCell ref="A8:F8"/>
    <mergeCell ref="A10:F10"/>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120%</t>
        </is>
      </c>
      <c r="C4" s="6" t="inlineStr">
        <is>
          <t>127%</t>
        </is>
      </c>
      <c r="D4" s="6" t="inlineStr">
        <is>
          <t>Not available - FY2023 Pillar 3 unretrievable; none in the FY2023 accounts</t>
        </is>
      </c>
      <c r="E4" s="6" t="inlineStr">
        <is>
          <t>127%</t>
        </is>
      </c>
      <c r="F4" s="6" t="inlineStr">
        <is>
          <t>114%</t>
        </is>
      </c>
    </row>
    <row r="5" ht="325" customHeight="1">
      <c r="A5" s="7" t="inlineStr">
        <is>
          <t>Note: FY2023: not available - no FY2023 Pillar 3 edition is retrievable; see note below. FY2024-FY2025 are from the official Pillar 3 Table 3, p.16. FY2021-FY2022 are from archived Pillar 3 disclosures - see note below. FY2022's NSFR (127%) and FY2024's NSFR (127%) are coincidentally identical values from two different years/documents.
FY2021 and FY2022 figures on this sheet were recovered 2026-09-03 (ST-027) from two archived NBKI Pillar 3 disclosures no longer linked from the Bank's current disclosures page - a "Pillar III Disclosures December 2021" document (Wayback Machine snapshot of https://www.nbk.com/dam/jcr:19757e7d-4d03-40f8-bf39-63c995186e39/Pillar_III_Disclosures.pdf captured 2023-12-09, https://web.archive.org/web/20231209144740/https://www.nbk.com/dam/jcr:19757e7d-4d03-40f8-bf39-63c995186e39/Pillar_III_Disclosures.pdf) and a "December 2023"-dated document that (despite its filename) itself only discloses FY2022 with an FY2021 comparative (Wayback Machine snapshot captured 2024-02-17, https://web.archive.org/web/20240217111133/https://www.nbk.com/dam/jcr:19757e7d-4d03-40f8-bf39-63c995186e39/Pillar_III_Disclosures.pdf). Both were previously treated as "not publicly disclosed" for FY2021-FY2023 - FY2023 remains genuinely unrecoverable (no FY2023 Pillar 3 document was located via the live site or the Wayback Machine, and the only file with "2023" in its name resolved to an unrelated NBK entity's disclosure) and stays not publicly disclosed.
FY2023 RE-VERIFIED AGAIN 2026-09-15 (independent interior-gap sweep; still genuinely not disclosed). Four checks, all negative:
1. The live NBKI Pillar 3 document at the Bank's stable URL was re-downloaded and is the 31 December 2025 edition; its Table 3 'Key metrics' (p.16) has exactly TWO columns, 31 Dec 2025 and 31 Dec 2024. There is no FY2023 comparative to recover, so the usual "read the next year's comparative column" route is closed for this bank - NBKI's KM1-equivalent never carries more than one prior year.
2. A Wayback CDX scan across the whole nbk.com domain for any URL containing "pillar" returned the same four captures of NBKI's own stable URL already documented above, and nothing else NBKI-related.
3. That scan DID surface two nbk.com documents whose filenames look promising - https://www.nbk.com/dam/jcr:6ed10da3-e2cf-4194-b3b2-eb19e0b4b447/Pillar-III-Disclosures-2023.pdf and https://www.nbk.com/dam/jcr:7ba4c7e4-c705-4d5a-b6a6-2867045845bb/Pillar%20III%20Disclosres%202024.pdf (the second filename's typo is the Bank's own). Both were downloaded live and read: both are NBK FRANCE SA ("NBKF") reports, a different legal entity in a different jurisdiction ("NBK France SA ('NBKF') has been active in France since 1987... the National Bank of Kuwait Group selected France as its preferred Member State"). This pins down the earlier note's vague "an unrelated NBK entity" to the exact entity and the exact two URLs, so a future session does not have to re-open them. Using either would be a cross-entity substitution and is not done.
4. The FY2023 statutory accounts (NBKI-Financial-Statement-2023.pdf) were re-read: Note 28.2 'Liquidity Risk' is a contractual-maturity table only, and neither the term LCR/NSFR nor any leverage ratio appears anywhere in that document (nor in the FY2024 accounts).
Conclusion unchanged: NBKI's FY2023 Leverage Ratio, LCR and NSFR are genuinely not publicly disclosed.</t>
        </is>
      </c>
    </row>
    <row r="6" ht="156" customHeight="1">
      <c r="A6" s="7" t="inlineStr">
        <is>
          <t>(continued)
FIFTH VERIFICATION, AND A CORRECTION TO HOW THIS GAP IS DESCRIBED (2026-09-19). Two of the four checks above were re-run independently from the documents rather than from these notes, and both hold: (a) the 2024-02-17 capture was re-downloaded (HTTP 200, application/pdf, %PDF verified, 335,231 bytes) and its own body text reads "...for NBKI Limited ('NBKI' or 'the Bank') as of 31 December 2022", so the "December 2023" on its cover is indeed a posting date and not a reporting date; (b) the 2024-08-04 capture of "Pillar III Disclosures 2023.pdf" was re-downloaded and its Table EU KM1 is headed "in millions euros" with CET1 220,981 - NBK France SA, not this entity, exactly as recorded above. A fresh domain-wide Wayback CDX sweep of nbk.com for 'pillar' returned 51 rows and no NBKI-London item beyond the stable URL and the 2014 file.
THE CORRECTION is to the phrase "shown absent by enumeration ... treat this gap as closed" used in the RWA Breakdown note. Enumeration shows that no FY2023 vintage was ever ARCHIVED, which - given that this Bank overwrites one stable URL rather than minting a per-year file - is what would be observed whether or not an FY2023 edition was published. The Wayback Machine's coverage of that URL is four captures in six years, two of them error pages. So the defensible finding is UNREACHED, not never-published: no FY2023 edition is retrievable today by any route tried, and nothing shows the Bank failed to publish one. The FY2023 cells on this sheet, on LCR, on NSFR, on RWA Breakdown and on KM1 now say "Not available" rather than standing blank, so that a reader can tell a limit on our reach from a fact about the Bank. What IS a fact about the Bank, separately established and unchanged: the FY2023 statutory accounts (Note 31 'Capital management') print the aggregate RWA figure and nothing else - no LCR, no NSFR, no leverage ratio, and no category-level RWA split.</t>
        </is>
      </c>
    </row>
    <row r="8" ht="220" customHeight="1">
      <c r="A8"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t>
        </is>
      </c>
    </row>
  </sheetData>
  <mergeCells count="3">
    <mergeCell ref="A8:F8"/>
    <mergeCell ref="A6:F6"/>
    <mergeCell ref="A5:F5"/>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National Bank of Kuwait (International)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NBKI Pillar 3 31 Dec 2025 and FY2025 financial statements (full text searched 2026-09-19) contain no MREL figure or reference</t>
        </is>
      </c>
      <c r="C4" s="6" t="inlineStr">
        <is>
          <t>Not published – FY2025 Pillar 3 (with 2024 comparatives) and FY2024 financial statements (full text searched 2026-09-19) contain no MREL reference</t>
        </is>
      </c>
      <c r="D4" s="6" t="inlineStr">
        <is>
          <t>Unreached today – FY2023 Pillar 3 overwritten at NBKI's stable URL; no Wayback (captures skip Mar 2024-Jan 2025) or archive.ph copy; nbk.com/dam CDX &amp; NBKI report pages: none (2026-09-19); Common Crawl 2024-10..2025-26 checked</t>
        </is>
      </c>
      <c r="E4" s="6" t="inlineStr">
        <is>
          <t>Not published – NBKI Pillar 3 at 31/12/22 (Wayback 2024-02-17) and FY2022 financial statements contain no MREL figure or reference</t>
        </is>
      </c>
      <c r="F4" s="6" t="inlineStr">
        <is>
          <t>Not published – NBKI Pillar 3 December 2021 (Wayback 2023-12-09) and FY2021 financial statements contain no MREL figure or reference</t>
        </is>
      </c>
    </row>
    <row r="5" ht="65" customHeight="1">
      <c r="A5" s="7" t="inlineStr">
        <is>
          <t>Note: No MREL ratio or requirement was located in the FY2021–FY2025 annual reports or the official Pillar 3 disclosure.
FY2023 COMMON CRAWL CHECK (2026-09-19): every Common Crawl crawl CC-MAIN-2024-10 to CC-MAIN-2025-26 was searched for nbk.com/dam/* (www. and bare). NBKI's stable Pillar 3 URL (jcr:19757e7d.../Pillar_III_Disclosures.pdf) appears only in CC-MAIN-2025-08 and CC-MAIN-2025-26, and both records are NBK's web-firewall block page, not a document; no 2024 crawl captured it. The file 'Pillar III Disclosures 2023.pdf' (jcr:6ed10da3, CC-MAIN-2024-33, retrieved complete) is NBK France's EU KM1 in euros and is not NBKI's; it is not used. FY2023 stays Unreached.</t>
        </is>
      </c>
    </row>
    <row r="7" ht="221" customHeight="1">
      <c r="A7" s="8" t="inlineStr">
        <is>
          <t>National Bank of Kuwait (International) Plc (company 02773743, FRN 171532, LEI 213800OTQ2BHFRVL6A46) is the entity in Banks List 2608.xlsx. Companies House confirms the active public company, incorporated 9 December 1992, with accounts made up to 31 December. The Bank is a wholly-owned subsidiary of National Bank of Kuwait S.A.K.P. and is regulated by the PRA and FCA.
Official annual reports and financial statements:
FY2025: no capital management note published in the statutory accounts (see note), https://www.nbk.com/dam/jcr:6d7dc8ff-20d6-4ba1-be40-03386a48becd/nbki-financial-statements-2025.pdf
FY2024: no capital management note published in the statutory accounts (see note), https://www.nbk.com/dam/jcr:04623e62-4149-4a86-99a6-989cd9285e7e/NBKI-Financial-Statement-2024.pdf
FY2023: Note 31 "Capital management (unaudited)" p.72, https://www.nbk.com/dam/jcr:a2323d07-848e-4518-971d-8e24a3395ad0/NBKI-Financial-Statement-2023.pdf
FY2022: Note 31 "Capital management (unaudited)" p.65, https://www.nbk.com/dam/jcr:d333e5bb-2545-40a2-90a6-59a827646b7b/NBKI-Financial-Statement-2022.pdf
FY2021: Note 32 "Capital management (unaudited)" p.72, https://www.nbk.com/dam/jcr:c3c72c41-97cb-454c-b14e-2a77baf033ab/NBKI-Financial-Statement-2021.pdf
Official NBKI Pillar 3 Disclosure 31 December 2025 (Table 3, Key Metrics, p.16; includes 31 December 2024 comparative values): https://www.nbk.com/dam/jcr:19757e7d-4d03-40f8-bf39-63c995186e39/Pillar_III_Disclosures.pdf
No MREL ratio or MREL requirement was numerically disclosed in the reviewed entity-level documents.</t>
        </is>
      </c>
    </row>
  </sheetData>
  <mergeCells count="2">
    <mergeCell ref="A5:F5"/>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2026-10-10T15:08:36Z</dcterms:created>
  <dcterms:modified xmlns:dcterms="http://purl.org/dc/terms/" xmlns:xsi="http://www.w3.org/2001/XMLSchema-instance" xsi:type="dcterms:W3CDTF">2026-10-10T15:08:36Z</dcterms:modified>
</cp:coreProperties>
</file>