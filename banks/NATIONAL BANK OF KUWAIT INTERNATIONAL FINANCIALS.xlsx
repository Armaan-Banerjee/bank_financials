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'Overview'!$Z$19:$AC$19</f>
            </numRef>
          </cat>
          <val>
            <numRef>
              <f>'Overview'!$Z$20:$AC$20</f>
            </numRef>
          </val>
        </ser>
        <ser>
          <idx val="1"/>
          <order val="1"/>
          <tx>
            <strRef>
              <f>'Overview'!Y21</f>
            </strRef>
          </tx>
          <spPr>
            <a:ln xmlns:a="http://schemas.openxmlformats.org/drawingml/2006/main">
              <a:prstDash val="solid"/>
            </a:ln>
          </spPr>
          <cat>
            <numRef>
              <f>'Overview'!$Z$19:$AC$19</f>
            </numRef>
          </cat>
          <val>
            <numRef>
              <f>'Overview'!$Z$21:$AC$21</f>
            </numRef>
          </val>
        </ser>
        <ser>
          <idx val="2"/>
          <order val="2"/>
          <tx>
            <strRef>
              <f>'Overview'!Y22</f>
            </strRef>
          </tx>
          <spPr>
            <a:ln xmlns:a="http://schemas.openxmlformats.org/drawingml/2006/main">
              <a:prstDash val="solid"/>
            </a:ln>
          </spPr>
          <cat>
            <numRef>
              <f>'Overview'!$Z$19:$AC$19</f>
            </numRef>
          </cat>
          <val>
            <numRef>
              <f>'Overview'!$Z$22:$AC$22</f>
            </numRef>
          </val>
        </ser>
        <ser>
          <idx val="3"/>
          <order val="3"/>
          <tx>
            <strRef>
              <f>'Overview'!Y23</f>
            </strRef>
          </tx>
          <spPr>
            <a:ln xmlns:a="http://schemas.openxmlformats.org/drawingml/2006/main">
              <a:prstDash val="solid"/>
            </a:ln>
          </spPr>
          <cat>
            <numRef>
              <f>'Overview'!$Z$19:$AC$19</f>
            </numRef>
          </cat>
          <val>
            <numRef>
              <f>'Overview'!$Z$23:$AC$23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'Overview'!AF6</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'Overview'!$AG$6:$AK$6</f>
            </numRef>
          </val>
          <smooth val="0"/>
        </ser>
        <ser>
          <idx val="1"/>
          <order val="1"/>
          <tx>
            <strRef>
              <f>'Overview'!AF7</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'Overview'!$AG$7:$AK$7</f>
            </numRef>
          </val>
          <smooth val="0"/>
        </ser>
        <ser>
          <idx val="2"/>
          <order val="2"/>
          <tx>
            <strRef>
              <f>'Overview'!AF8</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'Overview'!$AG$8:$AK$8</f>
            </numRef>
          </val>
          <smooth val="0"/>
        </ser>
        <ser>
          <idx val="3"/>
          <order val="3"/>
          <tx>
            <strRef>
              <f>'Overview'!AF9</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'Overview'!$AG$9:$AK$9</f>
            </numRef>
          </val>
          <smooth val="0"/>
        </ser>
        <ser>
          <idx val="4"/>
          <order val="4"/>
          <tx>
            <strRef>
              <f>'Overview'!AF10</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'Overview'!$AG$10:$AK$10</f>
            </numRef>
          </val>
          <smooth val="0"/>
        </ser>
        <ser>
          <idx val="5"/>
          <order val="5"/>
          <tx>
            <strRef>
              <f>'Overview'!AF11</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'Overview'!$AG$11:$AK$11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K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G5" t="inlineStr">
        <is>
          <t>FY2021</t>
        </is>
      </c>
      <c r="AH5" t="inlineStr">
        <is>
          <t>FY2022</t>
        </is>
      </c>
      <c r="AI5" t="inlineStr">
        <is>
          <t>FY2023</t>
        </is>
      </c>
      <c r="AJ5" t="inlineStr">
        <is>
          <t>FY2024</t>
        </is>
      </c>
      <c r="AK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F6" t="inlineStr">
        <is>
          <t>CET1 Ratio</t>
        </is>
      </c>
      <c r="AG6" t="n">
        <v>21.24</v>
      </c>
      <c r="AH6" t="n">
        <v>21.26</v>
      </c>
      <c r="AI6" t="n">
        <v>20.51</v>
      </c>
      <c r="AJ6" t="n">
        <v>20.03</v>
      </c>
      <c r="AK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F7" t="inlineStr">
        <is>
          <t>Tier 1 Ratio</t>
        </is>
      </c>
      <c r="AG7" t="n">
        <v>21.24</v>
      </c>
      <c r="AH7" t="n">
        <v>21.26</v>
      </c>
      <c r="AI7" t="n">
        <v>20.51</v>
      </c>
      <c r="AJ7" t="n">
        <v>20.03</v>
      </c>
      <c r="AK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F8" t="inlineStr">
        <is>
          <t>Total Capital Ratio</t>
        </is>
      </c>
      <c r="AG8" t="n">
        <v>21.24</v>
      </c>
      <c r="AH8" t="n">
        <v>21.26</v>
      </c>
      <c r="AI8" t="n">
        <v>20.51</v>
      </c>
      <c r="AJ8" t="n">
        <v>20.03</v>
      </c>
      <c r="AK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F9" t="inlineStr">
        <is>
          <t>Leverage Ratio</t>
        </is>
      </c>
      <c r="AG9" t="n">
        <v>12.74</v>
      </c>
      <c r="AH9" t="n">
        <v>13.09</v>
      </c>
      <c r="AJ9" t="n">
        <v>12.13</v>
      </c>
      <c r="AK9" t="n">
        <v>13.21</v>
      </c>
    </row>
    <row r="10">
      <c r="AF10" t="inlineStr">
        <is>
          <t>LCR</t>
        </is>
      </c>
      <c r="AG10" t="n">
        <v>227</v>
      </c>
      <c r="AH10" t="n">
        <v>300</v>
      </c>
      <c r="AJ10" t="n">
        <v>430</v>
      </c>
      <c r="AK10" t="n">
        <v>497</v>
      </c>
    </row>
    <row r="11">
      <c r="A11" s="3" t="inlineStr">
        <is>
          <t>Profit &amp; Loss Summary (As reported: £'000 (FY2024-FY2025); US$'000 (FY2021-FY2023))</t>
        </is>
      </c>
      <c r="AF11" t="inlineStr">
        <is>
          <t>NSFR</t>
        </is>
      </c>
      <c r="AG11" t="n">
        <v>114</v>
      </c>
      <c r="AH11" t="n">
        <v>127</v>
      </c>
      <c r="AJ11" t="n">
        <v>127</v>
      </c>
      <c r="AK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Z19" t="inlineStr">
        <is>
          <t>FY2022</t>
        </is>
      </c>
      <c r="AA19" t="inlineStr">
        <is>
          <t>FY2023</t>
        </is>
      </c>
      <c r="AB19" t="inlineStr">
        <is>
          <t>FY2024</t>
        </is>
      </c>
      <c r="AC19" t="inlineStr">
        <is>
          <t>FY2025</t>
        </is>
      </c>
    </row>
    <row r="20">
      <c r="A20" s="5" t="inlineStr">
        <is>
          <t>Opening equity</t>
        </is>
      </c>
      <c r="B20" s="5" t="n">
        <v>501978</v>
      </c>
      <c r="C20" s="5" t="n">
        <v>419962</v>
      </c>
      <c r="D20" s="5" t="n">
        <v>473823</v>
      </c>
      <c r="E20" s="5" t="n">
        <v>447733</v>
      </c>
      <c r="Y20" t="inlineStr">
        <is>
          <t>Opening equity</t>
        </is>
      </c>
      <c r="Z20" t="n">
        <v>447733</v>
      </c>
      <c r="AA20" t="n">
        <v>473823</v>
      </c>
      <c r="AB20" t="n">
        <v>419962</v>
      </c>
      <c r="AC20" t="n">
        <v>501978</v>
      </c>
    </row>
    <row r="21">
      <c r="A21" s="5" t="inlineStr">
        <is>
          <t>Total comprehensive income for the year</t>
        </is>
      </c>
      <c r="B21" s="5" t="n">
        <v>35220</v>
      </c>
      <c r="C21" s="5" t="n">
        <v>32016</v>
      </c>
      <c r="D21" s="5" t="n">
        <v>59906</v>
      </c>
      <c r="E21" s="5" t="n">
        <v>-27430</v>
      </c>
      <c r="Y21" t="inlineStr">
        <is>
          <t>Total comprehensive income for the year</t>
        </is>
      </c>
      <c r="Z21" t="n">
        <v>-27430</v>
      </c>
      <c r="AA21" t="n">
        <v>59906</v>
      </c>
      <c r="AB21" t="n">
        <v>32016</v>
      </c>
      <c r="AC21" t="n">
        <v>35220</v>
      </c>
    </row>
    <row r="22">
      <c r="A22" s="5" t="inlineStr">
        <is>
          <t>Other equity movements, net</t>
        </is>
      </c>
      <c r="B22" s="5" t="n">
        <v>0</v>
      </c>
      <c r="C22" s="5" t="n">
        <v>50000</v>
      </c>
      <c r="D22" s="5" t="n">
        <v>0</v>
      </c>
      <c r="E22" s="5" t="n">
        <v>53520</v>
      </c>
      <c r="Y22" t="inlineStr">
        <is>
          <t>Other equity movements, net</t>
        </is>
      </c>
      <c r="Z22" t="n">
        <v>53520</v>
      </c>
      <c r="AA22" t="n">
        <v>0</v>
      </c>
      <c r="AB22" t="n">
        <v>50000</v>
      </c>
      <c r="AC22" t="n">
        <v>0</v>
      </c>
    </row>
    <row r="23">
      <c r="A23" s="5" t="inlineStr">
        <is>
          <t>Closing equity</t>
        </is>
      </c>
      <c r="B23" s="5" t="n">
        <v>537198</v>
      </c>
      <c r="C23" s="5" t="n">
        <v>501978</v>
      </c>
      <c r="D23" s="5" t="n">
        <v>533729</v>
      </c>
      <c r="E23" s="5" t="n">
        <v>473823</v>
      </c>
      <c r="Y23" t="inlineStr">
        <is>
          <t>Closing equity</t>
        </is>
      </c>
      <c r="Z23" t="n">
        <v>473823</v>
      </c>
      <c r="AA23" t="n">
        <v>533729</v>
      </c>
      <c r="AB23" t="n">
        <v>501978</v>
      </c>
      <c r="AC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6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 'Investment securities - ...' sub-rows below the renamed 'Total investment securities' line are a measurement-basis breakdown per Note 15 - see Investment Securities Breakdown note; no issuer-type split is disclosed in any year's report.</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Total investment securities</t>
        </is>
      </c>
      <c r="B9" s="6" t="n">
        <v>550717</v>
      </c>
      <c r="C9" s="6" t="n">
        <v>398439</v>
      </c>
      <c r="D9" s="6" t="n">
        <v>357952</v>
      </c>
      <c r="E9" s="6" t="n">
        <v>264917</v>
      </c>
      <c r="F9" s="6" t="n">
        <v>213944</v>
      </c>
    </row>
    <row r="10">
      <c r="A10" s="6" t="inlineStr">
        <is>
          <t>Investment securities - Equities (FVOCI)</t>
        </is>
      </c>
      <c r="B10" s="6" t="n">
        <v>2145</v>
      </c>
      <c r="C10" s="6" t="n">
        <v>2025</v>
      </c>
      <c r="D10" s="6" t="n">
        <v>1772</v>
      </c>
      <c r="E10" s="6" t="n">
        <v>1407</v>
      </c>
      <c r="F10" s="6" t="n">
        <v>1018</v>
      </c>
    </row>
    <row r="11">
      <c r="A11" s="6" t="inlineStr">
        <is>
          <t>Investment securities - Equities (FVPL)</t>
        </is>
      </c>
      <c r="B11" s="6" t="n">
        <v>85</v>
      </c>
      <c r="C11" s="6" t="n">
        <v>46</v>
      </c>
      <c r="D11" s="6" t="n">
        <v>137</v>
      </c>
      <c r="E11" s="6" t="n">
        <v>11361</v>
      </c>
      <c r="F11" s="6" t="n">
        <v>252</v>
      </c>
    </row>
    <row r="12">
      <c r="A12" s="6" t="inlineStr">
        <is>
          <t>Investment securities - Debt securities (FVOCI)</t>
        </is>
      </c>
      <c r="B12" s="6" t="n">
        <v>543552</v>
      </c>
      <c r="C12" s="6" t="n">
        <v>392799</v>
      </c>
      <c r="D12" s="6" t="n">
        <v>352409</v>
      </c>
      <c r="E12" s="6" t="n">
        <v>249601</v>
      </c>
      <c r="F12" s="6" t="n">
        <v>170839</v>
      </c>
    </row>
    <row r="13">
      <c r="A13" s="6" t="inlineStr">
        <is>
          <t>Investment securities - Debt securities (FVPL)</t>
        </is>
      </c>
      <c r="B13" s="6" t="n"/>
      <c r="C13" s="6" t="n"/>
      <c r="D13" s="6" t="n"/>
      <c r="E13" s="6" t="n"/>
      <c r="F13" s="6" t="n">
        <v>41872</v>
      </c>
    </row>
    <row r="14">
      <c r="A14" s="6" t="inlineStr">
        <is>
          <t>Investment securities - Interest receivable (accrued)</t>
        </is>
      </c>
      <c r="B14" s="6" t="n">
        <v>5039</v>
      </c>
      <c r="C14" s="6" t="n">
        <v>3634</v>
      </c>
      <c r="D14" s="6" t="n">
        <v>3691</v>
      </c>
      <c r="E14" s="6" t="n">
        <v>2577</v>
      </c>
      <c r="F14" s="6" t="n"/>
    </row>
    <row r="15">
      <c r="A15" s="6" t="inlineStr">
        <is>
          <t>Investment securities - Less: ECL allowance</t>
        </is>
      </c>
      <c r="B15" s="6" t="n">
        <v>-104</v>
      </c>
      <c r="C15" s="6" t="n">
        <v>-65</v>
      </c>
      <c r="D15" s="6" t="n">
        <v>-57</v>
      </c>
      <c r="E15" s="6" t="n">
        <v>-29</v>
      </c>
      <c r="F15" s="6" t="n">
        <v>-37</v>
      </c>
    </row>
    <row r="16">
      <c r="A16" s="6" t="inlineStr">
        <is>
          <t>Investment in group entity</t>
        </is>
      </c>
      <c r="B16" s="6" t="n"/>
      <c r="C16" s="6" t="n"/>
      <c r="D16" s="6" t="n">
        <v>0</v>
      </c>
      <c r="E16" s="6" t="n">
        <v>44000</v>
      </c>
      <c r="F16" s="6" t="n">
        <v>45792</v>
      </c>
    </row>
    <row r="17">
      <c r="A17" s="6" t="inlineStr">
        <is>
          <t>Derivative assets</t>
        </is>
      </c>
      <c r="B17" s="6" t="n">
        <v>20557</v>
      </c>
      <c r="C17" s="6" t="n">
        <v>23453</v>
      </c>
      <c r="D17" s="6" t="n">
        <v>11890</v>
      </c>
      <c r="E17" s="6" t="n">
        <v>15296</v>
      </c>
      <c r="F17" s="6" t="n">
        <v>6401</v>
      </c>
    </row>
    <row r="18">
      <c r="A18" s="6" t="inlineStr">
        <is>
          <t>Fixed assets</t>
        </is>
      </c>
      <c r="B18" s="6" t="n">
        <v>41862</v>
      </c>
      <c r="C18" s="6" t="n">
        <v>39969</v>
      </c>
      <c r="D18" s="6" t="n">
        <v>50764</v>
      </c>
      <c r="E18" s="6" t="n">
        <v>49253</v>
      </c>
      <c r="F18" s="6" t="n">
        <v>55230</v>
      </c>
    </row>
    <row r="19">
      <c r="A19" s="6" t="inlineStr">
        <is>
          <t>Other assets</t>
        </is>
      </c>
      <c r="B19" s="6" t="n">
        <v>19645</v>
      </c>
      <c r="C19" s="6" t="n">
        <v>12547</v>
      </c>
      <c r="D19" s="6" t="n">
        <v>7177</v>
      </c>
      <c r="E19" s="6" t="n">
        <v>2423</v>
      </c>
      <c r="F19" s="6" t="n">
        <v>10231</v>
      </c>
    </row>
    <row r="20">
      <c r="A20" s="5" t="inlineStr">
        <is>
          <t>Total assets</t>
        </is>
      </c>
      <c r="B20" s="5" t="n">
        <v>3941863</v>
      </c>
      <c r="C20" s="5" t="n">
        <v>3934570</v>
      </c>
      <c r="D20" s="5" t="n">
        <v>4267995</v>
      </c>
      <c r="E20" s="5" t="n">
        <v>3425686</v>
      </c>
      <c r="F20" s="5" t="n">
        <v>3320347</v>
      </c>
    </row>
    <row r="21">
      <c r="A21" s="5" t="inlineStr">
        <is>
          <t>Liabilities</t>
        </is>
      </c>
      <c r="B21" s="6" t="n"/>
      <c r="C21" s="6" t="n"/>
      <c r="D21" s="6" t="n"/>
      <c r="E21" s="6" t="n"/>
      <c r="F21" s="6" t="n"/>
    </row>
    <row r="22">
      <c r="A22" s="6" t="inlineStr">
        <is>
          <t>Due to banks and other financial institutions</t>
        </is>
      </c>
      <c r="B22" s="6" t="n">
        <v>758900</v>
      </c>
      <c r="C22" s="6" t="n">
        <v>1020083</v>
      </c>
      <c r="D22" s="6" t="n">
        <v>1338382</v>
      </c>
      <c r="E22" s="6" t="n">
        <v>1078891</v>
      </c>
      <c r="F22" s="6" t="n">
        <v>863405</v>
      </c>
    </row>
    <row r="23">
      <c r="A23" s="6" t="inlineStr">
        <is>
          <t>Customer deposits</t>
        </is>
      </c>
      <c r="B23" s="6" t="n">
        <v>2355436</v>
      </c>
      <c r="C23" s="6" t="n">
        <v>2126886</v>
      </c>
      <c r="D23" s="6" t="n">
        <v>1987234</v>
      </c>
      <c r="E23" s="6" t="n">
        <v>1611651</v>
      </c>
      <c r="F23" s="6" t="n">
        <v>1524917</v>
      </c>
    </row>
    <row r="24">
      <c r="A24" s="6" t="inlineStr">
        <is>
          <t>Repurchase agreements</t>
        </is>
      </c>
      <c r="B24" s="6" t="n">
        <v>70065</v>
      </c>
      <c r="C24" s="6" t="n">
        <v>0</v>
      </c>
      <c r="D24" s="6" t="n"/>
      <c r="E24" s="6" t="n"/>
      <c r="F24" s="6" t="n"/>
    </row>
    <row r="25">
      <c r="A25" s="6" t="inlineStr">
        <is>
          <t>Certificates of deposit issued</t>
        </is>
      </c>
      <c r="B25" s="6" t="n">
        <v>185765</v>
      </c>
      <c r="C25" s="6" t="n">
        <v>257778</v>
      </c>
      <c r="D25" s="6" t="n">
        <v>345265</v>
      </c>
      <c r="E25" s="6" t="n">
        <v>213478</v>
      </c>
      <c r="F25" s="6" t="n">
        <v>441222</v>
      </c>
    </row>
    <row r="26">
      <c r="A26" s="6" t="inlineStr">
        <is>
          <t>Derivative liabilities</t>
        </is>
      </c>
      <c r="B26" s="6" t="n">
        <v>13155</v>
      </c>
      <c r="C26" s="6" t="n">
        <v>3724</v>
      </c>
      <c r="D26" s="6" t="n">
        <v>18843</v>
      </c>
      <c r="E26" s="6" t="n">
        <v>18207</v>
      </c>
      <c r="F26" s="6" t="n">
        <v>32857</v>
      </c>
    </row>
    <row r="27">
      <c r="A27" s="6" t="inlineStr">
        <is>
          <t>Other liabilities</t>
        </is>
      </c>
      <c r="B27" s="6" t="n">
        <v>21344</v>
      </c>
      <c r="C27" s="6" t="n">
        <v>24121</v>
      </c>
      <c r="D27" s="6" t="n">
        <v>44542</v>
      </c>
      <c r="E27" s="6" t="n">
        <v>29636</v>
      </c>
      <c r="F27" s="6" t="n">
        <v>10213</v>
      </c>
    </row>
    <row r="28">
      <c r="A28" s="5" t="inlineStr">
        <is>
          <t>Total liabilities</t>
        </is>
      </c>
      <c r="B28" s="5" t="n">
        <v>3404665</v>
      </c>
      <c r="C28" s="5" t="n">
        <v>3432592</v>
      </c>
      <c r="D28" s="5" t="n">
        <v>3734266</v>
      </c>
      <c r="E28" s="5" t="n">
        <v>2951863</v>
      </c>
      <c r="F28" s="5" t="n">
        <v>2872614</v>
      </c>
    </row>
    <row r="29">
      <c r="A29" s="5" t="inlineStr">
        <is>
          <t>Equity</t>
        </is>
      </c>
      <c r="B29" s="6" t="n"/>
      <c r="C29" s="6" t="n"/>
      <c r="D29" s="6" t="n"/>
      <c r="E29" s="6" t="n"/>
      <c r="F29" s="6" t="n"/>
    </row>
    <row r="30">
      <c r="A30" s="6" t="inlineStr">
        <is>
          <t>Share capital</t>
        </is>
      </c>
      <c r="B30" s="6" t="n">
        <v>283329</v>
      </c>
      <c r="C30" s="6" t="n">
        <v>283329</v>
      </c>
      <c r="D30" s="6" t="n">
        <v>289403</v>
      </c>
      <c r="E30" s="6" t="n">
        <v>289403</v>
      </c>
      <c r="F30" s="6" t="n">
        <v>235883</v>
      </c>
    </row>
    <row r="31">
      <c r="A31" s="6" t="inlineStr">
        <is>
          <t>Retained earnings</t>
        </is>
      </c>
      <c r="B31" s="6" t="n">
        <v>251956</v>
      </c>
      <c r="C31" s="6" t="n">
        <v>217721</v>
      </c>
      <c r="D31" s="6" t="n">
        <v>244271</v>
      </c>
      <c r="E31" s="6" t="n">
        <v>211715</v>
      </c>
      <c r="F31" s="6" t="n">
        <v>225681</v>
      </c>
    </row>
    <row r="32">
      <c r="A32" s="6" t="inlineStr">
        <is>
          <t>Cumulative changes in fair values</t>
        </is>
      </c>
      <c r="B32" s="6" t="n">
        <v>1913</v>
      </c>
      <c r="C32" s="6" t="n">
        <v>928</v>
      </c>
      <c r="D32" s="6" t="n">
        <v>1882</v>
      </c>
      <c r="E32" s="6" t="n">
        <v>1016</v>
      </c>
      <c r="F32" s="6" t="n">
        <v>-2186</v>
      </c>
    </row>
    <row r="33">
      <c r="A33" s="6" t="inlineStr">
        <is>
          <t>Translation / exchange reserve</t>
        </is>
      </c>
      <c r="B33" s="6" t="n"/>
      <c r="C33" s="6" t="n"/>
      <c r="D33" s="6" t="n">
        <v>-1827</v>
      </c>
      <c r="E33" s="6" t="n">
        <v>-28311</v>
      </c>
      <c r="F33" s="6" t="n">
        <v>-11645</v>
      </c>
    </row>
    <row r="34">
      <c r="A34" s="5" t="inlineStr">
        <is>
          <t>Total equity</t>
        </is>
      </c>
      <c r="B34" s="5" t="n">
        <v>537198</v>
      </c>
      <c r="C34" s="5" t="n">
        <v>501978</v>
      </c>
      <c r="D34" s="5" t="n">
        <v>533729</v>
      </c>
      <c r="E34" s="5" t="n">
        <v>473823</v>
      </c>
      <c r="F34" s="5" t="n">
        <v>447733</v>
      </c>
    </row>
    <row r="35">
      <c r="A35" s="5" t="inlineStr">
        <is>
          <t>Total equity and liabilities</t>
        </is>
      </c>
      <c r="B35" s="5" t="n">
        <v>3941863</v>
      </c>
      <c r="C35" s="5" t="n">
        <v>3934570</v>
      </c>
      <c r="D35" s="5" t="n">
        <v>4267995</v>
      </c>
      <c r="E35" s="5" t="n">
        <v>3425686</v>
      </c>
      <c r="F35" s="5" t="n">
        <v>3320347</v>
      </c>
    </row>
    <row r="37" ht="409" customHeight="1">
      <c r="A3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t>
        </is>
      </c>
    </row>
    <row r="39" ht="409" customHeight="1">
      <c r="A39" s="8" t="inlineStr">
        <is>
          <t>(continued)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2">
    <mergeCell ref="A39:F39"/>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v>-124</v>
      </c>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409"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t>
        </is>
      </c>
    </row>
    <row r="32" ht="409" customHeight="1">
      <c r="A32" s="8" t="inlineStr">
        <is>
          <t>(continued)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2">
    <mergeCell ref="A30:F30"/>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351"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t>
        </is>
      </c>
    </row>
    <row r="28" ht="169" customHeight="1">
      <c r="A28" s="8" t="inlineStr">
        <is>
          <t>(continued)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2">
    <mergeCell ref="A26:F26"/>
    <mergeCell ref="A28:F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377"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t>
        </is>
      </c>
    </row>
    <row r="22" ht="280" customHeight="1">
      <c r="A22" s="8" t="inlineStr">
        <is>
          <t>(continued)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2">
    <mergeCell ref="A20:F20"/>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7"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6.59%</t>
        </is>
      </c>
      <c r="C4" s="6" t="inlineStr">
        <is>
          <t>6.29%</t>
        </is>
      </c>
      <c r="D4" s="6" t="inlineStr">
        <is>
          <t>7.12%</t>
        </is>
      </c>
      <c r="E4" s="6" t="inlineStr">
        <is>
          <t>4.87%</t>
        </is>
      </c>
      <c r="F4" s="6" t="n"/>
    </row>
    <row r="5">
      <c r="A5" s="6" t="inlineStr">
        <is>
          <t>Return on equity - year-end equity basis</t>
        </is>
      </c>
      <c r="B5" s="6" t="inlineStr">
        <is>
          <t>6.37%</t>
        </is>
      </c>
      <c r="C5" s="6" t="inlineStr">
        <is>
          <t>6.49%</t>
        </is>
      </c>
      <c r="D5" s="6" t="inlineStr">
        <is>
          <t>6.72%</t>
        </is>
      </c>
      <c r="E5" s="6" t="inlineStr">
        <is>
          <t>4.73%</t>
        </is>
      </c>
      <c r="F5" s="6" t="inlineStr">
        <is>
          <t>3.81%</t>
        </is>
      </c>
    </row>
    <row r="6">
      <c r="A6" s="6" t="inlineStr">
        <is>
          <t>Return on assets - average assets basis</t>
        </is>
      </c>
      <c r="B6" s="6" t="inlineStr">
        <is>
          <t>0.87%</t>
        </is>
      </c>
      <c r="C6" s="6" t="inlineStr">
        <is>
          <t>0.79%</t>
        </is>
      </c>
      <c r="D6" s="6" t="inlineStr">
        <is>
          <t>0.93%</t>
        </is>
      </c>
      <c r="E6" s="6" t="inlineStr">
        <is>
          <t>0.66%</t>
        </is>
      </c>
      <c r="F6" s="6" t="n"/>
    </row>
    <row r="7">
      <c r="A7" s="6" t="inlineStr">
        <is>
          <t>Return on assets - year-end assets basis</t>
        </is>
      </c>
      <c r="B7" s="6" t="inlineStr">
        <is>
          <t>0.87%</t>
        </is>
      </c>
      <c r="C7" s="6" t="inlineStr">
        <is>
          <t>0.83%</t>
        </is>
      </c>
      <c r="D7" s="6" t="inlineStr">
        <is>
          <t>0.84%</t>
        </is>
      </c>
      <c r="E7" s="6" t="inlineStr">
        <is>
          <t>0.65%</t>
        </is>
      </c>
      <c r="F7" s="6" t="inlineStr">
        <is>
          <t>0.51%</t>
        </is>
      </c>
    </row>
    <row r="8">
      <c r="A8" s="6" t="inlineStr">
        <is>
          <t>Return on shareholders’ equity (as published)</t>
        </is>
      </c>
      <c r="B8" s="6" t="inlineStr">
        <is>
          <t>6.37%</t>
        </is>
      </c>
      <c r="C8" s="6" t="inlineStr">
        <is>
          <t>Not published</t>
        </is>
      </c>
      <c r="D8" s="6" t="n"/>
      <c r="E8" s="6" t="n"/>
      <c r="F8" s="6" t="n"/>
    </row>
    <row r="9" ht="234"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shareholders’ equity: “All KPIs are derived from the financial statements, except for the CET1 ratio.”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Return on shareholders’ equity 6.49%.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National Bank of Kuwait (International) Plc's Annual Report and Accounts for each year; see the source cells on the Balance Sheet and Profit &amp; Loss sheets for the exact document, page and table behind every input to every percentage above.
The '(as published)' rows are quoted verbatim from National Bank of Kuwait (International) Plc's own disclosures and are recorded, with the exact document, page and verification state for each, in research/profitability/published_returns.jsonl under ‘NATIONAL BANK OF KUWAIT INTERNATIONAL’.</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KM1 Key Metrics</t>
        </is>
      </c>
    </row>
    <row r="2">
      <c r="A2" s="2" t="inlineStr">
        <is>
          <t>The Bank's own "Table 3: Key metrics" from section 4.2 of its Pillar 3 Disclosure, reproduced in its own row order, labels and precision. The Bank prints this table UNNUMBERED, so no template row numbers are shown. THE UNIT CHANGES BETWEEN EDITIONS - US$'000 for FY2021-FY2022, £'000 for FY2024-FY2025 - so every amount row appears TWICE, once per unit, and nothing is converted; ratio rows stay single. FY2023 is blank because no FY2023 edition exists. The FY2022 edition's own CET1 capital cells are empty in the source and are left empty here. The CET1 and Total Capital ratios on this sheet differ from the single-metric ratio sheets for FY2021 and FY2022: that is a real conflict between the Bank's Pillar 3 and its audited accounts, established from both documents and explained in full in the source note - neither side has been edited to agree with the other.</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  [£'000, FY2024-FY2025 editions]</t>
        </is>
      </c>
      <c r="B5" s="6" t="n">
        <v>536637</v>
      </c>
      <c r="C5" s="6" t="n">
        <v>501570</v>
      </c>
      <c r="D5" s="6" t="n"/>
      <c r="E5" s="6" t="n"/>
      <c r="F5" s="6" t="n"/>
    </row>
    <row r="6">
      <c r="A6" s="6" t="inlineStr">
        <is>
          <t>Common Equity Tier 1 (CET1) capital  [US$'000, FY2021-FY2022 editions]</t>
        </is>
      </c>
      <c r="B6" s="6" t="n"/>
      <c r="C6" s="6" t="n"/>
      <c r="D6" s="6" t="n"/>
      <c r="E6" s="6" t="n"/>
      <c r="F6" s="6" t="n"/>
    </row>
    <row r="7">
      <c r="A7" s="6" t="inlineStr">
        <is>
          <t>Tier 1 Capital  [£'000, FY2024-FY2025 editions]</t>
        </is>
      </c>
      <c r="B7" s="6" t="n">
        <v>536637</v>
      </c>
      <c r="C7" s="6" t="n">
        <v>501570</v>
      </c>
      <c r="D7" s="6" t="n"/>
      <c r="E7" s="6" t="n"/>
      <c r="F7" s="6" t="n"/>
    </row>
    <row r="8">
      <c r="A8" s="6" t="inlineStr">
        <is>
          <t>Tier 1 Capital  [US$'000, FY2021-FY2022 editions]</t>
        </is>
      </c>
      <c r="B8" s="6" t="n"/>
      <c r="C8" s="6" t="n"/>
      <c r="D8" s="6" t="n"/>
      <c r="E8" s="6" t="n">
        <v>474412</v>
      </c>
      <c r="F8" s="6" t="n">
        <v>443710</v>
      </c>
    </row>
    <row r="9">
      <c r="A9" s="6" t="inlineStr">
        <is>
          <t>Total Capital  [£'000, FY2024-FY2025 editions]</t>
        </is>
      </c>
      <c r="B9" s="6" t="n">
        <v>536637</v>
      </c>
      <c r="C9" s="6" t="n">
        <v>501570</v>
      </c>
      <c r="D9" s="6" t="n"/>
      <c r="E9" s="6" t="n"/>
      <c r="F9" s="6" t="n"/>
    </row>
    <row r="10">
      <c r="A10" s="6" t="inlineStr">
        <is>
          <t>Total Capital  [US$'000, FY2021-FY2022 editions]</t>
        </is>
      </c>
      <c r="B10" s="6" t="n"/>
      <c r="C10" s="6" t="n"/>
      <c r="D10" s="6" t="n"/>
      <c r="E10" s="6" t="n">
        <v>474412</v>
      </c>
      <c r="F10" s="6" t="n">
        <v>443710</v>
      </c>
    </row>
    <row r="11">
      <c r="A11" s="5" t="inlineStr">
        <is>
          <t>Risk Weighted Assets</t>
        </is>
      </c>
      <c r="B11" s="6" t="n"/>
      <c r="C11" s="6" t="n"/>
      <c r="D11" s="6" t="n"/>
      <c r="E11" s="6" t="n"/>
      <c r="F11" s="6" t="n"/>
    </row>
    <row r="12">
      <c r="A12" s="6" t="inlineStr">
        <is>
          <t>Total RWA  [£'000, FY2024-FY2025 editions]</t>
        </is>
      </c>
      <c r="B12" s="6" t="n">
        <v>2624404</v>
      </c>
      <c r="C12" s="6" t="n">
        <v>2503806</v>
      </c>
      <c r="D12" s="6" t="n"/>
      <c r="E12" s="6" t="n"/>
      <c r="F12" s="6" t="n"/>
    </row>
    <row r="13">
      <c r="A13" s="6" t="inlineStr">
        <is>
          <t>Total RWA  [US$'000, FY2021-FY2022 editions]</t>
        </is>
      </c>
      <c r="B13" s="6" t="n"/>
      <c r="C13" s="6" t="n"/>
      <c r="D13" s="6" t="n"/>
      <c r="E13" s="6" t="n">
        <v>2131640</v>
      </c>
      <c r="F13" s="6" t="n">
        <v>2034858</v>
      </c>
    </row>
    <row r="14">
      <c r="A14" s="5" t="inlineStr">
        <is>
          <t>Capital Ratios (as percentage of RWA)</t>
        </is>
      </c>
      <c r="B14" s="6" t="n"/>
      <c r="C14" s="6" t="n"/>
      <c r="D14" s="6" t="n"/>
      <c r="E14" s="6" t="n"/>
      <c r="F14" s="6" t="n"/>
    </row>
    <row r="15">
      <c r="A15" s="6" t="inlineStr">
        <is>
          <t>Common Equity Tier 1 Ratio</t>
        </is>
      </c>
      <c r="B15" s="6" t="inlineStr">
        <is>
          <t>20.45%</t>
        </is>
      </c>
      <c r="C15" s="6" t="inlineStr">
        <is>
          <t>20.03%</t>
        </is>
      </c>
      <c r="D15" s="6" t="n"/>
      <c r="E15" s="6" t="inlineStr">
        <is>
          <t>22.26%</t>
        </is>
      </c>
      <c r="F15" s="6" t="inlineStr">
        <is>
          <t>21.81%</t>
        </is>
      </c>
    </row>
    <row r="16">
      <c r="A16" s="6" t="inlineStr">
        <is>
          <t>Total Capital Ratio</t>
        </is>
      </c>
      <c r="B16" s="6" t="inlineStr">
        <is>
          <t>20.45%</t>
        </is>
      </c>
      <c r="C16" s="6" t="inlineStr">
        <is>
          <t>20.03%</t>
        </is>
      </c>
      <c r="D16" s="6" t="n"/>
      <c r="E16" s="6" t="inlineStr">
        <is>
          <t>22.26%</t>
        </is>
      </c>
      <c r="F16" s="6" t="inlineStr">
        <is>
          <t>21.81%</t>
        </is>
      </c>
    </row>
    <row r="17">
      <c r="A17" s="5" t="inlineStr">
        <is>
          <t>Leverage Ratio</t>
        </is>
      </c>
      <c r="B17" s="6" t="n"/>
      <c r="C17" s="6" t="n"/>
      <c r="D17" s="6" t="n"/>
      <c r="E17" s="6" t="n"/>
      <c r="F17" s="6" t="n"/>
    </row>
    <row r="18">
      <c r="A18" s="6" t="inlineStr">
        <is>
          <t>Total exposure measure excluding claims on central banks  [£'000, FY2024-FY2025 editions]</t>
        </is>
      </c>
      <c r="B18" s="6" t="n">
        <v>4062395</v>
      </c>
      <c r="C18" s="6" t="n">
        <v>4133905</v>
      </c>
      <c r="D18" s="6" t="n"/>
      <c r="E18" s="6" t="n"/>
      <c r="F18" s="6" t="n"/>
    </row>
    <row r="19">
      <c r="A19" s="6" t="inlineStr">
        <is>
          <t>Total exposure measure excluding claims on central banks  [US$'000, FY2021-FY2022 editions]</t>
        </is>
      </c>
      <c r="B19" s="6" t="n"/>
      <c r="C19" s="6" t="n"/>
      <c r="D19" s="6" t="n"/>
      <c r="E19" s="6" t="n">
        <v>3625281</v>
      </c>
      <c r="F19" s="6" t="n">
        <v>3482137</v>
      </c>
    </row>
    <row r="20">
      <c r="A20" s="6" t="inlineStr">
        <is>
          <t>Leverage ratio excluding claims on central banks (%)</t>
        </is>
      </c>
      <c r="B20" s="6" t="inlineStr">
        <is>
          <t>13.21%</t>
        </is>
      </c>
      <c r="C20" s="6" t="inlineStr">
        <is>
          <t>12.13%</t>
        </is>
      </c>
      <c r="D20" s="6" t="inlineStr">
        <is>
          <t>Not available - no FY2023 edition retrievable; stable URL overwritten</t>
        </is>
      </c>
      <c r="E20" s="6" t="inlineStr">
        <is>
          <t>13.09%</t>
        </is>
      </c>
      <c r="F20" s="6" t="inlineStr">
        <is>
          <t>12.74%</t>
        </is>
      </c>
    </row>
    <row r="21">
      <c r="A21" s="5" t="inlineStr">
        <is>
          <t>Liquidity Coverage Ratio ('LCR')</t>
        </is>
      </c>
      <c r="B21" s="6" t="n"/>
      <c r="C21" s="6" t="n"/>
      <c r="D21" s="6" t="n"/>
      <c r="E21" s="6" t="n"/>
      <c r="F21" s="6" t="n"/>
    </row>
    <row r="22">
      <c r="A22" s="6" t="inlineStr">
        <is>
          <t>Total high-quality liquid assets (HQLA) (Weighted value average)  [£'000, FY2024-FY2025 editions]</t>
        </is>
      </c>
      <c r="B22" s="6" t="n">
        <v>731707</v>
      </c>
      <c r="C22" s="6" t="n">
        <v>925985</v>
      </c>
      <c r="D22" s="6" t="n"/>
      <c r="E22" s="6" t="n"/>
      <c r="F22" s="6" t="n"/>
    </row>
    <row r="23">
      <c r="A23" s="6" t="inlineStr">
        <is>
          <t>Total high-quality liquid assets (HQLA) (Weighted value average)  [US$'000, FY2021-FY2022 editions]</t>
        </is>
      </c>
      <c r="B23" s="6" t="n"/>
      <c r="C23" s="6" t="n"/>
      <c r="D23" s="6" t="n"/>
      <c r="E23" s="6" t="n">
        <v>659703</v>
      </c>
      <c r="F23" s="6" t="n">
        <v>702588</v>
      </c>
    </row>
    <row r="24">
      <c r="A24" s="6" t="inlineStr">
        <is>
          <t>Total net cash outflows (adjusted value)  [£'000, FY2024-FY2025 editions]</t>
        </is>
      </c>
      <c r="B24" s="6" t="n">
        <v>147299</v>
      </c>
      <c r="C24" s="6" t="n">
        <v>215454</v>
      </c>
      <c r="D24" s="6" t="n"/>
      <c r="E24" s="6" t="n"/>
      <c r="F24" s="6" t="n"/>
    </row>
    <row r="25">
      <c r="A25" s="6" t="inlineStr">
        <is>
          <t>Total net cash outflows (adjusted value)  [US$'000, FY2021-FY2022 editions]</t>
        </is>
      </c>
      <c r="B25" s="6" t="n"/>
      <c r="C25" s="6" t="n"/>
      <c r="D25" s="6" t="n"/>
      <c r="E25" s="6" t="n">
        <v>220185</v>
      </c>
      <c r="F25" s="6" t="n">
        <v>209655</v>
      </c>
    </row>
    <row r="26">
      <c r="A26" s="6" t="inlineStr">
        <is>
          <t>Liquidity coverage ratio (%) (adjusted value)</t>
        </is>
      </c>
      <c r="B26" s="6" t="inlineStr">
        <is>
          <t>497%</t>
        </is>
      </c>
      <c r="C26" s="6" t="inlineStr">
        <is>
          <t>430%</t>
        </is>
      </c>
      <c r="D26" s="6" t="n"/>
      <c r="E26" s="6" t="inlineStr">
        <is>
          <t>300%</t>
        </is>
      </c>
      <c r="F26" s="6" t="inlineStr">
        <is>
          <t>227%</t>
        </is>
      </c>
    </row>
    <row r="27">
      <c r="A27" s="5" t="inlineStr">
        <is>
          <t>Net Stable Funding Ratio ('NSFR')</t>
        </is>
      </c>
      <c r="B27" s="6" t="n"/>
      <c r="C27" s="6" t="n"/>
      <c r="D27" s="6" t="n"/>
      <c r="E27" s="6" t="n"/>
      <c r="F27" s="6" t="n"/>
    </row>
    <row r="28">
      <c r="A28" s="6" t="inlineStr">
        <is>
          <t>NSFR ratio (%)   [FY2022 edition: "NSFR ratio (%) (adjusted value)"]</t>
        </is>
      </c>
      <c r="B28" s="6" t="inlineStr">
        <is>
          <t>120%</t>
        </is>
      </c>
      <c r="C28" s="6" t="inlineStr">
        <is>
          <t>127%</t>
        </is>
      </c>
      <c r="D28" s="6" t="n"/>
      <c r="E28" s="6" t="inlineStr">
        <is>
          <t>127%</t>
        </is>
      </c>
      <c r="F28" s="6" t="inlineStr">
        <is>
          <t>114%</t>
        </is>
      </c>
    </row>
    <row r="30" ht="409" customHeight="1">
      <c r="A30" s="8" t="inlineStr">
        <is>
          <t>Sources - National Bank of Kuwait (International) Plc's own Pillar 3 Disclosure, section 4.2 "Key Metrics", Table 3 "Key metrics". Amounts and percentages exactly as printed; nothing converted, rounded or computed:
FY2025 and FY2024: Pillar 3 Disclosure 31 December 2025, Table 3, p.16, columns '31 Dec 2025' and '31 Dec 2024', "In GBP 000's" - https://www.nbk.com/dam/jcr:19757e7d-4d03-40f8-bf39-63c995186e39/Pillar_III_Disclosures.pdf
FY2022 and FY2021: the archived edition whose cover reads "Pillar 3 Disclosure / December 2023" but whose Table 3 columns read '31/12/22' and '31/12/21', "In USD $", p.16 - Wayback Machine capture of the same stable URL, 2024-02-17: https://web.archive.org/web/20240217111133/https://www.nbk.com/dam/jcr:19757e7d-4d03-40f8-bf39-63c995186e39/Pillar_III_Disclosures.pdf
FY2023: no edition exists to transcribe (see below).
LATEST-EDITION CHECK, 2026-09-16. The Bank's own live Pillar 3 URL was re-fetched directly (HTTP 200, Content-Type application/pdf, %PDF magic bytes verified) and serves the 31 December 2025 edition - the newest NBKI Pillar 3 published. NBK's group investor-relations page (https://www.nbk.com/nbk-group/investor-relations.html) was also read in full: the only NBKI-named Pillar 3 it links is a 2014 file. FY2025 is therefore the newest edition and this workbook already holds it; no year was added.
TRANSCRIPTION NOTES:
• NO ROW NUMBERS. NBKI prints this table unnumbered. It carries the KM1 row set and the template's own section headings in the template's own order, so it is the template - but the Bank's rows are reproduced under the Bank's own labels, with no template row numbers attached, because attaching them would assert a correspondence the Bank never published.
• ROWS THE BANK DOES NOT PRINT ARE ABSENT FROM THE SOURCE, not missing from this sheet: no Tier 1 ratio row, no SREP block (UK 7a-7d), no buffer block (8, 9, 11, UK 11a, 12), and no NSFR stable-funding build-up. The lead-in sentence's claim that the table covers "buffer requirements and ratios" is the Bank's own; no buffer row is in fact printed. Recorded, not corrected.
• A BLANK CET1 ROW IN THE FY2022 EDITION IS THE SOURCE'S OWN. That edition prints the "Common Equity Tier 1 (CET1) capital" caption with both value cells EMPTY, while printing Tier 1 Capital and Total Capital as 474,412 / 443,710. RE-VERIFIED 2026-09-16 by rendering p.16 at 300 dpi and looking: the table is fully ruled, every row sits in its own bordered cell, and the CET1 row's two cells are visibly empty. The two cells are therefore left blank here. In every year NBKI does print all three, they are identical, because the Bank holds no AT1 and no Tier 2. The SAME EDITION does supply the missing figure two pages later - its section 4.4 "Composition of Regulatory Own Funds", Table 5 "Capital movement" (p.18), prints "Common Equity Tier 1 (CET1) capital after Regulatory adjustments" as 474,412 and 443,710 - but this sheet reproduces Table 3, and filling Table 3's blank from Table 4/5 would be normalising, so the blank stands and the cross-reference is recorded here instead.
• THE UNIT CHANGES BETWEEN EDITIONS, so every AMOUNT row is split into two caption blocks (restructured 2026-09-16 under map rule 17). FY2021-FY2022 are US$'000 - the FY2022 edition's stub column reads "In USD $" - while FY2024-FY2025 are £'000, the FY2025 edition's stub reading "In GBP 000's" with both column heads repeating "GBP 000's", after the Bank's presentation-currency change from USD to GBP. No single row can carry two units honestly, so each amount row appears twice, once per unit, the same shape map rule 5 uses for the leverage basis break. RATIO rows stay single, because a percentage is unit-free. Nothing is converted and neither edition's amounts are restated into the other's unit; within each unit block the Bank's own row order is preserved exactly.
• The asterisk on the CET1 row is the Bank's own: the FY2025 edition footnotes it "* Includes audited current year profits". The FY2022 edition carries no such footnote.
• LABEL DRIFT on the last row: the FY2025 edition prints "NSFR ratio (%)"; the FY2022 edition prints "NSFR ratio (%) (adjusted value)". Both are shown in the row label rather than one being chosen.</t>
        </is>
      </c>
    </row>
    <row r="32" ht="409" customHeight="1">
      <c r="A32" s="8" t="inlineStr">
        <is>
          <t>(continued)
• FY2021 IS THE FY2022 EDITION'S COMPARATIVE COLUMN, deliberately, because the FY2021 edition prints no such table. Its "Table 1: Key metrics USD 000's as at 31.12.2021" (p.3) is an eight-tile dashboard with no section structure, no Tier 1 row and no LCR build-up - a different object, not an unnumbered template - so it cannot supply these rows: https://web.archive.org/web/20231209144740/https://www.nbk.com/dam/jcr:19757e7d-4d03-40f8-bf39-63c995186e39/Pillar_III_Disclosures.pdf
• AND THE TWO EDITIONS DISAGREE FOR FY2021, which is why the choice matters. The FY2021 edition's own dashboard gives CET1 capital and Total Regulatory capital as US$432,220k with a CET1/Total Capital ratio of 21.81%, against Total RWAs of US$2,034,858k - an internally impossible pair (432,220/2,034,858 = 21.24%). The FY2022 edition's comparative column gives US$443,710k with the same 21.81%, which does tie (443,710/2,034,858 = 21.81%). Its RWA, leverage ratio (12.74%), LCR (227%) and NSFR (114%) are identical in both editions. Both figures are recorded, neither is reconciled.
WHY THIS SHEET AND THE CET1 RATIO / TOTAL CAPITAL RATIO SHEETS DISAGREE FOR FY2021 AND FY2022 - FOUR CELLS, EACH RE-ESTABLISHED FROM THE SOURCES ON 2026-09-16 AND EACH A GENUINE DIVERGENCE BETWEEN TWO OF THE BANK'S OWN DOCUMENTS, NOT A TRANSCRIPTION ERROR. The four are: CET1 Ratio FY2022 (this sheet 22.26% vs the CET1 Ratio sheet's 21.26%), CET1 Ratio FY2021 (21.81% vs 21.24%), and Total Capital Ratio for the same two years, which carry the identical pair of figures.
  THE SUSPICION THAT HAD TO BE RULED OUT was a row-alignment slip: this table prints the SAME percentage for its CET1 Ratio row and its Total Capital Ratio row in both years, which is the classic signature of rows sliding by one during extraction. It was ruled out four ways, all first-hand:
  (1) The FY2022 edition's p.16 was RENDERED AT 300 DPI AND LOOKED AT, not read from the text layer. The table is fully ruled; "Common Equity Tier 1 Ratio 22.26% | 21.81%" and "Total Capital Ratio 22.26% | 21.81%" each sit in their own bordered row, one below the other. Nothing has slid.
  (2) The ratios tie to the amounts printed in the same table, to the basis point: 474,412 / 2,131,640 = 22.26% and 443,710 / 2,034,858 = 21.81%.
  (3) The two ratios being equal is not an artefact but an arithmetic necessity for this bank. NBKI holds no AT1 and no Tier 2 - the audited accounts' own capital note prints "Tier 2 capital  -" for every year - so CET1 = Tier 1 = Total Capital, and all three ratios must coincide. The audited accounts print all three ratios as equal too (21.26% / 21.26% / 21.26% for FY2022), just at a different level.
  (4) THE SAME EDITION CORROBORATES ITSELF ON A SECOND TABLE. Its section 4.4 Table 5 "Capital movement" (p.18), an own-funds composition table, builds CET1 up from components and then prints three separate ratio rows - "Common Equity Tier 1 (as a percentage of total risk exposure amount)", "Tier 1 (...)" and "Total capital (...)" - all three 22.26% for FY2022 and all three 21.81% for FY2021, against CET1 after regulatory adjustments of 474,412 / 443,710 and the same RWA. Two independent tables, same figures.
  THE COLUMN HEADERS AND THE TABLE CAPTION WERE CHECKED TOO (map rules 18 and 19), because a misidentified entity block is the other way two adjacent figures come to look like two different ratios. They rule it out here. This table's two value columns are headed with DATES - "31/12/22" and "31/12/21" - not with entity names, so there is no Group-beside-Individual pair to confuse, and the CET1 Ratio and Total Capital Ratio figures sit on two separately captioned ROWS, not in two columns of one row. The document is NBKI's own, not a parent's with a subsidiary block in it: its section 1.1 says "This document comprises the Pillar 3 disclosures on capital and risk management for NBKI Limited ('NBKI' or 'the Bank') as of 31 December 2022", section 1.2 identifies "National Bank of Kuwait International ('NBKI') PLC ... company number 02773743 ... Firm number on the FCA Register is 171532" - the Banks List entity exactly - and section 1.1 states the document exists "to meet the regulatory disclosure requirements under Part 8 of the UK Capital Requirements Regulation (CRR) ... including the Disclosure (CRR) part of the PRA Rulebook". So NBKI discharges its own UK disclosure duty in its own document; the Kuwaiti parent National Bank of Kuwait S.A.K.P. reports under Central Bank of Kuwait Basel III rules and publishes no UK KM1 for this subsidiary. The edition's own list of tables runs Tables 1-6 with exactly one "Key metrics" entry, so there is no second, appendix-away printing of the template either (map rule 11).</t>
        </is>
      </c>
    </row>
    <row r="34" ht="409" customHeight="1">
      <c r="A34" s="8" t="inlineStr">
        <is>
          <t>(continued)
THE OTHER SIDE WAS RE-READ TOO, from the Bank's own audited accounts rather than from this project's notes: AR2022 Note 31 "Capital management (unaudited)" (printed p.65) gives RWA 2,131,640 / 2,034,858 with CET1 = Tier 1 = Total capital of 453,162 / 432,220 and ratios 21.26% / 21.24%; AR2021 Note 32 (same title, printed p.73) gives 432,220 and 21.24% for FY2021 against the same RWA. Those also tie to the basis point. So BOTH SIDES ARE INTERNALLY CONSISTENT and they differ only in the capital numerator: US$21,250k for FY2022 and US$11,490k for FY2021.
  WHAT THE GAP IS. The Pillar 3's Table 5 shows CET1 before regulatory adjustments of 473,823 (FY2022) and 447,733 (FY2021) - exactly the total equity on the Bank's own audited balance sheet for those two dates - and then takes it to 474,412 and 443,710 "after Regulatory adjustments". The audited capital note reaches 453,162 and 432,220 from the same starting equity. The two documents therefore apply DIFFERENT REGULATORY ADJUSTMENTS to the same audited equity, and the Bank does not reconcile them anywhere. This project does not reconcile them either, and no figure has been edited so that the two sides agree.
  WHICH SHEET CARRIES WHICH, DELIBERATELY: this KM1 sheet reproduces the PILLAR 3 table, because that is what a KM1 sheet is for; the single-metric capital and ratio sheets carry the AUDITED ANNUAL REPORT figures, chosen there (HD-066, 2026-09-06) as audited-adjacent. The verifier reports the four disagreements every run, and that is the intended outcome - the workbook shows both of the Bank's own answers side by side rather than quietly picking one. RWA, leverage, LCR and NSFR agree across all sources for both years, which is itself evidence that only the own-funds definition is in dispute.
  A SEPARATE SOURCE DEFECT IN THAT SAME TABLE 5, recorded and not corrected (map rule 7): its FY2022 column does not foot. 289,403 + 211,714 - 26,277 = 474,840, against a printed "CET1 capital before regulatory adjustments" of 473,823 (the AOCI figure would need to be -27,294 to foot, and -27,294 is what the audited balance sheet implies). The FY2021 column foots exactly (235,883 + 225,681 - 13,831 = 447,733). Note also that FY2022's "after regulatory adjustments" figure is HIGHER than its "before" figure, while FY2021's is lower. None of this is on this sheet - Table 5 is not the KM1 - but it is recorded because it bears on how much weight the Pillar 3's own-funds numbers can carry.
FY2023: no FY2023 Pillar 3 edition exists to transcribe. NBKI republishes at a single stable URL rather than minting a per-year file, the Wayback Machine holds only four captures of it (2023-12-09 = the FY2021 edition, 2024-02-17 = the FY2022 edition, and two 2025 captures that are text/html error pages), and the live FY2025 edition carries a single FY2024 comparative only. A domain-wide Wayback CDX enumeration of nbk.com surfaced two files called "Pillar III Disclosures 2023.pdf" and "Pillar III Disclosres 2024.pdf" [sic] - BOTH ARE NBK FRANCE SA, a different legal entity reporting in euros on the EU KM1 template, and neither may be used here. (Re-checked 2026-09-16: both of those French URLs now return HTTP 200 with Content-Type text/html - a soft-404 - so they are dead as well as wrong.) See the RWA Breakdown sheet for the full four-stage verification of this gap.
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t>
        </is>
      </c>
    </row>
  </sheetData>
  <mergeCells count="3">
    <mergeCell ref="A30:F30"/>
    <mergeCell ref="A34:F34"/>
    <mergeCell ref="A32:F3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234"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234"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234"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available - no FY2023 Pillar 3 edition is retrievable (see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inlineStr">
        <is>
          <t>Not available - no FY2023 Pillar 3 retrievable; accounts give the total only</t>
        </is>
      </c>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t>
        </is>
      </c>
    </row>
    <row r="11" ht="390" customHeight="1">
      <c r="A11" s="8" t="inlineStr">
        <is>
          <t>(continued)
FY2023 RE-VERIFICATION (2026-09-12, independent re-check): confirmed still genuinely unobtainable. The Bank republishes its Pillar 3 PDF at the same stable URL each year rather than a new per-year URL, so a specific year's vintage survives only if the Wayback Machine happened to crawl it before it was overwritten - checked the full Wayback CDX capture history for this URL (only 4 captures exist: 2023-12-09 = the FY2021-dated document; 2024-02-17 = the FY2022-dated document; two 2025 captures returned only a broken text/html page, not a PDF) - no FY2023-dated capture exists, and the live URL now serves the FY2025 document (confirmed by fetching it directly). Also checked NBKI-Financial-Statement-2023.pdf (the FY2023 Annual Report/statutory accounts, a separate stable document) Note 31 'Capital management' - it discloses only the aggregate Risk weighted assets figure ($2,599,821k, which ties exactly to this workbook's Total RWAs sheet), with no category-level credit/market/operational/CCR split. No other source was found.
FY2023 THIRD VERIFICATION (2026-09-15) - AND A WARNING ABOUT THIS DOCUMENT'S COVER DATE. The archived document referenced above is titled, on its cover and in the running header of every page, 'Pillar 3 Disclosure / December 2023'. That title is misleading and has already caused this document to be described inconsistently in these very notes (as both 'the December 2023-dated document' and 'the FY2022-dated document'). It contains NO FY2023 data whatsoever. Re-downloaded and re-read in full on 2026-09-15, it is a December 2022 disclosure throughout, on three independent pieces of internal evidence: (1) its Table 3 'Key metrics' column headers read '31/12/22' and '31/12/21' - Total RWA 2,131,640 / 2,034,858, matching this workbook's FY2022/FY2021, not FY2023; (2) its Table 4 'Pillar 1 RWA capital requirement' column headers read '31 Dec 2022' and '31 Dec 2021'; and (3) its own section 4.1 body text directs the reader to 'the 2022 Annual Report and Consolidated Financial Statements'. The 'December 2023' on the cover therefore reflects when the Bank posted the file, not the reporting date of its contents. A future pass finding this document must NOT read its figures as FY2023. FY2023 remains genuinely unobtainable: the Bank overwrites a single stable URL rather than publishing per-year files, the Wayback CDX history for that URL was re-queried on 2026-09-15 and still returns exactly four captures (2023-12-09 PDF, 2024-02-17 PDF = this document, and two 2025 captures that are text/html error pages, not PDFs), so no FY2023 vintage was ever archived.
FY2023 FOURTH VERIFICATION (2026-09-15) - DOMAIN-WIDE ENUMERATION, AND A SECOND, MORE DANGEROUS TRAP. Every prior check queried only the single stable URL, which can fail to find a document but can never show one does not exist. This pass instead enumerated the WHOLE nbk.com domain via unfiltered Wayback CDX (40,000 captures), which does settle it. 39 captures match 'pillar'. That sweep DID surface two per-year Pillar 3 PDFs at previously-unknown AEM asset UUIDs - 'Pillar III Disclosures 2023.pdf' at jcr:6ed10da3-e2cf-4194-b3b2-eb19e0b4b447 and 'Pillar III Disclosres 2024.pdf' [sic] at jcr:7ba4c7e4-c705-4d5a-b6a6-2867045845bb - proving the Bank's group CDN does sometimes mint a new UUID per year rather than overwriting. BOTH WERE DOWNLOADED AND READ, AND NEITHER IS THIS ENTITY'S. They are NBK FRANCE SA ('NBKF', active in France since 1987, named as such in the 2024 document's Bank Overview), reported in euros on the EU KM1 template - the 2023 file's own Table EU KM1 shows CET1 220,981 and Total RWA 689,321 in euros against NBKI's US$533,272k and US$2,599,821k for the same year-end. DO NOT USE EITHER FILE FOR THIS WORKBOOK. The hazard is that their filenames are entirely generic and carry no hint of the French entity, so a future domain sweep will surface a file literally called 'Pillar III Disclosures 2023.pdf' precisely where this workbook's FY2023 hole is - it is the wrong bank. Of the 39 pillar-matching captures, the only NBKI (London) items are the stable URL cited above and a 2014 file ('NBK-(International)-PLC-Pillar-3-Disclosures-2014.pdf'); every other per-year Pillar 3 on that CDN belongs to NBK France SA or NBK UAE. The stable URL's own entity was re-confirmed in the same pass by reading its section 1.2 directly: 'National Bank of Kuwait International ("NBKI") PLC, whose registered office is 13 George Street, London, W1U 3QJ ... company number 02773743 ... Firm number on the FCA Register is 171532', with Total RWA 2,131,640 / 2,034,858 tying to this workbook's FY2022/FY2021. So the existing figures are correctly sourced and correctly attributed, and FY2023 has now been shown absent by enumeration rather than merely not found by probing. Treat this gap as closed.</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inlineStr">
        <is>
          <t>Not available - FY2023 Pillar 3 unretrievable; none in the FY2023 accounts</t>
        </is>
      </c>
      <c r="E5" s="6" t="inlineStr">
        <is>
          <t>13.09%</t>
        </is>
      </c>
      <c r="F5" s="6" t="inlineStr">
        <is>
          <t>12.74%</t>
        </is>
      </c>
    </row>
    <row r="6" ht="325" customHeight="1">
      <c r="A6" s="7" t="inlineStr">
        <is>
          <t>Note: FY2023: not available - no FY2023 Pillar 3 edition is retrievable;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7" ht="273" customHeight="1">
      <c r="A7" s="7" t="inlineStr">
        <is>
          <t xml:space="preserve">(continued)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10 source URLs cited on this sheet and its KM1 sheet were re-fetched on 2026-10-09 (10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3">
    <mergeCell ref="A6:F6"/>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inlineStr">
        <is>
          <t>Not available - FY2023 Pillar 3 unretrievable; none in the FY2023 accounts</t>
        </is>
      </c>
      <c r="E6" s="6" t="inlineStr">
        <is>
          <t>300%</t>
        </is>
      </c>
      <c r="F6" s="6" t="inlineStr">
        <is>
          <t>227%</t>
        </is>
      </c>
    </row>
    <row r="7" ht="325" customHeight="1">
      <c r="A7" s="7" t="inlineStr">
        <is>
          <t>Note: FY2023: not available - no FY2023 Pillar 3 edition is retrievable;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8" ht="156" customHeight="1">
      <c r="A8" s="7" t="inlineStr">
        <is>
          <t>(continued)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t>
        </is>
      </c>
    </row>
    <row r="10" ht="220" customHeight="1">
      <c r="A1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3">
    <mergeCell ref="A8:F8"/>
    <mergeCell ref="A10:F10"/>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inlineStr">
        <is>
          <t>Not available - FY2023 Pillar 3 unretrievable; none in the FY2023 accounts</t>
        </is>
      </c>
      <c r="E4" s="6" t="inlineStr">
        <is>
          <t>127%</t>
        </is>
      </c>
      <c r="F4" s="6" t="inlineStr">
        <is>
          <t>114%</t>
        </is>
      </c>
    </row>
    <row r="5" ht="325" customHeight="1">
      <c r="A5" s="7" t="inlineStr">
        <is>
          <t>Note: FY2023: not available - no FY2023 Pillar 3 edition is retrievable;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6" ht="156" customHeight="1">
      <c r="A6" s="7" t="inlineStr">
        <is>
          <t>(continued)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3">
    <mergeCell ref="A8:F8"/>
    <mergeCell ref="A6:F6"/>
    <mergeCell ref="A5:F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NBKI Pillar 3 31 Dec 2025 and FY2025 financial statements (full text searched 2026-09-19) contain no MREL figure or reference</t>
        </is>
      </c>
      <c r="C4" s="6" t="inlineStr">
        <is>
          <t>Not published – FY2025 Pillar 3 (with 2024 comparatives) and FY2024 financial statements (full text searched 2026-09-19) contain no MREL reference</t>
        </is>
      </c>
      <c r="D4" s="6" t="inlineStr">
        <is>
          <t>Unreached today – FY2023 Pillar 3 overwritten at NBKI's stable URL; no Wayback (captures skip Mar 2024-Jan 2025) or archive.ph copy; nbk.com/dam CDX &amp; NBKI report pages: none (2026-09-19); Common Crawl 2024-10..2025-26 checked</t>
        </is>
      </c>
      <c r="E4" s="6" t="inlineStr">
        <is>
          <t>Not published – NBKI Pillar 3 at 31/12/22 (Wayback 2024-02-17) and FY2022 financial statements contain no MREL figure or reference</t>
        </is>
      </c>
      <c r="F4" s="6" t="inlineStr">
        <is>
          <t>Not published – NBKI Pillar 3 December 2021 (Wayback 2023-12-09) and FY2021 financial statements contain no MREL figure or reference</t>
        </is>
      </c>
    </row>
    <row r="5" ht="65" customHeight="1">
      <c r="A5" s="7" t="inlineStr">
        <is>
          <t>Note: No MREL ratio or requirement was located in the FY2021–FY2025 annual reports or the official Pillar 3 disclosure.
FY2023 COMMON CRAWL CHECK (2026-09-19): every Common Crawl crawl CC-MAIN-2024-10 to CC-MAIN-2025-26 was searched for nbk.com/dam/* (www. and bare). NBKI's stable Pillar 3 URL (jcr:19757e7d.../Pillar_III_Disclosures.pdf) appears only in CC-MAIN-2025-08 and CC-MAIN-2025-26, and both records are NBK's web-firewall block page, not a document; no 2024 crawl captured it. The file 'Pillar III Disclosures 2023.pdf' (jcr:6ed10da3, CC-MAIN-2024-33, retrieved complete) is NBK France's EU KM1 in euros and is not NBKI's; it is not used. FY2023 stays Unreached.</t>
        </is>
      </c>
    </row>
    <row r="7" ht="221"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2026-10-26T09:36:11Z</dcterms:created>
  <dcterms:modified xmlns:dcterms="http://purl.org/dc/terms/" xmlns:xsi="http://www.w3.org/2001/XMLSchema-instance" xsi:type="dcterms:W3CDTF">2026-10-26T09:36:11Z</dcterms:modified>
</cp:coreProperties>
</file>