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946B2D"/>
        <bgColor rgb="00946B2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Birmingham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Birmingham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'Overview'!O12</f>
            </strRef>
          </tx>
          <spPr>
            <a:ln xmlns:a="http://schemas.openxmlformats.org/drawingml/2006/main">
              <a:prstDash val="solid"/>
            </a:ln>
          </spPr>
          <cat>
            <numRef>
              <f>'Overview'!$P$11:$S$11</f>
            </numRef>
          </cat>
          <val>
            <numRef>
              <f>'Overview'!$P$12:$S$12</f>
            </numRef>
          </val>
        </ser>
        <ser>
          <idx val="1"/>
          <order val="1"/>
          <tx>
            <strRef>
              <f>'Overview'!O13</f>
            </strRef>
          </tx>
          <spPr>
            <a:ln xmlns:a="http://schemas.openxmlformats.org/drawingml/2006/main">
              <a:prstDash val="solid"/>
            </a:ln>
          </spPr>
          <cat>
            <numRef>
              <f>'Overview'!$P$11:$S$11</f>
            </numRef>
          </cat>
          <val>
            <numRef>
              <f>'Overview'!$P$13:$S$13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Birmingham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'Overview'!V17</f>
            </strRef>
          </tx>
          <spPr>
            <a:ln xmlns:a="http://schemas.openxmlformats.org/drawingml/2006/main">
              <a:prstDash val="solid"/>
            </a:ln>
          </spPr>
          <cat>
            <numRef>
              <f>'Overview'!$W$16:$Z$16</f>
            </numRef>
          </cat>
          <val>
            <numRef>
              <f>'Overview'!$W$17:$Z$17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Birmingham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'Overview'!AC21</f>
            </strRef>
          </tx>
          <spPr>
            <a:ln xmlns:a="http://schemas.openxmlformats.org/drawingml/2006/main">
              <a:prstDash val="solid"/>
            </a:ln>
          </spPr>
          <cat>
            <numRef>
              <f>'Overview'!$AD$20:$AG$20</f>
            </numRef>
          </cat>
          <val>
            <numRef>
              <f>'Overview'!$AD$21:$AG$21</f>
            </numRef>
          </val>
        </ser>
        <ser>
          <idx val="1"/>
          <order val="1"/>
          <tx>
            <strRef>
              <f>'Overview'!AC22</f>
            </strRef>
          </tx>
          <spPr>
            <a:ln xmlns:a="http://schemas.openxmlformats.org/drawingml/2006/main">
              <a:prstDash val="solid"/>
            </a:ln>
          </spPr>
          <cat>
            <numRef>
              <f>'Overview'!$AD$20:$AG$20</f>
            </numRef>
          </cat>
          <val>
            <numRef>
              <f>'Overview'!$AD$22:$AG$22</f>
            </numRef>
          </val>
        </ser>
        <ser>
          <idx val="2"/>
          <order val="2"/>
          <tx>
            <strRef>
              <f>'Overview'!AC23</f>
            </strRef>
          </tx>
          <spPr>
            <a:ln xmlns:a="http://schemas.openxmlformats.org/drawingml/2006/main">
              <a:prstDash val="solid"/>
            </a:ln>
          </spPr>
          <cat>
            <numRef>
              <f>'Overview'!$AD$20:$AG$20</f>
            </numRef>
          </cat>
          <val>
            <numRef>
              <f>'Overview'!$AD$23:$AG$23</f>
            </numRef>
          </val>
        </ser>
        <ser>
          <idx val="3"/>
          <order val="3"/>
          <tx>
            <strRef>
              <f>'Overview'!AC24</f>
            </strRef>
          </tx>
          <spPr>
            <a:ln xmlns:a="http://schemas.openxmlformats.org/drawingml/2006/main">
              <a:prstDash val="solid"/>
            </a:ln>
          </spPr>
          <cat>
            <numRef>
              <f>'Overview'!$AD$20:$AG$20</f>
            </numRef>
          </cat>
          <val>
            <numRef>
              <f>'Overview'!$AD$24:$AG$24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Birmingham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122</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Birmingham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151081</v>
      </c>
      <c r="C6" s="5" t="n">
        <v>29595</v>
      </c>
      <c r="D6" s="5" t="n">
        <v>17059</v>
      </c>
      <c r="E6" s="5" t="n">
        <v>22777</v>
      </c>
      <c r="H6" t="inlineStr">
        <is>
          <t>Total assets</t>
        </is>
      </c>
      <c r="I6" t="n">
        <v>22777</v>
      </c>
      <c r="J6" t="n">
        <v>17059</v>
      </c>
      <c r="K6" t="n">
        <v>29595</v>
      </c>
      <c r="L6" t="n">
        <v>151081</v>
      </c>
      <c r="AJ6" t="inlineStr">
        <is>
          <t>CET1 Ratio</t>
        </is>
      </c>
      <c r="AK6" t="n">
        <v>97</v>
      </c>
      <c r="AL6" t="n">
        <v>91</v>
      </c>
      <c r="AM6" t="n">
        <v>365</v>
      </c>
      <c r="AN6" t="n">
        <v>76</v>
      </c>
    </row>
    <row r="7">
      <c r="A7" s="5" t="inlineStr">
        <is>
          <t>Total liabilities</t>
        </is>
      </c>
      <c r="B7" s="5" t="n">
        <v>112966</v>
      </c>
      <c r="C7" s="5" t="n">
        <v>10636</v>
      </c>
      <c r="D7" s="5" t="n">
        <v>10853</v>
      </c>
      <c r="E7" s="5" t="n">
        <v>14415</v>
      </c>
      <c r="H7" t="inlineStr">
        <is>
          <t>Total liabilities</t>
        </is>
      </c>
      <c r="I7" t="n">
        <v>14415</v>
      </c>
      <c r="J7" t="n">
        <v>10853</v>
      </c>
      <c r="K7" t="n">
        <v>10636</v>
      </c>
      <c r="L7" t="n">
        <v>112966</v>
      </c>
      <c r="AJ7" t="inlineStr">
        <is>
          <t>Leverage Ratio</t>
        </is>
      </c>
      <c r="AM7" t="n">
        <v>63</v>
      </c>
      <c r="AN7" t="n">
        <v>24</v>
      </c>
    </row>
    <row r="8">
      <c r="A8" s="5" t="inlineStr">
        <is>
          <t>Total equity</t>
        </is>
      </c>
      <c r="B8" s="5" t="n">
        <v>38115</v>
      </c>
      <c r="C8" s="5" t="n">
        <v>18959</v>
      </c>
      <c r="D8" s="5" t="n">
        <v>6206</v>
      </c>
      <c r="E8" s="5" t="n">
        <v>8363</v>
      </c>
      <c r="H8" t="inlineStr">
        <is>
          <t>Total equity</t>
        </is>
      </c>
      <c r="I8" t="n">
        <v>8363</v>
      </c>
      <c r="J8" t="n">
        <v>6206</v>
      </c>
      <c r="K8" t="n">
        <v>18959</v>
      </c>
      <c r="L8" t="n">
        <v>38115</v>
      </c>
      <c r="AJ8" t="inlineStr">
        <is>
          <t>LCR</t>
        </is>
      </c>
      <c r="AK8" t="n">
        <v>16250</v>
      </c>
      <c r="AL8" t="n">
        <v>2983</v>
      </c>
      <c r="AM8" t="n">
        <v>11351</v>
      </c>
      <c r="AN8" t="n">
        <v>725</v>
      </c>
    </row>
    <row r="10">
      <c r="A10" s="3" t="inlineStr">
        <is>
          <t>Profit &amp; Loss Summary (£'000)</t>
        </is>
      </c>
    </row>
    <row r="11">
      <c r="A11" s="4" t="inlineStr">
        <is>
          <t>Line item</t>
        </is>
      </c>
      <c r="B11" s="4" t="inlineStr">
        <is>
          <t>FY2024</t>
        </is>
      </c>
      <c r="C11" s="4" t="inlineStr">
        <is>
          <t>FY2023</t>
        </is>
      </c>
      <c r="D11" s="4" t="inlineStr">
        <is>
          <t>FY2022</t>
        </is>
      </c>
      <c r="E11" s="4" t="inlineStr">
        <is>
          <t>FY2021</t>
        </is>
      </c>
      <c r="P11" t="inlineStr">
        <is>
          <t>FY2021</t>
        </is>
      </c>
      <c r="Q11" t="inlineStr">
        <is>
          <t>FY2022</t>
        </is>
      </c>
      <c r="R11" t="inlineStr">
        <is>
          <t>FY2023</t>
        </is>
      </c>
      <c r="S11" t="inlineStr">
        <is>
          <t>FY2024</t>
        </is>
      </c>
    </row>
    <row r="12">
      <c r="A12" s="5" t="inlineStr">
        <is>
          <t>Total income</t>
        </is>
      </c>
      <c r="B12" s="5" t="n">
        <v>4436</v>
      </c>
      <c r="C12" s="5" t="n">
        <v>1118</v>
      </c>
      <c r="D12" s="5" t="n">
        <v>757</v>
      </c>
      <c r="E12" s="5" t="n">
        <v>616</v>
      </c>
      <c r="O12" t="inlineStr">
        <is>
          <t>Total income</t>
        </is>
      </c>
      <c r="P12" t="n">
        <v>616</v>
      </c>
      <c r="Q12" t="n">
        <v>757</v>
      </c>
      <c r="R12" t="n">
        <v>1118</v>
      </c>
      <c r="S12" t="n">
        <v>4436</v>
      </c>
    </row>
    <row r="13">
      <c r="A13" s="5" t="inlineStr">
        <is>
          <t>Loss for the financial year</t>
        </is>
      </c>
      <c r="B13" s="5" t="n">
        <v>-10844</v>
      </c>
      <c r="C13" s="5" t="n">
        <v>-7247</v>
      </c>
      <c r="D13" s="5" t="n">
        <v>-4156</v>
      </c>
      <c r="E13" s="5" t="n">
        <v>-3434</v>
      </c>
      <c r="O13" t="inlineStr">
        <is>
          <t>Loss for the financial year</t>
        </is>
      </c>
      <c r="P13" t="n">
        <v>-3434</v>
      </c>
      <c r="Q13" t="n">
        <v>-4156</v>
      </c>
      <c r="R13" t="n">
        <v>-7247</v>
      </c>
      <c r="S13" t="n">
        <v>-10844</v>
      </c>
    </row>
    <row r="15">
      <c r="A15" s="3" t="inlineStr">
        <is>
          <t>Statement of Changes in Equity Summary (£'000)</t>
        </is>
      </c>
    </row>
    <row r="16">
      <c r="A16" s="4" t="inlineStr">
        <is>
          <t>Line item</t>
        </is>
      </c>
      <c r="B16" s="4" t="inlineStr">
        <is>
          <t>FY2024</t>
        </is>
      </c>
      <c r="C16" s="4" t="inlineStr">
        <is>
          <t>FY2023</t>
        </is>
      </c>
      <c r="D16" s="4" t="inlineStr">
        <is>
          <t>FY2022</t>
        </is>
      </c>
      <c r="E16" s="4" t="inlineStr">
        <is>
          <t>FY2021</t>
        </is>
      </c>
      <c r="W16" t="inlineStr">
        <is>
          <t>FY2021</t>
        </is>
      </c>
      <c r="X16" t="inlineStr">
        <is>
          <t>FY2022</t>
        </is>
      </c>
      <c r="Y16" t="inlineStr">
        <is>
          <t>FY2023</t>
        </is>
      </c>
      <c r="Z16" t="inlineStr">
        <is>
          <t>FY2024</t>
        </is>
      </c>
    </row>
    <row r="17">
      <c r="A17" s="5" t="inlineStr">
        <is>
          <t>Total equity (period end)</t>
        </is>
      </c>
      <c r="B17" s="5" t="n">
        <v>38115</v>
      </c>
      <c r="C17" s="5" t="n">
        <v>18959</v>
      </c>
      <c r="D17" s="5" t="n">
        <v>6206</v>
      </c>
      <c r="E17" s="5" t="n">
        <v>8363</v>
      </c>
      <c r="V17" t="inlineStr">
        <is>
          <t>Total equity (period end)</t>
        </is>
      </c>
      <c r="W17" t="n">
        <v>8363</v>
      </c>
      <c r="X17" t="n">
        <v>6206</v>
      </c>
      <c r="Y17" t="n">
        <v>18959</v>
      </c>
      <c r="Z17" t="n">
        <v>38115</v>
      </c>
    </row>
    <row r="19">
      <c r="A19" s="3" t="inlineStr">
        <is>
          <t>Cash Flow Summary (£'000)</t>
        </is>
      </c>
    </row>
    <row r="20">
      <c r="A20" s="4" t="inlineStr">
        <is>
          <t>Line item</t>
        </is>
      </c>
      <c r="B20" s="4" t="inlineStr">
        <is>
          <t>FY2024</t>
        </is>
      </c>
      <c r="C20" s="4" t="inlineStr">
        <is>
          <t>FY2023</t>
        </is>
      </c>
      <c r="D20" s="4" t="inlineStr">
        <is>
          <t>FY2022</t>
        </is>
      </c>
      <c r="E20" s="4" t="inlineStr">
        <is>
          <t>FY2021</t>
        </is>
      </c>
      <c r="AD20" t="inlineStr">
        <is>
          <t>FY2021</t>
        </is>
      </c>
      <c r="AE20" t="inlineStr">
        <is>
          <t>FY2022</t>
        </is>
      </c>
      <c r="AF20" t="inlineStr">
        <is>
          <t>FY2023</t>
        </is>
      </c>
      <c r="AG20" t="inlineStr">
        <is>
          <t>FY2024</t>
        </is>
      </c>
    </row>
    <row r="21">
      <c r="A21" s="5" t="inlineStr">
        <is>
          <t>Net cash outflow from operating activities</t>
        </is>
      </c>
      <c r="B21" s="5" t="n">
        <v>-20676</v>
      </c>
      <c r="C21" s="5" t="n">
        <v>-17679</v>
      </c>
      <c r="D21" s="5" t="n">
        <v>-2601</v>
      </c>
      <c r="E21" s="5" t="n">
        <v>-7994</v>
      </c>
      <c r="AC21" t="inlineStr">
        <is>
          <t>Net cash outflow from operating activities</t>
        </is>
      </c>
      <c r="AD21" t="n">
        <v>-7994</v>
      </c>
      <c r="AE21" t="n">
        <v>-2601</v>
      </c>
      <c r="AF21" t="n">
        <v>-17679</v>
      </c>
      <c r="AG21" t="n">
        <v>-20676</v>
      </c>
    </row>
    <row r="22">
      <c r="A22" s="5" t="inlineStr">
        <is>
          <t>Net cash outflow from investing activities</t>
        </is>
      </c>
      <c r="B22" s="5" t="n">
        <v>-2018</v>
      </c>
      <c r="C22" s="5" t="n">
        <v>-352</v>
      </c>
      <c r="D22" s="5" t="n">
        <v>-9</v>
      </c>
      <c r="E22" s="5" t="n">
        <v>-42</v>
      </c>
      <c r="AC22" t="inlineStr">
        <is>
          <t>Net cash outflow from investing activities</t>
        </is>
      </c>
      <c r="AD22" t="n">
        <v>-42</v>
      </c>
      <c r="AE22" t="n">
        <v>-9</v>
      </c>
      <c r="AF22" t="n">
        <v>-352</v>
      </c>
      <c r="AG22" t="n">
        <v>-2018</v>
      </c>
    </row>
    <row r="23">
      <c r="A23" s="5" t="inlineStr">
        <is>
          <t>Net cash inflow from financing activities</t>
        </is>
      </c>
      <c r="B23" s="5" t="n">
        <v>30000</v>
      </c>
      <c r="C23" s="5" t="n">
        <v>20000</v>
      </c>
      <c r="D23" s="5" t="n">
        <v>2000</v>
      </c>
      <c r="E23" s="5" t="n">
        <v>9000</v>
      </c>
      <c r="AC23" t="inlineStr">
        <is>
          <t>Net cash inflow from financing activities</t>
        </is>
      </c>
      <c r="AD23" t="n">
        <v>9000</v>
      </c>
      <c r="AE23" t="n">
        <v>2000</v>
      </c>
      <c r="AF23" t="n">
        <v>20000</v>
      </c>
      <c r="AG23" t="n">
        <v>30000</v>
      </c>
    </row>
    <row r="24">
      <c r="A24" s="5" t="inlineStr">
        <is>
          <t>Cash at bank at end of year</t>
        </is>
      </c>
      <c r="B24" s="5" t="n">
        <v>11172</v>
      </c>
      <c r="C24" s="5" t="n">
        <v>3866</v>
      </c>
      <c r="D24" s="5" t="n">
        <v>1896</v>
      </c>
      <c r="E24" s="5" t="n">
        <v>2506</v>
      </c>
      <c r="AC24" t="inlineStr">
        <is>
          <t>Cash at bank at end of year</t>
        </is>
      </c>
      <c r="AD24" t="n">
        <v>2506</v>
      </c>
      <c r="AE24" t="n">
        <v>1896</v>
      </c>
      <c r="AF24" t="n">
        <v>3866</v>
      </c>
      <c r="AG24" t="n">
        <v>11172</v>
      </c>
    </row>
    <row r="26">
      <c r="A26" s="3" t="inlineStr">
        <is>
          <t>Pillar 3 Key Metrics</t>
        </is>
      </c>
    </row>
    <row r="27">
      <c r="A27" s="4" t="inlineStr">
        <is>
          <t>Line item</t>
        </is>
      </c>
      <c r="B27" s="4" t="inlineStr">
        <is>
          <t>FY2024</t>
        </is>
      </c>
      <c r="C27" s="4" t="inlineStr">
        <is>
          <t>FY2023</t>
        </is>
      </c>
      <c r="D27" s="4" t="inlineStr">
        <is>
          <t>FY2022</t>
        </is>
      </c>
      <c r="E27" s="4" t="inlineStr">
        <is>
          <t>FY2021</t>
        </is>
      </c>
    </row>
    <row r="28">
      <c r="A28" s="6" t="inlineStr">
        <is>
          <t>CET1 Ratio</t>
        </is>
      </c>
      <c r="B28" s="6" t="inlineStr">
        <is>
          <t>76%</t>
        </is>
      </c>
      <c r="C28" s="6" t="inlineStr">
        <is>
          <t>365%</t>
        </is>
      </c>
      <c r="D28" s="6" t="inlineStr">
        <is>
          <t>91%</t>
        </is>
      </c>
      <c r="E28" s="6" t="inlineStr">
        <is>
          <t>97%</t>
        </is>
      </c>
    </row>
    <row r="29">
      <c r="A29" s="6" t="inlineStr">
        <is>
          <t>Leverage Ratio</t>
        </is>
      </c>
      <c r="B29" s="6" t="inlineStr">
        <is>
          <t>24%</t>
        </is>
      </c>
      <c r="C29" s="6" t="inlineStr">
        <is>
          <t>63%</t>
        </is>
      </c>
      <c r="D29" s="6" t="n"/>
      <c r="E29" s="6" t="n"/>
    </row>
    <row r="30">
      <c r="A30" s="6" t="inlineStr">
        <is>
          <t>LCR</t>
        </is>
      </c>
      <c r="B30" s="6" t="inlineStr">
        <is>
          <t>725%</t>
        </is>
      </c>
      <c r="C30" s="6" t="inlineStr">
        <is>
          <t>11,351%</t>
        </is>
      </c>
      <c r="D30" s="6" t="inlineStr">
        <is>
          <t>2,983%</t>
        </is>
      </c>
      <c r="E30" s="6" t="inlineStr">
        <is>
          <t>16,250%</t>
        </is>
      </c>
    </row>
    <row r="32" ht="45" customHeight="1">
      <c r="A32" s="7" t="inlineStr">
        <is>
          <t>Note: Figures are duplicated from the detail sheets for at-a-glance trend viewing; see each sheet's own source citation for the underlying document/page. Only 4 years of history exist (FY2021-FY2024) - the entity's own accounts filing history and Pillar 3 disclosures don't go back further.</t>
        </is>
      </c>
    </row>
  </sheetData>
  <mergeCells count="1">
    <mergeCell ref="A32:E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Birmingham Bank Limited — Balance Sheet</t>
        </is>
      </c>
    </row>
    <row r="2">
      <c r="A2" s="2" t="inlineStr">
        <is>
          <t>Bank-solo basis, FRS 102, £'000 (FY2022/FY2021 converted from the source's exact-£ figures)</t>
        </is>
      </c>
    </row>
    <row r="3">
      <c r="A3" s="4" t="inlineStr">
        <is>
          <t>Line item</t>
        </is>
      </c>
      <c r="B3" s="4" t="inlineStr">
        <is>
          <t>FY2024 (£'000)</t>
        </is>
      </c>
      <c r="C3" s="4" t="inlineStr">
        <is>
          <t>FY2023 (£'000)</t>
        </is>
      </c>
      <c r="D3" s="4" t="inlineStr">
        <is>
          <t>FY2022 (£'000)</t>
        </is>
      </c>
      <c r="E3" s="4" t="inlineStr">
        <is>
          <t>FY2021 (£'000)</t>
        </is>
      </c>
    </row>
    <row r="4">
      <c r="A4" s="5" t="inlineStr">
        <is>
          <t>Assets</t>
        </is>
      </c>
      <c r="B4" s="6" t="n"/>
      <c r="C4" s="6" t="n"/>
      <c r="D4" s="6" t="n"/>
      <c r="E4" s="6" t="n"/>
    </row>
    <row r="5">
      <c r="A5" s="6" t="inlineStr">
        <is>
          <t>Cash at Bank</t>
        </is>
      </c>
      <c r="B5" s="6" t="n">
        <v>11172</v>
      </c>
      <c r="C5" s="6" t="n">
        <v>3866</v>
      </c>
      <c r="D5" s="6" t="n">
        <v>1896</v>
      </c>
      <c r="E5" s="6" t="n">
        <v>2506</v>
      </c>
    </row>
    <row r="6">
      <c r="A6" s="6" t="inlineStr">
        <is>
          <t>Treasury Bills and similar securities</t>
        </is>
      </c>
      <c r="B6" s="6" t="n">
        <v>43093</v>
      </c>
      <c r="C6" s="6" t="n">
        <v>20250</v>
      </c>
      <c r="D6" s="6" t="n">
        <v>6500</v>
      </c>
      <c r="E6" s="6" t="n">
        <v>9750</v>
      </c>
    </row>
    <row r="7">
      <c r="A7" s="6" t="inlineStr">
        <is>
          <t>Loans and advances to Banks</t>
        </is>
      </c>
      <c r="B7" s="6" t="n"/>
      <c r="C7" s="6" t="n"/>
      <c r="D7" s="6" t="n">
        <v>1275</v>
      </c>
      <c r="E7" s="6" t="n">
        <v>1271</v>
      </c>
    </row>
    <row r="8">
      <c r="A8" s="6" t="inlineStr">
        <is>
          <t>Loans and advances to customers</t>
        </is>
      </c>
      <c r="B8" s="6" t="n">
        <v>90310</v>
      </c>
      <c r="C8" s="6" t="n">
        <v>4195</v>
      </c>
      <c r="D8" s="6" t="n">
        <v>6867</v>
      </c>
      <c r="E8" s="6" t="n">
        <v>8868</v>
      </c>
    </row>
    <row r="9">
      <c r="A9" s="6" t="inlineStr">
        <is>
          <t>Tangible fixed assets</t>
        </is>
      </c>
      <c r="B9" s="6" t="n">
        <v>70</v>
      </c>
      <c r="C9" s="6" t="n">
        <v>66</v>
      </c>
      <c r="D9" s="6" t="n">
        <v>70</v>
      </c>
      <c r="E9" s="6" t="n">
        <v>85</v>
      </c>
    </row>
    <row r="10">
      <c r="A10" s="6" t="inlineStr">
        <is>
          <t>Intangible fixed assets</t>
        </is>
      </c>
      <c r="B10" s="6" t="n">
        <v>2101</v>
      </c>
      <c r="C10" s="6" t="n">
        <v>324</v>
      </c>
      <c r="D10" s="6" t="n"/>
      <c r="E10" s="6" t="n"/>
    </row>
    <row r="11">
      <c r="A11" s="6" t="inlineStr">
        <is>
          <t>Other assets</t>
        </is>
      </c>
      <c r="B11" s="6" t="n">
        <v>3617</v>
      </c>
      <c r="C11" s="6" t="n">
        <v>431</v>
      </c>
      <c r="D11" s="6" t="n">
        <v>239</v>
      </c>
      <c r="E11" s="6" t="n">
        <v>120</v>
      </c>
    </row>
    <row r="12">
      <c r="A12" s="6" t="inlineStr">
        <is>
          <t>Prepayments and accrued income</t>
        </is>
      </c>
      <c r="B12" s="6" t="n">
        <v>691</v>
      </c>
      <c r="C12" s="6" t="n">
        <v>463</v>
      </c>
      <c r="D12" s="6" t="n">
        <v>211</v>
      </c>
      <c r="E12" s="6" t="n">
        <v>177</v>
      </c>
    </row>
    <row r="13">
      <c r="A13" s="6" t="inlineStr">
        <is>
          <t>Derivative financial asset</t>
        </is>
      </c>
      <c r="B13" s="6" t="n">
        <v>27</v>
      </c>
      <c r="C13" s="6" t="n"/>
      <c r="D13" s="6" t="n"/>
      <c r="E13" s="6" t="n"/>
    </row>
    <row r="14">
      <c r="A14" s="5" t="inlineStr">
        <is>
          <t>Total assets</t>
        </is>
      </c>
      <c r="B14" s="5" t="n">
        <v>151081</v>
      </c>
      <c r="C14" s="5" t="n">
        <v>29595</v>
      </c>
      <c r="D14" s="5" t="n">
        <v>17059</v>
      </c>
      <c r="E14" s="5" t="n">
        <v>22777</v>
      </c>
    </row>
    <row r="15">
      <c r="A15" s="5" t="inlineStr">
        <is>
          <t>Liabilities</t>
        </is>
      </c>
      <c r="B15" s="6" t="n"/>
      <c r="C15" s="6" t="n"/>
      <c r="D15" s="6" t="n"/>
      <c r="E15" s="6" t="n"/>
    </row>
    <row r="16">
      <c r="A16" s="6" t="inlineStr">
        <is>
          <t>Customer accounts</t>
        </is>
      </c>
      <c r="B16" s="6" t="n">
        <v>106868</v>
      </c>
      <c r="C16" s="6" t="n">
        <v>9299</v>
      </c>
      <c r="D16" s="6" t="n">
        <v>10399</v>
      </c>
      <c r="E16" s="6" t="n">
        <v>13916</v>
      </c>
    </row>
    <row r="17">
      <c r="A17" s="6" t="inlineStr">
        <is>
          <t>Other liabilities</t>
        </is>
      </c>
      <c r="B17" s="6" t="n">
        <v>6098</v>
      </c>
      <c r="C17" s="6" t="n">
        <v>1337</v>
      </c>
      <c r="D17" s="6" t="n">
        <v>454</v>
      </c>
      <c r="E17" s="6" t="n">
        <v>498</v>
      </c>
    </row>
    <row r="18">
      <c r="A18" s="5" t="inlineStr">
        <is>
          <t>Total liabilities</t>
        </is>
      </c>
      <c r="B18" s="5" t="n">
        <v>112966</v>
      </c>
      <c r="C18" s="5" t="n">
        <v>10636</v>
      </c>
      <c r="D18" s="5" t="n">
        <v>10853</v>
      </c>
      <c r="E18" s="5" t="n">
        <v>14415</v>
      </c>
    </row>
    <row r="19">
      <c r="A19" s="5" t="inlineStr">
        <is>
          <t>Equity</t>
        </is>
      </c>
      <c r="B19" s="6" t="n"/>
      <c r="C19" s="6" t="n"/>
      <c r="D19" s="6" t="n"/>
      <c r="E19" s="6" t="n"/>
    </row>
    <row r="20">
      <c r="A20" s="6" t="inlineStr">
        <is>
          <t>Called up share capital</t>
        </is>
      </c>
      <c r="B20" s="6" t="n">
        <v>60138</v>
      </c>
      <c r="C20" s="6" t="n">
        <v>30138</v>
      </c>
      <c r="D20" s="6" t="n">
        <v>10138</v>
      </c>
      <c r="E20" s="6" t="n">
        <v>8207</v>
      </c>
    </row>
    <row r="21">
      <c r="A21" s="6" t="inlineStr">
        <is>
          <t>Share Premium</t>
        </is>
      </c>
      <c r="B21" s="6" t="n">
        <v>2862</v>
      </c>
      <c r="C21" s="6" t="n">
        <v>2862</v>
      </c>
      <c r="D21" s="6" t="n">
        <v>2862</v>
      </c>
      <c r="E21" s="6" t="n">
        <v>2793</v>
      </c>
    </row>
    <row r="22">
      <c r="A22" s="6" t="inlineStr">
        <is>
          <t>Retained earnings</t>
        </is>
      </c>
      <c r="B22" s="6" t="n">
        <v>-24885</v>
      </c>
      <c r="C22" s="6" t="n">
        <v>-14041</v>
      </c>
      <c r="D22" s="6" t="n">
        <v>-6794</v>
      </c>
      <c r="E22" s="6" t="n">
        <v>-2637</v>
      </c>
    </row>
    <row r="23">
      <c r="A23" s="5" t="inlineStr">
        <is>
          <t>Total equity</t>
        </is>
      </c>
      <c r="B23" s="5" t="n">
        <v>38115</v>
      </c>
      <c r="C23" s="5" t="n">
        <v>18959</v>
      </c>
      <c r="D23" s="5" t="n">
        <v>6206</v>
      </c>
      <c r="E23" s="5" t="n">
        <v>8363</v>
      </c>
    </row>
    <row r="24">
      <c r="A24" s="5" t="inlineStr">
        <is>
          <t>Total liabilities and equity</t>
        </is>
      </c>
      <c r="B24" s="5" t="n">
        <v>151081</v>
      </c>
      <c r="C24" s="5" t="n">
        <v>29595</v>
      </c>
      <c r="D24" s="5" t="n">
        <v>17059</v>
      </c>
      <c r="E24" s="5" t="n">
        <v>22777</v>
      </c>
    </row>
    <row r="26" ht="280" customHeight="1">
      <c r="A26" s="8" t="inlineStr">
        <is>
          <t>Sources - Birmingham Bank Limited's own primary financial statements (FRS 102), all figures GBP'000: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Only 3 Companies House accounts filings exist (FY2022-FY2024, calendar year-end) - no FY2025 filing yet as of this build (likely not yet due) and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or off-balance-sheet items are disclosed in any year.</t>
        </is>
      </c>
    </row>
  </sheetData>
  <mergeCells count="1">
    <mergeCell ref="A26:E2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Birmingham Bank Limited — Profit &amp; Loss</t>
        </is>
      </c>
    </row>
    <row r="2">
      <c r="A2" s="2" t="inlineStr">
        <is>
          <t>Bank-solo basis, FRS 102, £'000 (FY2022/FY2021 converted from the source's exact-£ figures)</t>
        </is>
      </c>
    </row>
    <row r="3">
      <c r="A3" s="4" t="inlineStr">
        <is>
          <t>Line item</t>
        </is>
      </c>
      <c r="B3" s="4" t="inlineStr">
        <is>
          <t>FY2024 (£'000)</t>
        </is>
      </c>
      <c r="C3" s="4" t="inlineStr">
        <is>
          <t>FY2023 (£'000)</t>
        </is>
      </c>
      <c r="D3" s="4" t="inlineStr">
        <is>
          <t>FY2022 (£'000)</t>
        </is>
      </c>
      <c r="E3" s="4" t="inlineStr">
        <is>
          <t>FY2021 (£'000)</t>
        </is>
      </c>
    </row>
    <row r="4">
      <c r="A4" s="5" t="inlineStr">
        <is>
          <t>Income</t>
        </is>
      </c>
      <c r="B4" s="6" t="n"/>
      <c r="C4" s="6" t="n"/>
      <c r="D4" s="6" t="n"/>
      <c r="E4" s="6" t="n"/>
    </row>
    <row r="5">
      <c r="A5" s="6" t="inlineStr">
        <is>
          <t>Interest receivable and similar income arising from debt securities</t>
        </is>
      </c>
      <c r="B5" s="6" t="n">
        <v>1756</v>
      </c>
      <c r="C5" s="6" t="n">
        <v>313</v>
      </c>
      <c r="D5" s="6" t="n">
        <v>530</v>
      </c>
      <c r="E5" s="6" t="n">
        <v>602</v>
      </c>
    </row>
    <row r="6">
      <c r="A6" s="6" t="inlineStr">
        <is>
          <t>Other interest receivable and similar income</t>
        </is>
      </c>
      <c r="B6" s="6" t="n">
        <v>2680</v>
      </c>
      <c r="C6" s="6" t="n">
        <v>805</v>
      </c>
      <c r="D6" s="6" t="n">
        <v>228</v>
      </c>
      <c r="E6" s="6" t="n">
        <v>14</v>
      </c>
    </row>
    <row r="7">
      <c r="A7" s="5" t="inlineStr">
        <is>
          <t>Total income</t>
        </is>
      </c>
      <c r="B7" s="5" t="n">
        <v>4436</v>
      </c>
      <c r="C7" s="5" t="n">
        <v>1118</v>
      </c>
      <c r="D7" s="5" t="n">
        <v>757</v>
      </c>
      <c r="E7" s="5" t="n">
        <v>616</v>
      </c>
    </row>
    <row r="8">
      <c r="A8" s="6" t="inlineStr">
        <is>
          <t>Net (loss)/gain on financial instruments at fair value through profit and loss</t>
        </is>
      </c>
      <c r="B8" s="6" t="n">
        <v>27</v>
      </c>
      <c r="C8" s="6" t="n"/>
      <c r="D8" s="6" t="n"/>
      <c r="E8" s="6" t="n"/>
    </row>
    <row r="9">
      <c r="A9" s="6" t="inlineStr">
        <is>
          <t>Interest payable</t>
        </is>
      </c>
      <c r="B9" s="6" t="n">
        <v>-1997</v>
      </c>
      <c r="C9" s="6" t="n">
        <v>-213</v>
      </c>
      <c r="D9" s="6" t="n">
        <v>-90</v>
      </c>
      <c r="E9" s="6" t="n">
        <v>-115</v>
      </c>
    </row>
    <row r="10">
      <c r="A10" s="5" t="inlineStr">
        <is>
          <t>Net income</t>
        </is>
      </c>
      <c r="B10" s="5" t="n">
        <v>2466</v>
      </c>
      <c r="C10" s="5" t="n">
        <v>905</v>
      </c>
      <c r="D10" s="5" t="n">
        <v>667</v>
      </c>
      <c r="E10" s="5" t="n">
        <v>500</v>
      </c>
    </row>
    <row r="11">
      <c r="A11" s="6" t="inlineStr">
        <is>
          <t>Administrative expenses</t>
        </is>
      </c>
      <c r="B11" s="6" t="n">
        <v>-13155</v>
      </c>
      <c r="C11" s="6" t="n">
        <v>-8475</v>
      </c>
      <c r="D11" s="6" t="n">
        <v>-4817</v>
      </c>
      <c r="E11" s="6" t="n">
        <v>-3858</v>
      </c>
    </row>
    <row r="12">
      <c r="A12" s="6" t="inlineStr">
        <is>
          <t>Depreciation and amortisation</t>
        </is>
      </c>
      <c r="B12" s="6" t="n">
        <v>-237</v>
      </c>
      <c r="C12" s="6" t="n">
        <v>-32</v>
      </c>
      <c r="D12" s="6" t="n">
        <v>-24</v>
      </c>
      <c r="E12" s="6" t="n">
        <v>-42</v>
      </c>
    </row>
    <row r="13">
      <c r="A13" s="6" t="inlineStr">
        <is>
          <t>Impairment charge for loan losses</t>
        </is>
      </c>
      <c r="B13" s="6" t="n">
        <v>-22</v>
      </c>
      <c r="C13" s="6" t="n">
        <v>-4</v>
      </c>
      <c r="D13" s="6" t="n">
        <v>-21</v>
      </c>
      <c r="E13" s="6" t="n">
        <v>-34</v>
      </c>
    </row>
    <row r="14">
      <c r="A14" s="5" t="inlineStr">
        <is>
          <t>Loss on ordinary activities before taxation</t>
        </is>
      </c>
      <c r="B14" s="5" t="n">
        <v>-10948</v>
      </c>
      <c r="C14" s="5" t="n">
        <v>-7606</v>
      </c>
      <c r="D14" s="5" t="n">
        <v>-4194</v>
      </c>
      <c r="E14" s="5" t="n">
        <v>-3434</v>
      </c>
    </row>
    <row r="15">
      <c r="A15" s="6" t="inlineStr">
        <is>
          <t>Tax on profit on ordinary activities</t>
        </is>
      </c>
      <c r="B15" s="6" t="n">
        <v>104</v>
      </c>
      <c r="C15" s="6" t="n">
        <v>359</v>
      </c>
      <c r="D15" s="6" t="n">
        <v>38</v>
      </c>
      <c r="E15" s="6" t="n">
        <v>0</v>
      </c>
    </row>
    <row r="16">
      <c r="A16" s="5" t="inlineStr">
        <is>
          <t>Loss for the financial year</t>
        </is>
      </c>
      <c r="B16" s="5" t="n">
        <v>-10844</v>
      </c>
      <c r="C16" s="5" t="n">
        <v>-7247</v>
      </c>
      <c r="D16" s="5" t="n">
        <v>-4156</v>
      </c>
      <c r="E16" s="5" t="n">
        <v>-3434</v>
      </c>
    </row>
    <row r="17">
      <c r="A17" s="5" t="inlineStr">
        <is>
          <t>Other comprehensive income</t>
        </is>
      </c>
      <c r="B17" s="6" t="n"/>
      <c r="C17" s="6" t="n"/>
      <c r="D17" s="6" t="n"/>
      <c r="E17" s="6" t="n"/>
    </row>
    <row r="18">
      <c r="A18" s="6" t="inlineStr">
        <is>
          <t>Other comprehensive income</t>
        </is>
      </c>
      <c r="B18" s="6" t="n">
        <v>0</v>
      </c>
      <c r="C18" s="6" t="n">
        <v>0</v>
      </c>
      <c r="D18" s="6" t="n">
        <v>0</v>
      </c>
      <c r="E18" s="6" t="n">
        <v>0</v>
      </c>
    </row>
    <row r="19">
      <c r="A19" s="5" t="inlineStr">
        <is>
          <t>Total comprehensive income for the year</t>
        </is>
      </c>
      <c r="B19" s="5" t="n">
        <v>-10844</v>
      </c>
      <c r="C19" s="5" t="n">
        <v>-7247</v>
      </c>
      <c r="D19" s="5" t="n">
        <v>-4156</v>
      </c>
      <c r="E19" s="5" t="n">
        <v>-3434</v>
      </c>
    </row>
    <row r="21" ht="300" customHeight="1">
      <c r="A21" s="8" t="inlineStr">
        <is>
          <t>Sources - Birmingham Bank Limited's own primary financial statements (FRS 102), all figures GBP'000: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Only 3 Companies House accounts filings exist (FY2022-FY2024, calendar year-end) - no FY2025 filing yet as of this build (likely not yet due) and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or off-balance-sheet items are disclosed in any year.
The 'Net (loss)/gain on financial instruments held at fair value through profit and loss' line only appears from FY2024 onward (GBP27k) - not disclosed as a separate line in FY2021-FY2023, where it did not exist or was immaterial/nil.
CORRECTION (2026-09-06 audit): FY2022 Total income and Net income were previously shown as GBP758k and GBP668k - the FY2023 filing's own restated £'000 comparative column for FY2022 (itself component-rounded: 530+228=758). The FY2022 filing's own primary Income Statement (exact GBP, this project's stated per-year sourcing convention) states Total income of GBP757,483 and Net income of GBP667,285, which round to GBP757k/GBP667k - now corrected to match. All other FY2022 P&amp;L lines already matched the FY2022 filing exactly; only these two subtotals had drifted to the later filing's rounding. The downstream 'Loss on ordinary activities before taxation' (GBP4,194k) is unaffected - it is each filing's own reported total, not a re-derived sum of the (rounded) lines above it, so it does not tie by simple subtraction to the corrected Net income figure; this is the same independent-rounding artifact already documented on the Balance Sheet sheet (a component sum landing GBP1k off its own total row).</t>
        </is>
      </c>
    </row>
  </sheetData>
  <mergeCells count="1">
    <mergeCell ref="A21:E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8"/>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s>
  <sheetData>
    <row r="1">
      <c r="A1" s="1" t="inlineStr">
        <is>
          <t>Birmingham Bank Limited — Statement of Changes in Equity</t>
        </is>
      </c>
    </row>
    <row r="2">
      <c r="A2" s="2" t="inlineStr">
        <is>
          <t>Bank-solo basis, FRS 102, £'000, chronological, 1 January 2021 - 31 December 2024</t>
        </is>
      </c>
    </row>
    <row r="3">
      <c r="A3" s="4" t="inlineStr">
        <is>
          <t>Movement</t>
        </is>
      </c>
      <c r="B3" s="4" t="inlineStr">
        <is>
          <t>Called up Share Capital</t>
        </is>
      </c>
      <c r="C3" s="4" t="inlineStr">
        <is>
          <t>Share Premium</t>
        </is>
      </c>
      <c r="D3" s="4" t="inlineStr">
        <is>
          <t>Retained Earnings</t>
        </is>
      </c>
      <c r="E3" s="4" t="inlineStr">
        <is>
          <t>Total Equity</t>
        </is>
      </c>
    </row>
    <row r="4">
      <c r="A4" s="5" t="inlineStr">
        <is>
          <t>At 1 January 2021</t>
        </is>
      </c>
      <c r="B4" s="5" t="n">
        <v>2000</v>
      </c>
      <c r="C4" s="5" t="n">
        <v>0</v>
      </c>
      <c r="D4" s="5" t="n">
        <v>796</v>
      </c>
      <c r="E4" s="5" t="n">
        <v>2796</v>
      </c>
    </row>
    <row r="5">
      <c r="A5" s="6" t="inlineStr">
        <is>
          <t>Capital injection</t>
        </is>
      </c>
      <c r="B5" s="6" t="n">
        <v>6207</v>
      </c>
      <c r="C5" s="6" t="n">
        <v>2793</v>
      </c>
      <c r="D5" s="6" t="n">
        <v>0</v>
      </c>
      <c r="E5" s="6" t="n">
        <v>9000</v>
      </c>
    </row>
    <row r="6">
      <c r="A6" s="6" t="inlineStr">
        <is>
          <t>Total comprehensive income</t>
        </is>
      </c>
      <c r="B6" s="6" t="n">
        <v>0</v>
      </c>
      <c r="C6" s="6" t="n">
        <v>0</v>
      </c>
      <c r="D6" s="6" t="n">
        <v>-3434</v>
      </c>
      <c r="E6" s="6" t="n">
        <v>-3434</v>
      </c>
    </row>
    <row r="7">
      <c r="A7" s="5" t="inlineStr">
        <is>
          <t>At 31 December 2021</t>
        </is>
      </c>
      <c r="B7" s="5" t="n">
        <v>8207</v>
      </c>
      <c r="C7" s="5" t="n">
        <v>2793</v>
      </c>
      <c r="D7" s="5" t="n">
        <v>-2637</v>
      </c>
      <c r="E7" s="5" t="n">
        <v>8363</v>
      </c>
    </row>
    <row r="8">
      <c r="A8" s="6" t="inlineStr">
        <is>
          <t>Capital injection</t>
        </is>
      </c>
      <c r="B8" s="6" t="n">
        <v>1931</v>
      </c>
      <c r="C8" s="6" t="n">
        <v>69</v>
      </c>
      <c r="D8" s="6" t="n">
        <v>0</v>
      </c>
      <c r="E8" s="6" t="n">
        <v>2000</v>
      </c>
    </row>
    <row r="9">
      <c r="A9" s="6" t="inlineStr">
        <is>
          <t>Total comprehensive income</t>
        </is>
      </c>
      <c r="B9" s="6" t="n">
        <v>0</v>
      </c>
      <c r="C9" s="6" t="n">
        <v>0</v>
      </c>
      <c r="D9" s="6" t="n">
        <v>-4156</v>
      </c>
      <c r="E9" s="6" t="n">
        <v>-4156</v>
      </c>
    </row>
    <row r="10">
      <c r="A10" s="5" t="inlineStr">
        <is>
          <t>At 31 December 2022</t>
        </is>
      </c>
      <c r="B10" s="5" t="n">
        <v>10138</v>
      </c>
      <c r="C10" s="5" t="n">
        <v>2862</v>
      </c>
      <c r="D10" s="5" t="n">
        <v>-6794</v>
      </c>
      <c r="E10" s="5" t="n">
        <v>6206</v>
      </c>
    </row>
    <row r="11">
      <c r="A11" s="6" t="inlineStr">
        <is>
          <t>Issue of new shares</t>
        </is>
      </c>
      <c r="B11" s="6" t="n">
        <v>20000</v>
      </c>
      <c r="C11" s="6" t="n">
        <v>0</v>
      </c>
      <c r="D11" s="6" t="n">
        <v>0</v>
      </c>
      <c r="E11" s="6" t="n">
        <v>20000</v>
      </c>
    </row>
    <row r="12">
      <c r="A12" s="6" t="inlineStr">
        <is>
          <t>Total comprehensive income</t>
        </is>
      </c>
      <c r="B12" s="6" t="n">
        <v>0</v>
      </c>
      <c r="C12" s="6" t="n">
        <v>0</v>
      </c>
      <c r="D12" s="6" t="n">
        <v>-7247</v>
      </c>
      <c r="E12" s="6" t="n">
        <v>-7247</v>
      </c>
    </row>
    <row r="13">
      <c r="A13" s="5" t="inlineStr">
        <is>
          <t>At 31 December 2023</t>
        </is>
      </c>
      <c r="B13" s="5" t="n">
        <v>30138</v>
      </c>
      <c r="C13" s="5" t="n">
        <v>2862</v>
      </c>
      <c r="D13" s="5" t="n">
        <v>-14041</v>
      </c>
      <c r="E13" s="5" t="n">
        <v>18959</v>
      </c>
    </row>
    <row r="14">
      <c r="A14" s="6" t="inlineStr">
        <is>
          <t>Issue of new shares</t>
        </is>
      </c>
      <c r="B14" s="6" t="n">
        <v>30000</v>
      </c>
      <c r="C14" s="6" t="n">
        <v>0</v>
      </c>
      <c r="D14" s="6" t="n">
        <v>0</v>
      </c>
      <c r="E14" s="6" t="n">
        <v>30000</v>
      </c>
    </row>
    <row r="15">
      <c r="A15" s="6" t="inlineStr">
        <is>
          <t>Total comprehensive income</t>
        </is>
      </c>
      <c r="B15" s="6" t="n">
        <v>0</v>
      </c>
      <c r="C15" s="6" t="n">
        <v>0</v>
      </c>
      <c r="D15" s="6" t="n">
        <v>-10844</v>
      </c>
      <c r="E15" s="6" t="n">
        <v>-10844</v>
      </c>
    </row>
    <row r="16">
      <c r="A16" s="5" t="inlineStr">
        <is>
          <t>At 31 December 2024</t>
        </is>
      </c>
      <c r="B16" s="5" t="n">
        <v>60138</v>
      </c>
      <c r="C16" s="5" t="n">
        <v>2862</v>
      </c>
      <c r="D16" s="5" t="n">
        <v>-24885</v>
      </c>
      <c r="E16" s="5" t="n">
        <v>38115</v>
      </c>
    </row>
    <row r="18" ht="260" customHeight="1">
      <c r="A18" s="8" t="inlineStr">
        <is>
          <t>Sources - Birmingham Bank Limited's own primary financial statements (FRS 102), all figures GBP'000: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Only 3 Companies House accounts filings exist (FY2022-FY2024, calendar year-end) - no FY2025 filing yet as of this build (likely not yet due) and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or off-balance-sheet items are disclosed in any year.
The capital-raise row is labelled 'Capital injection' in the bank's own 2021/2022 filings and 'Issue of new shares' in its 2023/2024 filings - same underlying event (a share capital + share premium increase), the bank's own wording just changed year to year; reproduced here as each filing states it.</t>
        </is>
      </c>
    </row>
  </sheetData>
  <mergeCells count="1">
    <mergeCell ref="A18:E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s>
  <sheetData>
    <row r="1">
      <c r="A1" s="1" t="inlineStr">
        <is>
          <t>Birmingham Bank Limited — Statement of Cash Flows</t>
        </is>
      </c>
    </row>
    <row r="2">
      <c r="A2" s="2" t="inlineStr">
        <is>
          <t>Bank-solo basis, FRS 102, £'000 (FY2022/FY2021 converted from the source's exact-£ figures)</t>
        </is>
      </c>
    </row>
    <row r="3">
      <c r="A3" s="4" t="inlineStr">
        <is>
          <t>Line item</t>
        </is>
      </c>
      <c r="B3" s="4" t="inlineStr">
        <is>
          <t>FY2024 (£'000)</t>
        </is>
      </c>
      <c r="C3" s="4" t="inlineStr">
        <is>
          <t>FY2023 (£'000)</t>
        </is>
      </c>
      <c r="D3" s="4" t="inlineStr">
        <is>
          <t>FY2022 (£'000)</t>
        </is>
      </c>
      <c r="E3" s="4" t="inlineStr">
        <is>
          <t>FY2021 (£'000)</t>
        </is>
      </c>
    </row>
    <row r="4">
      <c r="A4" s="5" t="inlineStr">
        <is>
          <t>Reconciliation of operating (loss) to net operating cash flows</t>
        </is>
      </c>
      <c r="B4" s="6" t="n"/>
      <c r="C4" s="6" t="n"/>
      <c r="D4" s="6" t="n"/>
      <c r="E4" s="6" t="n"/>
    </row>
    <row r="5">
      <c r="A5" s="6" t="inlineStr">
        <is>
          <t>Loss on ordinary activities after taxation</t>
        </is>
      </c>
      <c r="B5" s="6" t="n">
        <v>-10844</v>
      </c>
      <c r="C5" s="6" t="n">
        <v>-7247</v>
      </c>
      <c r="D5" s="6" t="n">
        <v>-4156</v>
      </c>
      <c r="E5" s="6" t="n">
        <v>-3434</v>
      </c>
    </row>
    <row r="6">
      <c r="A6" s="6" t="inlineStr">
        <is>
          <t>Increase in prepayments and accrued income</t>
        </is>
      </c>
      <c r="B6" s="6" t="n">
        <v>-228</v>
      </c>
      <c r="C6" s="6" t="n">
        <v>-252</v>
      </c>
      <c r="D6" s="6" t="n">
        <v>-34</v>
      </c>
      <c r="E6" s="6" t="n">
        <v>-238</v>
      </c>
    </row>
    <row r="7">
      <c r="A7" s="6" t="inlineStr">
        <is>
          <t>Increase in derivative financial asset</t>
        </is>
      </c>
      <c r="B7" s="6" t="n">
        <v>-27</v>
      </c>
      <c r="C7" s="6" t="n"/>
      <c r="D7" s="6" t="n"/>
      <c r="E7" s="6" t="n"/>
    </row>
    <row r="8">
      <c r="A8" s="6" t="inlineStr">
        <is>
          <t>Increase/(decrease) in accruals and deferred income</t>
        </is>
      </c>
      <c r="B8" s="6" t="n">
        <v>4761</v>
      </c>
      <c r="C8" s="6" t="n">
        <v>883</v>
      </c>
      <c r="D8" s="6" t="n">
        <v>-44</v>
      </c>
      <c r="E8" s="6" t="n">
        <v>396</v>
      </c>
    </row>
    <row r="9">
      <c r="A9" s="6" t="inlineStr">
        <is>
          <t>Increase/(decrease) in provision for bad and doubtful debts</t>
        </is>
      </c>
      <c r="B9" s="6" t="n">
        <v>22</v>
      </c>
      <c r="C9" s="6" t="n">
        <v>-4</v>
      </c>
      <c r="D9" s="6" t="n">
        <v>-21</v>
      </c>
      <c r="E9" s="6" t="n">
        <v>-8</v>
      </c>
    </row>
    <row r="10">
      <c r="A10" s="6" t="inlineStr">
        <is>
          <t>Loans and advances written off net of recoveries</t>
        </is>
      </c>
      <c r="B10" s="6" t="n"/>
      <c r="C10" s="6" t="n"/>
      <c r="D10" s="6" t="n">
        <v>0</v>
      </c>
      <c r="E10" s="6" t="n">
        <v>0</v>
      </c>
    </row>
    <row r="11">
      <c r="A11" s="6" t="inlineStr">
        <is>
          <t>Depreciation and amortisation</t>
        </is>
      </c>
      <c r="B11" s="6" t="n">
        <v>237</v>
      </c>
      <c r="C11" s="6" t="n">
        <v>32</v>
      </c>
      <c r="D11" s="6" t="n">
        <v>24</v>
      </c>
      <c r="E11" s="6" t="n">
        <v>42</v>
      </c>
    </row>
    <row r="12">
      <c r="A12" s="6" t="inlineStr">
        <is>
          <t>Taxation - credit</t>
        </is>
      </c>
      <c r="B12" s="6" t="n">
        <v>-104</v>
      </c>
      <c r="C12" s="6" t="n">
        <v>-123</v>
      </c>
      <c r="D12" s="6" t="n">
        <v>-38</v>
      </c>
      <c r="E12" s="6" t="n">
        <v>0</v>
      </c>
    </row>
    <row r="13">
      <c r="A13" s="5" t="inlineStr">
        <is>
          <t>Net cash outflow from trading activities</t>
        </is>
      </c>
      <c r="B13" s="5" t="n">
        <v>-6183</v>
      </c>
      <c r="C13" s="5" t="n">
        <v>-6711</v>
      </c>
      <c r="D13" s="5" t="n">
        <v>-4270</v>
      </c>
      <c r="E13" s="5" t="n">
        <v>-3242</v>
      </c>
    </row>
    <row r="14">
      <c r="A14" s="6" t="inlineStr">
        <is>
          <t>Net (increase)/decrease in loans and advances to credit institutions and customers</t>
        </is>
      </c>
      <c r="B14" s="6" t="n">
        <v>-86137</v>
      </c>
      <c r="C14" s="6" t="n">
        <v>3951</v>
      </c>
      <c r="D14" s="6" t="n">
        <v>2018</v>
      </c>
      <c r="E14" s="6" t="n">
        <v>1328</v>
      </c>
    </row>
    <row r="15">
      <c r="A15" s="6" t="inlineStr">
        <is>
          <t>Decrease/(increase) in financial assets / treasury bills</t>
        </is>
      </c>
      <c r="B15" s="6" t="n">
        <v>-22843</v>
      </c>
      <c r="C15" s="6" t="n">
        <v>-13750</v>
      </c>
      <c r="D15" s="6" t="n">
        <v>3250</v>
      </c>
      <c r="E15" s="6" t="n">
        <v>-4250</v>
      </c>
    </row>
    <row r="16">
      <c r="A16" s="6" t="inlineStr">
        <is>
          <t>Increase/(decrease) in deposits by customers</t>
        </is>
      </c>
      <c r="B16" s="6" t="n">
        <v>97569</v>
      </c>
      <c r="C16" s="6" t="n">
        <v>-1100</v>
      </c>
      <c r="D16" s="6" t="n">
        <v>-3518</v>
      </c>
      <c r="E16" s="6" t="n">
        <v>-1837</v>
      </c>
    </row>
    <row r="17">
      <c r="A17" s="6" t="inlineStr">
        <is>
          <t>Increase/(decrease) in other assets</t>
        </is>
      </c>
      <c r="B17" s="6" t="n">
        <v>-3082</v>
      </c>
      <c r="C17" s="6" t="n">
        <v>167</v>
      </c>
      <c r="D17" s="6" t="n">
        <v>-81</v>
      </c>
      <c r="E17" s="6" t="n">
        <v>8</v>
      </c>
    </row>
    <row r="18">
      <c r="A18" s="5" t="inlineStr">
        <is>
          <t>Net cash outflow from operating activities</t>
        </is>
      </c>
      <c r="B18" s="5" t="n">
        <v>-20676</v>
      </c>
      <c r="C18" s="5" t="n">
        <v>-17679</v>
      </c>
      <c r="D18" s="5" t="n">
        <v>-2601</v>
      </c>
      <c r="E18" s="5" t="n">
        <v>-7994</v>
      </c>
    </row>
    <row r="19">
      <c r="A19" s="5" t="inlineStr">
        <is>
          <t>Cash flow from investing activities</t>
        </is>
      </c>
      <c r="B19" s="6" t="n"/>
      <c r="C19" s="6" t="n"/>
      <c r="D19" s="6" t="n"/>
      <c r="E19" s="6" t="n"/>
    </row>
    <row r="20">
      <c r="A20" s="6" t="inlineStr">
        <is>
          <t>Purchase of fixed assets</t>
        </is>
      </c>
      <c r="B20" s="6" t="n">
        <v>-36</v>
      </c>
      <c r="C20" s="6" t="n">
        <v>-45</v>
      </c>
      <c r="D20" s="6" t="n">
        <v>-9</v>
      </c>
      <c r="E20" s="6" t="n">
        <v>-42</v>
      </c>
    </row>
    <row r="21">
      <c r="A21" s="6" t="inlineStr">
        <is>
          <t>Purchase of intangible assets</t>
        </is>
      </c>
      <c r="B21" s="6" t="n">
        <v>-1982</v>
      </c>
      <c r="C21" s="6" t="n">
        <v>-307</v>
      </c>
      <c r="D21" s="6" t="n">
        <v>0</v>
      </c>
      <c r="E21" s="6" t="n"/>
    </row>
    <row r="22">
      <c r="A22" s="5" t="inlineStr">
        <is>
          <t>Net cash outflow from investing activities</t>
        </is>
      </c>
      <c r="B22" s="5" t="n">
        <v>-2018</v>
      </c>
      <c r="C22" s="5" t="n">
        <v>-352</v>
      </c>
      <c r="D22" s="5" t="n">
        <v>-9</v>
      </c>
      <c r="E22" s="5" t="n">
        <v>-42</v>
      </c>
    </row>
    <row r="23">
      <c r="A23" s="5" t="inlineStr">
        <is>
          <t>Cash flow from financing activities</t>
        </is>
      </c>
      <c r="B23" s="6" t="n"/>
      <c r="C23" s="6" t="n"/>
      <c r="D23" s="6" t="n"/>
      <c r="E23" s="6" t="n"/>
    </row>
    <row r="24">
      <c r="A24" s="6" t="inlineStr">
        <is>
          <t>Called up share capital additions</t>
        </is>
      </c>
      <c r="B24" s="6" t="n">
        <v>30000</v>
      </c>
      <c r="C24" s="6" t="n">
        <v>20000</v>
      </c>
      <c r="D24" s="6" t="n">
        <v>2000</v>
      </c>
      <c r="E24" s="6" t="n">
        <v>9000</v>
      </c>
    </row>
    <row r="25">
      <c r="A25" s="5" t="inlineStr">
        <is>
          <t>Net cash inflow from financing activities</t>
        </is>
      </c>
      <c r="B25" s="5" t="n">
        <v>30000</v>
      </c>
      <c r="C25" s="5" t="n">
        <v>20000</v>
      </c>
      <c r="D25" s="5" t="n">
        <v>2000</v>
      </c>
      <c r="E25" s="5" t="n">
        <v>9000</v>
      </c>
    </row>
    <row r="26">
      <c r="A26" s="5" t="inlineStr">
        <is>
          <t>Increase/(decrease) in cash and cash equivalents</t>
        </is>
      </c>
      <c r="B26" s="5" t="n">
        <v>7306</v>
      </c>
      <c r="C26" s="5" t="n">
        <v>1969</v>
      </c>
      <c r="D26" s="5" t="n">
        <v>-610</v>
      </c>
      <c r="E26" s="5" t="n">
        <v>964</v>
      </c>
    </row>
    <row r="27">
      <c r="A27" s="5" t="inlineStr">
        <is>
          <t>Analysis of the balances of cash</t>
        </is>
      </c>
      <c r="B27" s="6" t="n"/>
      <c r="C27" s="6" t="n"/>
      <c r="D27" s="6" t="n"/>
      <c r="E27" s="6" t="n"/>
    </row>
    <row r="28">
      <c r="A28" s="6" t="inlineStr">
        <is>
          <t>Cash at bank at beginning of year</t>
        </is>
      </c>
      <c r="B28" s="6" t="n">
        <v>3866</v>
      </c>
      <c r="C28" s="6" t="n">
        <v>1897</v>
      </c>
      <c r="D28" s="6" t="n">
        <v>2506</v>
      </c>
      <c r="E28" s="6" t="n"/>
    </row>
    <row r="29">
      <c r="A29" s="5" t="inlineStr">
        <is>
          <t>Cash at bank at end of year</t>
        </is>
      </c>
      <c r="B29" s="5" t="n">
        <v>11172</v>
      </c>
      <c r="C29" s="5" t="n">
        <v>3866</v>
      </c>
      <c r="D29" s="5" t="n">
        <v>1896</v>
      </c>
      <c r="E29" s="5" t="n">
        <v>2506</v>
      </c>
    </row>
    <row r="31" ht="280" customHeight="1">
      <c r="A31" s="8" t="inlineStr">
        <is>
          <t>Sources - Birmingham Bank Limited's own Statement of Cash Flows (FRS 102), all figures GBP'000:
FY2024: Full accounts made up to 31 Dec 2024 (filed 31 Mar 2025), p.25 (Statement of Cash Flows) - https://find-and-update.company-information.service.gov.uk/company/00555071/filing-history/MzQ2MDU0MTMzM2FkaXF6a2N4/document?format=pdf&amp;download=0
FY2023: Full accounts made up to 31 Dec 2023 (filed 20 Mar 2024), p.26 (Statement of Cash Flows) - https://find-and-update.company-information.service.gov.uk/company/00555071/filing-history/MzQxNDU2Njk3NGFkaXF6a2N4/document?format=pdf&amp;download=0
FY2022 &amp; FY2021: Amended full accounts made up to 31 Dec 2022 (filed 25 Oct 2023), p.28 (Statement of Cash Flows)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Only 3 Companies House accounts filings exist (FY2022-FY2024, calendar year-end) - no FY2025 filing yet as of this build (likely not yet due) and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DATA NOTE: the FY2024 filing's own 'Analysis of the balances of cash' table mislabels its opening-balance column '01.01.2023' (should read 01.01.2024) - the VALUE (GBP3,866k) is used as printed, since it exactly matches FY2023's own reported closing balance; only the column label in the source appears to be a typo, not the figure. Separately, the FY2022 filing's own closing balance (GBP1,896k, rounded from the exact GBP1,895,707) differs by an immaterial GBP1k from FY2023's own filing's stated opening balance (GBP1,897k) for the same date - both are shown here exactly as each filing states them, not forced to match. FY2021's own opening cash balance is not available in any filing found (the FY2022 filing's comparative column starts from FY2021's closing balance only) - left blank, not estimated.</t>
        </is>
      </c>
    </row>
  </sheetData>
  <mergeCells count="1">
    <mergeCell ref="A31:E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Birmingham Bank Limited — Asset Quality</t>
        </is>
      </c>
    </row>
    <row r="2">
      <c r="A2" s="2" t="inlineStr">
        <is>
          <t>Bank-solo basis, FRS 102, £'000. See source note at bottom.</t>
        </is>
      </c>
    </row>
    <row r="3">
      <c r="A3" s="4" t="inlineStr">
        <is>
          <t>Line item</t>
        </is>
      </c>
      <c r="B3" s="4" t="inlineStr">
        <is>
          <t>FY2024 (£'000)</t>
        </is>
      </c>
      <c r="C3" s="4" t="inlineStr">
        <is>
          <t>FY2023 (£'000)</t>
        </is>
      </c>
      <c r="D3" s="4" t="inlineStr">
        <is>
          <t>FY2022 (£'000)</t>
        </is>
      </c>
      <c r="E3" s="4" t="inlineStr">
        <is>
          <t>FY2021 (£'000)</t>
        </is>
      </c>
    </row>
    <row r="4">
      <c r="A4" s="5" t="inlineStr">
        <is>
          <t>Loans and advances to customers</t>
        </is>
      </c>
      <c r="B4" s="6" t="n"/>
      <c r="C4" s="6" t="n"/>
      <c r="D4" s="6" t="n"/>
      <c r="E4" s="6" t="n"/>
    </row>
    <row r="5">
      <c r="A5" s="6" t="inlineStr">
        <is>
          <t>Gross loans and advances to customers</t>
        </is>
      </c>
      <c r="B5" s="6" t="n">
        <v>90352</v>
      </c>
      <c r="C5" s="6" t="n">
        <v>4215</v>
      </c>
      <c r="D5" s="6" t="n">
        <v>6879</v>
      </c>
      <c r="E5" s="6" t="n">
        <v>8901</v>
      </c>
    </row>
    <row r="6">
      <c r="A6" s="6" t="inlineStr">
        <is>
          <t>Bad debt provisions</t>
        </is>
      </c>
      <c r="B6" s="6" t="n">
        <v>-42</v>
      </c>
      <c r="C6" s="6" t="n">
        <v>-20</v>
      </c>
      <c r="D6" s="6" t="n">
        <v>-12</v>
      </c>
      <c r="E6" s="6" t="n">
        <v>-33</v>
      </c>
    </row>
    <row r="7">
      <c r="A7" s="5" t="inlineStr">
        <is>
          <t>Net loans and advances to customers</t>
        </is>
      </c>
      <c r="B7" s="5" t="n">
        <v>90310</v>
      </c>
      <c r="C7" s="5" t="n">
        <v>4195</v>
      </c>
      <c r="D7" s="5" t="n">
        <v>6867</v>
      </c>
      <c r="E7" s="5" t="n">
        <v>8868</v>
      </c>
    </row>
    <row r="8">
      <c r="A8" s="5" t="inlineStr">
        <is>
          <t>Gross loan book by maturity</t>
        </is>
      </c>
      <c r="B8" s="6" t="n"/>
      <c r="C8" s="6" t="n"/>
      <c r="D8" s="6" t="n"/>
      <c r="E8" s="6" t="n"/>
    </row>
    <row r="9">
      <c r="A9" s="6" t="inlineStr">
        <is>
          <t>Repayable on demand</t>
        </is>
      </c>
      <c r="B9" s="6" t="n">
        <v>5</v>
      </c>
      <c r="C9" s="6" t="n">
        <v>5</v>
      </c>
      <c r="D9" s="6" t="n">
        <v>13</v>
      </c>
      <c r="E9" s="6" t="n">
        <v>44</v>
      </c>
    </row>
    <row r="10">
      <c r="A10" s="6" t="inlineStr">
        <is>
          <t>Repayable within 3 months</t>
        </is>
      </c>
      <c r="B10" s="6" t="n">
        <v>277</v>
      </c>
      <c r="C10" s="6" t="n">
        <v>409</v>
      </c>
      <c r="D10" s="6" t="n">
        <v>927</v>
      </c>
      <c r="E10" s="6" t="n">
        <v>1182</v>
      </c>
    </row>
    <row r="11">
      <c r="A11" s="6" t="inlineStr">
        <is>
          <t>Repayable between 3 months and one year</t>
        </is>
      </c>
      <c r="B11" s="6" t="n">
        <v>611</v>
      </c>
      <c r="C11" s="6" t="n">
        <v>1198</v>
      </c>
      <c r="D11" s="6" t="n">
        <v>2374</v>
      </c>
      <c r="E11" s="6" t="n">
        <v>2919</v>
      </c>
    </row>
    <row r="12">
      <c r="A12" s="6" t="inlineStr">
        <is>
          <t>Repayable between one year and five years</t>
        </is>
      </c>
      <c r="B12" s="6" t="n">
        <v>89459</v>
      </c>
      <c r="C12" s="6" t="n">
        <v>2603</v>
      </c>
      <c r="D12" s="6" t="n">
        <v>3564</v>
      </c>
      <c r="E12" s="6" t="n">
        <v>4758</v>
      </c>
    </row>
    <row r="13">
      <c r="A13" s="5" t="inlineStr">
        <is>
          <t>Coverage</t>
        </is>
      </c>
      <c r="B13" s="6" t="n"/>
      <c r="C13" s="6" t="n"/>
      <c r="D13" s="6" t="n"/>
      <c r="E13" s="6" t="n"/>
    </row>
    <row r="14">
      <c r="A14" s="6" t="inlineStr">
        <is>
          <t>Bad debt provision coverage (Provision / Gross loans)</t>
        </is>
      </c>
      <c r="B14" s="6" t="inlineStr">
        <is>
          <t>0.05%</t>
        </is>
      </c>
      <c r="C14" s="6" t="inlineStr">
        <is>
          <t>0.47%</t>
        </is>
      </c>
      <c r="D14" s="6" t="inlineStr">
        <is>
          <t>0.17%</t>
        </is>
      </c>
      <c r="E14" s="6" t="inlineStr">
        <is>
          <t>0.37%</t>
        </is>
      </c>
    </row>
    <row r="16" ht="280" customHeight="1">
      <c r="A16" s="8" t="inlineStr">
        <is>
          <t>Sources - Birmingham Bank Limited's own primary financial statements (FRS 102), all figures GBP'000: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Only 3 Companies House accounts filings exist (FY2022-FY2024, calendar year-end) - no FY2025 filing yet as of this build (likely not yet due) and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or off-balance-sheet items are disclosed in any year.
The Bank reports under FRS 102 (incurred-loss impairment model), not IFRS 9 - no Stage 1/2/3 or non-performing-loan split is disclosed in any year's Annual Report or the one Pillar 3 document published; only a single 'bad debt provisions' balance (with a separate 'general' provision component in FY2021, reduced to nil during 2021) and a maturity-band breakdown of the gross loan book. Coverage ratio shown is Bad debt provisions / Gross loans and advances to customers - a coverage proxy, not an NPL ratio, since no non-performing/past-due balance is disclosed.</t>
        </is>
      </c>
    </row>
  </sheetData>
  <mergeCells count="1">
    <mergeCell ref="A16:E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CET1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Common Equity Tier 1 (CET1) capital</t>
        </is>
      </c>
      <c r="B4" s="6" t="n">
        <v>35985</v>
      </c>
      <c r="C4" s="6" t="n">
        <v>18617</v>
      </c>
      <c r="D4" s="6" t="n"/>
      <c r="E4" s="6" t="n"/>
    </row>
    <row r="5" ht="60" customHeight="1">
      <c r="A5" s="7" t="inlineStr">
        <is>
          <t>Note: The Pillar 3 report's own Section 1.4 'Summary Analysis' headline FY2024 Tier 1 capital (GBP35,985k, shown here) differs from the same report's own Section 5.1 capital-resources table and Section 9 'Own Funds Disclosure' table (Total Equity GBP38,115k less regulatory deductions GBP2,008k = GBP36,107k) - both are the entity's own genuine disclosures in the same document, ~0.3% apart; the headline summary figure is used for consistency with how every other year/metric on this sheet is sourced (same class of internal document inconsistency as the RWA figures - see the Total RWAs sheet's own note). FY2023 has no such discrepancy - both of the report's tables agree at GBP18,617k.</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CET1/Tier 1/Total Capital Ratio (96.69%, rounded here to 97%) and LCR (16,250%) - Strategic Report 'key financial performance indicators' table in the Amended full accounts made up to 31 Dec 2022 (filed 25 Oct 2023), p.5 - https://find-and-update.company-information.service.gov.uk/company/00555071/filing-history/MzM5NzY1NjE1N2FkaXF6a2N4/document?format=pdf&amp;download=0. Corrected 2026-09-06 audit: this ratio was previously marked as not disclosed for FY2021, but this same KPI table (already cited elsewhere on this workbook for its FY2022 column) also carries a FY2021 comparative column that was missed on first build. Ratio only, same as FY2022 - no GBP CET1/Tier 1/Total Capital or RWA figure for FY2021 was found in any document (the bank's only Pillar 3 document covers FY2023-FY2024 only), so those GBP metric sheets remain blank for FY2021.
The Bank has no Additional Tier 1 or Tier 2 capital in any year (per the Pillar 3 report's own statement), so CET1 Capital = Tier 1 Capital = Total Capital, and CET1 Ratio = Tier 1 Ratio = Total Capital Ratio, throughout.</t>
        </is>
      </c>
    </row>
  </sheetData>
  <mergeCells count="2">
    <mergeCell ref="A5:E5"/>
    <mergeCell ref="A7:E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CET1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CET1 Ratio (= Capital Adequacy Ratio)</t>
        </is>
      </c>
      <c r="B4" s="6" t="inlineStr">
        <is>
          <t>76%</t>
        </is>
      </c>
      <c r="C4" s="6" t="inlineStr">
        <is>
          <t>365%</t>
        </is>
      </c>
      <c r="D4" s="6" t="inlineStr">
        <is>
          <t>91%</t>
        </is>
      </c>
      <c r="E4" s="6" t="inlineStr">
        <is>
          <t>97%</t>
        </is>
      </c>
    </row>
    <row r="6" ht="190" customHeight="1">
      <c r="A6"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CET1/Tier 1/Total Capital Ratio (96.69%, rounded here to 97%) and LCR (16,250%) - Strategic Report 'key financial performance indicators' table in the Amended full accounts made up to 31 Dec 2022 (filed 25 Oct 2023), p.5 - https://find-and-update.company-information.service.gov.uk/company/00555071/filing-history/MzM5NzY1NjE1N2FkaXF6a2N4/document?format=pdf&amp;download=0. Corrected 2026-09-06 audit: this ratio was previously marked as not disclosed for FY2021, but this same KPI table (already cited elsewhere on this workbook for its FY2022 column) also carries a FY2021 comparative column that was missed on first build. Ratio only, same as FY2022 - no GBP CET1/Tier 1/Total Capital or RWA figure for FY2021 was found in any document (the bank's only Pillar 3 document covers FY2023-FY2024 only), so those GBP metric sheets remain blank for FY2021.
The Bank has no Additional Tier 1 or Tier 2 capital in any year (per the Pillar 3 report's own statement), so CET1 Capital = Tier 1 Capital = Total Capital, and CET1 Ratio = Tier 1 Ratio = Total Capital Ratio, throughout.</t>
        </is>
      </c>
    </row>
  </sheetData>
  <mergeCells count="1">
    <mergeCell ref="A6:E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Tier 1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Tier 1 capital</t>
        </is>
      </c>
      <c r="B4" s="6" t="n">
        <v>35985</v>
      </c>
      <c r="C4" s="6" t="n">
        <v>18617</v>
      </c>
      <c r="D4" s="6" t="n"/>
      <c r="E4" s="6" t="n"/>
    </row>
    <row r="5" ht="60" customHeight="1">
      <c r="A5" s="7" t="inlineStr">
        <is>
          <t>Note: No Additional Tier 1 or Tier 2 capital in any year - equals CET1 Capital exactly. The Pillar 3 report's own Section 1.4 'Summary Analysis' headline FY2024 Tier 1 capital (GBP35,985k, shown here) differs from the same report's own Section 5.1 capital-resources table and Section 9 'Own Funds Disclosure' table (Total Equity GBP38,115k less regulatory deductions GBP2,008k = GBP36,107k) - both are the entity's own genuine disclosures in the same document, ~0.3% apart; the headline summary figure is used for consistency with how every other year/metric on this sheet is sourced (same class of internal document inconsistency as the RWA figures - see the Total RWAs sheet's own note). FY2023 has no such discrepancy - both of the report's tables agree at GBP18,617k.</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CET1/Tier 1/Total Capital Ratio (96.69%, rounded here to 97%) and LCR (16,250%) - Strategic Report 'key financial performance indicators' table in the Amended full accounts made up to 31 Dec 2022 (filed 25 Oct 2023), p.5 - https://find-and-update.company-information.service.gov.uk/company/00555071/filing-history/MzM5NzY1NjE1N2FkaXF6a2N4/document?format=pdf&amp;download=0. Corrected 2026-09-06 audit: this ratio was previously marked as not disclosed for FY2021, but this same KPI table (already cited elsewhere on this workbook for its FY2022 column) also carries a FY2021 comparative column that was missed on first build. Ratio only, same as FY2022 - no GBP CET1/Tier 1/Total Capital or RWA figure for FY2021 was found in any document (the bank's only Pillar 3 document covers FY2023-FY2024 only), so those GBP metric sheets remain blank for FY2021.
The Bank has no Additional Tier 1 or Tier 2 capital in any year (per the Pillar 3 report's own statement), so CET1 Capital = Tier 1 Capital = Total Capital, and CET1 Ratio = Tier 1 Ratio = Total Capital Ratio, throughout.</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Tier 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Tier 1 Capital ratio</t>
        </is>
      </c>
      <c r="B4" s="6" t="inlineStr">
        <is>
          <t>76%</t>
        </is>
      </c>
      <c r="C4" s="6" t="inlineStr">
        <is>
          <t>365%</t>
        </is>
      </c>
      <c r="D4" s="6" t="inlineStr">
        <is>
          <t>91%</t>
        </is>
      </c>
      <c r="E4" s="6" t="inlineStr">
        <is>
          <t>97%</t>
        </is>
      </c>
    </row>
    <row r="6" ht="190" customHeight="1">
      <c r="A6"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CET1/Tier 1/Total Capital Ratio (96.69%, rounded here to 97%) and LCR (16,250%) - Strategic Report 'key financial performance indicators' table in the Amended full accounts made up to 31 Dec 2022 (filed 25 Oct 2023), p.5 - https://find-and-update.company-information.service.gov.uk/company/00555071/filing-history/MzM5NzY1NjE1N2FkaXF6a2N4/document?format=pdf&amp;download=0. Corrected 2026-09-06 audit: this ratio was previously marked as not disclosed for FY2021, but this same KPI table (already cited elsewhere on this workbook for its FY2022 column) also carries a FY2021 comparative column that was missed on first build. Ratio only, same as FY2022 - no GBP CET1/Tier 1/Total Capital or RWA figure for FY2021 was found in any document (the bank's only Pillar 3 document covers FY2023-FY2024 only), so those GBP metric sheets remain blank for FY2021.
The Bank has no Additional Tier 1 or Tier 2 capital in any year (per the Pillar 3 report's own statement), so CET1 Capital = Tier 1 Capital = Total Capital, and CET1 Ratio = Tier 1 Ratio = Total Capital Ratio, throughout.</t>
        </is>
      </c>
    </row>
  </sheetData>
  <mergeCells count="1">
    <mergeCell ref="A6:E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Total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capital</t>
        </is>
      </c>
      <c r="B4" s="6" t="n">
        <v>35985</v>
      </c>
      <c r="C4" s="6" t="n">
        <v>18617</v>
      </c>
      <c r="D4" s="6" t="n"/>
      <c r="E4" s="6" t="n"/>
    </row>
    <row r="5" ht="60" customHeight="1">
      <c r="A5" s="7" t="inlineStr">
        <is>
          <t>Note: No Additional Tier 1 or Tier 2 capital in any year - equals CET1 Capital exactly. The Pillar 3 report's own Section 1.4 'Summary Analysis' headline FY2024 Tier 1 capital (GBP35,985k, shown here) differs from the same report's own Section 5.1 capital-resources table and Section 9 'Own Funds Disclosure' table (Total Equity GBP38,115k less regulatory deductions GBP2,008k = GBP36,107k) - both are the entity's own genuine disclosures in the same document, ~0.3% apart; the headline summary figure is used for consistency with how every other year/metric on this sheet is sourced (same class of internal document inconsistency as the RWA figures - see the Total RWAs sheet's own note). FY2023 has no such discrepancy - both of the report's tables agree at GBP18,617k.</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CET1/Tier 1/Total Capital Ratio (96.69%, rounded here to 97%) and LCR (16,250%) - Strategic Report 'key financial performance indicators' table in the Amended full accounts made up to 31 Dec 2022 (filed 25 Oct 2023), p.5 - https://find-and-update.company-information.service.gov.uk/company/00555071/filing-history/MzM5NzY1NjE1N2FkaXF6a2N4/document?format=pdf&amp;download=0. Corrected 2026-09-06 audit: this ratio was previously marked as not disclosed for FY2021, but this same KPI table (already cited elsewhere on this workbook for its FY2022 column) also carries a FY2021 comparative column that was missed on first build. Ratio only, same as FY2022 - no GBP CET1/Tier 1/Total Capital or RWA figure for FY2021 was found in any document (the bank's only Pillar 3 document covers FY2023-FY2024 only), so those GBP metric sheets remain blank for FY2021.
The Bank has no Additional Tier 1 or Tier 2 capital in any year (per the Pillar 3 report's own statement), so CET1 Capital = Tier 1 Capital = Total Capital, and CET1 Ratio = Tier 1 Ratio = Total Capital Ratio, throughout.</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Total Capital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Capital Ratio (= Capital Adequacy Ratio)</t>
        </is>
      </c>
      <c r="B4" s="6" t="inlineStr">
        <is>
          <t>76%</t>
        </is>
      </c>
      <c r="C4" s="6" t="inlineStr">
        <is>
          <t>365%</t>
        </is>
      </c>
      <c r="D4" s="6" t="inlineStr">
        <is>
          <t>91%</t>
        </is>
      </c>
      <c r="E4" s="6" t="inlineStr">
        <is>
          <t>97%</t>
        </is>
      </c>
    </row>
    <row r="6" ht="190" customHeight="1">
      <c r="A6"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CET1/Tier 1/Total Capital Ratio (96.69%, rounded here to 97%) and LCR (16,250%) - Strategic Report 'key financial performance indicators' table in the Amended full accounts made up to 31 Dec 2022 (filed 25 Oct 2023), p.5 - https://find-and-update.company-information.service.gov.uk/company/00555071/filing-history/MzM5NzY1NjE1N2FkaXF6a2N4/document?format=pdf&amp;download=0. Corrected 2026-09-06 audit: this ratio was previously marked as not disclosed for FY2021, but this same KPI table (already cited elsewhere on this workbook for its FY2022 column) also carries a FY2021 comparative column that was missed on first build. Ratio only, same as FY2022 - no GBP CET1/Tier 1/Total Capital or RWA figure for FY2021 was found in any document (the bank's only Pillar 3 document covers FY2023-FY2024 only), so those GBP metric sheets remain blank for FY2021.
The Bank has no Additional Tier 1 or Tier 2 capital in any year (per the Pillar 3 report's own statement), so CET1 Capital = Tier 1 Capital = Total Capital, and CET1 Ratio = Tier 1 Ratio = Total Capital Ratio, throughout.</t>
        </is>
      </c>
    </row>
  </sheetData>
  <mergeCells count="1">
    <mergeCell ref="A6:E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Total RWAs</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risk-weighted assets</t>
        </is>
      </c>
      <c r="B4" s="6" t="n">
        <v>47333</v>
      </c>
      <c r="C4" s="6" t="n">
        <v>5229</v>
      </c>
      <c r="D4" s="6" t="n"/>
      <c r="E4" s="6" t="n"/>
    </row>
    <row r="5" ht="60" customHeight="1">
      <c r="A5" s="7" t="inlineStr">
        <is>
          <t>Note: FY2023 RWA shown here (GBP5,229k) is the Pillar 3 report's own Section 1.4 'Summary Analysis' headline figure. Its Section 5 RWA detail table (credit risk GBP4,056k + operational risk GBP1,045k = GBP5,101k) gives a slightly different total for the same year - both are the entity's own genuine disclosures, ~2.5% apart; the headline summary figure is used for consistency with how FY2024 is sourced.</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CET1/Tier 1/Total Capital Ratio (96.69%, rounded here to 97%) and LCR (16,250%) - Strategic Report 'key financial performance indicators' table in the Amended full accounts made up to 31 Dec 2022 (filed 25 Oct 2023), p.5 - https://find-and-update.company-information.service.gov.uk/company/00555071/filing-history/MzM5NzY1NjE1N2FkaXF6a2N4/document?format=pdf&amp;download=0. Corrected 2026-09-06 audit: this ratio was previously marked as not disclosed for FY2021, but this same KPI table (already cited elsewhere on this workbook for its FY2022 column) also carries a FY2021 comparative column that was missed on first build. Ratio only, same as FY2022 - no GBP CET1/Tier 1/Total Capital or RWA figure for FY2021 was found in any document (the bank's only Pillar 3 document covers FY2023-FY2024 only), so those GBP metric sheets remain blank for FY2021.
The Bank has no Additional Tier 1 or Tier 2 capital in any year (per the Pillar 3 report's own statement), so CET1 Capital = Tier 1 Capital = Total Capital, and CET1 Ratio = Tier 1 Ratio = Total Capital Ratio, throughout.</t>
        </is>
      </c>
    </row>
  </sheetData>
  <mergeCells count="2">
    <mergeCell ref="A5:E5"/>
    <mergeCell ref="A7:E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Birmingham Bank Limited — RWA Breakdown</t>
        </is>
      </c>
    </row>
    <row r="2">
      <c r="A2" s="2" t="inlineStr">
        <is>
          <t>Bank-solo basis, £'000. See source note at bottom.</t>
        </is>
      </c>
    </row>
    <row r="3">
      <c r="A3" s="4" t="inlineStr">
        <is>
          <t>Line item</t>
        </is>
      </c>
      <c r="B3" s="4" t="inlineStr">
        <is>
          <t>FY2024 (£'000)</t>
        </is>
      </c>
      <c r="C3" s="4" t="inlineStr">
        <is>
          <t>FY2023 (£'000)</t>
        </is>
      </c>
      <c r="D3" s="4" t="inlineStr">
        <is>
          <t>FY2022 (£'000)</t>
        </is>
      </c>
      <c r="E3" s="4" t="inlineStr">
        <is>
          <t>FY2021 (£'000)</t>
        </is>
      </c>
    </row>
    <row r="4">
      <c r="A4" s="6" t="inlineStr">
        <is>
          <t>Credit risk</t>
        </is>
      </c>
      <c r="B4" s="6" t="n">
        <v>46037</v>
      </c>
      <c r="C4" s="6" t="n">
        <v>4056</v>
      </c>
      <c r="D4" s="6" t="n"/>
      <c r="E4" s="6" t="n"/>
    </row>
    <row r="5">
      <c r="A5" s="6" t="inlineStr">
        <is>
          <t>Operational risk</t>
        </is>
      </c>
      <c r="B5" s="6" t="n">
        <v>1296</v>
      </c>
      <c r="C5" s="6" t="n">
        <v>1045</v>
      </c>
      <c r="D5" s="6" t="n"/>
      <c r="E5" s="6" t="n"/>
    </row>
    <row r="6">
      <c r="A6" s="5" t="inlineStr">
        <is>
          <t>Total RWAs (Pillar 1)</t>
        </is>
      </c>
      <c r="B6" s="5" t="n">
        <v>47333</v>
      </c>
      <c r="C6" s="5" t="n">
        <v>5101</v>
      </c>
      <c r="D6" s="5" t="n"/>
      <c r="E6" s="5" t="n"/>
    </row>
    <row r="8" ht="200" customHeight="1">
      <c r="A8"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CET1/Tier 1/Total Capital Ratio (96.69%, rounded here to 97%) and LCR (16,250%) - Strategic Report 'key financial performance indicators' table in the Amended full accounts made up to 31 Dec 2022 (filed 25 Oct 2023), p.5 - https://find-and-update.company-information.service.gov.uk/company/00555071/filing-history/MzM5NzY1NjE1N2FkaXF6a2N4/document?format=pdf&amp;download=0. Corrected 2026-09-06 audit: this ratio was previously marked as not disclosed for FY2021, but this same KPI table (already cited elsewhere on this workbook for its FY2022 column) also carries a FY2021 comparative column that was missed on first build. Ratio only, same as FY2022 - no GBP CET1/Tier 1/Total Capital or RWA figure for FY2021 was found in any document (the bank's only Pillar 3 document covers FY2023-FY2024 only), so those GBP metric sheets remain blank for FY2021.
The Bank has no Additional Tier 1 or Tier 2 capital in any year (per the Pillar 3 report's own statement), so CET1 Capital = Tier 1 Capital = Total Capital, and CET1 Ratio = Tier 1 Ratio = Total Capital Ratio, throughout.
The Bank has no exposure to market risk under Pillar 1 (per the Pillar 3 report's own statement) - credit risk and operational risk are the only two categories. FY2022/FY2021 not disclosed: no Pillar 3 document covers those years (matches the gap already documented on the Total RWAs sheet).</t>
        </is>
      </c>
    </row>
  </sheetData>
  <mergeCells count="1">
    <mergeCell ref="A8:E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Leverage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Leverage ratio</t>
        </is>
      </c>
      <c r="B4" s="6" t="inlineStr">
        <is>
          <t>24%</t>
        </is>
      </c>
      <c r="C4" s="6" t="inlineStr">
        <is>
          <t>63%</t>
        </is>
      </c>
      <c r="D4" s="6" t="n"/>
      <c r="E4" s="6" t="n"/>
    </row>
    <row r="6" ht="190" customHeight="1">
      <c r="A6"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CET1/Tier 1/Total Capital Ratio (96.69%, rounded here to 97%) and LCR (16,250%) - Strategic Report 'key financial performance indicators' table in the Amended full accounts made up to 31 Dec 2022 (filed 25 Oct 2023), p.5 - https://find-and-update.company-information.service.gov.uk/company/00555071/filing-history/MzM5NzY1NjE1N2FkaXF6a2N4/document?format=pdf&amp;download=0. Corrected 2026-09-06 audit: this ratio was previously marked as not disclosed for FY2021, but this same KPI table (already cited elsewhere on this workbook for its FY2022 column) also carries a FY2021 comparative column that was missed on first build. Ratio only, same as FY2022 - no GBP CET1/Tier 1/Total Capital or RWA figure for FY2021 was found in any document (the bank's only Pillar 3 document covers FY2023-FY2024 only), so those GBP metric sheets remain blank for FY2021.
The Bank has no Additional Tier 1 or Tier 2 capital in any year (per the Pillar 3 report's own statement), so CET1 Capital = Tier 1 Capital = Total Capital, and CET1 Ratio = Tier 1 Ratio = Total Capital Ratio, throughout.</t>
        </is>
      </c>
    </row>
  </sheetData>
  <mergeCells count="1">
    <mergeCell ref="A6:E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LCR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Liquidity Coverage Ratio</t>
        </is>
      </c>
      <c r="B4" s="6" t="inlineStr">
        <is>
          <t>725%</t>
        </is>
      </c>
      <c r="C4" s="6" t="inlineStr">
        <is>
          <t>11,351%</t>
        </is>
      </c>
      <c r="D4" s="6" t="inlineStr">
        <is>
          <t>2,983%</t>
        </is>
      </c>
      <c r="E4" s="6" t="inlineStr">
        <is>
          <t>16,250%</t>
        </is>
      </c>
    </row>
    <row r="5" ht="60" customHeight="1">
      <c r="A5" s="7" t="inlineStr">
        <is>
          <t>Note: FY2022/FY2023 figures (2,983% / 11,351%) are genuinely this large - a small, low-loan-volume bank holding a large liquidity buffer relative to its (paused) lending book during its 2023 infrastructure-build year. Not a transcription error - see ENTITY_NOTE on the Cash Flow sheet.</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CET1/Tier 1/Total Capital Ratio (96.69%, rounded here to 97%) and LCR (16,250%) - Strategic Report 'key financial performance indicators' table in the Amended full accounts made up to 31 Dec 2022 (filed 25 Oct 2023), p.5 - https://find-and-update.company-information.service.gov.uk/company/00555071/filing-history/MzM5NzY1NjE1N2FkaXF6a2N4/document?format=pdf&amp;download=0. Corrected 2026-09-06 audit: this ratio was previously marked as not disclosed for FY2021, but this same KPI table (already cited elsewhere on this workbook for its FY2022 column) also carries a FY2021 comparative column that was missed on first build. Ratio only, same as FY2022 - no GBP CET1/Tier 1/Total Capital or RWA figure for FY2021 was found in any document (the bank's only Pillar 3 document covers FY2023-FY2024 only), so those GBP metric sheets remain blank for FY2021.
The Bank has no Additional Tier 1 or Tier 2 capital in any year (per the Pillar 3 report's own statement), so CET1 Capital = Tier 1 Capital = Total Capital, and CET1 Ratio = Tier 1 Ratio = Total Capital Ratio, throughout.</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Birmingham Bank Limited — NSFR</t>
        </is>
      </c>
    </row>
    <row r="2">
      <c r="A2" s="2" t="inlineStr"/>
    </row>
    <row r="3">
      <c r="A3" s="4" t="inlineStr">
        <is>
          <t>Metric</t>
        </is>
      </c>
      <c r="B3" s="4" t="inlineStr">
        <is>
          <t>FY2024</t>
        </is>
      </c>
      <c r="C3" s="4" t="inlineStr">
        <is>
          <t>FY2023</t>
        </is>
      </c>
      <c r="D3" s="4" t="inlineStr">
        <is>
          <t>FY2022</t>
        </is>
      </c>
      <c r="E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found in any Annual Report or the one Pillar 3 document published.</t>
        </is>
      </c>
    </row>
    <row r="7" ht="15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CET1/Tier 1/Total Capital Ratio (96.69%, rounded here to 97%) and LCR (16,250%) - Strategic Report 'key financial performance indicators' table in the Amended full accounts made up to 31 Dec 2022 (filed 25 Oct 2023), p.5 - https://find-and-update.company-information.service.gov.uk/company/00555071/filing-history/MzM5NzY1NjE1N2FkaXF6a2N4/document?format=pdf&amp;download=0. Corrected 2026-09-06 audit: this ratio was previously marked as not disclosed for FY2021, but this same KPI table (already cited elsewhere on this workbook for its FY2022 column) also carries a FY2021 comparative column that was missed on first build. Ratio only, same as FY2022 - no GBP CET1/Tier 1/Total Capital or RWA figure for FY2021 was found in any document (the bank's only Pillar 3 document covers FY2023-FY2024 only), so those GBP metric sheets remain blank for FY2021.
The Bank has no Additional Tier 1 or Tier 2 capital in any year (per the Pillar 3 report's own statement), so CET1 Capital = Tier 1 Capital = Total Capital, and CET1 Ratio = Tier 1 Ratio = Total Capital Ratio, throughout.</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Birmingham Bank Limited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found - the Bank is small enough to plausibly sit below the BoE's MREL threshold, but no explicit statement to that effect was found either.</t>
        </is>
      </c>
    </row>
    <row r="7" ht="15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CET1/Tier 1/Total Capital Ratio (96.69%, rounded here to 97%) and LCR (16,250%) - Strategic Report 'key financial performance indicators' table in the Amended full accounts made up to 31 Dec 2022 (filed 25 Oct 2023), p.5 - https://find-and-update.company-information.service.gov.uk/company/00555071/filing-history/MzM5NzY1NjE1N2FkaXF6a2N4/document?format=pdf&amp;download=0. Corrected 2026-09-06 audit: this ratio was previously marked as not disclosed for FY2021, but this same KPI table (already cited elsewhere on this workbook for its FY2022 column) also carries a FY2021 comparative column that was missed on first build. Ratio only, same as FY2022 - no GBP CET1/Tier 1/Total Capital or RWA figure for FY2021 was found in any document (the bank's only Pillar 3 document covers FY2023-FY2024 only), so those GBP metric sheets remain blank for FY2021.
The Bank has no Additional Tier 1 or Tier 2 capital in any year (per the Pillar 3 report's own statement), so CET1 Capital = Tier 1 Capital = Total Capital, and CET1 Ratio = Tier 1 Ratio = Total Capital Ratio, throughout.</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2026-09-06T09:10:41Z</dcterms:created>
  <dcterms:modified xmlns:dcterms="http://purl.org/dc/terms/" xmlns:xsi="http://www.w3.org/2001/XMLSchema-instance" xsi:type="dcterms:W3CDTF">2026-09-06T09:10:41Z</dcterms:modified>
</cp:coreProperties>
</file>