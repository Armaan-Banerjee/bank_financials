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946B2D"/>
        <bgColor rgb="00946B2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Birmingham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Birmingham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'Overview'!Q12</f>
            </strRef>
          </tx>
          <spPr>
            <a:ln xmlns:a="http://schemas.openxmlformats.org/drawingml/2006/main">
              <a:prstDash val="solid"/>
            </a:ln>
          </spPr>
          <cat>
            <numRef>
              <f>'Overview'!$R$11:$V$11</f>
            </numRef>
          </cat>
          <val>
            <numRef>
              <f>'Overview'!$R$12:$V$12</f>
            </numRef>
          </val>
        </ser>
        <ser>
          <idx val="1"/>
          <order val="1"/>
          <tx>
            <strRef>
              <f>'Overview'!Q13</f>
            </strRef>
          </tx>
          <spPr>
            <a:ln xmlns:a="http://schemas.openxmlformats.org/drawingml/2006/main">
              <a:prstDash val="solid"/>
            </a:ln>
          </spPr>
          <cat>
            <numRef>
              <f>'Overview'!$R$11:$V$11</f>
            </numRef>
          </cat>
          <val>
            <numRef>
              <f>'Overview'!$R$13:$V$13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Birmingham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'Overview'!Y17</f>
            </strRef>
          </tx>
          <spPr>
            <a:ln xmlns:a="http://schemas.openxmlformats.org/drawingml/2006/main">
              <a:prstDash val="solid"/>
            </a:ln>
          </spPr>
          <cat>
            <numRef>
              <f>'Overview'!$Z$16:$AD$16</f>
            </numRef>
          </cat>
          <val>
            <numRef>
              <f>'Overview'!$Z$17:$AD$17</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Birmingham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'Overview'!AG21</f>
            </strRef>
          </tx>
          <spPr>
            <a:ln xmlns:a="http://schemas.openxmlformats.org/drawingml/2006/main">
              <a:prstDash val="solid"/>
            </a:ln>
          </spPr>
          <cat>
            <numRef>
              <f>'Overview'!$AH$20:$AL$20</f>
            </numRef>
          </cat>
          <val>
            <numRef>
              <f>'Overview'!$AH$21:$AL$21</f>
            </numRef>
          </val>
        </ser>
        <ser>
          <idx val="1"/>
          <order val="1"/>
          <tx>
            <strRef>
              <f>'Overview'!AG22</f>
            </strRef>
          </tx>
          <spPr>
            <a:ln xmlns:a="http://schemas.openxmlformats.org/drawingml/2006/main">
              <a:prstDash val="solid"/>
            </a:ln>
          </spPr>
          <cat>
            <numRef>
              <f>'Overview'!$AH$20:$AL$20</f>
            </numRef>
          </cat>
          <val>
            <numRef>
              <f>'Overview'!$AH$22:$AL$22</f>
            </numRef>
          </val>
        </ser>
        <ser>
          <idx val="2"/>
          <order val="2"/>
          <tx>
            <strRef>
              <f>'Overview'!AG23</f>
            </strRef>
          </tx>
          <spPr>
            <a:ln xmlns:a="http://schemas.openxmlformats.org/drawingml/2006/main">
              <a:prstDash val="solid"/>
            </a:ln>
          </spPr>
          <cat>
            <numRef>
              <f>'Overview'!$AH$20:$AL$20</f>
            </numRef>
          </cat>
          <val>
            <numRef>
              <f>'Overview'!$AH$23:$AL$23</f>
            </numRef>
          </val>
        </ser>
        <ser>
          <idx val="3"/>
          <order val="3"/>
          <tx>
            <strRef>
              <f>'Overview'!AG24</f>
            </strRef>
          </tx>
          <spPr>
            <a:ln xmlns:a="http://schemas.openxmlformats.org/drawingml/2006/main">
              <a:prstDash val="solid"/>
            </a:ln>
          </spPr>
          <cat>
            <numRef>
              <f>'Overview'!$AH$20:$AL$20</f>
            </numRef>
          </cat>
          <val>
            <numRef>
              <f>'Overview'!$AH$24:$AL$24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Birmingham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34</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56</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78</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100</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122</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2"/>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Birmingham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644796</v>
      </c>
      <c r="C6" s="5" t="n">
        <v>151081</v>
      </c>
      <c r="D6" s="5" t="n">
        <v>29595</v>
      </c>
      <c r="E6" s="5" t="n">
        <v>17059</v>
      </c>
      <c r="F6" s="5" t="n">
        <v>22777</v>
      </c>
      <c r="I6" t="inlineStr">
        <is>
          <t>Total assets</t>
        </is>
      </c>
      <c r="J6" t="n">
        <v>22777</v>
      </c>
      <c r="K6" t="n">
        <v>17059</v>
      </c>
      <c r="L6" t="n">
        <v>29595</v>
      </c>
      <c r="M6" t="n">
        <v>151081</v>
      </c>
      <c r="N6" t="n">
        <v>644796</v>
      </c>
      <c r="AO6" t="inlineStr">
        <is>
          <t>CET1 Ratio</t>
        </is>
      </c>
      <c r="AP6" t="n">
        <v>96</v>
      </c>
      <c r="AQ6" t="n">
        <v>90</v>
      </c>
      <c r="AR6" t="n">
        <v>365</v>
      </c>
      <c r="AS6" t="n">
        <v>76</v>
      </c>
      <c r="AT6" t="n">
        <v>30.43</v>
      </c>
    </row>
    <row r="7">
      <c r="A7" s="5" t="inlineStr">
        <is>
          <t>Total liabilities</t>
        </is>
      </c>
      <c r="B7" s="5" t="n">
        <v>580892</v>
      </c>
      <c r="C7" s="5" t="n">
        <v>112966</v>
      </c>
      <c r="D7" s="5" t="n">
        <v>10636</v>
      </c>
      <c r="E7" s="5" t="n">
        <v>10853</v>
      </c>
      <c r="F7" s="5" t="n">
        <v>14415</v>
      </c>
      <c r="I7" t="inlineStr">
        <is>
          <t>Total liabilities</t>
        </is>
      </c>
      <c r="J7" t="n">
        <v>14415</v>
      </c>
      <c r="K7" t="n">
        <v>10853</v>
      </c>
      <c r="L7" t="n">
        <v>10636</v>
      </c>
      <c r="M7" t="n">
        <v>112966</v>
      </c>
      <c r="N7" t="n">
        <v>580892</v>
      </c>
      <c r="AO7" t="inlineStr">
        <is>
          <t>Leverage Ratio</t>
        </is>
      </c>
      <c r="AP7" t="n">
        <v>37</v>
      </c>
      <c r="AQ7" t="n">
        <v>36</v>
      </c>
      <c r="AR7" t="n">
        <v>63</v>
      </c>
      <c r="AS7" t="n">
        <v>24</v>
      </c>
    </row>
    <row r="8">
      <c r="A8" s="5" t="inlineStr">
        <is>
          <t>Total equity</t>
        </is>
      </c>
      <c r="B8" s="5" t="n">
        <v>63904</v>
      </c>
      <c r="C8" s="5" t="n">
        <v>38115</v>
      </c>
      <c r="D8" s="5" t="n">
        <v>18959</v>
      </c>
      <c r="E8" s="5" t="n">
        <v>6206</v>
      </c>
      <c r="F8" s="5" t="n">
        <v>8363</v>
      </c>
      <c r="I8" t="inlineStr">
        <is>
          <t>Total equity</t>
        </is>
      </c>
      <c r="J8" t="n">
        <v>8363</v>
      </c>
      <c r="K8" t="n">
        <v>6206</v>
      </c>
      <c r="L8" t="n">
        <v>18959</v>
      </c>
      <c r="M8" t="n">
        <v>38115</v>
      </c>
      <c r="N8" t="n">
        <v>63904</v>
      </c>
      <c r="AO8" t="inlineStr">
        <is>
          <t>LCR</t>
        </is>
      </c>
      <c r="AP8" t="n">
        <v>16250</v>
      </c>
      <c r="AQ8" t="n">
        <v>2983</v>
      </c>
      <c r="AR8" t="n">
        <v>11351</v>
      </c>
      <c r="AS8" t="n">
        <v>725</v>
      </c>
      <c r="AT8" t="n">
        <v>460</v>
      </c>
    </row>
    <row r="10">
      <c r="A10" s="3" t="inlineStr">
        <is>
          <t>Profit &amp; Loss Summary (£'000)</t>
        </is>
      </c>
    </row>
    <row r="11">
      <c r="A11" s="4" t="inlineStr">
        <is>
          <t>Line item</t>
        </is>
      </c>
      <c r="B11" s="4" t="inlineStr">
        <is>
          <t>FY2025</t>
        </is>
      </c>
      <c r="C11" s="4" t="inlineStr">
        <is>
          <t>FY2024</t>
        </is>
      </c>
      <c r="D11" s="4" t="inlineStr">
        <is>
          <t>FY2023</t>
        </is>
      </c>
      <c r="E11" s="4" t="inlineStr">
        <is>
          <t>FY2022</t>
        </is>
      </c>
      <c r="F11" s="4" t="inlineStr">
        <is>
          <t>FY2021</t>
        </is>
      </c>
      <c r="R11" t="inlineStr">
        <is>
          <t>FY2021</t>
        </is>
      </c>
      <c r="S11" t="inlineStr">
        <is>
          <t>FY2022</t>
        </is>
      </c>
      <c r="T11" t="inlineStr">
        <is>
          <t>FY2023</t>
        </is>
      </c>
      <c r="U11" t="inlineStr">
        <is>
          <t>FY2024</t>
        </is>
      </c>
      <c r="V11" t="inlineStr">
        <is>
          <t>FY2025</t>
        </is>
      </c>
    </row>
    <row r="12">
      <c r="A12" s="5" t="inlineStr">
        <is>
          <t>Total interest receivable and similar income</t>
        </is>
      </c>
      <c r="B12" s="5" t="n">
        <v>21563</v>
      </c>
      <c r="C12" s="5" t="n">
        <v>4436</v>
      </c>
      <c r="D12" s="5" t="n">
        <v>1118</v>
      </c>
      <c r="E12" s="5" t="n">
        <v>757</v>
      </c>
      <c r="F12" s="5" t="n">
        <v>616</v>
      </c>
      <c r="Q12" t="inlineStr">
        <is>
          <t>Total interest receivable and similar income</t>
        </is>
      </c>
      <c r="R12" t="n">
        <v>616</v>
      </c>
      <c r="S12" t="n">
        <v>757</v>
      </c>
      <c r="T12" t="n">
        <v>1118</v>
      </c>
      <c r="U12" t="n">
        <v>4436</v>
      </c>
      <c r="V12" t="n">
        <v>21563</v>
      </c>
    </row>
    <row r="13">
      <c r="A13" s="5" t="inlineStr">
        <is>
          <t>Loss for the financial year</t>
        </is>
      </c>
      <c r="B13" s="5" t="n">
        <v>-9211</v>
      </c>
      <c r="C13" s="5" t="n">
        <v>-10844</v>
      </c>
      <c r="D13" s="5" t="n">
        <v>-7247</v>
      </c>
      <c r="E13" s="5" t="n">
        <v>-4156</v>
      </c>
      <c r="F13" s="5" t="n">
        <v>-3434</v>
      </c>
      <c r="Q13" t="inlineStr">
        <is>
          <t>Loss for the financial year</t>
        </is>
      </c>
      <c r="R13" t="n">
        <v>-3434</v>
      </c>
      <c r="S13" t="n">
        <v>-4156</v>
      </c>
      <c r="T13" t="n">
        <v>-7247</v>
      </c>
      <c r="U13" t="n">
        <v>-10844</v>
      </c>
      <c r="V13" t="n">
        <v>-9211</v>
      </c>
    </row>
    <row r="15">
      <c r="A15" s="3" t="inlineStr">
        <is>
          <t>Statement of Changes in Equity Summary (£'000)</t>
        </is>
      </c>
    </row>
    <row r="16">
      <c r="A16" s="4" t="inlineStr">
        <is>
          <t>Line item</t>
        </is>
      </c>
      <c r="B16" s="4" t="inlineStr">
        <is>
          <t>FY2025</t>
        </is>
      </c>
      <c r="C16" s="4" t="inlineStr">
        <is>
          <t>FY2024</t>
        </is>
      </c>
      <c r="D16" s="4" t="inlineStr">
        <is>
          <t>FY2023</t>
        </is>
      </c>
      <c r="E16" s="4" t="inlineStr">
        <is>
          <t>FY2022</t>
        </is>
      </c>
      <c r="F16" s="4" t="inlineStr">
        <is>
          <t>FY2021</t>
        </is>
      </c>
      <c r="Z16" t="inlineStr">
        <is>
          <t>FY2021</t>
        </is>
      </c>
      <c r="AA16" t="inlineStr">
        <is>
          <t>FY2022</t>
        </is>
      </c>
      <c r="AB16" t="inlineStr">
        <is>
          <t>FY2023</t>
        </is>
      </c>
      <c r="AC16" t="inlineStr">
        <is>
          <t>FY2024</t>
        </is>
      </c>
      <c r="AD16" t="inlineStr">
        <is>
          <t>FY2025</t>
        </is>
      </c>
    </row>
    <row r="17">
      <c r="A17" s="5" t="inlineStr">
        <is>
          <t>Total equity (period end)</t>
        </is>
      </c>
      <c r="B17" s="5" t="n">
        <v>63904</v>
      </c>
      <c r="C17" s="5" t="n">
        <v>38115</v>
      </c>
      <c r="D17" s="5" t="n">
        <v>18959</v>
      </c>
      <c r="E17" s="5" t="n">
        <v>6206</v>
      </c>
      <c r="F17" s="5" t="n">
        <v>8363</v>
      </c>
      <c r="Y17" t="inlineStr">
        <is>
          <t>Total equity (period end)</t>
        </is>
      </c>
      <c r="Z17" t="n">
        <v>8363</v>
      </c>
      <c r="AA17" t="n">
        <v>6206</v>
      </c>
      <c r="AB17" t="n">
        <v>18959</v>
      </c>
      <c r="AC17" t="n">
        <v>38115</v>
      </c>
      <c r="AD17" t="n">
        <v>63904</v>
      </c>
    </row>
    <row r="19">
      <c r="A19" s="3" t="inlineStr">
        <is>
          <t>Cash Flow Summary (£'000)</t>
        </is>
      </c>
    </row>
    <row r="20">
      <c r="A20" s="4" t="inlineStr">
        <is>
          <t>Line item</t>
        </is>
      </c>
      <c r="B20" s="4" t="inlineStr">
        <is>
          <t>FY2025</t>
        </is>
      </c>
      <c r="C20" s="4" t="inlineStr">
        <is>
          <t>FY2024</t>
        </is>
      </c>
      <c r="D20" s="4" t="inlineStr">
        <is>
          <t>FY2023</t>
        </is>
      </c>
      <c r="E20" s="4" t="inlineStr">
        <is>
          <t>FY2022</t>
        </is>
      </c>
      <c r="F20" s="4" t="inlineStr">
        <is>
          <t>FY2021</t>
        </is>
      </c>
      <c r="AH20" t="inlineStr">
        <is>
          <t>FY2021</t>
        </is>
      </c>
      <c r="AI20" t="inlineStr">
        <is>
          <t>FY2022</t>
        </is>
      </c>
      <c r="AJ20" t="inlineStr">
        <is>
          <t>FY2023</t>
        </is>
      </c>
      <c r="AK20" t="inlineStr">
        <is>
          <t>FY2024</t>
        </is>
      </c>
      <c r="AL20" t="inlineStr">
        <is>
          <t>FY2025</t>
        </is>
      </c>
    </row>
    <row r="21">
      <c r="A21" s="5" t="inlineStr">
        <is>
          <t>Net cash (outflow)/inflow from operating activities</t>
        </is>
      </c>
      <c r="B21" s="5" t="n">
        <v>1230</v>
      </c>
      <c r="C21" s="5" t="n">
        <v>-20676</v>
      </c>
      <c r="D21" s="5" t="n">
        <v>-17679</v>
      </c>
      <c r="E21" s="5" t="n">
        <v>-2601</v>
      </c>
      <c r="F21" s="5" t="n">
        <v>-7994</v>
      </c>
      <c r="AG21" t="inlineStr">
        <is>
          <t>Net cash (outflow)/inflow from operating activities</t>
        </is>
      </c>
      <c r="AH21" t="n">
        <v>-7994</v>
      </c>
      <c r="AI21" t="n">
        <v>-2601</v>
      </c>
      <c r="AJ21" t="n">
        <v>-17679</v>
      </c>
      <c r="AK21" t="n">
        <v>-20676</v>
      </c>
      <c r="AL21" t="n">
        <v>1230</v>
      </c>
    </row>
    <row r="22">
      <c r="A22" s="5" t="inlineStr">
        <is>
          <t>Net cash outflow from investing activities</t>
        </is>
      </c>
      <c r="B22" s="5" t="n">
        <v>-32104</v>
      </c>
      <c r="C22" s="5" t="n">
        <v>-2018</v>
      </c>
      <c r="D22" s="5" t="n">
        <v>-352</v>
      </c>
      <c r="E22" s="5" t="n">
        <v>-9</v>
      </c>
      <c r="F22" s="5" t="n">
        <v>-42</v>
      </c>
      <c r="AG22" t="inlineStr">
        <is>
          <t>Net cash outflow from investing activities</t>
        </is>
      </c>
      <c r="AH22" t="n">
        <v>-42</v>
      </c>
      <c r="AI22" t="n">
        <v>-9</v>
      </c>
      <c r="AJ22" t="n">
        <v>-352</v>
      </c>
      <c r="AK22" t="n">
        <v>-2018</v>
      </c>
      <c r="AL22" t="n">
        <v>-32104</v>
      </c>
    </row>
    <row r="23">
      <c r="A23" s="5" t="inlineStr">
        <is>
          <t>Net cash inflow from financing activities</t>
        </is>
      </c>
      <c r="B23" s="5" t="n">
        <v>35000</v>
      </c>
      <c r="C23" s="5" t="n">
        <v>30000</v>
      </c>
      <c r="D23" s="5" t="n">
        <v>20000</v>
      </c>
      <c r="E23" s="5" t="n">
        <v>2000</v>
      </c>
      <c r="F23" s="5" t="n">
        <v>9000</v>
      </c>
      <c r="AG23" t="inlineStr">
        <is>
          <t>Net cash inflow from financing activities</t>
        </is>
      </c>
      <c r="AH23" t="n">
        <v>9000</v>
      </c>
      <c r="AI23" t="n">
        <v>2000</v>
      </c>
      <c r="AJ23" t="n">
        <v>20000</v>
      </c>
      <c r="AK23" t="n">
        <v>30000</v>
      </c>
      <c r="AL23" t="n">
        <v>35000</v>
      </c>
    </row>
    <row r="24">
      <c r="A24" s="5" t="inlineStr">
        <is>
          <t>Cash at bank at end of year</t>
        </is>
      </c>
      <c r="B24" s="5" t="n">
        <v>15289</v>
      </c>
      <c r="C24" s="5" t="n">
        <v>11172</v>
      </c>
      <c r="D24" s="5" t="n">
        <v>3866</v>
      </c>
      <c r="E24" s="5" t="n">
        <v>1896</v>
      </c>
      <c r="F24" s="5" t="n">
        <v>2506</v>
      </c>
      <c r="AG24" t="inlineStr">
        <is>
          <t>Cash at bank at end of year</t>
        </is>
      </c>
      <c r="AH24" t="n">
        <v>2506</v>
      </c>
      <c r="AI24" t="n">
        <v>1896</v>
      </c>
      <c r="AJ24" t="n">
        <v>3866</v>
      </c>
      <c r="AK24" t="n">
        <v>11172</v>
      </c>
      <c r="AL24" t="n">
        <v>15289</v>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row>
    <row r="28">
      <c r="A28" s="6" t="inlineStr">
        <is>
          <t>CET1 Ratio</t>
        </is>
      </c>
      <c r="B28" s="6" t="inlineStr">
        <is>
          <t>30.43%</t>
        </is>
      </c>
      <c r="C28" s="6" t="inlineStr">
        <is>
          <t>76%</t>
        </is>
      </c>
      <c r="D28" s="6" t="inlineStr">
        <is>
          <t>365%</t>
        </is>
      </c>
      <c r="E28" s="6" t="inlineStr">
        <is>
          <t>90%</t>
        </is>
      </c>
      <c r="F28" s="6" t="inlineStr">
        <is>
          <t>96%</t>
        </is>
      </c>
    </row>
    <row r="29">
      <c r="A29" s="6" t="inlineStr">
        <is>
          <t>Leverage Ratio</t>
        </is>
      </c>
      <c r="B29" s="6" t="inlineStr">
        <is>
          <t>Not published – no FY2025 Pillar 3 (the footer's one Pillar 3 link still serves FY2024, re-fetched 2026-09-19; SDDT Ru 3.1 from 14/04/2026); FY2025 Annual Report (51pp, OCR-searched) gives no leverage ratio</t>
        </is>
      </c>
      <c r="C29" s="6" t="inlineStr">
        <is>
          <t>24%</t>
        </is>
      </c>
      <c r="D29" s="6" t="inlineStr">
        <is>
          <t>63%</t>
        </is>
      </c>
      <c r="E29" s="6" t="inlineStr">
        <is>
          <t>36%</t>
        </is>
      </c>
      <c r="F29" s="6" t="inlineStr">
        <is>
          <t>37%</t>
        </is>
      </c>
    </row>
    <row r="30">
      <c r="A30" s="6" t="inlineStr">
        <is>
          <t>LCR</t>
        </is>
      </c>
      <c r="B30" s="6" t="inlineStr">
        <is>
          <t>460%</t>
        </is>
      </c>
      <c r="C30" s="6" t="inlineStr">
        <is>
          <t>725%</t>
        </is>
      </c>
      <c r="D30" s="6" t="inlineStr">
        <is>
          <t>11,351%</t>
        </is>
      </c>
      <c r="E30" s="6" t="inlineStr">
        <is>
          <t>2,983%</t>
        </is>
      </c>
      <c r="F30" s="6" t="inlineStr">
        <is>
          <t>16,250%</t>
        </is>
      </c>
    </row>
    <row r="32" ht="65" customHeight="1">
      <c r="A32" s="7" t="inlineStr">
        <is>
          <t>Note: Figures are duplicated from the detail sheets for at-a-glance trend viewing; see each sheet's own source citation for the underlying document/page. Only 5 years of history exist (FY2021-FY2025) - the entity's own accounts filing history and Pillar 3 disclosures don't go back further. FY2025 was added 2026-09-18 from the FY2025 full accounts filed at Companies House on 14 Sep 2026; the Leverage Ratio has no FY2025 value because there is no FY2025 Pillar 3 report and the Annual Report does not print one. The income row is labelled 'Total interest receivable and similar income' rather than 'Total income' because the FY2025 edition uses 'Total income' for a different subtotal - see the Profit &amp; Loss sheet's note.</t>
        </is>
      </c>
    </row>
  </sheetData>
  <mergeCells count="1">
    <mergeCell ref="A32:F3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Birmingham Bank Limited — Balance Sheet</t>
        </is>
      </c>
    </row>
    <row r="2">
      <c r="A2" s="2" t="inlineStr">
        <is>
          <t>Bank-solo basis, FRS 102, £'000 (FY2022/FY2021 converted from the source's exact-£ figures)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balances at central banks (FY2025 edition only)</t>
        </is>
      </c>
      <c r="B5" s="6" t="n">
        <v>14686</v>
      </c>
      <c r="C5" s="6" t="n"/>
      <c r="D5" s="6" t="n"/>
      <c r="E5" s="6" t="n"/>
      <c r="F5" s="6" t="n"/>
    </row>
    <row r="6">
      <c r="A6" s="6" t="inlineStr">
        <is>
          <t>Cash at Bank (Loans and advances to banks from FY2025)</t>
        </is>
      </c>
      <c r="B6" s="6" t="n">
        <v>603</v>
      </c>
      <c r="C6" s="6" t="n">
        <v>11172</v>
      </c>
      <c r="D6" s="6" t="n">
        <v>3866</v>
      </c>
      <c r="E6" s="6" t="n">
        <v>1896</v>
      </c>
      <c r="F6" s="6" t="n">
        <v>2506</v>
      </c>
    </row>
    <row r="7">
      <c r="A7" s="6" t="inlineStr">
        <is>
          <t>Treasury Bills and similar securities (Investment in debt securities from FY2025)</t>
        </is>
      </c>
      <c r="B7" s="6" t="n">
        <v>77121</v>
      </c>
      <c r="C7" s="6" t="n">
        <v>43093</v>
      </c>
      <c r="D7" s="6" t="n">
        <v>20250</v>
      </c>
      <c r="E7" s="6" t="n">
        <v>6500</v>
      </c>
      <c r="F7" s="6" t="n">
        <v>9750</v>
      </c>
    </row>
    <row r="8">
      <c r="A8" s="6" t="inlineStr">
        <is>
          <t>Loans and advances to Banks (separate line, FY2022/FY2021 editions)</t>
        </is>
      </c>
      <c r="B8" s="6" t="n"/>
      <c r="C8" s="6" t="n"/>
      <c r="D8" s="6" t="n"/>
      <c r="E8" s="6" t="n">
        <v>1275</v>
      </c>
      <c r="F8" s="6" t="n">
        <v>1271</v>
      </c>
    </row>
    <row r="9">
      <c r="A9" s="6" t="inlineStr">
        <is>
          <t>Loans and advances to customers</t>
        </is>
      </c>
      <c r="B9" s="6" t="n">
        <v>540372</v>
      </c>
      <c r="C9" s="6" t="n">
        <v>90310</v>
      </c>
      <c r="D9" s="6" t="n">
        <v>4195</v>
      </c>
      <c r="E9" s="6" t="n">
        <v>6867</v>
      </c>
      <c r="F9" s="6" t="n">
        <v>8868</v>
      </c>
    </row>
    <row r="10">
      <c r="A10" s="6" t="inlineStr">
        <is>
          <t>Tangible fixed assets</t>
        </is>
      </c>
      <c r="B10" s="6" t="n">
        <v>95</v>
      </c>
      <c r="C10" s="6" t="n">
        <v>70</v>
      </c>
      <c r="D10" s="6" t="n">
        <v>66</v>
      </c>
      <c r="E10" s="6" t="n">
        <v>70</v>
      </c>
      <c r="F10" s="6" t="n">
        <v>85</v>
      </c>
    </row>
    <row r="11">
      <c r="A11" s="6" t="inlineStr">
        <is>
          <t>Intangible fixed assets</t>
        </is>
      </c>
      <c r="B11" s="6" t="n">
        <v>3249</v>
      </c>
      <c r="C11" s="6" t="n">
        <v>2101</v>
      </c>
      <c r="D11" s="6" t="n">
        <v>324</v>
      </c>
      <c r="E11" s="6" t="n"/>
      <c r="F11" s="6" t="n"/>
    </row>
    <row r="12">
      <c r="A12" s="6" t="inlineStr">
        <is>
          <t>Other assets</t>
        </is>
      </c>
      <c r="B12" s="6" t="n">
        <v>8162</v>
      </c>
      <c r="C12" s="6" t="n">
        <v>3617</v>
      </c>
      <c r="D12" s="6" t="n">
        <v>431</v>
      </c>
      <c r="E12" s="6" t="n">
        <v>239</v>
      </c>
      <c r="F12" s="6" t="n">
        <v>120</v>
      </c>
    </row>
    <row r="13">
      <c r="A13" s="6" t="inlineStr">
        <is>
          <t>Prepayments and accrued income</t>
        </is>
      </c>
      <c r="B13" s="6" t="n">
        <v>508</v>
      </c>
      <c r="C13" s="6" t="n">
        <v>691</v>
      </c>
      <c r="D13" s="6" t="n">
        <v>463</v>
      </c>
      <c r="E13" s="6" t="n">
        <v>211</v>
      </c>
      <c r="F13" s="6" t="n">
        <v>177</v>
      </c>
    </row>
    <row r="14">
      <c r="A14" s="6" t="inlineStr">
        <is>
          <t>Derivative financial asset</t>
        </is>
      </c>
      <c r="B14" s="6" t="inlineStr">
        <is>
          <t>-</t>
        </is>
      </c>
      <c r="C14" s="6" t="n">
        <v>27</v>
      </c>
      <c r="D14" s="6" t="n"/>
      <c r="E14" s="6" t="n"/>
      <c r="F14" s="6" t="n"/>
    </row>
    <row r="15">
      <c r="A15" s="5" t="inlineStr">
        <is>
          <t>Total assets</t>
        </is>
      </c>
      <c r="B15" s="5" t="n">
        <v>644796</v>
      </c>
      <c r="C15" s="5" t="n">
        <v>151081</v>
      </c>
      <c r="D15" s="5" t="n">
        <v>29595</v>
      </c>
      <c r="E15" s="5" t="n">
        <v>17059</v>
      </c>
      <c r="F15" s="5" t="n">
        <v>22777</v>
      </c>
    </row>
    <row r="16">
      <c r="A16" s="5" t="inlineStr">
        <is>
          <t>Liabilities</t>
        </is>
      </c>
      <c r="B16" s="6" t="n"/>
      <c r="C16" s="6" t="n"/>
      <c r="D16" s="6" t="n"/>
      <c r="E16" s="6" t="n"/>
      <c r="F16" s="6" t="n"/>
    </row>
    <row r="17">
      <c r="A17" s="6" t="inlineStr">
        <is>
          <t>Customer accounts (Customer deposits from FY2025)</t>
        </is>
      </c>
      <c r="B17" s="6" t="n">
        <v>577675</v>
      </c>
      <c r="C17" s="6" t="n">
        <v>106868</v>
      </c>
      <c r="D17" s="6" t="n">
        <v>9299</v>
      </c>
      <c r="E17" s="6" t="n">
        <v>10399</v>
      </c>
      <c r="F17" s="6" t="n">
        <v>13916</v>
      </c>
    </row>
    <row r="18">
      <c r="A18" s="6" t="inlineStr">
        <is>
          <t>Derivative financial liability (FY2025 edition only)</t>
        </is>
      </c>
      <c r="B18" s="6" t="n">
        <v>1210</v>
      </c>
      <c r="C18" s="6" t="n"/>
      <c r="D18" s="6" t="n"/>
      <c r="E18" s="6" t="n"/>
      <c r="F18" s="6" t="n"/>
    </row>
    <row r="19">
      <c r="A19" s="6" t="inlineStr">
        <is>
          <t>Other liabilities</t>
        </is>
      </c>
      <c r="B19" s="6" t="n">
        <v>2007</v>
      </c>
      <c r="C19" s="6" t="n">
        <v>6098</v>
      </c>
      <c r="D19" s="6" t="n">
        <v>1337</v>
      </c>
      <c r="E19" s="6" t="n">
        <v>454</v>
      </c>
      <c r="F19" s="6" t="n">
        <v>498</v>
      </c>
    </row>
    <row r="20">
      <c r="A20" s="5" t="inlineStr">
        <is>
          <t>Total liabilities</t>
        </is>
      </c>
      <c r="B20" s="5" t="n">
        <v>580892</v>
      </c>
      <c r="C20" s="5" t="n">
        <v>112966</v>
      </c>
      <c r="D20" s="5" t="n">
        <v>10636</v>
      </c>
      <c r="E20" s="5" t="n">
        <v>10853</v>
      </c>
      <c r="F20" s="5" t="n">
        <v>14415</v>
      </c>
    </row>
    <row r="21">
      <c r="A21" s="5" t="inlineStr">
        <is>
          <t>Equity</t>
        </is>
      </c>
      <c r="B21" s="6" t="n"/>
      <c r="C21" s="6" t="n"/>
      <c r="D21" s="6" t="n"/>
      <c r="E21" s="6" t="n"/>
      <c r="F21" s="6" t="n"/>
    </row>
    <row r="22">
      <c r="A22" s="6" t="inlineStr">
        <is>
          <t>Called up share capital</t>
        </is>
      </c>
      <c r="B22" s="6" t="n">
        <v>95138</v>
      </c>
      <c r="C22" s="6" t="n">
        <v>60138</v>
      </c>
      <c r="D22" s="6" t="n">
        <v>30138</v>
      </c>
      <c r="E22" s="6" t="n">
        <v>10138</v>
      </c>
      <c r="F22" s="6" t="n">
        <v>8207</v>
      </c>
    </row>
    <row r="23">
      <c r="A23" s="6" t="inlineStr">
        <is>
          <t>Share Premium</t>
        </is>
      </c>
      <c r="B23" s="6" t="n">
        <v>2862</v>
      </c>
      <c r="C23" s="6" t="n">
        <v>2862</v>
      </c>
      <c r="D23" s="6" t="n">
        <v>2862</v>
      </c>
      <c r="E23" s="6" t="n">
        <v>2862</v>
      </c>
      <c r="F23" s="6" t="n">
        <v>2793</v>
      </c>
    </row>
    <row r="24">
      <c r="A24" s="6" t="inlineStr">
        <is>
          <t>Retained earnings</t>
        </is>
      </c>
      <c r="B24" s="6" t="n">
        <v>-34096</v>
      </c>
      <c r="C24" s="6" t="n">
        <v>-24885</v>
      </c>
      <c r="D24" s="6" t="n">
        <v>-14041</v>
      </c>
      <c r="E24" s="6" t="n">
        <v>-6794</v>
      </c>
      <c r="F24" s="6" t="n">
        <v>-2637</v>
      </c>
    </row>
    <row r="25">
      <c r="A25" s="5" t="inlineStr">
        <is>
          <t>Total equity</t>
        </is>
      </c>
      <c r="B25" s="5" t="n">
        <v>63904</v>
      </c>
      <c r="C25" s="5" t="n">
        <v>38115</v>
      </c>
      <c r="D25" s="5" t="n">
        <v>18959</v>
      </c>
      <c r="E25" s="5" t="n">
        <v>6206</v>
      </c>
      <c r="F25" s="5" t="n">
        <v>8363</v>
      </c>
    </row>
    <row r="26">
      <c r="A26" s="5" t="inlineStr">
        <is>
          <t>Total liabilities and equity</t>
        </is>
      </c>
      <c r="B26" s="5" t="n">
        <v>644796</v>
      </c>
      <c r="C26" s="5" t="n">
        <v>151081</v>
      </c>
      <c r="D26" s="5" t="n">
        <v>29595</v>
      </c>
      <c r="E26" s="5" t="n">
        <v>17059</v>
      </c>
      <c r="F26" s="5" t="n">
        <v>22777</v>
      </c>
    </row>
    <row r="28" ht="312" customHeight="1">
      <c r="A28" s="8" t="inlineStr">
        <is>
          <t>Sources - Birmingham Bank Limited's own primary financial statements (FRS 102), all figures GBP'000:
FY2025: Full accounts made up to 31 Dec 2025 (Board-approved 10 Mar 2026, filed at Companies House 14 Sep 2026, 51pp), Statement of Comprehensive Income p.28, Statement of Financial Position p.29, Statement of Changes in Equity p.30, Statement of Cash Flows p.31 - https://find-and-update.company-information.service.gov.uk/company/00555071/filing-history/MzU0NDA2NTQ1MWFkaXF6a2N4/document?format=pdf&amp;download=0
FY2024: Full accounts made up to 31 Dec 2024 (filed 31 Mar 2025), Statement of Comprehensive Income p.22, Statement of Financial Position p.23, Statement of Changes in Equity p.24 - https://find-and-update.company-information.service.gov.uk/company/00555071/filing-history/MzQ2MDU0MTMzM2FkaXF6a2N4/document?format=pdf&amp;download=0
FY2023: Full accounts made up to 31 Dec 2023 (filed 20 Mar 2024), same statements pp.22-24 - https://find-and-update.company-information.service.gov.uk/company/00555071/filing-history/MzQxNDU2Njk3NGFkaXF6a2N4/document?format=pdf&amp;download=0
FY2022 &amp; FY2021: Amended full accounts made up to 31 Dec 2022 (filed 25 Oct 2023), Income Statement p.25, Statement of Financial Position p.26, Statement of Changes in Equity p.27 - https://find-and-update.company-information.service.gov.uk/company/00555071/filing-history/MzM5NzY1NjE1N2FkaXF6a2N4/document?format=pdf&amp;download=0. This filing reports in exact GBP (not GBP'000) with a FY2021 comparative column - both years converted to GBP'000 here (divided by 1,000, rounded) for consistency with the later filings' own units; no other conversion applied. Each year's own primary filing is used as that year's column (not a later filing's restated comparative), matching this project's standing convention.
Entity note: company 00555071, formerly Hardware Federation Finance Company Limited (1955-1990), then Bira Finance Limited (2011-2013), then Bira Bank Limited (2013-2021), renamed Birmingham Bank Limited 26 Jan 2021 - same company throughout, FRN 204478 confirmed on the bank's own site footer, matching the bank list exactly. Four Companies House accounts filings exist (FY2022-FY2025, calendar year-end); there is no FY2021-specific standalone filing (the FY2022 filing's own FY2021 comparative column is the only source for FY2021). The Bank raised fresh capital (a GBP20m injection completing a change of control) in April 2023 and paused new lending for most of 2023 to build infrastructure - explains the large FY2023 capital-ratio jump.
FY2025 ADDED 2026-09-18 (GA-003). Latest-edition check made against the Bank's own site and Companies House on 18 Sep 2026: the FY2025 full accounts (51pp, Board-approved 10 March 2026) were filed at Companies House on 14 SEPTEMBER 2026, four days before this check, and are the newest edition of any kind. PUBLICATION LAG, for the next session: the Bank approves its accounts in Feb/March and files them at Companies House between March and September (FY2023 filed 20 Mar 2024, FY2024 filed 31 Mar 2025, FY2025 approved 10 Mar 2026 but not filed until 14 Sep 2026 - a six-month gap between signature and filing). A FY2026 edition should therefore not be looked for before about March 2027, and might not appear at Companies House until September 2027.
THE FY2025 EDITION IS AN IMAGE-ONLY SCAN, exactly as the FY2024 one was: 51 pages with no text layer. Every FY2025 figure in this workbook was read from an OCR pass over that scan and then confirmed two ways - by arithmetic (each statement's own footings and cross-footings reproduce exactly: assets 644,796; liabilities 580,892; equity 63,904; cash-flow subtotals -12,425 / 1,230 / -32,104 / 4,126; closing cash 15,289 = 14,686 + 603) and by eye against a 140-dpi render of the page. Where a FY2024 comparative in the FY2025 edition reproduces a figure this workbook already held from the FY2024 edition (LCR 725%, depreciation 32 + amortisation 205 = the 237 already on the Cash Flow sheet, interest payable 1,997, loss for the year 10,844, total equity 38,115), that agreement is itself an OCR control and is what establishes the reading is sound.</t>
        </is>
      </c>
    </row>
    <row r="30" ht="377" customHeight="1">
      <c r="A30" s="8" t="inlineStr">
        <is>
          <t>(continued)
FY2024 IS RESTATED AND RE-CUT IN THE FY2025 EDITION, AND THIS WORKBOOK DOES NOT ADOPT THE RESTATEMENT. Each year's column is that year's OWN filing, this project's standing convention, so the FY2024 column below is still the FY2024 filing's own presentation. For the record, the FY2025 edition's FY2024 comparative column differs as follows: total assets 148,505 (this workbook: 151,081); total liabilities 110,390 (112,966); cash at bank / loans and advances to banks 11,163 (11,172); debt securities 42,937 (43,093); loans and advances to customers 88,635 (90,310); other assets 2,900 (3,617); prepayments 672 (691); customer deposits 108,309 (106,868); other liabilities 2,081 (6,098); gross loans 90,361 (90,352); total interest receivable 4,321 (4,436); administrative expenses 13,277 (13,155 plus 237 of depreciation and amortisation shown separately). Total equity (38,115), retained earnings (-24,885), share capital (60,138), share premium (2,862), loss for the year (-10,844) and the FY2024 capital ratio (76%, printed as 76.03% in the FY2025 Strategic Report) are unchanged between the two editions. What can be said from the documents alone is that it is a reclassification and not a correction touching equity: assets fall by GBP2,576k (717 + 156 + 1,675 + 9 + 19 across the five asset lines) and liabilities fall by the same GBP2,576k (other liabilities -4,017, customer deposits +1,441, the latter being the accrued deposit interest that the FY2025 edition's Note 20 says is now included within the deposit balance). No reason for the re-cut is given in either edition, and none is invented here.
LINE-BY-LINE MAPPING OF THE FY2025 EDITION ONTO THIS WORKBOOK'S ROWS. The FY2025 edition re-presents every statement, so the rule applied here is: where its line is the same item under a new name, the figure goes on the existing row and the rename is recorded; where its line has no counterpart in the earlier editions, it gets its own row, populated for FY2025 only; and a row the FY2025 edition dropped keeps its FY2021-FY2024 figures and is blank in the FY2025 column. Nothing is merged, summed or re-cut to make the two presentations agree. The cases are:
  - 'Cash at Bank' (FY2021-FY2024) becomes 'Loans and advances to banks' (FY2025, GBP603k), and a new line 'Cash balances at central banks' (GBP14,686k) appears. Note 13 shows the two summing to GBP15,289k. The FY2022/FY2021 'Loans and advances to Banks' row is a DIFFERENT, third line those two editions printed alongside 'Cash at Bank' and is kept separate.
  - 'Treasury Bills and similar securities' is called 'Investment in debt securities' from FY2025; same row, renamed here to carry both names.
  - 'Derivative financial liability' (GBP1,210k) is new in FY2025. The FY2025 edition prints a DASH against it in its own FY2024 comparative column, but the FY2024 edition had no such line at all, so the FY2024 cell here is left blank rather than dashed.
  - 'Derivative financial asset' is printed as a DASH by the FY2025 edition in its own FY2025 column and is carried as a literal '-', per this project's rule that a printed dash is the bank saying 'not applicable to us' and is a different statement from silence. (Consequence worth knowing: verify_workbook.py cannot reconcile a block containing a text cell, so the FY2025 Assets block is skipped by the automated check. It was reconciled by hand: 14,686 + 603 + 77,121 + 540,372 + 8,162 + 508 + 95 + 3,249 = 644,796, the reported total exactly.)
  - The P&amp;L's 'Total income' TOTAL row is renamed 'Total interest receivable and similar income', which is what it has always held, because the FY2025 edition uses the words 'Total income' for a DIFFERENT subtotal (GBP5,872k, struck after interest payable, fees and derivative gains). That FY2025 subtotal is the same cut as the earlier editions' 'Net income', so the two share one row.
  - The FY2025 edition prints no separate 'Depreciation and amortisation' expense line: Note 8 shows depreciation GBP19k and amortisation GBP470k inside administrative expenses of GBP15,184k. The D&amp;A row is therefore blank for FY2025, and is NOT back-derived out of the admin figure.
PRESENTATION NOTE: independently rounding each £'000 line (rather than rounding a pre-summed exact-£ total) occasionally leaves a component sum GBP1k off its own total row for FY2022/FY2021 (e.g. FY2022 Total assets: components sum to GBP17,058k vs the reported GBP17,059k) - both figures are shown exactly as each filing's own numbers round to; not forced to tie. No Additional Tier 1/Tier 2 capital is disclosed in any year. Off-balance-sheet items are disclosed from FY2024 onward in the commitments note only (FY2025: GBP32.1m of post-offer commitments to lend, FY2024: GBP45.5m) and are not carried as balance-sheet rows.</t>
        </is>
      </c>
    </row>
  </sheetData>
  <mergeCells count="2">
    <mergeCell ref="A30:F30"/>
    <mergeCell ref="A28:F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Birmingham Bank Limited — Profit &amp; Loss</t>
        </is>
      </c>
    </row>
    <row r="2">
      <c r="A2" s="2" t="inlineStr">
        <is>
          <t>Bank-solo basis, FRS 102, £'000 (FY2022/FY2021 converted from the source's exact-£ figures)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receivable and similar income arising from debt securities</t>
        </is>
      </c>
      <c r="B5" s="6" t="n"/>
      <c r="C5" s="6" t="n">
        <v>1756</v>
      </c>
      <c r="D5" s="6" t="n">
        <v>313</v>
      </c>
      <c r="E5" s="6" t="n">
        <v>530</v>
      </c>
      <c r="F5" s="6" t="n">
        <v>602</v>
      </c>
    </row>
    <row r="6">
      <c r="A6" s="6" t="inlineStr">
        <is>
          <t>Other interest receivable and similar income</t>
        </is>
      </c>
      <c r="B6" s="6" t="n"/>
      <c r="C6" s="6" t="n">
        <v>2680</v>
      </c>
      <c r="D6" s="6" t="n">
        <v>805</v>
      </c>
      <c r="E6" s="6" t="n">
        <v>228</v>
      </c>
      <c r="F6" s="6" t="n">
        <v>14</v>
      </c>
    </row>
    <row r="7">
      <c r="A7" s="6" t="inlineStr">
        <is>
          <t>Interest receivable and similar income (single undivided line, FY2025 edition)</t>
        </is>
      </c>
      <c r="B7" s="6" t="n">
        <v>21563</v>
      </c>
      <c r="C7" s="6" t="n"/>
      <c r="D7" s="6" t="n"/>
      <c r="E7" s="6" t="n"/>
      <c r="F7" s="6" t="n"/>
    </row>
    <row r="8">
      <c r="A8" s="5" t="inlineStr">
        <is>
          <t>Total interest receivable and similar income</t>
        </is>
      </c>
      <c r="B8" s="5" t="n">
        <v>21563</v>
      </c>
      <c r="C8" s="5" t="n">
        <v>4436</v>
      </c>
      <c r="D8" s="5" t="n">
        <v>1118</v>
      </c>
      <c r="E8" s="5" t="n">
        <v>757</v>
      </c>
      <c r="F8" s="5" t="n">
        <v>616</v>
      </c>
    </row>
    <row r="9">
      <c r="A9" s="6" t="inlineStr">
        <is>
          <t>Interest payable and similar charges</t>
        </is>
      </c>
      <c r="B9" s="6" t="n">
        <v>-15781</v>
      </c>
      <c r="C9" s="6" t="n">
        <v>-1997</v>
      </c>
      <c r="D9" s="6" t="n">
        <v>-213</v>
      </c>
      <c r="E9" s="6" t="n">
        <v>-90</v>
      </c>
      <c r="F9" s="6" t="n">
        <v>-115</v>
      </c>
    </row>
    <row r="10">
      <c r="A10" s="6" t="inlineStr">
        <is>
          <t>Fee and commissions expense (FY2025 edition only)</t>
        </is>
      </c>
      <c r="B10" s="6" t="n">
        <v>-121</v>
      </c>
      <c r="C10" s="6" t="n"/>
      <c r="D10" s="6" t="n"/>
      <c r="E10" s="6" t="n"/>
      <c r="F10" s="6" t="n"/>
    </row>
    <row r="11">
      <c r="A11" s="6" t="inlineStr">
        <is>
          <t>Net (loss)/gain on financial instruments at fair value through profit and loss (Net gain from derivatives and hedge accounting from FY2025)</t>
        </is>
      </c>
      <c r="B11" s="6" t="n">
        <v>211</v>
      </c>
      <c r="C11" s="6" t="n">
        <v>27</v>
      </c>
      <c r="D11" s="6" t="n"/>
      <c r="E11" s="6" t="n"/>
      <c r="F11" s="6" t="n"/>
    </row>
    <row r="12">
      <c r="A12" s="5" t="inlineStr">
        <is>
          <t>Net income (Total income in the FY2025 edition)</t>
        </is>
      </c>
      <c r="B12" s="5" t="n">
        <v>5872</v>
      </c>
      <c r="C12" s="5" t="n">
        <v>2466</v>
      </c>
      <c r="D12" s="5" t="n">
        <v>905</v>
      </c>
      <c r="E12" s="5" t="n">
        <v>667</v>
      </c>
      <c r="F12" s="5" t="n">
        <v>500</v>
      </c>
    </row>
    <row r="13">
      <c r="A13" s="6" t="inlineStr">
        <is>
          <t>Administrative expenses</t>
        </is>
      </c>
      <c r="B13" s="6" t="n">
        <v>-15184</v>
      </c>
      <c r="C13" s="6" t="n">
        <v>-13155</v>
      </c>
      <c r="D13" s="6" t="n">
        <v>-8475</v>
      </c>
      <c r="E13" s="6" t="n">
        <v>-4817</v>
      </c>
      <c r="F13" s="6" t="n">
        <v>-3858</v>
      </c>
    </row>
    <row r="14">
      <c r="A14" s="6" t="inlineStr">
        <is>
          <t>Depreciation and amortisation</t>
        </is>
      </c>
      <c r="B14" s="6" t="n"/>
      <c r="C14" s="6" t="n">
        <v>-237</v>
      </c>
      <c r="D14" s="6" t="n">
        <v>-32</v>
      </c>
      <c r="E14" s="6" t="n">
        <v>-24</v>
      </c>
      <c r="F14" s="6" t="n">
        <v>-42</v>
      </c>
    </row>
    <row r="15">
      <c r="A15" s="6" t="inlineStr">
        <is>
          <t>Impairment charge for loan losses (Provision for bad and doubtful debts from FY2025)</t>
        </is>
      </c>
      <c r="B15" s="6" t="n">
        <v>-250</v>
      </c>
      <c r="C15" s="6" t="n">
        <v>-22</v>
      </c>
      <c r="D15" s="6" t="n">
        <v>-4</v>
      </c>
      <c r="E15" s="6" t="n">
        <v>-21</v>
      </c>
      <c r="F15" s="6" t="n">
        <v>-34</v>
      </c>
    </row>
    <row r="16">
      <c r="A16" s="5" t="inlineStr">
        <is>
          <t>Loss on ordinary activities before taxation</t>
        </is>
      </c>
      <c r="B16" s="5" t="n">
        <v>-9562</v>
      </c>
      <c r="C16" s="5" t="n">
        <v>-10948</v>
      </c>
      <c r="D16" s="5" t="n">
        <v>-7606</v>
      </c>
      <c r="E16" s="5" t="n">
        <v>-4194</v>
      </c>
      <c r="F16" s="5" t="n">
        <v>-3434</v>
      </c>
    </row>
    <row r="17">
      <c r="A17" s="6" t="inlineStr">
        <is>
          <t>Tax on profit on ordinary activities</t>
        </is>
      </c>
      <c r="B17" s="6" t="n">
        <v>351</v>
      </c>
      <c r="C17" s="6" t="n">
        <v>104</v>
      </c>
      <c r="D17" s="6" t="n">
        <v>359</v>
      </c>
      <c r="E17" s="6" t="n">
        <v>38</v>
      </c>
      <c r="F17" s="6" t="n">
        <v>0</v>
      </c>
    </row>
    <row r="18">
      <c r="A18" s="5" t="inlineStr">
        <is>
          <t>Loss for the financial year</t>
        </is>
      </c>
      <c r="B18" s="5" t="n">
        <v>-9211</v>
      </c>
      <c r="C18" s="5" t="n">
        <v>-10844</v>
      </c>
      <c r="D18" s="5" t="n">
        <v>-7247</v>
      </c>
      <c r="E18" s="5" t="n">
        <v>-4156</v>
      </c>
      <c r="F18" s="5" t="n">
        <v>-3434</v>
      </c>
    </row>
    <row r="19">
      <c r="A19" s="5" t="inlineStr">
        <is>
          <t>Other comprehensive income</t>
        </is>
      </c>
      <c r="B19" s="6" t="n"/>
      <c r="C19" s="6" t="n"/>
      <c r="D19" s="6" t="n"/>
      <c r="E19" s="6" t="n"/>
      <c r="F19" s="6" t="n"/>
    </row>
    <row r="20">
      <c r="A20" s="6" t="inlineStr">
        <is>
          <t>Other comprehensive income</t>
        </is>
      </c>
      <c r="B20" s="6" t="n">
        <v>0</v>
      </c>
      <c r="C20" s="6" t="n">
        <v>0</v>
      </c>
      <c r="D20" s="6" t="n">
        <v>0</v>
      </c>
      <c r="E20" s="6" t="n">
        <v>0</v>
      </c>
      <c r="F20" s="6" t="n">
        <v>0</v>
      </c>
    </row>
    <row r="21">
      <c r="A21" s="5" t="inlineStr">
        <is>
          <t>Total comprehensive income for the year</t>
        </is>
      </c>
      <c r="B21" s="5" t="n">
        <v>-9211</v>
      </c>
      <c r="C21" s="5" t="n">
        <v>-10844</v>
      </c>
      <c r="D21" s="5" t="n">
        <v>-7247</v>
      </c>
      <c r="E21" s="5" t="n">
        <v>-4156</v>
      </c>
      <c r="F21" s="5" t="n">
        <v>-3434</v>
      </c>
    </row>
    <row r="23" ht="312" customHeight="1">
      <c r="A23" s="8" t="inlineStr">
        <is>
          <t>Sources - Birmingham Bank Limited's own primary financial statements (FRS 102), all figures GBP'000:
FY2025: Full accounts made up to 31 Dec 2025 (Board-approved 10 Mar 2026, filed at Companies House 14 Sep 2026, 51pp), Statement of Comprehensive Income p.28, Statement of Financial Position p.29, Statement of Changes in Equity p.30, Statement of Cash Flows p.31 - https://find-and-update.company-information.service.gov.uk/company/00555071/filing-history/MzU0NDA2NTQ1MWFkaXF6a2N4/document?format=pdf&amp;download=0
FY2024: Full accounts made up to 31 Dec 2024 (filed 31 Mar 2025), Statement of Comprehensive Income p.22, Statement of Financial Position p.23, Statement of Changes in Equity p.24 - https://find-and-update.company-information.service.gov.uk/company/00555071/filing-history/MzQ2MDU0MTMzM2FkaXF6a2N4/document?format=pdf&amp;download=0
FY2023: Full accounts made up to 31 Dec 2023 (filed 20 Mar 2024), same statements pp.22-24 - https://find-and-update.company-information.service.gov.uk/company/00555071/filing-history/MzQxNDU2Njk3NGFkaXF6a2N4/document?format=pdf&amp;download=0
FY2022 &amp; FY2021: Amended full accounts made up to 31 Dec 2022 (filed 25 Oct 2023), Income Statement p.25, Statement of Financial Position p.26, Statement of Changes in Equity p.27 - https://find-and-update.company-information.service.gov.uk/company/00555071/filing-history/MzM5NzY1NjE1N2FkaXF6a2N4/document?format=pdf&amp;download=0. This filing reports in exact GBP (not GBP'000) with a FY2021 comparative column - both years converted to GBP'000 here (divided by 1,000, rounded) for consistency with the later filings' own units; no other conversion applied. Each year's own primary filing is used as that year's column (not a later filing's restated comparative), matching this project's standing convention.
Entity note: company 00555071, formerly Hardware Federation Finance Company Limited (1955-1990), then Bira Finance Limited (2011-2013), then Bira Bank Limited (2013-2021), renamed Birmingham Bank Limited 26 Jan 2021 - same company throughout, FRN 204478 confirmed on the bank's own site footer, matching the bank list exactly. Four Companies House accounts filings exist (FY2022-FY2025, calendar year-end); there is no FY2021-specific standalone filing (the FY2022 filing's own FY2021 comparative column is the only source for FY2021). The Bank raised fresh capital (a GBP20m injection completing a change of control) in April 2023 and paused new lending for most of 2023 to build infrastructure - explains the large FY2023 capital-ratio jump.
FY2025 ADDED 2026-09-18 (GA-003). Latest-edition check made against the Bank's own site and Companies House on 18 Sep 2026: the FY2025 full accounts (51pp, Board-approved 10 March 2026) were filed at Companies House on 14 SEPTEMBER 2026, four days before this check, and are the newest edition of any kind. PUBLICATION LAG, for the next session: the Bank approves its accounts in Feb/March and files them at Companies House between March and September (FY2023 filed 20 Mar 2024, FY2024 filed 31 Mar 2025, FY2025 approved 10 Mar 2026 but not filed until 14 Sep 2026 - a six-month gap between signature and filing). A FY2026 edition should therefore not be looked for before about March 2027, and might not appear at Companies House until September 2027.
THE FY2025 EDITION IS AN IMAGE-ONLY SCAN, exactly as the FY2024 one was: 51 pages with no text layer. Every FY2025 figure in this workbook was read from an OCR pass over that scan and then confirmed two ways - by arithmetic (each statement's own footings and cross-footings reproduce exactly: assets 644,796; liabilities 580,892; equity 63,904; cash-flow subtotals -12,425 / 1,230 / -32,104 / 4,126; closing cash 15,289 = 14,686 + 603) and by eye against a 140-dpi render of the page. Where a FY2024 comparative in the FY2025 edition reproduces a figure this workbook already held from the FY2024 edition (LCR 725%, depreciation 32 + amortisation 205 = the 237 already on the Cash Flow sheet, interest payable 1,997, loss for the year 10,844, total equity 38,115), that agreement is itself an OCR control and is what establishes the reading is sound.</t>
        </is>
      </c>
    </row>
    <row r="25" ht="377" customHeight="1">
      <c r="A25" s="8" t="inlineStr">
        <is>
          <t>(continued)
FY2024 IS RESTATED AND RE-CUT IN THE FY2025 EDITION, AND THIS WORKBOOK DOES NOT ADOPT THE RESTATEMENT. Each year's column is that year's OWN filing, this project's standing convention, so the FY2024 column below is still the FY2024 filing's own presentation. For the record, the FY2025 edition's FY2024 comparative column differs as follows: total assets 148,505 (this workbook: 151,081); total liabilities 110,390 (112,966); cash at bank / loans and advances to banks 11,163 (11,172); debt securities 42,937 (43,093); loans and advances to customers 88,635 (90,310); other assets 2,900 (3,617); prepayments 672 (691); customer deposits 108,309 (106,868); other liabilities 2,081 (6,098); gross loans 90,361 (90,352); total interest receivable 4,321 (4,436); administrative expenses 13,277 (13,155 plus 237 of depreciation and amortisation shown separately). Total equity (38,115), retained earnings (-24,885), share capital (60,138), share premium (2,862), loss for the year (-10,844) and the FY2024 capital ratio (76%, printed as 76.03% in the FY2025 Strategic Report) are unchanged between the two editions. What can be said from the documents alone is that it is a reclassification and not a correction touching equity: assets fall by GBP2,576k (717 + 156 + 1,675 + 9 + 19 across the five asset lines) and liabilities fall by the same GBP2,576k (other liabilities -4,017, customer deposits +1,441, the latter being the accrued deposit interest that the FY2025 edition's Note 20 says is now included within the deposit balance). No reason for the re-cut is given in either edition, and none is invented here.
LINE-BY-LINE MAPPING OF THE FY2025 EDITION ONTO THIS WORKBOOK'S ROWS. The FY2025 edition re-presents every statement, so the rule applied here is: where its line is the same item under a new name, the figure goes on the existing row and the rename is recorded; where its line has no counterpart in the earlier editions, it gets its own row, populated for FY2025 only; and a row the FY2025 edition dropped keeps its FY2021-FY2024 figures and is blank in the FY2025 column. Nothing is merged, summed or re-cut to make the two presentations agree. The cases are:
  - 'Cash at Bank' (FY2021-FY2024) becomes 'Loans and advances to banks' (FY2025, GBP603k), and a new line 'Cash balances at central banks' (GBP14,686k) appears. Note 13 shows the two summing to GBP15,289k. The FY2022/FY2021 'Loans and advances to Banks' row is a DIFFERENT, third line those two editions printed alongside 'Cash at Bank' and is kept separate.
  - 'Treasury Bills and similar securities' is called 'Investment in debt securities' from FY2025; same row, renamed here to carry both names.
  - 'Derivative financial liability' (GBP1,210k) is new in FY2025. The FY2025 edition prints a DASH against it in its own FY2024 comparative column, but the FY2024 edition had no such line at all, so the FY2024 cell here is left blank rather than dashed.
  - 'Derivative financial asset' is printed as a DASH by the FY2025 edition in its own FY2025 column and is carried as a literal '-', per this project's rule that a printed dash is the bank saying 'not applicable to us' and is a different statement from silence. (Consequence worth knowing: verify_workbook.py cannot reconcile a block containing a text cell, so the FY2025 Assets block is skipped by the automated check. It was reconciled by hand: 14,686 + 603 + 77,121 + 540,372 + 8,162 + 508 + 95 + 3,249 = 644,796, the reported total exactly.)
  - The P&amp;L's 'Total income' TOTAL row is renamed 'Total interest receivable and similar income', which is what it has always held, because the FY2025 edition uses the words 'Total income' for a DIFFERENT subtotal (GBP5,872k, struck after interest payable, fees and derivative gains). That FY2025 subtotal is the same cut as the earlier editions' 'Net income', so the two share one row.
  - The FY2025 edition prints no separate 'Depreciation and amortisation' expense line: Note 8 shows depreciation GBP19k and amortisation GBP470k inside administrative expenses of GBP15,184k. The D&amp;A row is therefore blank for FY2025, and is NOT back-derived out of the admin figure.
PRESENTATION NOTE: independently rounding each £'000 line (rather than rounding a pre-summed exact-£ total) occasionally leaves a component sum GBP1k off its own total row for FY2022/FY2021 (e.g. FY2022 Total assets: components sum to GBP17,058k vs the reported GBP17,059k) - both figures are shown exactly as each filing's own numbers round to; not forced to tie. No Additional Tier 1/Tier 2 capital is disclosed in any year. Off-balance-sheet items are disclosed from FY2024 onward in the commitments note only (FY2025: GBP32.1m of post-offer commitments to lend, FY2024: GBP45.5m) and are not carried as balance-sheet rows.</t>
        </is>
      </c>
    </row>
    <row r="27" ht="300" customHeight="1">
      <c r="A27" s="8" t="inlineStr">
        <is>
          <t>(continued)
The 'Net (loss)/gain on financial instruments held at fair value through profit and loss' line only appears from FY2024 onward (GBP27k) - not disclosed as a separate line in FY2021-FY2023, where it did not exist or was immaterial/nil. The FY2025 edition renames it 'Net gain from derivatives and hedge accounting' (GBP211k) and its Note 7 splits that into hedge ineffectiveness GBP40k and gains on derivatives not in a hedging relationship GBP171k. (Source defect, reproduced not corrected: Note 22's hedge-effectiveness table prints the same ineffectiveness as GBP(39)k on the same basis, against Note 7's +GBP40k. Neither figure is used on this sheet; both are recorded here.)
FY2025 SUBTOTALS NOT CARRIED AS ROWS. The FY2025 edition strikes a 'Net interest income' subtotal of GBP5,782k (21,563 less 15,781), which no earlier edition printed. It is recorded here rather than given a row of its own, because a row holding one year in five would read as a four-year gap where there is none; the two figures it is struck from are both on this sheet. The Strategic Report's KPI table gives the same figure as 'Net interest income GBP5.8m (2024: GBP2.3m)'.
FY2025 'Other comprehensive income' is shown as 0 on the authority of the FY2025 statement's own sentence 'There were no recognised gains or losses other than those reported above' - an explicit nil, not an assumed one. The edition prints the caption with no figure beneath it.
CORRECTION (2026-09-06 audit): FY2022 Total income and Net income were previously shown as GBP758k and GBP668k - the FY2023 filing's own restated £'000 comparative column for FY2022 (itself component-rounded: 530+228=758). The FY2022 filing's own primary Income Statement (exact GBP, this project's stated per-year sourcing convention) states Total income of GBP757,483 and Net income of GBP667,285, which round to GBP757k/GBP667k - now corrected to match. All other FY2022 P&amp;L lines already matched the FY2022 filing exactly; only these two subtotals had drifted to the later filing's rounding. The downstream 'Loss on ordinary activities before taxation' (GBP4,194k) is unaffected - it is each filing's own reported total, not a re-derived sum of the (rounded) lines above it, so it does not tie by simple subtraction to the corrected Net income figure; this is the same independent-rounding artifact already documented on the Balance Sheet sheet (a component sum landing GBP1k off its own total row).</t>
        </is>
      </c>
    </row>
  </sheetData>
  <mergeCells count="3">
    <mergeCell ref="A23:F23"/>
    <mergeCell ref="A25:F25"/>
    <mergeCell ref="A27:F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15" customWidth="1" min="5" max="5"/>
  </cols>
  <sheetData>
    <row r="1">
      <c r="A1" s="1" t="inlineStr">
        <is>
          <t>Birmingham Bank Limited — Statement of Changes in Equity</t>
        </is>
      </c>
    </row>
    <row r="2">
      <c r="A2" s="2" t="inlineStr">
        <is>
          <t>Bank-solo basis, FRS 102, £'000, chronological, 1 January 2021 - 31 December 2025</t>
        </is>
      </c>
    </row>
    <row r="3">
      <c r="A3" s="4" t="inlineStr">
        <is>
          <t>Movement</t>
        </is>
      </c>
      <c r="B3" s="4" t="inlineStr">
        <is>
          <t>Called up Share Capital</t>
        </is>
      </c>
      <c r="C3" s="4" t="inlineStr">
        <is>
          <t>Share Premium</t>
        </is>
      </c>
      <c r="D3" s="4" t="inlineStr">
        <is>
          <t>Retained Earnings</t>
        </is>
      </c>
      <c r="E3" s="4" t="inlineStr">
        <is>
          <t>Total Equity</t>
        </is>
      </c>
    </row>
    <row r="4">
      <c r="A4" s="5" t="inlineStr">
        <is>
          <t>At 1 January 2021</t>
        </is>
      </c>
      <c r="B4" s="5" t="n">
        <v>2000</v>
      </c>
      <c r="C4" s="5" t="n">
        <v>0</v>
      </c>
      <c r="D4" s="5" t="n">
        <v>796</v>
      </c>
      <c r="E4" s="5" t="n">
        <v>2796</v>
      </c>
    </row>
    <row r="5">
      <c r="A5" s="6" t="inlineStr">
        <is>
          <t>Capital injection</t>
        </is>
      </c>
      <c r="B5" s="6" t="n">
        <v>6207</v>
      </c>
      <c r="C5" s="6" t="n">
        <v>2793</v>
      </c>
      <c r="D5" s="6" t="n">
        <v>0</v>
      </c>
      <c r="E5" s="6" t="n">
        <v>9000</v>
      </c>
    </row>
    <row r="6">
      <c r="A6" s="6" t="inlineStr">
        <is>
          <t>Total comprehensive income</t>
        </is>
      </c>
      <c r="B6" s="6" t="n">
        <v>0</v>
      </c>
      <c r="C6" s="6" t="n">
        <v>0</v>
      </c>
      <c r="D6" s="6" t="n">
        <v>-3434</v>
      </c>
      <c r="E6" s="6" t="n">
        <v>-3434</v>
      </c>
    </row>
    <row r="7">
      <c r="A7" s="5" t="inlineStr">
        <is>
          <t>At 31 December 2021</t>
        </is>
      </c>
      <c r="B7" s="5" t="n">
        <v>8207</v>
      </c>
      <c r="C7" s="5" t="n">
        <v>2793</v>
      </c>
      <c r="D7" s="5" t="n">
        <v>-2637</v>
      </c>
      <c r="E7" s="5" t="n">
        <v>8363</v>
      </c>
    </row>
    <row r="8">
      <c r="A8" s="6" t="inlineStr">
        <is>
          <t>Capital injection</t>
        </is>
      </c>
      <c r="B8" s="6" t="n">
        <v>1931</v>
      </c>
      <c r="C8" s="6" t="n">
        <v>69</v>
      </c>
      <c r="D8" s="6" t="n">
        <v>0</v>
      </c>
      <c r="E8" s="6" t="n">
        <v>2000</v>
      </c>
    </row>
    <row r="9">
      <c r="A9" s="6" t="inlineStr">
        <is>
          <t>Total comprehensive income</t>
        </is>
      </c>
      <c r="B9" s="6" t="n">
        <v>0</v>
      </c>
      <c r="C9" s="6" t="n">
        <v>0</v>
      </c>
      <c r="D9" s="6" t="n">
        <v>-4156</v>
      </c>
      <c r="E9" s="6" t="n">
        <v>-4156</v>
      </c>
    </row>
    <row r="10">
      <c r="A10" s="5" t="inlineStr">
        <is>
          <t>At 31 December 2022</t>
        </is>
      </c>
      <c r="B10" s="5" t="n">
        <v>10138</v>
      </c>
      <c r="C10" s="5" t="n">
        <v>2862</v>
      </c>
      <c r="D10" s="5" t="n">
        <v>-6794</v>
      </c>
      <c r="E10" s="5" t="n">
        <v>6206</v>
      </c>
    </row>
    <row r="11">
      <c r="A11" s="6" t="inlineStr">
        <is>
          <t>Issue of new shares</t>
        </is>
      </c>
      <c r="B11" s="6" t="n">
        <v>20000</v>
      </c>
      <c r="C11" s="6" t="n">
        <v>0</v>
      </c>
      <c r="D11" s="6" t="n">
        <v>0</v>
      </c>
      <c r="E11" s="6" t="n">
        <v>20000</v>
      </c>
    </row>
    <row r="12">
      <c r="A12" s="6" t="inlineStr">
        <is>
          <t>Total comprehensive income</t>
        </is>
      </c>
      <c r="B12" s="6" t="n">
        <v>0</v>
      </c>
      <c r="C12" s="6" t="n">
        <v>0</v>
      </c>
      <c r="D12" s="6" t="n">
        <v>-7247</v>
      </c>
      <c r="E12" s="6" t="n">
        <v>-7247</v>
      </c>
    </row>
    <row r="13">
      <c r="A13" s="5" t="inlineStr">
        <is>
          <t>At 31 December 2023</t>
        </is>
      </c>
      <c r="B13" s="5" t="n">
        <v>30138</v>
      </c>
      <c r="C13" s="5" t="n">
        <v>2862</v>
      </c>
      <c r="D13" s="5" t="n">
        <v>-14041</v>
      </c>
      <c r="E13" s="5" t="n">
        <v>18959</v>
      </c>
    </row>
    <row r="14">
      <c r="A14" s="6" t="inlineStr">
        <is>
          <t>Issue of new shares</t>
        </is>
      </c>
      <c r="B14" s="6" t="n">
        <v>30000</v>
      </c>
      <c r="C14" s="6" t="n">
        <v>0</v>
      </c>
      <c r="D14" s="6" t="n">
        <v>0</v>
      </c>
      <c r="E14" s="6" t="n">
        <v>30000</v>
      </c>
    </row>
    <row r="15">
      <c r="A15" s="6" t="inlineStr">
        <is>
          <t>Total comprehensive income</t>
        </is>
      </c>
      <c r="B15" s="6" t="n">
        <v>0</v>
      </c>
      <c r="C15" s="6" t="n">
        <v>0</v>
      </c>
      <c r="D15" s="6" t="n">
        <v>-10844</v>
      </c>
      <c r="E15" s="6" t="n">
        <v>-10844</v>
      </c>
    </row>
    <row r="16">
      <c r="A16" s="5" t="inlineStr">
        <is>
          <t>At 31 December 2024</t>
        </is>
      </c>
      <c r="B16" s="5" t="n">
        <v>60138</v>
      </c>
      <c r="C16" s="5" t="n">
        <v>2862</v>
      </c>
      <c r="D16" s="5" t="n">
        <v>-24885</v>
      </c>
      <c r="E16" s="5" t="n">
        <v>38115</v>
      </c>
    </row>
    <row r="17">
      <c r="A17" s="6" t="inlineStr">
        <is>
          <t>Issue of new shares</t>
        </is>
      </c>
      <c r="B17" s="6" t="n">
        <v>35000</v>
      </c>
      <c r="C17" s="6" t="n">
        <v>0</v>
      </c>
      <c r="D17" s="6" t="n">
        <v>0</v>
      </c>
      <c r="E17" s="6" t="n">
        <v>35000</v>
      </c>
    </row>
    <row r="18">
      <c r="A18" s="6" t="inlineStr">
        <is>
          <t>Total comprehensive expense</t>
        </is>
      </c>
      <c r="B18" s="6" t="n">
        <v>0</v>
      </c>
      <c r="C18" s="6" t="n">
        <v>0</v>
      </c>
      <c r="D18" s="6" t="n">
        <v>-9211</v>
      </c>
      <c r="E18" s="6" t="n">
        <v>-9211</v>
      </c>
    </row>
    <row r="19">
      <c r="A19" s="5" t="inlineStr">
        <is>
          <t>At 31 December 2025</t>
        </is>
      </c>
      <c r="B19" s="5" t="n">
        <v>95138</v>
      </c>
      <c r="C19" s="5" t="n">
        <v>2862</v>
      </c>
      <c r="D19" s="5" t="n">
        <v>-34096</v>
      </c>
      <c r="E19" s="5" t="n">
        <v>63904</v>
      </c>
    </row>
    <row r="21" ht="325" customHeight="1">
      <c r="A21" s="8" t="inlineStr">
        <is>
          <t>Sources - Birmingham Bank Limited's own primary financial statements (FRS 102), all figures GBP'000:
FY2025: Full accounts made up to 31 Dec 2025 (Board-approved 10 Mar 2026, filed at Companies House 14 Sep 2026, 51pp), Statement of Comprehensive Income p.28, Statement of Financial Position p.29, Statement of Changes in Equity p.30, Statement of Cash Flows p.31 - https://find-and-update.company-information.service.gov.uk/company/00555071/filing-history/MzU0NDA2NTQ1MWFkaXF6a2N4/document?format=pdf&amp;download=0
FY2024: Full accounts made up to 31 Dec 2024 (filed 31 Mar 2025), Statement of Comprehensive Income p.22, Statement of Financial Position p.23, Statement of Changes in Equity p.24 - https://find-and-update.company-information.service.gov.uk/company/00555071/filing-history/MzQ2MDU0MTMzM2FkaXF6a2N4/document?format=pdf&amp;download=0
FY2023: Full accounts made up to 31 Dec 2023 (filed 20 Mar 2024), same statements pp.22-24 - https://find-and-update.company-information.service.gov.uk/company/00555071/filing-history/MzQxNDU2Njk3NGFkaXF6a2N4/document?format=pdf&amp;download=0
FY2022 &amp; FY2021: Amended full accounts made up to 31 Dec 2022 (filed 25 Oct 2023), Income Statement p.25, Statement of Financial Position p.26, Statement of Changes in Equity p.27 - https://find-and-update.company-information.service.gov.uk/company/00555071/filing-history/MzM5NzY1NjE1N2FkaXF6a2N4/document?format=pdf&amp;download=0. This filing reports in exact GBP (not GBP'000) with a FY2021 comparative column - both years converted to GBP'000 here (divided by 1,000, rounded) for consistency with the later filings' own units; no other conversion applied. Each year's own primary filing is used as that year's column (not a later filing's restated comparative), matching this project's standing convention.
Entity note: company 00555071, formerly Hardware Federation Finance Company Limited (1955-1990), then Bira Finance Limited (2011-2013), then Bira Bank Limited (2013-2021), renamed Birmingham Bank Limited 26 Jan 2021 - same company throughout, FRN 204478 confirmed on the bank's own site footer, matching the bank list exactly. Four Companies House accounts filings exist (FY2022-FY2025, calendar year-end); there is no FY2021-specific standalone filing (the FY2022 filing's own FY2021 comparative column is the only source for FY2021). The Bank raised fresh capital (a GBP20m injection completing a change of control) in April 2023 and paused new lending for most of 2023 to build infrastructure - explains the large FY2023 capital-ratio jump.
FY2025 ADDED 2026-09-18 (GA-003). Latest-edition check made against the Bank's own site and Companies House on 18 Sep 2026: the FY2025 full accounts (51pp, Board-approved 10 March 2026) were filed at Companies House on 14 SEPTEMBER 2026, four days before this check, and are the newest edition of any kind. PUBLICATION LAG, for the next session: the Bank approves its accounts in Feb/March and files them at Companies House between March and September (FY2023 filed 20 Mar 2024, FY2024 filed 31 Mar 2025, FY2025 approved 10 Mar 2026 but not filed until 14 Sep 2026 - a six-month gap between signature and filing). A FY2026 edition should therefore not be looked for before about March 2027, and might not appear at Companies House until September 2027.</t>
        </is>
      </c>
    </row>
    <row r="23" ht="390" customHeight="1">
      <c r="A23" s="8" t="inlineStr">
        <is>
          <t>(continued)
THE FY2025 EDITION IS AN IMAGE-ONLY SCAN, exactly as the FY2024 one was: 51 pages with no text layer. Every FY2025 figure in this workbook was read from an OCR pass over that scan and then confirmed two ways - by arithmetic (each statement's own footings and cross-footings reproduce exactly: assets 644,796; liabilities 580,892; equity 63,904; cash-flow subtotals -12,425 / 1,230 / -32,104 / 4,126; closing cash 15,289 = 14,686 + 603) and by eye against a 140-dpi render of the page. Where a FY2024 comparative in the FY2025 edition reproduces a figure this workbook already held from the FY2024 edition (LCR 725%, depreciation 32 + amortisation 205 = the 237 already on the Cash Flow sheet, interest payable 1,997, loss for the year 10,844, total equity 38,115), that agreement is itself an OCR control and is what establishes the reading is sound.
FY2024 IS RESTATED AND RE-CUT IN THE FY2025 EDITION, AND THIS WORKBOOK DOES NOT ADOPT THE RESTATEMENT. Each year's column is that year's OWN filing, this project's standing convention, so the FY2024 column below is still the FY2024 filing's own presentation. For the record, the FY2025 edition's FY2024 comparative column differs as follows: total assets 148,505 (this workbook: 151,081); total liabilities 110,390 (112,966); cash at bank / loans and advances to banks 11,163 (11,172); debt securities 42,937 (43,093); loans and advances to customers 88,635 (90,310); other assets 2,900 (3,617); prepayments 672 (691); customer deposits 108,309 (106,868); other liabilities 2,081 (6,098); gross loans 90,361 (90,352); total interest receivable 4,321 (4,436); administrative expenses 13,277 (13,155 plus 237 of depreciation and amortisation shown separately). Total equity (38,115), retained earnings (-24,885), share capital (60,138), share premium (2,862), loss for the year (-10,844) and the FY2024 capital ratio (76%, printed as 76.03% in the FY2025 Strategic Report) are unchanged between the two editions. What can be said from the documents alone is that it is a reclassification and not a correction touching equity: assets fall by GBP2,576k (717 + 156 + 1,675 + 9 + 19 across the five asset lines) and liabilities fall by the same GBP2,576k (other liabilities -4,017, customer deposits +1,441, the latter being the accrued deposit interest that the FY2025 edition's Note 20 says is now included within the deposit balance). No reason for the re-cut is given in either edition, and none is invented here.
LINE-BY-LINE MAPPING OF THE FY2025 EDITION ONTO THIS WORKBOOK'S ROWS. The FY2025 edition re-presents every statement, so the rule applied here is: where its line is the same item under a new name, the figure goes on the existing row and the rename is recorded; where its line has no counterpart in the earlier editions, it gets its own row, populated for FY2025 only; and a row the FY2025 edition dropped keeps its FY2021-FY2024 figures and is blank in the FY2025 column. Nothing is merged, summed or re-cut to make the two presentations agree. The cases are:
  - 'Cash at Bank' (FY2021-FY2024) becomes 'Loans and advances to banks' (FY2025, GBP603k), and a new line 'Cash balances at central banks' (GBP14,686k) appears. Note 13 shows the two summing to GBP15,289k. The FY2022/FY2021 'Loans and advances to Banks' row is a DIFFERENT, third line those two editions printed alongside 'Cash at Bank' and is kept separate.
  - 'Treasury Bills and similar securities' is called 'Investment in debt securities' from FY2025; same row, renamed here to carry both names.
  - 'Derivative financial liability' (GBP1,210k) is new in FY2025. The FY2025 edition prints a DASH against it in its own FY2024 comparative column, but the FY2024 edition had no such line at all, so the FY2024 cell here is left blank rather than dashed.</t>
        </is>
      </c>
    </row>
    <row r="25" ht="325" customHeight="1">
      <c r="A25" s="8" t="inlineStr">
        <is>
          <t>(continued)
- 'Derivative financial asset' is printed as a DASH by the FY2025 edition in its own FY2025 column and is carried as a literal '-', per this project's rule that a printed dash is the bank saying 'not applicable to us' and is a different statement from silence. (Consequence worth knowing: verify_workbook.py cannot reconcile a block containing a text cell, so the FY2025 Assets block is skipped by the automated check. It was reconciled by hand: 14,686 + 603 + 77,121 + 540,372 + 8,162 + 508 + 95 + 3,249 = 644,796, the reported total exactly.)
  - The P&amp;L's 'Total income' TOTAL row is renamed 'Total interest receivable and similar income', which is what it has always held, because the FY2025 edition uses the words 'Total income' for a DIFFERENT subtotal (GBP5,872k, struck after interest payable, fees and derivative gains). That FY2025 subtotal is the same cut as the earlier editions' 'Net income', so the two share one row.
  - The FY2025 edition prints no separate 'Depreciation and amortisation' expense line: Note 8 shows depreciation GBP19k and amortisation GBP470k inside administrative expenses of GBP15,184k. The D&amp;A row is therefore blank for FY2025, and is NOT back-derived out of the admin figure.
PRESENTATION NOTE: independently rounding each £'000 line (rather than rounding a pre-summed exact-£ total) occasionally leaves a component sum GBP1k off its own total row for FY2022/FY2021 (e.g. FY2022 Total assets: components sum to GBP17,058k vs the reported GBP17,059k) - both figures are shown exactly as each filing's own numbers round to; not forced to tie. No Additional Tier 1/Tier 2 capital is disclosed in any year. Off-balance-sheet items are disclosed from FY2024 onward in the commitments note only (FY2025: GBP32.1m of post-offer commitments to lend, FY2024: GBP45.5m) and are not carried as balance-sheet rows.
The capital-raise row is labelled 'Capital injection' in the bank's own 2021/2022 filings and 'Issue of new shares' in its 2023/2024/2025 filings - same underlying event (a share capital + share premium increase), the bank's own wording just changed year to year; reproduced here as each filing states it. The comprehensive-income row is likewise labelled 'Total comprehensive income' through FY2024 and 'Total comprehensive expense' in FY2025 (the amount is a loss in every year).
FY2025's movements come from the FY2025 edition's own Statement of Changes in Equity, p.30: 35,000,000 ordinary GBP1 shares issued at par to the immediate parent (Note 23), taking called-up share capital to GBP95,138k, and a total comprehensive expense of GBP9,211k taking retained earnings to GBP(34,096)k. This is the one sheet the FY2025 edition does NOT restate: its opening 'At 1 January 2024' and 'At 31 December 2024' lines reproduce the FY2024 edition's figures exactly.</t>
        </is>
      </c>
    </row>
  </sheetData>
  <mergeCells count="3">
    <mergeCell ref="A21:E21"/>
    <mergeCell ref="A23:E23"/>
    <mergeCell ref="A25:E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s>
  <sheetData>
    <row r="1">
      <c r="A1" s="1" t="inlineStr">
        <is>
          <t>Birmingham Bank Limited — Statement of Cash Flows</t>
        </is>
      </c>
    </row>
    <row r="2">
      <c r="A2" s="2" t="inlineStr">
        <is>
          <t>Bank-solo basis, FRS 102, £'000 (FY2022/FY2021 converted from the source's exact-£ figures)</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Reconciliation of operating (loss) to net operating cash flows</t>
        </is>
      </c>
      <c r="B4" s="6" t="n"/>
      <c r="C4" s="6" t="n"/>
      <c r="D4" s="6" t="n"/>
      <c r="E4" s="6" t="n"/>
      <c r="F4" s="6" t="n"/>
    </row>
    <row r="5">
      <c r="A5" s="6" t="inlineStr">
        <is>
          <t>Loss on ordinary activities after taxation</t>
        </is>
      </c>
      <c r="B5" s="6" t="n">
        <v>-9211</v>
      </c>
      <c r="C5" s="6" t="n">
        <v>-10844</v>
      </c>
      <c r="D5" s="6" t="n">
        <v>-7247</v>
      </c>
      <c r="E5" s="6" t="n">
        <v>-4156</v>
      </c>
      <c r="F5" s="6" t="n">
        <v>-3434</v>
      </c>
    </row>
    <row r="6">
      <c r="A6" s="6" t="inlineStr">
        <is>
          <t>Increase in prepayments and accrued income</t>
        </is>
      </c>
      <c r="B6" s="6" t="n"/>
      <c r="C6" s="6" t="n">
        <v>-228</v>
      </c>
      <c r="D6" s="6" t="n">
        <v>-252</v>
      </c>
      <c r="E6" s="6" t="n">
        <v>-34</v>
      </c>
      <c r="F6" s="6" t="n">
        <v>-238</v>
      </c>
    </row>
    <row r="7">
      <c r="A7" s="6" t="inlineStr">
        <is>
          <t>Increase in derivative financial asset</t>
        </is>
      </c>
      <c r="B7" s="6" t="n"/>
      <c r="C7" s="6" t="n">
        <v>-27</v>
      </c>
      <c r="D7" s="6" t="n"/>
      <c r="E7" s="6" t="n"/>
      <c r="F7" s="6" t="n"/>
    </row>
    <row r="8">
      <c r="A8" s="6" t="inlineStr">
        <is>
          <t>Increase/(decrease) in accruals and deferred income</t>
        </is>
      </c>
      <c r="B8" s="6" t="n"/>
      <c r="C8" s="6" t="n">
        <v>4761</v>
      </c>
      <c r="D8" s="6" t="n">
        <v>883</v>
      </c>
      <c r="E8" s="6" t="n">
        <v>-44</v>
      </c>
      <c r="F8" s="6" t="n">
        <v>396</v>
      </c>
    </row>
    <row r="9">
      <c r="A9" s="6" t="inlineStr">
        <is>
          <t>Increase/(decrease) in provision for bad and doubtful debts</t>
        </is>
      </c>
      <c r="B9" s="6" t="n">
        <v>250</v>
      </c>
      <c r="C9" s="6" t="n">
        <v>22</v>
      </c>
      <c r="D9" s="6" t="n">
        <v>-4</v>
      </c>
      <c r="E9" s="6" t="n">
        <v>-21</v>
      </c>
      <c r="F9" s="6" t="n">
        <v>-8</v>
      </c>
    </row>
    <row r="10">
      <c r="A10" s="6" t="inlineStr">
        <is>
          <t>Loans and advances written off net of recoveries</t>
        </is>
      </c>
      <c r="B10" s="6" t="n"/>
      <c r="C10" s="6" t="n"/>
      <c r="D10" s="6" t="n"/>
      <c r="E10" s="6" t="n">
        <v>0</v>
      </c>
      <c r="F10" s="6" t="n">
        <v>0</v>
      </c>
    </row>
    <row r="11">
      <c r="A11" s="6" t="inlineStr">
        <is>
          <t>Depreciation and amortisation</t>
        </is>
      </c>
      <c r="B11" s="6" t="n"/>
      <c r="C11" s="6" t="n">
        <v>237</v>
      </c>
      <c r="D11" s="6" t="n">
        <v>32</v>
      </c>
      <c r="E11" s="6" t="n">
        <v>24</v>
      </c>
      <c r="F11" s="6" t="n">
        <v>42</v>
      </c>
    </row>
    <row r="12">
      <c r="A12" s="6" t="inlineStr">
        <is>
          <t>Depreciation (separate line, FY2025 edition)</t>
        </is>
      </c>
      <c r="B12" s="6" t="n">
        <v>19</v>
      </c>
      <c r="C12" s="6" t="n"/>
      <c r="D12" s="6" t="n"/>
      <c r="E12" s="6" t="n"/>
      <c r="F12" s="6" t="n"/>
    </row>
    <row r="13">
      <c r="A13" s="6" t="inlineStr">
        <is>
          <t>Amortisation (separate line, FY2025 edition)</t>
        </is>
      </c>
      <c r="B13" s="6" t="n">
        <v>470</v>
      </c>
      <c r="C13" s="6" t="n"/>
      <c r="D13" s="6" t="n"/>
      <c r="E13" s="6" t="n"/>
      <c r="F13" s="6" t="n"/>
    </row>
    <row r="14">
      <c r="A14" s="6" t="inlineStr">
        <is>
          <t>Fair value movement on derivatives (FY2025 edition)</t>
        </is>
      </c>
      <c r="B14" s="6" t="n">
        <v>-211</v>
      </c>
      <c r="C14" s="6" t="n"/>
      <c r="D14" s="6" t="n"/>
      <c r="E14" s="6" t="n"/>
      <c r="F14" s="6" t="n"/>
    </row>
    <row r="15">
      <c r="A15" s="6" t="inlineStr">
        <is>
          <t>Interest income from debt securities (FY2025 edition)</t>
        </is>
      </c>
      <c r="B15" s="6" t="n">
        <v>-3742</v>
      </c>
      <c r="C15" s="6" t="n"/>
      <c r="D15" s="6" t="n"/>
      <c r="E15" s="6" t="n"/>
      <c r="F15" s="6" t="n"/>
    </row>
    <row r="16">
      <c r="A16" s="6" t="inlineStr">
        <is>
          <t>Taxation - credit</t>
        </is>
      </c>
      <c r="B16" s="6" t="n"/>
      <c r="C16" s="6" t="n">
        <v>-104</v>
      </c>
      <c r="D16" s="6" t="n">
        <v>-123</v>
      </c>
      <c r="E16" s="6" t="n">
        <v>-38</v>
      </c>
      <c r="F16" s="6" t="n">
        <v>0</v>
      </c>
    </row>
    <row r="17">
      <c r="A17" s="5" t="inlineStr">
        <is>
          <t>Net cash outflow from trading activities ('Total' in the FY2025 edition)</t>
        </is>
      </c>
      <c r="B17" s="5" t="n">
        <v>-12425</v>
      </c>
      <c r="C17" s="5" t="n">
        <v>-6183</v>
      </c>
      <c r="D17" s="5" t="n">
        <v>-6711</v>
      </c>
      <c r="E17" s="5" t="n">
        <v>-4270</v>
      </c>
      <c r="F17" s="5" t="n">
        <v>-3242</v>
      </c>
    </row>
    <row r="18">
      <c r="A18" s="6" t="inlineStr">
        <is>
          <t>Net (increase)/decrease in loans and advances to credit institutions and customers (customers only from FY2025)</t>
        </is>
      </c>
      <c r="B18" s="6" t="n">
        <v>-450539</v>
      </c>
      <c r="C18" s="6" t="n">
        <v>-86137</v>
      </c>
      <c r="D18" s="6" t="n">
        <v>3951</v>
      </c>
      <c r="E18" s="6" t="n">
        <v>2018</v>
      </c>
      <c r="F18" s="6" t="n">
        <v>1328</v>
      </c>
    </row>
    <row r="19">
      <c r="A19" s="6" t="inlineStr">
        <is>
          <t>Decrease/(increase) in financial assets / treasury bills</t>
        </is>
      </c>
      <c r="B19" s="6" t="n"/>
      <c r="C19" s="6" t="n">
        <v>-22843</v>
      </c>
      <c r="D19" s="6" t="n">
        <v>-13750</v>
      </c>
      <c r="E19" s="6" t="n">
        <v>3250</v>
      </c>
      <c r="F19" s="6" t="n">
        <v>-4250</v>
      </c>
    </row>
    <row r="20">
      <c r="A20" s="6" t="inlineStr">
        <is>
          <t>Increase/(decrease) in deposits by customers</t>
        </is>
      </c>
      <c r="B20" s="6" t="n">
        <v>469366</v>
      </c>
      <c r="C20" s="6" t="n">
        <v>97569</v>
      </c>
      <c r="D20" s="6" t="n">
        <v>-1100</v>
      </c>
      <c r="E20" s="6" t="n">
        <v>-3518</v>
      </c>
      <c r="F20" s="6" t="n">
        <v>-1837</v>
      </c>
    </row>
    <row r="21">
      <c r="A21" s="6" t="inlineStr">
        <is>
          <t>Increase/(decrease) in other assets</t>
        </is>
      </c>
      <c r="B21" s="6" t="n">
        <v>-5262</v>
      </c>
      <c r="C21" s="6" t="n">
        <v>-3082</v>
      </c>
      <c r="D21" s="6" t="n">
        <v>167</v>
      </c>
      <c r="E21" s="6" t="n">
        <v>-81</v>
      </c>
      <c r="F21" s="6" t="n">
        <v>8</v>
      </c>
    </row>
    <row r="22">
      <c r="A22" s="6" t="inlineStr">
        <is>
          <t>(Increase)/decrease in accrued income and prepayments (FY2025 edition, below the subtotal)</t>
        </is>
      </c>
      <c r="B22" s="6" t="n">
        <v>164</v>
      </c>
      <c r="C22" s="6" t="n"/>
      <c r="D22" s="6" t="n"/>
      <c r="E22" s="6" t="n"/>
      <c r="F22" s="6" t="n"/>
    </row>
    <row r="23">
      <c r="A23" s="6" t="inlineStr">
        <is>
          <t>Increase/(decrease) in other liabilities (FY2025 edition, below the subtotal)</t>
        </is>
      </c>
      <c r="B23" s="6" t="n">
        <v>-74</v>
      </c>
      <c r="C23" s="6" t="n"/>
      <c r="D23" s="6" t="n"/>
      <c r="E23" s="6" t="n"/>
      <c r="F23" s="6" t="n"/>
    </row>
    <row r="24">
      <c r="A24" s="5" t="inlineStr">
        <is>
          <t>Net cash (outflow)/inflow from operating activities</t>
        </is>
      </c>
      <c r="B24" s="5" t="n">
        <v>1230</v>
      </c>
      <c r="C24" s="5" t="n">
        <v>-20676</v>
      </c>
      <c r="D24" s="5" t="n">
        <v>-17679</v>
      </c>
      <c r="E24" s="5" t="n">
        <v>-2601</v>
      </c>
      <c r="F24" s="5" t="n">
        <v>-7994</v>
      </c>
    </row>
    <row r="25">
      <c r="A25" s="5" t="inlineStr">
        <is>
          <t>Cash flow from investing activities</t>
        </is>
      </c>
      <c r="B25" s="6" t="n"/>
      <c r="C25" s="6" t="n"/>
      <c r="D25" s="6" t="n"/>
      <c r="E25" s="6" t="n"/>
      <c r="F25" s="6" t="n"/>
    </row>
    <row r="26">
      <c r="A26" s="6" t="inlineStr">
        <is>
          <t>Purchase of debt securities (FY2025 edition)</t>
        </is>
      </c>
      <c r="B26" s="6" t="n">
        <v>-215414</v>
      </c>
      <c r="C26" s="6" t="n"/>
      <c r="D26" s="6" t="n"/>
      <c r="E26" s="6" t="n"/>
      <c r="F26" s="6" t="n"/>
    </row>
    <row r="27">
      <c r="A27" s="6" t="inlineStr">
        <is>
          <t>Proceeds from sale/maturity of debt securities (FY2025 edition)</t>
        </is>
      </c>
      <c r="B27" s="6" t="n">
        <v>184972</v>
      </c>
      <c r="C27" s="6" t="n"/>
      <c r="D27" s="6" t="n"/>
      <c r="E27" s="6" t="n"/>
      <c r="F27" s="6" t="n"/>
    </row>
    <row r="28">
      <c r="A28" s="6" t="inlineStr">
        <is>
          <t>Purchase of fixed assets</t>
        </is>
      </c>
      <c r="B28" s="6" t="n">
        <v>-44</v>
      </c>
      <c r="C28" s="6" t="n">
        <v>-36</v>
      </c>
      <c r="D28" s="6" t="n">
        <v>-45</v>
      </c>
      <c r="E28" s="6" t="n">
        <v>-9</v>
      </c>
      <c r="F28" s="6" t="n">
        <v>-42</v>
      </c>
    </row>
    <row r="29">
      <c r="A29" s="6" t="inlineStr">
        <is>
          <t>Purchase of intangible assets</t>
        </is>
      </c>
      <c r="B29" s="6" t="n">
        <v>-1618</v>
      </c>
      <c r="C29" s="6" t="n">
        <v>-1982</v>
      </c>
      <c r="D29" s="6" t="n">
        <v>-307</v>
      </c>
      <c r="E29" s="6" t="n">
        <v>0</v>
      </c>
      <c r="F29" s="6" t="n"/>
    </row>
    <row r="30">
      <c r="A30" s="5" t="inlineStr">
        <is>
          <t>Net cash outflow from investing activities</t>
        </is>
      </c>
      <c r="B30" s="5" t="n">
        <v>-32104</v>
      </c>
      <c r="C30" s="5" t="n">
        <v>-2018</v>
      </c>
      <c r="D30" s="5" t="n">
        <v>-352</v>
      </c>
      <c r="E30" s="5" t="n">
        <v>-9</v>
      </c>
      <c r="F30" s="5" t="n">
        <v>-42</v>
      </c>
    </row>
    <row r="31">
      <c r="A31" s="5" t="inlineStr">
        <is>
          <t>Cash flow from financing activities</t>
        </is>
      </c>
      <c r="B31" s="6" t="n"/>
      <c r="C31" s="6" t="n"/>
      <c r="D31" s="6" t="n"/>
      <c r="E31" s="6" t="n"/>
      <c r="F31" s="6" t="n"/>
    </row>
    <row r="32">
      <c r="A32" s="6" t="inlineStr">
        <is>
          <t>Called up share capital additions</t>
        </is>
      </c>
      <c r="B32" s="6" t="n">
        <v>35000</v>
      </c>
      <c r="C32" s="6" t="n">
        <v>30000</v>
      </c>
      <c r="D32" s="6" t="n">
        <v>20000</v>
      </c>
      <c r="E32" s="6" t="n">
        <v>2000</v>
      </c>
      <c r="F32" s="6" t="n">
        <v>9000</v>
      </c>
    </row>
    <row r="33">
      <c r="A33" s="5" t="inlineStr">
        <is>
          <t>Net cash inflow from financing activities</t>
        </is>
      </c>
      <c r="B33" s="5" t="n">
        <v>35000</v>
      </c>
      <c r="C33" s="5" t="n">
        <v>30000</v>
      </c>
      <c r="D33" s="5" t="n">
        <v>20000</v>
      </c>
      <c r="E33" s="5" t="n">
        <v>2000</v>
      </c>
      <c r="F33" s="5" t="n">
        <v>9000</v>
      </c>
    </row>
    <row r="34">
      <c r="A34" s="5" t="inlineStr">
        <is>
          <t>Increase/(decrease) in cash and cash equivalents</t>
        </is>
      </c>
      <c r="B34" s="5" t="n">
        <v>4126</v>
      </c>
      <c r="C34" s="5" t="n">
        <v>7306</v>
      </c>
      <c r="D34" s="5" t="n">
        <v>1969</v>
      </c>
      <c r="E34" s="5" t="n">
        <v>-610</v>
      </c>
      <c r="F34" s="5" t="n">
        <v>964</v>
      </c>
    </row>
    <row r="35">
      <c r="A35" s="5" t="inlineStr">
        <is>
          <t>Analysis of the balances of cash</t>
        </is>
      </c>
      <c r="B35" s="6" t="n"/>
      <c r="C35" s="6" t="n"/>
      <c r="D35" s="6" t="n"/>
      <c r="E35" s="6" t="n"/>
      <c r="F35" s="6" t="n"/>
    </row>
    <row r="36">
      <c r="A36" s="6" t="inlineStr">
        <is>
          <t>Cash at bank at beginning of year</t>
        </is>
      </c>
      <c r="B36" s="6" t="n">
        <v>11163</v>
      </c>
      <c r="C36" s="6" t="n">
        <v>3866</v>
      </c>
      <c r="D36" s="6" t="n">
        <v>1897</v>
      </c>
      <c r="E36" s="6" t="n">
        <v>2506</v>
      </c>
      <c r="F36" s="6" t="n"/>
    </row>
    <row r="37">
      <c r="A37" s="5" t="inlineStr">
        <is>
          <t>Cash at bank at end of year</t>
        </is>
      </c>
      <c r="B37" s="5" t="n">
        <v>15289</v>
      </c>
      <c r="C37" s="5" t="n">
        <v>11172</v>
      </c>
      <c r="D37" s="5" t="n">
        <v>3866</v>
      </c>
      <c r="E37" s="5" t="n">
        <v>1896</v>
      </c>
      <c r="F37" s="5" t="n">
        <v>2506</v>
      </c>
    </row>
    <row r="39" ht="351" customHeight="1">
      <c r="A39" s="8" t="inlineStr">
        <is>
          <t>Sources - Birmingham Bank Limited's own Statement of Cash Flows (FRS 102), all figures GBP'000:
FY2025: Full accounts made up to 31 Dec 2025 (Board-approved 10 Mar 2026, filed 14 Sep 2026), p.31 (Statement of Cash Flows, presented as the first note) - https://find-and-update.company-information.service.gov.uk/company/00555071/filing-history/MzU0NDA2NTQ1MWFkaXF6a2N4/document?format=pdf&amp;download=0
FY2024: Full accounts made up to 31 Dec 2024 (filed 31 Mar 2025), p.25 (Statement of Cash Flows) - https://find-and-update.company-information.service.gov.uk/company/00555071/filing-history/MzQ2MDU0MTMzM2FkaXF6a2N4/document?format=pdf&amp;download=0
FY2023: Full accounts made up to 31 Dec 2023 (filed 20 Mar 2024), p.26 (Statement of Cash Flows) - https://find-and-update.company-information.service.gov.uk/company/00555071/filing-history/MzQxNDU2Njk3NGFkaXF6a2N4/document?format=pdf&amp;download=0
FY2022 &amp; FY2021: Amended full accounts made up to 31 Dec 2022 (filed 25 Oct 2023), p.28 (Statement of Cash Flows) - https://find-and-update.company-information.service.gov.uk/company/00555071/filing-history/MzM5NzY1NjE1N2FkaXF6a2N4/document?format=pdf&amp;download=0. This filing reports in exact GBP (not GBP'000) with a FY2021 comparative column - both years converted to GBP'000 here (divided by 1,000, rounded) for consistency with the later filings' own units; no other conversion applied.
Entity note: company 00555071, formerly Hardware Federation Finance Company Limited (1955-1990), then Bira Finance Limited (2011-2013), then Bira Bank Limited (2013-2021), renamed Birmingham Bank Limited 26 Jan 2021 - same company throughout, FRN 204478 confirmed on the bank's own site footer, matching the bank list exactly. Four Companies House accounts filings exist (FY2022-FY2025, calendar year-end); there is no FY2021-specific standalone filing (the FY2022 filing's own FY2021 comparative column is the only source for FY2021). The Bank raised fresh capital (a GBP20m injection completing a change of control) in April 2023 and paused new lending for most of 2023 to build infrastructure - explains the large FY2023 capital-ratio jump.
FY2025 ADDED 2026-09-18 (GA-003). Latest-edition check made against the Bank's own site and Companies House on 18 Sep 2026: the FY2025 full accounts (51pp, Board-approved 10 March 2026) were filed at Companies House on 14 SEPTEMBER 2026, four days before this check, and are the newest edition of any kind. PUBLICATION LAG, for the next session: the Bank approves its accounts in Feb/March and files them at Companies House between March and September (FY2023 filed 20 Mar 2024, FY2024 filed 31 Mar 2025, FY2025 approved 10 Mar 2026 but not filed until 14 Sep 2026 - a six-month gap between signature and filing). A FY2026 edition should therefore not be looked for before about March 2027, and might not appear at Companies House until September 2027.
THE FY2025 EDITION IS AN IMAGE-ONLY SCAN, exactly as the FY2024 one was: 51 pages with no text layer. Every FY2025 figure in this workbook was read from an OCR pass over that scan and then confirmed two ways - by arithmetic (each statement's own footings and cross-footings reproduce exactly: assets 644,796; liabilities 580,892; equity 63,904; cash-flow subtotals -12,425 / 1,230 / -32,104 / 4,126; closing cash 15,289 = 14,686 + 603) and by eye against a 140-dpi render of the page. Where a FY2024 comparative in the FY2025 edition reproduces a figure this workbook already held from the FY2024 edition (LCR 725%, depreciation 32 + amortisation 205 = the 237 already on the Cash Flow sheet, interest payable 1,997, loss for the year 10,844, total equity 38,115), that agreement is itself an OCR control and is what establishes the reading is sound.
DATA NOTE: the FY2024 filing's own 'Analysis of the balances of cash' table mislabels its opening-balance column '01.01.2023' (should read 01.01.2024) - the VALUE (GBP3,866k) is used as printed, since it exactly matches FY2023's own reported closing balance; only the column label in the source appears to be a typo, not the figure. Separately, the FY2022 filing's own closing balance (GBP1,896k, rounded from the exact GBP1,895,707) differs by an immaterial GBP1k from FY2023's own filing's stated opening balance (GBP1,897k) for the same date - both are shown here exactly as each filing states them, not forced to match. FY2021's own opening cash balance is not available in any filing found (the FY2022 filing's comparative column starts from FY2021's closing balance only) - left blank, not estimated.</t>
        </is>
      </c>
    </row>
    <row r="41" ht="364" customHeight="1">
      <c r="A41" s="8" t="inlineStr">
        <is>
          <t>(continued)
FY2024 IS RESTATED AND RE-CUT IN THE FY2025 EDITION, AND THIS WORKBOOK DOES NOT ADOPT THE RESTATEMENT. Each year's column is that year's OWN filing, this project's standing convention, so the FY2024 column below is still the FY2024 filing's own presentation. For the record, the FY2025 edition's FY2024 comparative column differs as follows: total assets 148,505 (this workbook: 151,081); total liabilities 110,390 (112,966); cash at bank / loans and advances to banks 11,163 (11,172); debt securities 42,937 (43,093); loans and advances to customers 88,635 (90,310); other assets 2,900 (3,617); prepayments 672 (691); customer deposits 108,309 (106,868); other liabilities 2,081 (6,098); gross loans 90,361 (90,352); total interest receivable 4,321 (4,436); administrative expenses 13,277 (13,155 plus 237 of depreciation and amortisation shown separately). Total equity (38,115), retained earnings (-24,885), share capital (60,138), share premium (2,862), loss for the year (-10,844) and the FY2024 capital ratio (76%, printed as 76.03% in the FY2025 Strategic Report) are unchanged between the two editions. What can be said from the documents alone is that it is a reclassification and not a correction touching equity: assets fall by GBP2,576k (717 + 156 + 1,675 + 9 + 19 across the five asset lines) and liabilities fall by the same GBP2,576k (other liabilities -4,017, customer deposits +1,441, the latter being the accrued deposit interest that the FY2025 edition's Note 20 says is now included within the deposit balance). No reason for the re-cut is given in either edition, and none is invented here.
HOW THE FY2025 EDITION'S CASH FLOW STATEMENT MAPS ONTO THIS SHEET. The FY2025 edition re-presents the statement, and the two presentations strike their first subtotal in different places: the FY2021-FY2024 editions' 'Net cash outflow from trading activities' includes the movements in prepayments and in accruals, whereas the FY2025 edition's 'Total' (GBP(12,425)k) is struck BEFORE any working-capital movement and shows those two movements underneath, inside a 'Changes in operating assets and liabilities' block. The rows are ordered here so that BOTH bases foot in their own column without anything being re-derived: FY2025's prepayments (+164) and other liabilities (-74) movements sit on their own rows below the subtotal, and FY2025's non-cash adjustments sit above it. Every column of this sheet reconciles to its own edition's printed subtotal: FY2025 -9,211 + 250 + 19 + 470 - 211 - 3,742 = -12,425, then -450,539 + 469,366 - 5,262 + 164 - 74 = +13,655 giving the printed +1,230.
Renames and re-cuts, recorded rather than merged:
  - The FY2025 edition prints 'Depreciation' (19) and 'Amortisation' (470) as two lines where earlier editions printed one combined 'Depreciation and amortisation' line. Both are carried as the source prints them; they are NOT summed onto the legacy row. Note 8 shows the same two figures inside administrative expenses. The FY2025 edition's FY2024 comparative for these two lines (32 + 205 = 237) reproduces this workbook's existing FY2024 combined figure exactly - which is one of the controls that establishes the OCR reading of this scan is sound.
  - 'Fair value movement on derivatives' (FY2025, -211) is NOT the same row as 'Increase in derivative financial asset' (FY2024, -27): the FY2025 edition prints the FY2024 comparative of its own row as +27, the opposite sign. Kept as two rows.
  - 'Interest income from debt securities' (-3,742) has no counterpart before FY2025: earlier editions did not strip accrued securities interest out of the operating reconciliation.
  - Purchases and maturities of debt securities move from the operating section ('Decrease/(increase) in financial assets / treasury bills') to the INVESTING section in FY2025, where they are shown gross (-215,414 and +184,972). The legacy operating row is therefore blank for FY2025, and the investing block foots for both bases because the blank cells contribute nothing.
  - 'Taxation - credit' is blank for FY2025: the FY2025 edition prints that line with a figure in the 2024 column only and nothing in the 2025 column.
FY2025 OPENING CASH. The FY2025 edition's 'Analysis of the balances of cash' opens at GBP11,163k where the FY2024 edition closed at GBP11,172k - the same GBP9k reclassification described in the restatement note above, and the same class of inter-edition difference already documented between FY2022 and FY2023. Both are shown exactly as each filing states them, not forced to match. Closing cash of GBP15,289k ties to the balance sheet as GBP14,686k at the Bank of England plus GBP603k at commercial banks (Note 13).</t>
        </is>
      </c>
    </row>
  </sheetData>
  <mergeCells count="2">
    <mergeCell ref="A41:F41"/>
    <mergeCell ref="A39:F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Birmingham Bank Limited — Asset Quality</t>
        </is>
      </c>
    </row>
    <row r="2">
      <c r="A2" s="2" t="inlineStr">
        <is>
          <t>Bank-solo basis, FRS 102,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Loans and advances to customers</t>
        </is>
      </c>
      <c r="B4" s="6" t="n"/>
      <c r="C4" s="6" t="n"/>
      <c r="D4" s="6" t="n"/>
      <c r="E4" s="6" t="n"/>
      <c r="F4" s="6" t="n"/>
    </row>
    <row r="5">
      <c r="A5" s="6" t="inlineStr">
        <is>
          <t>Gross loans and advances to customers</t>
        </is>
      </c>
      <c r="B5" s="6" t="n">
        <v>549420</v>
      </c>
      <c r="C5" s="6" t="n">
        <v>90352</v>
      </c>
      <c r="D5" s="6" t="n">
        <v>4215</v>
      </c>
      <c r="E5" s="6" t="n">
        <v>6879</v>
      </c>
      <c r="F5" s="6" t="n">
        <v>8901</v>
      </c>
    </row>
    <row r="6">
      <c r="A6" s="6" t="inlineStr">
        <is>
          <t>Effective interest rate adjustment (FY2025 edition only)</t>
        </is>
      </c>
      <c r="B6" s="6" t="n">
        <v>-10205</v>
      </c>
      <c r="C6" s="6" t="n"/>
      <c r="D6" s="6" t="n"/>
      <c r="E6" s="6" t="n"/>
      <c r="F6" s="6" t="n"/>
    </row>
    <row r="7">
      <c r="A7" s="6" t="inlineStr">
        <is>
          <t>Bad debt provisions</t>
        </is>
      </c>
      <c r="B7" s="6" t="n">
        <v>-292</v>
      </c>
      <c r="C7" s="6" t="n">
        <v>-42</v>
      </c>
      <c r="D7" s="6" t="n">
        <v>-20</v>
      </c>
      <c r="E7" s="6" t="n">
        <v>-12</v>
      </c>
      <c r="F7" s="6" t="n">
        <v>-33</v>
      </c>
    </row>
    <row r="8">
      <c r="A8" s="6" t="inlineStr">
        <is>
          <t>Fair value adjustment for hedged asset (FY2025 edition only)</t>
        </is>
      </c>
      <c r="B8" s="6" t="n">
        <v>1449</v>
      </c>
      <c r="C8" s="6" t="n"/>
      <c r="D8" s="6" t="n"/>
      <c r="E8" s="6" t="n"/>
      <c r="F8" s="6" t="n"/>
    </row>
    <row r="9">
      <c r="A9" s="5" t="inlineStr">
        <is>
          <t>Net loans and advances to customers</t>
        </is>
      </c>
      <c r="B9" s="5" t="n">
        <v>540372</v>
      </c>
      <c r="C9" s="5" t="n">
        <v>90310</v>
      </c>
      <c r="D9" s="5" t="n">
        <v>4195</v>
      </c>
      <c r="E9" s="5" t="n">
        <v>6867</v>
      </c>
      <c r="F9" s="5" t="n">
        <v>8868</v>
      </c>
    </row>
    <row r="10">
      <c r="A10" s="5" t="inlineStr">
        <is>
          <t>Gross loan book by maturity (FY2021-FY2024 editions' own maturity analysis)</t>
        </is>
      </c>
      <c r="B10" s="6" t="n"/>
      <c r="C10" s="6" t="n"/>
      <c r="D10" s="6" t="n"/>
      <c r="E10" s="6" t="n"/>
      <c r="F10" s="6" t="n"/>
    </row>
    <row r="11">
      <c r="A11" s="6" t="inlineStr">
        <is>
          <t>Repayable on demand</t>
        </is>
      </c>
      <c r="B11" s="6" t="n"/>
      <c r="C11" s="6" t="n">
        <v>5</v>
      </c>
      <c r="D11" s="6" t="n">
        <v>5</v>
      </c>
      <c r="E11" s="6" t="n">
        <v>13</v>
      </c>
      <c r="F11" s="6" t="n">
        <v>44</v>
      </c>
    </row>
    <row r="12">
      <c r="A12" s="6" t="inlineStr">
        <is>
          <t>Repayable within 3 months</t>
        </is>
      </c>
      <c r="B12" s="6" t="n"/>
      <c r="C12" s="6" t="n">
        <v>277</v>
      </c>
      <c r="D12" s="6" t="n">
        <v>409</v>
      </c>
      <c r="E12" s="6" t="n">
        <v>927</v>
      </c>
      <c r="F12" s="6" t="n">
        <v>1182</v>
      </c>
    </row>
    <row r="13">
      <c r="A13" s="6" t="inlineStr">
        <is>
          <t>Repayable between 3 months and one year</t>
        </is>
      </c>
      <c r="B13" s="6" t="n"/>
      <c r="C13" s="6" t="n">
        <v>611</v>
      </c>
      <c r="D13" s="6" t="n">
        <v>1198</v>
      </c>
      <c r="E13" s="6" t="n">
        <v>2374</v>
      </c>
      <c r="F13" s="6" t="n">
        <v>2919</v>
      </c>
    </row>
    <row r="14">
      <c r="A14" s="6" t="inlineStr">
        <is>
          <t>Repayable between one year and five years</t>
        </is>
      </c>
      <c r="B14" s="6" t="n"/>
      <c r="C14" s="6" t="n">
        <v>89459</v>
      </c>
      <c r="D14" s="6" t="n">
        <v>2603</v>
      </c>
      <c r="E14" s="6" t="n">
        <v>3564</v>
      </c>
      <c r="F14" s="6" t="n">
        <v>4758</v>
      </c>
    </row>
    <row r="15">
      <c r="A15" s="5" t="inlineStr">
        <is>
          <t>Loan book by interest-rate re-pricing band (FY2025 edition, Note 29 - net carrying amount)</t>
        </is>
      </c>
      <c r="B15" s="6" t="n"/>
      <c r="C15" s="6" t="n"/>
      <c r="D15" s="6" t="n"/>
      <c r="E15" s="6" t="n"/>
      <c r="F15" s="6" t="n"/>
    </row>
    <row r="16">
      <c r="A16" s="6" t="inlineStr">
        <is>
          <t>Not more than 3 months</t>
        </is>
      </c>
      <c r="B16" s="6" t="n">
        <v>18</v>
      </c>
      <c r="C16" s="6" t="n"/>
      <c r="D16" s="6" t="n"/>
      <c r="E16" s="6" t="n"/>
      <c r="F16" s="6" t="n"/>
    </row>
    <row r="17">
      <c r="A17" s="6" t="inlineStr">
        <is>
          <t>3 months to 1 year</t>
        </is>
      </c>
      <c r="B17" s="6" t="n">
        <v>8031</v>
      </c>
      <c r="C17" s="6" t="n"/>
      <c r="D17" s="6" t="n"/>
      <c r="E17" s="6" t="n"/>
      <c r="F17" s="6" t="n"/>
    </row>
    <row r="18">
      <c r="A18" s="6" t="inlineStr">
        <is>
          <t>1 year to 5 years</t>
        </is>
      </c>
      <c r="B18" s="6" t="n">
        <v>532323</v>
      </c>
      <c r="C18" s="6" t="n"/>
      <c r="D18" s="6" t="n"/>
      <c r="E18" s="6" t="n"/>
      <c r="F18" s="6" t="n"/>
    </row>
    <row r="19">
      <c r="A19" s="5" t="inlineStr">
        <is>
          <t>Loans and advances to customers (net, per Note 29)</t>
        </is>
      </c>
      <c r="B19" s="5" t="n">
        <v>540372</v>
      </c>
      <c r="C19" s="5" t="n"/>
      <c r="D19" s="5" t="n"/>
      <c r="E19" s="5" t="n"/>
      <c r="F19" s="5" t="n"/>
    </row>
    <row r="20">
      <c r="A20" s="5" t="inlineStr">
        <is>
          <t>Coverage</t>
        </is>
      </c>
      <c r="B20" s="6" t="n"/>
      <c r="C20" s="6" t="n"/>
      <c r="D20" s="6" t="n"/>
      <c r="E20" s="6" t="n"/>
      <c r="F20" s="6" t="n"/>
    </row>
    <row r="21">
      <c r="A21" s="6" t="inlineStr">
        <is>
          <t>Bad debt provision coverage (Provision / Gross loans)</t>
        </is>
      </c>
      <c r="B21" s="6" t="inlineStr">
        <is>
          <t>0.05%</t>
        </is>
      </c>
      <c r="C21" s="6" t="inlineStr">
        <is>
          <t>0.05%</t>
        </is>
      </c>
      <c r="D21" s="6" t="inlineStr">
        <is>
          <t>0.47%</t>
        </is>
      </c>
      <c r="E21" s="6" t="inlineStr">
        <is>
          <t>0.17%</t>
        </is>
      </c>
      <c r="F21" s="6" t="inlineStr">
        <is>
          <t>0.37%</t>
        </is>
      </c>
    </row>
    <row r="23" ht="312" customHeight="1">
      <c r="A23" s="8" t="inlineStr">
        <is>
          <t>Sources - Birmingham Bank Limited's own primary financial statements (FRS 102), all figures GBP'000:
FY2025: Full accounts made up to 31 Dec 2025 (Board-approved 10 Mar 2026, filed at Companies House 14 Sep 2026, 51pp), Statement of Comprehensive Income p.28, Statement of Financial Position p.29, Statement of Changes in Equity p.30, Statement of Cash Flows p.31 - https://find-and-update.company-information.service.gov.uk/company/00555071/filing-history/MzU0NDA2NTQ1MWFkaXF6a2N4/document?format=pdf&amp;download=0
FY2024: Full accounts made up to 31 Dec 2024 (filed 31 Mar 2025), Statement of Comprehensive Income p.22, Statement of Financial Position p.23, Statement of Changes in Equity p.24 - https://find-and-update.company-information.service.gov.uk/company/00555071/filing-history/MzQ2MDU0MTMzM2FkaXF6a2N4/document?format=pdf&amp;download=0
FY2023: Full accounts made up to 31 Dec 2023 (filed 20 Mar 2024), same statements pp.22-24 - https://find-and-update.company-information.service.gov.uk/company/00555071/filing-history/MzQxNDU2Njk3NGFkaXF6a2N4/document?format=pdf&amp;download=0
FY2022 &amp; FY2021: Amended full accounts made up to 31 Dec 2022 (filed 25 Oct 2023), Income Statement p.25, Statement of Financial Position p.26, Statement of Changes in Equity p.27 - https://find-and-update.company-information.service.gov.uk/company/00555071/filing-history/MzM5NzY1NjE1N2FkaXF6a2N4/document?format=pdf&amp;download=0. This filing reports in exact GBP (not GBP'000) with a FY2021 comparative column - both years converted to GBP'000 here (divided by 1,000, rounded) for consistency with the later filings' own units; no other conversion applied. Each year's own primary filing is used as that year's column (not a later filing's restated comparative), matching this project's standing convention.
Entity note: company 00555071, formerly Hardware Federation Finance Company Limited (1955-1990), then Bira Finance Limited (2011-2013), then Bira Bank Limited (2013-2021), renamed Birmingham Bank Limited 26 Jan 2021 - same company throughout, FRN 204478 confirmed on the bank's own site footer, matching the bank list exactly. Four Companies House accounts filings exist (FY2022-FY2025, calendar year-end); there is no FY2021-specific standalone filing (the FY2022 filing's own FY2021 comparative column is the only source for FY2021). The Bank raised fresh capital (a GBP20m injection completing a change of control) in April 2023 and paused new lending for most of 2023 to build infrastructure - explains the large FY2023 capital-ratio jump.
FY2025 ADDED 2026-09-18 (GA-003). Latest-edition check made against the Bank's own site and Companies House on 18 Sep 2026: the FY2025 full accounts (51pp, Board-approved 10 March 2026) were filed at Companies House on 14 SEPTEMBER 2026, four days before this check, and are the newest edition of any kind. PUBLICATION LAG, for the next session: the Bank approves its accounts in Feb/March and files them at Companies House between March and September (FY2023 filed 20 Mar 2024, FY2024 filed 31 Mar 2025, FY2025 approved 10 Mar 2026 but not filed until 14 Sep 2026 - a six-month gap between signature and filing). A FY2026 edition should therefore not be looked for before about March 2027, and might not appear at Companies House until September 2027.
THE FY2025 EDITION IS AN IMAGE-ONLY SCAN, exactly as the FY2024 one was: 51 pages with no text layer. Every FY2025 figure in this workbook was read from an OCR pass over that scan and then confirmed two ways - by arithmetic (each statement's own footings and cross-footings reproduce exactly: assets 644,796; liabilities 580,892; equity 63,904; cash-flow subtotals -12,425 / 1,230 / -32,104 / 4,126; closing cash 15,289 = 14,686 + 603) and by eye against a 140-dpi render of the page. Where a FY2024 comparative in the FY2025 edition reproduces a figure this workbook already held from the FY2024 edition (LCR 725%, depreciation 32 + amortisation 205 = the 237 already on the Cash Flow sheet, interest payable 1,997, loss for the year 10,844, total equity 38,115), that agreement is itself an OCR control and is what establishes the reading is sound.</t>
        </is>
      </c>
    </row>
    <row r="25" ht="377" customHeight="1">
      <c r="A25" s="8" t="inlineStr">
        <is>
          <t>(continued)
FY2024 IS RESTATED AND RE-CUT IN THE FY2025 EDITION, AND THIS WORKBOOK DOES NOT ADOPT THE RESTATEMENT. Each year's column is that year's OWN filing, this project's standing convention, so the FY2024 column below is still the FY2024 filing's own presentation. For the record, the FY2025 edition's FY2024 comparative column differs as follows: total assets 148,505 (this workbook: 151,081); total liabilities 110,390 (112,966); cash at bank / loans and advances to banks 11,163 (11,172); debt securities 42,937 (43,093); loans and advances to customers 88,635 (90,310); other assets 2,900 (3,617); prepayments 672 (691); customer deposits 108,309 (106,868); other liabilities 2,081 (6,098); gross loans 90,361 (90,352); total interest receivable 4,321 (4,436); administrative expenses 13,277 (13,155 plus 237 of depreciation and amortisation shown separately). Total equity (38,115), retained earnings (-24,885), share capital (60,138), share premium (2,862), loss for the year (-10,844) and the FY2024 capital ratio (76%, printed as 76.03% in the FY2025 Strategic Report) are unchanged between the two editions. What can be said from the documents alone is that it is a reclassification and not a correction touching equity: assets fall by GBP2,576k (717 + 156 + 1,675 + 9 + 19 across the five asset lines) and liabilities fall by the same GBP2,576k (other liabilities -4,017, customer deposits +1,441, the latter being the accrued deposit interest that the FY2025 edition's Note 20 says is now included within the deposit balance). No reason for the re-cut is given in either edition, and none is invented here.
LINE-BY-LINE MAPPING OF THE FY2025 EDITION ONTO THIS WORKBOOK'S ROWS. The FY2025 edition re-presents every statement, so the rule applied here is: where its line is the same item under a new name, the figure goes on the existing row and the rename is recorded; where its line has no counterpart in the earlier editions, it gets its own row, populated for FY2025 only; and a row the FY2025 edition dropped keeps its FY2021-FY2024 figures and is blank in the FY2025 column. Nothing is merged, summed or re-cut to make the two presentations agree. The cases are:
  - 'Cash at Bank' (FY2021-FY2024) becomes 'Loans and advances to banks' (FY2025, GBP603k), and a new line 'Cash balances at central banks' (GBP14,686k) appears. Note 13 shows the two summing to GBP15,289k. The FY2022/FY2021 'Loans and advances to Banks' row is a DIFFERENT, third line those two editions printed alongside 'Cash at Bank' and is kept separate.
  - 'Treasury Bills and similar securities' is called 'Investment in debt securities' from FY2025; same row, renamed here to carry both names.
  - 'Derivative financial liability' (GBP1,210k) is new in FY2025. The FY2025 edition prints a DASH against it in its own FY2024 comparative column, but the FY2024 edition had no such line at all, so the FY2024 cell here is left blank rather than dashed.
  - 'Derivative financial asset' is printed as a DASH by the FY2025 edition in its own FY2025 column and is carried as a literal '-', per this project's rule that a printed dash is the bank saying 'not applicable to us' and is a different statement from silence. (Consequence worth knowing: verify_workbook.py cannot reconcile a block containing a text cell, so the FY2025 Assets block is skipped by the automated check. It was reconciled by hand: 14,686 + 603 + 77,121 + 540,372 + 8,162 + 508 + 95 + 3,249 = 644,796, the reported total exactly.)
  - The P&amp;L's 'Total income' TOTAL row is renamed 'Total interest receivable and similar income', which is what it has always held, because the FY2025 edition uses the words 'Total income' for a DIFFERENT subtotal (GBP5,872k, struck after interest payable, fees and derivative gains). That FY2025 subtotal is the same cut as the earlier editions' 'Net income', so the two share one row.
  - The FY2025 edition prints no separate 'Depreciation and amortisation' expense line: Note 8 shows depreciation GBP19k and amortisation GBP470k inside administrative expenses of GBP15,184k. The D&amp;A row is therefore blank for FY2025, and is NOT back-derived out of the admin figure.
PRESENTATION NOTE: independently rounding each £'000 line (rather than rounding a pre-summed exact-£ total) occasionally leaves a component sum GBP1k off its own total row for FY2022/FY2021 (e.g. FY2022 Total assets: components sum to GBP17,058k vs the reported GBP17,059k) - both figures are shown exactly as each filing's own numbers round to; not forced to tie. No Additional Tier 1/Tier 2 capital is disclosed in any year. Off-balance-sheet items are disclosed from FY2024 onward in the commitments note only (FY2025: GBP32.1m of post-offer commitments to lend, FY2024: GBP45.5m) and are not carried as balance-sheet rows.</t>
        </is>
      </c>
    </row>
    <row r="27" ht="286" customHeight="1">
      <c r="A27" s="8" t="inlineStr">
        <is>
          <t>(continued)
The Bank reports under FRS 102 (incurred-loss impairment model), not IFRS 9 - no Stage 1/2/3 or non-performing-loan split is disclosed in any year's Annual Report or in any Pillar 3 document published; only a single 'bad debt provisions' balance (with a separate 'general' provision component in FY2021, reduced to nil during 2021) and a maturity-band breakdown of the gross loan book. Coverage ratio shown is Bad debt provisions / Gross loans and advances to customers - a coverage proxy, not an NPL ratio, since no non-performing/past-due balance is disclosed. This remains true of the FY2025 edition, and was tested rather than assumed (OCR text of all 51 pages, 2026-09-18): 'Stage 1', 'Stage 2', 'Stage 3', 'IFRS 9' and 'non-performing' return ZERO hits; 'forbearance' returns 2 and 'past due' 1, all three inside the accounting-policy prose on impaired lending (p.36) and none of them attached to a balance. RICHNESS CONTROL: the same extraction returns 'provision' 52 times and 'impairment' 47, so a zero here is a property of the document, not of the extraction.
FY2025 - TWO SEPARATE MATURITY SECTIONS, BECAUSE THE BANK CHANGED THE TABLE. The FY2021-FY2024 editions each printed a maturity analysis of the GROSS loan book on four 'repayable' bands. The FY2025 edition drops that table and, in its Note 15, refers the reader instead to Note 29, which is a table of INTEREST-RATE RE-PRICING mismatches on NET carrying amounts across all balance-sheet lines. Those are different cuts of a different quantity, so they are shown as two sections rather than as one set of rows that silently changes basis at FY2025. FY2025's three bands (18 / 8,031 / 532,323) foot to the GBP540,372k net loans figure on the balance sheet; there is no 'repayable on demand' or 'over 5 years' band in that table.
FY2025 build-up of the loan book, as Note 15 prints it: gross loans 549,420, less an effective interest rate adjustment of 10,205 (= 539,215, the edition's own 'total gross loans after EIR adjustment'), less provision for impairment losses 292 (= 538,923, its 'total net loans'), plus a fair value adjustment for the hedged asset of 1,449 = 540,372. The two intermediate subtotals are recorded here rather than given TOTAL rows of their own, so that the one TOTAL row on this section means the same thing in every year. The coverage ratio is computed on the same definition as every other year - 292 / 549,420 = 0.053%, shown as 0.05% - i.e. against gross loans BEFORE the EIR adjustment.
NOT CARRIED, AND WHY. The FY2025 edition's Note 15 adds two breakdowns of the gross mortgage book that no earlier edition published: by region (London GBP217,196k / 39.5% the largest of ten) and by loan-to-value band (GBP447,918k / 81.6% in the 70.01%-80% band, nothing above 90%). Both are printed with a FY2024 comparative, but this project sources each year from its OWN edition and the FY2024 edition is an image-only scan that has not been read for these tables, so carrying them would create rows populated for one year in five. They are recorded here instead. Both tables foot to GBP548,923k, which is neither the gross (549,420) nor the after-EIR (539,215) figure - a GBP497k difference the edition does not explain; reproduced as a fact about the source, not reconciled.</t>
        </is>
      </c>
    </row>
  </sheetData>
  <mergeCells count="3">
    <mergeCell ref="A23:F23"/>
    <mergeCell ref="A25:F25"/>
    <mergeCell ref="A27:F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Birmingham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-18.06%</t>
        </is>
      </c>
      <c r="C4" s="6" t="inlineStr">
        <is>
          <t>-38.00%</t>
        </is>
      </c>
      <c r="D4" s="6" t="inlineStr">
        <is>
          <t>-57.60%</t>
        </is>
      </c>
      <c r="E4" s="6" t="inlineStr">
        <is>
          <t>-57.05%</t>
        </is>
      </c>
      <c r="F4" s="6" t="n"/>
    </row>
    <row r="5">
      <c r="A5" s="6" t="inlineStr">
        <is>
          <t>Return on equity - year-end equity basis</t>
        </is>
      </c>
      <c r="B5" s="6" t="inlineStr">
        <is>
          <t>-14.41%</t>
        </is>
      </c>
      <c r="C5" s="6" t="inlineStr">
        <is>
          <t>-28.45%</t>
        </is>
      </c>
      <c r="D5" s="6" t="inlineStr">
        <is>
          <t>-38.22%</t>
        </is>
      </c>
      <c r="E5" s="6" t="inlineStr">
        <is>
          <t>-66.97%</t>
        </is>
      </c>
      <c r="F5" s="6" t="inlineStr">
        <is>
          <t>-41.06%</t>
        </is>
      </c>
    </row>
    <row r="6">
      <c r="A6" s="6" t="inlineStr">
        <is>
          <t>Return on assets - average assets basis</t>
        </is>
      </c>
      <c r="B6" s="6" t="inlineStr">
        <is>
          <t>-2.31%</t>
        </is>
      </c>
      <c r="C6" s="6" t="inlineStr">
        <is>
          <t>-12.00%</t>
        </is>
      </c>
      <c r="D6" s="6" t="inlineStr">
        <is>
          <t>-31.07%</t>
        </is>
      </c>
      <c r="E6" s="6" t="inlineStr">
        <is>
          <t>-20.87%</t>
        </is>
      </c>
      <c r="F6" s="6" t="n"/>
    </row>
    <row r="7">
      <c r="A7" s="6" t="inlineStr">
        <is>
          <t>Return on assets - year-end assets basis</t>
        </is>
      </c>
      <c r="B7" s="6" t="inlineStr">
        <is>
          <t>-1.43%</t>
        </is>
      </c>
      <c r="C7" s="6" t="inlineStr">
        <is>
          <t>-7.18%</t>
        </is>
      </c>
      <c r="D7" s="6" t="inlineStr">
        <is>
          <t>-24.49%</t>
        </is>
      </c>
      <c r="E7" s="6" t="inlineStr">
        <is>
          <t>-24.36%</t>
        </is>
      </c>
      <c r="F7" s="6" t="inlineStr">
        <is>
          <t>-15.08%</t>
        </is>
      </c>
    </row>
    <row r="8">
      <c r="A8" s="6" t="inlineStr">
        <is>
          <t>Birmingham Bank Limited's own published return</t>
        </is>
      </c>
      <c r="B8" s="6" t="inlineStr">
        <is>
          <t>Not published</t>
        </is>
      </c>
      <c r="C8" s="6" t="inlineStr">
        <is>
          <t>Not published</t>
        </is>
      </c>
      <c r="D8" s="6" t="inlineStr">
        <is>
          <t>Not published</t>
        </is>
      </c>
      <c r="E8" s="6" t="inlineStr">
        <is>
          <t>Not published</t>
        </is>
      </c>
      <c r="F8" s="6" t="inlineStr">
        <is>
          <t>Not published</t>
        </is>
      </c>
    </row>
    <row r="9" ht="221" customHeight="1">
      <c r="A9" s="7" t="inlineStr">
        <is>
          <t>Note: COMPUTED, NOT PUBLISHED. Birmingham Bank Limited publishes NO ROE, RoTE or ROA. Its Full accounts made up to 31 December 2025 (filed at Companies House 14 Sep 2026, 51-page scan, NO text layer - pdftotext returns 0 bytes) state at PDF p.4: "The Bank's key financial performance indicators (KPIs) are shown below", and the table, confirmed on a 300 dpi render, is exactly six rows: Loss after tax GBP9.2m (2024 GBP10.8m), Loan balances GBP540.4m (88.6m), Customer deposits GBP577.7m (108.3m), Net interest income GBP5.8m (2.3m), Liquidity Coverage Ratio 460% (725%), Capital Adequacy Ratio 30.43% (76.03%). No return measure and no definition of one. All 51 pages were rendered at 150 dpi and OCR'd, searching 'returns? on', 'RoTE', 'ROE', 'ROA', "shareholders' funds", 'return on equity', 'return on assets': the only non-noise hits are 'Shareholders' funds' as a column heading in the statement of changes in equity (PDF pp.50-51); every 'return on' hit was OCR picking up 'protect'/'Protection'.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FY2023, where return on equity is -57.60% on an average basis and -38.22%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“loss for the financial year” and the Balance Sheet rows “total equity” and “total assets”, resolved BY LABEL at build time through the shared resolver scripts/profitability_rows.py, so this sheet cannot drift from the statements it summarises. Those rows are themselves transcribed from Birmingham Bank Limited's Annual Report and Accounts for each year; see the source cells on the Balance Sheet and Profit &amp; Loss sheets for the exact document, page and table behind every input to every percentage above.
The finding that Birmingham Bank Limited publishes no return of its own is recorded in research/profitability/published_returns.jsonl under ‘BIRMINGHAM BANK’,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Birmingham Bank Limited - KM1 Key Metrics</t>
        </is>
      </c>
    </row>
    <row r="2">
      <c r="A2" s="2" t="inlineStr">
        <is>
          <t>Not published - the Bank publishes a narrative Pillar 3 and has never printed the UK KM1 template</t>
        </is>
      </c>
    </row>
    <row r="3">
      <c r="A3" s="4" t="inlineStr">
        <is>
          <t>Line item</t>
        </is>
      </c>
      <c r="B3" s="4" t="inlineStr">
        <is>
          <t>FY2025</t>
        </is>
      </c>
      <c r="C3" s="4" t="inlineStr">
        <is>
          <t>FY2024</t>
        </is>
      </c>
      <c r="D3" s="4" t="inlineStr">
        <is>
          <t>FY2023</t>
        </is>
      </c>
      <c r="E3" s="4" t="inlineStr">
        <is>
          <t>FY2022</t>
        </is>
      </c>
      <c r="F3" s="4" t="inlineStr">
        <is>
          <t>FY2021</t>
        </is>
      </c>
    </row>
    <row r="4">
      <c r="A4" s="6" t="inlineStr">
        <is>
          <t>UK KM1 'Key metrics' template</t>
        </is>
      </c>
      <c r="B4" s="6" t="inlineStr">
        <is>
          <t>Not published – no FY2025 Pillar 3 (footer links FY2024 only; SDDT Ru 3.1 from 14/04/2026); FY2025 Annual Report has no KM1</t>
        </is>
      </c>
      <c r="C4" s="6" t="inlineStr">
        <is>
          <t>Not published – that year's Pillar 3 is narrative and never prints KM1 ('KM1'/'key metric' 0 hits, text-searched 2026-09-19)</t>
        </is>
      </c>
      <c r="D4" s="6" t="inlineStr">
        <is>
          <t>Not published – that year's Pillar 3 is narrative and never prints KM1 ('KM1'/'key metric' 0 hits, text-searched 2026-09-19)</t>
        </is>
      </c>
      <c r="E4" s="6" t="inlineStr">
        <is>
          <t>Not published – that year's Pillar 3 is narrative and never prints KM1 ('KM1'/'key metric' 0 hits, text-searched 2026-09-19)</t>
        </is>
      </c>
      <c r="F4" s="6" t="inlineStr">
        <is>
          <t>Not published – no KM1 in the FY2022 edition, which prints the FY2021 comparatives narratively; no FY2021 edition in Wayback (FY2020 file unchanged at 01/03/2022); UK KM1 applied from 1 Jan 2022</t>
        </is>
      </c>
    </row>
    <row r="6" ht="409" customHeight="1">
      <c r="A6" s="8" t="inlineStr">
        <is>
          <t>Birmingham Bank Limited has never published the UK KM1 'Key metrics' template. This is a bounded negative, not a gap: every Pillar 3 disclosure the Bank has issued was fetched and read in full (checked 2026-09-16).
EDITIONS CHECKED - three exist, one per year, and each is a different document:
FY2024 (cover: 'For the year ended 31 December 2024'), 24pp - https://www.birminghambank.com/hubfs/Birmingham%20Bank%202024%20Theme/PDFs/09i-Pillar-3-Disclosures-Report-as-at-140425.pdf
FY2023 (cover: 'For the year ended 31 December 2023'), 24pp, md5 ae21adfa2ee6000cf6a8df9801b28487 - https://www.birminghambank.com/wp-content/uploads/Birmingham-Bank-Pillar-3-Disclosures-2022-final.pdf
FY2022 (cover: 'For the year ended 31 December 2022'), 24pp, md5 e1a32b0e3f4a9f64576a9092859f45ab - https://web.archive.org/web/20240224223816id_/https://www.birminghambank.com/wp-content/uploads/Birmingham-Bank-Pillar-3-Disclosures-2022-final.pdf
NOTE ON THOSE LAST TWO URLs: they are the SAME path. The Bank overwrites its Pillar 3 file in place, so the live URL now serves the FY2023 edition while the dated Wayback capture still serves the FY2022 one - which is exactly why the FY2022 citation is pinned to a capture. The two files differ (md5s above). Do not 'simplify' the FY2022 citation to the live URL; that would silently swap the edition.
WHY THIS IS A BOUNDED NEGATIVE RATHER THAN 'NOT FOUND' (cells re-worded 'Not published' under the GA-020 vocabulary, 2026-09-19: the template's absence is a fact about documents that exist, which is what that outcome means; 'Not applicable' is reserved for a requirement that does not apply). Searching each edition's text: 'KM1' occurs 0 times and 'key metric' 0 times, while the same extraction returns CET1/Common Equity 18 times, 'own funds' 3, 'leverage' 5 and LCR 7-9 times in every edition. The extraction demonstrably reaches the capital and liquidity vocabulary where it is printed, so the absence of the template is a property of the documents, not of the tool. The Bank instead publishes a narrative Pillar 3 whose Section 1.4 'Summary Analysis' carries the headline figures; those feed the individual metric sheets in this workbook and are cited there. Nothing on this sheet is back-filled from the statutory accounts.
PARENT CHECKED TOO (a subsidiary's KM1 is often published inside its parent's Pillar 3, as extra columns or an appendix table). Companies House PSC register for company 00555071, read 2026-09-16, shows the controlling party has been: Bira Trading Limited (England, reg 11628600, 75%+) until it CEASED on 8 January 2021; and Better Home And Finance Holding Company (ACTIVE, notified 22 December 2025, 75%+ of shares and voting rights, 3 World Trade Center, New York; governing law Delaware Corporate Law; place registered Delaware; registration number 1484882; incorporated in the United States). A UK private holding company and a US Delaware corporation respectively - neither is a UK CRR institution carrying a Pillar 3 / Article 433 disclosure duty, nor an EU CRR institution carrying an Article 13(1) large-subsidiary duty. So there is no parent Pillar 3 in which a Birmingham Bank KM1 could appear, in any year this workbook covers. (The FY2024 Annual Report could not answer this: it is an image-only scan - 39 pages carrying 38 characters of text layer.)
SDDT IS NOT THE EXPLANATION - see the fuller note on the Total Capital sheet. The Bank does hold the SDDT Rule 3.1 opt-in, but it starts 14/04/2026, which post-dates all three editions above and therefore explains none of them. It is consistent with no FY2025 edition having appeared as at 2026-09-16, when the Bank's own site linked exactly one Pillar 3 document (the FY2024 one).</t>
        </is>
      </c>
    </row>
    <row r="8" ht="409" customHeight="1">
      <c r="A8" s="8" t="inlineStr">
        <is>
          <t>(continued)
FY2025 RE-CHECKED 2026-09-18 (GA-003). Still three editions, still no KM1. The Bank's own footer - its only index of regulatory documents, and one carrying policy PDFs version-stamped 14-07-2026, so demonstrably current - links exactly one Pillar 3 report, and that URL still serves the FY2024 edition (fetched 18 Sep 2026: HTTP 200, application/pdf, %PDF magic bytes, cover reads 'For the year ended 31 December 2024'). A Wayback CDX sweep of the domain returns the same five captures and no sixth. So no FY2025 Pillar 3 document exists to hold a KM1 table, and the FY2025 column here is 'Not applicable' on the same footing as the four before it. The FY2025 Annual Report cannot supply one either: 'KM1' and 'key metric' return zero hits across its 51 pages, as do 'CET1', 'own funds', 'leverage' and 'risk weighted', in a document returning 'capital adequacy' 5 times and 'liquidity coverage' twice - so the absence is the document's, not the extraction's. (Unlike the FY2024 scan, the FY2025 scan HAS been OCR'd and read in full for this check, which is why a text search of it can be quoted at all.)
The controlling party finding above is unchanged and is confirmed by the FY2025 accounts themselves: Note 27 states 'The Bank is 100% owned by Better Home and Finance Holding Company. A US listed company.' A US listed holding company carries no UK or EU Pillar 3 disclosure duty, so there is still no parent report in which a Birmingham Bank KM1 could appear.</t>
        </is>
      </c>
    </row>
  </sheetData>
  <mergeCells count="2">
    <mergeCell ref="A8:F8"/>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Birmingham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inlineStr">
        <is>
          <t>Not published – no FY2025 Pillar 3 (the footer's one Pillar 3 link still serves FY2024, re-fetched 2026-09-19; SDDT Ru 3.1 from 14/04/2026); FY2025 Annual Report (51pp, OCR-searched) gives no capital amount (ratio only)</t>
        </is>
      </c>
      <c r="C4" s="6" t="n">
        <v>35985</v>
      </c>
      <c r="D4" s="6" t="n">
        <v>18617</v>
      </c>
      <c r="E4" s="6" t="n">
        <v>6172</v>
      </c>
      <c r="F4" s="6" t="n">
        <v>8314</v>
      </c>
    </row>
    <row r="5" ht="312" customHeight="1">
      <c r="A5" s="7" t="inlineStr">
        <is>
          <t>Note: The Pillar 3 report's own Section 1.4 'Summary Analysis' headline FY2024 Tier 1 capital (GBP35,985k, shown here) differs from the same report's own Section 5.1 capital-resources table and Section 9 'Own Funds Disclosure' table (Total Equity GBP38,115k less regulatory deductions GBP2,008k = GBP36,107k) - both are the entity's own genuine disclosures in the same document, ~0.3% apart; the headline summary figure is used for consistency with how every other year/metric on this sheet is sourced (same class of internal document inconsistency as the RWA figures - see the Total RWAs sheet's own note). FY2023 has no such discrepancy - both of the report's tables agree at GBP18,617k.
FY2022 &amp; FY2021 ADDED/RESTATED 2026-09-15 from the recovered FY2022 Pillar 3 report, which prints both years side by side and which earlier builds did not have. This supersedes the previous position that 'no GBP CET1/Tier 1/Total Capital figure for FY2021 was found in any document'.
AMOUNTS (new cells): Total CET1 capital GBP6,172k (FY2022) and GBP8,314k (FY2021), from the 'regulatory capital resources' table, Section 5.1. Both foot exactly within that table - FY2022 Total Equity 6,206 less regulatory deductions 34 = 6,172; FY2021 Total Equity 8,363 less 49 = 8,314 - and FY2022 is independently repeated in the report's own Section 10 'Own Funds Disclosure' table (CET1 before regulatory adjustments 6,206, total regulatory adjustments (34), CET1 capital 6,172, Tier 1 capital 6,172, Total capital 6,172). The report states 'The Bank holds only tier 1 capital', so CET1 = Tier 1 = Total Capital for both years, consistent with every other year on these sheets.
CROSS-CHECK PASSED: the same Section 1.4 summary table gives Risk Weighted assets of 6,822 (FY2022) and 8,648 (FY2021), which reproduce this workbook's existing Total RWAs figures for both years exactly, and Liquidity coverage ratio 2,983% / 16,250%, which reproduce the existing LCR cells exactly. That is what confirms the document is the right entity, basis and years.
RATIOS RESTATED, AND THE SUPERSEDED VALUES ARE RECORDED HERE RATHER THAN DISCARDED: this workbook previously carried FY2022 91% and FY2021 97% (the latter disclosed as 96.69%), taken from the Strategic Report 'key financial performance indicators' table, which was the only source available before the Pillar 3 report was recovered. The Pillar 3 report gives 90% and 96% for the same two years - in its Section 1.4 summary ('Tier 1 Capital ratio') and, for FY2022, again in its Section 10 own-funds table, where CET1, Tier 1 and Total capital ratios are each printed as 90%. The Pillar 3 figures are now carried because they are internally consistent with the capital amounts and RWAs on these same sheets (6,172/6,822 = 90.5%; 8,314/8,648 = 96.1%), whereas retaining 91%/97% alongside those amounts would have left the sheets arithmetically self-contradictory. The ~0.5pp difference is a genuine source-basis difference between the two documents, NOT a rounding artefact and NOT an error in either - it is documented, not resolved. No ratio here is back-solved: every value is printed in the source.
CITATION TRAP - DO NOT 'SIMPLIFY' THE SOURCE URL. The FY2022 report is cited above at a Wayback snapshot. The live URL bearing the FY2022 filename (birminghambank.com/wp-content/uploads/Birmingham-Bank-Pillar-3-Disclosures-2022-final.pdf) returns HTTP 200 but now serves the FY2023 DOCUMENT - the Bank re-uploaded over it. Only the snapshot reaches the real FY2022 edition, verified on fetch by its own cover line 'For the year ended 31 December 2022'. Rewriting the citation to the live URL would silently repoint every figure above at the wrong year.</t>
        </is>
      </c>
    </row>
    <row r="7" ht="390"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
FY2025 (capital ratios and LCR only): Full accounts made up to 31 Dec 2025, Strategic Report KPI table p.4 and Capital Risk section p.8 - https://find-and-update.company-information.service.gov.uk/company/00555071/filing-history/MzU0NDA2NTQ1MWFkaXF6a2N4/document?format=pdf&amp;download=0</t>
        </is>
      </c>
    </row>
    <row r="9" ht="377" customHeight="1">
      <c r="A9" s="8" t="inlineStr">
        <is>
          <t>(continued)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t>
        </is>
      </c>
    </row>
    <row r="11" ht="190" customHeight="1">
      <c r="A11" s="8" t="inlineStr">
        <is>
          <t>(continued)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Birmingham Bank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CET1 Ratio (= Capital Adequacy Ratio)</t>
        </is>
      </c>
      <c r="B4" s="6" t="inlineStr">
        <is>
          <t>30.43%</t>
        </is>
      </c>
      <c r="C4" s="6" t="inlineStr">
        <is>
          <t>76%</t>
        </is>
      </c>
      <c r="D4" s="6" t="inlineStr">
        <is>
          <t>365%</t>
        </is>
      </c>
      <c r="E4" s="6" t="inlineStr">
        <is>
          <t>90%</t>
        </is>
      </c>
      <c r="F4" s="6" t="inlineStr">
        <is>
          <t>96%</t>
        </is>
      </c>
    </row>
    <row r="5" ht="260" customHeight="1">
      <c r="A5" s="7" t="inlineStr">
        <is>
          <t>Note: FY2022 &amp; FY2021 ADDED/RESTATED 2026-09-15 from the recovered FY2022 Pillar 3 report, which prints both years side by side and which earlier builds did not have. This supersedes the previous position that 'no GBP CET1/Tier 1/Total Capital figure for FY2021 was found in any document'.
AMOUNTS (new cells): Total CET1 capital GBP6,172k (FY2022) and GBP8,314k (FY2021), from the 'regulatory capital resources' table, Section 5.1. Both foot exactly within that table - FY2022 Total Equity 6,206 less regulatory deductions 34 = 6,172; FY2021 Total Equity 8,363 less 49 = 8,314 - and FY2022 is independently repeated in the report's own Section 10 'Own Funds Disclosure' table (CET1 before regulatory adjustments 6,206, total regulatory adjustments (34), CET1 capital 6,172, Tier 1 capital 6,172, Total capital 6,172). The report states 'The Bank holds only tier 1 capital', so CET1 = Tier 1 = Total Capital for both years, consistent with every other year on these sheets.
CROSS-CHECK PASSED: the same Section 1.4 summary table gives Risk Weighted assets of 6,822 (FY2022) and 8,648 (FY2021), which reproduce this workbook's existing Total RWAs figures for both years exactly, and Liquidity coverage ratio 2,983% / 16,250%, which reproduce the existing LCR cells exactly. That is what confirms the document is the right entity, basis and years.
RATIOS RESTATED, AND THE SUPERSEDED VALUES ARE RECORDED HERE RATHER THAN DISCARDED: this workbook previously carried FY2022 91% and FY2021 97% (the latter disclosed as 96.69%), taken from the Strategic Report 'key financial performance indicators' table, which was the only source available before the Pillar 3 report was recovered. The Pillar 3 report gives 90% and 96% for the same two years - in its Section 1.4 summary ('Tier 1 Capital ratio') and, for FY2022, again in its Section 10 own-funds table, where CET1, Tier 1 and Total capital ratios are each printed as 90%. The Pillar 3 figures are now carried because they are internally consistent with the capital amounts and RWAs on these same sheets (6,172/6,822 = 90.5%; 8,314/8,648 = 96.1%), whereas retaining 91%/97% alongside those amounts would have left the sheets arithmetically self-contradictory. The ~0.5pp difference is a genuine source-basis difference between the two documents, NOT a rounding artefact and NOT an error in either - it is documented, not resolved. No ratio here is back-solved: every value is printed in the source.
CITATION TRAP - DO NOT 'SIMPLIFY' THE SOURCE URL. The FY2022 report is cited above at a Wayback snapshot. The live URL bearing the FY2022 filename (birminghambank.com/wp-content/uploads/Birmingham-Bank-Pillar-3-Disclosures-2022-final.pdf) returns HTTP 200 but now serves the FY2023 DOCUMENT - the Bank re-uploaded over it. Only the snapshot reaches the real FY2022 edition, verified on fetch by its own cover line 'For the year ended 31 December 2022'. Rewriting the citation to the live URL would silently repoint every figure above at the wrong year.</t>
        </is>
      </c>
    </row>
    <row r="7" ht="390"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
FY2025 (capital ratios and LCR only): Full accounts made up to 31 Dec 2025, Strategic Report KPI table p.4 and Capital Risk section p.8 - https://find-and-update.company-information.service.gov.uk/company/00555071/filing-history/MzU0NDA2NTQ1MWFkaXF6a2N4/document?format=pdf&amp;download=0</t>
        </is>
      </c>
    </row>
    <row r="9" ht="377" customHeight="1">
      <c r="A9" s="8" t="inlineStr">
        <is>
          <t>(continued)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t>
        </is>
      </c>
    </row>
    <row r="11" ht="190" customHeight="1">
      <c r="A11" s="8" t="inlineStr">
        <is>
          <t>(continued)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Birmingham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inlineStr">
        <is>
          <t>Not published – no FY2025 Pillar 3 (the footer's one Pillar 3 link still serves FY2024, re-fetched 2026-09-19; SDDT Ru 3.1 from 14/04/2026); FY2025 Annual Report (51pp, OCR-searched) gives no capital amount (ratio only)</t>
        </is>
      </c>
      <c r="C4" s="6" t="n">
        <v>35985</v>
      </c>
      <c r="D4" s="6" t="n">
        <v>18617</v>
      </c>
      <c r="E4" s="6" t="n">
        <v>6172</v>
      </c>
      <c r="F4" s="6" t="n">
        <v>8314</v>
      </c>
    </row>
    <row r="5" ht="325" customHeight="1">
      <c r="A5" s="7" t="inlineStr">
        <is>
          <t>Note: No Additional Tier 1 or Tier 2 capital in any year - equals CET1 Capital exactly. The Pillar 3 report's own Section 1.4 'Summary Analysis' headline FY2024 Tier 1 capital (GBP35,985k, shown here) differs from the same report's own Section 5.1 capital-resources table and Section 9 'Own Funds Disclosure' table (Total Equity GBP38,115k less regulatory deductions GBP2,008k = GBP36,107k) - both are the entity's own genuine disclosures in the same document, ~0.3% apart; the headline summary figure is used for consistency with how every other year/metric on this sheet is sourced (same class of internal document inconsistency as the RWA figures - see the Total RWAs sheet's own note). FY2023 has no such discrepancy - both of the report's tables agree at GBP18,617k.
FY2022 &amp; FY2021 ADDED/RESTATED 2026-09-15 from the recovered FY2022 Pillar 3 report, which prints both years side by side and which earlier builds did not have. This supersedes the previous position that 'no GBP CET1/Tier 1/Total Capital figure for FY2021 was found in any document'.
AMOUNTS (new cells): Total CET1 capital GBP6,172k (FY2022) and GBP8,314k (FY2021), from the 'regulatory capital resources' table, Section 5.1. Both foot exactly within that table - FY2022 Total Equity 6,206 less regulatory deductions 34 = 6,172; FY2021 Total Equity 8,363 less 49 = 8,314 - and FY2022 is independently repeated in the report's own Section 10 'Own Funds Disclosure' table (CET1 before regulatory adjustments 6,206, total regulatory adjustments (34), CET1 capital 6,172, Tier 1 capital 6,172, Total capital 6,172). The report states 'The Bank holds only tier 1 capital', so CET1 = Tier 1 = Total Capital for both years, consistent with every other year on these sheets.
CROSS-CHECK PASSED: the same Section 1.4 summary table gives Risk Weighted assets of 6,822 (FY2022) and 8,648 (FY2021), which reproduce this workbook's existing Total RWAs figures for both years exactly, and Liquidity coverage ratio 2,983% / 16,250%, which reproduce the existing LCR cells exactly. That is what confirms the document is the right entity, basis and years.
RATIOS RESTATED, AND THE SUPERSEDED VALUES ARE RECORDED HERE RATHER THAN DISCARDED: this workbook previously carried FY2022 91% and FY2021 97% (the latter disclosed as 96.69%), taken from the Strategic Report 'key financial performance indicators' table, which was the only source available before the Pillar 3 report was recovered. The Pillar 3 report gives 90% and 96% for the same two years - in its Section 1.4 summary ('Tier 1 Capital ratio') and, for FY2022, again in its Section 10 own-funds table, where CET1, Tier 1 and Total capital ratios are each printed as 90%. The Pillar 3 figures are now carried because they are internally consistent with the capital amounts and RWAs on these same sheets (6,172/6,822 = 90.5%; 8,314/8,648 = 96.1%), whereas retaining 91%/97% alongside those amounts would have left the sheets arithmetically self-contradictory. The ~0.5pp difference is a genuine source-basis difference between the two documents, NOT a rounding artefact and NOT an error in either - it is documented, not resolved. No ratio here is back-solved: every value is printed in the source.
CITATION TRAP - DO NOT 'SIMPLIFY' THE SOURCE URL. The FY2022 report is cited above at a Wayback snapshot. The live URL bearing the FY2022 filename (birminghambank.com/wp-content/uploads/Birmingham-Bank-Pillar-3-Disclosures-2022-final.pdf) returns HTTP 200 but now serves the FY2023 DOCUMENT - the Bank re-uploaded over it. Only the snapshot reaches the real FY2022 edition, verified on fetch by its own cover line 'For the year ended 31 December 2022'. Rewriting the citation to the live URL would silently repoint every figure above at the wrong year.</t>
        </is>
      </c>
    </row>
    <row r="7" ht="390"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
FY2025 (capital ratios and LCR only): Full accounts made up to 31 Dec 2025, Strategic Report KPI table p.4 and Capital Risk section p.8 - https://find-and-update.company-information.service.gov.uk/company/00555071/filing-history/MzU0NDA2NTQ1MWFkaXF6a2N4/document?format=pdf&amp;download=0</t>
        </is>
      </c>
    </row>
    <row r="9" ht="377" customHeight="1">
      <c r="A9" s="8" t="inlineStr">
        <is>
          <t>(continued)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t>
        </is>
      </c>
    </row>
    <row r="11" ht="190" customHeight="1">
      <c r="A11" s="8" t="inlineStr">
        <is>
          <t>(continued)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Birmingham Bank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ratio</t>
        </is>
      </c>
      <c r="B4" s="6" t="inlineStr">
        <is>
          <t>30.43%</t>
        </is>
      </c>
      <c r="C4" s="6" t="inlineStr">
        <is>
          <t>76%</t>
        </is>
      </c>
      <c r="D4" s="6" t="inlineStr">
        <is>
          <t>365%</t>
        </is>
      </c>
      <c r="E4" s="6" t="inlineStr">
        <is>
          <t>90%</t>
        </is>
      </c>
      <c r="F4" s="6" t="inlineStr">
        <is>
          <t>96%</t>
        </is>
      </c>
    </row>
    <row r="5" ht="260" customHeight="1">
      <c r="A5" s="7" t="inlineStr">
        <is>
          <t>Note: FY2022 &amp; FY2021 ADDED/RESTATED 2026-09-15 from the recovered FY2022 Pillar 3 report, which prints both years side by side and which earlier builds did not have. This supersedes the previous position that 'no GBP CET1/Tier 1/Total Capital figure for FY2021 was found in any document'.
AMOUNTS (new cells): Total CET1 capital GBP6,172k (FY2022) and GBP8,314k (FY2021), from the 'regulatory capital resources' table, Section 5.1. Both foot exactly within that table - FY2022 Total Equity 6,206 less regulatory deductions 34 = 6,172; FY2021 Total Equity 8,363 less 49 = 8,314 - and FY2022 is independently repeated in the report's own Section 10 'Own Funds Disclosure' table (CET1 before regulatory adjustments 6,206, total regulatory adjustments (34), CET1 capital 6,172, Tier 1 capital 6,172, Total capital 6,172). The report states 'The Bank holds only tier 1 capital', so CET1 = Tier 1 = Total Capital for both years, consistent with every other year on these sheets.
CROSS-CHECK PASSED: the same Section 1.4 summary table gives Risk Weighted assets of 6,822 (FY2022) and 8,648 (FY2021), which reproduce this workbook's existing Total RWAs figures for both years exactly, and Liquidity coverage ratio 2,983% / 16,250%, which reproduce the existing LCR cells exactly. That is what confirms the document is the right entity, basis and years.
RATIOS RESTATED, AND THE SUPERSEDED VALUES ARE RECORDED HERE RATHER THAN DISCARDED: this workbook previously carried FY2022 91% and FY2021 97% (the latter disclosed as 96.69%), taken from the Strategic Report 'key financial performance indicators' table, which was the only source available before the Pillar 3 report was recovered. The Pillar 3 report gives 90% and 96% for the same two years - in its Section 1.4 summary ('Tier 1 Capital ratio') and, for FY2022, again in its Section 10 own-funds table, where CET1, Tier 1 and Total capital ratios are each printed as 90%. The Pillar 3 figures are now carried because they are internally consistent with the capital amounts and RWAs on these same sheets (6,172/6,822 = 90.5%; 8,314/8,648 = 96.1%), whereas retaining 91%/97% alongside those amounts would have left the sheets arithmetically self-contradictory. The ~0.5pp difference is a genuine source-basis difference between the two documents, NOT a rounding artefact and NOT an error in either - it is documented, not resolved. No ratio here is back-solved: every value is printed in the source.
CITATION TRAP - DO NOT 'SIMPLIFY' THE SOURCE URL. The FY2022 report is cited above at a Wayback snapshot. The live URL bearing the FY2022 filename (birminghambank.com/wp-content/uploads/Birmingham-Bank-Pillar-3-Disclosures-2022-final.pdf) returns HTTP 200 but now serves the FY2023 DOCUMENT - the Bank re-uploaded over it. Only the snapshot reaches the real FY2022 edition, verified on fetch by its own cover line 'For the year ended 31 December 2022'. Rewriting the citation to the live URL would silently repoint every figure above at the wrong year.</t>
        </is>
      </c>
    </row>
    <row r="7" ht="390"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
FY2025 (capital ratios and LCR only): Full accounts made up to 31 Dec 2025, Strategic Report KPI table p.4 and Capital Risk section p.8 - https://find-and-update.company-information.service.gov.uk/company/00555071/filing-history/MzU0NDA2NTQ1MWFkaXF6a2N4/document?format=pdf&amp;download=0</t>
        </is>
      </c>
    </row>
    <row r="9" ht="377" customHeight="1">
      <c r="A9" s="8" t="inlineStr">
        <is>
          <t>(continued)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t>
        </is>
      </c>
    </row>
    <row r="11" ht="190" customHeight="1">
      <c r="A11" s="8" t="inlineStr">
        <is>
          <t>(continued)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Birmingham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inlineStr">
        <is>
          <t>Not published – no FY2025 Pillar 3 (the footer's one Pillar 3 link still serves FY2024, re-fetched 2026-09-19; SDDT Ru 3.1 from 14/04/2026); FY2025 Annual Report (51pp, OCR-searched) gives no capital amount (ratio only)</t>
        </is>
      </c>
      <c r="C4" s="6" t="n">
        <v>35985</v>
      </c>
      <c r="D4" s="6" t="n">
        <v>18617</v>
      </c>
      <c r="E4" s="6" t="n">
        <v>6172</v>
      </c>
      <c r="F4" s="6" t="n">
        <v>8314</v>
      </c>
    </row>
    <row r="5" ht="325" customHeight="1">
      <c r="A5" s="7" t="inlineStr">
        <is>
          <t>Note: No Additional Tier 1 or Tier 2 capital in any year - equals CET1 Capital exactly. The Pillar 3 report's own Section 1.4 'Summary Analysis' headline FY2024 Tier 1 capital (GBP35,985k, shown here) differs from the same report's own Section 5.1 capital-resources table and Section 9 'Own Funds Disclosure' table (Total Equity GBP38,115k less regulatory deductions GBP2,008k = GBP36,107k) - both are the entity's own genuine disclosures in the same document, ~0.3% apart; the headline summary figure is used for consistency with how every other year/metric on this sheet is sourced (same class of internal document inconsistency as the RWA figures - see the Total RWAs sheet's own note). FY2023 has no such discrepancy - both of the report's tables agree at GBP18,617k.
FY2022 &amp; FY2021 ADDED/RESTATED 2026-09-15 from the recovered FY2022 Pillar 3 report, which prints both years side by side and which earlier builds did not have. This supersedes the previous position that 'no GBP CET1/Tier 1/Total Capital figure for FY2021 was found in any document'.
AMOUNTS (new cells): Total CET1 capital GBP6,172k (FY2022) and GBP8,314k (FY2021), from the 'regulatory capital resources' table, Section 5.1. Both foot exactly within that table - FY2022 Total Equity 6,206 less regulatory deductions 34 = 6,172; FY2021 Total Equity 8,363 less 49 = 8,314 - and FY2022 is independently repeated in the report's own Section 10 'Own Funds Disclosure' table (CET1 before regulatory adjustments 6,206, total regulatory adjustments (34), CET1 capital 6,172, Tier 1 capital 6,172, Total capital 6,172). The report states 'The Bank holds only tier 1 capital', so CET1 = Tier 1 = Total Capital for both years, consistent with every other year on these sheets.
CROSS-CHECK PASSED: the same Section 1.4 summary table gives Risk Weighted assets of 6,822 (FY2022) and 8,648 (FY2021), which reproduce this workbook's existing Total RWAs figures for both years exactly, and Liquidity coverage ratio 2,983% / 16,250%, which reproduce the existing LCR cells exactly. That is what confirms the document is the right entity, basis and years.
RATIOS RESTATED, AND THE SUPERSEDED VALUES ARE RECORDED HERE RATHER THAN DISCARDED: this workbook previously carried FY2022 91% and FY2021 97% (the latter disclosed as 96.69%), taken from the Strategic Report 'key financial performance indicators' table, which was the only source available before the Pillar 3 report was recovered. The Pillar 3 report gives 90% and 96% for the same two years - in its Section 1.4 summary ('Tier 1 Capital ratio') and, for FY2022, again in its Section 10 own-funds table, where CET1, Tier 1 and Total capital ratios are each printed as 90%. The Pillar 3 figures are now carried because they are internally consistent with the capital amounts and RWAs on these same sheets (6,172/6,822 = 90.5%; 8,314/8,648 = 96.1%), whereas retaining 91%/97% alongside those amounts would have left the sheets arithmetically self-contradictory. The ~0.5pp difference is a genuine source-basis difference between the two documents, NOT a rounding artefact and NOT an error in either - it is documented, not resolved. No ratio here is back-solved: every value is printed in the source.
CITATION TRAP - DO NOT 'SIMPLIFY' THE SOURCE URL. The FY2022 report is cited above at a Wayback snapshot. The live URL bearing the FY2022 filename (birminghambank.com/wp-content/uploads/Birmingham-Bank-Pillar-3-Disclosures-2022-final.pdf) returns HTTP 200 but now serves the FY2023 DOCUMENT - the Bank re-uploaded over it. Only the snapshot reaches the real FY2022 edition, verified on fetch by its own cover line 'For the year ended 31 December 2022'. Rewriting the citation to the live URL would silently repoint every figure above at the wrong year.</t>
        </is>
      </c>
    </row>
    <row r="7" ht="390"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
FY2025 (capital ratios and LCR only): Full accounts made up to 31 Dec 2025, Strategic Report KPI table p.4 and Capital Risk section p.8 - https://find-and-update.company-information.service.gov.uk/company/00555071/filing-history/MzU0NDA2NTQ1MWFkaXF6a2N4/document?format=pdf&amp;download=0</t>
        </is>
      </c>
    </row>
    <row r="9" ht="377" customHeight="1">
      <c r="A9" s="8" t="inlineStr">
        <is>
          <t>(continued)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t>
        </is>
      </c>
    </row>
    <row r="11" ht="190" customHeight="1">
      <c r="A11" s="8" t="inlineStr">
        <is>
          <t>(continued)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Birmingham Bank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 (= Capital Adequacy Ratio)</t>
        </is>
      </c>
      <c r="B4" s="6" t="inlineStr">
        <is>
          <t>30.43%</t>
        </is>
      </c>
      <c r="C4" s="6" t="inlineStr">
        <is>
          <t>76%</t>
        </is>
      </c>
      <c r="D4" s="6" t="inlineStr">
        <is>
          <t>365%</t>
        </is>
      </c>
      <c r="E4" s="6" t="inlineStr">
        <is>
          <t>90%</t>
        </is>
      </c>
      <c r="F4" s="6" t="inlineStr">
        <is>
          <t>96%</t>
        </is>
      </c>
    </row>
    <row r="5" ht="260" customHeight="1">
      <c r="A5" s="7" t="inlineStr">
        <is>
          <t>Note: FY2022 &amp; FY2021 ADDED/RESTATED 2026-09-15 from the recovered FY2022 Pillar 3 report, which prints both years side by side and which earlier builds did not have. This supersedes the previous position that 'no GBP CET1/Tier 1/Total Capital figure for FY2021 was found in any document'.
AMOUNTS (new cells): Total CET1 capital GBP6,172k (FY2022) and GBP8,314k (FY2021), from the 'regulatory capital resources' table, Section 5.1. Both foot exactly within that table - FY2022 Total Equity 6,206 less regulatory deductions 34 = 6,172; FY2021 Total Equity 8,363 less 49 = 8,314 - and FY2022 is independently repeated in the report's own Section 10 'Own Funds Disclosure' table (CET1 before regulatory adjustments 6,206, total regulatory adjustments (34), CET1 capital 6,172, Tier 1 capital 6,172, Total capital 6,172). The report states 'The Bank holds only tier 1 capital', so CET1 = Tier 1 = Total Capital for both years, consistent with every other year on these sheets.
CROSS-CHECK PASSED: the same Section 1.4 summary table gives Risk Weighted assets of 6,822 (FY2022) and 8,648 (FY2021), which reproduce this workbook's existing Total RWAs figures for both years exactly, and Liquidity coverage ratio 2,983% / 16,250%, which reproduce the existing LCR cells exactly. That is what confirms the document is the right entity, basis and years.
RATIOS RESTATED, AND THE SUPERSEDED VALUES ARE RECORDED HERE RATHER THAN DISCARDED: this workbook previously carried FY2022 91% and FY2021 97% (the latter disclosed as 96.69%), taken from the Strategic Report 'key financial performance indicators' table, which was the only source available before the Pillar 3 report was recovered. The Pillar 3 report gives 90% and 96% for the same two years - in its Section 1.4 summary ('Tier 1 Capital ratio') and, for FY2022, again in its Section 10 own-funds table, where CET1, Tier 1 and Total capital ratios are each printed as 90%. The Pillar 3 figures are now carried because they are internally consistent with the capital amounts and RWAs on these same sheets (6,172/6,822 = 90.5%; 8,314/8,648 = 96.1%), whereas retaining 91%/97% alongside those amounts would have left the sheets arithmetically self-contradictory. The ~0.5pp difference is a genuine source-basis difference between the two documents, NOT a rounding artefact and NOT an error in either - it is documented, not resolved. No ratio here is back-solved: every value is printed in the source.
CITATION TRAP - DO NOT 'SIMPLIFY' THE SOURCE URL. The FY2022 report is cited above at a Wayback snapshot. The live URL bearing the FY2022 filename (birminghambank.com/wp-content/uploads/Birmingham-Bank-Pillar-3-Disclosures-2022-final.pdf) returns HTTP 200 but now serves the FY2023 DOCUMENT - the Bank re-uploaded over it. Only the snapshot reaches the real FY2022 edition, verified on fetch by its own cover line 'For the year ended 31 December 2022'. Rewriting the citation to the live URL would silently repoint every figure above at the wrong year.</t>
        </is>
      </c>
    </row>
    <row r="7" ht="390"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
FY2025 (capital ratios and LCR only): Full accounts made up to 31 Dec 2025, Strategic Report KPI table p.4 and Capital Risk section p.8 - https://find-and-update.company-information.service.gov.uk/company/00555071/filing-history/MzU0NDA2NTQ1MWFkaXF6a2N4/document?format=pdf&amp;download=0</t>
        </is>
      </c>
    </row>
    <row r="9" ht="377" customHeight="1">
      <c r="A9" s="8" t="inlineStr">
        <is>
          <t>(continued)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t>
        </is>
      </c>
    </row>
    <row r="11" ht="190" customHeight="1">
      <c r="A11" s="8" t="inlineStr">
        <is>
          <t>(continued)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Birmingham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t>
        </is>
      </c>
      <c r="B4" s="6" t="inlineStr">
        <is>
          <t>Not published – no FY2025 Pillar 3 (the footer's one Pillar 3 link still serves FY2024, re-fetched 2026-09-19; SDDT Ru 3.1 from 14/04/2026); FY2025 Annual Report (51pp, OCR-searched) gives no risk-weighted assets</t>
        </is>
      </c>
      <c r="C4" s="6" t="n">
        <v>47333</v>
      </c>
      <c r="D4" s="6" t="n">
        <v>5229</v>
      </c>
      <c r="E4" s="6" t="n">
        <v>6822</v>
      </c>
      <c r="F4" s="6" t="n">
        <v>8648</v>
      </c>
    </row>
    <row r="5" ht="78" customHeight="1">
      <c r="A5" s="7" t="inlineStr">
        <is>
          <t>Note: FY2023 RWA shown here (GBP5,229k) is the figure the FY2024 Pillar 3 report carries as its FY2023 comparative in Section 1.4 'Summary Analysis'. The FY2023 Pillar 3 report's OWN Section 1.4 states GBP5,101k for that year, and its Section 5 detail table agrees exactly (credit risk GBP4,056k + operational risk GBP1,045k = GBP5,101k). So the ~2.5% difference is a RESTATEMENT between two documents, not an internal inconsistency within one: GBP5,229k is the later, restated view. The restated figure is retained here for consistency with how FY2024 is sourced (both from the FY2024 report), while the RWA Breakdown sheet's FY2023 column ticks to GBP5,101k because its category rows are the as-originally-disclosed ones. Corrected 2026-09-15: this note previously described both figures as coming from the same report's Section 1.4 and Section 5, which is not what the documents say. FY2022 and FY2021 are unaffected - for those years the summary and detail tables agree exactly (6,822 and 8,648 respectively).</t>
        </is>
      </c>
    </row>
    <row r="7" ht="390"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
FY2025 (capital ratios and LCR only): Full accounts made up to 31 Dec 2025, Strategic Report KPI table p.4 and Capital Risk section p.8 - https://find-and-update.company-information.service.gov.uk/company/00555071/filing-history/MzU0NDA2NTQ1MWFkaXF6a2N4/document?format=pdf&amp;download=0</t>
        </is>
      </c>
    </row>
    <row r="9" ht="377" customHeight="1">
      <c r="A9" s="8" t="inlineStr">
        <is>
          <t>(continued)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t>
        </is>
      </c>
    </row>
    <row r="11" ht="190" customHeight="1">
      <c r="A11" s="8" t="inlineStr">
        <is>
          <t>(continued)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Birmingham Bank Limited — RWA Breakdown</t>
        </is>
      </c>
    </row>
    <row r="2">
      <c r="A2" s="2" t="inlineStr">
        <is>
          <t>Bank-solo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6" t="inlineStr">
        <is>
          <t>Credit risk</t>
        </is>
      </c>
      <c r="B4" s="6" t="inlineStr">
        <is>
          <t>Not published – no FY2025 Pillar 3 (the footer's one Pillar 3 link still serves FY2024, re-fetched 2026-09-19; SDDT Ru 3.1 from 14/04/2026); FY2025 Annual Report (51pp, OCR-searched) gives no RWA figure</t>
        </is>
      </c>
      <c r="C4" s="6" t="n">
        <v>46037</v>
      </c>
      <c r="D4" s="6" t="n">
        <v>4056</v>
      </c>
      <c r="E4" s="6" t="n">
        <v>5797</v>
      </c>
      <c r="F4" s="6" t="n">
        <v>7133</v>
      </c>
    </row>
    <row r="5">
      <c r="A5" s="6" t="inlineStr">
        <is>
          <t>Operational risk</t>
        </is>
      </c>
      <c r="B5" s="6" t="inlineStr">
        <is>
          <t>Not published – no FY2025 Pillar 3 (the footer's one Pillar 3 link still serves FY2024, re-fetched 2026-09-19; SDDT Ru 3.1 from 14/04/2026); FY2025 Annual Report (51pp, OCR-searched) gives no RWA figure</t>
        </is>
      </c>
      <c r="C5" s="6" t="n">
        <v>1296</v>
      </c>
      <c r="D5" s="6" t="n">
        <v>1045</v>
      </c>
      <c r="E5" s="6" t="n">
        <v>1025</v>
      </c>
      <c r="F5" s="6" t="n">
        <v>1515</v>
      </c>
    </row>
    <row r="6">
      <c r="A6" s="5" t="inlineStr">
        <is>
          <t>Total RWAs (Pillar 1)</t>
        </is>
      </c>
      <c r="B6" s="5" t="inlineStr">
        <is>
          <t>Not published – no FY2025 Pillar 3 (the footer's one Pillar 3 link still serves FY2024, re-fetched 2026-09-19; SDDT Ru 3.1 from 14/04/2026); FY2025 Annual Report (51pp, OCR-searched) gives no RWA figure</t>
        </is>
      </c>
      <c r="C6" s="5" t="n">
        <v>47333</v>
      </c>
      <c r="D6" s="5" t="n">
        <v>5101</v>
      </c>
      <c r="E6" s="5" t="n">
        <v>6822</v>
      </c>
      <c r="F6" s="5" t="n">
        <v>8648</v>
      </c>
    </row>
    <row r="8" ht="377" customHeight="1">
      <c r="A8"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t>
        </is>
      </c>
    </row>
    <row r="10" ht="299" customHeight="1">
      <c r="A10" s="8" t="inlineStr">
        <is>
          <t>(continued)
FY2025 (capital ratios and LCR only): Full accounts made up to 31 Dec 2025, Strategic Report KPI table p.4 and Capital Risk section p.8 - https://find-and-update.company-information.service.gov.uk/company/00555071/filing-history/MzU0NDA2NTQ1MWFkaXF6a2N4/document?format=pdf&amp;download=0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t>
        </is>
      </c>
    </row>
    <row r="12" ht="390" customHeight="1">
      <c r="A12" s="8" t="inlineStr">
        <is>
          <t>(continued)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
The Bank has no exposure to market risk under Pillar 1 (per the Pillar 3 report's own statement) - credit risk and operational risk are the only two categories.
FY2022 &amp; FY2021 ADDED 2026-09-15, correcting a prior claim. This sheet previously stated that 'no Pillar 3 document covers those years'. That was wrong: a Wayback CDX sweep of birminghambank.com recovered 'Birmingham-Bank-Pillar-3-Disclosures-2022-final.pdf', a genuine text-layer Pillar 3 report headed 'For the year ended 31 December 2022', whose Section 5.2 RWA detail table gives both FY2022 and its FY2021 comparative:
  FY2022 - total credit risk exposure 5,797 + operational risk 1,025 = 6,822
  FY2021 - total credit risk exposure 7,133 + operational risk 1,515 = 8,648
Both tie exactly to that same document's Section 1.4 'Summary Analysis' headline Risk Weighted assets row (6,822 and 8,648). Source: https://web.archive.org/web/20240224223816id_/https://www.birminghambank.com/wp-content/uploads/Birmingham-Bank-Pillar-3-Disclosures-2022-final.pdf</t>
        </is>
      </c>
    </row>
    <row r="14" ht="208" customHeight="1">
      <c r="A14" s="8" t="inlineStr">
        <is>
          <t>(continued)
FY2022 is further corroborated INDEPENDENTLY by the FY2023 Pillar 3 report, whose own comparative column reproduces 5,797 + 1,025 = 6,822 exactly. A third consistency check: this document's Section 1.4 liquidity coverage ratios (FY2022 2,983%, FY2021 16,250%) reproduce the LCR figures already carried on this workbook's LCR sheet for those years, confirming the same entity and basis.
CITATION TRAP - do not 'simplify' the FY2022 URL to the live one. The bank has re-uploaded its FY2023 report OVER that filename, so the live https://www.birminghambank.com/wp-content/uploads/Birmingham-Bank-Pillar-3-Disclosures-2022-final.pdf returns HTTP 200 but serves the year-ended-31-December-2023 document. The Wayback snapshot above is the only reliable route to the real FY2022 edition. (Verified 2026-09-15: the live file's first page reads 'For the year ended 31 December 2023'.)
Also recovered but NOT used: a 'Birmingham-Bank-Pillar-3.pdf' for the year ended 31 December 2020, archived 2021-08-05. FY2020 is outside this workbook's YEARS range, so it is recorded here only as a known-existing document should the range ever be extended.
FY2025 IS MARKED 'Not publicly disclosed' ON ALL THREE ROWS, NOT LEFT BLANK. There is no FY2025 Pillar 3 report (see the dated three-route check in the sources above), and the FY2025 Annual Report prints no RWA figure of any kind: 'risk weighted' and 'risk-weighted' return zero hits across its 51 pages, and the 11 apparent hits on the bare string 'RWA' are all the letter sequence inside 'forward' and 'straightforward'. So there is no FY2025 total to break down and no categories to break it into.</t>
        </is>
      </c>
    </row>
  </sheetData>
  <mergeCells count="4">
    <mergeCell ref="A8:F8"/>
    <mergeCell ref="A14:F14"/>
    <mergeCell ref="A10:F10"/>
    <mergeCell ref="A12:F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Birmingham 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Not published – no FY2025 Pillar 3 (the footer's one Pillar 3 link still serves FY2024, re-fetched 2026-09-19; SDDT Ru 3.1 from 14/04/2026); FY2025 Annual Report (51pp, OCR-searched) gives no leverage ratio</t>
        </is>
      </c>
      <c r="C4" s="6" t="inlineStr">
        <is>
          <t>24%</t>
        </is>
      </c>
      <c r="D4" s="6" t="inlineStr">
        <is>
          <t>63%</t>
        </is>
      </c>
      <c r="E4" s="6" t="inlineStr">
        <is>
          <t>36%</t>
        </is>
      </c>
      <c r="F4" s="6" t="inlineStr">
        <is>
          <t>37%</t>
        </is>
      </c>
    </row>
    <row r="5" ht="325" customHeight="1">
      <c r="A5" s="7" t="inlineStr">
        <is>
          <t>Note: LEVERAGE BASIS: NO BASIS IS STATED, AND NO LEVERAGE TABLE IS PUBLISHED IN ANY EDITION (GA-026, 2026-10-09). The ratio above is a single line in the Bank's 'Summary Analysis' key-ratios table ('Leverage ratio   24%   63%'), with NO exposure measure printed anywhere alongside it, so there is nothing in the document from which a basis could be read. No UK LR2 / LRCom table and no rows 24, UK-24a, UK-24b or UK-25c appear in any edition. The Bank's narrative section defines the measure with no carve-out - 'This ratio shows Tier 1 capital as a proportion of on and off-balance sheet assets' - and states the exemption: 'The current regulations do not apply the minimum requirement to smaller banks and so the Bank is exempt, however the Bank's leverage ratio as 31 December 2024 of 24% is well above the minimum requirement of 3%.' Note that the Bank cites 3%, the pre-2022 figure, rather than the 3.25% that applies inside the leverage regime - consistent with its being outside that regime. The ratio is recorded exactly as published, unqualified; NO BASIS IS ASSERTED THAT THE BANK DID NOT PRINT.
THIS BANK'S TEXT LAYER IS DAMAGED AND THE FIGURES WERE TAKEN FROM THE RENDERED PAGE. The FY2024 edition's embedded text drops the 'ti' ligature throughout, so 'ratio' extracts as 'ra o', 'tier 1' as 'er 1' and 'regulations' as 'regula ons'. Any search of that text layer for 'Leverage ratio' returns nothing, which would read exactly like a bank that publishes no leverage ratio. The key-ratios table on p.5 was rendered and read at 300 dpi instead.
FILENAME WARNING, RECORDED BECAUSE IT HAS ALREADY MISLED ONCE: the file published as 'Birmingham-Bank-Pillar-3-Disclosures-2022-final.pdf' is the FY2023 edition - its own text says it is 'based upon the Bank's Annual Report and Accounts for the year ended 31 December 2023' and its columns are 31 December 2023 and 31 December 2022. The filename year is wrong, not the content.
FY2022 &amp; FY2021 ADDED/RESTATED 2026-09-15 from the recovered FY2022 Pillar 3 report, which prints both years side by side and which earlier builds did not have. This supersedes the previous position that 'no GBP CET1/Tier 1/Total Capital figure for FY2021 was found in any document'.
AMOUNTS (new cells): Total CET1 capital GBP6,172k (FY2022) and GBP8,314k (FY2021), from the 'regulatory capital resources' table, Section 5.1. Both foot exactly within that table - FY2022 Total Equity 6,206 less regulatory deductions 34 = 6,172; FY2021 Total Equity 8,363 less 49 = 8,314 - and FY2022 is independently repeated in the report's own Section 10 'Own Funds Disclosure' table (CET1 before regulatory adjustments 6,206, total regulatory adjustments (34), CET1 capital 6,172, Tier 1 capital 6,172, Total capital 6,172). The report states 'The Bank holds only tier 1 capital', so CET1 = Tier 1 = Total Capital for both years, consistent with every other year on these sheets.
CROSS-CHECK PASSED: the same Section 1.4 summary table gives Risk Weighted assets of 6,822 (FY2022) and 8,648 (FY2021), which reproduce this workbook's existing Total RWAs figures for both years exactly, and Liquidity coverage ratio 2,983% / 16,250%, which reproduce the existing LCR cells exactly. That is what confirms the document is the right entity, basis and years.</t>
        </is>
      </c>
    </row>
    <row r="6" ht="156" customHeight="1">
      <c r="A6" s="7" t="inlineStr">
        <is>
          <t>(continued)
RATIOS RESTATED, AND THE SUPERSEDED VALUES ARE RECORDED HERE RATHER THAN DISCARDED: this workbook previously carried FY2022 91% and FY2021 97% (the latter disclosed as 96.69%), taken from the Strategic Report 'key financial performance indicators' table, which was the only source available before the Pillar 3 report was recovered. The Pillar 3 report gives 90% and 96% for the same two years - in its Section 1.4 summary ('Tier 1 Capital ratio') and, for FY2022, again in its Section 10 own-funds table, where CET1, Tier 1 and Total capital ratios are each printed as 90%. The Pillar 3 figures are now carried because they are internally consistent with the capital amounts and RWAs on these same sheets (6,172/6,822 = 90.5%; 8,314/8,648 = 96.1%), whereas retaining 91%/97% alongside those amounts would have left the sheets arithmetically self-contradictory. The ~0.5pp difference is a genuine source-basis difference between the two documents, NOT a rounding artefact and NOT an error in either - it is documented, not resolved. No ratio here is back-solved: every value is printed in the source.
CITATION TRAP - DO NOT 'SIMPLIFY' THE SOURCE URL. The FY2022 report is cited above at a Wayback snapshot. The live URL bearing the FY2022 filename (birminghambank.com/wp-content/uploads/Birmingham-Bank-Pillar-3-Disclosures-2022-final.pdf) returns HTTP 200 but now serves the FY2023 DOCUMENT - the Bank re-uploaded over it. Only the snapshot reaches the real FY2022 edition, verified on fetch by its own cover line 'For the year ended 31 December 2022'. Rewriting the citation to the live URL would silently repoint every figure above at the wrong year.</t>
        </is>
      </c>
    </row>
    <row r="8" ht="390" customHeight="1">
      <c r="A8"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
FY2025 (capital ratios and LCR only): Full accounts made up to 31 Dec 2025, Strategic Report KPI table p.4 and Capital Risk section p.8 - https://find-and-update.company-information.service.gov.uk/company/00555071/filing-history/MzU0NDA2NTQ1MWFkaXF6a2N4/document?format=pdf&amp;download=0</t>
        </is>
      </c>
    </row>
    <row r="10" ht="377" customHeight="1">
      <c r="A10" s="8" t="inlineStr">
        <is>
          <t>(continued)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t>
        </is>
      </c>
    </row>
    <row r="12" ht="190" customHeight="1">
      <c r="A12" s="8" t="inlineStr">
        <is>
          <t>(continued)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5">
    <mergeCell ref="A10:F10"/>
    <mergeCell ref="A5:F5"/>
    <mergeCell ref="A8:F8"/>
    <mergeCell ref="A6:F6"/>
    <mergeCell ref="A12:F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Birmingham 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460%</t>
        </is>
      </c>
      <c r="C4" s="6" t="inlineStr">
        <is>
          <t>725%</t>
        </is>
      </c>
      <c r="D4" s="6" t="inlineStr">
        <is>
          <t>11,351%</t>
        </is>
      </c>
      <c r="E4" s="6" t="inlineStr">
        <is>
          <t>2,983%</t>
        </is>
      </c>
      <c r="F4" s="6" t="inlineStr">
        <is>
          <t>16,250%</t>
        </is>
      </c>
    </row>
    <row r="5" ht="30" customHeight="1">
      <c r="A5" s="7" t="inlineStr">
        <is>
          <t>Note: FY2022/FY2023 figures (2,983% / 11,351%) are genuinely this large - a small, low-loan-volume bank holding a large liquidity buffer relative to its (paused) lending book during its 2023 infrastructure-build year. Not a transcription error - see ENTITY_NOTE on the Cash Flow sheet.</t>
        </is>
      </c>
    </row>
    <row r="7" ht="390"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
FY2025 (capital ratios and LCR only): Full accounts made up to 31 Dec 2025, Strategic Report KPI table p.4 and Capital Risk section p.8 - https://find-and-update.company-information.service.gov.uk/company/00555071/filing-history/MzU0NDA2NTQ1MWFkaXF6a2N4/document?format=pdf&amp;download=0</t>
        </is>
      </c>
    </row>
    <row r="9" ht="377" customHeight="1">
      <c r="A9" s="8" t="inlineStr">
        <is>
          <t>(continued)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t>
        </is>
      </c>
    </row>
    <row r="11" ht="190" customHeight="1">
      <c r="A11" s="8" t="inlineStr">
        <is>
          <t>(continued)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Birmingham Bank Limited — NSFR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NSFR</t>
        </is>
      </c>
      <c r="B4" s="6" t="inlineStr">
        <is>
          <t>Not published – NSFR absent from every Birmingham Pillar 3 (FY2022, FY2023, FY2024 editions, text-searched 2026-09-19: 0 hits) and from the FY2025 Annual Report</t>
        </is>
      </c>
      <c r="C4" s="6" t="inlineStr">
        <is>
          <t>Not published – NSFR absent from every Birmingham Pillar 3 (FY2022, FY2023, FY2024 editions, text-searched 2026-09-19: 0 hits) and from the FY2025 Annual Report</t>
        </is>
      </c>
      <c r="D4" s="6" t="inlineStr">
        <is>
          <t>Not published – NSFR absent from every Birmingham Pillar 3 (FY2022, FY2023, FY2024 editions, text-searched 2026-09-19: 0 hits) and from the FY2025 Annual Report</t>
        </is>
      </c>
      <c r="E4" s="6" t="inlineStr">
        <is>
          <t>Not published – NSFR absent from every Birmingham Pillar 3 (FY2022, FY2023, FY2024 editions, text-searched 2026-09-19: 0 hits) and from the FY2025 Annual Report</t>
        </is>
      </c>
      <c r="F4" s="6" t="inlineStr">
        <is>
          <t>Not published – NSFR absent from every Birmingham Pillar 3 (FY2022, FY2023, FY2024 editions, text-searched 2026-09-19: 0 hits) and from the FY2025 Annual Report</t>
        </is>
      </c>
    </row>
    <row r="5" ht="39" customHeight="1">
      <c r="A5" s="7" t="inlineStr">
        <is>
          <t>Note: Not found in any Annual Report or in any of the three Pillar 3 documents published. Re-tested on the FY2025 Annual Report, 2026-09-18: 'NSFR' and 'net stable' each return zero hits across its 51 pages, in a document returning 'liquidity coverage' twice and 'cash flow' 23 times - so the term is absent from the document, not from the extraction.</t>
        </is>
      </c>
    </row>
    <row r="7" ht="377"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t>
        </is>
      </c>
    </row>
    <row r="9" ht="299" customHeight="1">
      <c r="A9" s="8" t="inlineStr">
        <is>
          <t>(continued)
FY2025 (capital ratios and LCR only): Full accounts made up to 31 Dec 2025, Strategic Report KPI table p.4 and Capital Risk section p.8 - https://find-and-update.company-information.service.gov.uk/company/00555071/filing-history/MzU0NDA2NTQ1MWFkaXF6a2N4/document?format=pdf&amp;download=0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t>
        </is>
      </c>
    </row>
    <row r="11" ht="260" customHeight="1">
      <c r="A11" s="8" t="inlineStr">
        <is>
          <t>(continued)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Birmingham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MREL absent from every Birmingham Pillar 3 (FY2022, FY2023, FY2024 editions, text-searched 2026-09-19: 0 hits) and from the FY2025 Annual Report</t>
        </is>
      </c>
      <c r="C4" s="6" t="inlineStr">
        <is>
          <t>Not published – MREL absent from every Birmingham Pillar 3 (FY2022, FY2023, FY2024 editions, text-searched 2026-09-19: 0 hits) and from the FY2025 Annual Report</t>
        </is>
      </c>
      <c r="D4" s="6" t="inlineStr">
        <is>
          <t>Not published – MREL absent from every Birmingham Pillar 3 (FY2022, FY2023, FY2024 editions, text-searched 2026-09-19: 0 hits) and from the FY2025 Annual Report</t>
        </is>
      </c>
      <c r="E4" s="6" t="inlineStr">
        <is>
          <t>Not published – MREL absent from every Birmingham Pillar 3 (FY2022, FY2023, FY2024 editions, text-searched 2026-09-19: 0 hits) and from the FY2025 Annual Report</t>
        </is>
      </c>
      <c r="F4" s="6" t="inlineStr">
        <is>
          <t>Not published – MREL absent from every Birmingham Pillar 3 (FY2022, FY2023, FY2024 editions, text-searched 2026-09-19: 0 hits) and from the FY2025 Annual Report</t>
        </is>
      </c>
    </row>
    <row r="5" ht="30" customHeight="1">
      <c r="A5" s="7" t="inlineStr">
        <is>
          <t>Note: Not found - the Bank is small enough to plausibly sit below the BoE's MREL threshold, but no explicit statement to that effect was found either. Re-tested on the FY2025 Annual Report, 2026-09-18: 'MREL' returns zero hits across its 51 pages, with the same richness control as the NSFR sheet.</t>
        </is>
      </c>
    </row>
    <row r="7" ht="377" customHeight="1">
      <c r="A7" s="8" t="inlineStr">
        <is>
          <t>Sources - Birmingham Bank Limited Pillar 3 disclosures (Bank-solo basis):
FY2025 - THERE IS NO FY2025 PILLAR 3 REPORT, AND THE FY2025 FIGURES ON THESE SHEETS COME FROM THE ANNUAL REPORT INSTEAD. Checked 18 Sep 2026 against the Bank's OWN site, three ways:
  (a) The Bank's public footer - which appears on every page of birminghambank.com and is its only index of regulatory documents - carries exactly ONE 'Pillar 3' link, and it still resolves to the FY2024 report at the URL cited above. That URL was fetched on 18 Sep 2026 and verified live (HTTP 200, Content-Type application/pdf, %PDF magic bytes, 1,049,830 bytes) and its cover page still reads 'Pillar 3 Disclosures / For the year ended 31 December 2024' - i.e. the Bank has NOT overwritten it with a FY2025 edition, which matters because overwriting a Pillar 3 file in place is precisely what this Bank did in 2024 (see the citation trap below).
  (b) RICHNESS CONTROL ON THAT INDEX: the same footer links documents version-stamped 14-07-2026 (cookie policy v2.2, website terms v2.4, tax strategy v2.2) and a third-party privacy policy dated July 2026. The page is therefore being maintained two months before this check, so 'one Pillar 3 link' is a fact about the Bank's publishing, not a stale page. (The site's own HubSpot search API indexes pages and blog posts only, not files, so it cannot answer this question either way - noted so that a later session does not mistake its empty result for evidence.)
  (c) A Wayback CDX sweep of the whole birminghambank.com domain returns five Pillar 3 captures and no more: FY2020, FY2022, FY2023 (twice, under two paths) and FY2024. Direct probes of 29 plausible FY2025 filenames under the current hubfs folder, a 2026-themed folder and the legacy WordPress uploads path all returned HTTP 404 - with the known-good FY2024 URL run through the SAME probe as a reach control, returning 200/application/pdf/%PDF. That control proves the probe reaches the host; it does NOT prove the guessed names are what a FY2025 file would be called, so (c) is corroboration for (a) and (b) and is not load-bearing on its own.
WHY NO FY2025 EDITION IS EXPECTED, AND WHY THAT IS NOT THE EVIDENCE. Birmingham Bank's SDDT Rule 3.1 modification by consent - the opt-in that removes the Pillar 3 disclosure duty - took effect 14 APRIL 2026 (see the full register note below). The FY2024 report was published 'as at 14/04/25', so a FY2025 report would have been due around April 2026, the same month the duty fell away. A waiver removing a DUTY to disclose is not evidence that a bank DID NOT disclose, so the finding above rests on (a) and (b) - the Bank's own live index - and the waiver only explains it. Forward-looking: no FY2025 or FY2026 Pillar 3 should be expected, and a future session should not spend a session looking for one.
WHAT THE FY2025 ANNUAL REPORT DOES AND DOES NOT GIVE. It gives the Capital Adequacy Ratio (30.43%, 2024: 76.03%) twice - in the Strategic Report's KPI table, p.4, and again in the Capital Risk section, p.8 - and the Liquidity Coverage Ratio (460%, 2024: 725%) in the same KPI table. It states 'The Bank only has Common Equity Tier 1', so CET1 Ratio = Tier 1 Ratio = Total Capital Ratio = 30.43% for FY2025, as in every earlier year. It gives NO capital amount, NO risk-weighted assets, NO leverage ratio, NO NSFR and NO MREL figure, and those cells are marked 'Not publicly disclosed' for FY2025 rather than left blank. RICHNESS CONTROL on that negative (OCR text of all 51 pages, 2026-09-18): 'risk weighted', 'risk-weighted', 'CET1', 'own funds', 'leverage', 'net stable', 'NSFR' and 'MREL' each return ZERO hits, in a document where 'capital adequacy' returns 5, 'liquidity coverage' 2 and 'cash flow' 23. A bare search for 'RWA' returns 11 hits and every one of them is the letter sequence inside 'forward' or 'straightforward' - recorded because that is exactly the sort of false positive that would otherwise look like a disclosure.
FY2024's 76% (this workbook, from the Pillar 3) against the FY2025 Annual Report's 76.03% for the same date is the Bank's own rounding in its own two documents, not a restatement; FY2024 keeps its own edition's figure, as every year on these sheets does.</t>
        </is>
      </c>
    </row>
    <row r="9" ht="299" customHeight="1">
      <c r="A9" s="8" t="inlineStr">
        <is>
          <t>(continued)
FY2025 (capital ratios and LCR only): Full accounts made up to 31 Dec 2025, Strategic Report KPI table p.4 and Capital Risk section p.8 - https://find-and-update.company-information.service.gov.uk/company/00555071/filing-history/MzU0NDA2NTQ1MWFkaXF6a2N4/document?format=pdf&amp;download=0
FY2024 &amp; FY2023: Pillar 3 Disclosures Report as at 14 Apr 2025 (covers year ended 31 Dec 2024, FY2023 comparative), Section 1.4 'Summary Analysis' (headline figures) and Section 5 (RWA/Pillar 1 detail table) - https://www.birminghambank.com/hubfs/Birmingham%20Bank%202024%20Theme/PDFs/09i-Pillar-3-Disclosures-Report-as-at-140425.pdf
FY2022 &amp; FY2021 (capital amounts, capital ratios, leverage ratio): Pillar 3 Disclosures 'For the year ended 31 December 2022', Section 1.4 summary table (Tier 1 capital, Risk Weighted assets, Tier 1 Capital ratio, Leverage ratio, Liquidity coverage ratio - both years side by side), Section 5.1 'regulatory capital resources' table (CET1 build-up, both years) and Section 10 'Own Funds Disclosure' table (FY2022) - https://web.archive.org/web/20240224223816id_/https://www.birminghambank.com/wp-content/uploads/Birmingham-Bank-Pillar-3-Disclosures-2022-final.pdf
ADDED 2026-09-15. This document was recovered via a Wayback CDX sweep and supersedes the previous statement that 'the bank's only Pillar 3 document covers FY2023-FY2024 only' - a second, earlier Pillar 3 report does exist and covers FY2022 with a full FY2021 comparative. MUST be cited at the Wayback snapshot above: the live URL bearing this filename now serves the FY2023 document (the Bank re-uploaded over it), so the bare URL would silently point at the wrong year. See the capital sheets' own CAPITAL_2022_NOTE for the full citation-trap warning and the ratio restatement.
FY2022 &amp; FY2021 (superseded ratio source, retained for the record): the Strategic Report 'key financial performance indicators' tables - Full accounts made up to 31 Dec 2023 (filed 20 Mar 2024) p.4 for FY2022 (https://find-and-update.company-information.service.gov.uk/company/00555071/filing-history/MzQxNDU2Njk3NGFkaXF6a2N4/document?format=pdf&amp;download=0), and Amended full accounts made up to 31 Dec 2022 (filed 25 Oct 2023) p.5 for FY2021 (https://find-and-update.company-information.service.gov.uk/company/00555071/filing-history/MzM5NzY1NjE1N2FkaXF6a2N4/document?format=pdf&amp;download=0, disclosing 96.69%). These were the only source for these years before the FY2022 Pillar 3 report was recovered, and gave 91% (FY2022) and 97% (FY2021). The Pillar 3 report gives 90% and 96% on the same dates; its figures are now carried because they are internally consistent with the capital amounts and RWAs this workbook holds. The difference is a genuine source-basis difference between two of the Bank's own documents - documented, not resolved. The LCR cells (2,983% / 16,250%) are unaffected: both sources agree exactly.
The Bank has no Additional Tier 1 or Tier 2 capital in any year (per the Pillar 3 report's own statement), so CET1 Capital = Tier 1 Capital = Total Capital, and CET1 Ratio = Tier 1 Ratio = Total Capital Ratio, throughout.</t>
        </is>
      </c>
    </row>
    <row r="11" ht="260" customHeight="1">
      <c r="A11" s="8" t="inlineStr">
        <is>
          <t>(continued)
SDDT - EXPLICIT NEGATIVE, recorded 2026-09-15 (cross-bank SDDT date-fit pass) so that a future pass does not wrongly apply the Small Domestic Deposit Taker exemption to this workbook's gap years. Birmingham Bank DOES hold the SDDT opt-in, but it is far too recent to explain anything here. The Bank of England consolidated list of waivers and modifications granted to PRA-authorised firms (downloaded 2026-09-15, https://www.bankofengland.co.uk/-/media/boe/files/prudential-regulation/authorisations/waivers-and-modifications-of-rules/consolidated-waivers-pra-firms.csv) carries two SDDT rows for FRN 204478, 'BIRMINGHAM BANK LIMITED': (a) 'Modification by Consent - PRA Rulebook - CRR Firms - Rule 3.1 of the SDDT Regime - General Application Part', sub rule 'Ru 3.1', waiver ref 'A00012036P.pdf', START DATE 14/04/2026, no end date; and (b) a modification of the criterion in rule 2.1(9) ('any parent undertaking of the firm is a UK undertaking'), sub rule 'Ru 2.1(9)', ref 'A0011828P.pdf', start 16/03/2026, end 16/03/2029. Only row (a) is evidence of a disclosure exemption. Row (b) modifies an ELIGIBILITY CRITERION only - it is what let the Bank qualify despite its overseas ownership - and a firm holding only such a row is not a confirmed SDDT at all.
DATE FIT - IT DOES NOT FIT. The Bank's accounting reference date is 31 DECEMBER, confirmed at Companies House (company 00555071, accounts filed to 31 December for 2019 through 2025). The outstanding gap years are FY2021 and FY2022, which ended 31 December 2021 and 31 December 2022. The Rule 3.1 modification began 14 APRIL 2026 - more than three years after the later of those two year-ends. A modification cannot explain a gap that predates it, so the SDDT regime explains NEITHER the FY2021 nor the FY2022 blanks.
Those gaps keep an entirely separate explanation, though it is now much narrower than when this note was written: the FY2022 Pillar 3 report recovered on 2026-09-15 supplies capital amounts, capital ratios and the leverage ratio for BOTH FY2022 and FY2021, so those years are no longer Strategic-Report-only and are no longer materially blank. What remains genuinely unavailable for them is an RWA category breakdown reconciled to the restated basis, and NSFR. Either way this is a narrower-source gap, not a regulatory exemption. The register finding changes no cell in this workbook. Forward-looking only: from 14 April 2026 the Bank is an SDDT, so no further Pillar 3 document should be expected for FY2026 onward. This is the SDDT DISCLOSURE exemption, in force now - not the separate SDDT CAPITAL regime beginning 1 January 2027.</t>
        </is>
      </c>
    </row>
  </sheetData>
  <mergeCells count="4">
    <mergeCell ref="A11:F11"/>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2026-10-26T09:35:57Z</dcterms:created>
  <dcterms:modified xmlns:dcterms="http://purl.org/dc/terms/" xmlns:xsi="http://www.w3.org/2001/XMLSchema-instance" xsi:type="dcterms:W3CDTF">2026-10-26T09:35:57Z</dcterms:modified>
</cp:coreProperties>
</file>