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46B2D"/>
        <bgColor rgb="00946B2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Birmingham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Birmingham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'Overview'!Q12</f>
            </strRef>
          </tx>
          <spPr>
            <a:ln xmlns:a="http://schemas.openxmlformats.org/drawingml/2006/main">
              <a:prstDash val="solid"/>
            </a:ln>
          </spPr>
          <cat>
            <numRef>
              <f>'Overview'!$R$11:$V$11</f>
            </numRef>
          </cat>
          <val>
            <numRef>
              <f>'Overview'!$R$12:$V$12</f>
            </numRef>
          </val>
        </ser>
        <ser>
          <idx val="1"/>
          <order val="1"/>
          <tx>
            <strRef>
              <f>'Overview'!Q13</f>
            </strRef>
          </tx>
          <spPr>
            <a:ln xmlns:a="http://schemas.openxmlformats.org/drawingml/2006/main">
              <a:prstDash val="solid"/>
            </a:ln>
          </spPr>
          <cat>
            <numRef>
              <f>'Overview'!$R$11:$V$11</f>
            </numRef>
          </cat>
          <val>
            <numRef>
              <f>'Overview'!$R$13:$V$13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Birmingham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'Overview'!Y17</f>
            </strRef>
          </tx>
          <spPr>
            <a:ln xmlns:a="http://schemas.openxmlformats.org/drawingml/2006/main">
              <a:prstDash val="solid"/>
            </a:ln>
          </spPr>
          <cat>
            <numRef>
              <f>'Overview'!$Z$16:$AD$16</f>
            </numRef>
          </cat>
          <val>
            <numRef>
              <f>'Overview'!$Z$17:$AD$17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Birmingham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'Overview'!AG21</f>
            </strRef>
          </tx>
          <spPr>
            <a:ln xmlns:a="http://schemas.openxmlformats.org/drawingml/2006/main">
              <a:prstDash val="solid"/>
            </a:ln>
          </spPr>
          <cat>
            <numRef>
              <f>'Overview'!$AH$20:$AL$20</f>
            </numRef>
          </cat>
          <val>
            <numRef>
              <f>'Overview'!$AH$21:$AL$21</f>
            </numRef>
          </val>
        </ser>
        <ser>
          <idx val="1"/>
          <order val="1"/>
          <tx>
            <strRef>
              <f>'Overview'!AG22</f>
            </strRef>
          </tx>
          <spPr>
            <a:ln xmlns:a="http://schemas.openxmlformats.org/drawingml/2006/main">
              <a:prstDash val="solid"/>
            </a:ln>
          </spPr>
          <cat>
            <numRef>
              <f>'Overview'!$AH$20:$AL$20</f>
            </numRef>
          </cat>
          <val>
            <numRef>
              <f>'Overview'!$AH$22:$AL$22</f>
            </numRef>
          </val>
        </ser>
        <ser>
          <idx val="2"/>
          <order val="2"/>
          <tx>
            <strRef>
              <f>'Overview'!AG23</f>
            </strRef>
          </tx>
          <spPr>
            <a:ln xmlns:a="http://schemas.openxmlformats.org/drawingml/2006/main">
              <a:prstDash val="solid"/>
            </a:ln>
          </spPr>
          <cat>
            <numRef>
              <f>'Overview'!$AH$20:$AL$20</f>
            </numRef>
          </cat>
          <val>
            <numRef>
              <f>'Overview'!$AH$23:$AL$23</f>
            </numRef>
          </val>
        </ser>
        <ser>
          <idx val="3"/>
          <order val="3"/>
          <tx>
            <strRef>
              <f>'Overview'!AG24</f>
            </strRef>
          </tx>
          <spPr>
            <a:ln xmlns:a="http://schemas.openxmlformats.org/drawingml/2006/main">
              <a:prstDash val="solid"/>
            </a:ln>
          </spPr>
          <cat>
            <numRef>
              <f>'Overview'!$AH$20:$AL$20</f>
            </numRef>
          </cat>
          <val>
            <numRef>
              <f>'Overview'!$AH$24:$AL$24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Birmingham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122</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Birmingham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644796</v>
      </c>
      <c r="C6" s="5" t="n">
        <v>151081</v>
      </c>
      <c r="D6" s="5" t="n">
        <v>29595</v>
      </c>
      <c r="E6" s="5" t="n">
        <v>17059</v>
      </c>
      <c r="F6" s="5" t="n">
        <v>22777</v>
      </c>
      <c r="I6" t="inlineStr">
        <is>
          <t>Total assets</t>
        </is>
      </c>
      <c r="J6" t="n">
        <v>22777</v>
      </c>
      <c r="K6" t="n">
        <v>17059</v>
      </c>
      <c r="L6" t="n">
        <v>29595</v>
      </c>
      <c r="M6" t="n">
        <v>151081</v>
      </c>
      <c r="N6" t="n">
        <v>644796</v>
      </c>
      <c r="AO6" t="inlineStr">
        <is>
          <t>CET1 Ratio</t>
        </is>
      </c>
      <c r="AP6" t="n">
        <v>96</v>
      </c>
      <c r="AQ6" t="n">
        <v>90</v>
      </c>
      <c r="AR6" t="n">
        <v>365</v>
      </c>
      <c r="AS6" t="n">
        <v>76</v>
      </c>
      <c r="AT6" t="n">
        <v>30.43</v>
      </c>
    </row>
    <row r="7">
      <c r="A7" s="5" t="inlineStr">
        <is>
          <t>Total liabilities</t>
        </is>
      </c>
      <c r="B7" s="5" t="n">
        <v>580892</v>
      </c>
      <c r="C7" s="5" t="n">
        <v>112966</v>
      </c>
      <c r="D7" s="5" t="n">
        <v>10636</v>
      </c>
      <c r="E7" s="5" t="n">
        <v>10853</v>
      </c>
      <c r="F7" s="5" t="n">
        <v>14415</v>
      </c>
      <c r="I7" t="inlineStr">
        <is>
          <t>Total liabilities</t>
        </is>
      </c>
      <c r="J7" t="n">
        <v>14415</v>
      </c>
      <c r="K7" t="n">
        <v>10853</v>
      </c>
      <c r="L7" t="n">
        <v>10636</v>
      </c>
      <c r="M7" t="n">
        <v>112966</v>
      </c>
      <c r="N7" t="n">
        <v>580892</v>
      </c>
      <c r="AO7" t="inlineStr">
        <is>
          <t>Leverage Ratio</t>
        </is>
      </c>
      <c r="AP7" t="n">
        <v>37</v>
      </c>
      <c r="AQ7" t="n">
        <v>36</v>
      </c>
      <c r="AR7" t="n">
        <v>63</v>
      </c>
      <c r="AS7" t="n">
        <v>24</v>
      </c>
    </row>
    <row r="8">
      <c r="A8" s="5" t="inlineStr">
        <is>
          <t>Total equity</t>
        </is>
      </c>
      <c r="B8" s="5" t="n">
        <v>63904</v>
      </c>
      <c r="C8" s="5" t="n">
        <v>38115</v>
      </c>
      <c r="D8" s="5" t="n">
        <v>18959</v>
      </c>
      <c r="E8" s="5" t="n">
        <v>6206</v>
      </c>
      <c r="F8" s="5" t="n">
        <v>8363</v>
      </c>
      <c r="I8" t="inlineStr">
        <is>
          <t>Total equity</t>
        </is>
      </c>
      <c r="J8" t="n">
        <v>8363</v>
      </c>
      <c r="K8" t="n">
        <v>6206</v>
      </c>
      <c r="L8" t="n">
        <v>18959</v>
      </c>
      <c r="M8" t="n">
        <v>38115</v>
      </c>
      <c r="N8" t="n">
        <v>63904</v>
      </c>
      <c r="AO8" t="inlineStr">
        <is>
          <t>LCR</t>
        </is>
      </c>
      <c r="AP8" t="n">
        <v>16250</v>
      </c>
      <c r="AQ8" t="n">
        <v>2983</v>
      </c>
      <c r="AR8" t="n">
        <v>11351</v>
      </c>
      <c r="AS8" t="n">
        <v>725</v>
      </c>
      <c r="AT8" t="n">
        <v>460</v>
      </c>
    </row>
    <row r="10">
      <c r="A10" s="3" t="inlineStr">
        <is>
          <t>Profit &amp; Loss Summary (£'000)</t>
        </is>
      </c>
    </row>
    <row r="11">
      <c r="A11" s="4" t="inlineStr">
        <is>
          <t>Line item</t>
        </is>
      </c>
      <c r="B11" s="4" t="inlineStr">
        <is>
          <t>FY2025</t>
        </is>
      </c>
      <c r="C11" s="4" t="inlineStr">
        <is>
          <t>FY2024</t>
        </is>
      </c>
      <c r="D11" s="4" t="inlineStr">
        <is>
          <t>FY2023</t>
        </is>
      </c>
      <c r="E11" s="4" t="inlineStr">
        <is>
          <t>FY2022</t>
        </is>
      </c>
      <c r="F11" s="4" t="inlineStr">
        <is>
          <t>FY2021</t>
        </is>
      </c>
      <c r="R11" t="inlineStr">
        <is>
          <t>FY2021</t>
        </is>
      </c>
      <c r="S11" t="inlineStr">
        <is>
          <t>FY2022</t>
        </is>
      </c>
      <c r="T11" t="inlineStr">
        <is>
          <t>FY2023</t>
        </is>
      </c>
      <c r="U11" t="inlineStr">
        <is>
          <t>FY2024</t>
        </is>
      </c>
      <c r="V11" t="inlineStr">
        <is>
          <t>FY2025</t>
        </is>
      </c>
    </row>
    <row r="12">
      <c r="A12" s="5" t="inlineStr">
        <is>
          <t>Total interest receivable and similar income</t>
        </is>
      </c>
      <c r="B12" s="5" t="n">
        <v>21563</v>
      </c>
      <c r="C12" s="5" t="n">
        <v>4436</v>
      </c>
      <c r="D12" s="5" t="n">
        <v>1118</v>
      </c>
      <c r="E12" s="5" t="n">
        <v>757</v>
      </c>
      <c r="F12" s="5" t="n">
        <v>616</v>
      </c>
      <c r="Q12" t="inlineStr">
        <is>
          <t>Total interest receivable and similar income</t>
        </is>
      </c>
      <c r="R12" t="n">
        <v>616</v>
      </c>
      <c r="S12" t="n">
        <v>757</v>
      </c>
      <c r="T12" t="n">
        <v>1118</v>
      </c>
      <c r="U12" t="n">
        <v>4436</v>
      </c>
      <c r="V12" t="n">
        <v>21563</v>
      </c>
    </row>
    <row r="13">
      <c r="A13" s="5" t="inlineStr">
        <is>
          <t>Loss for the financial year</t>
        </is>
      </c>
      <c r="B13" s="5" t="n">
        <v>-9211</v>
      </c>
      <c r="C13" s="5" t="n">
        <v>-10844</v>
      </c>
      <c r="D13" s="5" t="n">
        <v>-7247</v>
      </c>
      <c r="E13" s="5" t="n">
        <v>-4156</v>
      </c>
      <c r="F13" s="5" t="n">
        <v>-3434</v>
      </c>
      <c r="Q13" t="inlineStr">
        <is>
          <t>Loss for the financial year</t>
        </is>
      </c>
      <c r="R13" t="n">
        <v>-3434</v>
      </c>
      <c r="S13" t="n">
        <v>-4156</v>
      </c>
      <c r="T13" t="n">
        <v>-7247</v>
      </c>
      <c r="U13" t="n">
        <v>-10844</v>
      </c>
      <c r="V13" t="n">
        <v>-9211</v>
      </c>
    </row>
    <row r="15">
      <c r="A15" s="3" t="inlineStr">
        <is>
          <t>Statement of Changes in Equity Summary (£'000)</t>
        </is>
      </c>
    </row>
    <row r="16">
      <c r="A16" s="4" t="inlineStr">
        <is>
          <t>Line item</t>
        </is>
      </c>
      <c r="B16" s="4" t="inlineStr">
        <is>
          <t>FY2025</t>
        </is>
      </c>
      <c r="C16" s="4" t="inlineStr">
        <is>
          <t>FY2024</t>
        </is>
      </c>
      <c r="D16" s="4" t="inlineStr">
        <is>
          <t>FY2023</t>
        </is>
      </c>
      <c r="E16" s="4" t="inlineStr">
        <is>
          <t>FY2022</t>
        </is>
      </c>
      <c r="F16" s="4" t="inlineStr">
        <is>
          <t>FY2021</t>
        </is>
      </c>
      <c r="Z16" t="inlineStr">
        <is>
          <t>FY2021</t>
        </is>
      </c>
      <c r="AA16" t="inlineStr">
        <is>
          <t>FY2022</t>
        </is>
      </c>
      <c r="AB16" t="inlineStr">
        <is>
          <t>FY2023</t>
        </is>
      </c>
      <c r="AC16" t="inlineStr">
        <is>
          <t>FY2024</t>
        </is>
      </c>
      <c r="AD16" t="inlineStr">
        <is>
          <t>FY2025</t>
        </is>
      </c>
    </row>
    <row r="17">
      <c r="A17" s="5" t="inlineStr">
        <is>
          <t>Total equity (period end)</t>
        </is>
      </c>
      <c r="B17" s="5" t="n">
        <v>63904</v>
      </c>
      <c r="C17" s="5" t="n">
        <v>38115</v>
      </c>
      <c r="D17" s="5" t="n">
        <v>18959</v>
      </c>
      <c r="E17" s="5" t="n">
        <v>6206</v>
      </c>
      <c r="F17" s="5" t="n">
        <v>8363</v>
      </c>
      <c r="Y17" t="inlineStr">
        <is>
          <t>Total equity (period end)</t>
        </is>
      </c>
      <c r="Z17" t="n">
        <v>8363</v>
      </c>
      <c r="AA17" t="n">
        <v>6206</v>
      </c>
      <c r="AB17" t="n">
        <v>18959</v>
      </c>
      <c r="AC17" t="n">
        <v>38115</v>
      </c>
      <c r="AD17" t="n">
        <v>63904</v>
      </c>
    </row>
    <row r="19">
      <c r="A19" s="3" t="inlineStr">
        <is>
          <t>Cash Flow Summary (£'000)</t>
        </is>
      </c>
    </row>
    <row r="20">
      <c r="A20" s="4" t="inlineStr">
        <is>
          <t>Line item</t>
        </is>
      </c>
      <c r="B20" s="4" t="inlineStr">
        <is>
          <t>FY2025</t>
        </is>
      </c>
      <c r="C20" s="4" t="inlineStr">
        <is>
          <t>FY2024</t>
        </is>
      </c>
      <c r="D20" s="4" t="inlineStr">
        <is>
          <t>FY2023</t>
        </is>
      </c>
      <c r="E20" s="4" t="inlineStr">
        <is>
          <t>FY2022</t>
        </is>
      </c>
      <c r="F20" s="4" t="inlineStr">
        <is>
          <t>FY2021</t>
        </is>
      </c>
      <c r="AH20" t="inlineStr">
        <is>
          <t>FY2021</t>
        </is>
      </c>
      <c r="AI20" t="inlineStr">
        <is>
          <t>FY2022</t>
        </is>
      </c>
      <c r="AJ20" t="inlineStr">
        <is>
          <t>FY2023</t>
        </is>
      </c>
      <c r="AK20" t="inlineStr">
        <is>
          <t>FY2024</t>
        </is>
      </c>
      <c r="AL20" t="inlineStr">
        <is>
          <t>FY2025</t>
        </is>
      </c>
    </row>
    <row r="21">
      <c r="A21" s="5" t="inlineStr">
        <is>
          <t>Net cash (outflow)/inflow from operating activities</t>
        </is>
      </c>
      <c r="B21" s="5" t="n">
        <v>1230</v>
      </c>
      <c r="C21" s="5" t="n">
        <v>-20676</v>
      </c>
      <c r="D21" s="5" t="n">
        <v>-17679</v>
      </c>
      <c r="E21" s="5" t="n">
        <v>-2601</v>
      </c>
      <c r="F21" s="5" t="n">
        <v>-7994</v>
      </c>
      <c r="AG21" t="inlineStr">
        <is>
          <t>Net cash (outflow)/inflow from operating activities</t>
        </is>
      </c>
      <c r="AH21" t="n">
        <v>-7994</v>
      </c>
      <c r="AI21" t="n">
        <v>-2601</v>
      </c>
      <c r="AJ21" t="n">
        <v>-17679</v>
      </c>
      <c r="AK21" t="n">
        <v>-20676</v>
      </c>
      <c r="AL21" t="n">
        <v>1230</v>
      </c>
    </row>
    <row r="22">
      <c r="A22" s="5" t="inlineStr">
        <is>
          <t>Net cash outflow from investing activities</t>
        </is>
      </c>
      <c r="B22" s="5" t="n">
        <v>-32104</v>
      </c>
      <c r="C22" s="5" t="n">
        <v>-2018</v>
      </c>
      <c r="D22" s="5" t="n">
        <v>-352</v>
      </c>
      <c r="E22" s="5" t="n">
        <v>-9</v>
      </c>
      <c r="F22" s="5" t="n">
        <v>-42</v>
      </c>
      <c r="AG22" t="inlineStr">
        <is>
          <t>Net cash outflow from investing activities</t>
        </is>
      </c>
      <c r="AH22" t="n">
        <v>-42</v>
      </c>
      <c r="AI22" t="n">
        <v>-9</v>
      </c>
      <c r="AJ22" t="n">
        <v>-352</v>
      </c>
      <c r="AK22" t="n">
        <v>-2018</v>
      </c>
      <c r="AL22" t="n">
        <v>-32104</v>
      </c>
    </row>
    <row r="23">
      <c r="A23" s="5" t="inlineStr">
        <is>
          <t>Net cash inflow from financing activities</t>
        </is>
      </c>
      <c r="B23" s="5" t="n">
        <v>35000</v>
      </c>
      <c r="C23" s="5" t="n">
        <v>30000</v>
      </c>
      <c r="D23" s="5" t="n">
        <v>20000</v>
      </c>
      <c r="E23" s="5" t="n">
        <v>2000</v>
      </c>
      <c r="F23" s="5" t="n">
        <v>9000</v>
      </c>
      <c r="AG23" t="inlineStr">
        <is>
          <t>Net cash inflow from financing activities</t>
        </is>
      </c>
      <c r="AH23" t="n">
        <v>9000</v>
      </c>
      <c r="AI23" t="n">
        <v>2000</v>
      </c>
      <c r="AJ23" t="n">
        <v>20000</v>
      </c>
      <c r="AK23" t="n">
        <v>30000</v>
      </c>
      <c r="AL23" t="n">
        <v>35000</v>
      </c>
    </row>
    <row r="24">
      <c r="A24" s="5" t="inlineStr">
        <is>
          <t>Cash at bank at end of year</t>
        </is>
      </c>
      <c r="B24" s="5" t="n">
        <v>15289</v>
      </c>
      <c r="C24" s="5" t="n">
        <v>11172</v>
      </c>
      <c r="D24" s="5" t="n">
        <v>3866</v>
      </c>
      <c r="E24" s="5" t="n">
        <v>1896</v>
      </c>
      <c r="F24" s="5" t="n">
        <v>2506</v>
      </c>
      <c r="AG24" t="inlineStr">
        <is>
          <t>Cash at bank at end of year</t>
        </is>
      </c>
      <c r="AH24" t="n">
        <v>2506</v>
      </c>
      <c r="AI24" t="n">
        <v>1896</v>
      </c>
      <c r="AJ24" t="n">
        <v>3866</v>
      </c>
      <c r="AK24" t="n">
        <v>11172</v>
      </c>
      <c r="AL24" t="n">
        <v>15289</v>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CET1 Ratio</t>
        </is>
      </c>
      <c r="B28" s="6" t="inlineStr">
        <is>
          <t>30.43%</t>
        </is>
      </c>
      <c r="C28" s="6" t="inlineStr">
        <is>
          <t>76%</t>
        </is>
      </c>
      <c r="D28" s="6" t="inlineStr">
        <is>
          <t>365%</t>
        </is>
      </c>
      <c r="E28" s="6" t="inlineStr">
        <is>
          <t>90%</t>
        </is>
      </c>
      <c r="F28" s="6" t="inlineStr">
        <is>
          <t>96%</t>
        </is>
      </c>
    </row>
    <row r="29">
      <c r="A29" s="6" t="inlineStr">
        <is>
          <t>Leverage Ratio</t>
        </is>
      </c>
      <c r="B29" s="6" t="inlineStr">
        <is>
          <t>Not publicly disclosed</t>
        </is>
      </c>
      <c r="C29" s="6" t="inlineStr">
        <is>
          <t>24%</t>
        </is>
      </c>
      <c r="D29" s="6" t="inlineStr">
        <is>
          <t>63%</t>
        </is>
      </c>
      <c r="E29" s="6" t="inlineStr">
        <is>
          <t>36%</t>
        </is>
      </c>
      <c r="F29" s="6" t="inlineStr">
        <is>
          <t>37%</t>
        </is>
      </c>
    </row>
    <row r="30">
      <c r="A30" s="6" t="inlineStr">
        <is>
          <t>LCR</t>
        </is>
      </c>
      <c r="B30" s="6" t="inlineStr">
        <is>
          <t>460%</t>
        </is>
      </c>
      <c r="C30" s="6" t="inlineStr">
        <is>
          <t>725%</t>
        </is>
      </c>
      <c r="D30" s="6" t="inlineStr">
        <is>
          <t>11,351%</t>
        </is>
      </c>
      <c r="E30" s="6" t="inlineStr">
        <is>
          <t>2,983%</t>
        </is>
      </c>
      <c r="F30" s="6" t="inlineStr">
        <is>
          <t>16,250%</t>
        </is>
      </c>
    </row>
    <row r="32" ht="45" customHeight="1">
      <c r="A32" s="7" t="inlineStr">
        <is>
          <t>Note: Figures are duplicated from the detail sheets for at-a-glance trend viewing; see each sheet's own source citation for the underlying document/page. Only 5 years of history exist (FY2021-FY2025) - the entity's own accounts filing history and Pillar 3 disclosures don't go back further. FY2025 was added 2026-09-18 from the FY2025 full accounts filed at Companies House on 14 Sep 2026; the Leverage Ratio has no FY2025 value because there is no FY2025 Pillar 3 report and the Annual Report does not print one. The income row is labelled 'Total interest receivable and similar income' rather than 'Total income' because the FY2025 edition uses 'Total income' for a different subtotal - see the Profit &amp; Loss sheet's note.</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Birmingham Bank Limited — Balance Sheet</t>
        </is>
      </c>
    </row>
    <row r="2">
      <c r="A2" s="2" t="inlineStr">
        <is>
          <t>Bank-solo basis, FRS 102, £'000 (FY2022/FY2021 converted from the source's exact-£ figures)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balances at central banks (FY2025 edition only)</t>
        </is>
      </c>
      <c r="B5" s="6" t="n">
        <v>14686</v>
      </c>
      <c r="C5" s="6" t="n"/>
      <c r="D5" s="6" t="n"/>
      <c r="E5" s="6" t="n"/>
      <c r="F5" s="6" t="n"/>
    </row>
    <row r="6">
      <c r="A6" s="6" t="inlineStr">
        <is>
          <t>Cash at Bank (Loans and advances to banks from FY2025)</t>
        </is>
      </c>
      <c r="B6" s="6" t="n">
        <v>603</v>
      </c>
      <c r="C6" s="6" t="n">
        <v>11172</v>
      </c>
      <c r="D6" s="6" t="n">
        <v>3866</v>
      </c>
      <c r="E6" s="6" t="n">
        <v>1896</v>
      </c>
      <c r="F6" s="6" t="n">
        <v>2506</v>
      </c>
    </row>
    <row r="7">
      <c r="A7" s="6" t="inlineStr">
        <is>
          <t>Treasury Bills and similar securities (Investment in debt securities from FY2025)</t>
        </is>
      </c>
      <c r="B7" s="6" t="n">
        <v>77121</v>
      </c>
      <c r="C7" s="6" t="n">
        <v>43093</v>
      </c>
      <c r="D7" s="6" t="n">
        <v>20250</v>
      </c>
      <c r="E7" s="6" t="n">
        <v>6500</v>
      </c>
      <c r="F7" s="6" t="n">
        <v>9750</v>
      </c>
    </row>
    <row r="8">
      <c r="A8" s="6" t="inlineStr">
        <is>
          <t>Loans and advances to Banks (separate line, FY2022/FY2021 editions)</t>
        </is>
      </c>
      <c r="B8" s="6" t="n"/>
      <c r="C8" s="6" t="n"/>
      <c r="D8" s="6" t="n"/>
      <c r="E8" s="6" t="n">
        <v>1275</v>
      </c>
      <c r="F8" s="6" t="n">
        <v>1271</v>
      </c>
    </row>
    <row r="9">
      <c r="A9" s="6" t="inlineStr">
        <is>
          <t>Loans and advances to customers</t>
        </is>
      </c>
      <c r="B9" s="6" t="n">
        <v>540372</v>
      </c>
      <c r="C9" s="6" t="n">
        <v>90310</v>
      </c>
      <c r="D9" s="6" t="n">
        <v>4195</v>
      </c>
      <c r="E9" s="6" t="n">
        <v>6867</v>
      </c>
      <c r="F9" s="6" t="n">
        <v>8868</v>
      </c>
    </row>
    <row r="10">
      <c r="A10" s="6" t="inlineStr">
        <is>
          <t>Tangible fixed assets</t>
        </is>
      </c>
      <c r="B10" s="6" t="n">
        <v>95</v>
      </c>
      <c r="C10" s="6" t="n">
        <v>70</v>
      </c>
      <c r="D10" s="6" t="n">
        <v>66</v>
      </c>
      <c r="E10" s="6" t="n">
        <v>70</v>
      </c>
      <c r="F10" s="6" t="n">
        <v>85</v>
      </c>
    </row>
    <row r="11">
      <c r="A11" s="6" t="inlineStr">
        <is>
          <t>Intangible fixed assets</t>
        </is>
      </c>
      <c r="B11" s="6" t="n">
        <v>3249</v>
      </c>
      <c r="C11" s="6" t="n">
        <v>2101</v>
      </c>
      <c r="D11" s="6" t="n">
        <v>324</v>
      </c>
      <c r="E11" s="6" t="n"/>
      <c r="F11" s="6" t="n"/>
    </row>
    <row r="12">
      <c r="A12" s="6" t="inlineStr">
        <is>
          <t>Other assets</t>
        </is>
      </c>
      <c r="B12" s="6" t="n">
        <v>8162</v>
      </c>
      <c r="C12" s="6" t="n">
        <v>3617</v>
      </c>
      <c r="D12" s="6" t="n">
        <v>431</v>
      </c>
      <c r="E12" s="6" t="n">
        <v>239</v>
      </c>
      <c r="F12" s="6" t="n">
        <v>120</v>
      </c>
    </row>
    <row r="13">
      <c r="A13" s="6" t="inlineStr">
        <is>
          <t>Prepayments and accrued income</t>
        </is>
      </c>
      <c r="B13" s="6" t="n">
        <v>508</v>
      </c>
      <c r="C13" s="6" t="n">
        <v>691</v>
      </c>
      <c r="D13" s="6" t="n">
        <v>463</v>
      </c>
      <c r="E13" s="6" t="n">
        <v>211</v>
      </c>
      <c r="F13" s="6" t="n">
        <v>177</v>
      </c>
    </row>
    <row r="14">
      <c r="A14" s="6" t="inlineStr">
        <is>
          <t>Derivative financial asset</t>
        </is>
      </c>
      <c r="B14" s="6" t="inlineStr">
        <is>
          <t>-</t>
        </is>
      </c>
      <c r="C14" s="6" t="n">
        <v>27</v>
      </c>
      <c r="D14" s="6" t="n"/>
      <c r="E14" s="6" t="n"/>
      <c r="F14" s="6" t="n"/>
    </row>
    <row r="15">
      <c r="A15" s="5" t="inlineStr">
        <is>
          <t>Total assets</t>
        </is>
      </c>
      <c r="B15" s="5" t="n">
        <v>644796</v>
      </c>
      <c r="C15" s="5" t="n">
        <v>151081</v>
      </c>
      <c r="D15" s="5" t="n">
        <v>29595</v>
      </c>
      <c r="E15" s="5" t="n">
        <v>17059</v>
      </c>
      <c r="F15" s="5" t="n">
        <v>22777</v>
      </c>
    </row>
    <row r="16">
      <c r="A16" s="5" t="inlineStr">
        <is>
          <t>Liabilities</t>
        </is>
      </c>
      <c r="B16" s="6" t="n"/>
      <c r="C16" s="6" t="n"/>
      <c r="D16" s="6" t="n"/>
      <c r="E16" s="6" t="n"/>
      <c r="F16" s="6" t="n"/>
    </row>
    <row r="17">
      <c r="A17" s="6" t="inlineStr">
        <is>
          <t>Customer accounts (Customer deposits from FY2025)</t>
        </is>
      </c>
      <c r="B17" s="6" t="n">
        <v>577675</v>
      </c>
      <c r="C17" s="6" t="n">
        <v>106868</v>
      </c>
      <c r="D17" s="6" t="n">
        <v>9299</v>
      </c>
      <c r="E17" s="6" t="n">
        <v>10399</v>
      </c>
      <c r="F17" s="6" t="n">
        <v>13916</v>
      </c>
    </row>
    <row r="18">
      <c r="A18" s="6" t="inlineStr">
        <is>
          <t>Derivative financial liability (FY2025 edition only)</t>
        </is>
      </c>
      <c r="B18" s="6" t="n">
        <v>1210</v>
      </c>
      <c r="C18" s="6" t="n"/>
      <c r="D18" s="6" t="n"/>
      <c r="E18" s="6" t="n"/>
      <c r="F18" s="6" t="n"/>
    </row>
    <row r="19">
      <c r="A19" s="6" t="inlineStr">
        <is>
          <t>Other liabilities</t>
        </is>
      </c>
      <c r="B19" s="6" t="n">
        <v>2007</v>
      </c>
      <c r="C19" s="6" t="n">
        <v>6098</v>
      </c>
      <c r="D19" s="6" t="n">
        <v>1337</v>
      </c>
      <c r="E19" s="6" t="n">
        <v>454</v>
      </c>
      <c r="F19" s="6" t="n">
        <v>498</v>
      </c>
    </row>
    <row r="20">
      <c r="A20" s="5" t="inlineStr">
        <is>
          <t>Total liabilities</t>
        </is>
      </c>
      <c r="B20" s="5" t="n">
        <v>580892</v>
      </c>
      <c r="C20" s="5" t="n">
        <v>112966</v>
      </c>
      <c r="D20" s="5" t="n">
        <v>10636</v>
      </c>
      <c r="E20" s="5" t="n">
        <v>10853</v>
      </c>
      <c r="F20" s="5" t="n">
        <v>14415</v>
      </c>
    </row>
    <row r="21">
      <c r="A21" s="5" t="inlineStr">
        <is>
          <t>Equity</t>
        </is>
      </c>
      <c r="B21" s="6" t="n"/>
      <c r="C21" s="6" t="n"/>
      <c r="D21" s="6" t="n"/>
      <c r="E21" s="6" t="n"/>
      <c r="F21" s="6" t="n"/>
    </row>
    <row r="22">
      <c r="A22" s="6" t="inlineStr">
        <is>
          <t>Called up share capital</t>
        </is>
      </c>
      <c r="B22" s="6" t="n">
        <v>95138</v>
      </c>
      <c r="C22" s="6" t="n">
        <v>60138</v>
      </c>
      <c r="D22" s="6" t="n">
        <v>30138</v>
      </c>
      <c r="E22" s="6" t="n">
        <v>10138</v>
      </c>
      <c r="F22" s="6" t="n">
        <v>8207</v>
      </c>
    </row>
    <row r="23">
      <c r="A23" s="6" t="inlineStr">
        <is>
          <t>Share Premium</t>
        </is>
      </c>
      <c r="B23" s="6" t="n">
        <v>2862</v>
      </c>
      <c r="C23" s="6" t="n">
        <v>2862</v>
      </c>
      <c r="D23" s="6" t="n">
        <v>2862</v>
      </c>
      <c r="E23" s="6" t="n">
        <v>2862</v>
      </c>
      <c r="F23" s="6" t="n">
        <v>2793</v>
      </c>
    </row>
    <row r="24">
      <c r="A24" s="6" t="inlineStr">
        <is>
          <t>Retained earnings</t>
        </is>
      </c>
      <c r="B24" s="6" t="n">
        <v>-34096</v>
      </c>
      <c r="C24" s="6" t="n">
        <v>-24885</v>
      </c>
      <c r="D24" s="6" t="n">
        <v>-14041</v>
      </c>
      <c r="E24" s="6" t="n">
        <v>-6794</v>
      </c>
      <c r="F24" s="6" t="n">
        <v>-2637</v>
      </c>
    </row>
    <row r="25">
      <c r="A25" s="5" t="inlineStr">
        <is>
          <t>Total equity</t>
        </is>
      </c>
      <c r="B25" s="5" t="n">
        <v>63904</v>
      </c>
      <c r="C25" s="5" t="n">
        <v>38115</v>
      </c>
      <c r="D25" s="5" t="n">
        <v>18959</v>
      </c>
      <c r="E25" s="5" t="n">
        <v>6206</v>
      </c>
      <c r="F25" s="5" t="n">
        <v>8363</v>
      </c>
    </row>
    <row r="26">
      <c r="A26" s="5" t="inlineStr">
        <is>
          <t>Total liabilities and equity</t>
        </is>
      </c>
      <c r="B26" s="5" t="n">
        <v>644796</v>
      </c>
      <c r="C26" s="5" t="n">
        <v>151081</v>
      </c>
      <c r="D26" s="5" t="n">
        <v>29595</v>
      </c>
      <c r="E26" s="5" t="n">
        <v>17059</v>
      </c>
      <c r="F26" s="5" t="n">
        <v>22777</v>
      </c>
    </row>
    <row r="28" ht="280" customHeight="1">
      <c r="A28" s="8" t="inlineStr">
        <is>
          <t>Sources - Birmingham Bank Limited's own primary financial statements (FRS 102), all figures GBP'000:
FY2025: Full accounts made up to 31 Dec 2025 (Board-approved 10 Mar 2026, filed at Companies House 14 Sep 2026, 51pp), Statement of Comprehensive Income p.28, Statement of Financial Position p.29, Statement of Changes in Equity p.30, Statement of Cash Flows p.31 - https://find-and-update.company-information.service.gov.uk/company/00555071/filing-history/MzU0NDA2NTQ1MWFkaXF6a2N4/document?format=pdf&amp;download=0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Four Companies House accounts filings exist (FY2022-FY2025, calendar year-end); there is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FY2025 ADDED 2026-09-18 (GA-003). Latest-edition check made against the Bank's own site and Companies House on 18 Sep 2026: the FY2025 full accounts (51pp, Board-approved 10 March 2026) were filed at Companies House on 14 SEPTEMBER 2026, four days before this check, and are the newest edition of any kind. PUBLICATION LAG, for the next session: the Bank approves its accounts in Feb/March and files them at Companies House between March and September (FY2023 filed 20 Mar 2024, FY2024 filed 31 Mar 2025, FY2025 approved 10 Mar 2026 but not filed until 14 Sep 2026 - a six-month gap between signature and filing). A FY2026 edition should therefore not be looked for before about March 2027, and might not appear at Companies House until September 2027.
THE FY2025 EDITION IS AN IMAGE-ONLY SCAN, exactly as the FY2024 one was: 51 pages with no text layer. Every FY2025 figure in this workbook was read from an OCR pass over that scan and then confirmed two ways - by arithmetic (each statement's own footings and cross-footings reproduce exactly: assets 644,796; liabilities 580,892; equity 63,904; cash-flow subtotals -12,425 / 1,230 / -32,104 / 4,126; closing cash 15,289 = 14,686 + 603) and by eye against a 140-dpi render of the page. Where a FY2024 comparative in the FY2025 edition reproduces a figure this workbook already held from the FY2024 edition (LCR 725%, depreciation 32 + amortisation 205 = the 237 already on the Cash Flow sheet, interest payable 1,997, loss for the year 10,844, total equity 38,115), that agreement is itself an OCR control and is what establishes the reading is sound.
FY2024 IS RESTATED AND RE-CUT IN THE FY2025 EDITION, AND THIS WORKBOOK DOES NOT ADOPT THE RESTATEMENT. Each year's column is that year's OWN filing, this project's standing convention, so the FY2024 column below is still the FY2024 filing's own presentation. For the record, the FY2025 edition's FY2024 comparative column differs as follows: total assets 148,505 (this workbook: 151,081); total liabilities 110,390 (112,966); cash at bank / loans and advances to banks 11,163 (11,172); debt securities 42,937 (43,093); loans and advances to customers 88,635 (90,310); other assets 2,900 (3,617); prepayments 672 (691); customer deposits 108,309 (106,868); other liabilities 2,081 (6,098); gross loans 90,361 (90,352); total interest receivable 4,321 (4,436); administrative expenses 13,277 (13,155 plus 237 of depreciation and amortisation shown separately). Total equity (38,115), retained earnings (-24,885), share capital (60,138), share premium (2,862), loss for the year (-10,844) and the FY2024 capital ratio (76%, printed as 76.03% in the FY2025 Strategic Report) are unchanged between the two editions. What can be said from the documents alone is that it is a reclassification and not a correction touching equity: assets fall by GBP2,576k (717 + 156 + 1,675 + 9 + 19 across the five asset lines) and liabilities fall by the same GBP2,576k (other liabilities -4,017, customer deposits +1,441, the latter being the accrued deposit interest that the FY2025 edition's Note 20 says is now included within the deposit balance). No reason for the re-cut is given in either edition, and none is invented here.
LINE-BY-LINE MAPPING OF THE FY2025 EDITION ONTO THIS WORKBOOK'S ROWS. The FY2025 edition re-presents every statement, so the rule applied here is: where its line is the same item under a new name, the figure goes on the existing row and the rename is recorded; where its line has no counterpart in the earlier editions, it gets its own row, populated for FY2025 only; and a row the FY2025 edition dropped keeps its FY2021-FY2024 figures and is blank in the FY2025 column. Nothing is merged, summed or re-cut to make the two presentations agree. The cases are:
  - 'Cash at Bank' (FY2021-FY2024) becomes 'Loans and advances to banks' (FY2025, GBP603k), and a new line 'Cash balances at central banks' (GBP14,686k) appears. Note 13 shows the two summing to GBP15,289k. The FY2022/FY2021 'Loans and advances to Banks' row is a DIFFERENT, third line those two editions printed alongside 'Cash at Bank' and is kept separate.
  - 'Treasury Bills and similar securities' is called 'Investment in debt securities' from FY2025; same row, renamed here to carry both names.
  - 'Derivative financial liability' (GBP1,210k) is new in FY2025. The FY2025 edition prints a DASH against it in its own FY2024 comparative column, but the FY2024 edition had no such line at all, so the FY2024 cell here is left blank rather than dashed.
  - 'Derivative financial asset' is printed as a DASH by the FY2025 edition in its own FY2025 column and is carried as a literal '-', per this project's rule that a printed dash is the bank saying 'not applicable to us' and is a different statement from silence. (Consequence worth knowing: verify_workbook.py cannot reconcile a block containing a text cell, so the FY2025 Assets block is skipped by the automated check. It was reconciled by hand: 14,686 + 603 + 77,121 + 540,372 + 8,162 + 508 + 95 + 3,249 = 644,796, the reported total exactly.)
  - The P&amp;L's 'Total income' TOTAL row is renamed 'Total interest receivable and similar income', which is what it has always held, because the FY2025 edition uses the words 'Total income' for a DIFFERENT subtotal (GBP5,872k, struck after interest payable, fees and derivative gains). That FY2025 subtotal is the same cut as the earlier editions' 'Net income', so the two share one row.
  - The FY2025 edition prints no separate 'Depreciation and amortisation' expense line: Note 8 shows depreciation GBP19k and amortisation GBP470k inside administrative expenses of GBP15,184k. The D&amp;A row is therefore blank for FY2025, and is NOT back-derived out of the admin figure.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is disclosed in any year. Off-balance-sheet items are disclosed from FY2024 onward in the commitments note only (FY2025: GBP32.1m of post-offer commitments to lend, FY2024: GBP45.5m) and are not carried as balance-sheet rows.</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Birmingham Bank Limited — Profit &amp; Loss</t>
        </is>
      </c>
    </row>
    <row r="2">
      <c r="A2" s="2" t="inlineStr">
        <is>
          <t>Bank-solo basis, FRS 102, £'000 (FY2022/FY2021 converted from the source's exact-£ figures)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 and similar income arising from debt securities</t>
        </is>
      </c>
      <c r="B5" s="6" t="n"/>
      <c r="C5" s="6" t="n">
        <v>1756</v>
      </c>
      <c r="D5" s="6" t="n">
        <v>313</v>
      </c>
      <c r="E5" s="6" t="n">
        <v>530</v>
      </c>
      <c r="F5" s="6" t="n">
        <v>602</v>
      </c>
    </row>
    <row r="6">
      <c r="A6" s="6" t="inlineStr">
        <is>
          <t>Other interest receivable and similar income</t>
        </is>
      </c>
      <c r="B6" s="6" t="n"/>
      <c r="C6" s="6" t="n">
        <v>2680</v>
      </c>
      <c r="D6" s="6" t="n">
        <v>805</v>
      </c>
      <c r="E6" s="6" t="n">
        <v>228</v>
      </c>
      <c r="F6" s="6" t="n">
        <v>14</v>
      </c>
    </row>
    <row r="7">
      <c r="A7" s="6" t="inlineStr">
        <is>
          <t>Interest receivable and similar income (single undivided line, FY2025 edition)</t>
        </is>
      </c>
      <c r="B7" s="6" t="n">
        <v>21563</v>
      </c>
      <c r="C7" s="6" t="n"/>
      <c r="D7" s="6" t="n"/>
      <c r="E7" s="6" t="n"/>
      <c r="F7" s="6" t="n"/>
    </row>
    <row r="8">
      <c r="A8" s="5" t="inlineStr">
        <is>
          <t>Total interest receivable and similar income</t>
        </is>
      </c>
      <c r="B8" s="5" t="n">
        <v>21563</v>
      </c>
      <c r="C8" s="5" t="n">
        <v>4436</v>
      </c>
      <c r="D8" s="5" t="n">
        <v>1118</v>
      </c>
      <c r="E8" s="5" t="n">
        <v>757</v>
      </c>
      <c r="F8" s="5" t="n">
        <v>616</v>
      </c>
    </row>
    <row r="9">
      <c r="A9" s="6" t="inlineStr">
        <is>
          <t>Interest payable and similar charges</t>
        </is>
      </c>
      <c r="B9" s="6" t="n">
        <v>-15781</v>
      </c>
      <c r="C9" s="6" t="n">
        <v>-1997</v>
      </c>
      <c r="D9" s="6" t="n">
        <v>-213</v>
      </c>
      <c r="E9" s="6" t="n">
        <v>-90</v>
      </c>
      <c r="F9" s="6" t="n">
        <v>-115</v>
      </c>
    </row>
    <row r="10">
      <c r="A10" s="6" t="inlineStr">
        <is>
          <t>Fee and commissions expense (FY2025 edition only)</t>
        </is>
      </c>
      <c r="B10" s="6" t="n">
        <v>-121</v>
      </c>
      <c r="C10" s="6" t="n"/>
      <c r="D10" s="6" t="n"/>
      <c r="E10" s="6" t="n"/>
      <c r="F10" s="6" t="n"/>
    </row>
    <row r="11">
      <c r="A11" s="6" t="inlineStr">
        <is>
          <t>Net (loss)/gain on financial instruments at fair value through profit and loss (Net gain from derivatives and hedge accounting from FY2025)</t>
        </is>
      </c>
      <c r="B11" s="6" t="n">
        <v>211</v>
      </c>
      <c r="C11" s="6" t="n">
        <v>27</v>
      </c>
      <c r="D11" s="6" t="n"/>
      <c r="E11" s="6" t="n"/>
      <c r="F11" s="6" t="n"/>
    </row>
    <row r="12">
      <c r="A12" s="5" t="inlineStr">
        <is>
          <t>Net income (Total income in the FY2025 edition)</t>
        </is>
      </c>
      <c r="B12" s="5" t="n">
        <v>5872</v>
      </c>
      <c r="C12" s="5" t="n">
        <v>2466</v>
      </c>
      <c r="D12" s="5" t="n">
        <v>905</v>
      </c>
      <c r="E12" s="5" t="n">
        <v>667</v>
      </c>
      <c r="F12" s="5" t="n">
        <v>500</v>
      </c>
    </row>
    <row r="13">
      <c r="A13" s="6" t="inlineStr">
        <is>
          <t>Administrative expenses</t>
        </is>
      </c>
      <c r="B13" s="6" t="n">
        <v>-15184</v>
      </c>
      <c r="C13" s="6" t="n">
        <v>-13155</v>
      </c>
      <c r="D13" s="6" t="n">
        <v>-8475</v>
      </c>
      <c r="E13" s="6" t="n">
        <v>-4817</v>
      </c>
      <c r="F13" s="6" t="n">
        <v>-3858</v>
      </c>
    </row>
    <row r="14">
      <c r="A14" s="6" t="inlineStr">
        <is>
          <t>Depreciation and amortisation</t>
        </is>
      </c>
      <c r="B14" s="6" t="n"/>
      <c r="C14" s="6" t="n">
        <v>-237</v>
      </c>
      <c r="D14" s="6" t="n">
        <v>-32</v>
      </c>
      <c r="E14" s="6" t="n">
        <v>-24</v>
      </c>
      <c r="F14" s="6" t="n">
        <v>-42</v>
      </c>
    </row>
    <row r="15">
      <c r="A15" s="6" t="inlineStr">
        <is>
          <t>Impairment charge for loan losses (Provision for bad and doubtful debts from FY2025)</t>
        </is>
      </c>
      <c r="B15" s="6" t="n">
        <v>-250</v>
      </c>
      <c r="C15" s="6" t="n">
        <v>-22</v>
      </c>
      <c r="D15" s="6" t="n">
        <v>-4</v>
      </c>
      <c r="E15" s="6" t="n">
        <v>-21</v>
      </c>
      <c r="F15" s="6" t="n">
        <v>-34</v>
      </c>
    </row>
    <row r="16">
      <c r="A16" s="5" t="inlineStr">
        <is>
          <t>Loss on ordinary activities before taxation</t>
        </is>
      </c>
      <c r="B16" s="5" t="n">
        <v>-9562</v>
      </c>
      <c r="C16" s="5" t="n">
        <v>-10948</v>
      </c>
      <c r="D16" s="5" t="n">
        <v>-7606</v>
      </c>
      <c r="E16" s="5" t="n">
        <v>-4194</v>
      </c>
      <c r="F16" s="5" t="n">
        <v>-3434</v>
      </c>
    </row>
    <row r="17">
      <c r="A17" s="6" t="inlineStr">
        <is>
          <t>Tax on profit on ordinary activities</t>
        </is>
      </c>
      <c r="B17" s="6" t="n">
        <v>351</v>
      </c>
      <c r="C17" s="6" t="n">
        <v>104</v>
      </c>
      <c r="D17" s="6" t="n">
        <v>359</v>
      </c>
      <c r="E17" s="6" t="n">
        <v>38</v>
      </c>
      <c r="F17" s="6" t="n">
        <v>0</v>
      </c>
    </row>
    <row r="18">
      <c r="A18" s="5" t="inlineStr">
        <is>
          <t>Loss for the financial year</t>
        </is>
      </c>
      <c r="B18" s="5" t="n">
        <v>-9211</v>
      </c>
      <c r="C18" s="5" t="n">
        <v>-10844</v>
      </c>
      <c r="D18" s="5" t="n">
        <v>-7247</v>
      </c>
      <c r="E18" s="5" t="n">
        <v>-4156</v>
      </c>
      <c r="F18" s="5" t="n">
        <v>-3434</v>
      </c>
    </row>
    <row r="19">
      <c r="A19" s="5" t="inlineStr">
        <is>
          <t>Other comprehensive income</t>
        </is>
      </c>
      <c r="B19" s="6" t="n"/>
      <c r="C19" s="6" t="n"/>
      <c r="D19" s="6" t="n"/>
      <c r="E19" s="6" t="n"/>
      <c r="F19" s="6" t="n"/>
    </row>
    <row r="20">
      <c r="A20" s="6" t="inlineStr">
        <is>
          <t>Other comprehensive income</t>
        </is>
      </c>
      <c r="B20" s="6" t="n">
        <v>0</v>
      </c>
      <c r="C20" s="6" t="n">
        <v>0</v>
      </c>
      <c r="D20" s="6" t="n">
        <v>0</v>
      </c>
      <c r="E20" s="6" t="n">
        <v>0</v>
      </c>
      <c r="F20" s="6" t="n">
        <v>0</v>
      </c>
    </row>
    <row r="21">
      <c r="A21" s="5" t="inlineStr">
        <is>
          <t>Total comprehensive income for the year</t>
        </is>
      </c>
      <c r="B21" s="5" t="n">
        <v>-9211</v>
      </c>
      <c r="C21" s="5" t="n">
        <v>-10844</v>
      </c>
      <c r="D21" s="5" t="n">
        <v>-7247</v>
      </c>
      <c r="E21" s="5" t="n">
        <v>-4156</v>
      </c>
      <c r="F21" s="5" t="n">
        <v>-3434</v>
      </c>
    </row>
    <row r="23" ht="300" customHeight="1">
      <c r="A23" s="8" t="inlineStr">
        <is>
          <t>Sources - Birmingham Bank Limited's own primary financial statements (FRS 102), all figures GBP'000:
FY2025: Full accounts made up to 31 Dec 2025 (Board-approved 10 Mar 2026, filed at Companies House 14 Sep 2026, 51pp), Statement of Comprehensive Income p.28, Statement of Financial Position p.29, Statement of Changes in Equity p.30, Statement of Cash Flows p.31 - https://find-and-update.company-information.service.gov.uk/company/00555071/filing-history/MzU0NDA2NTQ1MWFkaXF6a2N4/document?format=pdf&amp;download=0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Four Companies House accounts filings exist (FY2022-FY2025, calendar year-end); there is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FY2025 ADDED 2026-09-18 (GA-003). Latest-edition check made against the Bank's own site and Companies House on 18 Sep 2026: the FY2025 full accounts (51pp, Board-approved 10 March 2026) were filed at Companies House on 14 SEPTEMBER 2026, four days before this check, and are the newest edition of any kind. PUBLICATION LAG, for the next session: the Bank approves its accounts in Feb/March and files them at Companies House between March and September (FY2023 filed 20 Mar 2024, FY2024 filed 31 Mar 2025, FY2025 approved 10 Mar 2026 but not filed until 14 Sep 2026 - a six-month gap between signature and filing). A FY2026 edition should therefore not be looked for before about March 2027, and might not appear at Companies House until September 2027.
THE FY2025 EDITION IS AN IMAGE-ONLY SCAN, exactly as the FY2024 one was: 51 pages with no text layer. Every FY2025 figure in this workbook was read from an OCR pass over that scan and then confirmed two ways - by arithmetic (each statement's own footings and cross-footings reproduce exactly: assets 644,796; liabilities 580,892; equity 63,904; cash-flow subtotals -12,425 / 1,230 / -32,104 / 4,126; closing cash 15,289 = 14,686 + 603) and by eye against a 140-dpi render of the page. Where a FY2024 comparative in the FY2025 edition reproduces a figure this workbook already held from the FY2024 edition (LCR 725%, depreciation 32 + amortisation 205 = the 237 already on the Cash Flow sheet, interest payable 1,997, loss for the year 10,844, total equity 38,115), that agreement is itself an OCR control and is what establishes the reading is sound.
FY2024 IS RESTATED AND RE-CUT IN THE FY2025 EDITION, AND THIS WORKBOOK DOES NOT ADOPT THE RESTATEMENT. Each year's column is that year's OWN filing, this project's standing convention, so the FY2024 column below is still the FY2024 filing's own presentation. For the record, the FY2025 edition's FY2024 comparative column differs as follows: total assets 148,505 (this workbook: 151,081); total liabilities 110,390 (112,966); cash at bank / loans and advances to banks 11,163 (11,172); debt securities 42,937 (43,093); loans and advances to customers 88,635 (90,310); other assets 2,900 (3,617); prepayments 672 (691); customer deposits 108,309 (106,868); other liabilities 2,081 (6,098); gross loans 90,361 (90,352); total interest receivable 4,321 (4,436); administrative expenses 13,277 (13,155 plus 237 of depreciation and amortisation shown separately). Total equity (38,115), retained earnings (-24,885), share capital (60,138), share premium (2,862), loss for the year (-10,844) and the FY2024 capital ratio (76%, printed as 76.03% in the FY2025 Strategic Report) are unchanged between the two editions. What can be said from the documents alone is that it is a reclassification and not a correction touching equity: assets fall by GBP2,576k (717 + 156 + 1,675 + 9 + 19 across the five asset lines) and liabilities fall by the same GBP2,576k (other liabilities -4,017, customer deposits +1,441, the latter being the accrued deposit interest that the FY2025 edition's Note 20 says is now included within the deposit balance). No reason for the re-cut is given in either edition, and none is invented here.
LINE-BY-LINE MAPPING OF THE FY2025 EDITION ONTO THIS WORKBOOK'S ROWS. The FY2025 edition re-presents every statement, so the rule applied here is: where its line is the same item under a new name, the figure goes on the existing row and the rename is recorded; where its line has no counterpart in the earlier editions, it gets its own row, populated for FY2025 only; and a row the FY2025 edition dropped keeps its FY2021-FY2024 figures and is blank in the FY2025 column. Nothing is merged, summed or re-cut to make the two presentations agree. The cases are:
  - 'Cash at Bank' (FY2021-FY2024) becomes 'Loans and advances to banks' (FY2025, GBP603k), and a new line 'Cash balances at central banks' (GBP14,686k) appears. Note 13 shows the two summing to GBP15,289k. The FY2022/FY2021 'Loans and advances to Banks' row is a DIFFERENT, third line those two editions printed alongside 'Cash at Bank' and is kept separate.
  - 'Treasury Bills and similar securities' is called 'Investment in debt securities' from FY2025; same row, renamed here to carry both names.
  - 'Derivative financial liability' (GBP1,210k) is new in FY2025. The FY2025 edition prints a DASH against it in its own FY2024 comparative column, but the FY2024 edition had no such line at all, so the FY2024 cell here is left blank rather than dashed.
  - 'Derivative financial asset' is printed as a DASH by the FY2025 edition in its own FY2025 column and is carried as a literal '-', per this project's rule that a printed dash is the bank saying 'not applicable to us' and is a different statement from silence. (Consequence worth knowing: verify_workbook.py cannot reconcile a block containing a text cell, so the FY2025 Assets block is skipped by the automated check. It was reconciled by hand: 14,686 + 603 + 77,121 + 540,372 + 8,162 + 508 + 95 + 3,249 = 644,796, the reported total exactly.)
  - The P&amp;L's 'Total income' TOTAL row is renamed 'Total interest receivable and similar income', which is what it has always held, because the FY2025 edition uses the words 'Total income' for a DIFFERENT subtotal (GBP5,872k, struck after interest payable, fees and derivative gains). That FY2025 subtotal is the same cut as the earlier editions' 'Net income', so the two share one row.
  - The FY2025 edition prints no separate 'Depreciation and amortisation' expense line: Note 8 shows depreciation GBP19k and amortisation GBP470k inside administrative expenses of GBP15,184k. The D&amp;A row is therefore blank for FY2025, and is NOT back-derived out of the admin figure.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is disclosed in any year. Off-balance-sheet items are disclosed from FY2024 onward in the commitments note only (FY2025: GBP32.1m of post-offer commitments to lend, FY2024: GBP45.5m) and are not carried as balance-sheet rows.
The 'Net (loss)/gain on financial instruments held at fair value through profit and loss' line only appears from FY2024 onward (GBP27k) - not disclosed as a separate line in FY2021-FY2023, where it did not exist or was immaterial/nil. The FY2025 edition renames it 'Net gain from derivatives and hedge accounting' (GBP211k) and its Note 7 splits that into hedge ineffectiveness GBP40k and gains on derivatives not in a hedging relationship GBP171k. (Source defect, reproduced not corrected: Note 22's hedge-effectiveness table prints the same ineffectiveness as GBP(39)k on the same basis, against Note 7's +GBP40k. Neither figure is used on this sheet; both are recorded here.)
FY2025 SUBTOTALS NOT CARRIED AS ROWS. The FY2025 edition strikes a 'Net interest income' subtotal of GBP5,782k (21,563 less 15,781), which no earlier edition printed. It is recorded here rather than given a row of its own, because a row holding one year in five would read as a four-year gap where there is none; the two figures it is struck from are both on this sheet. The Strategic Report's KPI table gives the same figure as 'Net interest income GBP5.8m (2024: GBP2.3m)'.
FY2025 'Other comprehensive income' is shown as 0 on the authority of the FY2025 statement's own sentence 'There were no recognised gains or losses other than those reported above' - an explicit nil, not an assumed one. The edition prints the caption with no figure beneath it.
CORRECTION (2026-09-06 audit): FY2022 Total income and Net income were previously shown as GBP758k and GBP668k - the FY2023 filing's own restated £'000 comparative column for FY2022 (itself component-rounded: 530+228=758). The FY2022 filing's own primary Income Statement (exact GBP, this project's stated per-year sourcing convention) states Total income of GBP757,483 and Net income of GBP667,285, which round to GBP757k/GBP667k - now corrected to match. All other FY2022 P&amp;L lines already matched the FY2022 filing exactly; only these two subtotals had drifted to the later filing's rounding. The downstream 'Loss on ordinary activities before taxation' (GBP4,194k) is unaffected - it is each filing's own reported total, not a re-derived sum of the (rounded) lines above it, so it does not tie by simple subtraction to the corrected Net income figure; this is the same independent-rounding artifact already documented on the Balance Sheet sheet (a component sum landing GBP1k off its own total row).</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Birmingham Bank Limited — Statement of Changes in Equity</t>
        </is>
      </c>
    </row>
    <row r="2">
      <c r="A2" s="2" t="inlineStr">
        <is>
          <t>Bank-solo basis, FRS 102, £'000, chronological, 1 January 2021 - 31 December 2025</t>
        </is>
      </c>
    </row>
    <row r="3">
      <c r="A3" s="4" t="inlineStr">
        <is>
          <t>Movement</t>
        </is>
      </c>
      <c r="B3" s="4" t="inlineStr">
        <is>
          <t>Called up Share Capital</t>
        </is>
      </c>
      <c r="C3" s="4" t="inlineStr">
        <is>
          <t>Share Premium</t>
        </is>
      </c>
      <c r="D3" s="4" t="inlineStr">
        <is>
          <t>Retained Earnings</t>
        </is>
      </c>
      <c r="E3" s="4" t="inlineStr">
        <is>
          <t>Total Equity</t>
        </is>
      </c>
    </row>
    <row r="4">
      <c r="A4" s="5" t="inlineStr">
        <is>
          <t>At 1 January 2021</t>
        </is>
      </c>
      <c r="B4" s="5" t="n">
        <v>2000</v>
      </c>
      <c r="C4" s="5" t="n">
        <v>0</v>
      </c>
      <c r="D4" s="5" t="n">
        <v>796</v>
      </c>
      <c r="E4" s="5" t="n">
        <v>2796</v>
      </c>
    </row>
    <row r="5">
      <c r="A5" s="6" t="inlineStr">
        <is>
          <t>Capital injection</t>
        </is>
      </c>
      <c r="B5" s="6" t="n">
        <v>6207</v>
      </c>
      <c r="C5" s="6" t="n">
        <v>2793</v>
      </c>
      <c r="D5" s="6" t="n">
        <v>0</v>
      </c>
      <c r="E5" s="6" t="n">
        <v>9000</v>
      </c>
    </row>
    <row r="6">
      <c r="A6" s="6" t="inlineStr">
        <is>
          <t>Total comprehensive income</t>
        </is>
      </c>
      <c r="B6" s="6" t="n">
        <v>0</v>
      </c>
      <c r="C6" s="6" t="n">
        <v>0</v>
      </c>
      <c r="D6" s="6" t="n">
        <v>-3434</v>
      </c>
      <c r="E6" s="6" t="n">
        <v>-3434</v>
      </c>
    </row>
    <row r="7">
      <c r="A7" s="5" t="inlineStr">
        <is>
          <t>At 31 December 2021</t>
        </is>
      </c>
      <c r="B7" s="5" t="n">
        <v>8207</v>
      </c>
      <c r="C7" s="5" t="n">
        <v>2793</v>
      </c>
      <c r="D7" s="5" t="n">
        <v>-2637</v>
      </c>
      <c r="E7" s="5" t="n">
        <v>8363</v>
      </c>
    </row>
    <row r="8">
      <c r="A8" s="6" t="inlineStr">
        <is>
          <t>Capital injection</t>
        </is>
      </c>
      <c r="B8" s="6" t="n">
        <v>1931</v>
      </c>
      <c r="C8" s="6" t="n">
        <v>69</v>
      </c>
      <c r="D8" s="6" t="n">
        <v>0</v>
      </c>
      <c r="E8" s="6" t="n">
        <v>2000</v>
      </c>
    </row>
    <row r="9">
      <c r="A9" s="6" t="inlineStr">
        <is>
          <t>Total comprehensive income</t>
        </is>
      </c>
      <c r="B9" s="6" t="n">
        <v>0</v>
      </c>
      <c r="C9" s="6" t="n">
        <v>0</v>
      </c>
      <c r="D9" s="6" t="n">
        <v>-4156</v>
      </c>
      <c r="E9" s="6" t="n">
        <v>-4156</v>
      </c>
    </row>
    <row r="10">
      <c r="A10" s="5" t="inlineStr">
        <is>
          <t>At 31 December 2022</t>
        </is>
      </c>
      <c r="B10" s="5" t="n">
        <v>10138</v>
      </c>
      <c r="C10" s="5" t="n">
        <v>2862</v>
      </c>
      <c r="D10" s="5" t="n">
        <v>-6794</v>
      </c>
      <c r="E10" s="5" t="n">
        <v>6206</v>
      </c>
    </row>
    <row r="11">
      <c r="A11" s="6" t="inlineStr">
        <is>
          <t>Issue of new shares</t>
        </is>
      </c>
      <c r="B11" s="6" t="n">
        <v>20000</v>
      </c>
      <c r="C11" s="6" t="n">
        <v>0</v>
      </c>
      <c r="D11" s="6" t="n">
        <v>0</v>
      </c>
      <c r="E11" s="6" t="n">
        <v>20000</v>
      </c>
    </row>
    <row r="12">
      <c r="A12" s="6" t="inlineStr">
        <is>
          <t>Total comprehensive income</t>
        </is>
      </c>
      <c r="B12" s="6" t="n">
        <v>0</v>
      </c>
      <c r="C12" s="6" t="n">
        <v>0</v>
      </c>
      <c r="D12" s="6" t="n">
        <v>-7247</v>
      </c>
      <c r="E12" s="6" t="n">
        <v>-7247</v>
      </c>
    </row>
    <row r="13">
      <c r="A13" s="5" t="inlineStr">
        <is>
          <t>At 31 December 2023</t>
        </is>
      </c>
      <c r="B13" s="5" t="n">
        <v>30138</v>
      </c>
      <c r="C13" s="5" t="n">
        <v>2862</v>
      </c>
      <c r="D13" s="5" t="n">
        <v>-14041</v>
      </c>
      <c r="E13" s="5" t="n">
        <v>18959</v>
      </c>
    </row>
    <row r="14">
      <c r="A14" s="6" t="inlineStr">
        <is>
          <t>Issue of new shares</t>
        </is>
      </c>
      <c r="B14" s="6" t="n">
        <v>30000</v>
      </c>
      <c r="C14" s="6" t="n">
        <v>0</v>
      </c>
      <c r="D14" s="6" t="n">
        <v>0</v>
      </c>
      <c r="E14" s="6" t="n">
        <v>30000</v>
      </c>
    </row>
    <row r="15">
      <c r="A15" s="6" t="inlineStr">
        <is>
          <t>Total comprehensive income</t>
        </is>
      </c>
      <c r="B15" s="6" t="n">
        <v>0</v>
      </c>
      <c r="C15" s="6" t="n">
        <v>0</v>
      </c>
      <c r="D15" s="6" t="n">
        <v>-10844</v>
      </c>
      <c r="E15" s="6" t="n">
        <v>-10844</v>
      </c>
    </row>
    <row r="16">
      <c r="A16" s="5" t="inlineStr">
        <is>
          <t>At 31 December 2024</t>
        </is>
      </c>
      <c r="B16" s="5" t="n">
        <v>60138</v>
      </c>
      <c r="C16" s="5" t="n">
        <v>2862</v>
      </c>
      <c r="D16" s="5" t="n">
        <v>-24885</v>
      </c>
      <c r="E16" s="5" t="n">
        <v>38115</v>
      </c>
    </row>
    <row r="17">
      <c r="A17" s="6" t="inlineStr">
        <is>
          <t>Issue of new shares</t>
        </is>
      </c>
      <c r="B17" s="6" t="n">
        <v>35000</v>
      </c>
      <c r="C17" s="6" t="n">
        <v>0</v>
      </c>
      <c r="D17" s="6" t="n">
        <v>0</v>
      </c>
      <c r="E17" s="6" t="n">
        <v>35000</v>
      </c>
    </row>
    <row r="18">
      <c r="A18" s="6" t="inlineStr">
        <is>
          <t>Total comprehensive expense</t>
        </is>
      </c>
      <c r="B18" s="6" t="n">
        <v>0</v>
      </c>
      <c r="C18" s="6" t="n">
        <v>0</v>
      </c>
      <c r="D18" s="6" t="n">
        <v>-9211</v>
      </c>
      <c r="E18" s="6" t="n">
        <v>-9211</v>
      </c>
    </row>
    <row r="19">
      <c r="A19" s="5" t="inlineStr">
        <is>
          <t>At 31 December 2025</t>
        </is>
      </c>
      <c r="B19" s="5" t="n">
        <v>95138</v>
      </c>
      <c r="C19" s="5" t="n">
        <v>2862</v>
      </c>
      <c r="D19" s="5" t="n">
        <v>-34096</v>
      </c>
      <c r="E19" s="5" t="n">
        <v>63904</v>
      </c>
    </row>
    <row r="21" ht="260" customHeight="1">
      <c r="A21" s="8" t="inlineStr">
        <is>
          <t>Sources - Birmingham Bank Limited's own primary financial statements (FRS 102), all figures GBP'000:
FY2025: Full accounts made up to 31 Dec 2025 (Board-approved 10 Mar 2026, filed at Companies House 14 Sep 2026, 51pp), Statement of Comprehensive Income p.28, Statement of Financial Position p.29, Statement of Changes in Equity p.30, Statement of Cash Flows p.31 - https://find-and-update.company-information.service.gov.uk/company/00555071/filing-history/MzU0NDA2NTQ1MWFkaXF6a2N4/document?format=pdf&amp;download=0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Four Companies House accounts filings exist (FY2022-FY2025, calendar year-end); there is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FY2025 ADDED 2026-09-18 (GA-003). Latest-edition check made against the Bank's own site and Companies House on 18 Sep 2026: the FY2025 full accounts (51pp, Board-approved 10 March 2026) were filed at Companies House on 14 SEPTEMBER 2026, four days before this check, and are the newest edition of any kind. PUBLICATION LAG, for the next session: the Bank approves its accounts in Feb/March and files them at Companies House between March and September (FY2023 filed 20 Mar 2024, FY2024 filed 31 Mar 2025, FY2025 approved 10 Mar 2026 but not filed until 14 Sep 2026 - a six-month gap between signature and filing). A FY2026 edition should therefore not be looked for before about March 2027, and might not appear at Companies House until September 2027.
THE FY2025 EDITION IS AN IMAGE-ONLY SCAN, exactly as the FY2024 one was: 51 pages with no text layer. Every FY2025 figure in this workbook was read from an OCR pass over that scan and then confirmed two ways - by arithmetic (each statement's own footings and cross-footings reproduce exactly: assets 644,796; liabilities 580,892; equity 63,904; cash-flow subtotals -12,425 / 1,230 / -32,104 / 4,126; closing cash 15,289 = 14,686 + 603) and by eye against a 140-dpi render of the page. Where a FY2024 comparative in the FY2025 edition reproduces a figure this workbook already held from the FY2024 edition (LCR 725%, depreciation 32 + amortisation 205 = the 237 already on the Cash Flow sheet, interest payable 1,997, loss for the year 10,844, total equity 38,115), that agreement is itself an OCR control and is what establishes the reading is sound.
FY2024 IS RESTATED AND RE-CUT IN THE FY2025 EDITION, AND THIS WORKBOOK DOES NOT ADOPT THE RESTATEMENT. Each year's column is that year's OWN filing, this project's standing convention, so the FY2024 column below is still the FY2024 filing's own presentation. For the record, the FY2025 edition's FY2024 comparative column differs as follows: total assets 148,505 (this workbook: 151,081); total liabilities 110,390 (112,966); cash at bank / loans and advances to banks 11,163 (11,172); debt securities 42,937 (43,093); loans and advances to customers 88,635 (90,310); other assets 2,900 (3,617); prepayments 672 (691); customer deposits 108,309 (106,868); other liabilities 2,081 (6,098); gross loans 90,361 (90,352); total interest receivable 4,321 (4,436); administrative expenses 13,277 (13,155 plus 237 of depreciation and amortisation shown separately). Total equity (38,115), retained earnings (-24,885), share capital (60,138), share premium (2,862), loss for the year (-10,844) and the FY2024 capital ratio (76%, printed as 76.03% in the FY2025 Strategic Report) are unchanged between the two editions. What can be said from the documents alone is that it is a reclassification and not a correction touching equity: assets fall by GBP2,576k (717 + 156 + 1,675 + 9 + 19 across the five asset lines) and liabilities fall by the same GBP2,576k (other liabilities -4,017, customer deposits +1,441, the latter being the accrued deposit interest that the FY2025 edition's Note 20 says is now included within the deposit balance). No reason for the re-cut is given in either edition, and none is invented here.
LINE-BY-LINE MAPPING OF THE FY2025 EDITION ONTO THIS WORKBOOK'S ROWS. The FY2025 edition re-presents every statement, so the rule applied here is: where its line is the same item under a new name, the figure goes on the existing row and the rename is recorded; where its line has no counterpart in the earlier editions, it gets its own row, populated for FY2025 only; and a row the FY2025 edition dropped keeps its FY2021-FY2024 figures and is blank in the FY2025 column. Nothing is merged, summed or re-cut to make the two presentations agree. The cases are:
  - 'Cash at Bank' (FY2021-FY2024) becomes 'Loans and advances to banks' (FY2025, GBP603k), and a new line 'Cash balances at central banks' (GBP14,686k) appears. Note 13 shows the two summing to GBP15,289k. The FY2022/FY2021 'Loans and advances to Banks' row is a DIFFERENT, third line those two editions printed alongside 'Cash at Bank' and is kept separate.
  - 'Treasury Bills and similar securities' is called 'Investment in debt securities' from FY2025; same row, renamed here to carry both names.
  - 'Derivative financial liability' (GBP1,210k) is new in FY2025. The FY2025 edition prints a DASH against it in its own FY2024 comparative column, but the FY2024 edition had no such line at all, so the FY2024 cell here is left blank rather than dashed.
  - 'Derivative financial asset' is printed as a DASH by the FY2025 edition in its own FY2025 column and is carried as a literal '-', per this project's rule that a printed dash is the bank saying 'not applicable to us' and is a different statement from silence. (Consequence worth knowing: verify_workbook.py cannot reconcile a block containing a text cell, so the FY2025 Assets block is skipped by the automated check. It was reconciled by hand: 14,686 + 603 + 77,121 + 540,372 + 8,162 + 508 + 95 + 3,249 = 644,796, the reported total exactly.)
  - The P&amp;L's 'Total income' TOTAL row is renamed 'Total interest receivable and similar income', which is what it has always held, because the FY2025 edition uses the words 'Total income' for a DIFFERENT subtotal (GBP5,872k, struck after interest payable, fees and derivative gains). That FY2025 subtotal is the same cut as the earlier editions' 'Net income', so the two share one row.
  - The FY2025 edition prints no separate 'Depreciation and amortisation' expense line: Note 8 shows depreciation GBP19k and amortisation GBP470k inside administrative expenses of GBP15,184k. The D&amp;A row is therefore blank for FY2025, and is NOT back-derived out of the admin figure.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is disclosed in any year. Off-balance-sheet items are disclosed from FY2024 onward in the commitments note only (FY2025: GBP32.1m of post-offer commitments to lend, FY2024: GBP45.5m) and are not carried as balance-sheet rows.
The capital-raise row is labelled 'Capital injection' in the bank's own 2021/2022 filings and 'Issue of new shares' in its 2023/2024/2025 filings - same underlying event (a share capital + share premium increase), the bank's own wording just changed year to year; reproduced here as each filing states it. The comprehensive-income row is likewise labelled 'Total comprehensive income' through FY2024 and 'Total comprehensive expense' in FY2025 (the amount is a loss in every year).
FY2025's movements come from the FY2025 edition's own Statement of Changes in Equity, p.30: 35,000,000 ordinary GBP1 shares issued at par to the immediate parent (Note 23), taking called-up share capital to GBP95,138k, and a total comprehensive expense of GBP9,211k taking retained earnings to GBP(34,096)k. This is the one sheet the FY2025 edition does NOT restate: its opening 'At 1 January 2024' and 'At 31 December 2024' lines reproduce the FY2024 edition's figures exactly.</t>
        </is>
      </c>
    </row>
  </sheetData>
  <mergeCells count="1">
    <mergeCell ref="A21:E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Birmingham Bank Limited — Statement of Cash Flows</t>
        </is>
      </c>
    </row>
    <row r="2">
      <c r="A2" s="2" t="inlineStr">
        <is>
          <t>Bank-solo basis, FRS 102, £'000 (FY2022/FY2021 converted from the source's exact-£ figures)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Reconciliation of operating (loss) to net operating cash flows</t>
        </is>
      </c>
      <c r="B4" s="6" t="n"/>
      <c r="C4" s="6" t="n"/>
      <c r="D4" s="6" t="n"/>
      <c r="E4" s="6" t="n"/>
      <c r="F4" s="6" t="n"/>
    </row>
    <row r="5">
      <c r="A5" s="6" t="inlineStr">
        <is>
          <t>Loss on ordinary activities after taxation</t>
        </is>
      </c>
      <c r="B5" s="6" t="n">
        <v>-9211</v>
      </c>
      <c r="C5" s="6" t="n">
        <v>-10844</v>
      </c>
      <c r="D5" s="6" t="n">
        <v>-7247</v>
      </c>
      <c r="E5" s="6" t="n">
        <v>-4156</v>
      </c>
      <c r="F5" s="6" t="n">
        <v>-3434</v>
      </c>
    </row>
    <row r="6">
      <c r="A6" s="6" t="inlineStr">
        <is>
          <t>Increase in prepayments and accrued income</t>
        </is>
      </c>
      <c r="B6" s="6" t="n"/>
      <c r="C6" s="6" t="n">
        <v>-228</v>
      </c>
      <c r="D6" s="6" t="n">
        <v>-252</v>
      </c>
      <c r="E6" s="6" t="n">
        <v>-34</v>
      </c>
      <c r="F6" s="6" t="n">
        <v>-238</v>
      </c>
    </row>
    <row r="7">
      <c r="A7" s="6" t="inlineStr">
        <is>
          <t>Increase in derivative financial asset</t>
        </is>
      </c>
      <c r="B7" s="6" t="n"/>
      <c r="C7" s="6" t="n">
        <v>-27</v>
      </c>
      <c r="D7" s="6" t="n"/>
      <c r="E7" s="6" t="n"/>
      <c r="F7" s="6" t="n"/>
    </row>
    <row r="8">
      <c r="A8" s="6" t="inlineStr">
        <is>
          <t>Increase/(decrease) in accruals and deferred income</t>
        </is>
      </c>
      <c r="B8" s="6" t="n"/>
      <c r="C8" s="6" t="n">
        <v>4761</v>
      </c>
      <c r="D8" s="6" t="n">
        <v>883</v>
      </c>
      <c r="E8" s="6" t="n">
        <v>-44</v>
      </c>
      <c r="F8" s="6" t="n">
        <v>396</v>
      </c>
    </row>
    <row r="9">
      <c r="A9" s="6" t="inlineStr">
        <is>
          <t>Increase/(decrease) in provision for bad and doubtful debts</t>
        </is>
      </c>
      <c r="B9" s="6" t="n">
        <v>250</v>
      </c>
      <c r="C9" s="6" t="n">
        <v>22</v>
      </c>
      <c r="D9" s="6" t="n">
        <v>-4</v>
      </c>
      <c r="E9" s="6" t="n">
        <v>-21</v>
      </c>
      <c r="F9" s="6" t="n">
        <v>-8</v>
      </c>
    </row>
    <row r="10">
      <c r="A10" s="6" t="inlineStr">
        <is>
          <t>Loans and advances written off net of recoveries</t>
        </is>
      </c>
      <c r="B10" s="6" t="n"/>
      <c r="C10" s="6" t="n"/>
      <c r="D10" s="6" t="n"/>
      <c r="E10" s="6" t="n">
        <v>0</v>
      </c>
      <c r="F10" s="6" t="n">
        <v>0</v>
      </c>
    </row>
    <row r="11">
      <c r="A11" s="6" t="inlineStr">
        <is>
          <t>Depreciation and amortisation</t>
        </is>
      </c>
      <c r="B11" s="6" t="n"/>
      <c r="C11" s="6" t="n">
        <v>237</v>
      </c>
      <c r="D11" s="6" t="n">
        <v>32</v>
      </c>
      <c r="E11" s="6" t="n">
        <v>24</v>
      </c>
      <c r="F11" s="6" t="n">
        <v>42</v>
      </c>
    </row>
    <row r="12">
      <c r="A12" s="6" t="inlineStr">
        <is>
          <t>Depreciation (separate line, FY2025 edition)</t>
        </is>
      </c>
      <c r="B12" s="6" t="n">
        <v>19</v>
      </c>
      <c r="C12" s="6" t="n"/>
      <c r="D12" s="6" t="n"/>
      <c r="E12" s="6" t="n"/>
      <c r="F12" s="6" t="n"/>
    </row>
    <row r="13">
      <c r="A13" s="6" t="inlineStr">
        <is>
          <t>Amortisation (separate line, FY2025 edition)</t>
        </is>
      </c>
      <c r="B13" s="6" t="n">
        <v>470</v>
      </c>
      <c r="C13" s="6" t="n"/>
      <c r="D13" s="6" t="n"/>
      <c r="E13" s="6" t="n"/>
      <c r="F13" s="6" t="n"/>
    </row>
    <row r="14">
      <c r="A14" s="6" t="inlineStr">
        <is>
          <t>Fair value movement on derivatives (FY2025 edition)</t>
        </is>
      </c>
      <c r="B14" s="6" t="n">
        <v>-211</v>
      </c>
      <c r="C14" s="6" t="n"/>
      <c r="D14" s="6" t="n"/>
      <c r="E14" s="6" t="n"/>
      <c r="F14" s="6" t="n"/>
    </row>
    <row r="15">
      <c r="A15" s="6" t="inlineStr">
        <is>
          <t>Interest income from debt securities (FY2025 edition)</t>
        </is>
      </c>
      <c r="B15" s="6" t="n">
        <v>-3742</v>
      </c>
      <c r="C15" s="6" t="n"/>
      <c r="D15" s="6" t="n"/>
      <c r="E15" s="6" t="n"/>
      <c r="F15" s="6" t="n"/>
    </row>
    <row r="16">
      <c r="A16" s="6" t="inlineStr">
        <is>
          <t>Taxation - credit</t>
        </is>
      </c>
      <c r="B16" s="6" t="n"/>
      <c r="C16" s="6" t="n">
        <v>-104</v>
      </c>
      <c r="D16" s="6" t="n">
        <v>-123</v>
      </c>
      <c r="E16" s="6" t="n">
        <v>-38</v>
      </c>
      <c r="F16" s="6" t="n">
        <v>0</v>
      </c>
    </row>
    <row r="17">
      <c r="A17" s="5" t="inlineStr">
        <is>
          <t>Net cash outflow from trading activities ('Total' in the FY2025 edition)</t>
        </is>
      </c>
      <c r="B17" s="5" t="n">
        <v>-12425</v>
      </c>
      <c r="C17" s="5" t="n">
        <v>-6183</v>
      </c>
      <c r="D17" s="5" t="n">
        <v>-6711</v>
      </c>
      <c r="E17" s="5" t="n">
        <v>-4270</v>
      </c>
      <c r="F17" s="5" t="n">
        <v>-3242</v>
      </c>
    </row>
    <row r="18">
      <c r="A18" s="6" t="inlineStr">
        <is>
          <t>Net (increase)/decrease in loans and advances to credit institutions and customers (customers only from FY2025)</t>
        </is>
      </c>
      <c r="B18" s="6" t="n">
        <v>-450539</v>
      </c>
      <c r="C18" s="6" t="n">
        <v>-86137</v>
      </c>
      <c r="D18" s="6" t="n">
        <v>3951</v>
      </c>
      <c r="E18" s="6" t="n">
        <v>2018</v>
      </c>
      <c r="F18" s="6" t="n">
        <v>1328</v>
      </c>
    </row>
    <row r="19">
      <c r="A19" s="6" t="inlineStr">
        <is>
          <t>Decrease/(increase) in financial assets / treasury bills</t>
        </is>
      </c>
      <c r="B19" s="6" t="n"/>
      <c r="C19" s="6" t="n">
        <v>-22843</v>
      </c>
      <c r="D19" s="6" t="n">
        <v>-13750</v>
      </c>
      <c r="E19" s="6" t="n">
        <v>3250</v>
      </c>
      <c r="F19" s="6" t="n">
        <v>-4250</v>
      </c>
    </row>
    <row r="20">
      <c r="A20" s="6" t="inlineStr">
        <is>
          <t>Increase/(decrease) in deposits by customers</t>
        </is>
      </c>
      <c r="B20" s="6" t="n">
        <v>469366</v>
      </c>
      <c r="C20" s="6" t="n">
        <v>97569</v>
      </c>
      <c r="D20" s="6" t="n">
        <v>-1100</v>
      </c>
      <c r="E20" s="6" t="n">
        <v>-3518</v>
      </c>
      <c r="F20" s="6" t="n">
        <v>-1837</v>
      </c>
    </row>
    <row r="21">
      <c r="A21" s="6" t="inlineStr">
        <is>
          <t>Increase/(decrease) in other assets</t>
        </is>
      </c>
      <c r="B21" s="6" t="n">
        <v>-5262</v>
      </c>
      <c r="C21" s="6" t="n">
        <v>-3082</v>
      </c>
      <c r="D21" s="6" t="n">
        <v>167</v>
      </c>
      <c r="E21" s="6" t="n">
        <v>-81</v>
      </c>
      <c r="F21" s="6" t="n">
        <v>8</v>
      </c>
    </row>
    <row r="22">
      <c r="A22" s="6" t="inlineStr">
        <is>
          <t>(Increase)/decrease in accrued income and prepayments (FY2025 edition, below the subtotal)</t>
        </is>
      </c>
      <c r="B22" s="6" t="n">
        <v>164</v>
      </c>
      <c r="C22" s="6" t="n"/>
      <c r="D22" s="6" t="n"/>
      <c r="E22" s="6" t="n"/>
      <c r="F22" s="6" t="n"/>
    </row>
    <row r="23">
      <c r="A23" s="6" t="inlineStr">
        <is>
          <t>Increase/(decrease) in other liabilities (FY2025 edition, below the subtotal)</t>
        </is>
      </c>
      <c r="B23" s="6" t="n">
        <v>-74</v>
      </c>
      <c r="C23" s="6" t="n"/>
      <c r="D23" s="6" t="n"/>
      <c r="E23" s="6" t="n"/>
      <c r="F23" s="6" t="n"/>
    </row>
    <row r="24">
      <c r="A24" s="5" t="inlineStr">
        <is>
          <t>Net cash (outflow)/inflow from operating activities</t>
        </is>
      </c>
      <c r="B24" s="5" t="n">
        <v>1230</v>
      </c>
      <c r="C24" s="5" t="n">
        <v>-20676</v>
      </c>
      <c r="D24" s="5" t="n">
        <v>-17679</v>
      </c>
      <c r="E24" s="5" t="n">
        <v>-2601</v>
      </c>
      <c r="F24" s="5" t="n">
        <v>-7994</v>
      </c>
    </row>
    <row r="25">
      <c r="A25" s="5" t="inlineStr">
        <is>
          <t>Cash flow from investing activities</t>
        </is>
      </c>
      <c r="B25" s="6" t="n"/>
      <c r="C25" s="6" t="n"/>
      <c r="D25" s="6" t="n"/>
      <c r="E25" s="6" t="n"/>
      <c r="F25" s="6" t="n"/>
    </row>
    <row r="26">
      <c r="A26" s="6" t="inlineStr">
        <is>
          <t>Purchase of debt securities (FY2025 edition)</t>
        </is>
      </c>
      <c r="B26" s="6" t="n">
        <v>-215414</v>
      </c>
      <c r="C26" s="6" t="n"/>
      <c r="D26" s="6" t="n"/>
      <c r="E26" s="6" t="n"/>
      <c r="F26" s="6" t="n"/>
    </row>
    <row r="27">
      <c r="A27" s="6" t="inlineStr">
        <is>
          <t>Proceeds from sale/maturity of debt securities (FY2025 edition)</t>
        </is>
      </c>
      <c r="B27" s="6" t="n">
        <v>184972</v>
      </c>
      <c r="C27" s="6" t="n"/>
      <c r="D27" s="6" t="n"/>
      <c r="E27" s="6" t="n"/>
      <c r="F27" s="6" t="n"/>
    </row>
    <row r="28">
      <c r="A28" s="6" t="inlineStr">
        <is>
          <t>Purchase of fixed assets</t>
        </is>
      </c>
      <c r="B28" s="6" t="n">
        <v>-44</v>
      </c>
      <c r="C28" s="6" t="n">
        <v>-36</v>
      </c>
      <c r="D28" s="6" t="n">
        <v>-45</v>
      </c>
      <c r="E28" s="6" t="n">
        <v>-9</v>
      </c>
      <c r="F28" s="6" t="n">
        <v>-42</v>
      </c>
    </row>
    <row r="29">
      <c r="A29" s="6" t="inlineStr">
        <is>
          <t>Purchase of intangible assets</t>
        </is>
      </c>
      <c r="B29" s="6" t="n">
        <v>-1618</v>
      </c>
      <c r="C29" s="6" t="n">
        <v>-1982</v>
      </c>
      <c r="D29" s="6" t="n">
        <v>-307</v>
      </c>
      <c r="E29" s="6" t="n">
        <v>0</v>
      </c>
      <c r="F29" s="6" t="n"/>
    </row>
    <row r="30">
      <c r="A30" s="5" t="inlineStr">
        <is>
          <t>Net cash outflow from investing activities</t>
        </is>
      </c>
      <c r="B30" s="5" t="n">
        <v>-32104</v>
      </c>
      <c r="C30" s="5" t="n">
        <v>-2018</v>
      </c>
      <c r="D30" s="5" t="n">
        <v>-352</v>
      </c>
      <c r="E30" s="5" t="n">
        <v>-9</v>
      </c>
      <c r="F30" s="5" t="n">
        <v>-42</v>
      </c>
    </row>
    <row r="31">
      <c r="A31" s="5" t="inlineStr">
        <is>
          <t>Cash flow from financing activities</t>
        </is>
      </c>
      <c r="B31" s="6" t="n"/>
      <c r="C31" s="6" t="n"/>
      <c r="D31" s="6" t="n"/>
      <c r="E31" s="6" t="n"/>
      <c r="F31" s="6" t="n"/>
    </row>
    <row r="32">
      <c r="A32" s="6" t="inlineStr">
        <is>
          <t>Called up share capital additions</t>
        </is>
      </c>
      <c r="B32" s="6" t="n">
        <v>35000</v>
      </c>
      <c r="C32" s="6" t="n">
        <v>30000</v>
      </c>
      <c r="D32" s="6" t="n">
        <v>20000</v>
      </c>
      <c r="E32" s="6" t="n">
        <v>2000</v>
      </c>
      <c r="F32" s="6" t="n">
        <v>9000</v>
      </c>
    </row>
    <row r="33">
      <c r="A33" s="5" t="inlineStr">
        <is>
          <t>Net cash inflow from financing activities</t>
        </is>
      </c>
      <c r="B33" s="5" t="n">
        <v>35000</v>
      </c>
      <c r="C33" s="5" t="n">
        <v>30000</v>
      </c>
      <c r="D33" s="5" t="n">
        <v>20000</v>
      </c>
      <c r="E33" s="5" t="n">
        <v>2000</v>
      </c>
      <c r="F33" s="5" t="n">
        <v>9000</v>
      </c>
    </row>
    <row r="34">
      <c r="A34" s="5" t="inlineStr">
        <is>
          <t>Increase/(decrease) in cash and cash equivalents</t>
        </is>
      </c>
      <c r="B34" s="5" t="n">
        <v>4126</v>
      </c>
      <c r="C34" s="5" t="n">
        <v>7306</v>
      </c>
      <c r="D34" s="5" t="n">
        <v>1969</v>
      </c>
      <c r="E34" s="5" t="n">
        <v>-610</v>
      </c>
      <c r="F34" s="5" t="n">
        <v>964</v>
      </c>
    </row>
    <row r="35">
      <c r="A35" s="5" t="inlineStr">
        <is>
          <t>Analysis of the balances of cash</t>
        </is>
      </c>
      <c r="B35" s="6" t="n"/>
      <c r="C35" s="6" t="n"/>
      <c r="D35" s="6" t="n"/>
      <c r="E35" s="6" t="n"/>
      <c r="F35" s="6" t="n"/>
    </row>
    <row r="36">
      <c r="A36" s="6" t="inlineStr">
        <is>
          <t>Cash at bank at beginning of year</t>
        </is>
      </c>
      <c r="B36" s="6" t="n">
        <v>11163</v>
      </c>
      <c r="C36" s="6" t="n">
        <v>3866</v>
      </c>
      <c r="D36" s="6" t="n">
        <v>1897</v>
      </c>
      <c r="E36" s="6" t="n">
        <v>2506</v>
      </c>
      <c r="F36" s="6" t="n"/>
    </row>
    <row r="37">
      <c r="A37" s="5" t="inlineStr">
        <is>
          <t>Cash at bank at end of year</t>
        </is>
      </c>
      <c r="B37" s="5" t="n">
        <v>15289</v>
      </c>
      <c r="C37" s="5" t="n">
        <v>11172</v>
      </c>
      <c r="D37" s="5" t="n">
        <v>3866</v>
      </c>
      <c r="E37" s="5" t="n">
        <v>1896</v>
      </c>
      <c r="F37" s="5" t="n">
        <v>2506</v>
      </c>
    </row>
    <row r="39" ht="280" customHeight="1">
      <c r="A39" s="8" t="inlineStr">
        <is>
          <t>Sources - Birmingham Bank Limited's own Statement of Cash Flows (FRS 102), all figures GBP'000:
FY2025: Full accounts made up to 31 Dec 2025 (Board-approved 10 Mar 2026, filed 14 Sep 2026), p.31 (Statement of Cash Flows, presented as the first note) - https://find-and-update.company-information.service.gov.uk/company/00555071/filing-history/MzU0NDA2NTQ1MWFkaXF6a2N4/document?format=pdf&amp;download=0
FY2024: Full accounts made up to 31 Dec 2024 (filed 31 Mar 2025), p.25 (Statement of Cash Flows) - https://find-and-update.company-information.service.gov.uk/company/00555071/filing-history/MzQ2MDU0MTMzM2FkaXF6a2N4/document?format=pdf&amp;download=0
FY2023: Full accounts made up to 31 Dec 2023 (filed 20 Mar 2024), p.26 (Statement of Cash Flows) - https://find-and-update.company-information.service.gov.uk/company/00555071/filing-history/MzQxNDU2Njk3NGFkaXF6a2N4/document?format=pdf&amp;download=0
FY2022 &amp; FY2021: Amended full accounts made up to 31 Dec 2022 (filed 25 Oct 2023), p.28 (Statement of Cash Flows)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Four Companies House accounts filings exist (FY2022-FY2025, calendar year-end); there is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FY2025 ADDED 2026-09-18 (GA-003). Latest-edition check made against the Bank's own site and Companies House on 18 Sep 2026: the FY2025 full accounts (51pp, Board-approved 10 March 2026) were filed at Companies House on 14 SEPTEMBER 2026, four days before this check, and are the newest edition of any kind. PUBLICATION LAG, for the next session: the Bank approves its accounts in Feb/March and files them at Companies House between March and September (FY2023 filed 20 Mar 2024, FY2024 filed 31 Mar 2025, FY2025 approved 10 Mar 2026 but not filed until 14 Sep 2026 - a six-month gap between signature and filing). A FY2026 edition should therefore not be looked for before about March 2027, and might not appear at Companies House until September 2027.
THE FY2025 EDITION IS AN IMAGE-ONLY SCAN, exactly as the FY2024 one was: 51 pages with no text layer. Every FY2025 figure in this workbook was read from an OCR pass over that scan and then confirmed two ways - by arithmetic (each statement's own footings and cross-footings reproduce exactly: assets 644,796; liabilities 580,892; equity 63,904; cash-flow subtotals -12,425 / 1,230 / -32,104 / 4,126; closing cash 15,289 = 14,686 + 603) and by eye against a 140-dpi render of the page. Where a FY2024 comparative in the FY2025 edition reproduces a figure this workbook already held from the FY2024 edition (LCR 725%, depreciation 32 + amortisation 205 = the 237 already on the Cash Flow sheet, interest payable 1,997, loss for the year 10,844, total equity 38,115), that agreement is itself an OCR control and is what establishes the reading is sound.
DATA NOTE: the FY2024 filing's own 'Analysis of the balances of cash' table mislabels its opening-balance column '01.01.2023' (should read 01.01.2024) - the VALUE (GBP3,866k) is used as printed, since it exactly matches FY2023's own reported closing balance; only the column label in the source appears to be a typo, not the figure. Separately, the FY2022 filing's own closing balance (GBP1,896k, rounded from the exact GBP1,895,707) differs by an immaterial GBP1k from FY2023's own filing's stated opening balance (GBP1,897k) for the same date - both are shown here exactly as each filing states them, not forced to match. FY2021's own opening cash balance is not available in any filing found (the FY2022 filing's comparative column starts from FY2021's closing balance only) - left blank, not estimated.
FY2024 IS RESTATED AND RE-CUT IN THE FY2025 EDITION, AND THIS WORKBOOK DOES NOT ADOPT THE RESTATEMENT. Each year's column is that year's OWN filing, this project's standing convention, so the FY2024 column below is still the FY2024 filing's own presentation. For the record, the FY2025 edition's FY2024 comparative column differs as follows: total assets 148,505 (this workbook: 151,081); total liabilities 110,390 (112,966); cash at bank / loans and advances to banks 11,163 (11,172); debt securities 42,937 (43,093); loans and advances to customers 88,635 (90,310); other assets 2,900 (3,617); prepayments 672 (691); customer deposits 108,309 (106,868); other liabilities 2,081 (6,098); gross loans 90,361 (90,352); total interest receivable 4,321 (4,436); administrative expenses 13,277 (13,155 plus 237 of depreciation and amortisation shown separately). Total equity (38,115), retained earnings (-24,885), share capital (60,138), share premium (2,862), loss for the year (-10,844) and the FY2024 capital ratio (76%, printed as 76.03% in the FY2025 Strategic Report) are unchanged between the two editions. What can be said from the documents alone is that it is a reclassification and not a correction touching equity: assets fall by GBP2,576k (717 + 156 + 1,675 + 9 + 19 across the five asset lines) and liabilities fall by the same GBP2,576k (other liabilities -4,017, customer deposits +1,441, the latter being the accrued deposit interest that the FY2025 edition's Note 20 says is now included within the deposit balance). No reason for the re-cut is given in either edition, and none is invented here.
HOW THE FY2025 EDITION'S CASH FLOW STATEMENT MAPS ONTO THIS SHEET. The FY2025 edition re-presents the statement, and the two presentations strike their first subtotal in different places: the FY2021-FY2024 editions' 'Net cash outflow from trading activities' includes the movements in prepayments and in accruals, whereas the FY2025 edition's 'Total' (GBP(12,425)k) is struck BEFORE any working-capital movement and shows those two movements underneath, inside a 'Changes in operating assets and liabilities' block. The rows are ordered here so that BOTH bases foot in their own column without anything being re-derived: FY2025's prepayments (+164) and other liabilities (-74) movements sit on their own rows below the subtotal, and FY2025's non-cash adjustments sit above it. Every column of this sheet reconciles to its own edition's printed subtotal: FY2025 -9,211 + 250 + 19 + 470 - 211 - 3,742 = -12,425, then -450,539 + 469,366 - 5,262 + 164 - 74 = +13,655 giving the printed +1,230.
Renames and re-cuts, recorded rather than merged:
  - The FY2025 edition prints 'Depreciation' (19) and 'Amortisation' (470) as two lines where earlier editions printed one combined 'Depreciation and amortisation' line. Both are carried as the source prints them; they are NOT summed onto the legacy row. Note 8 shows the same two figures inside administrative expenses. The FY2025 edition's FY2024 comparative for these two lines (32 + 205 = 237) reproduces this workbook's existing FY2024 combined figure exactly - which is one of the controls that establishes the OCR reading of this scan is sound.
  - 'Fair value movement on derivatives' (FY2025, -211) is NOT the same row as 'Increase in derivative financial asset' (FY2024, -27): the FY2025 edition prints the FY2024 comparative of its own row as +27, the opposite sign. Kept as two rows.
  - 'Interest income from debt securities' (-3,742) has no counterpart before FY2025: earlier editions did not strip accrued securities interest out of the operating reconciliation.
  - Purchases and maturities of debt securities move from the operating section ('Decrease/(increase) in financial assets / treasury bills') to the INVESTING section in FY2025, where they are shown gross (-215,414 and +184,972). The legacy operating row is therefore blank for FY2025, and the investing block foots for both bases because the blank cells contribute nothing.
  - 'Taxation - credit' is blank for FY2025: the FY2025 edition prints that line with a figure in the 2024 column only and nothing in the 2025 column.
FY2025 OPENING CASH. The FY2025 edition's 'Analysis of the balances of cash' opens at GBP11,163k where the FY2024 edition closed at GBP11,172k - the same GBP9k reclassification described in the restatement note above, and the same class of inter-edition difference already documented between FY2022 and FY2023. Both are shown exactly as each filing states them, not forced to match. Closing cash of GBP15,289k ties to the balance sheet as GBP14,686k at the Bank of England plus GBP603k at commercial banks (Note 13).</t>
        </is>
      </c>
    </row>
  </sheetData>
  <mergeCells count="1">
    <mergeCell ref="A39:F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Birmingham Bank Limited — Asset Quality</t>
        </is>
      </c>
    </row>
    <row r="2">
      <c r="A2" s="2" t="inlineStr">
        <is>
          <t>Bank-solo basis, FRS 102,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t>
        </is>
      </c>
      <c r="B4" s="6" t="n"/>
      <c r="C4" s="6" t="n"/>
      <c r="D4" s="6" t="n"/>
      <c r="E4" s="6" t="n"/>
      <c r="F4" s="6" t="n"/>
    </row>
    <row r="5">
      <c r="A5" s="6" t="inlineStr">
        <is>
          <t>Gross loans and advances to customers</t>
        </is>
      </c>
      <c r="B5" s="6" t="n">
        <v>549420</v>
      </c>
      <c r="C5" s="6" t="n">
        <v>90352</v>
      </c>
      <c r="D5" s="6" t="n">
        <v>4215</v>
      </c>
      <c r="E5" s="6" t="n">
        <v>6879</v>
      </c>
      <c r="F5" s="6" t="n">
        <v>8901</v>
      </c>
    </row>
    <row r="6">
      <c r="A6" s="6" t="inlineStr">
        <is>
          <t>Effective interest rate adjustment (FY2025 edition only)</t>
        </is>
      </c>
      <c r="B6" s="6" t="n">
        <v>-10205</v>
      </c>
      <c r="C6" s="6" t="n"/>
      <c r="D6" s="6" t="n"/>
      <c r="E6" s="6" t="n"/>
      <c r="F6" s="6" t="n"/>
    </row>
    <row r="7">
      <c r="A7" s="6" t="inlineStr">
        <is>
          <t>Bad debt provisions</t>
        </is>
      </c>
      <c r="B7" s="6" t="n">
        <v>-292</v>
      </c>
      <c r="C7" s="6" t="n">
        <v>-42</v>
      </c>
      <c r="D7" s="6" t="n">
        <v>-20</v>
      </c>
      <c r="E7" s="6" t="n">
        <v>-12</v>
      </c>
      <c r="F7" s="6" t="n">
        <v>-33</v>
      </c>
    </row>
    <row r="8">
      <c r="A8" s="6" t="inlineStr">
        <is>
          <t>Fair value adjustment for hedged asset (FY2025 edition only)</t>
        </is>
      </c>
      <c r="B8" s="6" t="n">
        <v>1449</v>
      </c>
      <c r="C8" s="6" t="n"/>
      <c r="D8" s="6" t="n"/>
      <c r="E8" s="6" t="n"/>
      <c r="F8" s="6" t="n"/>
    </row>
    <row r="9">
      <c r="A9" s="5" t="inlineStr">
        <is>
          <t>Net loans and advances to customers</t>
        </is>
      </c>
      <c r="B9" s="5" t="n">
        <v>540372</v>
      </c>
      <c r="C9" s="5" t="n">
        <v>90310</v>
      </c>
      <c r="D9" s="5" t="n">
        <v>4195</v>
      </c>
      <c r="E9" s="5" t="n">
        <v>6867</v>
      </c>
      <c r="F9" s="5" t="n">
        <v>8868</v>
      </c>
    </row>
    <row r="10">
      <c r="A10" s="5" t="inlineStr">
        <is>
          <t>Gross loan book by maturity (FY2021-FY2024 editions' own maturity analysis)</t>
        </is>
      </c>
      <c r="B10" s="6" t="n"/>
      <c r="C10" s="6" t="n"/>
      <c r="D10" s="6" t="n"/>
      <c r="E10" s="6" t="n"/>
      <c r="F10" s="6" t="n"/>
    </row>
    <row r="11">
      <c r="A11" s="6" t="inlineStr">
        <is>
          <t>Repayable on demand</t>
        </is>
      </c>
      <c r="B11" s="6" t="n"/>
      <c r="C11" s="6" t="n">
        <v>5</v>
      </c>
      <c r="D11" s="6" t="n">
        <v>5</v>
      </c>
      <c r="E11" s="6" t="n">
        <v>13</v>
      </c>
      <c r="F11" s="6" t="n">
        <v>44</v>
      </c>
    </row>
    <row r="12">
      <c r="A12" s="6" t="inlineStr">
        <is>
          <t>Repayable within 3 months</t>
        </is>
      </c>
      <c r="B12" s="6" t="n"/>
      <c r="C12" s="6" t="n">
        <v>277</v>
      </c>
      <c r="D12" s="6" t="n">
        <v>409</v>
      </c>
      <c r="E12" s="6" t="n">
        <v>927</v>
      </c>
      <c r="F12" s="6" t="n">
        <v>1182</v>
      </c>
    </row>
    <row r="13">
      <c r="A13" s="6" t="inlineStr">
        <is>
          <t>Repayable between 3 months and one year</t>
        </is>
      </c>
      <c r="B13" s="6" t="n"/>
      <c r="C13" s="6" t="n">
        <v>611</v>
      </c>
      <c r="D13" s="6" t="n">
        <v>1198</v>
      </c>
      <c r="E13" s="6" t="n">
        <v>2374</v>
      </c>
      <c r="F13" s="6" t="n">
        <v>2919</v>
      </c>
    </row>
    <row r="14">
      <c r="A14" s="6" t="inlineStr">
        <is>
          <t>Repayable between one year and five years</t>
        </is>
      </c>
      <c r="B14" s="6" t="n"/>
      <c r="C14" s="6" t="n">
        <v>89459</v>
      </c>
      <c r="D14" s="6" t="n">
        <v>2603</v>
      </c>
      <c r="E14" s="6" t="n">
        <v>3564</v>
      </c>
      <c r="F14" s="6" t="n">
        <v>4758</v>
      </c>
    </row>
    <row r="15">
      <c r="A15" s="5" t="inlineStr">
        <is>
          <t>Loan book by interest-rate re-pricing band (FY2025 edition, Note 29 - net carrying amount)</t>
        </is>
      </c>
      <c r="B15" s="6" t="n"/>
      <c r="C15" s="6" t="n"/>
      <c r="D15" s="6" t="n"/>
      <c r="E15" s="6" t="n"/>
      <c r="F15" s="6" t="n"/>
    </row>
    <row r="16">
      <c r="A16" s="6" t="inlineStr">
        <is>
          <t>Not more than 3 months</t>
        </is>
      </c>
      <c r="B16" s="6" t="n">
        <v>18</v>
      </c>
      <c r="C16" s="6" t="n"/>
      <c r="D16" s="6" t="n"/>
      <c r="E16" s="6" t="n"/>
      <c r="F16" s="6" t="n"/>
    </row>
    <row r="17">
      <c r="A17" s="6" t="inlineStr">
        <is>
          <t>3 months to 1 year</t>
        </is>
      </c>
      <c r="B17" s="6" t="n">
        <v>8031</v>
      </c>
      <c r="C17" s="6" t="n"/>
      <c r="D17" s="6" t="n"/>
      <c r="E17" s="6" t="n"/>
      <c r="F17" s="6" t="n"/>
    </row>
    <row r="18">
      <c r="A18" s="6" t="inlineStr">
        <is>
          <t>1 year to 5 years</t>
        </is>
      </c>
      <c r="B18" s="6" t="n">
        <v>532323</v>
      </c>
      <c r="C18" s="6" t="n"/>
      <c r="D18" s="6" t="n"/>
      <c r="E18" s="6" t="n"/>
      <c r="F18" s="6" t="n"/>
    </row>
    <row r="19">
      <c r="A19" s="5" t="inlineStr">
        <is>
          <t>Loans and advances to customers (net, per Note 29)</t>
        </is>
      </c>
      <c r="B19" s="5" t="n">
        <v>540372</v>
      </c>
      <c r="C19" s="5" t="n"/>
      <c r="D19" s="5" t="n"/>
      <c r="E19" s="5" t="n"/>
      <c r="F19" s="5" t="n"/>
    </row>
    <row r="20">
      <c r="A20" s="5" t="inlineStr">
        <is>
          <t>Coverage</t>
        </is>
      </c>
      <c r="B20" s="6" t="n"/>
      <c r="C20" s="6" t="n"/>
      <c r="D20" s="6" t="n"/>
      <c r="E20" s="6" t="n"/>
      <c r="F20" s="6" t="n"/>
    </row>
    <row r="21">
      <c r="A21" s="6" t="inlineStr">
        <is>
          <t>Bad debt provision coverage (Provision / Gross loans)</t>
        </is>
      </c>
      <c r="B21" s="6" t="inlineStr">
        <is>
          <t>0.05%</t>
        </is>
      </c>
      <c r="C21" s="6" t="inlineStr">
        <is>
          <t>0.05%</t>
        </is>
      </c>
      <c r="D21" s="6" t="inlineStr">
        <is>
          <t>0.47%</t>
        </is>
      </c>
      <c r="E21" s="6" t="inlineStr">
        <is>
          <t>0.17%</t>
        </is>
      </c>
      <c r="F21" s="6" t="inlineStr">
        <is>
          <t>0.37%</t>
        </is>
      </c>
    </row>
    <row r="23" ht="280" customHeight="1">
      <c r="A23" s="8" t="inlineStr">
        <is>
          <t>Sources - Birmingham Bank Limited's own primary financial statements (FRS 102), all figures GBP'000:
FY2025: Full accounts made up to 31 Dec 2025 (Board-approved 10 Mar 2026, filed at Companies House 14 Sep 2026, 51pp), Statement of Comprehensive Income p.28, Statement of Financial Position p.29, Statement of Changes in Equity p.30, Statement of Cash Flows p.31 - https://find-and-update.company-information.service.gov.uk/company/00555071/filing-history/MzU0NDA2NTQ1MWFkaXF6a2N4/document?format=pdf&amp;download=0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Four Companies House accounts filings exist (FY2022-FY2025, calendar year-end); there is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FY2025 ADDED 2026-09-18 (GA-003). Latest-edition check made against the Bank's own site and Companies House on 18 Sep 2026: the FY2025 full accounts (51pp, Board-approved 10 March 2026) were filed at Companies House on 14 SEPTEMBER 2026, four days before this check, and are the newest edition of any kind. PUBLICATION LAG, for the next session: the Bank approves its accounts in Feb/March and files them at Companies House between March and September (FY2023 filed 20 Mar 2024, FY2024 filed 31 Mar 2025, FY2025 approved 10 Mar 2026 but not filed until 14 Sep 2026 - a six-month gap between signature and filing). A FY2026 edition should therefore not be looked for before about March 2027, and might not appear at Companies House until September 2027.
THE FY2025 EDITION IS AN IMAGE-ONLY SCAN, exactly as the FY2024 one was: 51 pages with no text layer. Every FY2025 figure in this workbook was read from an OCR pass over that scan and then confirmed two ways - by arithmetic (each statement's own footings and cross-footings reproduce exactly: assets 644,796; liabilities 580,892; equity 63,904; cash-flow subtotals -12,425 / 1,230 / -32,104 / 4,126; closing cash 15,289 = 14,686 + 603) and by eye against a 140-dpi render of the page. Where a FY2024 comparative in the FY2025 edition reproduces a figure this workbook already held from the FY2024 edition (LCR 725%, depreciation 32 + amortisation 205 = the 237 already on the Cash Flow sheet, interest payable 1,997, loss for the year 10,844, total equity 38,115), that agreement is itself an OCR control and is what establishes the reading is sound.
FY2024 IS RESTATED AND RE-CUT IN THE FY2025 EDITION, AND THIS WORKBOOK DOES NOT ADOPT THE RESTATEMENT. Each year's column is that year's OWN filing, this project's standing convention, so the FY2024 column below is still the FY2024 filing's own presentation. For the record, the FY2025 edition's FY2024 comparative column differs as follows: total assets 148,505 (this workbook: 151,081); total liabilities 110,390 (112,966); cash at bank / loans and advances to banks 11,163 (11,172); debt securities 42,937 (43,093); loans and advances to customers 88,635 (90,310); other assets 2,900 (3,617); prepayments 672 (691); customer deposits 108,309 (106,868); other liabilities 2,081 (6,098); gross loans 90,361 (90,352); total interest receivable 4,321 (4,436); administrative expenses 13,277 (13,155 plus 237 of depreciation and amortisation shown separately). Total equity (38,115), retained earnings (-24,885), share capital (60,138), share premium (2,862), loss for the year (-10,844) and the FY2024 capital ratio (76%, printed as 76.03% in the FY2025 Strategic Report) are unchanged between the two editions. What can be said from the documents alone is that it is a reclassification and not a correction touching equity: assets fall by GBP2,576k (717 + 156 + 1,675 + 9 + 19 across the five asset lines) and liabilities fall by the same GBP2,576k (other liabilities -4,017, customer deposits +1,441, the latter being the accrued deposit interest that the FY2025 edition's Note 20 says is now included within the deposit balance). No reason for the re-cut is given in either edition, and none is invented here.
LINE-BY-LINE MAPPING OF THE FY2025 EDITION ONTO THIS WORKBOOK'S ROWS. The FY2025 edition re-presents every statement, so the rule applied here is: where its line is the same item under a new name, the figure goes on the existing row and the rename is recorded; where its line has no counterpart in the earlier editions, it gets its own row, populated for FY2025 only; and a row the FY2025 edition dropped keeps its FY2021-FY2024 figures and is blank in the FY2025 column. Nothing is merged, summed or re-cut to make the two presentations agree. The cases are:
  - 'Cash at Bank' (FY2021-FY2024) becomes 'Loans and advances to banks' (FY2025, GBP603k), and a new line 'Cash balances at central banks' (GBP14,686k) appears. Note 13 shows the two summing to GBP15,289k. The FY2022/FY2021 'Loans and advances to Banks' row is a DIFFERENT, third line those two editions printed alongside 'Cash at Bank' and is kept separate.
  - 'Treasury Bills and similar securities' is called 'Investment in debt securities' from FY2025; same row, renamed here to carry both names.
  - 'Derivative financial liability' (GBP1,210k) is new in FY2025. The FY2025 edition prints a DASH against it in its own FY2024 comparative column, but the FY2024 edition had no such line at all, so the FY2024 cell here is left blank rather than dashed.
  - 'Derivative financial asset' is printed as a DASH by the FY2025 edition in its own FY2025 column and is carried as a literal '-', per this project's rule that a printed dash is the bank saying 'not applicable to us' and is a different statement from silence. (Consequence worth knowing: verify_workbook.py cannot reconcile a block containing a text cell, so the FY2025 Assets block is skipped by the automated check. It was reconciled by hand: 14,686 + 603 + 77,121 + 540,372 + 8,162 + 508 + 95 + 3,249 = 644,796, the reported total exactly.)
  - The P&amp;L's 'Total income' TOTAL row is renamed 'Total interest receivable and similar income', which is what it has always held, because the FY2025 edition uses the words 'Total income' for a DIFFERENT subtotal (GBP5,872k, struck after interest payable, fees and derivative gains). That FY2025 subtotal is the same cut as the earlier editions' 'Net income', so the two share one row.
  - The FY2025 edition prints no separate 'Depreciation and amortisation' expense line: Note 8 shows depreciation GBP19k and amortisation GBP470k inside administrative expenses of GBP15,184k. The D&amp;A row is therefore blank for FY2025, and is NOT back-derived out of the admin figure.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is disclosed in any year. Off-balance-sheet items are disclosed from FY2024 onward in the commitments note only (FY2025: GBP32.1m of post-offer commitments to lend, FY2024: GBP45.5m) and are not carried as balance-sheet rows.
The Bank reports under FRS 102 (incurred-loss impairment model), not IFRS 9 - no Stage 1/2/3 or non-performing-loan split is disclosed in any year's Annual Report or in any Pillar 3 document published; only a single 'bad debt provisions' balance (with a separate 'general' provision component in FY2021, reduced to nil during 2021) and a maturity-band breakdown of the gross loan book. Coverage ratio shown is Bad debt provisions / Gross loans and advances to customers - a coverage proxy, not an NPL ratio, since no non-performing/past-due balance is disclosed. This remains true of the FY2025 edition, and was tested rather than assumed (OCR text of all 51 pages, 2026-09-18): 'Stage 1', 'Stage 2', 'Stage 3', 'IFRS 9' and 'non-performing' return ZERO hits; 'forbearance' returns 2 and 'past due' 1, all three inside the accounting-policy prose on impaired lending (p.36) and none of them attached to a balance. RICHNESS CONTROL: the same extraction returns 'provision' 52 times and 'impairment' 47, so a zero here is a property of the document, not of the extraction.
FY2025 - TWO SEPARATE MATURITY SECTIONS, BECAUSE THE BANK CHANGED THE TABLE. The FY2021-FY2024 editions each printed a maturity analysis of the GROSS loan book on four 'repayable' bands. The FY2025 edition drops that table and, in its Note 15, refers the reader instead to Note 29, which is a table of INTEREST-RATE RE-PRICING mismatches on NET carrying amounts across all balance-sheet lines. Those are different cuts of a different quantity, so they are shown as two sections rather than as one set of rows that silently changes basis at FY2025. FY2025's three bands (18 / 8,031 / 532,323) foot to the GBP540,372k net loans figure on the balance sheet; there is no 'repayable on demand' or 'over 5 years' band in that table.
FY2025 build-up of the loan book, as Note 15 prints it: gross loans 549,420, less an effective interest rate adjustment of 10,205 (= 539,215, the edition's own 'total gross loans after EIR adjustment'), less provision for impairment losses 292 (= 538,923, its 'total net loans'), plus a fair value adjustment for the hedged asset of 1,449 = 540,372. The two intermediate subtotals are recorded here rather than given TOTAL rows of their own, so that the one TOTAL row on this section means the same thing in every year. The coverage ratio is computed on the same definition as every other year - 292 / 549,420 = 0.053%, shown as 0.05% - i.e. against gross loans BEFORE the EIR adjustment.
NOT CARRIED, AND WHY. The FY2025 edition's Note 15 adds two breakdowns of the gross mortgage book that no earlier edition published: by region (London GBP217,196k / 39.5% the largest of ten) and by loan-to-value band (GBP447,918k / 81.6% in the 70.01%-80% band, nothing above 90%). Both are printed with a FY2024 comparative, but this project sources each year from its OWN edition and the FY2024 edition is an image-only scan that has not been read for these tables, so carrying them would create rows populated for one year in five. They are recorded here instead. Both tables foot to GBP548,923k, which is neither the gross (549,420) nor the after-EIR (539,215) figure - a GBP497k difference the edition does not explain; reproduced as a fact about the source, not reconciled.</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Birmingham Bank Limited - KM1 Key Metrics</t>
        </is>
      </c>
    </row>
    <row r="2">
      <c r="A2" s="2" t="inlineStr">
        <is>
          <t>Not applicable - the Bank publishes a narrative Pillar 3 and has never printed the UK KM1 template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 metrics' template</t>
        </is>
      </c>
      <c r="B4" s="6" t="inlineStr">
        <is>
          <t>Not applicable</t>
        </is>
      </c>
      <c r="C4" s="6" t="inlineStr">
        <is>
          <t>Not applicable</t>
        </is>
      </c>
      <c r="D4" s="6" t="inlineStr">
        <is>
          <t>Not applicable</t>
        </is>
      </c>
      <c r="E4" s="6" t="inlineStr">
        <is>
          <t>Not applicable</t>
        </is>
      </c>
      <c r="F4" s="6" t="inlineStr">
        <is>
          <t>Not applicable</t>
        </is>
      </c>
    </row>
    <row r="6" ht="520" customHeight="1">
      <c r="A6" s="8" t="inlineStr">
        <is>
          <t>Birmingham Bank Limited has never published the UK KM1 'Key metrics' template. This is a bounded negative, not a gap: every Pillar 3 disclosure the Bank has issued was fetched and read in full (checked 2026-09-16).
EDITIONS CHECKED - three exist, one per year, and each is a different document:
FY2024 (cover: 'For the year ended 31 December 2024'), 24pp - https://www.birminghambank.com/hubfs/Birmingham%20Bank%202024%20Theme/PDFs/09i-Pillar-3-Disclosures-Report-as-at-140425.pdf
FY2023 (cover: 'For the year ended 31 December 2023'), 24pp, md5 ae21adfa2ee6000cf6a8df9801b28487 - https://www.birminghambank.com/wp-content/uploads/Birmingham-Bank-Pillar-3-Disclosures-2022-final.pdf
FY2022 (cover: 'For the year ended 31 December 2022'), 24pp, md5 e1a32b0e3f4a9f64576a9092859f45ab - https://web.archive.org/web/20240224223816id_/https://www.birminghambank.com/wp-content/uploads/Birmingham-Bank-Pillar-3-Disclosures-2022-final.pdf
NOTE ON THOSE LAST TWO URLs: they are the SAME path. The Bank overwrites its Pillar 3 file in place, so the live URL now serves the FY2023 edition while the dated Wayback capture still serves the FY2022 one - which is exactly why the FY2022 citation is pinned to a capture. The two files differ (md5s above). Do not 'simplify' the FY2022 citation to the live URL; that would silently swap the edition.
WHY 'NOT APPLICABLE' RATHER THAN 'NOT FOUND'. Searching each edition's text: 'KM1' occurs 0 times and 'key metric' 0 times, while the same extraction returns CET1/Common Equity 18 times, 'own funds' 3, 'leverage' 5 and LCR 7-9 times in every edition. The extraction demonstrably reaches the capital and liquidity vocabulary where it is printed, so the absence of the template is a property of the documents, not of the tool. The Bank instead publishes a narrative Pillar 3 whose Section 1.4 'Summary Analysis' carries the headline figures; those feed the individual metric sheets in this workbook and are cited there. Nothing on this sheet is back-filled from the statutory accounts.
PARENT CHECKED TOO (a subsidiary's KM1 is often published inside its parent's Pillar 3, as extra columns or an appendix table). Companies House PSC register for company 00555071, read 2026-09-16, shows the controlling party has been: Bira Trading Limited (England, reg 11628600, 75%+) until it CEASED on 8 January 2021; and Better Home And Finance Holding Company (ACTIVE, notified 22 December 2025, 75%+ of shares and voting rights, 3 World Trade Center, New York; governing law Delaware Corporate Law; place registered Delaware; registration number 1484882; incorporated in the United States). A UK private holding company and a US Delaware corporation respectively - neither is a UK CRR institution carrying a Pillar 3 / Article 433 disclosure duty, nor an EU CRR institution carrying an Article 13(1) large-subsidiary duty. So there is no parent Pillar 3 in which a Birmingham Bank KM1 could appear, in any year this workbook covers. (The FY2024 Annual Report could not answer this: it is an image-only scan - 39 pages carrying 38 characters of text layer.)
SDDT IS NOT THE EXPLANATION - see the fuller note on the Total Capital sheet. The Bank does hold the SDDT Rule 3.1 opt-in, but it starts 14/04/2026, which post-dates all three editions above and therefore explains none of them. It is consistent with no FY2025 edition having appeared as at 2026-09-16, when the Bank's own site linked exactly one Pillar 3 document (the FY2024 one).
FY2025 RE-CHECKED 2026-09-18 (GA-003). Still three editions, still no KM1. The Bank's own footer - its only index of regulatory documents, and one carrying policy PDFs version-stamped 14-07-2026, so demonstrably current - links exactly one Pillar 3 report, and that URL still serves the FY2024 edition (fetched 18 Sep 2026: HTTP 200, application/pdf, %PDF magic bytes, cover reads 'For the year ended 31 December 2024'). A Wayback CDX sweep of the domain returns the same five captures and no sixth. So no FY2025 Pillar 3 document exists to hold a KM1 table, and the FY2025 column here is 'Not applicable' on the same footing as the four before it. The FY2025 Annual Report cannot supply one either: 'KM1' and 'key metric' return zero hits across its 51 pages, as do 'CET1', 'own funds', 'leverage' and 'risk weighted', in a document returning 'capital adequacy' 5 times and 'liquidity coverage' twice - so the absence is the document's, not the extraction's. (Unlike the FY2024 scan, the FY2025 scan HAS been OCR'd and read in full for this check, which is why a text search of it can be quoted at all.)
The controlling party finding above is unchanged and is confirmed by the FY2025 accounts themselves: Note 27 states 'The Bank is 100% owned by Better Home and Finance Holding Company. A US listed company.' A US listed holding company carries no UK or EU Pillar 3 disclosure duty, so there is still no parent report in which a Birmingham Bank KM1 could appear.</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inlineStr">
        <is>
          <t>Not publicly disclosed</t>
        </is>
      </c>
      <c r="C4" s="6" t="n">
        <v>35985</v>
      </c>
      <c r="D4" s="6" t="n">
        <v>18617</v>
      </c>
      <c r="E4" s="6" t="n">
        <v>6172</v>
      </c>
      <c r="F4" s="6" t="n">
        <v>8314</v>
      </c>
    </row>
    <row r="5" ht="60" customHeight="1">
      <c r="A5" s="7" t="inlineStr">
        <is>
          <t>Note: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 (= Capital Adequacy Ratio)</t>
        </is>
      </c>
      <c r="B4" s="6" t="inlineStr">
        <is>
          <t>30.43%</t>
        </is>
      </c>
      <c r="C4" s="6" t="inlineStr">
        <is>
          <t>76%</t>
        </is>
      </c>
      <c r="D4" s="6" t="inlineStr">
        <is>
          <t>365%</t>
        </is>
      </c>
      <c r="E4" s="6" t="inlineStr">
        <is>
          <t>90%</t>
        </is>
      </c>
      <c r="F4" s="6" t="inlineStr">
        <is>
          <t>96%</t>
        </is>
      </c>
    </row>
    <row r="5" ht="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n">
        <v>35985</v>
      </c>
      <c r="D4" s="6" t="n">
        <v>18617</v>
      </c>
      <c r="E4" s="6" t="n">
        <v>6172</v>
      </c>
      <c r="F4" s="6" t="n">
        <v>8314</v>
      </c>
    </row>
    <row r="5" ht="60" customHeight="1">
      <c r="A5" s="7" t="inlineStr">
        <is>
          <t>Note: No Additional Tier 1 or Tier 2 capital in any year - equals CET1 Capital exactly.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30.43%</t>
        </is>
      </c>
      <c r="C4" s="6" t="inlineStr">
        <is>
          <t>76%</t>
        </is>
      </c>
      <c r="D4" s="6" t="inlineStr">
        <is>
          <t>365%</t>
        </is>
      </c>
      <c r="E4" s="6" t="inlineStr">
        <is>
          <t>90%</t>
        </is>
      </c>
      <c r="F4" s="6" t="inlineStr">
        <is>
          <t>96%</t>
        </is>
      </c>
    </row>
    <row r="5" ht="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t>
        </is>
      </c>
      <c r="C4" s="6" t="n">
        <v>35985</v>
      </c>
      <c r="D4" s="6" t="n">
        <v>18617</v>
      </c>
      <c r="E4" s="6" t="n">
        <v>6172</v>
      </c>
      <c r="F4" s="6" t="n">
        <v>8314</v>
      </c>
    </row>
    <row r="5" ht="60" customHeight="1">
      <c r="A5" s="7" t="inlineStr">
        <is>
          <t>Note: No Additional Tier 1 or Tier 2 capital in any year - equals CET1 Capital exactly.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 Capital Adequacy Ratio)</t>
        </is>
      </c>
      <c r="B4" s="6" t="inlineStr">
        <is>
          <t>30.43%</t>
        </is>
      </c>
      <c r="C4" s="6" t="inlineStr">
        <is>
          <t>76%</t>
        </is>
      </c>
      <c r="D4" s="6" t="inlineStr">
        <is>
          <t>365%</t>
        </is>
      </c>
      <c r="E4" s="6" t="inlineStr">
        <is>
          <t>90%</t>
        </is>
      </c>
      <c r="F4" s="6" t="inlineStr">
        <is>
          <t>96%</t>
        </is>
      </c>
    </row>
    <row r="5" ht="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publicly disclosed</t>
        </is>
      </c>
      <c r="C4" s="6" t="n">
        <v>47333</v>
      </c>
      <c r="D4" s="6" t="n">
        <v>5229</v>
      </c>
      <c r="E4" s="6" t="n">
        <v>6822</v>
      </c>
      <c r="F4" s="6" t="n">
        <v>8648</v>
      </c>
    </row>
    <row r="5" ht="60" customHeight="1">
      <c r="A5" s="7" t="inlineStr">
        <is>
          <t>Note: FY2023 RWA shown here (GBP5,229k) is the figure the FY2024 Pillar 3 report carries as its FY2023 comparative in Section 1.4 'Summary Analysis'. The FY2023 Pillar 3 report's OWN Section 1.4 states GBP5,101k for that year, and its Section 5 detail table agrees exactly (credit risk GBP4,056k + operational risk GBP1,045k = GBP5,101k). So the ~2.5% difference is a RESTATEMENT between two documents, not an internal inconsistency within one: GBP5,229k is the later, restated view. The restated figure is retained here for consistency with how FY2024 is sourced (both from the FY2024 report), while the RWA Breakdown sheet's FY2023 column ticks to GBP5,101k because its category rows are the as-originally-disclosed ones. Corrected 2026-09-15: this note previously described both figures as coming from the same report's Section 1.4 and Section 5, which is not what the documents say. FY2022 and FY2021 are unaffected - for those years the summary and detail tables agree exactly (6,822 and 8,648 respectively).</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Birmingham Bank Limited — RWA Breakdown</t>
        </is>
      </c>
    </row>
    <row r="2">
      <c r="A2" s="2" t="inlineStr">
        <is>
          <t>Bank-solo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t>
        </is>
      </c>
      <c r="B4" s="6" t="inlineStr">
        <is>
          <t>Not publicly disclosed</t>
        </is>
      </c>
      <c r="C4" s="6" t="n">
        <v>46037</v>
      </c>
      <c r="D4" s="6" t="n">
        <v>4056</v>
      </c>
      <c r="E4" s="6" t="n">
        <v>5797</v>
      </c>
      <c r="F4" s="6" t="n">
        <v>7133</v>
      </c>
    </row>
    <row r="5">
      <c r="A5" s="6" t="inlineStr">
        <is>
          <t>Operational risk</t>
        </is>
      </c>
      <c r="B5" s="6" t="inlineStr">
        <is>
          <t>Not publicly disclosed</t>
        </is>
      </c>
      <c r="C5" s="6" t="n">
        <v>1296</v>
      </c>
      <c r="D5" s="6" t="n">
        <v>1045</v>
      </c>
      <c r="E5" s="6" t="n">
        <v>1025</v>
      </c>
      <c r="F5" s="6" t="n">
        <v>1515</v>
      </c>
    </row>
    <row r="6">
      <c r="A6" s="5" t="inlineStr">
        <is>
          <t>Total RWAs (Pillar 1)</t>
        </is>
      </c>
      <c r="B6" s="5" t="inlineStr">
        <is>
          <t>Not publicly disclosed</t>
        </is>
      </c>
      <c r="C6" s="5" t="n">
        <v>47333</v>
      </c>
      <c r="D6" s="5" t="n">
        <v>5101</v>
      </c>
      <c r="E6" s="5" t="n">
        <v>6822</v>
      </c>
      <c r="F6" s="5" t="n">
        <v>8648</v>
      </c>
    </row>
    <row r="8" ht="200" customHeight="1">
      <c r="A8"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
The Bank has no exposure to market risk under Pillar 1 (per the Pillar 3 report's own statement) - credit risk and operational risk are the only two categories.
FY2022 &amp; FY2021 ADDED 2026-09-15, correcting a prior claim. This sheet previously stated that 'no Pillar 3 document covers those years'. That was wrong: a Wayback CDX sweep of birminghambank.com recovered 'Birmingham-Bank-Pillar-3-Disclosures-2022-final.pdf', a genuine text-layer Pillar 3 report headed 'For the year ended 31 December 2022', whose Section 5.2 RWA detail table gives both FY2022 and its FY2021 comparative:
  FY2022 - total credit risk exposure 5,797 + operational risk 1,025 = 6,822
  FY2021 - total credit risk exposure 7,133 + operational risk 1,515 = 8,648
Both tie exactly to that same document's Section 1.4 'Summary Analysis' headline Risk Weighted assets row (6,822 and 8,648). Source: https://web.archive.org/web/20240224223816id_/https://www.birminghambank.com/wp-content/uploads/Birmingham-Bank-Pillar-3-Disclosures-2022-final.pdf
FY2022 is further corroborated INDEPENDENTLY by the FY2023 Pillar 3 report, whose own comparative column reproduces 5,797 + 1,025 = 6,822 exactly. A third consistency check: this document's Section 1.4 liquidity coverage ratios (FY2022 2,983%, FY2021 16,250%) reproduce the LCR figures already carried on this workbook's LCR sheet for those years, confirming the same entity and basis.
CITATION TRAP - do not 'simplify' the FY2022 URL to the live one. The bank has re-uploaded its FY2023 report OVER that filename, so the live https://www.birminghambank.com/wp-content/uploads/Birmingham-Bank-Pillar-3-Disclosures-2022-final.pdf returns HTTP 200 but serves the year-ended-31-December-2023 document. The Wayback snapshot above is the only reliable route to the real FY2022 edition. (Verified 2026-09-15: the live file's first page reads 'For the year ended 31 December 2023'.)
Also recovered but NOT used: a 'Birmingham-Bank-Pillar-3.pdf' for the year ended 31 December 2020, archived 2021-08-05. FY2020 is outside this workbook's YEARS range, so it is recorded here only as a known-existing document should the range ever be extended.
FY2025 IS MARKED 'Not publicly disclosed' ON ALL THREE ROWS, NOT LEFT BLANK. There is no FY2025 Pillar 3 report (see the dated three-route check in the sources above), and the FY2025 Annual Report prints no RWA figure of any kind: 'risk weighted' and 'risk-weighted' return zero hits across its 51 pages, and the 11 apparent hits on the bare string 'RWA' are all the letter sequence inside 'forward' and 'straightforward'. So there is no FY2025 total to break down and no categories to break it into.</t>
        </is>
      </c>
    </row>
  </sheetData>
  <mergeCells count="1">
    <mergeCell ref="A8:F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24%</t>
        </is>
      </c>
      <c r="D4" s="6" t="inlineStr">
        <is>
          <t>63%</t>
        </is>
      </c>
      <c r="E4" s="6" t="inlineStr">
        <is>
          <t>36%</t>
        </is>
      </c>
      <c r="F4" s="6" t="inlineStr">
        <is>
          <t>37%</t>
        </is>
      </c>
    </row>
    <row r="5" ht="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460%</t>
        </is>
      </c>
      <c r="C4" s="6" t="inlineStr">
        <is>
          <t>725%</t>
        </is>
      </c>
      <c r="D4" s="6" t="inlineStr">
        <is>
          <t>11,351%</t>
        </is>
      </c>
      <c r="E4" s="6" t="inlineStr">
        <is>
          <t>2,983%</t>
        </is>
      </c>
      <c r="F4" s="6" t="inlineStr">
        <is>
          <t>16,250%</t>
        </is>
      </c>
    </row>
    <row r="5" ht="60" customHeight="1">
      <c r="A5" s="7" t="inlineStr">
        <is>
          <t>Note: FY2022/FY2023 figures (2,983% / 11,351%) are genuinely this large - a small, low-loan-volume bank holding a large liquidity buffer relative to its (paused) lending book during its 2023 infrastructure-build year. Not a transcription error - see ENTITY_NOTE on the Cash Flow sheet.</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Birmingham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found in any Annual Report or in any of the three Pillar 3 documents published. Re-tested on the FY2025 Annual Report, 2026-09-18: 'NSFR' and 'net stable' each return zero hits across its 51 pages, in a document returning 'liquidity coverage' twice and 'cash flow' 23 times - so the term is absent from the document, not from the extraction.</t>
        </is>
      </c>
    </row>
    <row r="7" ht="15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Birmingham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found - the Bank is small enough to plausibly sit below the BoE's MREL threshold, but no explicit statement to that effect was found either. Re-tested on the FY2025 Annual Report, 2026-09-18: 'MREL' returns zero hits across its 51 pages, with the same richness control as the NSFR sheet.</t>
        </is>
      </c>
    </row>
    <row r="7" ht="15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2026-09-18T08:17:02Z</dcterms:created>
  <dcterms:modified xmlns:dcterms="http://purl.org/dc/terms/" xmlns:xsi="http://www.w3.org/2001/XMLSchema-instance" xsi:type="dcterms:W3CDTF">2026-09-18T08:17:02Z</dcterms:modified>
</cp:coreProperties>
</file>