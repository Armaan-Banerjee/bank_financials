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'Overview'!AC21</f>
            </strRef>
          </tx>
          <spPr>
            <a:ln xmlns:a="http://schemas.openxmlformats.org/drawingml/2006/main">
              <a:prstDash val="solid"/>
            </a:ln>
          </spPr>
          <cat>
            <numRef>
              <f>'Overview'!$AD$20:$AG$20</f>
            </numRef>
          </cat>
          <val>
            <numRef>
              <f>'Overview'!$AD$21:$AG$21</f>
            </numRef>
          </val>
        </ser>
        <ser>
          <idx val="1"/>
          <order val="1"/>
          <tx>
            <strRef>
              <f>'Overview'!AC22</f>
            </strRef>
          </tx>
          <spPr>
            <a:ln xmlns:a="http://schemas.openxmlformats.org/drawingml/2006/main">
              <a:prstDash val="solid"/>
            </a:ln>
          </spPr>
          <cat>
            <numRef>
              <f>'Overview'!$AD$20:$AG$20</f>
            </numRef>
          </cat>
          <val>
            <numRef>
              <f>'Overview'!$AD$22:$AG$22</f>
            </numRef>
          </val>
        </ser>
        <ser>
          <idx val="2"/>
          <order val="2"/>
          <tx>
            <strRef>
              <f>'Overview'!AC23</f>
            </strRef>
          </tx>
          <spPr>
            <a:ln xmlns:a="http://schemas.openxmlformats.org/drawingml/2006/main">
              <a:prstDash val="solid"/>
            </a:ln>
          </spPr>
          <cat>
            <numRef>
              <f>'Overview'!$AD$20:$AG$20</f>
            </numRef>
          </cat>
          <val>
            <numRef>
              <f>'Overview'!$AD$23:$AG$23</f>
            </numRef>
          </val>
        </ser>
        <ser>
          <idx val="3"/>
          <order val="3"/>
          <tx>
            <strRef>
              <f>'Overview'!AC24</f>
            </strRef>
          </tx>
          <spPr>
            <a:ln xmlns:a="http://schemas.openxmlformats.org/drawingml/2006/main">
              <a:prstDash val="solid"/>
            </a:ln>
          </spPr>
          <cat>
            <numRef>
              <f>'Overview'!$AD$20:$AG$20</f>
            </numRef>
          </cat>
          <val>
            <numRef>
              <f>'Overview'!$AD$24:$AG$24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151081</v>
      </c>
      <c r="C6" s="5" t="n">
        <v>29595</v>
      </c>
      <c r="D6" s="5" t="n">
        <v>17059</v>
      </c>
      <c r="E6" s="5" t="n">
        <v>22777</v>
      </c>
      <c r="H6" t="inlineStr">
        <is>
          <t>Total assets</t>
        </is>
      </c>
      <c r="I6" t="n">
        <v>22777</v>
      </c>
      <c r="J6" t="n">
        <v>17059</v>
      </c>
      <c r="K6" t="n">
        <v>29595</v>
      </c>
      <c r="L6" t="n">
        <v>151081</v>
      </c>
      <c r="AJ6" t="inlineStr">
        <is>
          <t>CET1 Ratio</t>
        </is>
      </c>
      <c r="AK6" t="n">
        <v>96</v>
      </c>
      <c r="AL6" t="n">
        <v>90</v>
      </c>
      <c r="AM6" t="n">
        <v>365</v>
      </c>
      <c r="AN6" t="n">
        <v>76</v>
      </c>
    </row>
    <row r="7">
      <c r="A7" s="5" t="inlineStr">
        <is>
          <t>Total liabilities</t>
        </is>
      </c>
      <c r="B7" s="5" t="n">
        <v>112966</v>
      </c>
      <c r="C7" s="5" t="n">
        <v>10636</v>
      </c>
      <c r="D7" s="5" t="n">
        <v>10853</v>
      </c>
      <c r="E7" s="5" t="n">
        <v>14415</v>
      </c>
      <c r="H7" t="inlineStr">
        <is>
          <t>Total liabilities</t>
        </is>
      </c>
      <c r="I7" t="n">
        <v>14415</v>
      </c>
      <c r="J7" t="n">
        <v>10853</v>
      </c>
      <c r="K7" t="n">
        <v>10636</v>
      </c>
      <c r="L7" t="n">
        <v>112966</v>
      </c>
      <c r="AJ7" t="inlineStr">
        <is>
          <t>Leverage Ratio</t>
        </is>
      </c>
      <c r="AK7" t="n">
        <v>37</v>
      </c>
      <c r="AL7" t="n">
        <v>36</v>
      </c>
      <c r="AM7" t="n">
        <v>63</v>
      </c>
      <c r="AN7" t="n">
        <v>24</v>
      </c>
    </row>
    <row r="8">
      <c r="A8" s="5" t="inlineStr">
        <is>
          <t>Total equity</t>
        </is>
      </c>
      <c r="B8" s="5" t="n">
        <v>38115</v>
      </c>
      <c r="C8" s="5" t="n">
        <v>18959</v>
      </c>
      <c r="D8" s="5" t="n">
        <v>6206</v>
      </c>
      <c r="E8" s="5" t="n">
        <v>8363</v>
      </c>
      <c r="H8" t="inlineStr">
        <is>
          <t>Total equity</t>
        </is>
      </c>
      <c r="I8" t="n">
        <v>8363</v>
      </c>
      <c r="J8" t="n">
        <v>6206</v>
      </c>
      <c r="K8" t="n">
        <v>18959</v>
      </c>
      <c r="L8" t="n">
        <v>38115</v>
      </c>
      <c r="AJ8" t="inlineStr">
        <is>
          <t>LCR</t>
        </is>
      </c>
      <c r="AK8" t="n">
        <v>16250</v>
      </c>
      <c r="AL8" t="n">
        <v>2983</v>
      </c>
      <c r="AM8" t="n">
        <v>11351</v>
      </c>
      <c r="AN8" t="n">
        <v>725</v>
      </c>
    </row>
    <row r="10">
      <c r="A10" s="3" t="inlineStr">
        <is>
          <t>Profit &amp; Loss Summary (£'000)</t>
        </is>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row>
    <row r="12">
      <c r="A12" s="5" t="inlineStr">
        <is>
          <t>Total income</t>
        </is>
      </c>
      <c r="B12" s="5" t="n">
        <v>4436</v>
      </c>
      <c r="C12" s="5" t="n">
        <v>1118</v>
      </c>
      <c r="D12" s="5" t="n">
        <v>757</v>
      </c>
      <c r="E12" s="5" t="n">
        <v>616</v>
      </c>
      <c r="O12" t="inlineStr">
        <is>
          <t>Total income</t>
        </is>
      </c>
      <c r="P12" t="n">
        <v>616</v>
      </c>
      <c r="Q12" t="n">
        <v>757</v>
      </c>
      <c r="R12" t="n">
        <v>1118</v>
      </c>
      <c r="S12" t="n">
        <v>4436</v>
      </c>
    </row>
    <row r="13">
      <c r="A13" s="5" t="inlineStr">
        <is>
          <t>Loss for the financial year</t>
        </is>
      </c>
      <c r="B13" s="5" t="n">
        <v>-10844</v>
      </c>
      <c r="C13" s="5" t="n">
        <v>-7247</v>
      </c>
      <c r="D13" s="5" t="n">
        <v>-4156</v>
      </c>
      <c r="E13" s="5" t="n">
        <v>-3434</v>
      </c>
      <c r="O13" t="inlineStr">
        <is>
          <t>Loss for the financial year</t>
        </is>
      </c>
      <c r="P13" t="n">
        <v>-3434</v>
      </c>
      <c r="Q13" t="n">
        <v>-4156</v>
      </c>
      <c r="R13" t="n">
        <v>-7247</v>
      </c>
      <c r="S13" t="n">
        <v>-10844</v>
      </c>
    </row>
    <row r="15">
      <c r="A15" s="3" t="inlineStr">
        <is>
          <t>Statement of Changes in Equity Summary (£'000)</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Total equity (period end)</t>
        </is>
      </c>
      <c r="B17" s="5" t="n">
        <v>38115</v>
      </c>
      <c r="C17" s="5" t="n">
        <v>18959</v>
      </c>
      <c r="D17" s="5" t="n">
        <v>6206</v>
      </c>
      <c r="E17" s="5" t="n">
        <v>8363</v>
      </c>
      <c r="V17" t="inlineStr">
        <is>
          <t>Total equity (period end)</t>
        </is>
      </c>
      <c r="W17" t="n">
        <v>8363</v>
      </c>
      <c r="X17" t="n">
        <v>6206</v>
      </c>
      <c r="Y17" t="n">
        <v>18959</v>
      </c>
      <c r="Z17" t="n">
        <v>38115</v>
      </c>
    </row>
    <row r="19">
      <c r="A19" s="3" t="inlineStr">
        <is>
          <t>Cash Flow Summary (£'000)</t>
        </is>
      </c>
    </row>
    <row r="20">
      <c r="A20" s="4" t="inlineStr">
        <is>
          <t>Line item</t>
        </is>
      </c>
      <c r="B20" s="4" t="inlineStr">
        <is>
          <t>FY2024</t>
        </is>
      </c>
      <c r="C20" s="4" t="inlineStr">
        <is>
          <t>FY2023</t>
        </is>
      </c>
      <c r="D20" s="4" t="inlineStr">
        <is>
          <t>FY2022</t>
        </is>
      </c>
      <c r="E20" s="4" t="inlineStr">
        <is>
          <t>FY2021</t>
        </is>
      </c>
      <c r="AD20" t="inlineStr">
        <is>
          <t>FY2021</t>
        </is>
      </c>
      <c r="AE20" t="inlineStr">
        <is>
          <t>FY2022</t>
        </is>
      </c>
      <c r="AF20" t="inlineStr">
        <is>
          <t>FY2023</t>
        </is>
      </c>
      <c r="AG20" t="inlineStr">
        <is>
          <t>FY2024</t>
        </is>
      </c>
    </row>
    <row r="21">
      <c r="A21" s="5" t="inlineStr">
        <is>
          <t>Net cash outflow from operating activities</t>
        </is>
      </c>
      <c r="B21" s="5" t="n">
        <v>-20676</v>
      </c>
      <c r="C21" s="5" t="n">
        <v>-17679</v>
      </c>
      <c r="D21" s="5" t="n">
        <v>-2601</v>
      </c>
      <c r="E21" s="5" t="n">
        <v>-7994</v>
      </c>
      <c r="AC21" t="inlineStr">
        <is>
          <t>Net cash outflow from operating activities</t>
        </is>
      </c>
      <c r="AD21" t="n">
        <v>-7994</v>
      </c>
      <c r="AE21" t="n">
        <v>-2601</v>
      </c>
      <c r="AF21" t="n">
        <v>-17679</v>
      </c>
      <c r="AG21" t="n">
        <v>-20676</v>
      </c>
    </row>
    <row r="22">
      <c r="A22" s="5" t="inlineStr">
        <is>
          <t>Net cash outflow from investing activities</t>
        </is>
      </c>
      <c r="B22" s="5" t="n">
        <v>-2018</v>
      </c>
      <c r="C22" s="5" t="n">
        <v>-352</v>
      </c>
      <c r="D22" s="5" t="n">
        <v>-9</v>
      </c>
      <c r="E22" s="5" t="n">
        <v>-42</v>
      </c>
      <c r="AC22" t="inlineStr">
        <is>
          <t>Net cash outflow from investing activities</t>
        </is>
      </c>
      <c r="AD22" t="n">
        <v>-42</v>
      </c>
      <c r="AE22" t="n">
        <v>-9</v>
      </c>
      <c r="AF22" t="n">
        <v>-352</v>
      </c>
      <c r="AG22" t="n">
        <v>-2018</v>
      </c>
    </row>
    <row r="23">
      <c r="A23" s="5" t="inlineStr">
        <is>
          <t>Net cash inflow from financing activities</t>
        </is>
      </c>
      <c r="B23" s="5" t="n">
        <v>30000</v>
      </c>
      <c r="C23" s="5" t="n">
        <v>20000</v>
      </c>
      <c r="D23" s="5" t="n">
        <v>2000</v>
      </c>
      <c r="E23" s="5" t="n">
        <v>9000</v>
      </c>
      <c r="AC23" t="inlineStr">
        <is>
          <t>Net cash inflow from financing activities</t>
        </is>
      </c>
      <c r="AD23" t="n">
        <v>9000</v>
      </c>
      <c r="AE23" t="n">
        <v>2000</v>
      </c>
      <c r="AF23" t="n">
        <v>20000</v>
      </c>
      <c r="AG23" t="n">
        <v>30000</v>
      </c>
    </row>
    <row r="24">
      <c r="A24" s="5" t="inlineStr">
        <is>
          <t>Cash at bank at end of year</t>
        </is>
      </c>
      <c r="B24" s="5" t="n">
        <v>11172</v>
      </c>
      <c r="C24" s="5" t="n">
        <v>3866</v>
      </c>
      <c r="D24" s="5" t="n">
        <v>1896</v>
      </c>
      <c r="E24" s="5" t="n">
        <v>2506</v>
      </c>
      <c r="AC24" t="inlineStr">
        <is>
          <t>Cash at bank at end of year</t>
        </is>
      </c>
      <c r="AD24" t="n">
        <v>2506</v>
      </c>
      <c r="AE24" t="n">
        <v>1896</v>
      </c>
      <c r="AF24" t="n">
        <v>3866</v>
      </c>
      <c r="AG24" t="n">
        <v>11172</v>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inlineStr">
        <is>
          <t>76%</t>
        </is>
      </c>
      <c r="C28" s="6" t="inlineStr">
        <is>
          <t>365%</t>
        </is>
      </c>
      <c r="D28" s="6" t="inlineStr">
        <is>
          <t>90%</t>
        </is>
      </c>
      <c r="E28" s="6" t="inlineStr">
        <is>
          <t>96%</t>
        </is>
      </c>
    </row>
    <row r="29">
      <c r="A29" s="6" t="inlineStr">
        <is>
          <t>Leverage Ratio</t>
        </is>
      </c>
      <c r="B29" s="6" t="inlineStr">
        <is>
          <t>24%</t>
        </is>
      </c>
      <c r="C29" s="6" t="inlineStr">
        <is>
          <t>63%</t>
        </is>
      </c>
      <c r="D29" s="6" t="inlineStr">
        <is>
          <t>36%</t>
        </is>
      </c>
      <c r="E29" s="6" t="inlineStr">
        <is>
          <t>37%</t>
        </is>
      </c>
    </row>
    <row r="30">
      <c r="A30" s="6" t="inlineStr">
        <is>
          <t>LCR</t>
        </is>
      </c>
      <c r="B30" s="6" t="inlineStr">
        <is>
          <t>725%</t>
        </is>
      </c>
      <c r="C30" s="6" t="inlineStr">
        <is>
          <t>11,351%</t>
        </is>
      </c>
      <c r="D30" s="6" t="inlineStr">
        <is>
          <t>2,983%</t>
        </is>
      </c>
      <c r="E30" s="6" t="inlineStr">
        <is>
          <t>16,250%</t>
        </is>
      </c>
    </row>
    <row r="32" ht="45" customHeight="1">
      <c r="A32"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32:E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at Bank</t>
        </is>
      </c>
      <c r="B5" s="6" t="n">
        <v>11172</v>
      </c>
      <c r="C5" s="6" t="n">
        <v>3866</v>
      </c>
      <c r="D5" s="6" t="n">
        <v>1896</v>
      </c>
      <c r="E5" s="6" t="n">
        <v>2506</v>
      </c>
    </row>
    <row r="6">
      <c r="A6" s="6" t="inlineStr">
        <is>
          <t>Treasury Bills and similar securities</t>
        </is>
      </c>
      <c r="B6" s="6" t="n">
        <v>43093</v>
      </c>
      <c r="C6" s="6" t="n">
        <v>20250</v>
      </c>
      <c r="D6" s="6" t="n">
        <v>6500</v>
      </c>
      <c r="E6" s="6" t="n">
        <v>9750</v>
      </c>
    </row>
    <row r="7">
      <c r="A7" s="6" t="inlineStr">
        <is>
          <t>Loans and advances to Banks</t>
        </is>
      </c>
      <c r="B7" s="6" t="n"/>
      <c r="C7" s="6" t="n"/>
      <c r="D7" s="6" t="n">
        <v>1275</v>
      </c>
      <c r="E7" s="6" t="n">
        <v>1271</v>
      </c>
    </row>
    <row r="8">
      <c r="A8" s="6" t="inlineStr">
        <is>
          <t>Loans and advances to customers</t>
        </is>
      </c>
      <c r="B8" s="6" t="n">
        <v>90310</v>
      </c>
      <c r="C8" s="6" t="n">
        <v>4195</v>
      </c>
      <c r="D8" s="6" t="n">
        <v>6867</v>
      </c>
      <c r="E8" s="6" t="n">
        <v>8868</v>
      </c>
    </row>
    <row r="9">
      <c r="A9" s="6" t="inlineStr">
        <is>
          <t>Tangible fixed assets</t>
        </is>
      </c>
      <c r="B9" s="6" t="n">
        <v>70</v>
      </c>
      <c r="C9" s="6" t="n">
        <v>66</v>
      </c>
      <c r="D9" s="6" t="n">
        <v>70</v>
      </c>
      <c r="E9" s="6" t="n">
        <v>85</v>
      </c>
    </row>
    <row r="10">
      <c r="A10" s="6" t="inlineStr">
        <is>
          <t>Intangible fixed assets</t>
        </is>
      </c>
      <c r="B10" s="6" t="n">
        <v>2101</v>
      </c>
      <c r="C10" s="6" t="n">
        <v>324</v>
      </c>
      <c r="D10" s="6" t="n"/>
      <c r="E10" s="6" t="n"/>
    </row>
    <row r="11">
      <c r="A11" s="6" t="inlineStr">
        <is>
          <t>Other assets</t>
        </is>
      </c>
      <c r="B11" s="6" t="n">
        <v>3617</v>
      </c>
      <c r="C11" s="6" t="n">
        <v>431</v>
      </c>
      <c r="D11" s="6" t="n">
        <v>239</v>
      </c>
      <c r="E11" s="6" t="n">
        <v>120</v>
      </c>
    </row>
    <row r="12">
      <c r="A12" s="6" t="inlineStr">
        <is>
          <t>Prepayments and accrued income</t>
        </is>
      </c>
      <c r="B12" s="6" t="n">
        <v>691</v>
      </c>
      <c r="C12" s="6" t="n">
        <v>463</v>
      </c>
      <c r="D12" s="6" t="n">
        <v>211</v>
      </c>
      <c r="E12" s="6" t="n">
        <v>177</v>
      </c>
    </row>
    <row r="13">
      <c r="A13" s="6" t="inlineStr">
        <is>
          <t>Derivative financial asset</t>
        </is>
      </c>
      <c r="B13" s="6" t="n">
        <v>27</v>
      </c>
      <c r="C13" s="6" t="n"/>
      <c r="D13" s="6" t="n"/>
      <c r="E13" s="6" t="n"/>
    </row>
    <row r="14">
      <c r="A14" s="5" t="inlineStr">
        <is>
          <t>Total assets</t>
        </is>
      </c>
      <c r="B14" s="5" t="n">
        <v>151081</v>
      </c>
      <c r="C14" s="5" t="n">
        <v>29595</v>
      </c>
      <c r="D14" s="5" t="n">
        <v>17059</v>
      </c>
      <c r="E14" s="5" t="n">
        <v>22777</v>
      </c>
    </row>
    <row r="15">
      <c r="A15" s="5" t="inlineStr">
        <is>
          <t>Liabilities</t>
        </is>
      </c>
      <c r="B15" s="6" t="n"/>
      <c r="C15" s="6" t="n"/>
      <c r="D15" s="6" t="n"/>
      <c r="E15" s="6" t="n"/>
    </row>
    <row r="16">
      <c r="A16" s="6" t="inlineStr">
        <is>
          <t>Customer accounts</t>
        </is>
      </c>
      <c r="B16" s="6" t="n">
        <v>106868</v>
      </c>
      <c r="C16" s="6" t="n">
        <v>9299</v>
      </c>
      <c r="D16" s="6" t="n">
        <v>10399</v>
      </c>
      <c r="E16" s="6" t="n">
        <v>13916</v>
      </c>
    </row>
    <row r="17">
      <c r="A17" s="6" t="inlineStr">
        <is>
          <t>Other liabilities</t>
        </is>
      </c>
      <c r="B17" s="6" t="n">
        <v>6098</v>
      </c>
      <c r="C17" s="6" t="n">
        <v>1337</v>
      </c>
      <c r="D17" s="6" t="n">
        <v>454</v>
      </c>
      <c r="E17" s="6" t="n">
        <v>498</v>
      </c>
    </row>
    <row r="18">
      <c r="A18" s="5" t="inlineStr">
        <is>
          <t>Total liabilities</t>
        </is>
      </c>
      <c r="B18" s="5" t="n">
        <v>112966</v>
      </c>
      <c r="C18" s="5" t="n">
        <v>10636</v>
      </c>
      <c r="D18" s="5" t="n">
        <v>10853</v>
      </c>
      <c r="E18" s="5" t="n">
        <v>14415</v>
      </c>
    </row>
    <row r="19">
      <c r="A19" s="5" t="inlineStr">
        <is>
          <t>Equity</t>
        </is>
      </c>
      <c r="B19" s="6" t="n"/>
      <c r="C19" s="6" t="n"/>
      <c r="D19" s="6" t="n"/>
      <c r="E19" s="6" t="n"/>
    </row>
    <row r="20">
      <c r="A20" s="6" t="inlineStr">
        <is>
          <t>Called up share capital</t>
        </is>
      </c>
      <c r="B20" s="6" t="n">
        <v>60138</v>
      </c>
      <c r="C20" s="6" t="n">
        <v>30138</v>
      </c>
      <c r="D20" s="6" t="n">
        <v>10138</v>
      </c>
      <c r="E20" s="6" t="n">
        <v>8207</v>
      </c>
    </row>
    <row r="21">
      <c r="A21" s="6" t="inlineStr">
        <is>
          <t>Share Premium</t>
        </is>
      </c>
      <c r="B21" s="6" t="n">
        <v>2862</v>
      </c>
      <c r="C21" s="6" t="n">
        <v>2862</v>
      </c>
      <c r="D21" s="6" t="n">
        <v>2862</v>
      </c>
      <c r="E21" s="6" t="n">
        <v>2793</v>
      </c>
    </row>
    <row r="22">
      <c r="A22" s="6" t="inlineStr">
        <is>
          <t>Retained earnings</t>
        </is>
      </c>
      <c r="B22" s="6" t="n">
        <v>-24885</v>
      </c>
      <c r="C22" s="6" t="n">
        <v>-14041</v>
      </c>
      <c r="D22" s="6" t="n">
        <v>-6794</v>
      </c>
      <c r="E22" s="6" t="n">
        <v>-2637</v>
      </c>
    </row>
    <row r="23">
      <c r="A23" s="5" t="inlineStr">
        <is>
          <t>Total equity</t>
        </is>
      </c>
      <c r="B23" s="5" t="n">
        <v>38115</v>
      </c>
      <c r="C23" s="5" t="n">
        <v>18959</v>
      </c>
      <c r="D23" s="5" t="n">
        <v>6206</v>
      </c>
      <c r="E23" s="5" t="n">
        <v>8363</v>
      </c>
    </row>
    <row r="24">
      <c r="A24" s="5" t="inlineStr">
        <is>
          <t>Total liabilities and equity</t>
        </is>
      </c>
      <c r="B24" s="5" t="n">
        <v>151081</v>
      </c>
      <c r="C24" s="5" t="n">
        <v>29595</v>
      </c>
      <c r="D24" s="5" t="n">
        <v>17059</v>
      </c>
      <c r="E24" s="5" t="n">
        <v>22777</v>
      </c>
    </row>
    <row r="26" ht="280" customHeight="1">
      <c r="A2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t>
        </is>
      </c>
    </row>
  </sheetData>
  <mergeCells count="1">
    <mergeCell ref="A26:E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 and similar income arising from debt securities</t>
        </is>
      </c>
      <c r="B5" s="6" t="n">
        <v>1756</v>
      </c>
      <c r="C5" s="6" t="n">
        <v>313</v>
      </c>
      <c r="D5" s="6" t="n">
        <v>530</v>
      </c>
      <c r="E5" s="6" t="n">
        <v>602</v>
      </c>
    </row>
    <row r="6">
      <c r="A6" s="6" t="inlineStr">
        <is>
          <t>Other interest receivable and similar income</t>
        </is>
      </c>
      <c r="B6" s="6" t="n">
        <v>2680</v>
      </c>
      <c r="C6" s="6" t="n">
        <v>805</v>
      </c>
      <c r="D6" s="6" t="n">
        <v>228</v>
      </c>
      <c r="E6" s="6" t="n">
        <v>14</v>
      </c>
    </row>
    <row r="7">
      <c r="A7" s="5" t="inlineStr">
        <is>
          <t>Total income</t>
        </is>
      </c>
      <c r="B7" s="5" t="n">
        <v>4436</v>
      </c>
      <c r="C7" s="5" t="n">
        <v>1118</v>
      </c>
      <c r="D7" s="5" t="n">
        <v>757</v>
      </c>
      <c r="E7" s="5" t="n">
        <v>616</v>
      </c>
    </row>
    <row r="8">
      <c r="A8" s="6" t="inlineStr">
        <is>
          <t>Net (loss)/gain on financial instruments at fair value through profit and loss</t>
        </is>
      </c>
      <c r="B8" s="6" t="n">
        <v>27</v>
      </c>
      <c r="C8" s="6" t="n"/>
      <c r="D8" s="6" t="n"/>
      <c r="E8" s="6" t="n"/>
    </row>
    <row r="9">
      <c r="A9" s="6" t="inlineStr">
        <is>
          <t>Interest payable</t>
        </is>
      </c>
      <c r="B9" s="6" t="n">
        <v>-1997</v>
      </c>
      <c r="C9" s="6" t="n">
        <v>-213</v>
      </c>
      <c r="D9" s="6" t="n">
        <v>-90</v>
      </c>
      <c r="E9" s="6" t="n">
        <v>-115</v>
      </c>
    </row>
    <row r="10">
      <c r="A10" s="5" t="inlineStr">
        <is>
          <t>Net income</t>
        </is>
      </c>
      <c r="B10" s="5" t="n">
        <v>2466</v>
      </c>
      <c r="C10" s="5" t="n">
        <v>905</v>
      </c>
      <c r="D10" s="5" t="n">
        <v>667</v>
      </c>
      <c r="E10" s="5" t="n">
        <v>500</v>
      </c>
    </row>
    <row r="11">
      <c r="A11" s="6" t="inlineStr">
        <is>
          <t>Administrative expenses</t>
        </is>
      </c>
      <c r="B11" s="6" t="n">
        <v>-13155</v>
      </c>
      <c r="C11" s="6" t="n">
        <v>-8475</v>
      </c>
      <c r="D11" s="6" t="n">
        <v>-4817</v>
      </c>
      <c r="E11" s="6" t="n">
        <v>-3858</v>
      </c>
    </row>
    <row r="12">
      <c r="A12" s="6" t="inlineStr">
        <is>
          <t>Depreciation and amortisation</t>
        </is>
      </c>
      <c r="B12" s="6" t="n">
        <v>-237</v>
      </c>
      <c r="C12" s="6" t="n">
        <v>-32</v>
      </c>
      <c r="D12" s="6" t="n">
        <v>-24</v>
      </c>
      <c r="E12" s="6" t="n">
        <v>-42</v>
      </c>
    </row>
    <row r="13">
      <c r="A13" s="6" t="inlineStr">
        <is>
          <t>Impairment charge for loan losses</t>
        </is>
      </c>
      <c r="B13" s="6" t="n">
        <v>-22</v>
      </c>
      <c r="C13" s="6" t="n">
        <v>-4</v>
      </c>
      <c r="D13" s="6" t="n">
        <v>-21</v>
      </c>
      <c r="E13" s="6" t="n">
        <v>-34</v>
      </c>
    </row>
    <row r="14">
      <c r="A14" s="5" t="inlineStr">
        <is>
          <t>Loss on ordinary activities before taxation</t>
        </is>
      </c>
      <c r="B14" s="5" t="n">
        <v>-10948</v>
      </c>
      <c r="C14" s="5" t="n">
        <v>-7606</v>
      </c>
      <c r="D14" s="5" t="n">
        <v>-4194</v>
      </c>
      <c r="E14" s="5" t="n">
        <v>-3434</v>
      </c>
    </row>
    <row r="15">
      <c r="A15" s="6" t="inlineStr">
        <is>
          <t>Tax on profit on ordinary activities</t>
        </is>
      </c>
      <c r="B15" s="6" t="n">
        <v>104</v>
      </c>
      <c r="C15" s="6" t="n">
        <v>359</v>
      </c>
      <c r="D15" s="6" t="n">
        <v>38</v>
      </c>
      <c r="E15" s="6" t="n">
        <v>0</v>
      </c>
    </row>
    <row r="16">
      <c r="A16" s="5" t="inlineStr">
        <is>
          <t>Loss for the financial year</t>
        </is>
      </c>
      <c r="B16" s="5" t="n">
        <v>-10844</v>
      </c>
      <c r="C16" s="5" t="n">
        <v>-7247</v>
      </c>
      <c r="D16" s="5" t="n">
        <v>-4156</v>
      </c>
      <c r="E16" s="5" t="n">
        <v>-3434</v>
      </c>
    </row>
    <row r="17">
      <c r="A17" s="5" t="inlineStr">
        <is>
          <t>Other comprehensive income</t>
        </is>
      </c>
      <c r="B17" s="6" t="n"/>
      <c r="C17" s="6" t="n"/>
      <c r="D17" s="6" t="n"/>
      <c r="E17" s="6" t="n"/>
    </row>
    <row r="18">
      <c r="A18" s="6" t="inlineStr">
        <is>
          <t>Other comprehensive income</t>
        </is>
      </c>
      <c r="B18" s="6" t="n">
        <v>0</v>
      </c>
      <c r="C18" s="6" t="n">
        <v>0</v>
      </c>
      <c r="D18" s="6" t="n">
        <v>0</v>
      </c>
      <c r="E18" s="6" t="n">
        <v>0</v>
      </c>
    </row>
    <row r="19">
      <c r="A19" s="5" t="inlineStr">
        <is>
          <t>Total comprehensive income for the year</t>
        </is>
      </c>
      <c r="B19" s="5" t="n">
        <v>-10844</v>
      </c>
      <c r="C19" s="5" t="n">
        <v>-7247</v>
      </c>
      <c r="D19" s="5" t="n">
        <v>-4156</v>
      </c>
      <c r="E19" s="5" t="n">
        <v>-3434</v>
      </c>
    </row>
    <row r="21" ht="300" customHeight="1">
      <c r="A21"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'Net (loss)/gain on financial instruments held at fair value through profit and loss' line only appears from FY2024 onward (GBP27k) - not disclosed as a separate line in FY2021-FY2023, where it did not exist or was immaterial/nil.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1:E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2024</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8" ht="260" customHeight="1">
      <c r="A18"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capital-raise row is labelled 'Capital injection' in the bank's own 2021/2022 filings and 'Issue of new shares' in its 2023/2024 filings - same underlying event (a share capital + share premium increase), the bank's own wording just changed year to year; reproduced here as each filing states it.</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Birmingham Bank Limited — Asset Quality</t>
        </is>
      </c>
    </row>
    <row r="2">
      <c r="A2" s="2" t="inlineStr">
        <is>
          <t>Bank-solo basis, FRS 102,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t>
        </is>
      </c>
      <c r="B4" s="6" t="n"/>
      <c r="C4" s="6" t="n"/>
      <c r="D4" s="6" t="n"/>
      <c r="E4" s="6" t="n"/>
    </row>
    <row r="5">
      <c r="A5" s="6" t="inlineStr">
        <is>
          <t>Gross loans and advances to customers</t>
        </is>
      </c>
      <c r="B5" s="6" t="n">
        <v>90352</v>
      </c>
      <c r="C5" s="6" t="n">
        <v>4215</v>
      </c>
      <c r="D5" s="6" t="n">
        <v>6879</v>
      </c>
      <c r="E5" s="6" t="n">
        <v>8901</v>
      </c>
    </row>
    <row r="6">
      <c r="A6" s="6" t="inlineStr">
        <is>
          <t>Bad debt provisions</t>
        </is>
      </c>
      <c r="B6" s="6" t="n">
        <v>-42</v>
      </c>
      <c r="C6" s="6" t="n">
        <v>-20</v>
      </c>
      <c r="D6" s="6" t="n">
        <v>-12</v>
      </c>
      <c r="E6" s="6" t="n">
        <v>-33</v>
      </c>
    </row>
    <row r="7">
      <c r="A7" s="5" t="inlineStr">
        <is>
          <t>Net loans and advances to customers</t>
        </is>
      </c>
      <c r="B7" s="5" t="n">
        <v>90310</v>
      </c>
      <c r="C7" s="5" t="n">
        <v>4195</v>
      </c>
      <c r="D7" s="5" t="n">
        <v>6867</v>
      </c>
      <c r="E7" s="5" t="n">
        <v>8868</v>
      </c>
    </row>
    <row r="8">
      <c r="A8" s="5" t="inlineStr">
        <is>
          <t>Gross loan book by maturity</t>
        </is>
      </c>
      <c r="B8" s="6" t="n"/>
      <c r="C8" s="6" t="n"/>
      <c r="D8" s="6" t="n"/>
      <c r="E8" s="6" t="n"/>
    </row>
    <row r="9">
      <c r="A9" s="6" t="inlineStr">
        <is>
          <t>Repayable on demand</t>
        </is>
      </c>
      <c r="B9" s="6" t="n">
        <v>5</v>
      </c>
      <c r="C9" s="6" t="n">
        <v>5</v>
      </c>
      <c r="D9" s="6" t="n">
        <v>13</v>
      </c>
      <c r="E9" s="6" t="n">
        <v>44</v>
      </c>
    </row>
    <row r="10">
      <c r="A10" s="6" t="inlineStr">
        <is>
          <t>Repayable within 3 months</t>
        </is>
      </c>
      <c r="B10" s="6" t="n">
        <v>277</v>
      </c>
      <c r="C10" s="6" t="n">
        <v>409</v>
      </c>
      <c r="D10" s="6" t="n">
        <v>927</v>
      </c>
      <c r="E10" s="6" t="n">
        <v>1182</v>
      </c>
    </row>
    <row r="11">
      <c r="A11" s="6" t="inlineStr">
        <is>
          <t>Repayable between 3 months and one year</t>
        </is>
      </c>
      <c r="B11" s="6" t="n">
        <v>611</v>
      </c>
      <c r="C11" s="6" t="n">
        <v>1198</v>
      </c>
      <c r="D11" s="6" t="n">
        <v>2374</v>
      </c>
      <c r="E11" s="6" t="n">
        <v>2919</v>
      </c>
    </row>
    <row r="12">
      <c r="A12" s="6" t="inlineStr">
        <is>
          <t>Repayable between one year and five years</t>
        </is>
      </c>
      <c r="B12" s="6" t="n">
        <v>89459</v>
      </c>
      <c r="C12" s="6" t="n">
        <v>2603</v>
      </c>
      <c r="D12" s="6" t="n">
        <v>3564</v>
      </c>
      <c r="E12" s="6" t="n">
        <v>4758</v>
      </c>
    </row>
    <row r="13">
      <c r="A13" s="5" t="inlineStr">
        <is>
          <t>Coverage</t>
        </is>
      </c>
      <c r="B13" s="6" t="n"/>
      <c r="C13" s="6" t="n"/>
      <c r="D13" s="6" t="n"/>
      <c r="E13" s="6" t="n"/>
    </row>
    <row r="14">
      <c r="A14" s="6" t="inlineStr">
        <is>
          <t>Bad debt provision coverage (Provision / Gross loans)</t>
        </is>
      </c>
      <c r="B14" s="6" t="inlineStr">
        <is>
          <t>0.05%</t>
        </is>
      </c>
      <c r="C14" s="6" t="inlineStr">
        <is>
          <t>0.47%</t>
        </is>
      </c>
      <c r="D14" s="6" t="inlineStr">
        <is>
          <t>0.17%</t>
        </is>
      </c>
      <c r="E14" s="6" t="inlineStr">
        <is>
          <t>0.37%</t>
        </is>
      </c>
    </row>
    <row r="16" ht="280" customHeight="1">
      <c r="A1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Bank reports under FRS 102 (incurred-loss impairment model), not IFRS 9 - no Stage 1/2/3 or non-performing-loan split is disclosed in any year's Annual Report or the one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v>6172</v>
      </c>
      <c r="E4" s="6" t="n">
        <v>8314</v>
      </c>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v>6172</v>
      </c>
      <c r="E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v>6172</v>
      </c>
      <c r="E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90%</t>
        </is>
      </c>
      <c r="E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v>6822</v>
      </c>
      <c r="E4" s="6" t="n">
        <v>8648</v>
      </c>
    </row>
    <row r="5" ht="60"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RWA Breakdown</t>
        </is>
      </c>
    </row>
    <row r="2">
      <c r="A2" s="2" t="inlineStr">
        <is>
          <t>Bank-solo basis, £'000.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t>
        </is>
      </c>
      <c r="B4" s="6" t="n">
        <v>46037</v>
      </c>
      <c r="C4" s="6" t="n">
        <v>4056</v>
      </c>
      <c r="D4" s="6" t="n">
        <v>5797</v>
      </c>
      <c r="E4" s="6" t="n">
        <v>7133</v>
      </c>
    </row>
    <row r="5">
      <c r="A5" s="6" t="inlineStr">
        <is>
          <t>Operational risk</t>
        </is>
      </c>
      <c r="B5" s="6" t="n">
        <v>1296</v>
      </c>
      <c r="C5" s="6" t="n">
        <v>1045</v>
      </c>
      <c r="D5" s="6" t="n">
        <v>1025</v>
      </c>
      <c r="E5" s="6" t="n">
        <v>1515</v>
      </c>
    </row>
    <row r="6">
      <c r="A6" s="5" t="inlineStr">
        <is>
          <t>Total RWAs (Pillar 1)</t>
        </is>
      </c>
      <c r="B6" s="5" t="n">
        <v>47333</v>
      </c>
      <c r="C6" s="5" t="n">
        <v>5101</v>
      </c>
      <c r="D6" s="5" t="n">
        <v>6822</v>
      </c>
      <c r="E6" s="5" t="n">
        <v>8648</v>
      </c>
    </row>
    <row r="8" ht="200" customHeight="1">
      <c r="A8"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t>
        </is>
      </c>
    </row>
  </sheetData>
  <mergeCells count="1">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inlineStr">
        <is>
          <t>36%</t>
        </is>
      </c>
      <c r="E4" s="6" t="inlineStr">
        <is>
          <t>37%</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2026-09-15T15:14:37Z</dcterms:created>
  <dcterms:modified xmlns:dcterms="http://purl.org/dc/terms/" xmlns:xsi="http://www.w3.org/2001/XMLSchema-instance" xsi:type="dcterms:W3CDTF">2026-09-15T15:14:37Z</dcterms:modified>
</cp:coreProperties>
</file>