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'Overview'!AC21</f>
            </strRef>
          </tx>
          <spPr>
            <a:ln xmlns:a="http://schemas.openxmlformats.org/drawingml/2006/main">
              <a:prstDash val="solid"/>
            </a:ln>
          </spPr>
          <cat>
            <numRef>
              <f>'Overview'!$AD$20:$AG$20</f>
            </numRef>
          </cat>
          <val>
            <numRef>
              <f>'Overview'!$AD$21:$AG$21</f>
            </numRef>
          </val>
        </ser>
        <ser>
          <idx val="1"/>
          <order val="1"/>
          <tx>
            <strRef>
              <f>'Overview'!AC22</f>
            </strRef>
          </tx>
          <spPr>
            <a:ln xmlns:a="http://schemas.openxmlformats.org/drawingml/2006/main">
              <a:prstDash val="solid"/>
            </a:ln>
          </spPr>
          <cat>
            <numRef>
              <f>'Overview'!$AD$20:$AG$20</f>
            </numRef>
          </cat>
          <val>
            <numRef>
              <f>'Overview'!$AD$22:$AG$22</f>
            </numRef>
          </val>
        </ser>
        <ser>
          <idx val="2"/>
          <order val="2"/>
          <tx>
            <strRef>
              <f>'Overview'!AC23</f>
            </strRef>
          </tx>
          <spPr>
            <a:ln xmlns:a="http://schemas.openxmlformats.org/drawingml/2006/main">
              <a:prstDash val="solid"/>
            </a:ln>
          </spPr>
          <cat>
            <numRef>
              <f>'Overview'!$AD$20:$AG$20</f>
            </numRef>
          </cat>
          <val>
            <numRef>
              <f>'Overview'!$AD$23:$AG$23</f>
            </numRef>
          </val>
        </ser>
        <ser>
          <idx val="3"/>
          <order val="3"/>
          <tx>
            <strRef>
              <f>'Overview'!AC24</f>
            </strRef>
          </tx>
          <spPr>
            <a:ln xmlns:a="http://schemas.openxmlformats.org/drawingml/2006/main">
              <a:prstDash val="solid"/>
            </a:ln>
          </spPr>
          <cat>
            <numRef>
              <f>'Overview'!$AD$20:$AG$20</f>
            </numRef>
          </cat>
          <val>
            <numRef>
              <f>'Overview'!$AD$24:$AG$24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151081</v>
      </c>
      <c r="C6" s="5" t="n">
        <v>29595</v>
      </c>
      <c r="D6" s="5" t="n">
        <v>17059</v>
      </c>
      <c r="E6" s="5" t="n">
        <v>22777</v>
      </c>
      <c r="H6" t="inlineStr">
        <is>
          <t>Total assets</t>
        </is>
      </c>
      <c r="I6" t="n">
        <v>22777</v>
      </c>
      <c r="J6" t="n">
        <v>17059</v>
      </c>
      <c r="K6" t="n">
        <v>29595</v>
      </c>
      <c r="L6" t="n">
        <v>151081</v>
      </c>
      <c r="AJ6" t="inlineStr">
        <is>
          <t>CET1 Ratio</t>
        </is>
      </c>
      <c r="AK6" t="n">
        <v>96</v>
      </c>
      <c r="AL6" t="n">
        <v>90</v>
      </c>
      <c r="AM6" t="n">
        <v>365</v>
      </c>
      <c r="AN6" t="n">
        <v>76</v>
      </c>
    </row>
    <row r="7">
      <c r="A7" s="5" t="inlineStr">
        <is>
          <t>Total liabilities</t>
        </is>
      </c>
      <c r="B7" s="5" t="n">
        <v>112966</v>
      </c>
      <c r="C7" s="5" t="n">
        <v>10636</v>
      </c>
      <c r="D7" s="5" t="n">
        <v>10853</v>
      </c>
      <c r="E7" s="5" t="n">
        <v>14415</v>
      </c>
      <c r="H7" t="inlineStr">
        <is>
          <t>Total liabilities</t>
        </is>
      </c>
      <c r="I7" t="n">
        <v>14415</v>
      </c>
      <c r="J7" t="n">
        <v>10853</v>
      </c>
      <c r="K7" t="n">
        <v>10636</v>
      </c>
      <c r="L7" t="n">
        <v>112966</v>
      </c>
      <c r="AJ7" t="inlineStr">
        <is>
          <t>Leverage Ratio</t>
        </is>
      </c>
      <c r="AK7" t="n">
        <v>37</v>
      </c>
      <c r="AL7" t="n">
        <v>36</v>
      </c>
      <c r="AM7" t="n">
        <v>63</v>
      </c>
      <c r="AN7" t="n">
        <v>24</v>
      </c>
    </row>
    <row r="8">
      <c r="A8" s="5" t="inlineStr">
        <is>
          <t>Total equity</t>
        </is>
      </c>
      <c r="B8" s="5" t="n">
        <v>38115</v>
      </c>
      <c r="C8" s="5" t="n">
        <v>18959</v>
      </c>
      <c r="D8" s="5" t="n">
        <v>6206</v>
      </c>
      <c r="E8" s="5" t="n">
        <v>8363</v>
      </c>
      <c r="H8" t="inlineStr">
        <is>
          <t>Total equity</t>
        </is>
      </c>
      <c r="I8" t="n">
        <v>8363</v>
      </c>
      <c r="J8" t="n">
        <v>6206</v>
      </c>
      <c r="K8" t="n">
        <v>18959</v>
      </c>
      <c r="L8" t="n">
        <v>38115</v>
      </c>
      <c r="AJ8" t="inlineStr">
        <is>
          <t>LCR</t>
        </is>
      </c>
      <c r="AK8" t="n">
        <v>16250</v>
      </c>
      <c r="AL8" t="n">
        <v>2983</v>
      </c>
      <c r="AM8" t="n">
        <v>11351</v>
      </c>
      <c r="AN8" t="n">
        <v>725</v>
      </c>
    </row>
    <row r="10">
      <c r="A10" s="3" t="inlineStr">
        <is>
          <t>Profit &amp; Loss Summary (£'000)</t>
        </is>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row>
    <row r="12">
      <c r="A12" s="5" t="inlineStr">
        <is>
          <t>Total income</t>
        </is>
      </c>
      <c r="B12" s="5" t="n">
        <v>4436</v>
      </c>
      <c r="C12" s="5" t="n">
        <v>1118</v>
      </c>
      <c r="D12" s="5" t="n">
        <v>757</v>
      </c>
      <c r="E12" s="5" t="n">
        <v>616</v>
      </c>
      <c r="O12" t="inlineStr">
        <is>
          <t>Total income</t>
        </is>
      </c>
      <c r="P12" t="n">
        <v>616</v>
      </c>
      <c r="Q12" t="n">
        <v>757</v>
      </c>
      <c r="R12" t="n">
        <v>1118</v>
      </c>
      <c r="S12" t="n">
        <v>4436</v>
      </c>
    </row>
    <row r="13">
      <c r="A13" s="5" t="inlineStr">
        <is>
          <t>Loss for the financial year</t>
        </is>
      </c>
      <c r="B13" s="5" t="n">
        <v>-10844</v>
      </c>
      <c r="C13" s="5" t="n">
        <v>-7247</v>
      </c>
      <c r="D13" s="5" t="n">
        <v>-4156</v>
      </c>
      <c r="E13" s="5" t="n">
        <v>-3434</v>
      </c>
      <c r="O13" t="inlineStr">
        <is>
          <t>Loss for the financial year</t>
        </is>
      </c>
      <c r="P13" t="n">
        <v>-3434</v>
      </c>
      <c r="Q13" t="n">
        <v>-4156</v>
      </c>
      <c r="R13" t="n">
        <v>-7247</v>
      </c>
      <c r="S13" t="n">
        <v>-10844</v>
      </c>
    </row>
    <row r="15">
      <c r="A15" s="3" t="inlineStr">
        <is>
          <t>Statement of Changes in Equity Summary (£'000)</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Total equity (period end)</t>
        </is>
      </c>
      <c r="B17" s="5" t="n">
        <v>38115</v>
      </c>
      <c r="C17" s="5" t="n">
        <v>18959</v>
      </c>
      <c r="D17" s="5" t="n">
        <v>6206</v>
      </c>
      <c r="E17" s="5" t="n">
        <v>8363</v>
      </c>
      <c r="V17" t="inlineStr">
        <is>
          <t>Total equity (period end)</t>
        </is>
      </c>
      <c r="W17" t="n">
        <v>8363</v>
      </c>
      <c r="X17" t="n">
        <v>6206</v>
      </c>
      <c r="Y17" t="n">
        <v>18959</v>
      </c>
      <c r="Z17" t="n">
        <v>38115</v>
      </c>
    </row>
    <row r="19">
      <c r="A19" s="3" t="inlineStr">
        <is>
          <t>Cash Flow Summary (£'000)</t>
        </is>
      </c>
    </row>
    <row r="20">
      <c r="A20" s="4" t="inlineStr">
        <is>
          <t>Line item</t>
        </is>
      </c>
      <c r="B20" s="4" t="inlineStr">
        <is>
          <t>FY2024</t>
        </is>
      </c>
      <c r="C20" s="4" t="inlineStr">
        <is>
          <t>FY2023</t>
        </is>
      </c>
      <c r="D20" s="4" t="inlineStr">
        <is>
          <t>FY2022</t>
        </is>
      </c>
      <c r="E20" s="4" t="inlineStr">
        <is>
          <t>FY2021</t>
        </is>
      </c>
      <c r="AD20" t="inlineStr">
        <is>
          <t>FY2021</t>
        </is>
      </c>
      <c r="AE20" t="inlineStr">
        <is>
          <t>FY2022</t>
        </is>
      </c>
      <c r="AF20" t="inlineStr">
        <is>
          <t>FY2023</t>
        </is>
      </c>
      <c r="AG20" t="inlineStr">
        <is>
          <t>FY2024</t>
        </is>
      </c>
    </row>
    <row r="21">
      <c r="A21" s="5" t="inlineStr">
        <is>
          <t>Net cash outflow from operating activities</t>
        </is>
      </c>
      <c r="B21" s="5" t="n">
        <v>-20676</v>
      </c>
      <c r="C21" s="5" t="n">
        <v>-17679</v>
      </c>
      <c r="D21" s="5" t="n">
        <v>-2601</v>
      </c>
      <c r="E21" s="5" t="n">
        <v>-7994</v>
      </c>
      <c r="AC21" t="inlineStr">
        <is>
          <t>Net cash outflow from operating activities</t>
        </is>
      </c>
      <c r="AD21" t="n">
        <v>-7994</v>
      </c>
      <c r="AE21" t="n">
        <v>-2601</v>
      </c>
      <c r="AF21" t="n">
        <v>-17679</v>
      </c>
      <c r="AG21" t="n">
        <v>-20676</v>
      </c>
    </row>
    <row r="22">
      <c r="A22" s="5" t="inlineStr">
        <is>
          <t>Net cash outflow from investing activities</t>
        </is>
      </c>
      <c r="B22" s="5" t="n">
        <v>-2018</v>
      </c>
      <c r="C22" s="5" t="n">
        <v>-352</v>
      </c>
      <c r="D22" s="5" t="n">
        <v>-9</v>
      </c>
      <c r="E22" s="5" t="n">
        <v>-42</v>
      </c>
      <c r="AC22" t="inlineStr">
        <is>
          <t>Net cash outflow from investing activities</t>
        </is>
      </c>
      <c r="AD22" t="n">
        <v>-42</v>
      </c>
      <c r="AE22" t="n">
        <v>-9</v>
      </c>
      <c r="AF22" t="n">
        <v>-352</v>
      </c>
      <c r="AG22" t="n">
        <v>-2018</v>
      </c>
    </row>
    <row r="23">
      <c r="A23" s="5" t="inlineStr">
        <is>
          <t>Net cash inflow from financing activities</t>
        </is>
      </c>
      <c r="B23" s="5" t="n">
        <v>30000</v>
      </c>
      <c r="C23" s="5" t="n">
        <v>20000</v>
      </c>
      <c r="D23" s="5" t="n">
        <v>2000</v>
      </c>
      <c r="E23" s="5" t="n">
        <v>9000</v>
      </c>
      <c r="AC23" t="inlineStr">
        <is>
          <t>Net cash inflow from financing activities</t>
        </is>
      </c>
      <c r="AD23" t="n">
        <v>9000</v>
      </c>
      <c r="AE23" t="n">
        <v>2000</v>
      </c>
      <c r="AF23" t="n">
        <v>20000</v>
      </c>
      <c r="AG23" t="n">
        <v>30000</v>
      </c>
    </row>
    <row r="24">
      <c r="A24" s="5" t="inlineStr">
        <is>
          <t>Cash at bank at end of year</t>
        </is>
      </c>
      <c r="B24" s="5" t="n">
        <v>11172</v>
      </c>
      <c r="C24" s="5" t="n">
        <v>3866</v>
      </c>
      <c r="D24" s="5" t="n">
        <v>1896</v>
      </c>
      <c r="E24" s="5" t="n">
        <v>2506</v>
      </c>
      <c r="AC24" t="inlineStr">
        <is>
          <t>Cash at bank at end of year</t>
        </is>
      </c>
      <c r="AD24" t="n">
        <v>2506</v>
      </c>
      <c r="AE24" t="n">
        <v>1896</v>
      </c>
      <c r="AF24" t="n">
        <v>3866</v>
      </c>
      <c r="AG24" t="n">
        <v>11172</v>
      </c>
    </row>
    <row r="26">
      <c r="A26" s="3" t="inlineStr">
        <is>
          <t>Pillar 3 Key Metrics</t>
        </is>
      </c>
    </row>
    <row r="27">
      <c r="A27" s="4" t="inlineStr">
        <is>
          <t>Line item</t>
        </is>
      </c>
      <c r="B27" s="4" t="inlineStr">
        <is>
          <t>FY2024</t>
        </is>
      </c>
      <c r="C27" s="4" t="inlineStr">
        <is>
          <t>FY2023</t>
        </is>
      </c>
      <c r="D27" s="4" t="inlineStr">
        <is>
          <t>FY2022</t>
        </is>
      </c>
      <c r="E27" s="4" t="inlineStr">
        <is>
          <t>FY2021</t>
        </is>
      </c>
    </row>
    <row r="28">
      <c r="A28" s="6" t="inlineStr">
        <is>
          <t>CET1 Ratio</t>
        </is>
      </c>
      <c r="B28" s="6" t="inlineStr">
        <is>
          <t>76%</t>
        </is>
      </c>
      <c r="C28" s="6" t="inlineStr">
        <is>
          <t>365%</t>
        </is>
      </c>
      <c r="D28" s="6" t="inlineStr">
        <is>
          <t>90%</t>
        </is>
      </c>
      <c r="E28" s="6" t="inlineStr">
        <is>
          <t>96%</t>
        </is>
      </c>
    </row>
    <row r="29">
      <c r="A29" s="6" t="inlineStr">
        <is>
          <t>Leverage Ratio</t>
        </is>
      </c>
      <c r="B29" s="6" t="inlineStr">
        <is>
          <t>24%</t>
        </is>
      </c>
      <c r="C29" s="6" t="inlineStr">
        <is>
          <t>63%</t>
        </is>
      </c>
      <c r="D29" s="6" t="inlineStr">
        <is>
          <t>36%</t>
        </is>
      </c>
      <c r="E29" s="6" t="inlineStr">
        <is>
          <t>37%</t>
        </is>
      </c>
    </row>
    <row r="30">
      <c r="A30" s="6" t="inlineStr">
        <is>
          <t>LCR</t>
        </is>
      </c>
      <c r="B30" s="6" t="inlineStr">
        <is>
          <t>725%</t>
        </is>
      </c>
      <c r="C30" s="6" t="inlineStr">
        <is>
          <t>11,351%</t>
        </is>
      </c>
      <c r="D30" s="6" t="inlineStr">
        <is>
          <t>2,983%</t>
        </is>
      </c>
      <c r="E30" s="6" t="inlineStr">
        <is>
          <t>16,250%</t>
        </is>
      </c>
    </row>
    <row r="32" ht="45" customHeight="1">
      <c r="A32" s="7" t="inlineStr">
        <is>
          <t>Note: Figures are duplicated from the detail sheets for at-a-glance trend viewing; see each sheet's own source citation for the underlying document/page. Only 4 years of history exist (FY2021-FY2024) - the entity's own accounts filing history and Pillar 3 disclosures don't go back further.</t>
        </is>
      </c>
    </row>
  </sheetData>
  <mergeCells count="1">
    <mergeCell ref="A32:E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at Bank</t>
        </is>
      </c>
      <c r="B5" s="6" t="n">
        <v>11172</v>
      </c>
      <c r="C5" s="6" t="n">
        <v>3866</v>
      </c>
      <c r="D5" s="6" t="n">
        <v>1896</v>
      </c>
      <c r="E5" s="6" t="n">
        <v>2506</v>
      </c>
    </row>
    <row r="6">
      <c r="A6" s="6" t="inlineStr">
        <is>
          <t>Treasury Bills and similar securities</t>
        </is>
      </c>
      <c r="B6" s="6" t="n">
        <v>43093</v>
      </c>
      <c r="C6" s="6" t="n">
        <v>20250</v>
      </c>
      <c r="D6" s="6" t="n">
        <v>6500</v>
      </c>
      <c r="E6" s="6" t="n">
        <v>9750</v>
      </c>
    </row>
    <row r="7">
      <c r="A7" s="6" t="inlineStr">
        <is>
          <t>Loans and advances to Banks</t>
        </is>
      </c>
      <c r="B7" s="6" t="n"/>
      <c r="C7" s="6" t="n"/>
      <c r="D7" s="6" t="n">
        <v>1275</v>
      </c>
      <c r="E7" s="6" t="n">
        <v>1271</v>
      </c>
    </row>
    <row r="8">
      <c r="A8" s="6" t="inlineStr">
        <is>
          <t>Loans and advances to customers</t>
        </is>
      </c>
      <c r="B8" s="6" t="n">
        <v>90310</v>
      </c>
      <c r="C8" s="6" t="n">
        <v>4195</v>
      </c>
      <c r="D8" s="6" t="n">
        <v>6867</v>
      </c>
      <c r="E8" s="6" t="n">
        <v>8868</v>
      </c>
    </row>
    <row r="9">
      <c r="A9" s="6" t="inlineStr">
        <is>
          <t>Tangible fixed assets</t>
        </is>
      </c>
      <c r="B9" s="6" t="n">
        <v>70</v>
      </c>
      <c r="C9" s="6" t="n">
        <v>66</v>
      </c>
      <c r="D9" s="6" t="n">
        <v>70</v>
      </c>
      <c r="E9" s="6" t="n">
        <v>85</v>
      </c>
    </row>
    <row r="10">
      <c r="A10" s="6" t="inlineStr">
        <is>
          <t>Intangible fixed assets</t>
        </is>
      </c>
      <c r="B10" s="6" t="n">
        <v>2101</v>
      </c>
      <c r="C10" s="6" t="n">
        <v>324</v>
      </c>
      <c r="D10" s="6" t="n"/>
      <c r="E10" s="6" t="n"/>
    </row>
    <row r="11">
      <c r="A11" s="6" t="inlineStr">
        <is>
          <t>Other assets</t>
        </is>
      </c>
      <c r="B11" s="6" t="n">
        <v>3617</v>
      </c>
      <c r="C11" s="6" t="n">
        <v>431</v>
      </c>
      <c r="D11" s="6" t="n">
        <v>239</v>
      </c>
      <c r="E11" s="6" t="n">
        <v>120</v>
      </c>
    </row>
    <row r="12">
      <c r="A12" s="6" t="inlineStr">
        <is>
          <t>Prepayments and accrued income</t>
        </is>
      </c>
      <c r="B12" s="6" t="n">
        <v>691</v>
      </c>
      <c r="C12" s="6" t="n">
        <v>463</v>
      </c>
      <c r="D12" s="6" t="n">
        <v>211</v>
      </c>
      <c r="E12" s="6" t="n">
        <v>177</v>
      </c>
    </row>
    <row r="13">
      <c r="A13" s="6" t="inlineStr">
        <is>
          <t>Derivative financial asset</t>
        </is>
      </c>
      <c r="B13" s="6" t="n">
        <v>27</v>
      </c>
      <c r="C13" s="6" t="n"/>
      <c r="D13" s="6" t="n"/>
      <c r="E13" s="6" t="n"/>
    </row>
    <row r="14">
      <c r="A14" s="5" t="inlineStr">
        <is>
          <t>Total assets</t>
        </is>
      </c>
      <c r="B14" s="5" t="n">
        <v>151081</v>
      </c>
      <c r="C14" s="5" t="n">
        <v>29595</v>
      </c>
      <c r="D14" s="5" t="n">
        <v>17059</v>
      </c>
      <c r="E14" s="5" t="n">
        <v>22777</v>
      </c>
    </row>
    <row r="15">
      <c r="A15" s="5" t="inlineStr">
        <is>
          <t>Liabilities</t>
        </is>
      </c>
      <c r="B15" s="6" t="n"/>
      <c r="C15" s="6" t="n"/>
      <c r="D15" s="6" t="n"/>
      <c r="E15" s="6" t="n"/>
    </row>
    <row r="16">
      <c r="A16" s="6" t="inlineStr">
        <is>
          <t>Customer accounts</t>
        </is>
      </c>
      <c r="B16" s="6" t="n">
        <v>106868</v>
      </c>
      <c r="C16" s="6" t="n">
        <v>9299</v>
      </c>
      <c r="D16" s="6" t="n">
        <v>10399</v>
      </c>
      <c r="E16" s="6" t="n">
        <v>13916</v>
      </c>
    </row>
    <row r="17">
      <c r="A17" s="6" t="inlineStr">
        <is>
          <t>Other liabilities</t>
        </is>
      </c>
      <c r="B17" s="6" t="n">
        <v>6098</v>
      </c>
      <c r="C17" s="6" t="n">
        <v>1337</v>
      </c>
      <c r="D17" s="6" t="n">
        <v>454</v>
      </c>
      <c r="E17" s="6" t="n">
        <v>498</v>
      </c>
    </row>
    <row r="18">
      <c r="A18" s="5" t="inlineStr">
        <is>
          <t>Total liabilities</t>
        </is>
      </c>
      <c r="B18" s="5" t="n">
        <v>112966</v>
      </c>
      <c r="C18" s="5" t="n">
        <v>10636</v>
      </c>
      <c r="D18" s="5" t="n">
        <v>10853</v>
      </c>
      <c r="E18" s="5" t="n">
        <v>14415</v>
      </c>
    </row>
    <row r="19">
      <c r="A19" s="5" t="inlineStr">
        <is>
          <t>Equity</t>
        </is>
      </c>
      <c r="B19" s="6" t="n"/>
      <c r="C19" s="6" t="n"/>
      <c r="D19" s="6" t="n"/>
      <c r="E19" s="6" t="n"/>
    </row>
    <row r="20">
      <c r="A20" s="6" t="inlineStr">
        <is>
          <t>Called up share capital</t>
        </is>
      </c>
      <c r="B20" s="6" t="n">
        <v>60138</v>
      </c>
      <c r="C20" s="6" t="n">
        <v>30138</v>
      </c>
      <c r="D20" s="6" t="n">
        <v>10138</v>
      </c>
      <c r="E20" s="6" t="n">
        <v>8207</v>
      </c>
    </row>
    <row r="21">
      <c r="A21" s="6" t="inlineStr">
        <is>
          <t>Share Premium</t>
        </is>
      </c>
      <c r="B21" s="6" t="n">
        <v>2862</v>
      </c>
      <c r="C21" s="6" t="n">
        <v>2862</v>
      </c>
      <c r="D21" s="6" t="n">
        <v>2862</v>
      </c>
      <c r="E21" s="6" t="n">
        <v>2793</v>
      </c>
    </row>
    <row r="22">
      <c r="A22" s="6" t="inlineStr">
        <is>
          <t>Retained earnings</t>
        </is>
      </c>
      <c r="B22" s="6" t="n">
        <v>-24885</v>
      </c>
      <c r="C22" s="6" t="n">
        <v>-14041</v>
      </c>
      <c r="D22" s="6" t="n">
        <v>-6794</v>
      </c>
      <c r="E22" s="6" t="n">
        <v>-2637</v>
      </c>
    </row>
    <row r="23">
      <c r="A23" s="5" t="inlineStr">
        <is>
          <t>Total equity</t>
        </is>
      </c>
      <c r="B23" s="5" t="n">
        <v>38115</v>
      </c>
      <c r="C23" s="5" t="n">
        <v>18959</v>
      </c>
      <c r="D23" s="5" t="n">
        <v>6206</v>
      </c>
      <c r="E23" s="5" t="n">
        <v>8363</v>
      </c>
    </row>
    <row r="24">
      <c r="A24" s="5" t="inlineStr">
        <is>
          <t>Total liabilities and equity</t>
        </is>
      </c>
      <c r="B24" s="5" t="n">
        <v>151081</v>
      </c>
      <c r="C24" s="5" t="n">
        <v>29595</v>
      </c>
      <c r="D24" s="5" t="n">
        <v>17059</v>
      </c>
      <c r="E24" s="5" t="n">
        <v>22777</v>
      </c>
    </row>
    <row r="26" ht="280" customHeight="1">
      <c r="A2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t>
        </is>
      </c>
    </row>
  </sheetData>
  <mergeCells count="1">
    <mergeCell ref="A26:E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receivable and similar income arising from debt securities</t>
        </is>
      </c>
      <c r="B5" s="6" t="n">
        <v>1756</v>
      </c>
      <c r="C5" s="6" t="n">
        <v>313</v>
      </c>
      <c r="D5" s="6" t="n">
        <v>530</v>
      </c>
      <c r="E5" s="6" t="n">
        <v>602</v>
      </c>
    </row>
    <row r="6">
      <c r="A6" s="6" t="inlineStr">
        <is>
          <t>Other interest receivable and similar income</t>
        </is>
      </c>
      <c r="B6" s="6" t="n">
        <v>2680</v>
      </c>
      <c r="C6" s="6" t="n">
        <v>805</v>
      </c>
      <c r="D6" s="6" t="n">
        <v>228</v>
      </c>
      <c r="E6" s="6" t="n">
        <v>14</v>
      </c>
    </row>
    <row r="7">
      <c r="A7" s="5" t="inlineStr">
        <is>
          <t>Total income</t>
        </is>
      </c>
      <c r="B7" s="5" t="n">
        <v>4436</v>
      </c>
      <c r="C7" s="5" t="n">
        <v>1118</v>
      </c>
      <c r="D7" s="5" t="n">
        <v>757</v>
      </c>
      <c r="E7" s="5" t="n">
        <v>616</v>
      </c>
    </row>
    <row r="8">
      <c r="A8" s="6" t="inlineStr">
        <is>
          <t>Net (loss)/gain on financial instruments at fair value through profit and loss</t>
        </is>
      </c>
      <c r="B8" s="6" t="n">
        <v>27</v>
      </c>
      <c r="C8" s="6" t="n"/>
      <c r="D8" s="6" t="n"/>
      <c r="E8" s="6" t="n"/>
    </row>
    <row r="9">
      <c r="A9" s="6" t="inlineStr">
        <is>
          <t>Interest payable</t>
        </is>
      </c>
      <c r="B9" s="6" t="n">
        <v>-1997</v>
      </c>
      <c r="C9" s="6" t="n">
        <v>-213</v>
      </c>
      <c r="D9" s="6" t="n">
        <v>-90</v>
      </c>
      <c r="E9" s="6" t="n">
        <v>-115</v>
      </c>
    </row>
    <row r="10">
      <c r="A10" s="5" t="inlineStr">
        <is>
          <t>Net income</t>
        </is>
      </c>
      <c r="B10" s="5" t="n">
        <v>2466</v>
      </c>
      <c r="C10" s="5" t="n">
        <v>905</v>
      </c>
      <c r="D10" s="5" t="n">
        <v>667</v>
      </c>
      <c r="E10" s="5" t="n">
        <v>500</v>
      </c>
    </row>
    <row r="11">
      <c r="A11" s="6" t="inlineStr">
        <is>
          <t>Administrative expenses</t>
        </is>
      </c>
      <c r="B11" s="6" t="n">
        <v>-13155</v>
      </c>
      <c r="C11" s="6" t="n">
        <v>-8475</v>
      </c>
      <c r="D11" s="6" t="n">
        <v>-4817</v>
      </c>
      <c r="E11" s="6" t="n">
        <v>-3858</v>
      </c>
    </row>
    <row r="12">
      <c r="A12" s="6" t="inlineStr">
        <is>
          <t>Depreciation and amortisation</t>
        </is>
      </c>
      <c r="B12" s="6" t="n">
        <v>-237</v>
      </c>
      <c r="C12" s="6" t="n">
        <v>-32</v>
      </c>
      <c r="D12" s="6" t="n">
        <v>-24</v>
      </c>
      <c r="E12" s="6" t="n">
        <v>-42</v>
      </c>
    </row>
    <row r="13">
      <c r="A13" s="6" t="inlineStr">
        <is>
          <t>Impairment charge for loan losses</t>
        </is>
      </c>
      <c r="B13" s="6" t="n">
        <v>-22</v>
      </c>
      <c r="C13" s="6" t="n">
        <v>-4</v>
      </c>
      <c r="D13" s="6" t="n">
        <v>-21</v>
      </c>
      <c r="E13" s="6" t="n">
        <v>-34</v>
      </c>
    </row>
    <row r="14">
      <c r="A14" s="5" t="inlineStr">
        <is>
          <t>Loss on ordinary activities before taxation</t>
        </is>
      </c>
      <c r="B14" s="5" t="n">
        <v>-10948</v>
      </c>
      <c r="C14" s="5" t="n">
        <v>-7606</v>
      </c>
      <c r="D14" s="5" t="n">
        <v>-4194</v>
      </c>
      <c r="E14" s="5" t="n">
        <v>-3434</v>
      </c>
    </row>
    <row r="15">
      <c r="A15" s="6" t="inlineStr">
        <is>
          <t>Tax on profit on ordinary activities</t>
        </is>
      </c>
      <c r="B15" s="6" t="n">
        <v>104</v>
      </c>
      <c r="C15" s="6" t="n">
        <v>359</v>
      </c>
      <c r="D15" s="6" t="n">
        <v>38</v>
      </c>
      <c r="E15" s="6" t="n">
        <v>0</v>
      </c>
    </row>
    <row r="16">
      <c r="A16" s="5" t="inlineStr">
        <is>
          <t>Loss for the financial year</t>
        </is>
      </c>
      <c r="B16" s="5" t="n">
        <v>-10844</v>
      </c>
      <c r="C16" s="5" t="n">
        <v>-7247</v>
      </c>
      <c r="D16" s="5" t="n">
        <v>-4156</v>
      </c>
      <c r="E16" s="5" t="n">
        <v>-3434</v>
      </c>
    </row>
    <row r="17">
      <c r="A17" s="5" t="inlineStr">
        <is>
          <t>Other comprehensive income</t>
        </is>
      </c>
      <c r="B17" s="6" t="n"/>
      <c r="C17" s="6" t="n"/>
      <c r="D17" s="6" t="n"/>
      <c r="E17" s="6" t="n"/>
    </row>
    <row r="18">
      <c r="A18" s="6" t="inlineStr">
        <is>
          <t>Other comprehensive income</t>
        </is>
      </c>
      <c r="B18" s="6" t="n">
        <v>0</v>
      </c>
      <c r="C18" s="6" t="n">
        <v>0</v>
      </c>
      <c r="D18" s="6" t="n">
        <v>0</v>
      </c>
      <c r="E18" s="6" t="n">
        <v>0</v>
      </c>
    </row>
    <row r="19">
      <c r="A19" s="5" t="inlineStr">
        <is>
          <t>Total comprehensive income for the year</t>
        </is>
      </c>
      <c r="B19" s="5" t="n">
        <v>-10844</v>
      </c>
      <c r="C19" s="5" t="n">
        <v>-7247</v>
      </c>
      <c r="D19" s="5" t="n">
        <v>-4156</v>
      </c>
      <c r="E19" s="5" t="n">
        <v>-3434</v>
      </c>
    </row>
    <row r="21" ht="300" customHeight="1">
      <c r="A21"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'Net (loss)/gain on financial instruments held at fair value through profit and loss' line only appears from FY2024 onward (GBP27k) - not disclosed as a separate line in FY2021-FY2023, where it did not exist or was immaterial/nil.
CORRECTION (2026-09-06 audit): FY2022 Total income and Net income were previously shown as GBP758k and GBP668k - the FY2023 filing's own restated £'000 comparative column for FY2022 (itself component-rounded: 530+228=758). The FY2022 filing's own primary Income Statement (exact GBP, this project's stated per-year sourcing convention) states Total income of GBP757,483 and Net income of GBP667,285, which round to GBP757k/GBP667k - now corrected to match. All other FY2022 P&amp;L lines already matched the FY2022 filing exactly; only these two subtotals had drifted to the later filing's rounding. The downstream 'Loss on ordinary activities before taxation' (GBP4,194k) is unaffected - it is each filing's own reported total, not a re-derived sum of the (rounded) lines above it, so it does not tie by simple subtraction to the corrected Net income figure; this is the same independent-rounding artifact already documented on the Balance Sheet sheet (a component sum landing GBP1k off its own total row).</t>
        </is>
      </c>
    </row>
  </sheetData>
  <mergeCells count="1">
    <mergeCell ref="A21:E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2024</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8" ht="260" customHeight="1">
      <c r="A18"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capital-raise row is labelled 'Capital injection' in the bank's own 2021/2022 filings and 'Issue of new shares' in its 2023/2024 filings - same underlying event (a share capital + share premium increase), the bank's own wording just changed year to year; reproduced here as each filing states it.</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Reconciliation of operating (loss) to net operating cash flows</t>
        </is>
      </c>
      <c r="B4" s="6" t="n"/>
      <c r="C4" s="6" t="n"/>
      <c r="D4" s="6" t="n"/>
      <c r="E4" s="6" t="n"/>
    </row>
    <row r="5">
      <c r="A5" s="6" t="inlineStr">
        <is>
          <t>Loss on ordinary activities after taxation</t>
        </is>
      </c>
      <c r="B5" s="6" t="n">
        <v>-10844</v>
      </c>
      <c r="C5" s="6" t="n">
        <v>-7247</v>
      </c>
      <c r="D5" s="6" t="n">
        <v>-4156</v>
      </c>
      <c r="E5" s="6" t="n">
        <v>-3434</v>
      </c>
    </row>
    <row r="6">
      <c r="A6" s="6" t="inlineStr">
        <is>
          <t>Increase in prepayments and accrued income</t>
        </is>
      </c>
      <c r="B6" s="6" t="n">
        <v>-228</v>
      </c>
      <c r="C6" s="6" t="n">
        <v>-252</v>
      </c>
      <c r="D6" s="6" t="n">
        <v>-34</v>
      </c>
      <c r="E6" s="6" t="n">
        <v>-238</v>
      </c>
    </row>
    <row r="7">
      <c r="A7" s="6" t="inlineStr">
        <is>
          <t>Increase in derivative financial asset</t>
        </is>
      </c>
      <c r="B7" s="6" t="n">
        <v>-27</v>
      </c>
      <c r="C7" s="6" t="n"/>
      <c r="D7" s="6" t="n"/>
      <c r="E7" s="6" t="n"/>
    </row>
    <row r="8">
      <c r="A8" s="6" t="inlineStr">
        <is>
          <t>Increase/(decrease) in accruals and deferred income</t>
        </is>
      </c>
      <c r="B8" s="6" t="n">
        <v>4761</v>
      </c>
      <c r="C8" s="6" t="n">
        <v>883</v>
      </c>
      <c r="D8" s="6" t="n">
        <v>-44</v>
      </c>
      <c r="E8" s="6" t="n">
        <v>396</v>
      </c>
    </row>
    <row r="9">
      <c r="A9" s="6" t="inlineStr">
        <is>
          <t>Increase/(decrease) in provision for bad and doubtful debts</t>
        </is>
      </c>
      <c r="B9" s="6" t="n">
        <v>22</v>
      </c>
      <c r="C9" s="6" t="n">
        <v>-4</v>
      </c>
      <c r="D9" s="6" t="n">
        <v>-21</v>
      </c>
      <c r="E9" s="6" t="n">
        <v>-8</v>
      </c>
    </row>
    <row r="10">
      <c r="A10" s="6" t="inlineStr">
        <is>
          <t>Loans and advances written off net of recoveries</t>
        </is>
      </c>
      <c r="B10" s="6" t="n"/>
      <c r="C10" s="6" t="n"/>
      <c r="D10" s="6" t="n">
        <v>0</v>
      </c>
      <c r="E10" s="6" t="n">
        <v>0</v>
      </c>
    </row>
    <row r="11">
      <c r="A11" s="6" t="inlineStr">
        <is>
          <t>Depreciation and amortisation</t>
        </is>
      </c>
      <c r="B11" s="6" t="n">
        <v>237</v>
      </c>
      <c r="C11" s="6" t="n">
        <v>32</v>
      </c>
      <c r="D11" s="6" t="n">
        <v>24</v>
      </c>
      <c r="E11" s="6" t="n">
        <v>42</v>
      </c>
    </row>
    <row r="12">
      <c r="A12" s="6" t="inlineStr">
        <is>
          <t>Taxation - credit</t>
        </is>
      </c>
      <c r="B12" s="6" t="n">
        <v>-104</v>
      </c>
      <c r="C12" s="6" t="n">
        <v>-123</v>
      </c>
      <c r="D12" s="6" t="n">
        <v>-38</v>
      </c>
      <c r="E12" s="6" t="n">
        <v>0</v>
      </c>
    </row>
    <row r="13">
      <c r="A13" s="5" t="inlineStr">
        <is>
          <t>Net cash outflow from trading activities</t>
        </is>
      </c>
      <c r="B13" s="5" t="n">
        <v>-6183</v>
      </c>
      <c r="C13" s="5" t="n">
        <v>-6711</v>
      </c>
      <c r="D13" s="5" t="n">
        <v>-4270</v>
      </c>
      <c r="E13" s="5" t="n">
        <v>-3242</v>
      </c>
    </row>
    <row r="14">
      <c r="A14" s="6" t="inlineStr">
        <is>
          <t>Net (increase)/decrease in loans and advances to credit institutions and customers</t>
        </is>
      </c>
      <c r="B14" s="6" t="n">
        <v>-86137</v>
      </c>
      <c r="C14" s="6" t="n">
        <v>3951</v>
      </c>
      <c r="D14" s="6" t="n">
        <v>2018</v>
      </c>
      <c r="E14" s="6" t="n">
        <v>1328</v>
      </c>
    </row>
    <row r="15">
      <c r="A15" s="6" t="inlineStr">
        <is>
          <t>Decrease/(increase) in financial assets / treasury bills</t>
        </is>
      </c>
      <c r="B15" s="6" t="n">
        <v>-22843</v>
      </c>
      <c r="C15" s="6" t="n">
        <v>-13750</v>
      </c>
      <c r="D15" s="6" t="n">
        <v>3250</v>
      </c>
      <c r="E15" s="6" t="n">
        <v>-4250</v>
      </c>
    </row>
    <row r="16">
      <c r="A16" s="6" t="inlineStr">
        <is>
          <t>Increase/(decrease) in deposits by customers</t>
        </is>
      </c>
      <c r="B16" s="6" t="n">
        <v>97569</v>
      </c>
      <c r="C16" s="6" t="n">
        <v>-1100</v>
      </c>
      <c r="D16" s="6" t="n">
        <v>-3518</v>
      </c>
      <c r="E16" s="6" t="n">
        <v>-1837</v>
      </c>
    </row>
    <row r="17">
      <c r="A17" s="6" t="inlineStr">
        <is>
          <t>Increase/(decrease) in other assets</t>
        </is>
      </c>
      <c r="B17" s="6" t="n">
        <v>-3082</v>
      </c>
      <c r="C17" s="6" t="n">
        <v>167</v>
      </c>
      <c r="D17" s="6" t="n">
        <v>-81</v>
      </c>
      <c r="E17" s="6" t="n">
        <v>8</v>
      </c>
    </row>
    <row r="18">
      <c r="A18" s="5" t="inlineStr">
        <is>
          <t>Net cash outflow from operating activities</t>
        </is>
      </c>
      <c r="B18" s="5" t="n">
        <v>-20676</v>
      </c>
      <c r="C18" s="5" t="n">
        <v>-17679</v>
      </c>
      <c r="D18" s="5" t="n">
        <v>-2601</v>
      </c>
      <c r="E18" s="5" t="n">
        <v>-7994</v>
      </c>
    </row>
    <row r="19">
      <c r="A19" s="5" t="inlineStr">
        <is>
          <t>Cash flow from investing activities</t>
        </is>
      </c>
      <c r="B19" s="6" t="n"/>
      <c r="C19" s="6" t="n"/>
      <c r="D19" s="6" t="n"/>
      <c r="E19" s="6" t="n"/>
    </row>
    <row r="20">
      <c r="A20" s="6" t="inlineStr">
        <is>
          <t>Purchase of fixed assets</t>
        </is>
      </c>
      <c r="B20" s="6" t="n">
        <v>-36</v>
      </c>
      <c r="C20" s="6" t="n">
        <v>-45</v>
      </c>
      <c r="D20" s="6" t="n">
        <v>-9</v>
      </c>
      <c r="E20" s="6" t="n">
        <v>-42</v>
      </c>
    </row>
    <row r="21">
      <c r="A21" s="6" t="inlineStr">
        <is>
          <t>Purchase of intangible assets</t>
        </is>
      </c>
      <c r="B21" s="6" t="n">
        <v>-1982</v>
      </c>
      <c r="C21" s="6" t="n">
        <v>-307</v>
      </c>
      <c r="D21" s="6" t="n">
        <v>0</v>
      </c>
      <c r="E21" s="6" t="n"/>
    </row>
    <row r="22">
      <c r="A22" s="5" t="inlineStr">
        <is>
          <t>Net cash outflow from investing activities</t>
        </is>
      </c>
      <c r="B22" s="5" t="n">
        <v>-2018</v>
      </c>
      <c r="C22" s="5" t="n">
        <v>-352</v>
      </c>
      <c r="D22" s="5" t="n">
        <v>-9</v>
      </c>
      <c r="E22" s="5" t="n">
        <v>-42</v>
      </c>
    </row>
    <row r="23">
      <c r="A23" s="5" t="inlineStr">
        <is>
          <t>Cash flow from financing activities</t>
        </is>
      </c>
      <c r="B23" s="6" t="n"/>
      <c r="C23" s="6" t="n"/>
      <c r="D23" s="6" t="n"/>
      <c r="E23" s="6" t="n"/>
    </row>
    <row r="24">
      <c r="A24" s="6" t="inlineStr">
        <is>
          <t>Called up share capital additions</t>
        </is>
      </c>
      <c r="B24" s="6" t="n">
        <v>30000</v>
      </c>
      <c r="C24" s="6" t="n">
        <v>20000</v>
      </c>
      <c r="D24" s="6" t="n">
        <v>2000</v>
      </c>
      <c r="E24" s="6" t="n">
        <v>9000</v>
      </c>
    </row>
    <row r="25">
      <c r="A25" s="5" t="inlineStr">
        <is>
          <t>Net cash inflow from financing activities</t>
        </is>
      </c>
      <c r="B25" s="5" t="n">
        <v>30000</v>
      </c>
      <c r="C25" s="5" t="n">
        <v>20000</v>
      </c>
      <c r="D25" s="5" t="n">
        <v>2000</v>
      </c>
      <c r="E25" s="5" t="n">
        <v>9000</v>
      </c>
    </row>
    <row r="26">
      <c r="A26" s="5" t="inlineStr">
        <is>
          <t>Increase/(decrease) in cash and cash equivalents</t>
        </is>
      </c>
      <c r="B26" s="5" t="n">
        <v>7306</v>
      </c>
      <c r="C26" s="5" t="n">
        <v>1969</v>
      </c>
      <c r="D26" s="5" t="n">
        <v>-610</v>
      </c>
      <c r="E26" s="5" t="n">
        <v>964</v>
      </c>
    </row>
    <row r="27">
      <c r="A27" s="5" t="inlineStr">
        <is>
          <t>Analysis of the balances of cash</t>
        </is>
      </c>
      <c r="B27" s="6" t="n"/>
      <c r="C27" s="6" t="n"/>
      <c r="D27" s="6" t="n"/>
      <c r="E27" s="6" t="n"/>
    </row>
    <row r="28">
      <c r="A28" s="6" t="inlineStr">
        <is>
          <t>Cash at bank at beginning of year</t>
        </is>
      </c>
      <c r="B28" s="6" t="n">
        <v>3866</v>
      </c>
      <c r="C28" s="6" t="n">
        <v>1897</v>
      </c>
      <c r="D28" s="6" t="n">
        <v>2506</v>
      </c>
      <c r="E28" s="6" t="n"/>
    </row>
    <row r="29">
      <c r="A29" s="5" t="inlineStr">
        <is>
          <t>Cash at bank at end of year</t>
        </is>
      </c>
      <c r="B29" s="5" t="n">
        <v>11172</v>
      </c>
      <c r="C29" s="5" t="n">
        <v>3866</v>
      </c>
      <c r="D29" s="5" t="n">
        <v>1896</v>
      </c>
      <c r="E29" s="5" t="n">
        <v>2506</v>
      </c>
    </row>
    <row r="31" ht="280" customHeight="1">
      <c r="A31" s="8" t="inlineStr">
        <is>
          <t>Sources - Birmingham Bank Limited's own Statement of Cash Flows (FRS 102), all figures GBP'000: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t>
        </is>
      </c>
    </row>
  </sheetData>
  <mergeCells count="1">
    <mergeCell ref="A31:E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Birmingham Bank Limited — Asset Quality</t>
        </is>
      </c>
    </row>
    <row r="2">
      <c r="A2" s="2" t="inlineStr">
        <is>
          <t>Bank-solo basis, FRS 102,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t>
        </is>
      </c>
      <c r="B4" s="6" t="n"/>
      <c r="C4" s="6" t="n"/>
      <c r="D4" s="6" t="n"/>
      <c r="E4" s="6" t="n"/>
    </row>
    <row r="5">
      <c r="A5" s="6" t="inlineStr">
        <is>
          <t>Gross loans and advances to customers</t>
        </is>
      </c>
      <c r="B5" s="6" t="n">
        <v>90352</v>
      </c>
      <c r="C5" s="6" t="n">
        <v>4215</v>
      </c>
      <c r="D5" s="6" t="n">
        <v>6879</v>
      </c>
      <c r="E5" s="6" t="n">
        <v>8901</v>
      </c>
    </row>
    <row r="6">
      <c r="A6" s="6" t="inlineStr">
        <is>
          <t>Bad debt provisions</t>
        </is>
      </c>
      <c r="B6" s="6" t="n">
        <v>-42</v>
      </c>
      <c r="C6" s="6" t="n">
        <v>-20</v>
      </c>
      <c r="D6" s="6" t="n">
        <v>-12</v>
      </c>
      <c r="E6" s="6" t="n">
        <v>-33</v>
      </c>
    </row>
    <row r="7">
      <c r="A7" s="5" t="inlineStr">
        <is>
          <t>Net loans and advances to customers</t>
        </is>
      </c>
      <c r="B7" s="5" t="n">
        <v>90310</v>
      </c>
      <c r="C7" s="5" t="n">
        <v>4195</v>
      </c>
      <c r="D7" s="5" t="n">
        <v>6867</v>
      </c>
      <c r="E7" s="5" t="n">
        <v>8868</v>
      </c>
    </row>
    <row r="8">
      <c r="A8" s="5" t="inlineStr">
        <is>
          <t>Gross loan book by maturity</t>
        </is>
      </c>
      <c r="B8" s="6" t="n"/>
      <c r="C8" s="6" t="n"/>
      <c r="D8" s="6" t="n"/>
      <c r="E8" s="6" t="n"/>
    </row>
    <row r="9">
      <c r="A9" s="6" t="inlineStr">
        <is>
          <t>Repayable on demand</t>
        </is>
      </c>
      <c r="B9" s="6" t="n">
        <v>5</v>
      </c>
      <c r="C9" s="6" t="n">
        <v>5</v>
      </c>
      <c r="D9" s="6" t="n">
        <v>13</v>
      </c>
      <c r="E9" s="6" t="n">
        <v>44</v>
      </c>
    </row>
    <row r="10">
      <c r="A10" s="6" t="inlineStr">
        <is>
          <t>Repayable within 3 months</t>
        </is>
      </c>
      <c r="B10" s="6" t="n">
        <v>277</v>
      </c>
      <c r="C10" s="6" t="n">
        <v>409</v>
      </c>
      <c r="D10" s="6" t="n">
        <v>927</v>
      </c>
      <c r="E10" s="6" t="n">
        <v>1182</v>
      </c>
    </row>
    <row r="11">
      <c r="A11" s="6" t="inlineStr">
        <is>
          <t>Repayable between 3 months and one year</t>
        </is>
      </c>
      <c r="B11" s="6" t="n">
        <v>611</v>
      </c>
      <c r="C11" s="6" t="n">
        <v>1198</v>
      </c>
      <c r="D11" s="6" t="n">
        <v>2374</v>
      </c>
      <c r="E11" s="6" t="n">
        <v>2919</v>
      </c>
    </row>
    <row r="12">
      <c r="A12" s="6" t="inlineStr">
        <is>
          <t>Repayable between one year and five years</t>
        </is>
      </c>
      <c r="B12" s="6" t="n">
        <v>89459</v>
      </c>
      <c r="C12" s="6" t="n">
        <v>2603</v>
      </c>
      <c r="D12" s="6" t="n">
        <v>3564</v>
      </c>
      <c r="E12" s="6" t="n">
        <v>4758</v>
      </c>
    </row>
    <row r="13">
      <c r="A13" s="5" t="inlineStr">
        <is>
          <t>Coverage</t>
        </is>
      </c>
      <c r="B13" s="6" t="n"/>
      <c r="C13" s="6" t="n"/>
      <c r="D13" s="6" t="n"/>
      <c r="E13" s="6" t="n"/>
    </row>
    <row r="14">
      <c r="A14" s="6" t="inlineStr">
        <is>
          <t>Bad debt provision coverage (Provision / Gross loans)</t>
        </is>
      </c>
      <c r="B14" s="6" t="inlineStr">
        <is>
          <t>0.05%</t>
        </is>
      </c>
      <c r="C14" s="6" t="inlineStr">
        <is>
          <t>0.47%</t>
        </is>
      </c>
      <c r="D14" s="6" t="inlineStr">
        <is>
          <t>0.17%</t>
        </is>
      </c>
      <c r="E14" s="6" t="inlineStr">
        <is>
          <t>0.37%</t>
        </is>
      </c>
    </row>
    <row r="16" ht="280" customHeight="1">
      <c r="A1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Bank reports under FRS 102 (incurred-loss impairment model), not IFRS 9 - no Stage 1/2/3 or non-performing-loan split is disclosed in any year's Annual Report or the one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KM1 Key Metrics</t>
        </is>
      </c>
    </row>
    <row r="2">
      <c r="A2" s="2" t="inlineStr">
        <is>
          <t>Not applicable - the Bank publishes a narrative Pillar 3 and has never printed the UK KM1 template</t>
        </is>
      </c>
    </row>
    <row r="3">
      <c r="A3" s="4" t="inlineStr">
        <is>
          <t>Line item</t>
        </is>
      </c>
      <c r="B3" s="4" t="inlineStr">
        <is>
          <t>FY2024</t>
        </is>
      </c>
      <c r="C3" s="4" t="inlineStr">
        <is>
          <t>FY2023</t>
        </is>
      </c>
      <c r="D3" s="4" t="inlineStr">
        <is>
          <t>FY2022</t>
        </is>
      </c>
      <c r="E3" s="4" t="inlineStr">
        <is>
          <t>FY2021</t>
        </is>
      </c>
    </row>
    <row r="4">
      <c r="A4" s="6" t="inlineStr">
        <is>
          <t>UK KM1 'Key metrics' template</t>
        </is>
      </c>
      <c r="B4" s="6" t="inlineStr">
        <is>
          <t>Not applicable</t>
        </is>
      </c>
      <c r="C4" s="6" t="inlineStr">
        <is>
          <t>Not applicable</t>
        </is>
      </c>
      <c r="D4" s="6" t="inlineStr">
        <is>
          <t>Not applicable</t>
        </is>
      </c>
      <c r="E4" s="6" t="inlineStr">
        <is>
          <t>Not applicable</t>
        </is>
      </c>
    </row>
    <row r="6" ht="520" customHeight="1">
      <c r="A6" s="8" t="inlineStr">
        <is>
          <t>Birmingham Bank Limited has never published the UK KM1 'Key metrics' template. This is a bounded negative, not a gap: every Pillar 3 disclosure the Bank has issued was fetched and read in full (checked 2026-09-16).
EDITIONS CHECKED - three exist, one per year, and each is a different document:
FY2024 (cover: 'For the year ended 31 December 2024'), 24pp - https://www.birminghambank.com/hubfs/Birmingham%20Bank%202024%20Theme/PDFs/09i-Pillar-3-Disclosures-Report-as-at-140425.pdf
FY2023 (cover: 'For the year ended 31 December 2023'), 24pp, md5 ae21adfa2ee6000cf6a8df9801b28487 - https://www.birminghambank.com/wp-content/uploads/Birmingham-Bank-Pillar-3-Disclosures-2022-final.pdf
FY2022 (cover: 'For the year ended 31 December 2022'), 24pp, md5 e1a32b0e3f4a9f64576a9092859f45ab - https://web.archive.org/web/20240224223816id_/https://www.birminghambank.com/wp-content/uploads/Birmingham-Bank-Pillar-3-Disclosures-2022-final.pdf
NOTE ON THOSE LAST TWO URLs: they are the SAME path. The Bank overwrites its Pillar 3 file in place, so the live URL now serves the FY2023 edition while the dated Wayback capture still serves the FY2022 one - which is exactly why the FY2022 citation is pinned to a capture. The two files differ (md5s above). Do not 'simplify' the FY2022 citation to the live URL; that would silently swap the edition.
WHY 'NOT APPLICABLE' RATHER THAN 'NOT FOUND'. Searching each edition's text: 'KM1' occurs 0 times and 'key metric' 0 times, while the same extraction returns CET1/Common Equity 18 times, 'own funds' 3, 'leverage' 5 and LCR 7-9 times in every edition. The extraction demonstrably reaches the capital and liquidity vocabulary where it is printed, so the absence of the template is a property of the documents, not of the tool. The Bank instead publishes a narrative Pillar 3 whose Section 1.4 'Summary Analysis' carries the headline figures; those feed the individual metric sheets in this workbook and are cited there. Nothing on this sheet is back-filled from the statutory accounts.
PARENT CHECKED TOO (a subsidiary's KM1 is often published inside its parent's Pillar 3, as extra columns or an appendix table). Companies House PSC register for company 00555071, read 2026-09-16, shows the controlling party has been: Bira Trading Limited (England, reg 11628600, 75%+) until it CEASED on 8 January 2021; and Better Home And Finance Holding Company (ACTIVE, notified 22 December 2025, 75%+ of shares and voting rights, 3 World Trade Center, New York; governing law Delaware Corporate Law; place registered Delaware; registration number 1484882; incorporated in the United States). A UK private holding company and a US Delaware corporation respectively - neither is a UK CRR institution carrying a Pillar 3 / Article 433 disclosure duty, nor an EU CRR institution carrying an Article 13(1) large-subsidiary duty. So there is no parent Pillar 3 in which a Birmingham Bank KM1 could appear, in any year this workbook covers. (The FY2024 Annual Report could not answer this: it is an image-only scan - 39 pages carrying 38 characters of text layer.)
SDDT IS NOT THE EXPLANATION - see the fuller note on the Total Capital sheet. The Bank does hold the SDDT Rule 3.1 opt-in, but it starts 14/04/2026, which post-dates all three editions above and therefore explains none of them. It is consistent with no FY2025 edition having appeared as at 2026-09-16, when the Bank's own site linked exactly one Pillar 3 document (the FY2024 one).</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35985</v>
      </c>
      <c r="C4" s="6" t="n">
        <v>18617</v>
      </c>
      <c r="D4" s="6" t="n">
        <v>6172</v>
      </c>
      <c r="E4" s="6" t="n">
        <v>8314</v>
      </c>
    </row>
    <row r="5" ht="60" customHeight="1">
      <c r="A5" s="7" t="inlineStr">
        <is>
          <t>Note: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CET1 Ratio (= Capital Adequacy Ratio)</t>
        </is>
      </c>
      <c r="B4" s="6" t="inlineStr">
        <is>
          <t>76%</t>
        </is>
      </c>
      <c r="C4" s="6" t="inlineStr">
        <is>
          <t>365%</t>
        </is>
      </c>
      <c r="D4" s="6" t="inlineStr">
        <is>
          <t>90%</t>
        </is>
      </c>
      <c r="E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35985</v>
      </c>
      <c r="C4" s="6" t="n">
        <v>18617</v>
      </c>
      <c r="D4" s="6" t="n">
        <v>6172</v>
      </c>
      <c r="E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76%</t>
        </is>
      </c>
      <c r="C4" s="6" t="inlineStr">
        <is>
          <t>365%</t>
        </is>
      </c>
      <c r="D4" s="6" t="inlineStr">
        <is>
          <t>90%</t>
        </is>
      </c>
      <c r="E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35985</v>
      </c>
      <c r="C4" s="6" t="n">
        <v>18617</v>
      </c>
      <c r="D4" s="6" t="n">
        <v>6172</v>
      </c>
      <c r="E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 (= Capital Adequacy Ratio)</t>
        </is>
      </c>
      <c r="B4" s="6" t="inlineStr">
        <is>
          <t>76%</t>
        </is>
      </c>
      <c r="C4" s="6" t="inlineStr">
        <is>
          <t>365%</t>
        </is>
      </c>
      <c r="D4" s="6" t="inlineStr">
        <is>
          <t>90%</t>
        </is>
      </c>
      <c r="E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assets</t>
        </is>
      </c>
      <c r="B4" s="6" t="n">
        <v>47333</v>
      </c>
      <c r="C4" s="6" t="n">
        <v>5229</v>
      </c>
      <c r="D4" s="6" t="n">
        <v>6822</v>
      </c>
      <c r="E4" s="6" t="n">
        <v>8648</v>
      </c>
    </row>
    <row r="5" ht="60" customHeight="1">
      <c r="A5" s="7" t="inlineStr">
        <is>
          <t>Note: FY2023 RWA shown here (GBP5,229k) is the figure the FY2024 Pillar 3 report carries as its FY2023 comparative in Section 1.4 'Summary Analysis'. The FY2023 Pillar 3 report's OWN Section 1.4 states GBP5,101k for that year, and its Section 5 detail table agrees exactly (credit risk GBP4,056k + operational risk GBP1,045k = GBP5,101k). So the ~2.5% difference is a RESTATEMENT between two documents, not an internal inconsistency within one: GBP5,229k is the later, restated view. The restated figure is retained here for consistency with how FY2024 is sourced (both from the FY2024 report), while the RWA Breakdown sheet's FY2023 column ticks to GBP5,101k because its category rows are the as-originally-disclosed ones. Corrected 2026-09-15: this note previously described both figures as coming from the same report's Section 1.4 and Section 5, which is not what the documents say. FY2022 and FY2021 are unaffected - for those years the summary and detail tables agree exactly (6,822 and 8,648 respectively).</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RWA Breakdown</t>
        </is>
      </c>
    </row>
    <row r="2">
      <c r="A2" s="2" t="inlineStr">
        <is>
          <t>Bank-solo basis, £'000. See source note at bottom.</t>
        </is>
      </c>
    </row>
    <row r="3">
      <c r="A3" s="4" t="inlineStr">
        <is>
          <t>Line item</t>
        </is>
      </c>
      <c r="B3" s="4" t="inlineStr">
        <is>
          <t>FY2024 (£'000)</t>
        </is>
      </c>
      <c r="C3" s="4" t="inlineStr">
        <is>
          <t>FY2023 (£'000)</t>
        </is>
      </c>
      <c r="D3" s="4" t="inlineStr">
        <is>
          <t>FY2022 (£'000)</t>
        </is>
      </c>
      <c r="E3" s="4" t="inlineStr">
        <is>
          <t>FY2021 (£'000)</t>
        </is>
      </c>
    </row>
    <row r="4">
      <c r="A4" s="6" t="inlineStr">
        <is>
          <t>Credit risk</t>
        </is>
      </c>
      <c r="B4" s="6" t="n">
        <v>46037</v>
      </c>
      <c r="C4" s="6" t="n">
        <v>4056</v>
      </c>
      <c r="D4" s="6" t="n">
        <v>5797</v>
      </c>
      <c r="E4" s="6" t="n">
        <v>7133</v>
      </c>
    </row>
    <row r="5">
      <c r="A5" s="6" t="inlineStr">
        <is>
          <t>Operational risk</t>
        </is>
      </c>
      <c r="B5" s="6" t="n">
        <v>1296</v>
      </c>
      <c r="C5" s="6" t="n">
        <v>1045</v>
      </c>
      <c r="D5" s="6" t="n">
        <v>1025</v>
      </c>
      <c r="E5" s="6" t="n">
        <v>1515</v>
      </c>
    </row>
    <row r="6">
      <c r="A6" s="5" t="inlineStr">
        <is>
          <t>Total RWAs (Pillar 1)</t>
        </is>
      </c>
      <c r="B6" s="5" t="n">
        <v>47333</v>
      </c>
      <c r="C6" s="5" t="n">
        <v>5101</v>
      </c>
      <c r="D6" s="5" t="n">
        <v>6822</v>
      </c>
      <c r="E6" s="5" t="n">
        <v>8648</v>
      </c>
    </row>
    <row r="8" ht="200" customHeight="1">
      <c r="A8"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
The Bank has no exposure to market risk under Pillar 1 (per the Pillar 3 report's own statement) - credit risk and operational risk are the only two categories.
FY2022 &amp; FY2021 ADDED 2026-09-15, correcting a prior claim. This sheet previously stated that 'no Pillar 3 document covers those years'. That was wrong: a Wayback CDX sweep of birminghambank.com recovered 'Birmingham-Bank-Pillar-3-Disclosures-2022-final.pdf', a genuine text-layer Pillar 3 report headed 'For the year ended 31 December 2022', whose Section 5.2 RWA detail table gives both FY2022 and its FY2021 comparative:
  FY2022 - total credit risk exposure 5,797 + operational risk 1,025 = 6,822
  FY2021 - total credit risk exposure 7,133 + operational risk 1,515 = 8,648
Both tie exactly to that same document's Section 1.4 'Summary Analysis' headline Risk Weighted assets row (6,822 and 8,648). Source: https://web.archive.org/web/20240224223816id_/https://www.birminghambank.com/wp-content/uploads/Birmingham-Bank-Pillar-3-Disclosures-2022-final.pdf
FY2022 is further corroborated INDEPENDENTLY by the FY2023 Pillar 3 report, whose own comparative column reproduces 5,797 + 1,025 = 6,822 exactly. A third consistency check: this document's Section 1.4 liquidity coverage ratios (FY2022 2,983%, FY2021 16,250%) reproduce the LCR figures already carried on this workbook's LCR sheet for those years, confirming the same entity and basis.
CITATION TRAP - do not 'simplify' the FY2022 URL to the live one. The bank has re-uploaded its FY2023 report OVER that filename, so the live https://www.birminghambank.com/wp-content/uploads/Birmingham-Bank-Pillar-3-Disclosures-2022-final.pdf returns HTTP 200 but serves the year-ended-31-December-2023 document. The Wayback snapshot above is the only reliable route to the real FY2022 edition. (Verified 2026-09-15: the live file's first page reads 'For the year ended 31 December 2023'.)
Also recovered but NOT used: a 'Birmingham-Bank-Pillar-3.pdf' for the year ended 31 December 2020, archived 2021-08-05. FY2020 is outside this workbook's YEARS range, so it is recorded here only as a known-existing document should the range ever be extended.</t>
        </is>
      </c>
    </row>
  </sheetData>
  <mergeCells count="1">
    <mergeCell ref="A8:E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t>
        </is>
      </c>
      <c r="B4" s="6" t="inlineStr">
        <is>
          <t>24%</t>
        </is>
      </c>
      <c r="C4" s="6" t="inlineStr">
        <is>
          <t>63%</t>
        </is>
      </c>
      <c r="D4" s="6" t="inlineStr">
        <is>
          <t>36%</t>
        </is>
      </c>
      <c r="E4" s="6" t="inlineStr">
        <is>
          <t>37%</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725%</t>
        </is>
      </c>
      <c r="C4" s="6" t="inlineStr">
        <is>
          <t>11,351%</t>
        </is>
      </c>
      <c r="D4" s="6" t="inlineStr">
        <is>
          <t>2,983%</t>
        </is>
      </c>
      <c r="E4" s="6" t="inlineStr">
        <is>
          <t>16,250%</t>
        </is>
      </c>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in any Annual Report or the one Pillar 3 document published.</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 the Bank is small enough to plausibly sit below the BoE's MREL threshold, but no explicit statement to that effect was found either.</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2026-09-16T20:14:11Z</dcterms:created>
  <dcterms:modified xmlns:dcterms="http://purl.org/dc/terms/" xmlns:xsi="http://www.w3.org/2001/XMLSchema-instance" xsi:type="dcterms:W3CDTF">2026-09-16T20:14:11Z</dcterms:modified>
</cp:coreProperties>
</file>