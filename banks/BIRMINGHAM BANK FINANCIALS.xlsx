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46B2D"/>
        <bgColor rgb="00946B2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Birmingham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Birmingham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Birmingham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'Overview'!V17</f>
            </strRef>
          </tx>
          <spPr>
            <a:ln xmlns:a="http://schemas.openxmlformats.org/drawingml/2006/main">
              <a:prstDash val="solid"/>
            </a:ln>
          </spPr>
          <cat>
            <numRef>
              <f>'Overview'!$W$16:$Z$16</f>
            </numRef>
          </cat>
          <val>
            <numRef>
              <f>'Overview'!$W$17:$Z$17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Birmingham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'Overview'!AC21</f>
            </strRef>
          </tx>
          <spPr>
            <a:ln xmlns:a="http://schemas.openxmlformats.org/drawingml/2006/main">
              <a:prstDash val="solid"/>
            </a:ln>
          </spPr>
          <cat>
            <numRef>
              <f>'Overview'!$AD$20:$AG$20</f>
            </numRef>
          </cat>
          <val>
            <numRef>
              <f>'Overview'!$AD$21:$AG$21</f>
            </numRef>
          </val>
        </ser>
        <ser>
          <idx val="1"/>
          <order val="1"/>
          <tx>
            <strRef>
              <f>'Overview'!AC22</f>
            </strRef>
          </tx>
          <spPr>
            <a:ln xmlns:a="http://schemas.openxmlformats.org/drawingml/2006/main">
              <a:prstDash val="solid"/>
            </a:ln>
          </spPr>
          <cat>
            <numRef>
              <f>'Overview'!$AD$20:$AG$20</f>
            </numRef>
          </cat>
          <val>
            <numRef>
              <f>'Overview'!$AD$22:$AG$22</f>
            </numRef>
          </val>
        </ser>
        <ser>
          <idx val="2"/>
          <order val="2"/>
          <tx>
            <strRef>
              <f>'Overview'!AC23</f>
            </strRef>
          </tx>
          <spPr>
            <a:ln xmlns:a="http://schemas.openxmlformats.org/drawingml/2006/main">
              <a:prstDash val="solid"/>
            </a:ln>
          </spPr>
          <cat>
            <numRef>
              <f>'Overview'!$AD$20:$AG$20</f>
            </numRef>
          </cat>
          <val>
            <numRef>
              <f>'Overview'!$AD$23:$AG$23</f>
            </numRef>
          </val>
        </ser>
        <ser>
          <idx val="3"/>
          <order val="3"/>
          <tx>
            <strRef>
              <f>'Overview'!AC24</f>
            </strRef>
          </tx>
          <spPr>
            <a:ln xmlns:a="http://schemas.openxmlformats.org/drawingml/2006/main">
              <a:prstDash val="solid"/>
            </a:ln>
          </spPr>
          <cat>
            <numRef>
              <f>'Overview'!$AD$20:$AG$20</f>
            </numRef>
          </cat>
          <val>
            <numRef>
              <f>'Overview'!$AD$24:$AG$24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Birmingham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122</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Birmingham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151081</v>
      </c>
      <c r="C6" s="5" t="n">
        <v>29595</v>
      </c>
      <c r="D6" s="5" t="n">
        <v>17059</v>
      </c>
      <c r="E6" s="5" t="n">
        <v>22777</v>
      </c>
      <c r="H6" t="inlineStr">
        <is>
          <t>Total assets</t>
        </is>
      </c>
      <c r="I6" t="n">
        <v>22777</v>
      </c>
      <c r="J6" t="n">
        <v>17059</v>
      </c>
      <c r="K6" t="n">
        <v>29595</v>
      </c>
      <c r="L6" t="n">
        <v>151081</v>
      </c>
      <c r="AJ6" t="inlineStr">
        <is>
          <t>CET1 Ratio</t>
        </is>
      </c>
      <c r="AL6" t="n">
        <v>91</v>
      </c>
      <c r="AM6" t="n">
        <v>365</v>
      </c>
      <c r="AN6" t="n">
        <v>76</v>
      </c>
    </row>
    <row r="7">
      <c r="A7" s="5" t="inlineStr">
        <is>
          <t>Total liabilities</t>
        </is>
      </c>
      <c r="B7" s="5" t="n">
        <v>112966</v>
      </c>
      <c r="C7" s="5" t="n">
        <v>10636</v>
      </c>
      <c r="D7" s="5" t="n">
        <v>10853</v>
      </c>
      <c r="E7" s="5" t="n">
        <v>14415</v>
      </c>
      <c r="H7" t="inlineStr">
        <is>
          <t>Total liabilities</t>
        </is>
      </c>
      <c r="I7" t="n">
        <v>14415</v>
      </c>
      <c r="J7" t="n">
        <v>10853</v>
      </c>
      <c r="K7" t="n">
        <v>10636</v>
      </c>
      <c r="L7" t="n">
        <v>112966</v>
      </c>
      <c r="AJ7" t="inlineStr">
        <is>
          <t>Leverage Ratio</t>
        </is>
      </c>
      <c r="AM7" t="n">
        <v>63</v>
      </c>
      <c r="AN7" t="n">
        <v>24</v>
      </c>
    </row>
    <row r="8">
      <c r="A8" s="5" t="inlineStr">
        <is>
          <t>Total equity</t>
        </is>
      </c>
      <c r="B8" s="5" t="n">
        <v>38115</v>
      </c>
      <c r="C8" s="5" t="n">
        <v>18959</v>
      </c>
      <c r="D8" s="5" t="n">
        <v>6206</v>
      </c>
      <c r="E8" s="5" t="n">
        <v>8363</v>
      </c>
      <c r="H8" t="inlineStr">
        <is>
          <t>Total equity</t>
        </is>
      </c>
      <c r="I8" t="n">
        <v>8363</v>
      </c>
      <c r="J8" t="n">
        <v>6206</v>
      </c>
      <c r="K8" t="n">
        <v>18959</v>
      </c>
      <c r="L8" t="n">
        <v>38115</v>
      </c>
      <c r="AJ8" t="inlineStr">
        <is>
          <t>LCR</t>
        </is>
      </c>
      <c r="AL8" t="n">
        <v>2983</v>
      </c>
      <c r="AM8" t="n">
        <v>11351</v>
      </c>
      <c r="AN8" t="n">
        <v>725</v>
      </c>
    </row>
    <row r="10">
      <c r="A10" s="3" t="inlineStr">
        <is>
          <t>Profit &amp; Loss Summary (£'000)</t>
        </is>
      </c>
    </row>
    <row r="11">
      <c r="A11" s="4" t="inlineStr">
        <is>
          <t>Line item</t>
        </is>
      </c>
      <c r="B11" s="4" t="inlineStr">
        <is>
          <t>FY2024</t>
        </is>
      </c>
      <c r="C11" s="4" t="inlineStr">
        <is>
          <t>FY2023</t>
        </is>
      </c>
      <c r="D11" s="4" t="inlineStr">
        <is>
          <t>FY2022</t>
        </is>
      </c>
      <c r="E11" s="4" t="inlineStr">
        <is>
          <t>FY2021</t>
        </is>
      </c>
      <c r="P11" t="inlineStr">
        <is>
          <t>FY2021</t>
        </is>
      </c>
      <c r="Q11" t="inlineStr">
        <is>
          <t>FY2022</t>
        </is>
      </c>
      <c r="R11" t="inlineStr">
        <is>
          <t>FY2023</t>
        </is>
      </c>
      <c r="S11" t="inlineStr">
        <is>
          <t>FY2024</t>
        </is>
      </c>
    </row>
    <row r="12">
      <c r="A12" s="5" t="inlineStr">
        <is>
          <t>Total income</t>
        </is>
      </c>
      <c r="B12" s="5" t="n">
        <v>4436</v>
      </c>
      <c r="C12" s="5" t="n">
        <v>1118</v>
      </c>
      <c r="D12" s="5" t="n">
        <v>758</v>
      </c>
      <c r="E12" s="5" t="n">
        <v>616</v>
      </c>
      <c r="O12" t="inlineStr">
        <is>
          <t>Total income</t>
        </is>
      </c>
      <c r="P12" t="n">
        <v>616</v>
      </c>
      <c r="Q12" t="n">
        <v>758</v>
      </c>
      <c r="R12" t="n">
        <v>1118</v>
      </c>
      <c r="S12" t="n">
        <v>4436</v>
      </c>
    </row>
    <row r="13">
      <c r="A13" s="5" t="inlineStr">
        <is>
          <t>Loss for the financial year</t>
        </is>
      </c>
      <c r="B13" s="5" t="n">
        <v>-10844</v>
      </c>
      <c r="C13" s="5" t="n">
        <v>-7247</v>
      </c>
      <c r="D13" s="5" t="n">
        <v>-4156</v>
      </c>
      <c r="E13" s="5" t="n">
        <v>-3434</v>
      </c>
      <c r="O13" t="inlineStr">
        <is>
          <t>Loss for the financial year</t>
        </is>
      </c>
      <c r="P13" t="n">
        <v>-3434</v>
      </c>
      <c r="Q13" t="n">
        <v>-4156</v>
      </c>
      <c r="R13" t="n">
        <v>-7247</v>
      </c>
      <c r="S13" t="n">
        <v>-10844</v>
      </c>
    </row>
    <row r="15">
      <c r="A15" s="3" t="inlineStr">
        <is>
          <t>Statement of Changes in Equity Summary (£'000)</t>
        </is>
      </c>
    </row>
    <row r="16">
      <c r="A16" s="4" t="inlineStr">
        <is>
          <t>Line item</t>
        </is>
      </c>
      <c r="B16" s="4" t="inlineStr">
        <is>
          <t>FY2024</t>
        </is>
      </c>
      <c r="C16" s="4" t="inlineStr">
        <is>
          <t>FY2023</t>
        </is>
      </c>
      <c r="D16" s="4" t="inlineStr">
        <is>
          <t>FY2022</t>
        </is>
      </c>
      <c r="E16" s="4" t="inlineStr">
        <is>
          <t>FY2021</t>
        </is>
      </c>
      <c r="W16" t="inlineStr">
        <is>
          <t>FY2021</t>
        </is>
      </c>
      <c r="X16" t="inlineStr">
        <is>
          <t>FY2022</t>
        </is>
      </c>
      <c r="Y16" t="inlineStr">
        <is>
          <t>FY2023</t>
        </is>
      </c>
      <c r="Z16" t="inlineStr">
        <is>
          <t>FY2024</t>
        </is>
      </c>
    </row>
    <row r="17">
      <c r="A17" s="5" t="inlineStr">
        <is>
          <t>Total equity (period end)</t>
        </is>
      </c>
      <c r="B17" s="5" t="n">
        <v>38115</v>
      </c>
      <c r="C17" s="5" t="n">
        <v>18959</v>
      </c>
      <c r="D17" s="5" t="n">
        <v>6206</v>
      </c>
      <c r="E17" s="5" t="n">
        <v>8363</v>
      </c>
      <c r="V17" t="inlineStr">
        <is>
          <t>Total equity (period end)</t>
        </is>
      </c>
      <c r="W17" t="n">
        <v>8363</v>
      </c>
      <c r="X17" t="n">
        <v>6206</v>
      </c>
      <c r="Y17" t="n">
        <v>18959</v>
      </c>
      <c r="Z17" t="n">
        <v>38115</v>
      </c>
    </row>
    <row r="19">
      <c r="A19" s="3" t="inlineStr">
        <is>
          <t>Cash Flow Summary (£'000)</t>
        </is>
      </c>
    </row>
    <row r="20">
      <c r="A20" s="4" t="inlineStr">
        <is>
          <t>Line item</t>
        </is>
      </c>
      <c r="B20" s="4" t="inlineStr">
        <is>
          <t>FY2024</t>
        </is>
      </c>
      <c r="C20" s="4" t="inlineStr">
        <is>
          <t>FY2023</t>
        </is>
      </c>
      <c r="D20" s="4" t="inlineStr">
        <is>
          <t>FY2022</t>
        </is>
      </c>
      <c r="E20" s="4" t="inlineStr">
        <is>
          <t>FY2021</t>
        </is>
      </c>
      <c r="AD20" t="inlineStr">
        <is>
          <t>FY2021</t>
        </is>
      </c>
      <c r="AE20" t="inlineStr">
        <is>
          <t>FY2022</t>
        </is>
      </c>
      <c r="AF20" t="inlineStr">
        <is>
          <t>FY2023</t>
        </is>
      </c>
      <c r="AG20" t="inlineStr">
        <is>
          <t>FY2024</t>
        </is>
      </c>
    </row>
    <row r="21">
      <c r="A21" s="5" t="inlineStr">
        <is>
          <t>Net cash outflow from operating activities</t>
        </is>
      </c>
      <c r="B21" s="5" t="n">
        <v>-20676</v>
      </c>
      <c r="C21" s="5" t="n">
        <v>-17679</v>
      </c>
      <c r="D21" s="5" t="n">
        <v>-2601</v>
      </c>
      <c r="E21" s="5" t="n">
        <v>-7994</v>
      </c>
      <c r="AC21" t="inlineStr">
        <is>
          <t>Net cash outflow from operating activities</t>
        </is>
      </c>
      <c r="AD21" t="n">
        <v>-7994</v>
      </c>
      <c r="AE21" t="n">
        <v>-2601</v>
      </c>
      <c r="AF21" t="n">
        <v>-17679</v>
      </c>
      <c r="AG21" t="n">
        <v>-20676</v>
      </c>
    </row>
    <row r="22">
      <c r="A22" s="5" t="inlineStr">
        <is>
          <t>Net cash outflow from investing activities</t>
        </is>
      </c>
      <c r="B22" s="5" t="n">
        <v>-2018</v>
      </c>
      <c r="C22" s="5" t="n">
        <v>-352</v>
      </c>
      <c r="D22" s="5" t="n">
        <v>-9</v>
      </c>
      <c r="E22" s="5" t="n">
        <v>-42</v>
      </c>
      <c r="AC22" t="inlineStr">
        <is>
          <t>Net cash outflow from investing activities</t>
        </is>
      </c>
      <c r="AD22" t="n">
        <v>-42</v>
      </c>
      <c r="AE22" t="n">
        <v>-9</v>
      </c>
      <c r="AF22" t="n">
        <v>-352</v>
      </c>
      <c r="AG22" t="n">
        <v>-2018</v>
      </c>
    </row>
    <row r="23">
      <c r="A23" s="5" t="inlineStr">
        <is>
          <t>Net cash inflow from financing activities</t>
        </is>
      </c>
      <c r="B23" s="5" t="n">
        <v>30000</v>
      </c>
      <c r="C23" s="5" t="n">
        <v>20000</v>
      </c>
      <c r="D23" s="5" t="n">
        <v>2000</v>
      </c>
      <c r="E23" s="5" t="n">
        <v>9000</v>
      </c>
      <c r="AC23" t="inlineStr">
        <is>
          <t>Net cash inflow from financing activities</t>
        </is>
      </c>
      <c r="AD23" t="n">
        <v>9000</v>
      </c>
      <c r="AE23" t="n">
        <v>2000</v>
      </c>
      <c r="AF23" t="n">
        <v>20000</v>
      </c>
      <c r="AG23" t="n">
        <v>30000</v>
      </c>
    </row>
    <row r="24">
      <c r="A24" s="5" t="inlineStr">
        <is>
          <t>Cash at bank at end of year</t>
        </is>
      </c>
      <c r="B24" s="5" t="n">
        <v>11172</v>
      </c>
      <c r="C24" s="5" t="n">
        <v>3866</v>
      </c>
      <c r="D24" s="5" t="n">
        <v>1896</v>
      </c>
      <c r="E24" s="5" t="n">
        <v>2506</v>
      </c>
      <c r="AC24" t="inlineStr">
        <is>
          <t>Cash at bank at end of year</t>
        </is>
      </c>
      <c r="AD24" t="n">
        <v>2506</v>
      </c>
      <c r="AE24" t="n">
        <v>1896</v>
      </c>
      <c r="AF24" t="n">
        <v>3866</v>
      </c>
      <c r="AG24" t="n">
        <v>11172</v>
      </c>
    </row>
    <row r="26">
      <c r="A26" s="3" t="inlineStr">
        <is>
          <t>Pillar 3 Key Metrics</t>
        </is>
      </c>
    </row>
    <row r="27">
      <c r="A27" s="4" t="inlineStr">
        <is>
          <t>Line item</t>
        </is>
      </c>
      <c r="B27" s="4" t="inlineStr">
        <is>
          <t>FY2024</t>
        </is>
      </c>
      <c r="C27" s="4" t="inlineStr">
        <is>
          <t>FY2023</t>
        </is>
      </c>
      <c r="D27" s="4" t="inlineStr">
        <is>
          <t>FY2022</t>
        </is>
      </c>
      <c r="E27" s="4" t="inlineStr">
        <is>
          <t>FY2021</t>
        </is>
      </c>
    </row>
    <row r="28">
      <c r="A28" s="6" t="inlineStr">
        <is>
          <t>CET1 Ratio</t>
        </is>
      </c>
      <c r="B28" s="6" t="inlineStr">
        <is>
          <t>76%</t>
        </is>
      </c>
      <c r="C28" s="6" t="inlineStr">
        <is>
          <t>365%</t>
        </is>
      </c>
      <c r="D28" s="6" t="inlineStr">
        <is>
          <t>91%</t>
        </is>
      </c>
      <c r="E28" s="6" t="n"/>
    </row>
    <row r="29">
      <c r="A29" s="6" t="inlineStr">
        <is>
          <t>Leverage Ratio</t>
        </is>
      </c>
      <c r="B29" s="6" t="inlineStr">
        <is>
          <t>24%</t>
        </is>
      </c>
      <c r="C29" s="6" t="inlineStr">
        <is>
          <t>63%</t>
        </is>
      </c>
      <c r="D29" s="6" t="n"/>
      <c r="E29" s="6" t="n"/>
    </row>
    <row r="30">
      <c r="A30" s="6" t="inlineStr">
        <is>
          <t>LCR</t>
        </is>
      </c>
      <c r="B30" s="6" t="inlineStr">
        <is>
          <t>725%</t>
        </is>
      </c>
      <c r="C30" s="6" t="inlineStr">
        <is>
          <t>11,351%</t>
        </is>
      </c>
      <c r="D30" s="6" t="inlineStr">
        <is>
          <t>2,983%</t>
        </is>
      </c>
      <c r="E30" s="6" t="n"/>
    </row>
    <row r="32" ht="45" customHeight="1">
      <c r="A32" s="7" t="inlineStr">
        <is>
          <t>Note: Figures are duplicated from the detail sheets for at-a-glance trend viewing; see each sheet's own source citation for the underlying document/page. Only 4 years of history exist (FY2021-FY2024) - the entity's own accounts filing history and Pillar 3 disclosures don't go back further.</t>
        </is>
      </c>
    </row>
  </sheetData>
  <mergeCells count="1">
    <mergeCell ref="A32:E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Birmingham Bank Limited — Balance Sheet</t>
        </is>
      </c>
    </row>
    <row r="2">
      <c r="A2" s="2" t="inlineStr">
        <is>
          <t>Bank-solo basis, FRS 102, £'000 (FY2022/FY2021 converted from the source's exact-£ figures)</t>
        </is>
      </c>
    </row>
    <row r="3">
      <c r="A3" s="4" t="inlineStr">
        <is>
          <t>Line item</t>
        </is>
      </c>
      <c r="B3" s="4" t="inlineStr">
        <is>
          <t>FY2024 (£'000)</t>
        </is>
      </c>
      <c r="C3" s="4" t="inlineStr">
        <is>
          <t>FY2023 (£'000)</t>
        </is>
      </c>
      <c r="D3" s="4" t="inlineStr">
        <is>
          <t>FY2022 (£'000)</t>
        </is>
      </c>
      <c r="E3" s="4" t="inlineStr">
        <is>
          <t>FY2021 (£'000)</t>
        </is>
      </c>
    </row>
    <row r="4">
      <c r="A4" s="5" t="inlineStr">
        <is>
          <t>Assets</t>
        </is>
      </c>
      <c r="B4" s="6" t="n"/>
      <c r="C4" s="6" t="n"/>
      <c r="D4" s="6" t="n"/>
      <c r="E4" s="6" t="n"/>
    </row>
    <row r="5">
      <c r="A5" s="6" t="inlineStr">
        <is>
          <t>Cash at Bank</t>
        </is>
      </c>
      <c r="B5" s="6" t="n">
        <v>11172</v>
      </c>
      <c r="C5" s="6" t="n">
        <v>3866</v>
      </c>
      <c r="D5" s="6" t="n">
        <v>1896</v>
      </c>
      <c r="E5" s="6" t="n">
        <v>2506</v>
      </c>
    </row>
    <row r="6">
      <c r="A6" s="6" t="inlineStr">
        <is>
          <t>Treasury Bills and similar securities</t>
        </is>
      </c>
      <c r="B6" s="6" t="n">
        <v>43093</v>
      </c>
      <c r="C6" s="6" t="n">
        <v>20250</v>
      </c>
      <c r="D6" s="6" t="n">
        <v>6500</v>
      </c>
      <c r="E6" s="6" t="n">
        <v>9750</v>
      </c>
    </row>
    <row r="7">
      <c r="A7" s="6" t="inlineStr">
        <is>
          <t>Loans and advances to Banks</t>
        </is>
      </c>
      <c r="B7" s="6" t="n"/>
      <c r="C7" s="6" t="n"/>
      <c r="D7" s="6" t="n">
        <v>1275</v>
      </c>
      <c r="E7" s="6" t="n">
        <v>1271</v>
      </c>
    </row>
    <row r="8">
      <c r="A8" s="6" t="inlineStr">
        <is>
          <t>Loans and advances to customers</t>
        </is>
      </c>
      <c r="B8" s="6" t="n">
        <v>90310</v>
      </c>
      <c r="C8" s="6" t="n">
        <v>4195</v>
      </c>
      <c r="D8" s="6" t="n">
        <v>6867</v>
      </c>
      <c r="E8" s="6" t="n">
        <v>8868</v>
      </c>
    </row>
    <row r="9">
      <c r="A9" s="6" t="inlineStr">
        <is>
          <t>Tangible fixed assets</t>
        </is>
      </c>
      <c r="B9" s="6" t="n">
        <v>70</v>
      </c>
      <c r="C9" s="6" t="n">
        <v>66</v>
      </c>
      <c r="D9" s="6" t="n">
        <v>70</v>
      </c>
      <c r="E9" s="6" t="n">
        <v>85</v>
      </c>
    </row>
    <row r="10">
      <c r="A10" s="6" t="inlineStr">
        <is>
          <t>Intangible fixed assets</t>
        </is>
      </c>
      <c r="B10" s="6" t="n">
        <v>2101</v>
      </c>
      <c r="C10" s="6" t="n">
        <v>324</v>
      </c>
      <c r="D10" s="6" t="n"/>
      <c r="E10" s="6" t="n"/>
    </row>
    <row r="11">
      <c r="A11" s="6" t="inlineStr">
        <is>
          <t>Other assets</t>
        </is>
      </c>
      <c r="B11" s="6" t="n">
        <v>3617</v>
      </c>
      <c r="C11" s="6" t="n">
        <v>431</v>
      </c>
      <c r="D11" s="6" t="n">
        <v>239</v>
      </c>
      <c r="E11" s="6" t="n">
        <v>120</v>
      </c>
    </row>
    <row r="12">
      <c r="A12" s="6" t="inlineStr">
        <is>
          <t>Prepayments and accrued income</t>
        </is>
      </c>
      <c r="B12" s="6" t="n">
        <v>691</v>
      </c>
      <c r="C12" s="6" t="n">
        <v>463</v>
      </c>
      <c r="D12" s="6" t="n">
        <v>211</v>
      </c>
      <c r="E12" s="6" t="n">
        <v>177</v>
      </c>
    </row>
    <row r="13">
      <c r="A13" s="6" t="inlineStr">
        <is>
          <t>Derivative financial asset</t>
        </is>
      </c>
      <c r="B13" s="6" t="n">
        <v>27</v>
      </c>
      <c r="C13" s="6" t="n"/>
      <c r="D13" s="6" t="n"/>
      <c r="E13" s="6" t="n"/>
    </row>
    <row r="14">
      <c r="A14" s="5" t="inlineStr">
        <is>
          <t>Total assets</t>
        </is>
      </c>
      <c r="B14" s="5" t="n">
        <v>151081</v>
      </c>
      <c r="C14" s="5" t="n">
        <v>29595</v>
      </c>
      <c r="D14" s="5" t="n">
        <v>17059</v>
      </c>
      <c r="E14" s="5" t="n">
        <v>22777</v>
      </c>
    </row>
    <row r="15">
      <c r="A15" s="5" t="inlineStr">
        <is>
          <t>Liabilities</t>
        </is>
      </c>
      <c r="B15" s="6" t="n"/>
      <c r="C15" s="6" t="n"/>
      <c r="D15" s="6" t="n"/>
      <c r="E15" s="6" t="n"/>
    </row>
    <row r="16">
      <c r="A16" s="6" t="inlineStr">
        <is>
          <t>Customer accounts</t>
        </is>
      </c>
      <c r="B16" s="6" t="n">
        <v>106868</v>
      </c>
      <c r="C16" s="6" t="n">
        <v>9299</v>
      </c>
      <c r="D16" s="6" t="n">
        <v>10399</v>
      </c>
      <c r="E16" s="6" t="n">
        <v>13916</v>
      </c>
    </row>
    <row r="17">
      <c r="A17" s="6" t="inlineStr">
        <is>
          <t>Other liabilities</t>
        </is>
      </c>
      <c r="B17" s="6" t="n">
        <v>6098</v>
      </c>
      <c r="C17" s="6" t="n">
        <v>1337</v>
      </c>
      <c r="D17" s="6" t="n">
        <v>454</v>
      </c>
      <c r="E17" s="6" t="n">
        <v>498</v>
      </c>
    </row>
    <row r="18">
      <c r="A18" s="5" t="inlineStr">
        <is>
          <t>Total liabilities</t>
        </is>
      </c>
      <c r="B18" s="5" t="n">
        <v>112966</v>
      </c>
      <c r="C18" s="5" t="n">
        <v>10636</v>
      </c>
      <c r="D18" s="5" t="n">
        <v>10853</v>
      </c>
      <c r="E18" s="5" t="n">
        <v>14415</v>
      </c>
    </row>
    <row r="19">
      <c r="A19" s="5" t="inlineStr">
        <is>
          <t>Equity</t>
        </is>
      </c>
      <c r="B19" s="6" t="n"/>
      <c r="C19" s="6" t="n"/>
      <c r="D19" s="6" t="n"/>
      <c r="E19" s="6" t="n"/>
    </row>
    <row r="20">
      <c r="A20" s="6" t="inlineStr">
        <is>
          <t>Called up share capital</t>
        </is>
      </c>
      <c r="B20" s="6" t="n">
        <v>60138</v>
      </c>
      <c r="C20" s="6" t="n">
        <v>30138</v>
      </c>
      <c r="D20" s="6" t="n">
        <v>10138</v>
      </c>
      <c r="E20" s="6" t="n">
        <v>8207</v>
      </c>
    </row>
    <row r="21">
      <c r="A21" s="6" t="inlineStr">
        <is>
          <t>Share Premium</t>
        </is>
      </c>
      <c r="B21" s="6" t="n">
        <v>2862</v>
      </c>
      <c r="C21" s="6" t="n">
        <v>2862</v>
      </c>
      <c r="D21" s="6" t="n">
        <v>2862</v>
      </c>
      <c r="E21" s="6" t="n">
        <v>2793</v>
      </c>
    </row>
    <row r="22">
      <c r="A22" s="6" t="inlineStr">
        <is>
          <t>Retained earnings</t>
        </is>
      </c>
      <c r="B22" s="6" t="n">
        <v>-24885</v>
      </c>
      <c r="C22" s="6" t="n">
        <v>-14041</v>
      </c>
      <c r="D22" s="6" t="n">
        <v>-6794</v>
      </c>
      <c r="E22" s="6" t="n">
        <v>-2637</v>
      </c>
    </row>
    <row r="23">
      <c r="A23" s="5" t="inlineStr">
        <is>
          <t>Total equity</t>
        </is>
      </c>
      <c r="B23" s="5" t="n">
        <v>38115</v>
      </c>
      <c r="C23" s="5" t="n">
        <v>18959</v>
      </c>
      <c r="D23" s="5" t="n">
        <v>6206</v>
      </c>
      <c r="E23" s="5" t="n">
        <v>8363</v>
      </c>
    </row>
    <row r="24">
      <c r="A24" s="5" t="inlineStr">
        <is>
          <t>Total liabilities and equity</t>
        </is>
      </c>
      <c r="B24" s="5" t="n">
        <v>151081</v>
      </c>
      <c r="C24" s="5" t="n">
        <v>29595</v>
      </c>
      <c r="D24" s="5" t="n">
        <v>17059</v>
      </c>
      <c r="E24" s="5" t="n">
        <v>22777</v>
      </c>
    </row>
    <row r="26" ht="280" customHeight="1">
      <c r="A26"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t>
        </is>
      </c>
    </row>
  </sheetData>
  <mergeCells count="1">
    <mergeCell ref="A26:E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Birmingham Bank Limited — Profit &amp; Loss</t>
        </is>
      </c>
    </row>
    <row r="2">
      <c r="A2" s="2" t="inlineStr">
        <is>
          <t>Bank-solo basis, FRS 102, £'000 (FY2022/FY2021 converted from the source's exact-£ figures)</t>
        </is>
      </c>
    </row>
    <row r="3">
      <c r="A3" s="4" t="inlineStr">
        <is>
          <t>Line item</t>
        </is>
      </c>
      <c r="B3" s="4" t="inlineStr">
        <is>
          <t>FY2024 (£'000)</t>
        </is>
      </c>
      <c r="C3" s="4" t="inlineStr">
        <is>
          <t>FY2023 (£'000)</t>
        </is>
      </c>
      <c r="D3" s="4" t="inlineStr">
        <is>
          <t>FY2022 (£'000)</t>
        </is>
      </c>
      <c r="E3" s="4" t="inlineStr">
        <is>
          <t>FY2021 (£'000)</t>
        </is>
      </c>
    </row>
    <row r="4">
      <c r="A4" s="5" t="inlineStr">
        <is>
          <t>Income</t>
        </is>
      </c>
      <c r="B4" s="6" t="n"/>
      <c r="C4" s="6" t="n"/>
      <c r="D4" s="6" t="n"/>
      <c r="E4" s="6" t="n"/>
    </row>
    <row r="5">
      <c r="A5" s="6" t="inlineStr">
        <is>
          <t>Interest receivable and similar income arising from debt securities</t>
        </is>
      </c>
      <c r="B5" s="6" t="n">
        <v>1756</v>
      </c>
      <c r="C5" s="6" t="n">
        <v>313</v>
      </c>
      <c r="D5" s="6" t="n">
        <v>530</v>
      </c>
      <c r="E5" s="6" t="n">
        <v>602</v>
      </c>
    </row>
    <row r="6">
      <c r="A6" s="6" t="inlineStr">
        <is>
          <t>Other interest receivable and similar income</t>
        </is>
      </c>
      <c r="B6" s="6" t="n">
        <v>2680</v>
      </c>
      <c r="C6" s="6" t="n">
        <v>805</v>
      </c>
      <c r="D6" s="6" t="n">
        <v>228</v>
      </c>
      <c r="E6" s="6" t="n">
        <v>14</v>
      </c>
    </row>
    <row r="7">
      <c r="A7" s="5" t="inlineStr">
        <is>
          <t>Total income</t>
        </is>
      </c>
      <c r="B7" s="5" t="n">
        <v>4436</v>
      </c>
      <c r="C7" s="5" t="n">
        <v>1118</v>
      </c>
      <c r="D7" s="5" t="n">
        <v>758</v>
      </c>
      <c r="E7" s="5" t="n">
        <v>616</v>
      </c>
    </row>
    <row r="8">
      <c r="A8" s="6" t="inlineStr">
        <is>
          <t>Net (loss)/gain on financial instruments at fair value through profit and loss</t>
        </is>
      </c>
      <c r="B8" s="6" t="n">
        <v>27</v>
      </c>
      <c r="C8" s="6" t="n"/>
      <c r="D8" s="6" t="n"/>
      <c r="E8" s="6" t="n"/>
    </row>
    <row r="9">
      <c r="A9" s="6" t="inlineStr">
        <is>
          <t>Interest payable</t>
        </is>
      </c>
      <c r="B9" s="6" t="n">
        <v>-1997</v>
      </c>
      <c r="C9" s="6" t="n">
        <v>-213</v>
      </c>
      <c r="D9" s="6" t="n">
        <v>-90</v>
      </c>
      <c r="E9" s="6" t="n">
        <v>-115</v>
      </c>
    </row>
    <row r="10">
      <c r="A10" s="5" t="inlineStr">
        <is>
          <t>Net income</t>
        </is>
      </c>
      <c r="B10" s="5" t="n">
        <v>2466</v>
      </c>
      <c r="C10" s="5" t="n">
        <v>905</v>
      </c>
      <c r="D10" s="5" t="n">
        <v>668</v>
      </c>
      <c r="E10" s="5" t="n">
        <v>500</v>
      </c>
    </row>
    <row r="11">
      <c r="A11" s="6" t="inlineStr">
        <is>
          <t>Administrative expenses</t>
        </is>
      </c>
      <c r="B11" s="6" t="n">
        <v>-13155</v>
      </c>
      <c r="C11" s="6" t="n">
        <v>-8475</v>
      </c>
      <c r="D11" s="6" t="n">
        <v>-4817</v>
      </c>
      <c r="E11" s="6" t="n">
        <v>-3858</v>
      </c>
    </row>
    <row r="12">
      <c r="A12" s="6" t="inlineStr">
        <is>
          <t>Depreciation and amortisation</t>
        </is>
      </c>
      <c r="B12" s="6" t="n">
        <v>-237</v>
      </c>
      <c r="C12" s="6" t="n">
        <v>-32</v>
      </c>
      <c r="D12" s="6" t="n">
        <v>-24</v>
      </c>
      <c r="E12" s="6" t="n">
        <v>-42</v>
      </c>
    </row>
    <row r="13">
      <c r="A13" s="6" t="inlineStr">
        <is>
          <t>Impairment charge for loan losses</t>
        </is>
      </c>
      <c r="B13" s="6" t="n">
        <v>-22</v>
      </c>
      <c r="C13" s="6" t="n">
        <v>-4</v>
      </c>
      <c r="D13" s="6" t="n">
        <v>-21</v>
      </c>
      <c r="E13" s="6" t="n">
        <v>-34</v>
      </c>
    </row>
    <row r="14">
      <c r="A14" s="5" t="inlineStr">
        <is>
          <t>Loss on ordinary activities before taxation</t>
        </is>
      </c>
      <c r="B14" s="5" t="n">
        <v>-10948</v>
      </c>
      <c r="C14" s="5" t="n">
        <v>-7606</v>
      </c>
      <c r="D14" s="5" t="n">
        <v>-4194</v>
      </c>
      <c r="E14" s="5" t="n">
        <v>-3434</v>
      </c>
    </row>
    <row r="15">
      <c r="A15" s="6" t="inlineStr">
        <is>
          <t>Tax on profit on ordinary activities</t>
        </is>
      </c>
      <c r="B15" s="6" t="n">
        <v>104</v>
      </c>
      <c r="C15" s="6" t="n">
        <v>359</v>
      </c>
      <c r="D15" s="6" t="n">
        <v>38</v>
      </c>
      <c r="E15" s="6" t="n">
        <v>0</v>
      </c>
    </row>
    <row r="16">
      <c r="A16" s="5" t="inlineStr">
        <is>
          <t>Loss for the financial year</t>
        </is>
      </c>
      <c r="B16" s="5" t="n">
        <v>-10844</v>
      </c>
      <c r="C16" s="5" t="n">
        <v>-7247</v>
      </c>
      <c r="D16" s="5" t="n">
        <v>-4156</v>
      </c>
      <c r="E16" s="5" t="n">
        <v>-3434</v>
      </c>
    </row>
    <row r="17">
      <c r="A17" s="5" t="inlineStr">
        <is>
          <t>Other comprehensive income</t>
        </is>
      </c>
      <c r="B17" s="6" t="n"/>
      <c r="C17" s="6" t="n"/>
      <c r="D17" s="6" t="n"/>
      <c r="E17" s="6" t="n"/>
    </row>
    <row r="18">
      <c r="A18" s="6" t="inlineStr">
        <is>
          <t>Other comprehensive income</t>
        </is>
      </c>
      <c r="B18" s="6" t="n">
        <v>0</v>
      </c>
      <c r="C18" s="6" t="n">
        <v>0</v>
      </c>
      <c r="D18" s="6" t="n">
        <v>0</v>
      </c>
      <c r="E18" s="6" t="n">
        <v>0</v>
      </c>
    </row>
    <row r="19">
      <c r="A19" s="5" t="inlineStr">
        <is>
          <t>Total comprehensive income for the year</t>
        </is>
      </c>
      <c r="B19" s="5" t="n">
        <v>-10844</v>
      </c>
      <c r="C19" s="5" t="n">
        <v>-7247</v>
      </c>
      <c r="D19" s="5" t="n">
        <v>-4156</v>
      </c>
      <c r="E19" s="5" t="n">
        <v>-3434</v>
      </c>
    </row>
    <row r="21" ht="300" customHeight="1">
      <c r="A21"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
The 'Net (loss)/gain on financial instruments held at fair value through profit and loss' line only appears from FY2024 onward (GBP27k) - not disclosed as a separate line in FY2021-FY2023, where it did not exist or was immaterial/nil.</t>
        </is>
      </c>
    </row>
  </sheetData>
  <mergeCells count="1">
    <mergeCell ref="A21:E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8"/>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Birmingham Bank Limited — Statement of Changes in Equity</t>
        </is>
      </c>
    </row>
    <row r="2">
      <c r="A2" s="2" t="inlineStr">
        <is>
          <t>Bank-solo basis, FRS 102, £'000, chronological, 1 January 2021 - 31 December 2024</t>
        </is>
      </c>
    </row>
    <row r="3">
      <c r="A3" s="4" t="inlineStr">
        <is>
          <t>Movement</t>
        </is>
      </c>
      <c r="B3" s="4" t="inlineStr">
        <is>
          <t>Called up Share Capital</t>
        </is>
      </c>
      <c r="C3" s="4" t="inlineStr">
        <is>
          <t>Share Premium</t>
        </is>
      </c>
      <c r="D3" s="4" t="inlineStr">
        <is>
          <t>Retained Earnings</t>
        </is>
      </c>
      <c r="E3" s="4" t="inlineStr">
        <is>
          <t>Total Equity</t>
        </is>
      </c>
    </row>
    <row r="4">
      <c r="A4" s="5" t="inlineStr">
        <is>
          <t>At 1 January 2021</t>
        </is>
      </c>
      <c r="B4" s="5" t="n">
        <v>2000</v>
      </c>
      <c r="C4" s="5" t="n">
        <v>0</v>
      </c>
      <c r="D4" s="5" t="n">
        <v>796</v>
      </c>
      <c r="E4" s="5" t="n">
        <v>2796</v>
      </c>
    </row>
    <row r="5">
      <c r="A5" s="6" t="inlineStr">
        <is>
          <t>Capital injection</t>
        </is>
      </c>
      <c r="B5" s="6" t="n">
        <v>6207</v>
      </c>
      <c r="C5" s="6" t="n">
        <v>2793</v>
      </c>
      <c r="D5" s="6" t="n">
        <v>0</v>
      </c>
      <c r="E5" s="6" t="n">
        <v>9000</v>
      </c>
    </row>
    <row r="6">
      <c r="A6" s="6" t="inlineStr">
        <is>
          <t>Total comprehensive income</t>
        </is>
      </c>
      <c r="B6" s="6" t="n">
        <v>0</v>
      </c>
      <c r="C6" s="6" t="n">
        <v>0</v>
      </c>
      <c r="D6" s="6" t="n">
        <v>-3434</v>
      </c>
      <c r="E6" s="6" t="n">
        <v>-3434</v>
      </c>
    </row>
    <row r="7">
      <c r="A7" s="5" t="inlineStr">
        <is>
          <t>At 31 December 2021</t>
        </is>
      </c>
      <c r="B7" s="5" t="n">
        <v>8207</v>
      </c>
      <c r="C7" s="5" t="n">
        <v>2793</v>
      </c>
      <c r="D7" s="5" t="n">
        <v>-2637</v>
      </c>
      <c r="E7" s="5" t="n">
        <v>8363</v>
      </c>
    </row>
    <row r="8">
      <c r="A8" s="6" t="inlineStr">
        <is>
          <t>Capital injection</t>
        </is>
      </c>
      <c r="B8" s="6" t="n">
        <v>1931</v>
      </c>
      <c r="C8" s="6" t="n">
        <v>69</v>
      </c>
      <c r="D8" s="6" t="n">
        <v>0</v>
      </c>
      <c r="E8" s="6" t="n">
        <v>2000</v>
      </c>
    </row>
    <row r="9">
      <c r="A9" s="6" t="inlineStr">
        <is>
          <t>Total comprehensive income</t>
        </is>
      </c>
      <c r="B9" s="6" t="n">
        <v>0</v>
      </c>
      <c r="C9" s="6" t="n">
        <v>0</v>
      </c>
      <c r="D9" s="6" t="n">
        <v>-4156</v>
      </c>
      <c r="E9" s="6" t="n">
        <v>-4156</v>
      </c>
    </row>
    <row r="10">
      <c r="A10" s="5" t="inlineStr">
        <is>
          <t>At 31 December 2022</t>
        </is>
      </c>
      <c r="B10" s="5" t="n">
        <v>10138</v>
      </c>
      <c r="C10" s="5" t="n">
        <v>2862</v>
      </c>
      <c r="D10" s="5" t="n">
        <v>-6794</v>
      </c>
      <c r="E10" s="5" t="n">
        <v>6206</v>
      </c>
    </row>
    <row r="11">
      <c r="A11" s="6" t="inlineStr">
        <is>
          <t>Issue of new shares</t>
        </is>
      </c>
      <c r="B11" s="6" t="n">
        <v>20000</v>
      </c>
      <c r="C11" s="6" t="n">
        <v>0</v>
      </c>
      <c r="D11" s="6" t="n">
        <v>0</v>
      </c>
      <c r="E11" s="6" t="n">
        <v>20000</v>
      </c>
    </row>
    <row r="12">
      <c r="A12" s="6" t="inlineStr">
        <is>
          <t>Total comprehensive income</t>
        </is>
      </c>
      <c r="B12" s="6" t="n">
        <v>0</v>
      </c>
      <c r="C12" s="6" t="n">
        <v>0</v>
      </c>
      <c r="D12" s="6" t="n">
        <v>-7247</v>
      </c>
      <c r="E12" s="6" t="n">
        <v>-7247</v>
      </c>
    </row>
    <row r="13">
      <c r="A13" s="5" t="inlineStr">
        <is>
          <t>At 31 December 2023</t>
        </is>
      </c>
      <c r="B13" s="5" t="n">
        <v>30138</v>
      </c>
      <c r="C13" s="5" t="n">
        <v>2862</v>
      </c>
      <c r="D13" s="5" t="n">
        <v>-14041</v>
      </c>
      <c r="E13" s="5" t="n">
        <v>18959</v>
      </c>
    </row>
    <row r="14">
      <c r="A14" s="6" t="inlineStr">
        <is>
          <t>Issue of new shares</t>
        </is>
      </c>
      <c r="B14" s="6" t="n">
        <v>30000</v>
      </c>
      <c r="C14" s="6" t="n">
        <v>0</v>
      </c>
      <c r="D14" s="6" t="n">
        <v>0</v>
      </c>
      <c r="E14" s="6" t="n">
        <v>30000</v>
      </c>
    </row>
    <row r="15">
      <c r="A15" s="6" t="inlineStr">
        <is>
          <t>Total comprehensive income</t>
        </is>
      </c>
      <c r="B15" s="6" t="n">
        <v>0</v>
      </c>
      <c r="C15" s="6" t="n">
        <v>0</v>
      </c>
      <c r="D15" s="6" t="n">
        <v>-10844</v>
      </c>
      <c r="E15" s="6" t="n">
        <v>-10844</v>
      </c>
    </row>
    <row r="16">
      <c r="A16" s="5" t="inlineStr">
        <is>
          <t>At 31 December 2024</t>
        </is>
      </c>
      <c r="B16" s="5" t="n">
        <v>60138</v>
      </c>
      <c r="C16" s="5" t="n">
        <v>2862</v>
      </c>
      <c r="D16" s="5" t="n">
        <v>-24885</v>
      </c>
      <c r="E16" s="5" t="n">
        <v>38115</v>
      </c>
    </row>
    <row r="18" ht="260" customHeight="1">
      <c r="A18"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
The capital-raise row is labelled 'Capital injection' in the bank's own 2021/2022 filings and 'Issue of new shares' in its 2023/2024 filings - same underlying event (a share capital + share premium increase), the bank's own wording just changed year to year; reproduced here as each filing states it.</t>
        </is>
      </c>
    </row>
  </sheetData>
  <mergeCells count="1">
    <mergeCell ref="A18:E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Birmingham Bank Limited — Statement of Cash Flows</t>
        </is>
      </c>
    </row>
    <row r="2">
      <c r="A2" s="2" t="inlineStr">
        <is>
          <t>Bank-solo basis, FRS 102, £'000 (FY2022/FY2021 converted from the source's exact-£ figures)</t>
        </is>
      </c>
    </row>
    <row r="3">
      <c r="A3" s="4" t="inlineStr">
        <is>
          <t>Line item</t>
        </is>
      </c>
      <c r="B3" s="4" t="inlineStr">
        <is>
          <t>FY2024 (£'000)</t>
        </is>
      </c>
      <c r="C3" s="4" t="inlineStr">
        <is>
          <t>FY2023 (£'000)</t>
        </is>
      </c>
      <c r="D3" s="4" t="inlineStr">
        <is>
          <t>FY2022 (£'000)</t>
        </is>
      </c>
      <c r="E3" s="4" t="inlineStr">
        <is>
          <t>FY2021 (£'000)</t>
        </is>
      </c>
    </row>
    <row r="4">
      <c r="A4" s="5" t="inlineStr">
        <is>
          <t>Reconciliation of operating (loss) to net operating cash flows</t>
        </is>
      </c>
      <c r="B4" s="6" t="n"/>
      <c r="C4" s="6" t="n"/>
      <c r="D4" s="6" t="n"/>
      <c r="E4" s="6" t="n"/>
    </row>
    <row r="5">
      <c r="A5" s="6" t="inlineStr">
        <is>
          <t>Loss on ordinary activities after taxation</t>
        </is>
      </c>
      <c r="B5" s="6" t="n">
        <v>-10844</v>
      </c>
      <c r="C5" s="6" t="n">
        <v>-7247</v>
      </c>
      <c r="D5" s="6" t="n">
        <v>-4156</v>
      </c>
      <c r="E5" s="6" t="n">
        <v>-3434</v>
      </c>
    </row>
    <row r="6">
      <c r="A6" s="6" t="inlineStr">
        <is>
          <t>Increase in prepayments and accrued income</t>
        </is>
      </c>
      <c r="B6" s="6" t="n">
        <v>-228</v>
      </c>
      <c r="C6" s="6" t="n">
        <v>-252</v>
      </c>
      <c r="D6" s="6" t="n">
        <v>-34</v>
      </c>
      <c r="E6" s="6" t="n">
        <v>-238</v>
      </c>
    </row>
    <row r="7">
      <c r="A7" s="6" t="inlineStr">
        <is>
          <t>Increase in derivative financial asset</t>
        </is>
      </c>
      <c r="B7" s="6" t="n">
        <v>-27</v>
      </c>
      <c r="C7" s="6" t="n"/>
      <c r="D7" s="6" t="n"/>
      <c r="E7" s="6" t="n"/>
    </row>
    <row r="8">
      <c r="A8" s="6" t="inlineStr">
        <is>
          <t>Increase/(decrease) in accruals and deferred income</t>
        </is>
      </c>
      <c r="B8" s="6" t="n">
        <v>4761</v>
      </c>
      <c r="C8" s="6" t="n">
        <v>883</v>
      </c>
      <c r="D8" s="6" t="n">
        <v>-44</v>
      </c>
      <c r="E8" s="6" t="n">
        <v>396</v>
      </c>
    </row>
    <row r="9">
      <c r="A9" s="6" t="inlineStr">
        <is>
          <t>Increase/(decrease) in provision for bad and doubtful debts</t>
        </is>
      </c>
      <c r="B9" s="6" t="n">
        <v>22</v>
      </c>
      <c r="C9" s="6" t="n">
        <v>-4</v>
      </c>
      <c r="D9" s="6" t="n">
        <v>-21</v>
      </c>
      <c r="E9" s="6" t="n">
        <v>-8</v>
      </c>
    </row>
    <row r="10">
      <c r="A10" s="6" t="inlineStr">
        <is>
          <t>Loans and advances written off net of recoveries</t>
        </is>
      </c>
      <c r="B10" s="6" t="n"/>
      <c r="C10" s="6" t="n"/>
      <c r="D10" s="6" t="n">
        <v>0</v>
      </c>
      <c r="E10" s="6" t="n">
        <v>0</v>
      </c>
    </row>
    <row r="11">
      <c r="A11" s="6" t="inlineStr">
        <is>
          <t>Depreciation and amortisation</t>
        </is>
      </c>
      <c r="B11" s="6" t="n">
        <v>237</v>
      </c>
      <c r="C11" s="6" t="n">
        <v>32</v>
      </c>
      <c r="D11" s="6" t="n">
        <v>24</v>
      </c>
      <c r="E11" s="6" t="n">
        <v>42</v>
      </c>
    </row>
    <row r="12">
      <c r="A12" s="6" t="inlineStr">
        <is>
          <t>Taxation - credit</t>
        </is>
      </c>
      <c r="B12" s="6" t="n">
        <v>-104</v>
      </c>
      <c r="C12" s="6" t="n">
        <v>-123</v>
      </c>
      <c r="D12" s="6" t="n">
        <v>-38</v>
      </c>
      <c r="E12" s="6" t="n">
        <v>0</v>
      </c>
    </row>
    <row r="13">
      <c r="A13" s="5" t="inlineStr">
        <is>
          <t>Net cash outflow from trading activities</t>
        </is>
      </c>
      <c r="B13" s="5" t="n">
        <v>-6183</v>
      </c>
      <c r="C13" s="5" t="n">
        <v>-6711</v>
      </c>
      <c r="D13" s="5" t="n">
        <v>-4270</v>
      </c>
      <c r="E13" s="5" t="n">
        <v>-3242</v>
      </c>
    </row>
    <row r="14">
      <c r="A14" s="6" t="inlineStr">
        <is>
          <t>Net (increase)/decrease in loans and advances to credit institutions and customers</t>
        </is>
      </c>
      <c r="B14" s="6" t="n">
        <v>-86137</v>
      </c>
      <c r="C14" s="6" t="n">
        <v>3951</v>
      </c>
      <c r="D14" s="6" t="n">
        <v>2018</v>
      </c>
      <c r="E14" s="6" t="n">
        <v>1328</v>
      </c>
    </row>
    <row r="15">
      <c r="A15" s="6" t="inlineStr">
        <is>
          <t>Decrease/(increase) in financial assets / treasury bills</t>
        </is>
      </c>
      <c r="B15" s="6" t="n">
        <v>-22843</v>
      </c>
      <c r="C15" s="6" t="n">
        <v>-13750</v>
      </c>
      <c r="D15" s="6" t="n">
        <v>3250</v>
      </c>
      <c r="E15" s="6" t="n">
        <v>-4250</v>
      </c>
    </row>
    <row r="16">
      <c r="A16" s="6" t="inlineStr">
        <is>
          <t>Increase/(decrease) in deposits by customers</t>
        </is>
      </c>
      <c r="B16" s="6" t="n">
        <v>97569</v>
      </c>
      <c r="C16" s="6" t="n">
        <v>-1100</v>
      </c>
      <c r="D16" s="6" t="n">
        <v>-3518</v>
      </c>
      <c r="E16" s="6" t="n">
        <v>-1837</v>
      </c>
    </row>
    <row r="17">
      <c r="A17" s="6" t="inlineStr">
        <is>
          <t>Increase/(decrease) in other assets</t>
        </is>
      </c>
      <c r="B17" s="6" t="n">
        <v>-3082</v>
      </c>
      <c r="C17" s="6" t="n">
        <v>167</v>
      </c>
      <c r="D17" s="6" t="n">
        <v>-81</v>
      </c>
      <c r="E17" s="6" t="n">
        <v>8</v>
      </c>
    </row>
    <row r="18">
      <c r="A18" s="5" t="inlineStr">
        <is>
          <t>Net cash outflow from operating activities</t>
        </is>
      </c>
      <c r="B18" s="5" t="n">
        <v>-20676</v>
      </c>
      <c r="C18" s="5" t="n">
        <v>-17679</v>
      </c>
      <c r="D18" s="5" t="n">
        <v>-2601</v>
      </c>
      <c r="E18" s="5" t="n">
        <v>-7994</v>
      </c>
    </row>
    <row r="19">
      <c r="A19" s="5" t="inlineStr">
        <is>
          <t>Cash flow from investing activities</t>
        </is>
      </c>
      <c r="B19" s="6" t="n"/>
      <c r="C19" s="6" t="n"/>
      <c r="D19" s="6" t="n"/>
      <c r="E19" s="6" t="n"/>
    </row>
    <row r="20">
      <c r="A20" s="6" t="inlineStr">
        <is>
          <t>Purchase of fixed assets</t>
        </is>
      </c>
      <c r="B20" s="6" t="n">
        <v>-36</v>
      </c>
      <c r="C20" s="6" t="n">
        <v>-45</v>
      </c>
      <c r="D20" s="6" t="n">
        <v>-9</v>
      </c>
      <c r="E20" s="6" t="n">
        <v>-42</v>
      </c>
    </row>
    <row r="21">
      <c r="A21" s="6" t="inlineStr">
        <is>
          <t>Purchase of intangible assets</t>
        </is>
      </c>
      <c r="B21" s="6" t="n">
        <v>-1982</v>
      </c>
      <c r="C21" s="6" t="n">
        <v>-307</v>
      </c>
      <c r="D21" s="6" t="n">
        <v>0</v>
      </c>
      <c r="E21" s="6" t="n"/>
    </row>
    <row r="22">
      <c r="A22" s="5" t="inlineStr">
        <is>
          <t>Net cash outflow from investing activities</t>
        </is>
      </c>
      <c r="B22" s="5" t="n">
        <v>-2018</v>
      </c>
      <c r="C22" s="5" t="n">
        <v>-352</v>
      </c>
      <c r="D22" s="5" t="n">
        <v>-9</v>
      </c>
      <c r="E22" s="5" t="n">
        <v>-42</v>
      </c>
    </row>
    <row r="23">
      <c r="A23" s="5" t="inlineStr">
        <is>
          <t>Cash flow from financing activities</t>
        </is>
      </c>
      <c r="B23" s="6" t="n"/>
      <c r="C23" s="6" t="n"/>
      <c r="D23" s="6" t="n"/>
      <c r="E23" s="6" t="n"/>
    </row>
    <row r="24">
      <c r="A24" s="6" t="inlineStr">
        <is>
          <t>Called up share capital additions</t>
        </is>
      </c>
      <c r="B24" s="6" t="n">
        <v>30000</v>
      </c>
      <c r="C24" s="6" t="n">
        <v>20000</v>
      </c>
      <c r="D24" s="6" t="n">
        <v>2000</v>
      </c>
      <c r="E24" s="6" t="n">
        <v>9000</v>
      </c>
    </row>
    <row r="25">
      <c r="A25" s="5" t="inlineStr">
        <is>
          <t>Net cash inflow from financing activities</t>
        </is>
      </c>
      <c r="B25" s="5" t="n">
        <v>30000</v>
      </c>
      <c r="C25" s="5" t="n">
        <v>20000</v>
      </c>
      <c r="D25" s="5" t="n">
        <v>2000</v>
      </c>
      <c r="E25" s="5" t="n">
        <v>9000</v>
      </c>
    </row>
    <row r="26">
      <c r="A26" s="5" t="inlineStr">
        <is>
          <t>Increase/(decrease) in cash and cash equivalents</t>
        </is>
      </c>
      <c r="B26" s="5" t="n">
        <v>7306</v>
      </c>
      <c r="C26" s="5" t="n">
        <v>1969</v>
      </c>
      <c r="D26" s="5" t="n">
        <v>-610</v>
      </c>
      <c r="E26" s="5" t="n">
        <v>964</v>
      </c>
    </row>
    <row r="27">
      <c r="A27" s="5" t="inlineStr">
        <is>
          <t>Analysis of the balances of cash</t>
        </is>
      </c>
      <c r="B27" s="6" t="n"/>
      <c r="C27" s="6" t="n"/>
      <c r="D27" s="6" t="n"/>
      <c r="E27" s="6" t="n"/>
    </row>
    <row r="28">
      <c r="A28" s="6" t="inlineStr">
        <is>
          <t>Cash at bank at beginning of year</t>
        </is>
      </c>
      <c r="B28" s="6" t="n">
        <v>3866</v>
      </c>
      <c r="C28" s="6" t="n">
        <v>1897</v>
      </c>
      <c r="D28" s="6" t="n">
        <v>2506</v>
      </c>
      <c r="E28" s="6" t="n"/>
    </row>
    <row r="29">
      <c r="A29" s="5" t="inlineStr">
        <is>
          <t>Cash at bank at end of year</t>
        </is>
      </c>
      <c r="B29" s="5" t="n">
        <v>11172</v>
      </c>
      <c r="C29" s="5" t="n">
        <v>3866</v>
      </c>
      <c r="D29" s="5" t="n">
        <v>1896</v>
      </c>
      <c r="E29" s="5" t="n">
        <v>2506</v>
      </c>
    </row>
    <row r="31" ht="280" customHeight="1">
      <c r="A31" s="8" t="inlineStr">
        <is>
          <t>Sources - Birmingham Bank Limited's own Statement of Cash Flows (FRS 102), all figures GBP'000:
FY2024: Full accounts made up to 31 Dec 2024 (filed 31 Mar 2025), p.25 (Statement of Cash Flows) - https://find-and-update.company-information.service.gov.uk/company/00555071/filing-history/MzQ2MDU0MTMzM2FkaXF6a2N4/document?format=pdf&amp;download=0
FY2023: Full accounts made up to 31 Dec 2023 (filed 20 Mar 2024), p.26 (Statement of Cash Flows) - https://find-and-update.company-information.service.gov.uk/company/00555071/filing-history/MzQxNDU2Njk3NGFkaXF6a2N4/document?format=pdf&amp;download=0
FY2022 &amp; FY2021: Amended full accounts made up to 31 Dec 2022 (filed 25 Oct 2023), p.28 (Statement of Cash Flows)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DATA NOTE: the FY2024 filing's own 'Analysis of the balances of cash' table mislabels its opening-balance column '01.01.2023' (should read 01.01.2024) - the VALUE (GBP3,866k) is used as printed, since it exactly matches FY2023's own reported closing balance; only the column label in the source appears to be a typo, not the figure. Separately, the FY2022 filing's own closing balance (GBP1,896k, rounded from the exact GBP1,895,707) differs by an immaterial GBP1k from FY2023's own filing's stated opening balance (GBP1,897k) for the same date - both are shown here exactly as each filing states them, not forced to match. FY2021's own opening cash balance is not available in any filing found (the FY2022 filing's comparative column starts from FY2021's closing balance only) - left blank, not estimated.</t>
        </is>
      </c>
    </row>
  </sheetData>
  <mergeCells count="1">
    <mergeCell ref="A31:E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Birmingham Bank Limited — Asset Quality</t>
        </is>
      </c>
    </row>
    <row r="2">
      <c r="A2" s="2" t="inlineStr">
        <is>
          <t>Bank-solo basis, FRS 102,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Loans and advances to customers</t>
        </is>
      </c>
      <c r="B4" s="6" t="n"/>
      <c r="C4" s="6" t="n"/>
      <c r="D4" s="6" t="n"/>
      <c r="E4" s="6" t="n"/>
    </row>
    <row r="5">
      <c r="A5" s="6" t="inlineStr">
        <is>
          <t>Gross loans and advances to customers</t>
        </is>
      </c>
      <c r="B5" s="6" t="n">
        <v>90352</v>
      </c>
      <c r="C5" s="6" t="n">
        <v>4215</v>
      </c>
      <c r="D5" s="6" t="n">
        <v>6879</v>
      </c>
      <c r="E5" s="6" t="n">
        <v>8901</v>
      </c>
    </row>
    <row r="6">
      <c r="A6" s="6" t="inlineStr">
        <is>
          <t>Bad debt provisions</t>
        </is>
      </c>
      <c r="B6" s="6" t="n">
        <v>-42</v>
      </c>
      <c r="C6" s="6" t="n">
        <v>-20</v>
      </c>
      <c r="D6" s="6" t="n">
        <v>-12</v>
      </c>
      <c r="E6" s="6" t="n">
        <v>-33</v>
      </c>
    </row>
    <row r="7">
      <c r="A7" s="5" t="inlineStr">
        <is>
          <t>Net loans and advances to customers</t>
        </is>
      </c>
      <c r="B7" s="5" t="n">
        <v>90310</v>
      </c>
      <c r="C7" s="5" t="n">
        <v>4195</v>
      </c>
      <c r="D7" s="5" t="n">
        <v>6867</v>
      </c>
      <c r="E7" s="5" t="n">
        <v>8868</v>
      </c>
    </row>
    <row r="8">
      <c r="A8" s="5" t="inlineStr">
        <is>
          <t>Gross loan book by maturity</t>
        </is>
      </c>
      <c r="B8" s="6" t="n"/>
      <c r="C8" s="6" t="n"/>
      <c r="D8" s="6" t="n"/>
      <c r="E8" s="6" t="n"/>
    </row>
    <row r="9">
      <c r="A9" s="6" t="inlineStr">
        <is>
          <t>Repayable on demand</t>
        </is>
      </c>
      <c r="B9" s="6" t="n">
        <v>5</v>
      </c>
      <c r="C9" s="6" t="n">
        <v>5</v>
      </c>
      <c r="D9" s="6" t="n">
        <v>13</v>
      </c>
      <c r="E9" s="6" t="n">
        <v>44</v>
      </c>
    </row>
    <row r="10">
      <c r="A10" s="6" t="inlineStr">
        <is>
          <t>Repayable within 3 months</t>
        </is>
      </c>
      <c r="B10" s="6" t="n">
        <v>277</v>
      </c>
      <c r="C10" s="6" t="n">
        <v>409</v>
      </c>
      <c r="D10" s="6" t="n">
        <v>927</v>
      </c>
      <c r="E10" s="6" t="n">
        <v>1182</v>
      </c>
    </row>
    <row r="11">
      <c r="A11" s="6" t="inlineStr">
        <is>
          <t>Repayable between 3 months and one year</t>
        </is>
      </c>
      <c r="B11" s="6" t="n">
        <v>611</v>
      </c>
      <c r="C11" s="6" t="n">
        <v>1198</v>
      </c>
      <c r="D11" s="6" t="n">
        <v>2374</v>
      </c>
      <c r="E11" s="6" t="n">
        <v>2919</v>
      </c>
    </row>
    <row r="12">
      <c r="A12" s="6" t="inlineStr">
        <is>
          <t>Repayable between one year and five years</t>
        </is>
      </c>
      <c r="B12" s="6" t="n">
        <v>89459</v>
      </c>
      <c r="C12" s="6" t="n">
        <v>2603</v>
      </c>
      <c r="D12" s="6" t="n">
        <v>3564</v>
      </c>
      <c r="E12" s="6" t="n">
        <v>4758</v>
      </c>
    </row>
    <row r="13">
      <c r="A13" s="5" t="inlineStr">
        <is>
          <t>Coverage</t>
        </is>
      </c>
      <c r="B13" s="6" t="n"/>
      <c r="C13" s="6" t="n"/>
      <c r="D13" s="6" t="n"/>
      <c r="E13" s="6" t="n"/>
    </row>
    <row r="14">
      <c r="A14" s="6" t="inlineStr">
        <is>
          <t>Bad debt provision coverage (Provision / Gross loans)</t>
        </is>
      </c>
      <c r="B14" s="6" t="inlineStr">
        <is>
          <t>0.05%</t>
        </is>
      </c>
      <c r="C14" s="6" t="inlineStr">
        <is>
          <t>0.47%</t>
        </is>
      </c>
      <c r="D14" s="6" t="inlineStr">
        <is>
          <t>0.17%</t>
        </is>
      </c>
      <c r="E14" s="6" t="inlineStr">
        <is>
          <t>0.37%</t>
        </is>
      </c>
    </row>
    <row r="16" ht="280" customHeight="1">
      <c r="A16"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
The Bank reports under FRS 102 (incurred-loss impairment model), not IFRS 9 - no Stage 1/2/3 or non-performing-loan split is disclosed in any year's Annual Report or the one Pillar 3 document published; only a single 'bad debt provisions' balance (with a separate 'general' provision component in FY2021, reduced to nil during 2021) and a maturity-band breakdown of the gross loan book. Coverage ratio shown is Bad debt provisions / Gross loans and advances to customers - a coverage proxy, not an NPL ratio, since no non-performing/past-due balance is disclosed.</t>
        </is>
      </c>
    </row>
  </sheetData>
  <mergeCells count="1">
    <mergeCell ref="A16:E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CET1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35985</v>
      </c>
      <c r="C4" s="6" t="n">
        <v>18617</v>
      </c>
      <c r="D4" s="6" t="n"/>
      <c r="E4" s="6" t="n"/>
    </row>
    <row r="6" ht="190" customHeight="1">
      <c r="A6"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1">
    <mergeCell ref="A6:E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CET1 Ratio (= Capital Adequacy Ratio)</t>
        </is>
      </c>
      <c r="B4" s="6" t="inlineStr">
        <is>
          <t>76%</t>
        </is>
      </c>
      <c r="C4" s="6" t="inlineStr">
        <is>
          <t>365%</t>
        </is>
      </c>
      <c r="D4" s="6" t="inlineStr">
        <is>
          <t>91%</t>
        </is>
      </c>
      <c r="E4" s="6" t="n"/>
    </row>
    <row r="6" ht="190" customHeight="1">
      <c r="A6"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Tier 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Tier 1 capital</t>
        </is>
      </c>
      <c r="B4" s="6" t="n">
        <v>35985</v>
      </c>
      <c r="C4" s="6" t="n">
        <v>18617</v>
      </c>
      <c r="D4" s="6" t="n"/>
      <c r="E4" s="6" t="n"/>
    </row>
    <row r="5" ht="60" customHeight="1">
      <c r="A5" s="7" t="inlineStr">
        <is>
          <t>Note: No Additional Tier 1 or Tier 2 capital in any year - equals CET1 Capital exactly.</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Capital ratio</t>
        </is>
      </c>
      <c r="B4" s="6" t="inlineStr">
        <is>
          <t>76%</t>
        </is>
      </c>
      <c r="C4" s="6" t="inlineStr">
        <is>
          <t>365%</t>
        </is>
      </c>
      <c r="D4" s="6" t="inlineStr">
        <is>
          <t>91%</t>
        </is>
      </c>
      <c r="E4" s="6" t="n"/>
    </row>
    <row r="6" ht="190" customHeight="1">
      <c r="A6"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Total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capital</t>
        </is>
      </c>
      <c r="B4" s="6" t="n">
        <v>35985</v>
      </c>
      <c r="C4" s="6" t="n">
        <v>18617</v>
      </c>
      <c r="D4" s="6" t="n"/>
      <c r="E4" s="6" t="n"/>
    </row>
    <row r="5" ht="60" customHeight="1">
      <c r="A5" s="7" t="inlineStr">
        <is>
          <t>Note: No Additional Tier 1 or Tier 2 capital in any year - equals CET1 Capital exactly.</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 (= Capital Adequacy Ratio)</t>
        </is>
      </c>
      <c r="B4" s="6" t="inlineStr">
        <is>
          <t>76%</t>
        </is>
      </c>
      <c r="C4" s="6" t="inlineStr">
        <is>
          <t>365%</t>
        </is>
      </c>
      <c r="D4" s="6" t="inlineStr">
        <is>
          <t>91%</t>
        </is>
      </c>
      <c r="E4" s="6" t="n"/>
    </row>
    <row r="6" ht="190" customHeight="1">
      <c r="A6"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Total RWAs</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risk-weighted assets</t>
        </is>
      </c>
      <c r="B4" s="6" t="n">
        <v>47333</v>
      </c>
      <c r="C4" s="6" t="n">
        <v>5229</v>
      </c>
      <c r="D4" s="6" t="n"/>
      <c r="E4" s="6" t="n"/>
    </row>
    <row r="5" ht="60" customHeight="1">
      <c r="A5" s="7" t="inlineStr">
        <is>
          <t>Note: FY2023 RWA shown here (GBP5,229k) is the Pillar 3 report's own Section 1.4 'Summary Analysis' headline figure. Its Section 5 RWA detail table (credit risk GBP4,056k + operational risk GBP1,045k = GBP5,101k) gives a slightly different total for the same year - both are the entity's own genuine disclosures, ~2.5% apart; the headline summary figure is used for consistency with how FY2024 is sourced.</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Birmingham Bank Limited — RWA Breakdown</t>
        </is>
      </c>
    </row>
    <row r="2">
      <c r="A2" s="2" t="inlineStr">
        <is>
          <t>Bank-solo basis, £'000. See source note at bottom.</t>
        </is>
      </c>
    </row>
    <row r="3">
      <c r="A3" s="4" t="inlineStr">
        <is>
          <t>Line item</t>
        </is>
      </c>
      <c r="B3" s="4" t="inlineStr">
        <is>
          <t>FY2024 (£'000)</t>
        </is>
      </c>
      <c r="C3" s="4" t="inlineStr">
        <is>
          <t>FY2023 (£'000)</t>
        </is>
      </c>
      <c r="D3" s="4" t="inlineStr">
        <is>
          <t>FY2022 (£'000)</t>
        </is>
      </c>
      <c r="E3" s="4" t="inlineStr">
        <is>
          <t>FY2021 (£'000)</t>
        </is>
      </c>
    </row>
    <row r="4">
      <c r="A4" s="6" t="inlineStr">
        <is>
          <t>Credit risk</t>
        </is>
      </c>
      <c r="B4" s="6" t="n">
        <v>46037</v>
      </c>
      <c r="C4" s="6" t="n">
        <v>4056</v>
      </c>
      <c r="D4" s="6" t="n"/>
      <c r="E4" s="6" t="n"/>
    </row>
    <row r="5">
      <c r="A5" s="6" t="inlineStr">
        <is>
          <t>Operational risk</t>
        </is>
      </c>
      <c r="B5" s="6" t="n">
        <v>1296</v>
      </c>
      <c r="C5" s="6" t="n">
        <v>1045</v>
      </c>
      <c r="D5" s="6" t="n"/>
      <c r="E5" s="6" t="n"/>
    </row>
    <row r="6">
      <c r="A6" s="5" t="inlineStr">
        <is>
          <t>Total RWAs (Pillar 1)</t>
        </is>
      </c>
      <c r="B6" s="5" t="n">
        <v>47333</v>
      </c>
      <c r="C6" s="5" t="n">
        <v>5101</v>
      </c>
      <c r="D6" s="5" t="n"/>
      <c r="E6" s="5" t="n"/>
    </row>
    <row r="8" ht="200" customHeight="1">
      <c r="A8"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
The Bank has no exposure to market risk under Pillar 1 (per the Pillar 3 report's own statement) - credit risk and operational risk are the only two categories. FY2022/FY2021 not disclosed: no Pillar 3 document covers those years (matches the gap already documented on the Total RWAs sheet).</t>
        </is>
      </c>
    </row>
  </sheetData>
  <mergeCells count="1">
    <mergeCell ref="A8:E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t>
        </is>
      </c>
      <c r="B4" s="6" t="inlineStr">
        <is>
          <t>24%</t>
        </is>
      </c>
      <c r="C4" s="6" t="inlineStr">
        <is>
          <t>63%</t>
        </is>
      </c>
      <c r="D4" s="6" t="n"/>
      <c r="E4" s="6" t="n"/>
    </row>
    <row r="6" ht="190" customHeight="1">
      <c r="A6"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1">
    <mergeCell ref="A6:E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725%</t>
        </is>
      </c>
      <c r="C4" s="6" t="inlineStr">
        <is>
          <t>11,351%</t>
        </is>
      </c>
      <c r="D4" s="6" t="inlineStr">
        <is>
          <t>2,983%</t>
        </is>
      </c>
      <c r="E4" s="6" t="n"/>
    </row>
    <row r="5" ht="60" customHeight="1">
      <c r="A5" s="7" t="inlineStr">
        <is>
          <t>Note: FY2022/FY2023 figures (2,983% / 11,351%) are genuinely this large - a small, low-loan-volume bank holding a large liquidity buffer relative to its (paused) lending book during its 2023 infrastructure-build year. Not a transcription error - see ENTITY_NOTE on the Cash Flow sheet.</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Birmingham Bank Limited — NSFR</t>
        </is>
      </c>
    </row>
    <row r="2">
      <c r="A2" s="2" t="inlineStr"/>
    </row>
    <row r="3">
      <c r="A3" s="4" t="inlineStr">
        <is>
          <t>Metric</t>
        </is>
      </c>
      <c r="B3" s="4" t="inlineStr">
        <is>
          <t>FY2024</t>
        </is>
      </c>
      <c r="C3" s="4" t="inlineStr">
        <is>
          <t>FY2023</t>
        </is>
      </c>
      <c r="D3" s="4" t="inlineStr">
        <is>
          <t>FY2022</t>
        </is>
      </c>
      <c r="E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found in any Annual Report or the one Pillar 3 document published.</t>
        </is>
      </c>
    </row>
    <row r="7" ht="15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Birmingham Bank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found - the Bank is small enough to plausibly sit below the BoE's MREL threshold, but no explicit statement to that effect was found either.</t>
        </is>
      </c>
    </row>
    <row r="7" ht="15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2026-09-02T18:56:45Z</dcterms:created>
  <dcterms:modified xmlns:dcterms="http://purl.org/dc/terms/" xmlns:xsi="http://www.w3.org/2001/XMLSchema-instance" xsi:type="dcterms:W3CDTF">2026-09-02T18:56:45Z</dcterms:modified>
</cp:coreProperties>
</file>