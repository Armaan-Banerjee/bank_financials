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D741F"/>
        <bgColor rgb="00DD74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Hampshire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Hampshire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Hampshire Trust Bank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-328407</v>
      </c>
      <c r="C6" s="5" t="n">
        <v>619425</v>
      </c>
      <c r="D6" s="5" t="n">
        <v>-46888</v>
      </c>
      <c r="E6" s="5" t="n">
        <v>259350</v>
      </c>
      <c r="F6" s="5" t="n">
        <v>267024</v>
      </c>
      <c r="I6" t="inlineStr">
        <is>
          <t>Net cash from/(used in) operating activities</t>
        </is>
      </c>
      <c r="J6" t="n">
        <v>267024</v>
      </c>
      <c r="K6" t="n">
        <v>259350</v>
      </c>
      <c r="L6" t="n">
        <v>-46888</v>
      </c>
      <c r="M6" t="n">
        <v>619425</v>
      </c>
      <c r="N6" t="n">
        <v>-328407</v>
      </c>
      <c r="Q6" t="inlineStr">
        <is>
          <t>CET1 Ratio</t>
        </is>
      </c>
      <c r="R6" t="n">
        <v>18.9</v>
      </c>
      <c r="S6" t="n">
        <v>13.8</v>
      </c>
      <c r="T6" t="n">
        <v>13.3</v>
      </c>
      <c r="U6" t="n">
        <v>13.6</v>
      </c>
      <c r="V6" t="n">
        <v>13.5</v>
      </c>
    </row>
    <row r="7">
      <c r="A7" s="5" t="inlineStr">
        <is>
          <t>Net cash from/(used in) investing activities</t>
        </is>
      </c>
      <c r="B7" s="5" t="n">
        <v>-450560</v>
      </c>
      <c r="C7" s="5" t="n">
        <v>30745</v>
      </c>
      <c r="D7" s="5" t="n">
        <v>38042</v>
      </c>
      <c r="E7" s="5" t="n">
        <v>-39977</v>
      </c>
      <c r="F7" s="5" t="n">
        <v>-181730</v>
      </c>
      <c r="I7" t="inlineStr">
        <is>
          <t>Net cash from/(used in) investing activities</t>
        </is>
      </c>
      <c r="J7" t="n">
        <v>-181730</v>
      </c>
      <c r="K7" t="n">
        <v>-39977</v>
      </c>
      <c r="L7" t="n">
        <v>38042</v>
      </c>
      <c r="M7" t="n">
        <v>30745</v>
      </c>
      <c r="N7" t="n">
        <v>-450560</v>
      </c>
      <c r="Q7" t="inlineStr">
        <is>
          <t>Tier 1 Ratio</t>
        </is>
      </c>
      <c r="R7" t="n">
        <v>18.9</v>
      </c>
      <c r="S7" t="n">
        <v>15.1</v>
      </c>
      <c r="T7" t="n">
        <v>14.2</v>
      </c>
      <c r="U7" t="n">
        <v>14.4</v>
      </c>
      <c r="V7" t="n">
        <v>14.1</v>
      </c>
    </row>
    <row r="8">
      <c r="A8" s="5" t="inlineStr">
        <is>
          <t>Net cash from/(used in) financing activities</t>
        </is>
      </c>
      <c r="B8" s="5" t="n">
        <v>22745</v>
      </c>
      <c r="C8" s="5" t="n">
        <v>308331</v>
      </c>
      <c r="D8" s="5" t="n">
        <v>26678</v>
      </c>
      <c r="E8" s="5" t="n">
        <v>-2722</v>
      </c>
      <c r="F8" s="5" t="n">
        <v>12357</v>
      </c>
      <c r="I8" t="inlineStr">
        <is>
          <t>Net cash from/(used in) financing activities</t>
        </is>
      </c>
      <c r="J8" t="n">
        <v>12357</v>
      </c>
      <c r="K8" t="n">
        <v>-2722</v>
      </c>
      <c r="L8" t="n">
        <v>26678</v>
      </c>
      <c r="M8" t="n">
        <v>308331</v>
      </c>
      <c r="N8" t="n">
        <v>22745</v>
      </c>
      <c r="Q8" t="inlineStr">
        <is>
          <t>Total Capital Ratio</t>
        </is>
      </c>
      <c r="R8" t="n">
        <v>22.2</v>
      </c>
      <c r="S8" t="n">
        <v>17.4</v>
      </c>
      <c r="T8" t="n">
        <v>17</v>
      </c>
      <c r="U8" t="n">
        <v>16.4</v>
      </c>
      <c r="V8" t="n">
        <v>16.8</v>
      </c>
    </row>
    <row r="9">
      <c r="A9" s="5" t="inlineStr">
        <is>
          <t>Cash and cash equivalents at end of year</t>
        </is>
      </c>
      <c r="B9" s="5" t="n">
        <v>679085</v>
      </c>
      <c r="C9" s="5" t="n">
        <v>1435307</v>
      </c>
      <c r="D9" s="5" t="n">
        <v>476806</v>
      </c>
      <c r="E9" s="5" t="n">
        <v>458974</v>
      </c>
      <c r="F9" s="5" t="n">
        <v>242323</v>
      </c>
      <c r="I9" t="inlineStr">
        <is>
          <t>Cash and cash equivalents at end of year</t>
        </is>
      </c>
      <c r="J9" t="n">
        <v>242323</v>
      </c>
      <c r="K9" t="n">
        <v>458974</v>
      </c>
      <c r="L9" t="n">
        <v>476806</v>
      </c>
      <c r="M9" t="n">
        <v>1435307</v>
      </c>
      <c r="N9" t="n">
        <v>679085</v>
      </c>
      <c r="Q9" t="inlineStr">
        <is>
          <t>Leverage Ratio</t>
        </is>
      </c>
      <c r="R9" t="n">
        <v>8</v>
      </c>
      <c r="S9" t="n">
        <v>9.199999999999999</v>
      </c>
      <c r="T9" t="n">
        <v>7.5</v>
      </c>
      <c r="U9" t="n">
        <v>8.1</v>
      </c>
      <c r="V9" t="n">
        <v>7.5</v>
      </c>
    </row>
    <row r="10">
      <c r="Q10" t="inlineStr">
        <is>
          <t>LCR</t>
        </is>
      </c>
      <c r="R10" t="n">
        <v>314.8</v>
      </c>
      <c r="S10" t="n">
        <v>386.9</v>
      </c>
      <c r="T10" t="n">
        <v>388.6</v>
      </c>
      <c r="U10" t="n">
        <v>391.1</v>
      </c>
      <c r="V10" t="n">
        <v>346.9</v>
      </c>
    </row>
    <row r="11">
      <c r="A11" s="3" t="inlineStr">
        <is>
          <t>Pillar 3 Key Metrics</t>
        </is>
      </c>
      <c r="Q11" t="inlineStr">
        <is>
          <t>NSFR</t>
        </is>
      </c>
      <c r="R11" t="n">
        <v>120.5</v>
      </c>
      <c r="S11" t="n">
        <v>152.5</v>
      </c>
      <c r="T11" t="n">
        <v>147.7</v>
      </c>
      <c r="U11" t="n">
        <v>163.3</v>
      </c>
      <c r="V11" t="n">
        <v>158.9</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13.5%</t>
        </is>
      </c>
      <c r="C13" s="6" t="inlineStr">
        <is>
          <t>13.6%</t>
        </is>
      </c>
      <c r="D13" s="6" t="inlineStr">
        <is>
          <t>13.3%</t>
        </is>
      </c>
      <c r="E13" s="6" t="inlineStr">
        <is>
          <t>13.8%</t>
        </is>
      </c>
      <c r="F13" s="6" t="inlineStr">
        <is>
          <t>18.9%</t>
        </is>
      </c>
    </row>
    <row r="14">
      <c r="A14" s="6" t="inlineStr">
        <is>
          <t>Tier 1 Ratio</t>
        </is>
      </c>
      <c r="B14" s="6" t="inlineStr">
        <is>
          <t>14.1%</t>
        </is>
      </c>
      <c r="C14" s="6" t="inlineStr">
        <is>
          <t>14.4%</t>
        </is>
      </c>
      <c r="D14" s="6" t="inlineStr">
        <is>
          <t>14.2%</t>
        </is>
      </c>
      <c r="E14" s="6" t="inlineStr">
        <is>
          <t>15.1%</t>
        </is>
      </c>
      <c r="F14" s="6" t="inlineStr">
        <is>
          <t>18.9%</t>
        </is>
      </c>
    </row>
    <row r="15">
      <c r="A15" s="6" t="inlineStr">
        <is>
          <t>Total Capital Ratio</t>
        </is>
      </c>
      <c r="B15" s="6" t="inlineStr">
        <is>
          <t>16.8%</t>
        </is>
      </c>
      <c r="C15" s="6" t="inlineStr">
        <is>
          <t>16.4%</t>
        </is>
      </c>
      <c r="D15" s="6" t="inlineStr">
        <is>
          <t>17.0%</t>
        </is>
      </c>
      <c r="E15" s="6" t="inlineStr">
        <is>
          <t>17.4%</t>
        </is>
      </c>
      <c r="F15" s="6" t="inlineStr">
        <is>
          <t>22.2%</t>
        </is>
      </c>
    </row>
    <row r="16">
      <c r="A16" s="6" t="inlineStr">
        <is>
          <t>Leverage Ratio</t>
        </is>
      </c>
      <c r="B16" s="6" t="inlineStr">
        <is>
          <t>7.5%</t>
        </is>
      </c>
      <c r="C16" s="6" t="inlineStr">
        <is>
          <t>8.1%</t>
        </is>
      </c>
      <c r="D16" s="6" t="inlineStr">
        <is>
          <t>7.5%</t>
        </is>
      </c>
      <c r="E16" s="6" t="inlineStr">
        <is>
          <t>9.2%</t>
        </is>
      </c>
      <c r="F16" s="6" t="inlineStr">
        <is>
          <t>8.0%</t>
        </is>
      </c>
    </row>
    <row r="17">
      <c r="A17" s="6" t="inlineStr">
        <is>
          <t>LCR</t>
        </is>
      </c>
      <c r="B17" s="6" t="inlineStr">
        <is>
          <t>346.9%</t>
        </is>
      </c>
      <c r="C17" s="6" t="inlineStr">
        <is>
          <t>391.1%</t>
        </is>
      </c>
      <c r="D17" s="6" t="inlineStr">
        <is>
          <t>388.6%</t>
        </is>
      </c>
      <c r="E17" s="6" t="inlineStr">
        <is>
          <t>386.9%</t>
        </is>
      </c>
      <c r="F17" s="6" t="inlineStr">
        <is>
          <t>314.8%</t>
        </is>
      </c>
    </row>
    <row r="18">
      <c r="A18" s="6" t="inlineStr">
        <is>
          <t>NSFR</t>
        </is>
      </c>
      <c r="B18" s="6" t="inlineStr">
        <is>
          <t>158.9%</t>
        </is>
      </c>
      <c r="C18" s="6" t="inlineStr">
        <is>
          <t>163.3%</t>
        </is>
      </c>
      <c r="D18" s="6" t="inlineStr">
        <is>
          <t>147.7%</t>
        </is>
      </c>
      <c r="E18" s="6" t="inlineStr">
        <is>
          <t>152.5%</t>
        </is>
      </c>
      <c r="F18" s="6" t="inlineStr">
        <is>
          <t>120.5%</t>
        </is>
      </c>
    </row>
    <row r="20" ht="45" customHeight="1">
      <c r="A20" s="7" t="inlineStr">
        <is>
          <t>Note: Figures are duplicated from the detail sheets for at-a-glance trend viewing; see each sheet's own source citation for the underlying document/page. All Cash Flow figures are the Bank (entity-level) column; LCR/NSFR are Group-level from FY2022 onward (see the LCR/NSFR sheets' notes).</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Hampshire Trust Bank Plc — Bank Statement of Cash Flows</t>
        </is>
      </c>
    </row>
    <row r="2">
      <c r="A2" s="2" t="inlineStr">
        <is>
          <t>Bank (parent-entity) column; FY2021 predates Group consolidation and uses the single Company statement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 for the year</t>
        </is>
      </c>
      <c r="B5" s="6" t="n">
        <v>78521</v>
      </c>
      <c r="C5" s="6" t="n">
        <v>72461</v>
      </c>
      <c r="D5" s="6" t="n">
        <v>80407</v>
      </c>
      <c r="E5" s="6" t="n">
        <v>64521</v>
      </c>
      <c r="F5" s="6" t="n">
        <v>27346</v>
      </c>
    </row>
    <row r="6">
      <c r="A6" s="6" t="inlineStr">
        <is>
          <t>Depreciation and amortisation</t>
        </is>
      </c>
      <c r="B6" s="6" t="n">
        <v>6963</v>
      </c>
      <c r="C6" s="6" t="n">
        <v>5800</v>
      </c>
      <c r="D6" s="6" t="n">
        <v>4936</v>
      </c>
      <c r="E6" s="6" t="n">
        <v>4411</v>
      </c>
      <c r="F6" s="6" t="n">
        <v>3936</v>
      </c>
    </row>
    <row r="7">
      <c r="A7" s="6" t="inlineStr">
        <is>
          <t>Loss on disposal of fixed assets</t>
        </is>
      </c>
      <c r="B7" s="6" t="n"/>
      <c r="C7" s="6" t="n"/>
      <c r="D7" s="6" t="n">
        <v>503</v>
      </c>
      <c r="E7" s="6" t="n"/>
      <c r="F7" s="6" t="n"/>
    </row>
    <row r="8">
      <c r="A8" s="6" t="inlineStr">
        <is>
          <t>Impairment loss on investment in subsidiaries</t>
        </is>
      </c>
      <c r="B8" s="6" t="n">
        <v>26500</v>
      </c>
      <c r="C8" s="6" t="n">
        <v>11219</v>
      </c>
      <c r="D8" s="6" t="n"/>
      <c r="E8" s="6" t="n"/>
      <c r="F8" s="6" t="n"/>
    </row>
    <row r="9">
      <c r="A9" s="6" t="inlineStr">
        <is>
          <t>Foreign exchange gains/(losses)</t>
        </is>
      </c>
      <c r="B9" s="6" t="n">
        <v>-29</v>
      </c>
      <c r="C9" s="6" t="n"/>
      <c r="D9" s="6" t="n"/>
      <c r="E9" s="6" t="n">
        <v>-2</v>
      </c>
      <c r="F9" s="6" t="n">
        <v>9</v>
      </c>
    </row>
    <row r="10">
      <c r="A10" s="6" t="inlineStr">
        <is>
          <t>Gain on securitisation</t>
        </is>
      </c>
      <c r="B10" s="6" t="n"/>
      <c r="C10" s="6" t="n">
        <v>-10414</v>
      </c>
      <c r="D10" s="6" t="n"/>
      <c r="E10" s="6" t="n"/>
      <c r="F10" s="6" t="n"/>
    </row>
    <row r="11">
      <c r="A11" s="6" t="inlineStr">
        <is>
          <t>Increase in impairment of loans and advances</t>
        </is>
      </c>
      <c r="B11" s="6" t="n">
        <v>10147</v>
      </c>
      <c r="C11" s="6" t="n">
        <v>8939</v>
      </c>
      <c r="D11" s="6" t="n">
        <v>7183</v>
      </c>
      <c r="E11" s="6" t="n">
        <v>11995</v>
      </c>
      <c r="F11" s="6" t="n">
        <v>6362</v>
      </c>
    </row>
    <row r="12">
      <c r="A12" s="6" t="inlineStr">
        <is>
          <t>Increase/(decrease) in provisions</t>
        </is>
      </c>
      <c r="B12" s="6" t="n">
        <v>1831</v>
      </c>
      <c r="C12" s="6" t="n">
        <v>1364</v>
      </c>
      <c r="D12" s="6" t="n">
        <v>6036</v>
      </c>
      <c r="E12" s="6" t="n">
        <v>3215</v>
      </c>
      <c r="F12" s="6" t="n">
        <v>-4206</v>
      </c>
    </row>
    <row r="13">
      <c r="A13" s="6" t="inlineStr">
        <is>
          <t>Equity-settled share-based payment transactions</t>
        </is>
      </c>
      <c r="B13" s="6" t="n">
        <v>718</v>
      </c>
      <c r="C13" s="6" t="n">
        <v>-204</v>
      </c>
      <c r="D13" s="6" t="n">
        <v>1399</v>
      </c>
      <c r="E13" s="6" t="n">
        <v>240</v>
      </c>
      <c r="F13" s="6" t="n">
        <v>676</v>
      </c>
    </row>
    <row r="14">
      <c r="A14" s="6" t="inlineStr">
        <is>
          <t>Bond premium/discount amortisation</t>
        </is>
      </c>
      <c r="B14" s="6" t="n">
        <v>157</v>
      </c>
      <c r="C14" s="6" t="n">
        <v>-1943</v>
      </c>
      <c r="D14" s="6" t="n">
        <v>-4943</v>
      </c>
      <c r="E14" s="6" t="n">
        <v>-335</v>
      </c>
      <c r="F14" s="6" t="n">
        <v>1275</v>
      </c>
    </row>
    <row r="15">
      <c r="A15" s="6" t="inlineStr">
        <is>
          <t>Decrease/(increase) in fair value of derivative assets</t>
        </is>
      </c>
      <c r="B15" s="6" t="n">
        <v>30481</v>
      </c>
      <c r="C15" s="6" t="n">
        <v>18609</v>
      </c>
      <c r="D15" s="6" t="n">
        <v>41007</v>
      </c>
      <c r="E15" s="6" t="n">
        <v>-76695</v>
      </c>
      <c r="F15" s="6" t="n">
        <v>-28408</v>
      </c>
    </row>
    <row r="16">
      <c r="A16" s="6" t="inlineStr">
        <is>
          <t>Increase/(decrease) in fair value of loans and advances designated as hedged items</t>
        </is>
      </c>
      <c r="B16" s="6" t="n">
        <v>-32163</v>
      </c>
      <c r="C16" s="6" t="n">
        <v>-19784</v>
      </c>
      <c r="D16" s="6" t="n">
        <v>-39698</v>
      </c>
      <c r="E16" s="6" t="n">
        <v>73530</v>
      </c>
      <c r="F16" s="6" t="n">
        <v>25595</v>
      </c>
    </row>
    <row r="17">
      <c r="A17" s="6" t="inlineStr">
        <is>
          <t>Decrease/(increase) in fair value of loans and advances held at FVTPL</t>
        </is>
      </c>
      <c r="B17" s="6" t="n">
        <v>188</v>
      </c>
      <c r="C17" s="6" t="n">
        <v>-53</v>
      </c>
      <c r="D17" s="6" t="n">
        <v>1436</v>
      </c>
      <c r="E17" s="6" t="n">
        <v>-6981</v>
      </c>
      <c r="F17" s="6" t="n">
        <v>-749</v>
      </c>
    </row>
    <row r="18">
      <c r="A18" s="6" t="inlineStr">
        <is>
          <t>Repayment of the interest accrued on lease liabilities</t>
        </is>
      </c>
      <c r="B18" s="6" t="n">
        <v>228</v>
      </c>
      <c r="C18" s="6" t="n">
        <v>258</v>
      </c>
      <c r="D18" s="6" t="n">
        <v>142</v>
      </c>
      <c r="E18" s="6" t="n">
        <v>70</v>
      </c>
      <c r="F18" s="6" t="n">
        <v>-129</v>
      </c>
    </row>
    <row r="19">
      <c r="A19" s="6" t="inlineStr">
        <is>
          <t>Dividends received</t>
        </is>
      </c>
      <c r="B19" s="6" t="n">
        <v>-26500</v>
      </c>
      <c r="C19" s="6" t="n">
        <v>-11000</v>
      </c>
      <c r="D19" s="6" t="n">
        <v>-27500</v>
      </c>
      <c r="E19" s="6" t="n">
        <v>-20000</v>
      </c>
      <c r="F19" s="6" t="n"/>
    </row>
    <row r="20">
      <c r="A20" s="6" t="inlineStr">
        <is>
          <t>Other acquisition costs recognised through equity</t>
        </is>
      </c>
      <c r="B20" s="6" t="n"/>
      <c r="C20" s="6" t="n"/>
      <c r="D20" s="6" t="n"/>
      <c r="E20" s="6" t="n">
        <v>-392</v>
      </c>
      <c r="F20" s="6" t="n"/>
    </row>
    <row r="21">
      <c r="A21" s="6" t="inlineStr">
        <is>
          <t>Corporation tax paid</t>
        </is>
      </c>
      <c r="B21" s="6" t="n">
        <v>-21655</v>
      </c>
      <c r="C21" s="6" t="n">
        <v>-18086</v>
      </c>
      <c r="D21" s="6" t="n">
        <v>-15835</v>
      </c>
      <c r="E21" s="6" t="n">
        <v>-14257</v>
      </c>
      <c r="F21" s="6" t="n">
        <v>-3709</v>
      </c>
    </row>
    <row r="22">
      <c r="A22" s="6" t="inlineStr">
        <is>
          <t>Corporation tax received</t>
        </is>
      </c>
      <c r="B22" s="6" t="n">
        <v>1166</v>
      </c>
      <c r="C22" s="6" t="n"/>
      <c r="D22" s="6" t="n"/>
      <c r="E22" s="6" t="n"/>
      <c r="F22" s="6" t="n"/>
    </row>
    <row r="23">
      <c r="A23" s="6" t="inlineStr">
        <is>
          <t>(Increase) in loans and advances to customers</t>
        </is>
      </c>
      <c r="B23" s="6" t="n">
        <v>-1121847</v>
      </c>
      <c r="C23" s="6" t="n">
        <v>-717726</v>
      </c>
      <c r="D23" s="6" t="n">
        <v>-675670</v>
      </c>
      <c r="E23" s="6" t="n">
        <v>-625569</v>
      </c>
      <c r="F23" s="6" t="n">
        <v>-419379</v>
      </c>
    </row>
    <row r="24">
      <c r="A24" s="6" t="inlineStr">
        <is>
          <t>(Increase)/decrease in other assets</t>
        </is>
      </c>
      <c r="B24" s="6" t="n">
        <v>61605</v>
      </c>
      <c r="C24" s="6" t="n">
        <v>6841</v>
      </c>
      <c r="D24" s="6" t="n">
        <v>-169564</v>
      </c>
      <c r="E24" s="6" t="n">
        <v>-94775</v>
      </c>
      <c r="F24" s="6" t="n">
        <v>-508</v>
      </c>
    </row>
    <row r="25">
      <c r="A25" s="6" t="inlineStr">
        <is>
          <t>(Decrease)/increase in central bank facilities</t>
        </is>
      </c>
      <c r="B25" s="6" t="n">
        <v>-5000</v>
      </c>
      <c r="C25" s="6" t="n">
        <v>-5000</v>
      </c>
      <c r="D25" s="6" t="n">
        <v>5000</v>
      </c>
      <c r="E25" s="6" t="n"/>
      <c r="F25" s="6" t="n">
        <v>115000</v>
      </c>
    </row>
    <row r="26">
      <c r="A26" s="6" t="inlineStr">
        <is>
          <t>(Increase)/decrease in collateral held with banks</t>
        </is>
      </c>
      <c r="B26" s="6" t="n">
        <v>-30078</v>
      </c>
      <c r="C26" s="6" t="n">
        <v>-25256</v>
      </c>
      <c r="D26" s="6" t="n">
        <v>-33646</v>
      </c>
      <c r="E26" s="6" t="n">
        <v>73421</v>
      </c>
      <c r="F26" s="6" t="n">
        <v>27594</v>
      </c>
    </row>
    <row r="27">
      <c r="A27" s="6" t="inlineStr">
        <is>
          <t>Increase in customer deposits</t>
        </is>
      </c>
      <c r="B27" s="6" t="n">
        <v>702733</v>
      </c>
      <c r="C27" s="6" t="n">
        <v>1324101</v>
      </c>
      <c r="D27" s="6" t="n">
        <v>765355</v>
      </c>
      <c r="E27" s="6" t="n">
        <v>798748</v>
      </c>
      <c r="F27" s="6" t="n">
        <v>512682</v>
      </c>
    </row>
    <row r="28">
      <c r="A28" s="6" t="inlineStr">
        <is>
          <t>Increase/(decrease) in subordinated and other liabilities</t>
        </is>
      </c>
      <c r="B28" s="6" t="n">
        <v>-12373</v>
      </c>
      <c r="C28" s="6" t="n">
        <v>-20701</v>
      </c>
      <c r="D28" s="6" t="n">
        <v>6564</v>
      </c>
      <c r="E28" s="6" t="n">
        <v>68205</v>
      </c>
      <c r="F28" s="6" t="n">
        <v>3637</v>
      </c>
    </row>
    <row r="29">
      <c r="A29" s="5" t="inlineStr">
        <is>
          <t>Net cash from/(used in) operating activities</t>
        </is>
      </c>
      <c r="B29" s="5" t="n">
        <v>-328407</v>
      </c>
      <c r="C29" s="5" t="n">
        <v>619425</v>
      </c>
      <c r="D29" s="5" t="n">
        <v>-46888</v>
      </c>
      <c r="E29" s="5" t="n">
        <v>259350</v>
      </c>
      <c r="F29" s="5" t="n">
        <v>267024</v>
      </c>
    </row>
    <row r="30">
      <c r="A30" s="5" t="inlineStr">
        <is>
          <t>Investing activities</t>
        </is>
      </c>
      <c r="B30" s="6" t="n"/>
      <c r="C30" s="6" t="n"/>
      <c r="D30" s="6" t="n"/>
      <c r="E30" s="6" t="n"/>
      <c r="F30" s="6" t="n"/>
    </row>
    <row r="31">
      <c r="A31" s="6" t="inlineStr">
        <is>
          <t>Acquisition of subsidiary, net of cash acquired</t>
        </is>
      </c>
      <c r="B31" s="6" t="n"/>
      <c r="C31" s="6" t="n"/>
      <c r="D31" s="6" t="n"/>
      <c r="E31" s="6" t="n">
        <v>-32000</v>
      </c>
      <c r="F31" s="6" t="n"/>
    </row>
    <row r="32">
      <c r="A32" s="6" t="inlineStr">
        <is>
          <t>Dividends received from subsidiary undertakings</t>
        </is>
      </c>
      <c r="B32" s="6" t="n">
        <v>26500</v>
      </c>
      <c r="C32" s="6" t="n">
        <v>11000</v>
      </c>
      <c r="D32" s="6" t="n">
        <v>27500</v>
      </c>
      <c r="E32" s="6" t="n">
        <v>20000</v>
      </c>
      <c r="F32" s="6" t="n"/>
    </row>
    <row r="33">
      <c r="A33" s="6" t="inlineStr">
        <is>
          <t>Purchase of property, plant and equipment</t>
        </is>
      </c>
      <c r="B33" s="6" t="n">
        <v>-300</v>
      </c>
      <c r="C33" s="6" t="n">
        <v>-298</v>
      </c>
      <c r="D33" s="6" t="n">
        <v>-4742</v>
      </c>
      <c r="E33" s="6" t="n">
        <v>-543</v>
      </c>
      <c r="F33" s="6" t="n">
        <v>-231</v>
      </c>
    </row>
    <row r="34">
      <c r="A34" s="6" t="inlineStr">
        <is>
          <t>Disposal of property, plant and equipment</t>
        </is>
      </c>
      <c r="B34" s="6" t="n"/>
      <c r="C34" s="6" t="n">
        <v>51</v>
      </c>
      <c r="D34" s="6" t="n"/>
      <c r="E34" s="6" t="n"/>
      <c r="F34" s="6" t="n"/>
    </row>
    <row r="35">
      <c r="A35" s="6" t="inlineStr">
        <is>
          <t>Purchase of intangible assets</t>
        </is>
      </c>
      <c r="B35" s="6" t="n">
        <v>-4612</v>
      </c>
      <c r="C35" s="6" t="n">
        <v>-6814</v>
      </c>
      <c r="D35" s="6" t="n">
        <v>-5424</v>
      </c>
      <c r="E35" s="6" t="n">
        <v>-4777</v>
      </c>
      <c r="F35" s="6" t="n">
        <v>-3355</v>
      </c>
    </row>
    <row r="36">
      <c r="A36" s="6" t="inlineStr">
        <is>
          <t>Disposal of intangible assets</t>
        </is>
      </c>
      <c r="B36" s="6" t="n">
        <v>477</v>
      </c>
      <c r="C36" s="6" t="n">
        <v>67</v>
      </c>
      <c r="D36" s="6" t="n"/>
      <c r="E36" s="6" t="n"/>
      <c r="F36" s="6" t="n"/>
    </row>
    <row r="37">
      <c r="A37" s="6" t="inlineStr">
        <is>
          <t>Purchase of right of use asset</t>
        </is>
      </c>
      <c r="B37" s="6" t="n"/>
      <c r="C37" s="6" t="n"/>
      <c r="D37" s="6" t="n">
        <v>-3982</v>
      </c>
      <c r="E37" s="6" t="n"/>
      <c r="F37" s="6" t="n"/>
    </row>
    <row r="38">
      <c r="A38" s="6" t="inlineStr">
        <is>
          <t>Disposal of right of use asset</t>
        </is>
      </c>
      <c r="B38" s="6" t="n"/>
      <c r="C38" s="6" t="n">
        <v>-113</v>
      </c>
      <c r="D38" s="6" t="n"/>
      <c r="E38" s="6" t="n"/>
      <c r="F38" s="6" t="n"/>
    </row>
    <row r="39">
      <c r="A39" s="6" t="inlineStr">
        <is>
          <t>Purchase of investment securities</t>
        </is>
      </c>
      <c r="B39" s="6" t="n">
        <v>-500773</v>
      </c>
      <c r="C39" s="6" t="n">
        <v>-135668</v>
      </c>
      <c r="D39" s="6" t="n">
        <v>-415054</v>
      </c>
      <c r="E39" s="6" t="n">
        <v>-424657</v>
      </c>
      <c r="F39" s="6" t="n">
        <v>-178144</v>
      </c>
    </row>
    <row r="40">
      <c r="A40" s="6" t="inlineStr">
        <is>
          <t>Settlement/sale of investment securities</t>
        </is>
      </c>
      <c r="B40" s="6" t="n">
        <v>28148</v>
      </c>
      <c r="C40" s="6" t="n">
        <v>162520</v>
      </c>
      <c r="D40" s="6" t="n">
        <v>439744</v>
      </c>
      <c r="E40" s="6" t="n">
        <v>402000</v>
      </c>
      <c r="F40" s="6" t="n"/>
    </row>
    <row r="41">
      <c r="A41" s="5" t="inlineStr">
        <is>
          <t>Net cash from/(used in) investing activities</t>
        </is>
      </c>
      <c r="B41" s="5" t="n">
        <v>-450560</v>
      </c>
      <c r="C41" s="5" t="n">
        <v>30745</v>
      </c>
      <c r="D41" s="5" t="n">
        <v>38042</v>
      </c>
      <c r="E41" s="5" t="n">
        <v>-39977</v>
      </c>
      <c r="F41" s="5" t="n">
        <v>-181730</v>
      </c>
    </row>
    <row r="42">
      <c r="A42" s="5" t="inlineStr">
        <is>
          <t>Financing activities</t>
        </is>
      </c>
      <c r="B42" s="6" t="n"/>
      <c r="C42" s="6" t="n"/>
      <c r="D42" s="6" t="n"/>
      <c r="E42" s="6" t="n"/>
      <c r="F42" s="6" t="n"/>
    </row>
    <row r="43">
      <c r="A43" s="6" t="inlineStr">
        <is>
          <t>Repayments of the principal portion of finance lease liabilities</t>
        </is>
      </c>
      <c r="B43" s="6" t="n">
        <v>-737</v>
      </c>
      <c r="C43" s="6" t="n">
        <v>-710</v>
      </c>
      <c r="D43" s="6" t="n">
        <v>-797</v>
      </c>
      <c r="E43" s="6" t="n">
        <v>-1318</v>
      </c>
      <c r="F43" s="6" t="n">
        <v>-1183</v>
      </c>
    </row>
    <row r="44">
      <c r="A44" s="6" t="inlineStr">
        <is>
          <t>Inception of finance lease liability</t>
        </is>
      </c>
      <c r="B44" s="6" t="n"/>
      <c r="C44" s="6" t="n"/>
      <c r="D44" s="6" t="n">
        <v>3982</v>
      </c>
      <c r="E44" s="6" t="n"/>
      <c r="F44" s="6" t="n"/>
    </row>
    <row r="45">
      <c r="A45" s="6" t="inlineStr">
        <is>
          <t>Coupon paid to other equity instrument holders</t>
        </is>
      </c>
      <c r="B45" s="6" t="n">
        <v>-1518</v>
      </c>
      <c r="C45" s="6" t="n">
        <v>-1517</v>
      </c>
      <c r="D45" s="6" t="n">
        <v>-1507</v>
      </c>
      <c r="E45" s="6" t="n">
        <v>-1404</v>
      </c>
      <c r="F45" s="6" t="n"/>
    </row>
    <row r="46">
      <c r="A46" s="6" t="inlineStr">
        <is>
          <t>Proceeds from the issuance of subordinated debt</t>
        </is>
      </c>
      <c r="B46" s="6" t="n">
        <v>55000</v>
      </c>
      <c r="C46" s="6" t="n"/>
      <c r="D46" s="6" t="n">
        <v>25000</v>
      </c>
      <c r="E46" s="6" t="n"/>
      <c r="F46" s="6" t="n"/>
    </row>
    <row r="47">
      <c r="A47" s="6" t="inlineStr">
        <is>
          <t>Repayment of subordinated debt</t>
        </is>
      </c>
      <c r="B47" s="6" t="n">
        <v>-30000</v>
      </c>
      <c r="C47" s="6" t="n"/>
      <c r="D47" s="6" t="n"/>
      <c r="E47" s="6" t="n"/>
      <c r="F47" s="6" t="n"/>
    </row>
    <row r="48">
      <c r="A48" s="6" t="inlineStr">
        <is>
          <t>Proceeds from securitisation</t>
        </is>
      </c>
      <c r="B48" s="6" t="n"/>
      <c r="C48" s="6" t="n">
        <v>310558</v>
      </c>
      <c r="D48" s="6" t="n"/>
      <c r="E48" s="6" t="n"/>
      <c r="F48" s="6" t="n"/>
    </row>
    <row r="49">
      <c r="A49" s="6" t="inlineStr">
        <is>
          <t>Proceeds from the issue of share capital</t>
        </is>
      </c>
      <c r="B49" s="6" t="n"/>
      <c r="C49" s="6" t="n"/>
      <c r="D49" s="6" t="n"/>
      <c r="E49" s="6" t="n"/>
      <c r="F49" s="6" t="n">
        <v>13540</v>
      </c>
    </row>
    <row r="50">
      <c r="A50" s="5" t="inlineStr">
        <is>
          <t>Net cash from/(used in) financing activities</t>
        </is>
      </c>
      <c r="B50" s="5" t="n">
        <v>22745</v>
      </c>
      <c r="C50" s="5" t="n">
        <v>308331</v>
      </c>
      <c r="D50" s="5" t="n">
        <v>26678</v>
      </c>
      <c r="E50" s="5" t="n">
        <v>-2722</v>
      </c>
      <c r="F50" s="5" t="n">
        <v>12357</v>
      </c>
    </row>
    <row r="51">
      <c r="A51" s="5" t="inlineStr">
        <is>
          <t>Net (decrease)/increase in cash and cash equivalents</t>
        </is>
      </c>
      <c r="B51" s="5" t="n">
        <v>-756222</v>
      </c>
      <c r="C51" s="5" t="n">
        <v>958501</v>
      </c>
      <c r="D51" s="5" t="n">
        <v>17832</v>
      </c>
      <c r="E51" s="5" t="n">
        <v>216651</v>
      </c>
      <c r="F51" s="5" t="n">
        <v>97651</v>
      </c>
    </row>
    <row r="52">
      <c r="A52" s="6" t="inlineStr">
        <is>
          <t>Cash and cash equivalents at the beginning of the year</t>
        </is>
      </c>
      <c r="B52" s="6" t="n">
        <v>1435307</v>
      </c>
      <c r="C52" s="6" t="n">
        <v>476806</v>
      </c>
      <c r="D52" s="6" t="n">
        <v>458974</v>
      </c>
      <c r="E52" s="6" t="n">
        <v>242323</v>
      </c>
      <c r="F52" s="6" t="n">
        <v>144672</v>
      </c>
    </row>
    <row r="53">
      <c r="A53" s="5" t="inlineStr">
        <is>
          <t>Cash and cash equivalents at the end of the year</t>
        </is>
      </c>
      <c r="B53" s="5" t="n">
        <v>679085</v>
      </c>
      <c r="C53" s="5" t="n">
        <v>1435307</v>
      </c>
      <c r="D53" s="5" t="n">
        <v>476806</v>
      </c>
      <c r="E53" s="5" t="n">
        <v>458974</v>
      </c>
      <c r="F53" s="5" t="n">
        <v>242323</v>
      </c>
    </row>
    <row r="55" ht="170" customHeight="1">
      <c r="A55" s="8" t="inlineStr">
        <is>
          <t>Sources - Hampshire Trust Bank Plc's own Consolidated and Bank Statement of Cash Flows (Bank column):
FY2025: Group Annual Report and Accounts 2025 (Companies House, filed 13 May 2026), p.64-65 - https://find-and-update.company-information.service.gov.uk/company/01311315/filing-history/MzUyMTMxMjk3OWFkaXF6a2N4/document?format=pdf&amp;download=0
  (operating-activities section from HTB's own website copy of the same report, p.32 - https://www.htb.co.uk/htbcontent/uploads/2026/04/HTB_Annual_Report_2025.pdf)
FY2024: Annual Report and Accounts for the year ended 31 December 2024 (Companies House, filed 13 May 2025), p.74-75 - https://find-and-update.company-information.service.gov.uk/company/01311315/filing-history/MzQ2NTc0NTU3N2FkaXF6a2N4/document?format=pdf&amp;download=0
FY2023: Annual Report and Accounts for the year ended 31 December 2023 (Companies House, filed 11 Jun 2024), p.74-75 (FY2023 comparative column) - https://find-and-update.company-information.service.gov.uk/company/01311315/filing-history/MzQyNDU2MzAzMmFkaXF6a2N4/document?format=pdf&amp;download=0
FY2022: Annual Report and Accounts for the year ended 31 December 2022 (Companies House, filed 07 Aug 2023), p.61-62 - https://find-and-update.company-information.service.gov.uk/company/01311315/filing-history/MzM4ODU3ODUzOWFkaXF6a2N4/document?format=pdf&amp;download=0
FY2021: Annual Report and Accounts for the year ended 31 December 2021 (Companies House, filed 14 Jun 2022), p.54, Statement of Cash flows - https://find-and-update.company-information.service.gov.uk/company/01311315/filing-history/MzM0MjI1MzEyMmFkaXF6a2N4/document?format=pdf&amp;download=0
All Cash Flow Statement figures use the Bank (parent-entity, non-consolidated) column, matching the entity-level basis of the Pillar 3 disclosures below. HTB's FY2021 Annual Report predates any Group consolidation (its first subsidiary was acquired during FY2022, see the Investing Activities section), so FY2021 presents a single unified Company statement rather than separate Group/Bank columns - that single column is used here. The FY2025 Companies House filing (the source used for every other year) is missing page 64 of its own PDF (the Statement of Cash Flows' operating-activities page - printed page numbers jump 63 to 65 with no page 64 present in the scan); the operating-activities detail for FY2025 was instead sourced from the identical statement in HTB's own website copy of the same Annual Report, which is text-native and paginates differently. Every other line item and every other year comes from the Companies House filings.</t>
        </is>
      </c>
    </row>
  </sheetData>
  <mergeCells count="1">
    <mergeCell ref="A55:F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397694</v>
      </c>
      <c r="C4" s="6" t="n">
        <v>300589</v>
      </c>
      <c r="D4" s="6" t="n">
        <v>243719</v>
      </c>
      <c r="E4" s="6" t="n">
        <v>180193</v>
      </c>
      <c r="F4" s="6" t="n">
        <v>174913</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13.5%</t>
        </is>
      </c>
      <c r="C4" s="6" t="inlineStr">
        <is>
          <t>13.6%</t>
        </is>
      </c>
      <c r="D4" s="6" t="inlineStr">
        <is>
          <t>13.3%</t>
        </is>
      </c>
      <c r="E4" s="6" t="inlineStr">
        <is>
          <t>13.8%</t>
        </is>
      </c>
      <c r="F4" s="6" t="inlineStr">
        <is>
          <t>18.9%</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414725</v>
      </c>
      <c r="C4" s="6" t="n">
        <v>317619</v>
      </c>
      <c r="D4" s="6" t="n">
        <v>260749</v>
      </c>
      <c r="E4" s="6" t="n">
        <v>197223</v>
      </c>
      <c r="F4" s="6" t="n">
        <v>174913</v>
      </c>
    </row>
    <row r="5" ht="60" customHeight="1">
      <c r="A5" s="7" t="inlineStr">
        <is>
          <t>Note: No Additional Tier 1 instruments are disclosed for FY2021 — Tier 1 capital equals CET1 capital that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14.1%</t>
        </is>
      </c>
      <c r="C4" s="6" t="inlineStr">
        <is>
          <t>14.4%</t>
        </is>
      </c>
      <c r="D4" s="6" t="inlineStr">
        <is>
          <t>14.2%</t>
        </is>
      </c>
      <c r="E4" s="6" t="inlineStr">
        <is>
          <t>15.1%</t>
        </is>
      </c>
      <c r="F4" s="6" t="inlineStr">
        <is>
          <t>18.9%</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494725</v>
      </c>
      <c r="C4" s="6" t="n">
        <v>362750</v>
      </c>
      <c r="D4" s="6" t="n">
        <v>311890</v>
      </c>
      <c r="E4" s="6" t="n">
        <v>227223</v>
      </c>
      <c r="F4" s="6" t="n">
        <v>204913</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16.8%</t>
        </is>
      </c>
      <c r="C4" s="6" t="inlineStr">
        <is>
          <t>16.4%</t>
        </is>
      </c>
      <c r="D4" s="6" t="inlineStr">
        <is>
          <t>17.0%</t>
        </is>
      </c>
      <c r="E4" s="6" t="inlineStr">
        <is>
          <t>17.4%</t>
        </is>
      </c>
      <c r="F4" s="6" t="inlineStr">
        <is>
          <t>22.2%</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2949233</v>
      </c>
      <c r="C4" s="6" t="n">
        <v>2207947</v>
      </c>
      <c r="D4" s="6" t="n">
        <v>1830864</v>
      </c>
      <c r="E4" s="6" t="n">
        <v>1310125</v>
      </c>
      <c r="F4" s="6" t="n">
        <v>922921</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7.5%</t>
        </is>
      </c>
      <c r="C4" s="6" t="inlineStr">
        <is>
          <t>8.1%</t>
        </is>
      </c>
      <c r="D4" s="6" t="inlineStr">
        <is>
          <t>7.5%</t>
        </is>
      </c>
      <c r="E4" s="6" t="inlineStr">
        <is>
          <t>9.2%</t>
        </is>
      </c>
      <c r="F4" s="6" t="inlineStr">
        <is>
          <t>8.0%</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346.9%</t>
        </is>
      </c>
      <c r="C4" s="6" t="inlineStr">
        <is>
          <t>391.1%</t>
        </is>
      </c>
      <c r="D4" s="6" t="inlineStr">
        <is>
          <t>388.6%</t>
        </is>
      </c>
      <c r="E4" s="6" t="inlineStr">
        <is>
          <t>386.9%</t>
        </is>
      </c>
      <c r="F4" s="6" t="inlineStr">
        <is>
          <t>314.8%</t>
        </is>
      </c>
    </row>
    <row r="5" ht="60" customHeight="1">
      <c r="A5" s="7" t="inlineStr">
        <is>
          <t>Note: Disclosed only at consolidated Group level from FY2022 onward ('Liquidity is managed on a consolidated basis hence only Group metrics are reported') — no separate Bank-solo LCR exists to report for those years. FY2021 predates the Group/Bank split; its single reported value is used.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158.9%</t>
        </is>
      </c>
      <c r="C4" s="6" t="inlineStr">
        <is>
          <t>163.3%</t>
        </is>
      </c>
      <c r="D4" s="6" t="inlineStr">
        <is>
          <t>147.7%</t>
        </is>
      </c>
      <c r="E4" s="6" t="inlineStr">
        <is>
          <t>152.5%</t>
        </is>
      </c>
      <c r="F4" s="6" t="inlineStr">
        <is>
          <t>120.5%</t>
        </is>
      </c>
    </row>
    <row r="5" ht="60" customHeight="1">
      <c r="A5" s="7" t="inlineStr">
        <is>
          <t>Note: Disclosed only at consolidated Group level from FY2022 onward, same basis as LCR above. FY2021 predates the Group/Bank split; its single reported value is used.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Hampshire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FY2021's Pillar 3 report predates the Group/Bank split entirely and shows a single value used for every metric that year):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MREL is not mentioned anywhere in any year's Pillar 3 disclosure - not publicly disclosed.</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2026-08-28T19:13:59Z</dcterms:created>
  <dcterms:modified xmlns:dcterms="http://purl.org/dc/terms/" xmlns:xsi="http://www.w3.org/2001/XMLSchema-instance" xsi:type="dcterms:W3CDTF">2026-08-28T19:13:59Z</dcterms:modified>
</cp:coreProperties>
</file>