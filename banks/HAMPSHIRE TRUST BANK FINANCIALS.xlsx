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DD741F"/>
        <bgColor rgb="00DD741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Hampshire Trust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'Overview'!N6</f>
            </strRef>
          </tx>
          <spPr>
            <a:ln xmlns:a="http://schemas.openxmlformats.org/drawingml/2006/main">
              <a:prstDash val="solid"/>
            </a:ln>
          </spPr>
          <cat>
            <numRef>
              <f>'Overview'!$O$5:$X$5</f>
            </numRef>
          </cat>
          <val>
            <numRef>
              <f>'Overview'!$O$6:$X$6</f>
            </numRef>
          </val>
        </ser>
        <ser>
          <idx val="1"/>
          <order val="1"/>
          <tx>
            <strRef>
              <f>'Overview'!N7</f>
            </strRef>
          </tx>
          <spPr>
            <a:ln xmlns:a="http://schemas.openxmlformats.org/drawingml/2006/main">
              <a:prstDash val="solid"/>
            </a:ln>
          </spPr>
          <cat>
            <numRef>
              <f>'Overview'!$O$5:$X$5</f>
            </numRef>
          </cat>
          <val>
            <numRef>
              <f>'Overview'!$O$7:$X$7</f>
            </numRef>
          </val>
        </ser>
        <ser>
          <idx val="2"/>
          <order val="2"/>
          <tx>
            <strRef>
              <f>'Overview'!N8</f>
            </strRef>
          </tx>
          <spPr>
            <a:ln xmlns:a="http://schemas.openxmlformats.org/drawingml/2006/main">
              <a:prstDash val="solid"/>
            </a:ln>
          </spPr>
          <cat>
            <numRef>
              <f>'Overview'!$O$5:$X$5</f>
            </numRef>
          </cat>
          <val>
            <numRef>
              <f>'Overview'!$O$8:$X$8</f>
            </numRef>
          </val>
        </ser>
        <ser>
          <idx val="3"/>
          <order val="3"/>
          <tx>
            <strRef>
              <f>'Overview'!N9</f>
            </strRef>
          </tx>
          <spPr>
            <a:ln xmlns:a="http://schemas.openxmlformats.org/drawingml/2006/main">
              <a:prstDash val="solid"/>
            </a:ln>
          </spPr>
          <cat>
            <numRef>
              <f>'Overview'!$O$5:$X$5</f>
            </numRef>
          </cat>
          <val>
            <numRef>
              <f>'Overview'!$O$9:$X$9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Hampshire Trust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'Overview'!AA13</f>
            </strRef>
          </tx>
          <spPr>
            <a:ln xmlns:a="http://schemas.openxmlformats.org/drawingml/2006/main">
              <a:prstDash val="solid"/>
            </a:ln>
          </spPr>
          <cat>
            <numRef>
              <f>'Overview'!$AB$12:$AK$12</f>
            </numRef>
          </cat>
          <val>
            <numRef>
              <f>'Overview'!$AB$13:$AK$13</f>
            </numRef>
          </val>
        </ser>
        <ser>
          <idx val="1"/>
          <order val="1"/>
          <tx>
            <strRef>
              <f>'Overview'!AA14</f>
            </strRef>
          </tx>
          <spPr>
            <a:ln xmlns:a="http://schemas.openxmlformats.org/drawingml/2006/main">
              <a:prstDash val="solid"/>
            </a:ln>
          </spPr>
          <cat>
            <numRef>
              <f>'Overview'!$AB$12:$AK$12</f>
            </numRef>
          </cat>
          <val>
            <numRef>
              <f>'Overview'!$AB$14:$AK$14</f>
            </numRef>
          </val>
        </ser>
        <ser>
          <idx val="2"/>
          <order val="2"/>
          <tx>
            <strRef>
              <f>'Overview'!AA15</f>
            </strRef>
          </tx>
          <spPr>
            <a:ln xmlns:a="http://schemas.openxmlformats.org/drawingml/2006/main">
              <a:prstDash val="solid"/>
            </a:ln>
          </spPr>
          <cat>
            <numRef>
              <f>'Overview'!$AB$12:$AK$12</f>
            </numRef>
          </cat>
          <val>
            <numRef>
              <f>'Overview'!$AB$15:$AK$15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Hampshire Trust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'Overview'!AN19</f>
            </strRef>
          </tx>
          <spPr>
            <a:ln xmlns:a="http://schemas.openxmlformats.org/drawingml/2006/main">
              <a:prstDash val="solid"/>
            </a:ln>
          </spPr>
          <cat>
            <numRef>
              <f>'Overview'!$AO$18:$AX$18</f>
            </numRef>
          </cat>
          <val>
            <numRef>
              <f>'Overview'!$AO$19:$AX$19</f>
            </numRef>
          </val>
        </ser>
        <ser>
          <idx val="1"/>
          <order val="1"/>
          <tx>
            <strRef>
              <f>'Overview'!AN20</f>
            </strRef>
          </tx>
          <spPr>
            <a:ln xmlns:a="http://schemas.openxmlformats.org/drawingml/2006/main">
              <a:prstDash val="solid"/>
            </a:ln>
          </spPr>
          <cat>
            <numRef>
              <f>'Overview'!$AO$18:$AX$18</f>
            </numRef>
          </cat>
          <val>
            <numRef>
              <f>'Overview'!$AO$20:$AX$20</f>
            </numRef>
          </val>
        </ser>
        <ser>
          <idx val="2"/>
          <order val="2"/>
          <tx>
            <strRef>
              <f>'Overview'!AN21</f>
            </strRef>
          </tx>
          <spPr>
            <a:ln xmlns:a="http://schemas.openxmlformats.org/drawingml/2006/main">
              <a:prstDash val="solid"/>
            </a:ln>
          </spPr>
          <cat>
            <numRef>
              <f>'Overview'!$AO$18:$AX$18</f>
            </numRef>
          </cat>
          <val>
            <numRef>
              <f>'Overview'!$AO$21:$AX$21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Hampshire Trust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'Overview'!BA25</f>
            </strRef>
          </tx>
          <spPr>
            <a:ln xmlns:a="http://schemas.openxmlformats.org/drawingml/2006/main">
              <a:prstDash val="solid"/>
            </a:ln>
          </spPr>
          <cat>
            <numRef>
              <f>'Overview'!$BB$24:$BK$24</f>
            </numRef>
          </cat>
          <val>
            <numRef>
              <f>'Overview'!$BB$25:$BK$25</f>
            </numRef>
          </val>
        </ser>
        <ser>
          <idx val="1"/>
          <order val="1"/>
          <tx>
            <strRef>
              <f>'Overview'!BA26</f>
            </strRef>
          </tx>
          <spPr>
            <a:ln xmlns:a="http://schemas.openxmlformats.org/drawingml/2006/main">
              <a:prstDash val="solid"/>
            </a:ln>
          </spPr>
          <cat>
            <numRef>
              <f>'Overview'!$BB$24:$BK$24</f>
            </numRef>
          </cat>
          <val>
            <numRef>
              <f>'Overview'!$BB$26:$BK$26</f>
            </numRef>
          </val>
        </ser>
        <ser>
          <idx val="2"/>
          <order val="2"/>
          <tx>
            <strRef>
              <f>'Overview'!BA27</f>
            </strRef>
          </tx>
          <spPr>
            <a:ln xmlns:a="http://schemas.openxmlformats.org/drawingml/2006/main">
              <a:prstDash val="solid"/>
            </a:ln>
          </spPr>
          <cat>
            <numRef>
              <f>'Overview'!$BB$24:$BK$24</f>
            </numRef>
          </cat>
          <val>
            <numRef>
              <f>'Overview'!$BB$27:$BK$27</f>
            </numRef>
          </val>
        </ser>
        <ser>
          <idx val="3"/>
          <order val="3"/>
          <tx>
            <strRef>
              <f>'Overview'!BA28</f>
            </strRef>
          </tx>
          <spPr>
            <a:ln xmlns:a="http://schemas.openxmlformats.org/drawingml/2006/main">
              <a:prstDash val="solid"/>
            </a:ln>
          </spPr>
          <cat>
            <numRef>
              <f>'Overview'!$BB$24:$BK$24</f>
            </numRef>
          </cat>
          <val>
            <numRef>
              <f>'Overview'!$BB$28:$BK$28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Hampshire Trust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'Overview'!BN6</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'Overview'!$BO$6:$BX$6</f>
            </numRef>
          </val>
          <smooth val="0"/>
        </ser>
        <ser>
          <idx val="1"/>
          <order val="1"/>
          <tx>
            <strRef>
              <f>'Overview'!BN7</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'Overview'!$BO$7:$BX$7</f>
            </numRef>
          </val>
          <smooth val="0"/>
        </ser>
        <ser>
          <idx val="2"/>
          <order val="2"/>
          <tx>
            <strRef>
              <f>'Overview'!BN8</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'Overview'!$BO$8:$BX$8</f>
            </numRef>
          </val>
          <smooth val="0"/>
        </ser>
        <ser>
          <idx val="3"/>
          <order val="3"/>
          <tx>
            <strRef>
              <f>'Overview'!BN9</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'Overview'!$BO$9:$BX$9</f>
            </numRef>
          </val>
          <smooth val="0"/>
        </ser>
        <ser>
          <idx val="4"/>
          <order val="4"/>
          <tx>
            <strRef>
              <f>'Overview'!BN10</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'Overview'!$BO$10:$BX$10</f>
            </numRef>
          </val>
          <smooth val="0"/>
        </ser>
        <ser>
          <idx val="5"/>
          <order val="5"/>
          <tx>
            <strRef>
              <f>'Overview'!BN11</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'Overview'!$BO$11:$BX$11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X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s>
  <sheetData>
    <row r="1">
      <c r="A1" s="1" t="inlineStr">
        <is>
          <t>Hampshire Trust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O5" t="inlineStr">
        <is>
          <t>FY2016</t>
        </is>
      </c>
      <c r="P5" t="inlineStr">
        <is>
          <t>FY2017</t>
        </is>
      </c>
      <c r="Q5" t="inlineStr">
        <is>
          <t>FY2018</t>
        </is>
      </c>
      <c r="R5" t="inlineStr">
        <is>
          <t>FY2019</t>
        </is>
      </c>
      <c r="S5" t="inlineStr">
        <is>
          <t>FY2020</t>
        </is>
      </c>
      <c r="T5" t="inlineStr">
        <is>
          <t>FY2021</t>
        </is>
      </c>
      <c r="U5" t="inlineStr">
        <is>
          <t>FY2022</t>
        </is>
      </c>
      <c r="V5" t="inlineStr">
        <is>
          <t>FY2023</t>
        </is>
      </c>
      <c r="W5" t="inlineStr">
        <is>
          <t>FY2024</t>
        </is>
      </c>
      <c r="X5" t="inlineStr">
        <is>
          <t>FY2025</t>
        </is>
      </c>
      <c r="BO5" t="inlineStr">
        <is>
          <t>FY2016</t>
        </is>
      </c>
      <c r="BP5" t="inlineStr">
        <is>
          <t>FY2017</t>
        </is>
      </c>
      <c r="BQ5" t="inlineStr">
        <is>
          <t>FY2018</t>
        </is>
      </c>
      <c r="BR5" t="inlineStr">
        <is>
          <t>FY2019</t>
        </is>
      </c>
      <c r="BS5" t="inlineStr">
        <is>
          <t>FY2020</t>
        </is>
      </c>
      <c r="BT5" t="inlineStr">
        <is>
          <t>FY2021</t>
        </is>
      </c>
      <c r="BU5" t="inlineStr">
        <is>
          <t>FY2022</t>
        </is>
      </c>
      <c r="BV5" t="inlineStr">
        <is>
          <t>FY2023</t>
        </is>
      </c>
      <c r="BW5" t="inlineStr">
        <is>
          <t>FY2024</t>
        </is>
      </c>
      <c r="BX5" t="inlineStr">
        <is>
          <t>FY2025</t>
        </is>
      </c>
    </row>
    <row r="6">
      <c r="A6" s="5" t="inlineStr">
        <is>
          <t>Total assets</t>
        </is>
      </c>
      <c r="B6" s="5" t="n">
        <v>6126399</v>
      </c>
      <c r="C6" s="5" t="n">
        <v>5387529</v>
      </c>
      <c r="D6" s="5" t="n">
        <v>4063807</v>
      </c>
      <c r="E6" s="5" t="n">
        <v>3200482</v>
      </c>
      <c r="F6" s="5" t="n">
        <v>2190531</v>
      </c>
      <c r="G6" s="5" t="n">
        <v>1522362</v>
      </c>
      <c r="H6" s="5" t="n">
        <v>1283904</v>
      </c>
      <c r="I6" s="5" t="n">
        <v>1024173</v>
      </c>
      <c r="J6" s="5" t="n">
        <v>742260</v>
      </c>
      <c r="K6" s="5" t="n">
        <v>606660</v>
      </c>
      <c r="N6" t="inlineStr">
        <is>
          <t>Total assets</t>
        </is>
      </c>
      <c r="O6" t="n">
        <v>606660</v>
      </c>
      <c r="P6" t="n">
        <v>742260</v>
      </c>
      <c r="Q6" t="n">
        <v>1024173</v>
      </c>
      <c r="R6" t="n">
        <v>1283904</v>
      </c>
      <c r="S6" t="n">
        <v>1522362</v>
      </c>
      <c r="T6" t="n">
        <v>2190531</v>
      </c>
      <c r="U6" t="n">
        <v>3200482</v>
      </c>
      <c r="V6" t="n">
        <v>4063807</v>
      </c>
      <c r="W6" t="n">
        <v>5387529</v>
      </c>
      <c r="X6" t="n">
        <v>6126399</v>
      </c>
      <c r="BN6" t="inlineStr">
        <is>
          <t>CET1 Ratio</t>
        </is>
      </c>
      <c r="BO6" t="n">
        <v>16</v>
      </c>
      <c r="BP6" t="n">
        <v>21</v>
      </c>
      <c r="BQ6" t="n">
        <v>16.3</v>
      </c>
      <c r="BR6" t="n">
        <v>16.5</v>
      </c>
      <c r="BS6" t="n">
        <v>18.7</v>
      </c>
      <c r="BT6" t="n">
        <v>18.9</v>
      </c>
      <c r="BU6" t="n">
        <v>13.8</v>
      </c>
      <c r="BV6" t="n">
        <v>13.3</v>
      </c>
      <c r="BW6" t="n">
        <v>13.6</v>
      </c>
      <c r="BX6" t="n">
        <v>13.5</v>
      </c>
    </row>
    <row r="7">
      <c r="A7" s="5" t="inlineStr">
        <is>
          <t>Loans and advances to customers - at amortised cost</t>
        </is>
      </c>
      <c r="B7" s="5" t="n">
        <v>4540376</v>
      </c>
      <c r="C7" s="5" t="n">
        <v>3391908</v>
      </c>
      <c r="D7" s="5" t="n">
        <v>2967326</v>
      </c>
      <c r="E7" s="5" t="n">
        <v>2243123</v>
      </c>
      <c r="F7" s="5" t="n">
        <v>1704683</v>
      </c>
      <c r="G7" s="5" t="n">
        <v>1277092</v>
      </c>
      <c r="H7" s="5" t="n">
        <v>1053365</v>
      </c>
      <c r="I7" s="5" t="n">
        <v>733192</v>
      </c>
      <c r="J7" s="5" t="n">
        <v>632275</v>
      </c>
      <c r="K7" s="5" t="n">
        <v>463525</v>
      </c>
      <c r="N7" t="inlineStr">
        <is>
          <t>Loans and advances to customers - at amortised cost</t>
        </is>
      </c>
      <c r="O7" t="n">
        <v>463525</v>
      </c>
      <c r="P7" t="n">
        <v>632275</v>
      </c>
      <c r="Q7" t="n">
        <v>733192</v>
      </c>
      <c r="R7" t="n">
        <v>1053365</v>
      </c>
      <c r="S7" t="n">
        <v>1277092</v>
      </c>
      <c r="T7" t="n">
        <v>1704683</v>
      </c>
      <c r="U7" t="n">
        <v>2243123</v>
      </c>
      <c r="V7" t="n">
        <v>2967326</v>
      </c>
      <c r="W7" t="n">
        <v>3391908</v>
      </c>
      <c r="X7" t="n">
        <v>4540376</v>
      </c>
      <c r="BN7" t="inlineStr">
        <is>
          <t>Tier 1 Ratio</t>
        </is>
      </c>
      <c r="BO7" t="n">
        <v>16</v>
      </c>
      <c r="BP7" t="n">
        <v>21</v>
      </c>
      <c r="BQ7" t="n">
        <v>16.3</v>
      </c>
      <c r="BR7" t="n">
        <v>16.5</v>
      </c>
      <c r="BS7" t="n">
        <v>18.7</v>
      </c>
      <c r="BT7" t="n">
        <v>18.9</v>
      </c>
      <c r="BU7" t="n">
        <v>15.1</v>
      </c>
      <c r="BV7" t="n">
        <v>14.2</v>
      </c>
      <c r="BW7" t="n">
        <v>14.4</v>
      </c>
      <c r="BX7" t="n">
        <v>14.1</v>
      </c>
    </row>
    <row r="8">
      <c r="A8" s="5" t="inlineStr">
        <is>
          <t>Customer deposits</t>
        </is>
      </c>
      <c r="B8" s="5" t="n">
        <v>5232516</v>
      </c>
      <c r="C8" s="5" t="n">
        <v>4526003</v>
      </c>
      <c r="D8" s="5" t="n">
        <v>3205681</v>
      </c>
      <c r="E8" s="5" t="n">
        <v>2420694</v>
      </c>
      <c r="F8" s="5" t="n">
        <v>1633046</v>
      </c>
      <c r="G8" s="5" t="n">
        <v>1125560</v>
      </c>
      <c r="H8" s="5" t="n">
        <v>904171</v>
      </c>
      <c r="I8" s="5" t="n">
        <v>720718</v>
      </c>
      <c r="J8" s="5" t="n">
        <v>596296</v>
      </c>
      <c r="K8" s="5" t="n">
        <v>523315</v>
      </c>
      <c r="N8" t="inlineStr">
        <is>
          <t>Customer deposits</t>
        </is>
      </c>
      <c r="O8" t="n">
        <v>523315</v>
      </c>
      <c r="P8" t="n">
        <v>596296</v>
      </c>
      <c r="Q8" t="n">
        <v>720718</v>
      </c>
      <c r="R8" t="n">
        <v>904171</v>
      </c>
      <c r="S8" t="n">
        <v>1125560</v>
      </c>
      <c r="T8" t="n">
        <v>1633046</v>
      </c>
      <c r="U8" t="n">
        <v>2420694</v>
      </c>
      <c r="V8" t="n">
        <v>3205681</v>
      </c>
      <c r="W8" t="n">
        <v>4526003</v>
      </c>
      <c r="X8" t="n">
        <v>5232516</v>
      </c>
      <c r="BN8" t="inlineStr">
        <is>
          <t>Total Capital Ratio</t>
        </is>
      </c>
      <c r="BO8" t="n">
        <v>16</v>
      </c>
      <c r="BP8" t="n">
        <v>21</v>
      </c>
      <c r="BQ8" t="n">
        <v>20.3</v>
      </c>
      <c r="BR8" t="n">
        <v>20.2</v>
      </c>
      <c r="BS8" t="n">
        <v>22.4</v>
      </c>
      <c r="BT8" t="n">
        <v>22.2</v>
      </c>
      <c r="BU8" t="n">
        <v>17.4</v>
      </c>
      <c r="BV8" t="n">
        <v>17</v>
      </c>
      <c r="BW8" t="n">
        <v>16.4</v>
      </c>
      <c r="BX8" t="n">
        <v>16.8</v>
      </c>
    </row>
    <row r="9">
      <c r="A9" s="5" t="inlineStr">
        <is>
          <t>Total equity</t>
        </is>
      </c>
      <c r="B9" s="5" t="n">
        <v>434367</v>
      </c>
      <c r="C9" s="5" t="n">
        <v>374559</v>
      </c>
      <c r="D9" s="5" t="n">
        <v>322801</v>
      </c>
      <c r="E9" s="5" t="n">
        <v>258864</v>
      </c>
      <c r="F9" s="5" t="n">
        <v>188836</v>
      </c>
      <c r="G9" s="5" t="n">
        <v>154058</v>
      </c>
      <c r="H9" s="5" t="n">
        <v>151475</v>
      </c>
      <c r="I9" s="5" t="n">
        <v>125750</v>
      </c>
      <c r="J9" s="5" t="n">
        <v>115640</v>
      </c>
      <c r="K9" s="5" t="n">
        <v>74072</v>
      </c>
      <c r="N9" t="inlineStr">
        <is>
          <t>Total equity</t>
        </is>
      </c>
      <c r="O9" t="n">
        <v>74072</v>
      </c>
      <c r="P9" t="n">
        <v>115640</v>
      </c>
      <c r="Q9" t="n">
        <v>125750</v>
      </c>
      <c r="R9" t="n">
        <v>151475</v>
      </c>
      <c r="S9" t="n">
        <v>154058</v>
      </c>
      <c r="T9" t="n">
        <v>188836</v>
      </c>
      <c r="U9" t="n">
        <v>258864</v>
      </c>
      <c r="V9" t="n">
        <v>322801</v>
      </c>
      <c r="W9" t="n">
        <v>374559</v>
      </c>
      <c r="X9" t="n">
        <v>434367</v>
      </c>
      <c r="BN9" t="inlineStr">
        <is>
          <t>Leverage Ratio</t>
        </is>
      </c>
      <c r="BO9" t="n">
        <v>11</v>
      </c>
      <c r="BP9" t="n">
        <v>15</v>
      </c>
      <c r="BQ9" t="n">
        <v>12</v>
      </c>
      <c r="BR9" t="n">
        <v>11</v>
      </c>
      <c r="BS9" t="n">
        <v>10</v>
      </c>
      <c r="BT9" t="n">
        <v>8</v>
      </c>
      <c r="BU9" t="n">
        <v>9.199999999999999</v>
      </c>
      <c r="BV9" t="n">
        <v>7.5</v>
      </c>
      <c r="BW9" t="n">
        <v>8.1</v>
      </c>
      <c r="BX9" t="n">
        <v>7.5</v>
      </c>
    </row>
    <row r="10">
      <c r="BN10" t="inlineStr">
        <is>
          <t>LCR</t>
        </is>
      </c>
      <c r="BO10" t="n">
        <v>816</v>
      </c>
      <c r="BP10" t="n">
        <v>467</v>
      </c>
      <c r="BQ10" t="n">
        <v>335</v>
      </c>
      <c r="BR10" t="n">
        <v>242</v>
      </c>
      <c r="BS10" t="n">
        <v>393</v>
      </c>
      <c r="BT10" t="n">
        <v>314.8</v>
      </c>
      <c r="BU10" t="n">
        <v>386.9</v>
      </c>
      <c r="BV10" t="n">
        <v>388.6</v>
      </c>
      <c r="BW10" t="n">
        <v>391.1</v>
      </c>
      <c r="BX10" t="n">
        <v>346.9</v>
      </c>
    </row>
    <row r="11">
      <c r="A11" s="3" t="inlineStr">
        <is>
          <t>Profit &amp; Loss Summary (£'000)</t>
        </is>
      </c>
      <c r="BN11" t="inlineStr">
        <is>
          <t>NSFR</t>
        </is>
      </c>
      <c r="BT11" t="n">
        <v>120.5</v>
      </c>
      <c r="BU11" t="n">
        <v>152.5</v>
      </c>
      <c r="BV11" t="n">
        <v>147.7</v>
      </c>
      <c r="BW11" t="n">
        <v>163.3</v>
      </c>
      <c r="BX11" t="n">
        <v>158.9</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AB12" t="inlineStr">
        <is>
          <t>FY2016</t>
        </is>
      </c>
      <c r="AC12" t="inlineStr">
        <is>
          <t>FY2017</t>
        </is>
      </c>
      <c r="AD12" t="inlineStr">
        <is>
          <t>FY2018</t>
        </is>
      </c>
      <c r="AE12" t="inlineStr">
        <is>
          <t>FY2019</t>
        </is>
      </c>
      <c r="AF12" t="inlineStr">
        <is>
          <t>FY2020</t>
        </is>
      </c>
      <c r="AG12" t="inlineStr">
        <is>
          <t>FY2021</t>
        </is>
      </c>
      <c r="AH12" t="inlineStr">
        <is>
          <t>FY2022</t>
        </is>
      </c>
      <c r="AI12" t="inlineStr">
        <is>
          <t>FY2023</t>
        </is>
      </c>
      <c r="AJ12" t="inlineStr">
        <is>
          <t>FY2024</t>
        </is>
      </c>
      <c r="AK12" t="inlineStr">
        <is>
          <t>FY2025</t>
        </is>
      </c>
    </row>
    <row r="13">
      <c r="A13" s="5" t="inlineStr">
        <is>
          <t>Net interest income</t>
        </is>
      </c>
      <c r="B13" s="5" t="n">
        <v>167619</v>
      </c>
      <c r="C13" s="5" t="n">
        <v>145342</v>
      </c>
      <c r="D13" s="5" t="n">
        <v>131062</v>
      </c>
      <c r="E13" s="5" t="n">
        <v>98584</v>
      </c>
      <c r="F13" s="5" t="n">
        <v>69157</v>
      </c>
      <c r="G13" s="5" t="n">
        <v>54372</v>
      </c>
      <c r="H13" s="5" t="n">
        <v>46239</v>
      </c>
      <c r="I13" s="5" t="n">
        <v>36974</v>
      </c>
      <c r="J13" s="5" t="n">
        <v>34113</v>
      </c>
      <c r="K13" s="5" t="n">
        <v>20625</v>
      </c>
      <c r="AA13" t="inlineStr">
        <is>
          <t>Net interest income</t>
        </is>
      </c>
      <c r="AB13" t="n">
        <v>20625</v>
      </c>
      <c r="AC13" t="n">
        <v>34113</v>
      </c>
      <c r="AD13" t="n">
        <v>36974</v>
      </c>
      <c r="AE13" t="n">
        <v>46239</v>
      </c>
      <c r="AF13" t="n">
        <v>54372</v>
      </c>
      <c r="AG13" t="n">
        <v>69157</v>
      </c>
      <c r="AH13" t="n">
        <v>98584</v>
      </c>
      <c r="AI13" t="n">
        <v>131062</v>
      </c>
      <c r="AJ13" t="n">
        <v>145342</v>
      </c>
      <c r="AK13" t="n">
        <v>167619</v>
      </c>
    </row>
    <row r="14">
      <c r="A14" s="5" t="inlineStr">
        <is>
          <t>Administrative expenses</t>
        </is>
      </c>
      <c r="B14" s="5" t="n">
        <v>-83039</v>
      </c>
      <c r="C14" s="5" t="n">
        <v>-75545</v>
      </c>
      <c r="D14" s="5" t="n">
        <v>-69237</v>
      </c>
      <c r="E14" s="5" t="n">
        <v>-56984</v>
      </c>
      <c r="F14" s="5" t="n">
        <v>-46313</v>
      </c>
      <c r="G14" s="5" t="n">
        <v>-32236</v>
      </c>
      <c r="H14" s="5" t="n">
        <v>-28587</v>
      </c>
      <c r="I14" s="5" t="n">
        <v>-24700</v>
      </c>
      <c r="J14" s="5" t="n">
        <v>-20110</v>
      </c>
      <c r="K14" s="5" t="n">
        <v>-15502</v>
      </c>
      <c r="AA14" t="inlineStr">
        <is>
          <t>Administrative expenses</t>
        </is>
      </c>
      <c r="AB14" t="n">
        <v>-15502</v>
      </c>
      <c r="AC14" t="n">
        <v>-20110</v>
      </c>
      <c r="AD14" t="n">
        <v>-24700</v>
      </c>
      <c r="AE14" t="n">
        <v>-28587</v>
      </c>
      <c r="AF14" t="n">
        <v>-32236</v>
      </c>
      <c r="AG14" t="n">
        <v>-46313</v>
      </c>
      <c r="AH14" t="n">
        <v>-56984</v>
      </c>
      <c r="AI14" t="n">
        <v>-69237</v>
      </c>
      <c r="AJ14" t="n">
        <v>-75545</v>
      </c>
      <c r="AK14" t="n">
        <v>-83039</v>
      </c>
    </row>
    <row r="15">
      <c r="A15" s="5" t="inlineStr">
        <is>
          <t>Profit after tax for the year</t>
        </is>
      </c>
      <c r="B15" s="5" t="n">
        <v>60116</v>
      </c>
      <c r="C15" s="5" t="n">
        <v>53054</v>
      </c>
      <c r="D15" s="5" t="n">
        <v>67273</v>
      </c>
      <c r="E15" s="5" t="n">
        <v>54033</v>
      </c>
      <c r="F15" s="5" t="n">
        <v>20562</v>
      </c>
      <c r="G15" s="5" t="n">
        <v>2554</v>
      </c>
      <c r="H15" s="5" t="n">
        <v>10799</v>
      </c>
      <c r="I15" s="5" t="n">
        <v>9030</v>
      </c>
      <c r="J15" s="5" t="n">
        <v>8019</v>
      </c>
      <c r="K15" s="5" t="n">
        <v>2155</v>
      </c>
      <c r="AA15" t="inlineStr">
        <is>
          <t>Profit after tax for the year</t>
        </is>
      </c>
      <c r="AB15" t="n">
        <v>2155</v>
      </c>
      <c r="AC15" t="n">
        <v>8019</v>
      </c>
      <c r="AD15" t="n">
        <v>9030</v>
      </c>
      <c r="AE15" t="n">
        <v>10799</v>
      </c>
      <c r="AF15" t="n">
        <v>2554</v>
      </c>
      <c r="AG15" t="n">
        <v>20562</v>
      </c>
      <c r="AH15" t="n">
        <v>54033</v>
      </c>
      <c r="AI15" t="n">
        <v>67273</v>
      </c>
      <c r="AJ15" t="n">
        <v>53054</v>
      </c>
      <c r="AK15" t="n">
        <v>60116</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AO18" t="inlineStr">
        <is>
          <t>FY2016</t>
        </is>
      </c>
      <c r="AP18" t="inlineStr">
        <is>
          <t>FY2017</t>
        </is>
      </c>
      <c r="AQ18" t="inlineStr">
        <is>
          <t>FY2018</t>
        </is>
      </c>
      <c r="AR18" t="inlineStr">
        <is>
          <t>FY2019</t>
        </is>
      </c>
      <c r="AS18" t="inlineStr">
        <is>
          <t>FY2020</t>
        </is>
      </c>
      <c r="AT18" t="inlineStr">
        <is>
          <t>FY2021</t>
        </is>
      </c>
      <c r="AU18" t="inlineStr">
        <is>
          <t>FY2022</t>
        </is>
      </c>
      <c r="AV18" t="inlineStr">
        <is>
          <t>FY2023</t>
        </is>
      </c>
      <c r="AW18" t="inlineStr">
        <is>
          <t>FY2024</t>
        </is>
      </c>
      <c r="AX18" t="inlineStr">
        <is>
          <t>FY2025</t>
        </is>
      </c>
    </row>
    <row r="19">
      <c r="A19" s="5" t="inlineStr">
        <is>
          <t>Opening equity</t>
        </is>
      </c>
      <c r="B19" s="5" t="n">
        <v>374559</v>
      </c>
      <c r="C19" s="5" t="n">
        <v>322801</v>
      </c>
      <c r="D19" s="5" t="n">
        <v>258864</v>
      </c>
      <c r="E19" s="5" t="n">
        <v>188836</v>
      </c>
      <c r="F19" s="5" t="n">
        <v>154058</v>
      </c>
      <c r="G19" s="5" t="n">
        <v>151475</v>
      </c>
      <c r="H19" s="5" t="n">
        <v>125750</v>
      </c>
      <c r="I19" s="5" t="n">
        <v>115640</v>
      </c>
      <c r="J19" s="5" t="n">
        <v>74072</v>
      </c>
      <c r="K19" s="5" t="n">
        <v>51576</v>
      </c>
      <c r="AN19" t="inlineStr">
        <is>
          <t>Opening equity</t>
        </is>
      </c>
      <c r="AO19" t="n">
        <v>51576</v>
      </c>
      <c r="AP19" t="n">
        <v>74072</v>
      </c>
      <c r="AQ19" t="n">
        <v>115640</v>
      </c>
      <c r="AR19" t="n">
        <v>125750</v>
      </c>
      <c r="AS19" t="n">
        <v>151475</v>
      </c>
      <c r="AT19" t="n">
        <v>154058</v>
      </c>
      <c r="AU19" t="n">
        <v>188836</v>
      </c>
      <c r="AV19" t="n">
        <v>258864</v>
      </c>
      <c r="AW19" t="n">
        <v>322801</v>
      </c>
      <c r="AX19" t="n">
        <v>374559</v>
      </c>
    </row>
    <row r="20">
      <c r="A20" s="5" t="inlineStr">
        <is>
          <t>Total comprehensive income for the year</t>
        </is>
      </c>
      <c r="B20" s="5" t="n">
        <v>60608</v>
      </c>
      <c r="C20" s="5" t="n">
        <v>53479</v>
      </c>
      <c r="D20" s="5" t="n">
        <v>64045</v>
      </c>
      <c r="E20" s="5" t="n">
        <v>54162</v>
      </c>
      <c r="F20" s="5" t="n">
        <v>20562</v>
      </c>
      <c r="G20" s="5" t="n">
        <v>2554</v>
      </c>
      <c r="H20" s="5" t="n">
        <v>10849</v>
      </c>
      <c r="I20" s="5" t="n">
        <v>8980</v>
      </c>
      <c r="J20" s="5" t="n">
        <v>8019</v>
      </c>
      <c r="K20" s="5" t="n">
        <v>2155</v>
      </c>
      <c r="AN20" t="inlineStr">
        <is>
          <t>Total comprehensive income for the year</t>
        </is>
      </c>
      <c r="AO20" t="n">
        <v>2155</v>
      </c>
      <c r="AP20" t="n">
        <v>8019</v>
      </c>
      <c r="AQ20" t="n">
        <v>8980</v>
      </c>
      <c r="AR20" t="n">
        <v>10849</v>
      </c>
      <c r="AS20" t="n">
        <v>2554</v>
      </c>
      <c r="AT20" t="n">
        <v>20562</v>
      </c>
      <c r="AU20" t="n">
        <v>54162</v>
      </c>
      <c r="AV20" t="n">
        <v>64045</v>
      </c>
      <c r="AW20" t="n">
        <v>53479</v>
      </c>
      <c r="AX20" t="n">
        <v>60608</v>
      </c>
    </row>
    <row r="21">
      <c r="A21" s="5" t="inlineStr">
        <is>
          <t>Closing equity</t>
        </is>
      </c>
      <c r="B21" s="5" t="n">
        <v>434367</v>
      </c>
      <c r="C21" s="5" t="n">
        <v>374559</v>
      </c>
      <c r="D21" s="5" t="n">
        <v>322801</v>
      </c>
      <c r="E21" s="5" t="n">
        <v>258864</v>
      </c>
      <c r="F21" s="5" t="n">
        <v>188836</v>
      </c>
      <c r="G21" s="5" t="n">
        <v>154058</v>
      </c>
      <c r="H21" s="5" t="n">
        <v>151475</v>
      </c>
      <c r="I21" s="5" t="n">
        <v>125750</v>
      </c>
      <c r="J21" s="5" t="n">
        <v>115640</v>
      </c>
      <c r="K21" s="5" t="n">
        <v>74072</v>
      </c>
      <c r="AN21" t="inlineStr">
        <is>
          <t>Closing equity</t>
        </is>
      </c>
      <c r="AO21" t="n">
        <v>74072</v>
      </c>
      <c r="AP21" t="n">
        <v>115640</v>
      </c>
      <c r="AQ21" t="n">
        <v>125750</v>
      </c>
      <c r="AR21" t="n">
        <v>151475</v>
      </c>
      <c r="AS21" t="n">
        <v>154058</v>
      </c>
      <c r="AT21" t="n">
        <v>188836</v>
      </c>
      <c r="AU21" t="n">
        <v>258864</v>
      </c>
      <c r="AV21" t="n">
        <v>322801</v>
      </c>
      <c r="AW21" t="n">
        <v>374559</v>
      </c>
      <c r="AX21" t="n">
        <v>434367</v>
      </c>
    </row>
    <row r="23">
      <c r="A23" s="3" t="inlineStr">
        <is>
          <t>Cash Flow Summary (£'000)</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H24" s="4" t="inlineStr">
        <is>
          <t>FY2019</t>
        </is>
      </c>
      <c r="I24" s="4" t="inlineStr">
        <is>
          <t>FY2018</t>
        </is>
      </c>
      <c r="J24" s="4" t="inlineStr">
        <is>
          <t>FY2017</t>
        </is>
      </c>
      <c r="K24" s="4" t="inlineStr">
        <is>
          <t>FY2016</t>
        </is>
      </c>
      <c r="BB24" t="inlineStr">
        <is>
          <t>FY2016</t>
        </is>
      </c>
      <c r="BC24" t="inlineStr">
        <is>
          <t>FY2017</t>
        </is>
      </c>
      <c r="BD24" t="inlineStr">
        <is>
          <t>FY2018</t>
        </is>
      </c>
      <c r="BE24" t="inlineStr">
        <is>
          <t>FY2019</t>
        </is>
      </c>
      <c r="BF24" t="inlineStr">
        <is>
          <t>FY2020</t>
        </is>
      </c>
      <c r="BG24" t="inlineStr">
        <is>
          <t>FY2021</t>
        </is>
      </c>
      <c r="BH24" t="inlineStr">
        <is>
          <t>FY2022</t>
        </is>
      </c>
      <c r="BI24" t="inlineStr">
        <is>
          <t>FY2023</t>
        </is>
      </c>
      <c r="BJ24" t="inlineStr">
        <is>
          <t>FY2024</t>
        </is>
      </c>
      <c r="BK24" t="inlineStr">
        <is>
          <t>FY2025</t>
        </is>
      </c>
    </row>
    <row r="25">
      <c r="A25" s="5" t="inlineStr">
        <is>
          <t>Net cash from/(used in) operating activities</t>
        </is>
      </c>
      <c r="B25" s="5" t="n">
        <v>-328407</v>
      </c>
      <c r="C25" s="5" t="n">
        <v>619425</v>
      </c>
      <c r="D25" s="5" t="n">
        <v>-46888</v>
      </c>
      <c r="E25" s="5" t="n">
        <v>259350</v>
      </c>
      <c r="F25" s="5" t="n">
        <v>267024</v>
      </c>
      <c r="G25" s="5" t="n">
        <v>96228</v>
      </c>
      <c r="H25" s="5" t="n">
        <v>-20407</v>
      </c>
      <c r="I25" s="5" t="n">
        <v>-30782</v>
      </c>
      <c r="J25" s="5" t="n">
        <v>-67300</v>
      </c>
      <c r="K25" s="5" t="n">
        <v>57542</v>
      </c>
      <c r="BA25" t="inlineStr">
        <is>
          <t>Net cash from/(used in) operating activities</t>
        </is>
      </c>
      <c r="BB25" t="n">
        <v>57542</v>
      </c>
      <c r="BC25" t="n">
        <v>-67300</v>
      </c>
      <c r="BD25" t="n">
        <v>-30782</v>
      </c>
      <c r="BE25" t="n">
        <v>-20407</v>
      </c>
      <c r="BF25" t="n">
        <v>96228</v>
      </c>
      <c r="BG25" t="n">
        <v>267024</v>
      </c>
      <c r="BH25" t="n">
        <v>259350</v>
      </c>
      <c r="BI25" t="n">
        <v>-46888</v>
      </c>
      <c r="BJ25" t="n">
        <v>619425</v>
      </c>
      <c r="BK25" t="n">
        <v>-328407</v>
      </c>
    </row>
    <row r="26">
      <c r="A26" s="5" t="inlineStr">
        <is>
          <t>Net cash from/(used in) investing activities</t>
        </is>
      </c>
      <c r="B26" s="5" t="n">
        <v>-450560</v>
      </c>
      <c r="C26" s="5" t="n">
        <v>30745</v>
      </c>
      <c r="D26" s="5" t="n">
        <v>38042</v>
      </c>
      <c r="E26" s="5" t="n">
        <v>-39977</v>
      </c>
      <c r="F26" s="5" t="n">
        <v>-181730</v>
      </c>
      <c r="G26" s="5" t="n">
        <v>-23034</v>
      </c>
      <c r="H26" s="5" t="n">
        <v>-3680</v>
      </c>
      <c r="I26" s="5" t="n">
        <v>-2666</v>
      </c>
      <c r="J26" s="5" t="n">
        <v>-3148</v>
      </c>
      <c r="K26" s="5" t="n">
        <v>-1911</v>
      </c>
      <c r="BA26" t="inlineStr">
        <is>
          <t>Net cash from/(used in) investing activities</t>
        </is>
      </c>
      <c r="BB26" t="n">
        <v>-1911</v>
      </c>
      <c r="BC26" t="n">
        <v>-3148</v>
      </c>
      <c r="BD26" t="n">
        <v>-2666</v>
      </c>
      <c r="BE26" t="n">
        <v>-3680</v>
      </c>
      <c r="BF26" t="n">
        <v>-23034</v>
      </c>
      <c r="BG26" t="n">
        <v>-181730</v>
      </c>
      <c r="BH26" t="n">
        <v>-39977</v>
      </c>
      <c r="BI26" t="n">
        <v>38042</v>
      </c>
      <c r="BJ26" t="n">
        <v>30745</v>
      </c>
      <c r="BK26" t="n">
        <v>-450560</v>
      </c>
    </row>
    <row r="27">
      <c r="A27" s="5" t="inlineStr">
        <is>
          <t>Net cash from/(used in) financing activities</t>
        </is>
      </c>
      <c r="B27" s="5" t="n">
        <v>22745</v>
      </c>
      <c r="C27" s="5" t="n">
        <v>308331</v>
      </c>
      <c r="D27" s="5" t="n">
        <v>26678</v>
      </c>
      <c r="E27" s="5" t="n">
        <v>-2722</v>
      </c>
      <c r="F27" s="5" t="n">
        <v>12357</v>
      </c>
      <c r="G27" s="5" t="n">
        <v>-1131</v>
      </c>
      <c r="H27" s="5" t="n">
        <v>13922</v>
      </c>
      <c r="I27" s="5" t="n">
        <v>30000</v>
      </c>
      <c r="J27" s="5" t="n">
        <v>33000</v>
      </c>
      <c r="K27" s="5" t="n">
        <v>20000</v>
      </c>
      <c r="BA27" t="inlineStr">
        <is>
          <t>Net cash from/(used in) financing activities</t>
        </is>
      </c>
      <c r="BB27" t="n">
        <v>20000</v>
      </c>
      <c r="BC27" t="n">
        <v>33000</v>
      </c>
      <c r="BD27" t="n">
        <v>30000</v>
      </c>
      <c r="BE27" t="n">
        <v>13922</v>
      </c>
      <c r="BF27" t="n">
        <v>-1131</v>
      </c>
      <c r="BG27" t="n">
        <v>12357</v>
      </c>
      <c r="BH27" t="n">
        <v>-2722</v>
      </c>
      <c r="BI27" t="n">
        <v>26678</v>
      </c>
      <c r="BJ27" t="n">
        <v>308331</v>
      </c>
      <c r="BK27" t="n">
        <v>22745</v>
      </c>
    </row>
    <row r="28">
      <c r="A28" s="5" t="inlineStr">
        <is>
          <t>Cash and cash equivalents at end of year</t>
        </is>
      </c>
      <c r="B28" s="5" t="n">
        <v>679085</v>
      </c>
      <c r="C28" s="5" t="n">
        <v>1435307</v>
      </c>
      <c r="D28" s="5" t="n">
        <v>476806</v>
      </c>
      <c r="E28" s="5" t="n">
        <v>458974</v>
      </c>
      <c r="F28" s="5" t="n">
        <v>242323</v>
      </c>
      <c r="G28" s="5" t="n">
        <v>156707</v>
      </c>
      <c r="H28" s="5" t="n">
        <v>84644</v>
      </c>
      <c r="I28" s="5" t="n">
        <v>94809</v>
      </c>
      <c r="J28" s="5" t="n">
        <v>98257</v>
      </c>
      <c r="K28" s="5" t="n">
        <v>135705</v>
      </c>
      <c r="BA28" t="inlineStr">
        <is>
          <t>Cash and cash equivalents at end of year</t>
        </is>
      </c>
      <c r="BB28" t="n">
        <v>135705</v>
      </c>
      <c r="BC28" t="n">
        <v>98257</v>
      </c>
      <c r="BD28" t="n">
        <v>94809</v>
      </c>
      <c r="BE28" t="n">
        <v>84644</v>
      </c>
      <c r="BF28" t="n">
        <v>156707</v>
      </c>
      <c r="BG28" t="n">
        <v>242323</v>
      </c>
      <c r="BH28" t="n">
        <v>458974</v>
      </c>
      <c r="BI28" t="n">
        <v>476806</v>
      </c>
      <c r="BJ28" t="n">
        <v>1435307</v>
      </c>
      <c r="BK28" t="n">
        <v>679085</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c r="H31" s="4" t="inlineStr">
        <is>
          <t>FY2019</t>
        </is>
      </c>
      <c r="I31" s="4" t="inlineStr">
        <is>
          <t>FY2018</t>
        </is>
      </c>
      <c r="J31" s="4" t="inlineStr">
        <is>
          <t>FY2017</t>
        </is>
      </c>
      <c r="K31" s="4" t="inlineStr">
        <is>
          <t>FY2016</t>
        </is>
      </c>
    </row>
    <row r="32">
      <c r="A32" s="6" t="inlineStr">
        <is>
          <t>CET1 Ratio</t>
        </is>
      </c>
      <c r="B32" s="6" t="inlineStr">
        <is>
          <t>13.5%</t>
        </is>
      </c>
      <c r="C32" s="6" t="inlineStr">
        <is>
          <t>13.6%</t>
        </is>
      </c>
      <c r="D32" s="6" t="inlineStr">
        <is>
          <t>13.3%</t>
        </is>
      </c>
      <c r="E32" s="6" t="inlineStr">
        <is>
          <t>13.8%</t>
        </is>
      </c>
      <c r="F32" s="6" t="inlineStr">
        <is>
          <t>18.9%</t>
        </is>
      </c>
      <c r="G32" s="6" t="inlineStr">
        <is>
          <t>18.7%</t>
        </is>
      </c>
      <c r="H32" s="6" t="inlineStr">
        <is>
          <t>16.5%</t>
        </is>
      </c>
      <c r="I32" s="6" t="inlineStr">
        <is>
          <t>16.3%</t>
        </is>
      </c>
      <c r="J32" s="6" t="inlineStr">
        <is>
          <t>21%</t>
        </is>
      </c>
      <c r="K32" s="6" t="inlineStr">
        <is>
          <t>16%</t>
        </is>
      </c>
    </row>
    <row r="33">
      <c r="A33" s="6" t="inlineStr">
        <is>
          <t>Tier 1 Ratio</t>
        </is>
      </c>
      <c r="B33" s="6" t="inlineStr">
        <is>
          <t>14.1%</t>
        </is>
      </c>
      <c r="C33" s="6" t="inlineStr">
        <is>
          <t>14.4%</t>
        </is>
      </c>
      <c r="D33" s="6" t="inlineStr">
        <is>
          <t>14.2%</t>
        </is>
      </c>
      <c r="E33" s="6" t="inlineStr">
        <is>
          <t>15.1%</t>
        </is>
      </c>
      <c r="F33" s="6" t="inlineStr">
        <is>
          <t>18.9%</t>
        </is>
      </c>
      <c r="G33" s="6" t="inlineStr">
        <is>
          <t>18.7%</t>
        </is>
      </c>
      <c r="H33" s="6" t="inlineStr">
        <is>
          <t>16.5%</t>
        </is>
      </c>
      <c r="I33" s="6" t="inlineStr">
        <is>
          <t>16.3%</t>
        </is>
      </c>
      <c r="J33" s="6" t="inlineStr">
        <is>
          <t>21%</t>
        </is>
      </c>
      <c r="K33" s="6" t="inlineStr">
        <is>
          <t>16%</t>
        </is>
      </c>
    </row>
    <row r="34">
      <c r="A34" s="6" t="inlineStr">
        <is>
          <t>Total Capital Ratio</t>
        </is>
      </c>
      <c r="B34" s="6" t="inlineStr">
        <is>
          <t>16.8%</t>
        </is>
      </c>
      <c r="C34" s="6" t="inlineStr">
        <is>
          <t>16.4%</t>
        </is>
      </c>
      <c r="D34" s="6" t="inlineStr">
        <is>
          <t>17.0%</t>
        </is>
      </c>
      <c r="E34" s="6" t="inlineStr">
        <is>
          <t>17.4%</t>
        </is>
      </c>
      <c r="F34" s="6" t="inlineStr">
        <is>
          <t>22.2%</t>
        </is>
      </c>
      <c r="G34" s="6" t="inlineStr">
        <is>
          <t>22.4%</t>
        </is>
      </c>
      <c r="H34" s="6" t="inlineStr">
        <is>
          <t>20.2%</t>
        </is>
      </c>
      <c r="I34" s="6" t="inlineStr">
        <is>
          <t>20.3%</t>
        </is>
      </c>
      <c r="J34" s="6" t="inlineStr">
        <is>
          <t>21%</t>
        </is>
      </c>
      <c r="K34" s="6" t="inlineStr">
        <is>
          <t>16%</t>
        </is>
      </c>
    </row>
    <row r="35">
      <c r="A35" s="6" t="inlineStr">
        <is>
          <t>Leverage Ratio</t>
        </is>
      </c>
      <c r="B35" s="6" t="inlineStr">
        <is>
          <t>7.5%</t>
        </is>
      </c>
      <c r="C35" s="6" t="inlineStr">
        <is>
          <t>8.1%</t>
        </is>
      </c>
      <c r="D35" s="6" t="inlineStr">
        <is>
          <t>7.5%</t>
        </is>
      </c>
      <c r="E35" s="6" t="inlineStr">
        <is>
          <t>9.2%</t>
        </is>
      </c>
      <c r="F35" s="6" t="inlineStr">
        <is>
          <t>8.0%</t>
        </is>
      </c>
      <c r="G35" s="6" t="inlineStr">
        <is>
          <t>10%</t>
        </is>
      </c>
      <c r="H35" s="6" t="inlineStr">
        <is>
          <t>11%</t>
        </is>
      </c>
      <c r="I35" s="6" t="inlineStr">
        <is>
          <t>12%</t>
        </is>
      </c>
      <c r="J35" s="6" t="inlineStr">
        <is>
          <t>15%</t>
        </is>
      </c>
      <c r="K35" s="6" t="inlineStr">
        <is>
          <t>11%</t>
        </is>
      </c>
    </row>
    <row r="36">
      <c r="A36" s="6" t="inlineStr">
        <is>
          <t>LCR</t>
        </is>
      </c>
      <c r="B36" s="6" t="inlineStr">
        <is>
          <t>346.9%</t>
        </is>
      </c>
      <c r="C36" s="6" t="inlineStr">
        <is>
          <t>391.1%</t>
        </is>
      </c>
      <c r="D36" s="6" t="inlineStr">
        <is>
          <t>388.6%</t>
        </is>
      </c>
      <c r="E36" s="6" t="inlineStr">
        <is>
          <t>386.9%</t>
        </is>
      </c>
      <c r="F36" s="6" t="inlineStr">
        <is>
          <t>314.8%</t>
        </is>
      </c>
      <c r="G36" s="6" t="inlineStr">
        <is>
          <t>393%</t>
        </is>
      </c>
      <c r="H36" s="6" t="inlineStr">
        <is>
          <t>242%</t>
        </is>
      </c>
      <c r="I36" s="6" t="inlineStr">
        <is>
          <t>335%</t>
        </is>
      </c>
      <c r="J36" s="6" t="inlineStr">
        <is>
          <t>467%</t>
        </is>
      </c>
      <c r="K36" s="6" t="inlineStr">
        <is>
          <t>816%</t>
        </is>
      </c>
    </row>
    <row r="37">
      <c r="A37" s="6" t="inlineStr">
        <is>
          <t>NSFR</t>
        </is>
      </c>
      <c r="B37" s="6" t="inlineStr">
        <is>
          <t>158.9%</t>
        </is>
      </c>
      <c r="C37" s="6" t="inlineStr">
        <is>
          <t>163.3%</t>
        </is>
      </c>
      <c r="D37" s="6" t="inlineStr">
        <is>
          <t>147.7%</t>
        </is>
      </c>
      <c r="E37" s="6" t="inlineStr">
        <is>
          <t>152.5%</t>
        </is>
      </c>
      <c r="F37" s="6" t="inlineStr">
        <is>
          <t>120.5%</t>
        </is>
      </c>
      <c r="G37" s="6" t="n"/>
      <c r="H37" s="6" t="n"/>
      <c r="I37" s="6" t="n"/>
      <c r="J37" s="6" t="n"/>
      <c r="K37" s="6" t="n"/>
    </row>
    <row r="39" ht="30" customHeight="1">
      <c r="A39" s="7" t="inlineStr">
        <is>
          <t>Note: Figures are duplicated from the detail sheets for at-a-glance trend viewing; see each sheet's own source citation for the underlying document/page. All Cash Flow figures are the Bank (entity-level) column; LCR/NSFR are Group-level from FY2022 onward (see the LCR/NSFR sheets' notes). FY2016-FY2020 Cash flow figures use each year's own originally-published statement; note the genuine FY2020/FY2021 cash-flow restatement discontinuity documented on the Cash Flow Statement sheet's own source note.</t>
        </is>
      </c>
    </row>
  </sheetData>
  <mergeCells count="1">
    <mergeCell ref="A39:K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Bank Statement of Financial Position</t>
        </is>
      </c>
    </row>
    <row r="2">
      <c r="A2" s="2" t="inlineStr">
        <is>
          <t>Bank (parent-entity) column; FY2021 and earlier predate Group consolidation -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Assets</t>
        </is>
      </c>
      <c r="B4" s="6" t="n"/>
      <c r="C4" s="6" t="n"/>
      <c r="D4" s="6" t="n"/>
      <c r="E4" s="6" t="n"/>
      <c r="F4" s="6" t="n"/>
      <c r="G4" s="6" t="n"/>
      <c r="H4" s="6" t="n"/>
      <c r="I4" s="6" t="n"/>
      <c r="J4" s="6" t="n"/>
      <c r="K4" s="6" t="n"/>
    </row>
    <row r="5">
      <c r="A5" s="6" t="inlineStr">
        <is>
          <t>Loans and advances to banks</t>
        </is>
      </c>
      <c r="B5" s="6" t="n">
        <v>679085</v>
      </c>
      <c r="C5" s="6" t="n">
        <v>1435307</v>
      </c>
      <c r="D5" s="6" t="n">
        <v>476806</v>
      </c>
      <c r="E5" s="6" t="n">
        <v>458974</v>
      </c>
      <c r="F5" s="6" t="n">
        <v>242323</v>
      </c>
      <c r="G5" s="6" t="n">
        <v>156707</v>
      </c>
      <c r="H5" s="6" t="n">
        <v>84644</v>
      </c>
      <c r="I5" s="6" t="n">
        <v>98182</v>
      </c>
      <c r="J5" s="6" t="n">
        <v>101619</v>
      </c>
      <c r="K5" s="6" t="n">
        <v>136317</v>
      </c>
    </row>
    <row r="6">
      <c r="A6" s="6" t="inlineStr">
        <is>
          <t>Derivative assets held for risk management</t>
        </is>
      </c>
      <c r="B6" s="6" t="n">
        <v>13326</v>
      </c>
      <c r="C6" s="6" t="n">
        <v>51588</v>
      </c>
      <c r="D6" s="6" t="n">
        <v>75076</v>
      </c>
      <c r="E6" s="6" t="n">
        <v>113319</v>
      </c>
      <c r="F6" s="6" t="n">
        <v>19458</v>
      </c>
      <c r="G6" s="6" t="n">
        <v>1763</v>
      </c>
      <c r="H6" s="6" t="n">
        <v>1457</v>
      </c>
      <c r="I6" s="6" t="n">
        <v>1708</v>
      </c>
      <c r="J6" s="6" t="n">
        <v>903</v>
      </c>
      <c r="K6" s="6" t="n">
        <v>622</v>
      </c>
    </row>
    <row r="7">
      <c r="A7" s="6" t="inlineStr">
        <is>
          <t>Investment securities, held at amortised cost</t>
        </is>
      </c>
      <c r="B7" s="6" t="n">
        <v>693673</v>
      </c>
      <c r="C7" s="6" t="n">
        <v>219980</v>
      </c>
      <c r="D7" s="6" t="n">
        <v>234509</v>
      </c>
      <c r="E7" s="6" t="n">
        <v>217722</v>
      </c>
      <c r="F7" s="6" t="n">
        <v>196712</v>
      </c>
      <c r="G7" s="6" t="n">
        <v>20072</v>
      </c>
      <c r="H7" s="6" t="n"/>
      <c r="I7" s="6" t="n">
        <v>15098</v>
      </c>
      <c r="J7" s="6" t="n"/>
      <c r="K7" s="6" t="n"/>
    </row>
    <row r="8">
      <c r="A8" s="6" t="inlineStr">
        <is>
          <t>Loans and advances to customers - FVTPL</t>
        </is>
      </c>
      <c r="B8" s="6" t="n">
        <v>0</v>
      </c>
      <c r="C8" s="6" t="n">
        <v>260</v>
      </c>
      <c r="D8" s="6" t="n">
        <v>3305</v>
      </c>
      <c r="E8" s="6" t="n">
        <v>4294</v>
      </c>
      <c r="F8" s="6" t="n">
        <v>10025</v>
      </c>
      <c r="G8" s="6" t="n">
        <v>50434</v>
      </c>
      <c r="H8" s="6" t="n">
        <v>126530</v>
      </c>
      <c r="I8" s="6" t="n">
        <v>166804</v>
      </c>
      <c r="J8" s="6" t="n"/>
      <c r="K8" s="6" t="n"/>
    </row>
    <row r="9">
      <c r="A9" s="6" t="inlineStr">
        <is>
          <t>Loans and advances to customers - at amortised cost</t>
        </is>
      </c>
      <c r="B9" s="6" t="n">
        <v>4540376</v>
      </c>
      <c r="C9" s="6" t="n">
        <v>3391908</v>
      </c>
      <c r="D9" s="6" t="n">
        <v>2967326</v>
      </c>
      <c r="E9" s="6" t="n">
        <v>2243123</v>
      </c>
      <c r="F9" s="6" t="n">
        <v>1704683</v>
      </c>
      <c r="G9" s="6" t="n">
        <v>1277092</v>
      </c>
      <c r="H9" s="6" t="n">
        <v>1053365</v>
      </c>
      <c r="I9" s="6" t="n">
        <v>733192</v>
      </c>
      <c r="J9" s="6" t="n">
        <v>632275</v>
      </c>
      <c r="K9" s="6" t="n">
        <v>463525</v>
      </c>
    </row>
    <row r="10">
      <c r="A10" s="6" t="inlineStr">
        <is>
          <t>Investment in subsidiaries</t>
        </is>
      </c>
      <c r="B10" s="6" t="n">
        <v>11703</v>
      </c>
      <c r="C10" s="6" t="n">
        <v>38203</v>
      </c>
      <c r="D10" s="6" t="n">
        <v>49422</v>
      </c>
      <c r="E10" s="6" t="n">
        <v>49422</v>
      </c>
      <c r="F10" s="6" t="n"/>
      <c r="G10" s="6" t="n"/>
      <c r="H10" s="6" t="n"/>
      <c r="I10" s="6" t="n"/>
      <c r="J10" s="6" t="n"/>
      <c r="K10" s="6" t="n"/>
    </row>
    <row r="11">
      <c r="A11" s="6" t="inlineStr">
        <is>
          <t>Property, plant and equipment</t>
        </is>
      </c>
      <c r="B11" s="6" t="n">
        <v>2969</v>
      </c>
      <c r="C11" s="6" t="n">
        <v>3961</v>
      </c>
      <c r="D11" s="6" t="n">
        <v>4969</v>
      </c>
      <c r="E11" s="6" t="n">
        <v>1443</v>
      </c>
      <c r="F11" s="6" t="n">
        <v>1471</v>
      </c>
      <c r="G11" s="6" t="n">
        <v>1805</v>
      </c>
      <c r="H11" s="6" t="n">
        <v>2077</v>
      </c>
      <c r="I11" s="6" t="n">
        <v>2309</v>
      </c>
      <c r="J11" s="6" t="n">
        <v>2013</v>
      </c>
      <c r="K11" s="6" t="n">
        <v>1107</v>
      </c>
    </row>
    <row r="12">
      <c r="A12" s="6" t="inlineStr">
        <is>
          <t>Right-of-use assets</t>
        </is>
      </c>
      <c r="B12" s="6" t="n">
        <v>1940</v>
      </c>
      <c r="C12" s="6" t="n">
        <v>2711</v>
      </c>
      <c r="D12" s="6" t="n">
        <v>3602</v>
      </c>
      <c r="E12" s="6" t="n">
        <v>685</v>
      </c>
      <c r="F12" s="6" t="n">
        <v>1608</v>
      </c>
      <c r="G12" s="6" t="n">
        <v>2535</v>
      </c>
      <c r="H12" s="6" t="n">
        <v>3463</v>
      </c>
      <c r="I12" s="6" t="n"/>
      <c r="J12" s="6" t="n"/>
      <c r="K12" s="6" t="n"/>
    </row>
    <row r="13">
      <c r="A13" s="6" t="inlineStr">
        <is>
          <t>Intangible assets</t>
        </is>
      </c>
      <c r="B13" s="6" t="n">
        <v>13949</v>
      </c>
      <c r="C13" s="6" t="n">
        <v>14712</v>
      </c>
      <c r="D13" s="6" t="n">
        <v>11732</v>
      </c>
      <c r="E13" s="6" t="n">
        <v>9464</v>
      </c>
      <c r="F13" s="6" t="n">
        <v>7606</v>
      </c>
      <c r="G13" s="6" t="n">
        <v>6701</v>
      </c>
      <c r="H13" s="6" t="n">
        <v>5976</v>
      </c>
      <c r="I13" s="6" t="n">
        <v>4058</v>
      </c>
      <c r="J13" s="6" t="n">
        <v>3097</v>
      </c>
      <c r="K13" s="6" t="n">
        <v>1845</v>
      </c>
    </row>
    <row r="14">
      <c r="A14" s="6" t="inlineStr">
        <is>
          <t>Corporation tax asset</t>
        </is>
      </c>
      <c r="B14" s="6" t="n">
        <v>4416</v>
      </c>
      <c r="C14" s="6" t="n"/>
      <c r="D14" s="6" t="n"/>
      <c r="E14" s="6" t="n"/>
      <c r="F14" s="6" t="n"/>
      <c r="G14" s="6" t="n"/>
      <c r="H14" s="6" t="n"/>
      <c r="I14" s="6" t="n"/>
      <c r="J14" s="6" t="n"/>
      <c r="K14" s="6" t="n"/>
    </row>
    <row r="15">
      <c r="A15" s="6" t="inlineStr">
        <is>
          <t>Deferred tax asset</t>
        </is>
      </c>
      <c r="B15" s="6" t="n">
        <v>468</v>
      </c>
      <c r="C15" s="6" t="n">
        <v>978</v>
      </c>
      <c r="D15" s="6" t="n">
        <v>1414</v>
      </c>
      <c r="E15" s="6" t="n">
        <v>2538</v>
      </c>
      <c r="F15" s="6" t="n">
        <v>1925</v>
      </c>
      <c r="G15" s="6" t="n">
        <v>1057</v>
      </c>
      <c r="H15" s="6" t="n">
        <v>246</v>
      </c>
      <c r="I15" s="6" t="n"/>
      <c r="J15" s="6" t="n">
        <v>495</v>
      </c>
      <c r="K15" s="6" t="n">
        <v>907</v>
      </c>
    </row>
    <row r="16">
      <c r="A16" s="6" t="inlineStr">
        <is>
          <t>Other assets</t>
        </is>
      </c>
      <c r="B16" s="6" t="n">
        <v>164494</v>
      </c>
      <c r="C16" s="6" t="n">
        <v>227921</v>
      </c>
      <c r="D16" s="6" t="n">
        <v>235646</v>
      </c>
      <c r="E16" s="6" t="n">
        <v>99498</v>
      </c>
      <c r="F16" s="6" t="n">
        <v>4720</v>
      </c>
      <c r="G16" s="6" t="n">
        <v>4196</v>
      </c>
      <c r="H16" s="6" t="n">
        <v>6146</v>
      </c>
      <c r="I16" s="6" t="n">
        <v>2822</v>
      </c>
      <c r="J16" s="6" t="n">
        <v>1858</v>
      </c>
      <c r="K16" s="6" t="n">
        <v>2337</v>
      </c>
    </row>
    <row r="17">
      <c r="A17" s="5" t="inlineStr">
        <is>
          <t>Total assets</t>
        </is>
      </c>
      <c r="B17" s="5" t="n">
        <v>6126399</v>
      </c>
      <c r="C17" s="5" t="n">
        <v>5387529</v>
      </c>
      <c r="D17" s="5" t="n">
        <v>4063807</v>
      </c>
      <c r="E17" s="5" t="n">
        <v>3200482</v>
      </c>
      <c r="F17" s="5" t="n">
        <v>2190531</v>
      </c>
      <c r="G17" s="5" t="n">
        <v>1522362</v>
      </c>
      <c r="H17" s="5" t="n">
        <v>1283904</v>
      </c>
      <c r="I17" s="5" t="n">
        <v>1024173</v>
      </c>
      <c r="J17" s="5" t="n">
        <v>742260</v>
      </c>
      <c r="K17" s="5" t="n">
        <v>606660</v>
      </c>
    </row>
    <row r="18">
      <c r="A18" s="5" t="inlineStr">
        <is>
          <t>Liabilities</t>
        </is>
      </c>
      <c r="B18" s="6" t="n"/>
      <c r="C18" s="6" t="n"/>
      <c r="D18" s="6" t="n"/>
      <c r="E18" s="6" t="n"/>
      <c r="F18" s="6" t="n"/>
      <c r="G18" s="6" t="n"/>
      <c r="H18" s="6" t="n"/>
      <c r="I18" s="6" t="n"/>
      <c r="J18" s="6" t="n"/>
      <c r="K18" s="6" t="n"/>
    </row>
    <row r="19">
      <c r="A19" s="6" t="inlineStr">
        <is>
          <t>Derivative liabilities held for risk management</t>
        </is>
      </c>
      <c r="B19" s="6" t="n">
        <v>18715</v>
      </c>
      <c r="C19" s="6" t="n">
        <v>22569</v>
      </c>
      <c r="D19" s="6" t="n">
        <v>25456</v>
      </c>
      <c r="E19" s="6" t="n">
        <v>19136</v>
      </c>
      <c r="F19" s="6" t="n">
        <v>4413</v>
      </c>
      <c r="G19" s="6" t="n">
        <v>14562</v>
      </c>
      <c r="H19" s="6" t="n">
        <v>4599</v>
      </c>
      <c r="I19" s="6" t="n">
        <v>836</v>
      </c>
      <c r="J19" s="6" t="n">
        <v>292</v>
      </c>
      <c r="K19" s="6" t="n">
        <v>526</v>
      </c>
    </row>
    <row r="20">
      <c r="A20" s="6" t="inlineStr">
        <is>
          <t>Customer deposits</t>
        </is>
      </c>
      <c r="B20" s="6" t="n">
        <v>5232516</v>
      </c>
      <c r="C20" s="6" t="n">
        <v>4526003</v>
      </c>
      <c r="D20" s="6" t="n">
        <v>3205681</v>
      </c>
      <c r="E20" s="6" t="n">
        <v>2420694</v>
      </c>
      <c r="F20" s="6" t="n">
        <v>1633046</v>
      </c>
      <c r="G20" s="6" t="n">
        <v>1125560</v>
      </c>
      <c r="H20" s="6" t="n">
        <v>904171</v>
      </c>
      <c r="I20" s="6" t="n">
        <v>720718</v>
      </c>
      <c r="J20" s="6" t="n">
        <v>596296</v>
      </c>
      <c r="K20" s="6" t="n">
        <v>523315</v>
      </c>
    </row>
    <row r="21">
      <c r="A21" s="6" t="inlineStr">
        <is>
          <t>Lease liabilities</t>
        </is>
      </c>
      <c r="B21" s="6" t="n">
        <v>2900</v>
      </c>
      <c r="C21" s="6" t="n">
        <v>3409</v>
      </c>
      <c r="D21" s="6" t="n">
        <v>3974</v>
      </c>
      <c r="E21" s="6" t="n">
        <v>647</v>
      </c>
      <c r="F21" s="6" t="n">
        <v>1895</v>
      </c>
      <c r="G21" s="6" t="n">
        <v>3086</v>
      </c>
      <c r="H21" s="6" t="n">
        <v>4525</v>
      </c>
      <c r="I21" s="6" t="n"/>
      <c r="J21" s="6" t="n"/>
      <c r="K21" s="6" t="n"/>
    </row>
    <row r="22">
      <c r="A22" s="6" t="inlineStr">
        <is>
          <t>Central bank facilities</t>
        </is>
      </c>
      <c r="B22" s="6" t="n">
        <v>290000</v>
      </c>
      <c r="C22" s="6" t="n">
        <v>295000</v>
      </c>
      <c r="D22" s="6" t="n">
        <v>300000</v>
      </c>
      <c r="E22" s="6" t="n">
        <v>295000</v>
      </c>
      <c r="F22" s="6" t="n">
        <v>295000</v>
      </c>
      <c r="G22" s="6" t="n">
        <v>180000</v>
      </c>
      <c r="H22" s="6" t="n">
        <v>173000</v>
      </c>
      <c r="I22" s="6" t="n">
        <v>135000</v>
      </c>
      <c r="J22" s="6" t="n">
        <v>20000</v>
      </c>
      <c r="K22" s="6" t="n"/>
    </row>
    <row r="23">
      <c r="A23" s="6" t="inlineStr">
        <is>
          <t>Subordinated liabilities</t>
        </is>
      </c>
      <c r="B23" s="6" t="n">
        <v>81669</v>
      </c>
      <c r="C23" s="6" t="n">
        <v>56085</v>
      </c>
      <c r="D23" s="6" t="n">
        <v>57768</v>
      </c>
      <c r="E23" s="6" t="n">
        <v>30336</v>
      </c>
      <c r="F23" s="6" t="n">
        <v>30202</v>
      </c>
      <c r="G23" s="6" t="n">
        <v>30125</v>
      </c>
      <c r="H23" s="6" t="n">
        <v>30048</v>
      </c>
      <c r="I23" s="6" t="n">
        <v>29970</v>
      </c>
      <c r="J23" s="6" t="n"/>
      <c r="K23" s="6" t="n"/>
    </row>
    <row r="24">
      <c r="A24" s="6" t="inlineStr">
        <is>
          <t>Provisions</t>
        </is>
      </c>
      <c r="B24" s="6" t="n">
        <v>2150</v>
      </c>
      <c r="C24" s="6" t="n"/>
      <c r="D24" s="6" t="n"/>
      <c r="E24" s="6" t="n"/>
      <c r="F24" s="6" t="n"/>
      <c r="G24" s="6" t="n"/>
      <c r="H24" s="6" t="n"/>
      <c r="I24" s="6" t="n">
        <v>0</v>
      </c>
      <c r="J24" s="6" t="n">
        <v>303</v>
      </c>
      <c r="K24" s="6" t="n">
        <v>36</v>
      </c>
    </row>
    <row r="25">
      <c r="A25" s="6" t="inlineStr">
        <is>
          <t>Other liabilities</t>
        </is>
      </c>
      <c r="B25" s="6" t="n">
        <v>64082</v>
      </c>
      <c r="C25" s="6" t="n">
        <v>109904</v>
      </c>
      <c r="D25" s="6" t="n">
        <v>148127</v>
      </c>
      <c r="E25" s="6" t="n">
        <v>175805</v>
      </c>
      <c r="F25" s="6" t="n">
        <v>37139</v>
      </c>
      <c r="G25" s="6" t="n">
        <v>14971</v>
      </c>
      <c r="H25" s="6" t="n">
        <v>16086</v>
      </c>
      <c r="I25" s="6" t="n">
        <v>11899</v>
      </c>
      <c r="J25" s="6" t="n">
        <v>9729</v>
      </c>
      <c r="K25" s="6" t="n">
        <v>8711</v>
      </c>
    </row>
    <row r="26">
      <c r="A26" s="5" t="inlineStr">
        <is>
          <t>Total liabilities</t>
        </is>
      </c>
      <c r="B26" s="5" t="n">
        <v>5692032</v>
      </c>
      <c r="C26" s="5" t="n">
        <v>5012970</v>
      </c>
      <c r="D26" s="5" t="n">
        <v>3741006</v>
      </c>
      <c r="E26" s="5" t="n">
        <v>2941618</v>
      </c>
      <c r="F26" s="5" t="n">
        <v>2001695</v>
      </c>
      <c r="G26" s="5" t="n">
        <v>1368304</v>
      </c>
      <c r="H26" s="5" t="n">
        <v>1132429</v>
      </c>
      <c r="I26" s="5" t="n">
        <v>898423</v>
      </c>
      <c r="J26" s="5" t="n">
        <v>626620</v>
      </c>
      <c r="K26" s="5" t="n">
        <v>532588</v>
      </c>
    </row>
    <row r="27">
      <c r="A27" s="5" t="inlineStr">
        <is>
          <t>Equity</t>
        </is>
      </c>
      <c r="B27" s="6" t="n"/>
      <c r="C27" s="6" t="n"/>
      <c r="D27" s="6" t="n"/>
      <c r="E27" s="6" t="n"/>
      <c r="F27" s="6" t="n"/>
      <c r="G27" s="6" t="n"/>
      <c r="H27" s="6" t="n"/>
      <c r="I27" s="6" t="n"/>
      <c r="J27" s="6" t="n"/>
      <c r="K27" s="6" t="n"/>
    </row>
    <row r="28">
      <c r="A28" s="6" t="inlineStr">
        <is>
          <t>Share capital</t>
        </is>
      </c>
      <c r="B28" s="6" t="n">
        <v>139828</v>
      </c>
      <c r="C28" s="6" t="n">
        <v>139828</v>
      </c>
      <c r="D28" s="6" t="n">
        <v>139828</v>
      </c>
      <c r="E28" s="6" t="n">
        <v>139828</v>
      </c>
      <c r="F28" s="6" t="n">
        <v>139828</v>
      </c>
      <c r="G28" s="6" t="n">
        <v>126288</v>
      </c>
      <c r="H28" s="6" t="n">
        <v>126288</v>
      </c>
      <c r="I28" s="6" t="n">
        <v>111288</v>
      </c>
      <c r="J28" s="6" t="n">
        <v>111288</v>
      </c>
      <c r="K28" s="6" t="n">
        <v>78288</v>
      </c>
    </row>
    <row r="29">
      <c r="A29" s="6" t="inlineStr">
        <is>
          <t>Share premium</t>
        </is>
      </c>
      <c r="B29" s="6" t="n">
        <v>196</v>
      </c>
      <c r="C29" s="6" t="n">
        <v>196</v>
      </c>
      <c r="D29" s="6" t="n">
        <v>196</v>
      </c>
      <c r="E29" s="6" t="n">
        <v>196</v>
      </c>
      <c r="F29" s="6" t="n">
        <v>196</v>
      </c>
      <c r="G29" s="6" t="n">
        <v>196</v>
      </c>
      <c r="H29" s="6" t="n">
        <v>196</v>
      </c>
      <c r="I29" s="6" t="n">
        <v>196</v>
      </c>
      <c r="J29" s="6" t="n">
        <v>196</v>
      </c>
      <c r="K29" s="6" t="n">
        <v>196</v>
      </c>
    </row>
    <row r="30">
      <c r="A30" s="6" t="inlineStr">
        <is>
          <t>Cash flow hedge reserve</t>
        </is>
      </c>
      <c r="B30" s="6" t="n">
        <v>-2182</v>
      </c>
      <c r="C30" s="6" t="n">
        <v>-2674</v>
      </c>
      <c r="D30" s="6" t="n">
        <v>-3099</v>
      </c>
      <c r="E30" s="6" t="n">
        <v>129</v>
      </c>
      <c r="F30" s="6" t="n"/>
      <c r="G30" s="6" t="n"/>
      <c r="H30" s="6" t="n"/>
      <c r="I30" s="6" t="n"/>
      <c r="J30" s="6" t="n"/>
      <c r="K30" s="6" t="n"/>
    </row>
    <row r="31">
      <c r="A31" s="6" t="inlineStr">
        <is>
          <t>Fair value through OCI reserve</t>
        </is>
      </c>
      <c r="B31" s="6" t="n"/>
      <c r="C31" s="6" t="n"/>
      <c r="D31" s="6" t="n"/>
      <c r="E31" s="6" t="n"/>
      <c r="F31" s="6" t="n"/>
      <c r="G31" s="6" t="n">
        <v>0</v>
      </c>
      <c r="H31" s="6" t="n">
        <v>0</v>
      </c>
      <c r="I31" s="6" t="n">
        <v>-50</v>
      </c>
      <c r="J31" s="6" t="n"/>
      <c r="K31" s="6" t="n"/>
    </row>
    <row r="32">
      <c r="A32" s="6" t="inlineStr">
        <is>
          <t>Retained earnings</t>
        </is>
      </c>
      <c r="B32" s="6" t="n">
        <v>279495</v>
      </c>
      <c r="C32" s="6" t="n">
        <v>220179</v>
      </c>
      <c r="D32" s="6" t="n">
        <v>168846</v>
      </c>
      <c r="E32" s="6" t="n">
        <v>101681</v>
      </c>
      <c r="F32" s="6" t="n">
        <v>48812</v>
      </c>
      <c r="G32" s="6" t="n">
        <v>27574</v>
      </c>
      <c r="H32" s="6" t="n">
        <v>24991</v>
      </c>
      <c r="I32" s="6" t="n">
        <v>14316</v>
      </c>
      <c r="J32" s="6" t="n">
        <v>4156</v>
      </c>
      <c r="K32" s="6" t="n">
        <v>-4412</v>
      </c>
    </row>
    <row r="33">
      <c r="A33" s="5" t="inlineStr">
        <is>
          <t>Total equity, excluding non-controlling interest</t>
        </is>
      </c>
      <c r="B33" s="5" t="n">
        <v>417337</v>
      </c>
      <c r="C33" s="5" t="n">
        <v>357529</v>
      </c>
      <c r="D33" s="5" t="n">
        <v>305771</v>
      </c>
      <c r="E33" s="5" t="n">
        <v>241834</v>
      </c>
      <c r="F33" s="5" t="n">
        <v>188836</v>
      </c>
      <c r="G33" s="5" t="n">
        <v>154058</v>
      </c>
      <c r="H33" s="5" t="n">
        <v>151475</v>
      </c>
      <c r="I33" s="5" t="n">
        <v>125750</v>
      </c>
      <c r="J33" s="5" t="n">
        <v>115640</v>
      </c>
      <c r="K33" s="5" t="n">
        <v>74072</v>
      </c>
    </row>
    <row r="34">
      <c r="A34" s="6" t="inlineStr">
        <is>
          <t>Other equity instruments (non-controlling interests)</t>
        </is>
      </c>
      <c r="B34" s="6" t="n">
        <v>17030</v>
      </c>
      <c r="C34" s="6" t="n">
        <v>17030</v>
      </c>
      <c r="D34" s="6" t="n">
        <v>17030</v>
      </c>
      <c r="E34" s="6" t="n">
        <v>17030</v>
      </c>
      <c r="F34" s="6" t="n"/>
      <c r="G34" s="6" t="n"/>
      <c r="H34" s="6" t="n"/>
      <c r="I34" s="6" t="n"/>
      <c r="J34" s="6" t="n"/>
      <c r="K34" s="6" t="n"/>
    </row>
    <row r="35">
      <c r="A35" s="5" t="inlineStr">
        <is>
          <t>Total equity</t>
        </is>
      </c>
      <c r="B35" s="5" t="n">
        <v>434367</v>
      </c>
      <c r="C35" s="5" t="n">
        <v>374559</v>
      </c>
      <c r="D35" s="5" t="n">
        <v>322801</v>
      </c>
      <c r="E35" s="5" t="n">
        <v>258864</v>
      </c>
      <c r="F35" s="5" t="n">
        <v>188836</v>
      </c>
      <c r="G35" s="5" t="n">
        <v>154058</v>
      </c>
      <c r="H35" s="5" t="n">
        <v>151475</v>
      </c>
      <c r="I35" s="5" t="n">
        <v>125750</v>
      </c>
      <c r="J35" s="5" t="n">
        <v>115640</v>
      </c>
      <c r="K35" s="5" t="n">
        <v>74072</v>
      </c>
    </row>
    <row r="36">
      <c r="A36" s="5" t="inlineStr">
        <is>
          <t>Total liabilities and equity</t>
        </is>
      </c>
      <c r="B36" s="5" t="n">
        <v>6126399</v>
      </c>
      <c r="C36" s="5" t="n">
        <v>5387529</v>
      </c>
      <c r="D36" s="5" t="n">
        <v>4063807</v>
      </c>
      <c r="E36" s="5" t="n">
        <v>3200482</v>
      </c>
      <c r="F36" s="5" t="n">
        <v>2190531</v>
      </c>
      <c r="G36" s="5" t="n">
        <v>1522362</v>
      </c>
      <c r="H36" s="5" t="n">
        <v>1283904</v>
      </c>
      <c r="I36" s="5" t="n">
        <v>1024173</v>
      </c>
      <c r="J36" s="5" t="n">
        <v>742260</v>
      </c>
      <c r="K36" s="5" t="n">
        <v>606660</v>
      </c>
    </row>
    <row r="38" ht="325" customHeight="1">
      <c r="A38" s="8" t="inlineStr">
        <is>
          <t>Sources - Hampshire Trust Bank Plc's own Consolidated and Bank Statement of Financial Position (Bank column), each year's own originally-published report:
FY2025: Group Annual Report and Accounts 2025 (Companies House, filed 13 May 2026), p.59 - https://find-and-update.company-information.service.gov.uk/company/01311315/filing-history/MzUyMTMxMjk3OWFkaXF6a2N4/document?format=pdf&amp;download=0
FY2024: Annual Report and Accounts for the year ended 31 December 2024 (Companies House, filed 13 May 2025), p.69 - https://find-and-update.company-information.service.gov.uk/company/01311315/filing-history/MzQ2NTc0NTU3N2FkaXF6a2N4/document?format=pdf&amp;download=0
FY2023: Annual Report and Accounts for the year ended 31 December 2023 (Companies House, filed 04 Jun 2024) - https://find-and-update.company-information.service.gov.uk/company/01311315/filing-history/MzQyNDU2MzAzMmFkaXF6a2N4/document?format=pdf&amp;download=0
FY2022: Annual Report and Accounts for the year ended 31 December 2022 (Companies House, filed 07 Aug 2023), p.56 - https://find-and-update.company-information.service.gov.uk/company/01311315/filing-history/MzM4ODU3ODUzOWFkaXF6a2N4/document?format=pdf&amp;download=0
FY2021: Annual Report and Accounts for the year ended 31 December 2021 (Companies House, filed 14 Jun 2022), p.51, Statement of Financial Position - https://find-and-update.company-information.service.gov.uk/company/01311315/filing-history/MzM0MjI1MzEyMmFkaXF6a2N4/document?format=pdf&amp;download=0
FY2020: Annual Report and Accounts 2020 (HTB website copy, text-native), p.52 - https://www.htb.co.uk/htbcontent/uploads/2021/11/HTB_Annual_Report_2020.pdf
FY2019: Annual Report and Accounts for the year ended 31 December 2019 (Companies House, filed 02 Jul 2020, scanned/image-only), p.44 - https://find-and-update.company-information.service.gov.uk/company/01311315/filing-history/MzI3MTk4MjMzN2FkaXF6a2N4/document?format=pdf&amp;download=0
FY2018: Annual Report and Accounts for the year ended 31 December 2018 (Companies House, filed 24 Jun 2019, scanned/image-only), p.37 - https://find-and-update.company-information.service.gov.uk/company/01311315/filing-history/MzIzNzQ4OTc1NWFkaXF6a2N4/document?format=pdf&amp;download=0
FY2017: Annual Report and Accounts 2017 (HTB website copy, text-native), p.36 - https://www.htb.co.uk/htbcontent/uploads/2019/08/Hampshire-Trust-Bank-HTB-2017-Annual-Report-1.pdf
FY2016: Annual Report and Accounts 2016 (HTB website copy, text-native), p.28 - https://www.htb.co.uk/htbcontent/uploads/2019/08/Hampshire-Trust-Bank-HTB-2016-Annual-Report-1.pdf
Balance Sheet, Profit &amp; Loss and Statement of Changes in Equity all use the Bank (parent-entity, non-consolidated) column, matching the entity-level basis used throughout this workbook. Every year's own originally-published figures are used (e.g. FY2023 comes from HTB's own FY2023 Annual Report, FY2024 from its own FY2024 report), not a later restated comparative column - confirmed identical between each year's own report and the next year's comparative column in every case checked. FY2021 and earlier all predate any Group consolidation (first subsidiary acquired during FY2022) and predate HTB's use of cash-flow hedge accounting - no Cash flow hedge reserve, Investment in subsidiaries, or Other equity instruments (non-controlling interest) balance exists in any of FY2016-FY2021. Corporation tax asset is only broken out as its own Balance Sheet line from FY2025 onward - FY2024 and earlier years fold it into Other assets (confirmed: FY2024's Other assets of 227,921 = the 226,100 shown in the FY2025 report's restated FY2024 comparative plus that year's 1,821 Corporation tax asset, transcribed here on each year's own originally-disclosed basis, i.e. undivided).
FY2016-FY2020 all predate HTB's Group consolidation (first subsidiary acquired during FY2022) and use the Bank's own single (pre-Group-split) statements/disclosures throughout - there is no separate Group/Bank column to choose between in any of these 5 years. FY2016-FY2017 also predate IFRS 9 (adopted 1 Jan 2018, not restated in comparatives), IFRS 16 leases (adopted 1 Jan 2019) and any subordinated debt or central bank facility drawn that early (Central Bank Facilities first drawn FY2017; Subordinated Liabilities first issued FY2018) - rows that don't exist yet in a given year are left blank rather than assumed zero, except where that year's own report explicitly discloses a nil/dash balance for a line item that does exist that year (entered as 0).
A 'Fair value through OCI reserve' equity component (distinct from the later Cash flow hedge reserve - it holds fair value movements on debt securities held at FVOCI, not derivative hedge movements) exists only in FY2018-FY2020 (FY2018: £(50)k, FY2019/FY2020: £0, i.e. genuinely nil those two years, not undisclosed) - added as its own row since it is not the same reserve as the Cash flow hedge reserve used from FY2022 onward. FY2018's Balance Sheet Deferred Tax Liabilities line (£13k, no equivalent row in this workbook's standard shape) is folded into that year's Other liabilities figure (11,886 + 13 = 11,899) so the liabilities total still ties exactly to the £898,423k disclosed total. Provisions for Liabilities is disclosed as its own Balance Sheet line only FY2016-FY2018 (FY2016: £36k, FY2017: £303k, FY2018: £0, i.e. genuinely nil that year) - folded into Other liabilities from FY2019 onward, where it is no longer broken out as a separate line at all.
'Investment securities' is relabelled 'Investment securities, held at amortised cost' per Note 26 'Investment securities held at amortised cost' (Group Annual Report and Accounts 2025, p.109 - https://www.htb.co.uk/htbcontent/uploads/2026/04/HTB_Annual_Report_2025.pdf), which shows the entire book (FY2025 and FY2024 columns: £693,673k / £219,980k) as a single 'Debt securities - Floating rate' line, all Aaa-rated, with no FVOCI/FVTPL or government/other split disclosed - covered bonds and RMBS measured at amortised cost per the report's own accounting policy note 7.9. FY2020-FY2023 figures are transcribed from scanned/image-only Companies House filings that could not be text-searched to reconfirm this same-basis wording, but the bank's investment book composition (covered bonds/RMBS) and accounting policy are unchanged across those years per the annual reports' own disclosures.</t>
        </is>
      </c>
    </row>
  </sheetData>
  <mergeCells count="1">
    <mergeCell ref="A38:K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Bank Statement of Comprehensive Income</t>
        </is>
      </c>
    </row>
    <row r="2">
      <c r="A2" s="2" t="inlineStr">
        <is>
          <t>Bank (parent-entity) column; FY2021 and earlier predate Group consolidation and cash flow hedge accounting -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6" t="inlineStr">
        <is>
          <t>Interest and similar income</t>
        </is>
      </c>
      <c r="B4" s="6" t="n">
        <v>396890</v>
      </c>
      <c r="C4" s="6" t="n">
        <v>352194</v>
      </c>
      <c r="D4" s="6" t="n">
        <v>245613</v>
      </c>
      <c r="E4" s="6" t="n">
        <v>131839</v>
      </c>
      <c r="F4" s="6" t="n">
        <v>88508</v>
      </c>
      <c r="G4" s="6" t="n">
        <v>76392</v>
      </c>
      <c r="H4" s="6" t="n">
        <v>64933</v>
      </c>
      <c r="I4" s="6" t="n">
        <v>50296</v>
      </c>
      <c r="J4" s="6" t="n">
        <v>43479</v>
      </c>
      <c r="K4" s="6" t="n">
        <v>26695</v>
      </c>
    </row>
    <row r="5">
      <c r="A5" s="6" t="inlineStr">
        <is>
          <t>Interest expense and similar charges</t>
        </is>
      </c>
      <c r="B5" s="6" t="n">
        <v>-229271</v>
      </c>
      <c r="C5" s="6" t="n">
        <v>-206852</v>
      </c>
      <c r="D5" s="6" t="n">
        <v>-114551</v>
      </c>
      <c r="E5" s="6" t="n">
        <v>-33255</v>
      </c>
      <c r="F5" s="6" t="n">
        <v>-19351</v>
      </c>
      <c r="G5" s="6" t="n">
        <v>-22020</v>
      </c>
      <c r="H5" s="6" t="n">
        <v>-18694</v>
      </c>
      <c r="I5" s="6" t="n">
        <v>-13322</v>
      </c>
      <c r="J5" s="6" t="n">
        <v>-9366</v>
      </c>
      <c r="K5" s="6" t="n">
        <v>-6070</v>
      </c>
    </row>
    <row r="6">
      <c r="A6" s="5" t="inlineStr">
        <is>
          <t>Net interest income</t>
        </is>
      </c>
      <c r="B6" s="5" t="n">
        <v>167619</v>
      </c>
      <c r="C6" s="5" t="n">
        <v>145342</v>
      </c>
      <c r="D6" s="5" t="n">
        <v>131062</v>
      </c>
      <c r="E6" s="5" t="n">
        <v>98584</v>
      </c>
      <c r="F6" s="5" t="n">
        <v>69157</v>
      </c>
      <c r="G6" s="5" t="n">
        <v>54372</v>
      </c>
      <c r="H6" s="5" t="n">
        <v>46239</v>
      </c>
      <c r="I6" s="5" t="n">
        <v>36974</v>
      </c>
      <c r="J6" s="5" t="n">
        <v>34113</v>
      </c>
      <c r="K6" s="5" t="n">
        <v>20625</v>
      </c>
    </row>
    <row r="7">
      <c r="A7" s="5" t="inlineStr">
        <is>
          <t>Other operating income</t>
        </is>
      </c>
      <c r="B7" s="6" t="n"/>
      <c r="C7" s="6" t="n"/>
      <c r="D7" s="6" t="n"/>
      <c r="E7" s="6" t="n"/>
      <c r="F7" s="6" t="n"/>
      <c r="G7" s="6" t="n"/>
      <c r="H7" s="6" t="n"/>
      <c r="I7" s="6" t="n"/>
      <c r="J7" s="6" t="n"/>
      <c r="K7" s="6" t="n"/>
    </row>
    <row r="8">
      <c r="A8" s="6" t="inlineStr">
        <is>
          <t>Fees and commissions income</t>
        </is>
      </c>
      <c r="B8" s="6" t="n">
        <v>3006</v>
      </c>
      <c r="C8" s="6" t="n">
        <v>3172</v>
      </c>
      <c r="D8" s="6" t="n">
        <v>1459</v>
      </c>
      <c r="E8" s="6" t="n">
        <v>2078</v>
      </c>
      <c r="F8" s="6" t="n">
        <v>1533</v>
      </c>
      <c r="G8" s="6" t="n">
        <v>1548</v>
      </c>
      <c r="H8" s="6" t="n">
        <v>1500</v>
      </c>
      <c r="I8" s="6" t="n">
        <v>2554</v>
      </c>
      <c r="J8" s="6" t="n">
        <v>373</v>
      </c>
      <c r="K8" s="6" t="n">
        <v>413</v>
      </c>
    </row>
    <row r="9">
      <c r="A9" s="6" t="inlineStr">
        <is>
          <t>Fees and commissions payable</t>
        </is>
      </c>
      <c r="B9" s="6" t="n">
        <v>-1110</v>
      </c>
      <c r="C9" s="6" t="n">
        <v>-1406</v>
      </c>
      <c r="D9" s="6" t="n">
        <v>-1375</v>
      </c>
      <c r="E9" s="6" t="n">
        <v>-1637</v>
      </c>
      <c r="F9" s="6" t="n">
        <v>-805</v>
      </c>
      <c r="G9" s="6" t="n">
        <v>-784</v>
      </c>
      <c r="H9" s="6" t="n">
        <v>-295</v>
      </c>
      <c r="I9" s="6" t="n">
        <v>-166</v>
      </c>
      <c r="J9" s="6" t="n">
        <v>-156</v>
      </c>
      <c r="K9" s="6" t="n">
        <v>-134</v>
      </c>
    </row>
    <row r="10">
      <c r="A10" s="6" t="inlineStr">
        <is>
          <t>Net (loss)/gain on loans and other financial assets at fair value through profit or loss</t>
        </is>
      </c>
      <c r="B10" s="6" t="n">
        <v>-1010</v>
      </c>
      <c r="C10" s="6" t="n">
        <v>-315</v>
      </c>
      <c r="D10" s="6" t="n">
        <v>-2495</v>
      </c>
      <c r="E10" s="6" t="n">
        <v>3276</v>
      </c>
      <c r="F10" s="6" t="n">
        <v>3175</v>
      </c>
      <c r="G10" s="6" t="n">
        <v>-5369</v>
      </c>
      <c r="H10" s="6" t="n">
        <v>-1943</v>
      </c>
      <c r="I10" s="6" t="n">
        <v>-1764</v>
      </c>
      <c r="J10" s="6" t="n">
        <v>157</v>
      </c>
      <c r="K10" s="6" t="n">
        <v>5</v>
      </c>
    </row>
    <row r="11">
      <c r="A11" s="6" t="inlineStr">
        <is>
          <t>Net (loss)/gain arising from derecognition of financial assets at amortised cost</t>
        </is>
      </c>
      <c r="B11" s="6" t="n">
        <v>-769</v>
      </c>
      <c r="C11" s="6" t="n">
        <v>7275</v>
      </c>
      <c r="D11" s="6" t="n"/>
      <c r="E11" s="6" t="n"/>
      <c r="F11" s="6" t="n"/>
      <c r="G11" s="6" t="n"/>
      <c r="H11" s="6" t="n"/>
      <c r="I11" s="6" t="n"/>
      <c r="J11" s="6" t="n"/>
      <c r="K11" s="6" t="n"/>
    </row>
    <row r="12">
      <c r="A12" s="6" t="inlineStr">
        <is>
          <t>Other income</t>
        </is>
      </c>
      <c r="B12" s="6" t="n">
        <v>2887</v>
      </c>
      <c r="C12" s="6" t="n">
        <v>3927</v>
      </c>
      <c r="D12" s="6" t="n">
        <v>5991</v>
      </c>
      <c r="E12" s="6" t="n">
        <v>6512</v>
      </c>
      <c r="F12" s="6" t="n">
        <v>9</v>
      </c>
      <c r="G12" s="6" t="n">
        <v>3</v>
      </c>
      <c r="H12" s="6" t="n">
        <v>6</v>
      </c>
      <c r="I12" s="6" t="n">
        <v>-8</v>
      </c>
      <c r="J12" s="6" t="n">
        <v>5</v>
      </c>
      <c r="K12" s="6" t="n">
        <v>0</v>
      </c>
    </row>
    <row r="13">
      <c r="A13" s="5" t="inlineStr">
        <is>
          <t>Operating income</t>
        </is>
      </c>
      <c r="B13" s="5" t="n">
        <v>170623</v>
      </c>
      <c r="C13" s="5" t="n">
        <v>157995</v>
      </c>
      <c r="D13" s="5" t="n">
        <v>134642</v>
      </c>
      <c r="E13" s="5" t="n">
        <v>108813</v>
      </c>
      <c r="F13" s="5" t="n">
        <v>73069</v>
      </c>
      <c r="G13" s="5" t="n">
        <v>49770</v>
      </c>
      <c r="H13" s="5" t="n">
        <v>45507</v>
      </c>
      <c r="I13" s="5" t="n">
        <v>37590</v>
      </c>
      <c r="J13" s="5" t="n">
        <v>34492</v>
      </c>
      <c r="K13" s="5" t="n">
        <v>20909</v>
      </c>
    </row>
    <row r="14">
      <c r="A14" s="5" t="inlineStr">
        <is>
          <t>Administrative expenses</t>
        </is>
      </c>
      <c r="B14" s="5" t="n">
        <v>-83039</v>
      </c>
      <c r="C14" s="5" t="n">
        <v>-75545</v>
      </c>
      <c r="D14" s="5" t="n">
        <v>-69237</v>
      </c>
      <c r="E14" s="5" t="n">
        <v>-56984</v>
      </c>
      <c r="F14" s="5" t="n">
        <v>-46313</v>
      </c>
      <c r="G14" s="5" t="n">
        <v>-32236</v>
      </c>
      <c r="H14" s="5" t="n">
        <v>-28587</v>
      </c>
      <c r="I14" s="5" t="n">
        <v>-24700</v>
      </c>
      <c r="J14" s="5" t="n">
        <v>-20110</v>
      </c>
      <c r="K14" s="5" t="n">
        <v>-15502</v>
      </c>
    </row>
    <row r="15">
      <c r="A15" s="6" t="inlineStr">
        <is>
          <t>Impairment loss on investments in subsidiaries</t>
        </is>
      </c>
      <c r="B15" s="6" t="n">
        <v>-26500</v>
      </c>
      <c r="C15" s="6" t="n">
        <v>-11219</v>
      </c>
      <c r="D15" s="6" t="n"/>
      <c r="E15" s="6" t="n"/>
      <c r="F15" s="6" t="n"/>
      <c r="G15" s="6" t="n"/>
      <c r="H15" s="6" t="n"/>
      <c r="I15" s="6" t="n"/>
      <c r="J15" s="6" t="n"/>
      <c r="K15" s="6" t="n"/>
    </row>
    <row r="16">
      <c r="A16" s="6" t="inlineStr">
        <is>
          <t>Impairment gains/(losses) on loans and advances to customers</t>
        </is>
      </c>
      <c r="B16" s="6" t="n">
        <v>-9063</v>
      </c>
      <c r="C16" s="6" t="n">
        <v>-9770</v>
      </c>
      <c r="D16" s="6" t="n">
        <v>-12498</v>
      </c>
      <c r="E16" s="6" t="n">
        <v>-7308</v>
      </c>
      <c r="F16" s="6" t="n">
        <v>590</v>
      </c>
      <c r="G16" s="6" t="n">
        <v>-14671</v>
      </c>
      <c r="H16" s="6" t="n">
        <v>-3375</v>
      </c>
      <c r="I16" s="6" t="n">
        <v>-1742</v>
      </c>
      <c r="J16" s="6" t="n">
        <v>-4514</v>
      </c>
      <c r="K16" s="6" t="n">
        <v>-1001</v>
      </c>
    </row>
    <row r="17">
      <c r="A17" s="5" t="inlineStr">
        <is>
          <t>Profit before tax and dividends</t>
        </is>
      </c>
      <c r="B17" s="5" t="n">
        <v>52021</v>
      </c>
      <c r="C17" s="5" t="n">
        <v>61461</v>
      </c>
      <c r="D17" s="5" t="n">
        <v>52907</v>
      </c>
      <c r="E17" s="5" t="n">
        <v>44521</v>
      </c>
      <c r="F17" s="5" t="n">
        <v>27346</v>
      </c>
      <c r="G17" s="5" t="n">
        <v>2863</v>
      </c>
      <c r="H17" s="5" t="n">
        <v>13545</v>
      </c>
      <c r="I17" s="5" t="n">
        <v>11148</v>
      </c>
      <c r="J17" s="5" t="n">
        <v>9868</v>
      </c>
      <c r="K17" s="5" t="n">
        <v>4406</v>
      </c>
    </row>
    <row r="18">
      <c r="A18" s="6" t="inlineStr">
        <is>
          <t>Interim dividends received</t>
        </is>
      </c>
      <c r="B18" s="6" t="n">
        <v>26500</v>
      </c>
      <c r="C18" s="6" t="n">
        <v>11000</v>
      </c>
      <c r="D18" s="6" t="n">
        <v>27500</v>
      </c>
      <c r="E18" s="6" t="n">
        <v>20000</v>
      </c>
      <c r="F18" s="6" t="n"/>
      <c r="G18" s="6" t="n"/>
      <c r="H18" s="6" t="n"/>
      <c r="I18" s="6" t="n"/>
      <c r="J18" s="6" t="n"/>
      <c r="K18" s="6" t="n"/>
    </row>
    <row r="19">
      <c r="A19" s="5" t="inlineStr">
        <is>
          <t>Profit before tax</t>
        </is>
      </c>
      <c r="B19" s="5" t="n">
        <v>78521</v>
      </c>
      <c r="C19" s="5" t="n">
        <v>72461</v>
      </c>
      <c r="D19" s="5" t="n">
        <v>80407</v>
      </c>
      <c r="E19" s="5" t="n">
        <v>64521</v>
      </c>
      <c r="F19" s="5" t="n">
        <v>27346</v>
      </c>
      <c r="G19" s="5" t="n">
        <v>2863</v>
      </c>
      <c r="H19" s="5" t="n">
        <v>13545</v>
      </c>
      <c r="I19" s="5" t="n">
        <v>11148</v>
      </c>
      <c r="J19" s="5" t="n">
        <v>9868</v>
      </c>
      <c r="K19" s="5" t="n">
        <v>4406</v>
      </c>
    </row>
    <row r="20">
      <c r="A20" s="6" t="inlineStr">
        <is>
          <t>Tax expense</t>
        </is>
      </c>
      <c r="B20" s="6" t="n">
        <v>-18405</v>
      </c>
      <c r="C20" s="6" t="n">
        <v>-19407</v>
      </c>
      <c r="D20" s="6" t="n">
        <v>-13134</v>
      </c>
      <c r="E20" s="6" t="n">
        <v>-10488</v>
      </c>
      <c r="F20" s="6" t="n">
        <v>-6784</v>
      </c>
      <c r="G20" s="6" t="n">
        <v>-309</v>
      </c>
      <c r="H20" s="6" t="n">
        <v>-2746</v>
      </c>
      <c r="I20" s="6" t="n">
        <v>-2118</v>
      </c>
      <c r="J20" s="6" t="n">
        <v>-2038</v>
      </c>
      <c r="K20" s="6" t="n">
        <v>-963</v>
      </c>
    </row>
    <row r="21">
      <c r="A21" s="6" t="inlineStr">
        <is>
          <t>Profit/(loss) from discontinued activities</t>
        </is>
      </c>
      <c r="B21" s="6" t="n"/>
      <c r="C21" s="6" t="n"/>
      <c r="D21" s="6" t="n"/>
      <c r="E21" s="6" t="n"/>
      <c r="F21" s="6" t="n"/>
      <c r="G21" s="6" t="n"/>
      <c r="H21" s="6" t="n"/>
      <c r="I21" s="6" t="n"/>
      <c r="J21" s="6" t="n">
        <v>189</v>
      </c>
      <c r="K21" s="6" t="n">
        <v>-1288</v>
      </c>
    </row>
    <row r="22">
      <c r="A22" s="5" t="inlineStr">
        <is>
          <t>Profit after tax for the year</t>
        </is>
      </c>
      <c r="B22" s="5" t="n">
        <v>60116</v>
      </c>
      <c r="C22" s="5" t="n">
        <v>53054</v>
      </c>
      <c r="D22" s="5" t="n">
        <v>67273</v>
      </c>
      <c r="E22" s="5" t="n">
        <v>54033</v>
      </c>
      <c r="F22" s="5" t="n">
        <v>20562</v>
      </c>
      <c r="G22" s="5" t="n">
        <v>2554</v>
      </c>
      <c r="H22" s="5" t="n">
        <v>10799</v>
      </c>
      <c r="I22" s="5" t="n">
        <v>9030</v>
      </c>
      <c r="J22" s="5" t="n">
        <v>8019</v>
      </c>
      <c r="K22" s="5" t="n">
        <v>2155</v>
      </c>
    </row>
    <row r="23">
      <c r="A23" s="5" t="inlineStr">
        <is>
          <t>Other comprehensive income</t>
        </is>
      </c>
      <c r="B23" s="6" t="n"/>
      <c r="C23" s="6" t="n"/>
      <c r="D23" s="6" t="n"/>
      <c r="E23" s="6" t="n"/>
      <c r="F23" s="6" t="n"/>
      <c r="G23" s="6" t="n"/>
      <c r="H23" s="6" t="n"/>
      <c r="I23" s="6" t="n"/>
      <c r="J23" s="6" t="n"/>
      <c r="K23" s="6" t="n"/>
    </row>
    <row r="24">
      <c r="A24" s="6" t="inlineStr">
        <is>
          <t>Cash flow hedges - effective portion of changes in fair value</t>
        </is>
      </c>
      <c r="B24" s="6" t="n">
        <v>-184</v>
      </c>
      <c r="C24" s="6" t="n">
        <v>-724</v>
      </c>
      <c r="D24" s="6" t="n">
        <v>-3394</v>
      </c>
      <c r="E24" s="6" t="n">
        <v>125</v>
      </c>
      <c r="F24" s="6" t="n"/>
      <c r="G24" s="6" t="n"/>
      <c r="H24" s="6" t="n"/>
      <c r="I24" s="6" t="n"/>
      <c r="J24" s="6" t="n"/>
      <c r="K24" s="6" t="n"/>
    </row>
    <row r="25">
      <c r="A25" s="6" t="inlineStr">
        <is>
          <t>Cash flow hedges - recycled to profit or loss</t>
        </is>
      </c>
      <c r="B25" s="6" t="n">
        <v>676</v>
      </c>
      <c r="C25" s="6" t="n">
        <v>1149</v>
      </c>
      <c r="D25" s="6" t="n">
        <v>166</v>
      </c>
      <c r="E25" s="6" t="n">
        <v>4</v>
      </c>
      <c r="F25" s="6" t="n"/>
      <c r="G25" s="6" t="n"/>
      <c r="H25" s="6" t="n"/>
      <c r="I25" s="6" t="n"/>
      <c r="J25" s="6" t="n"/>
      <c r="K25" s="6" t="n"/>
    </row>
    <row r="26">
      <c r="A26" s="6" t="inlineStr">
        <is>
          <t>Net change in fair value of investment securities (AFS/FVOCI)</t>
        </is>
      </c>
      <c r="B26" s="6" t="n"/>
      <c r="C26" s="6" t="n"/>
      <c r="D26" s="6" t="n"/>
      <c r="E26" s="6" t="n"/>
      <c r="F26" s="6" t="n"/>
      <c r="G26" s="6" t="n">
        <v>0</v>
      </c>
      <c r="H26" s="6" t="n">
        <v>50</v>
      </c>
      <c r="I26" s="6" t="n">
        <v>-50</v>
      </c>
      <c r="J26" s="6" t="n"/>
      <c r="K26" s="6" t="n">
        <v>0</v>
      </c>
    </row>
    <row r="27">
      <c r="A27" s="5" t="inlineStr">
        <is>
          <t>Total comprehensive income for the year, net of tax</t>
        </is>
      </c>
      <c r="B27" s="5" t="n">
        <v>60608</v>
      </c>
      <c r="C27" s="5" t="n">
        <v>53479</v>
      </c>
      <c r="D27" s="5" t="n">
        <v>64045</v>
      </c>
      <c r="E27" s="5" t="n">
        <v>54162</v>
      </c>
      <c r="F27" s="5" t="n">
        <v>20562</v>
      </c>
      <c r="G27" s="5" t="n">
        <v>2554</v>
      </c>
      <c r="H27" s="5" t="n">
        <v>10849</v>
      </c>
      <c r="I27" s="5" t="n">
        <v>8980</v>
      </c>
      <c r="J27" s="5" t="n">
        <v>8019</v>
      </c>
      <c r="K27" s="5" t="n">
        <v>2155</v>
      </c>
    </row>
    <row r="29" ht="351" customHeight="1">
      <c r="A29" s="8" t="inlineStr">
        <is>
          <t>Sources - Hampshire Trust Bank Plc's own Consolidated and Bank Statement of Comprehensive Income (Bank column), each year's own originally-published report:
FY2025: Group Annual Report and Accounts 2025 (Companies House, filed 13 May 2026), p.58 - https://find-and-update.company-information.service.gov.uk/company/01311315/filing-history/MzUyMTMxMjk3OWFkaXF6a2N4/document?format=pdf&amp;download=0
FY2024: Annual Report and Accounts for the year ended 31 December 2024 (Companies House, filed 13 May 2025), p.68 - https://find-and-update.company-information.service.gov.uk/company/01311315/filing-history/MzQ2NTc0NTU3N2FkaXF6a2N4/document?format=pdf&amp;download=0
FY2023: Annual Report and Accounts for the year ended 31 December 2023 (Companies House, filed 04 Jun 2024), p.59 - https://find-and-update.company-information.service.gov.uk/company/01311315/filing-history/MzQyNDU2MzAzMmFkaXF6a2N4/document?format=pdf&amp;download=0
FY2022: Annual Report and Accounts for the year ended 31 December 2022 (Companies House, filed 07 Aug 2023), p.55 - https://find-and-update.company-information.service.gov.uk/company/01311315/filing-history/MzM4ODU3ODUzOWFkaXF6a2N4/document?format=pdf&amp;download=0
FY2021: Annual Report and Accounts for the year ended 31 December 2021 (Companies House, filed 14 Jun 2022), p.50, Statement of Comprehensive Income - https://find-and-update.company-information.service.gov.uk/company/01311315/filing-history/MzM0MjI1MzEyMmFkaXF6a2N4/document?format=pdf&amp;download=0
FY2020: Annual Report and Accounts 2020 (HTB website copy, text-native), p.51 - https://www.htb.co.uk/htbcontent/uploads/2021/11/HTB_Annual_Report_2020.pdf
FY2019: Annual Report and Accounts for the year ended 31 December 2019 (Companies House, filed 02 Jul 2020, scanned/image-only), p.43 - https://find-and-update.company-information.service.gov.uk/company/01311315/filing-history/MzI3MTk4MjMzN2FkaXF6a2N4/document?format=pdf&amp;download=0
FY2018: Annual Report and Accounts for the year ended 31 December 2018 (Companies House, filed 24 Jun 2019, scanned/image-only), p.36 - https://find-and-update.company-information.service.gov.uk/company/01311315/filing-history/MzIzNzQ4OTc1NWFkaXF6a2N4/document?format=pdf&amp;download=0
FY2017: Annual Report and Accounts 2017 (HTB website copy, text-native), p.35 - https://www.htb.co.uk/htbcontent/uploads/2019/08/Hampshire-Trust-Bank-HTB-2017-Annual-Report-1.pdf
FY2016: Annual Report and Accounts 2016 (HTB website copy, text-native), p.27 - https://www.htb.co.uk/htbcontent/uploads/2019/08/Hampshire-Trust-Bank-HTB-2016-Annual-Report-1.pdf
Balance Sheet, Profit &amp; Loss and Statement of Changes in Equity all use the Bank (parent-entity, non-consolidated) column, matching the entity-level basis used throughout this workbook. Every year's own originally-published figures are used (e.g. FY2023 comes from HTB's own FY2023 Annual Report, FY2024 from its own FY2024 report), not a later restated comparative column - confirmed identical between each year's own report and the next year's comparative column in every case checked. FY2021 and earlier all predate any Group consolidation (first subsidiary acquired during FY2022) and predate HTB's use of cash-flow hedge accounting - no Cash flow hedge reserve, Investment in subsidiaries, or Other equity instruments (non-controlling interest) balance exists in any of FY2016-FY2021. Corporation tax asset is only broken out as its own Balance Sheet line from FY2025 onward - FY2024 and earlier years fold it into Other assets (confirmed: FY2024's Other assets of 227,921 = the 226,100 shown in the FY2025 report's restated FY2024 comparative plus that year's 1,821 Corporation tax asset, transcribed here on each year's own originally-disclosed basis, i.e. undivided).
FY2016-FY2020 all predate HTB's Group consolidation (first subsidiary acquired during FY2022) and use the Bank's own single (pre-Group-split) statements/disclosures throughout - there is no separate Group/Bank column to choose between in any of these 5 years. FY2016-FY2017 also predate IFRS 9 (adopted 1 Jan 2018, not restated in comparatives), IFRS 16 leases (adopted 1 Jan 2019) and any subordinated debt or central bank facility drawn that early (Central Bank Facilities first drawn FY2017; Subordinated Liabilities first issued FY2018) - rows that don't exist yet in a given year are left blank rather than assumed zero, except where that year's own report explicitly discloses a nil/dash balance for a line item that does exist that year (entered as 0).
A 'Fair value through OCI reserve' equity component (distinct from the later Cash flow hedge reserve - it holds fair value movements on debt securities held at FVOCI, not derivative hedge movements) exists only in FY2018-FY2020 (FY2018: £(50)k, FY2019/FY2020: £0, i.e. genuinely nil those two years, not undisclosed) - added as its own row since it is not the same reserve as the Cash flow hedge reserve used from FY2022 onward. FY2018's Balance Sheet Deferred Tax Liabilities line (£13k, no equivalent row in this workbook's standard shape) is folded into that year's Other liabilities figure (11,886 + 13 = 11,899) so the liabilities total still ties exactly to the £898,423k disclosed total. Provisions for Liabilities is disclosed as its own Balance Sheet line only FY2016-FY2018 (FY2016: £36k, FY2017: £303k, FY2018: £0, i.e. genuinely nil that year) - folded into Other liabilities from FY2019 onward, where it is no longer broken out as a separate line at all.
FY2016-FY2017 predate IFRS 9 entirely (adopted 1 Jan 2018, not restated in comparatives) and use a different P&amp;L shape: 'Net income from derivatives at fair value through profit or loss' instead of the later 'Net (loss)/gain on loans and other financial assets at FVTPL' line. FY2016's 2015 comparative in its own report was itself restated for discontinued activities, per that report's own footnote - not relevant to the FY2016 column transcribed here.
Net (loss)/gain arising from derecognition of financial assets at amortised cost and Impairment loss on investments in subsidiaries are only disclosed as separate lines from FY2024 onward - not applicable/nil in earlier years' own disclosures, left blank rather than assumed zero.
FY2016's own report also carries a small separate 'Other expenses' line (£(11)k) with no equivalent row in this workbook's standard shape - folded into Administrative expenses (£(15,491)k + £(11)k = £(15,502)k transcribed here) so Profit before tax and dividends still ties exactly to the disclosed £4,406k operating profit before tax. FY2016/FY2017 also each carried a small Discontinued activities result (asset-backed lending run-off) as a distinct post-tax line in the original statement (FY2016: £(1,288)k loss, FY2017: £189k profit) - added here as its own new row between Tax expense and Profit after tax, since this workbook's standard shape has no discontinued-activities row; both years' Net interest income/Operating income/Profit before tax figures above are the continuing-activities-only amounts exactly as originally disclosed, with Discontinued activities kept in its own separate row rather than blended into any continuing-activities line.</t>
        </is>
      </c>
    </row>
  </sheetData>
  <mergeCells count="1">
    <mergeCell ref="A29:K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7"/>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Hampshire Trust Bank Plc — Bank Statement of Changes in Equity</t>
        </is>
      </c>
    </row>
    <row r="2">
      <c r="A2" s="2" t="inlineStr">
        <is>
          <t>Bank (parent-entity) column, chronological; FY2021 and earlier predate Group consolidation - see source note</t>
        </is>
      </c>
    </row>
    <row r="3">
      <c r="A3" s="4" t="inlineStr">
        <is>
          <t>Movement</t>
        </is>
      </c>
      <c r="B3" s="4" t="inlineStr">
        <is>
          <t>Share capital</t>
        </is>
      </c>
      <c r="C3" s="4" t="inlineStr">
        <is>
          <t>Share premium</t>
        </is>
      </c>
      <c r="D3" s="4" t="inlineStr">
        <is>
          <t>Cash flow hedge reserve</t>
        </is>
      </c>
      <c r="E3" s="4" t="inlineStr">
        <is>
          <t>Retained earnings</t>
        </is>
      </c>
      <c r="F3" s="4" t="inlineStr">
        <is>
          <t>Attributable to ordinary shareholders</t>
        </is>
      </c>
      <c r="G3" s="4" t="inlineStr">
        <is>
          <t>Other equity reserves (NCI)</t>
        </is>
      </c>
      <c r="H3" s="4" t="inlineStr">
        <is>
          <t>Total equity</t>
        </is>
      </c>
    </row>
    <row r="4">
      <c r="A4" s="6" t="inlineStr">
        <is>
          <t>Balance at 1 January 2016</t>
        </is>
      </c>
      <c r="B4" s="6" t="n">
        <v>58288</v>
      </c>
      <c r="C4" s="6" t="n">
        <v>196</v>
      </c>
      <c r="D4" s="6" t="n"/>
      <c r="E4" s="6" t="n">
        <v>-6908</v>
      </c>
      <c r="F4" s="6" t="n">
        <v>51576</v>
      </c>
      <c r="G4" s="6" t="n"/>
      <c r="H4" s="6" t="n">
        <v>51576</v>
      </c>
    </row>
    <row r="5">
      <c r="A5" s="6" t="inlineStr">
        <is>
          <t>Profit for the year</t>
        </is>
      </c>
      <c r="B5" s="6" t="n"/>
      <c r="C5" s="6" t="n"/>
      <c r="D5" s="6" t="n"/>
      <c r="E5" s="6" t="n">
        <v>2155</v>
      </c>
      <c r="F5" s="6" t="n">
        <v>2155</v>
      </c>
      <c r="G5" s="6" t="n"/>
      <c r="H5" s="6" t="n">
        <v>2155</v>
      </c>
    </row>
    <row r="6">
      <c r="A6" s="6" t="inlineStr">
        <is>
          <t>Equity settled share-based payment</t>
        </is>
      </c>
      <c r="B6" s="6" t="n"/>
      <c r="C6" s="6" t="n"/>
      <c r="D6" s="6" t="n"/>
      <c r="E6" s="6" t="n">
        <v>341</v>
      </c>
      <c r="F6" s="6" t="n">
        <v>341</v>
      </c>
      <c r="G6" s="6" t="n"/>
      <c r="H6" s="6" t="n">
        <v>341</v>
      </c>
    </row>
    <row r="7">
      <c r="A7" s="6" t="inlineStr">
        <is>
          <t>Issue of share capital</t>
        </is>
      </c>
      <c r="B7" s="6" t="n">
        <v>20000</v>
      </c>
      <c r="C7" s="6" t="n"/>
      <c r="D7" s="6" t="n"/>
      <c r="E7" s="6" t="n"/>
      <c r="F7" s="6" t="n">
        <v>20000</v>
      </c>
      <c r="G7" s="6" t="n"/>
      <c r="H7" s="6" t="n">
        <v>20000</v>
      </c>
    </row>
    <row r="8">
      <c r="A8" s="5" t="inlineStr">
        <is>
          <t>Balance at 31 December 2016</t>
        </is>
      </c>
      <c r="B8" s="5" t="n">
        <v>78288</v>
      </c>
      <c r="C8" s="5" t="n">
        <v>196</v>
      </c>
      <c r="D8" s="5" t="n"/>
      <c r="E8" s="5" t="n">
        <v>-4412</v>
      </c>
      <c r="F8" s="5" t="n">
        <v>74072</v>
      </c>
      <c r="G8" s="5" t="n"/>
      <c r="H8" s="5" t="n">
        <v>74072</v>
      </c>
    </row>
    <row r="9">
      <c r="A9" s="6" t="inlineStr">
        <is>
          <t>Balance at 1 January 2017</t>
        </is>
      </c>
      <c r="B9" s="6" t="n">
        <v>78288</v>
      </c>
      <c r="C9" s="6" t="n">
        <v>196</v>
      </c>
      <c r="D9" s="6" t="n"/>
      <c r="E9" s="6" t="n">
        <v>-4412</v>
      </c>
      <c r="F9" s="6" t="n">
        <v>74072</v>
      </c>
      <c r="G9" s="6" t="n"/>
      <c r="H9" s="6" t="n">
        <v>74072</v>
      </c>
    </row>
    <row r="10">
      <c r="A10" s="6" t="inlineStr">
        <is>
          <t>Profit for the year</t>
        </is>
      </c>
      <c r="B10" s="6" t="n"/>
      <c r="C10" s="6" t="n"/>
      <c r="D10" s="6" t="n"/>
      <c r="E10" s="6" t="n">
        <v>8019</v>
      </c>
      <c r="F10" s="6" t="n">
        <v>8019</v>
      </c>
      <c r="G10" s="6" t="n"/>
      <c r="H10" s="6" t="n">
        <v>8019</v>
      </c>
    </row>
    <row r="11">
      <c r="A11" s="6" t="inlineStr">
        <is>
          <t>Equity settled share-based payment</t>
        </is>
      </c>
      <c r="B11" s="6" t="n"/>
      <c r="C11" s="6" t="n"/>
      <c r="D11" s="6" t="n"/>
      <c r="E11" s="6" t="n">
        <v>549</v>
      </c>
      <c r="F11" s="6" t="n">
        <v>549</v>
      </c>
      <c r="G11" s="6" t="n"/>
      <c r="H11" s="6" t="n">
        <v>549</v>
      </c>
    </row>
    <row r="12">
      <c r="A12" s="6" t="inlineStr">
        <is>
          <t>Issue of share capital</t>
        </is>
      </c>
      <c r="B12" s="6" t="n">
        <v>33000</v>
      </c>
      <c r="C12" s="6" t="n"/>
      <c r="D12" s="6" t="n"/>
      <c r="E12" s="6" t="n"/>
      <c r="F12" s="6" t="n">
        <v>33000</v>
      </c>
      <c r="G12" s="6" t="n"/>
      <c r="H12" s="6" t="n">
        <v>33000</v>
      </c>
    </row>
    <row r="13">
      <c r="A13" s="5" t="inlineStr">
        <is>
          <t>Balance at 31 December 2017</t>
        </is>
      </c>
      <c r="B13" s="5" t="n">
        <v>111288</v>
      </c>
      <c r="C13" s="5" t="n">
        <v>196</v>
      </c>
      <c r="D13" s="5" t="n"/>
      <c r="E13" s="5" t="n">
        <v>4156</v>
      </c>
      <c r="F13" s="5" t="n">
        <v>115640</v>
      </c>
      <c r="G13" s="5" t="n"/>
      <c r="H13" s="5" t="n">
        <v>115640</v>
      </c>
    </row>
    <row r="14">
      <c r="A14" s="6" t="inlineStr">
        <is>
          <t>Balance at 1 January 2018</t>
        </is>
      </c>
      <c r="B14" s="6" t="n">
        <v>111288</v>
      </c>
      <c r="C14" s="6" t="n">
        <v>196</v>
      </c>
      <c r="D14" s="6" t="n"/>
      <c r="E14" s="6" t="n">
        <v>4156</v>
      </c>
      <c r="F14" s="6" t="n">
        <v>115640</v>
      </c>
      <c r="G14" s="6" t="n"/>
      <c r="H14" s="6" t="n">
        <v>115640</v>
      </c>
    </row>
    <row r="15">
      <c r="A15" s="6" t="inlineStr">
        <is>
          <t>Adjustment on initial application of IFRS 9 (ECL + FVTPL reclassification, net of tax)</t>
        </is>
      </c>
      <c r="B15" s="6" t="n"/>
      <c r="C15" s="6" t="n"/>
      <c r="D15" s="6" t="n"/>
      <c r="E15" s="6" t="n">
        <v>795</v>
      </c>
      <c r="F15" s="6" t="n">
        <v>795</v>
      </c>
      <c r="G15" s="6" t="n"/>
      <c r="H15" s="6" t="n">
        <v>795</v>
      </c>
    </row>
    <row r="16">
      <c r="A16" s="5" t="inlineStr">
        <is>
          <t>Restated balance at 1 January 2018</t>
        </is>
      </c>
      <c r="B16" s="5" t="n">
        <v>111288</v>
      </c>
      <c r="C16" s="5" t="n">
        <v>196</v>
      </c>
      <c r="D16" s="5" t="n"/>
      <c r="E16" s="5" t="n">
        <v>4951</v>
      </c>
      <c r="F16" s="5" t="n">
        <v>116435</v>
      </c>
      <c r="G16" s="5" t="n"/>
      <c r="H16" s="5" t="n">
        <v>116435</v>
      </c>
    </row>
    <row r="17">
      <c r="A17" s="6" t="inlineStr">
        <is>
          <t>Profit for the year / other comprehensive income (incl. FVOCI reserve movement, see note)</t>
        </is>
      </c>
      <c r="B17" s="6" t="n"/>
      <c r="C17" s="6" t="n"/>
      <c r="D17" s="6" t="n"/>
      <c r="E17" s="6" t="n">
        <v>8980</v>
      </c>
      <c r="F17" s="6" t="n">
        <v>8980</v>
      </c>
      <c r="G17" s="6" t="n"/>
      <c r="H17" s="6" t="n">
        <v>8980</v>
      </c>
    </row>
    <row r="18">
      <c r="A18" s="6" t="inlineStr">
        <is>
          <t>Equity settled share-based payment</t>
        </is>
      </c>
      <c r="B18" s="6" t="n"/>
      <c r="C18" s="6" t="n"/>
      <c r="D18" s="6" t="n"/>
      <c r="E18" s="6" t="n">
        <v>335</v>
      </c>
      <c r="F18" s="6" t="n">
        <v>335</v>
      </c>
      <c r="G18" s="6" t="n"/>
      <c r="H18" s="6" t="n">
        <v>335</v>
      </c>
    </row>
    <row r="19">
      <c r="A19" s="5" t="inlineStr">
        <is>
          <t>Balance at 31 December 2018</t>
        </is>
      </c>
      <c r="B19" s="5" t="n">
        <v>111288</v>
      </c>
      <c r="C19" s="5" t="n">
        <v>196</v>
      </c>
      <c r="D19" s="5" t="n"/>
      <c r="E19" s="5" t="n">
        <v>14266</v>
      </c>
      <c r="F19" s="5" t="n">
        <v>125750</v>
      </c>
      <c r="G19" s="5" t="n"/>
      <c r="H19" s="5" t="n">
        <v>125750</v>
      </c>
    </row>
    <row r="20">
      <c r="A20" s="6" t="inlineStr">
        <is>
          <t>Balance at 1 January 2019</t>
        </is>
      </c>
      <c r="B20" s="6" t="n">
        <v>111288</v>
      </c>
      <c r="C20" s="6" t="n">
        <v>196</v>
      </c>
      <c r="D20" s="6" t="n"/>
      <c r="E20" s="6" t="n">
        <v>14266</v>
      </c>
      <c r="F20" s="6" t="n">
        <v>125750</v>
      </c>
      <c r="G20" s="6" t="n"/>
      <c r="H20" s="6" t="n">
        <v>125750</v>
      </c>
    </row>
    <row r="21">
      <c r="A21" s="6" t="inlineStr">
        <is>
          <t>Adjustment on initial application of IFRS 16</t>
        </is>
      </c>
      <c r="B21" s="6" t="n"/>
      <c r="C21" s="6" t="n"/>
      <c r="D21" s="6" t="n"/>
      <c r="E21" s="6" t="n">
        <v>-108</v>
      </c>
      <c r="F21" s="6" t="n">
        <v>-108</v>
      </c>
      <c r="G21" s="6" t="n"/>
      <c r="H21" s="6" t="n">
        <v>-108</v>
      </c>
    </row>
    <row r="22">
      <c r="A22" s="5" t="inlineStr">
        <is>
          <t>Restated balance at 1 January 2019</t>
        </is>
      </c>
      <c r="B22" s="5" t="n">
        <v>111288</v>
      </c>
      <c r="C22" s="5" t="n">
        <v>196</v>
      </c>
      <c r="D22" s="5" t="n"/>
      <c r="E22" s="5" t="n">
        <v>14158</v>
      </c>
      <c r="F22" s="5" t="n">
        <v>125642</v>
      </c>
      <c r="G22" s="5" t="n"/>
      <c r="H22" s="5" t="n">
        <v>125642</v>
      </c>
    </row>
    <row r="23">
      <c r="A23" s="6" t="inlineStr">
        <is>
          <t>Profit for the year / other comprehensive income (incl. FVOCI reserve movement, see note)</t>
        </is>
      </c>
      <c r="B23" s="6" t="n"/>
      <c r="C23" s="6" t="n"/>
      <c r="D23" s="6" t="n"/>
      <c r="E23" s="6" t="n">
        <v>10849</v>
      </c>
      <c r="F23" s="6" t="n">
        <v>10849</v>
      </c>
      <c r="G23" s="6" t="n"/>
      <c r="H23" s="6" t="n">
        <v>10849</v>
      </c>
    </row>
    <row r="24">
      <c r="A24" s="6" t="inlineStr">
        <is>
          <t>Equity settled share-based payment</t>
        </is>
      </c>
      <c r="B24" s="6" t="n"/>
      <c r="C24" s="6" t="n"/>
      <c r="D24" s="6" t="n"/>
      <c r="E24" s="6" t="n">
        <v>-16</v>
      </c>
      <c r="F24" s="6" t="n">
        <v>-16</v>
      </c>
      <c r="G24" s="6" t="n"/>
      <c r="H24" s="6" t="n">
        <v>-16</v>
      </c>
    </row>
    <row r="25">
      <c r="A25" s="6" t="inlineStr">
        <is>
          <t>Issue of share capital</t>
        </is>
      </c>
      <c r="B25" s="6" t="n">
        <v>15000</v>
      </c>
      <c r="C25" s="6" t="n"/>
      <c r="D25" s="6" t="n"/>
      <c r="E25" s="6" t="n"/>
      <c r="F25" s="6" t="n">
        <v>15000</v>
      </c>
      <c r="G25" s="6" t="n"/>
      <c r="H25" s="6" t="n">
        <v>15000</v>
      </c>
    </row>
    <row r="26">
      <c r="A26" s="5" t="inlineStr">
        <is>
          <t>Balance at 31 December 2019</t>
        </is>
      </c>
      <c r="B26" s="5" t="n">
        <v>126288</v>
      </c>
      <c r="C26" s="5" t="n">
        <v>196</v>
      </c>
      <c r="D26" s="5" t="n"/>
      <c r="E26" s="5" t="n">
        <v>24991</v>
      </c>
      <c r="F26" s="5" t="n">
        <v>151475</v>
      </c>
      <c r="G26" s="5" t="n"/>
      <c r="H26" s="5" t="n">
        <v>151475</v>
      </c>
    </row>
    <row r="27">
      <c r="A27" s="6" t="inlineStr">
        <is>
          <t>Balance at 1 January 2020</t>
        </is>
      </c>
      <c r="B27" s="6" t="n">
        <v>126288</v>
      </c>
      <c r="C27" s="6" t="n">
        <v>196</v>
      </c>
      <c r="D27" s="6" t="n"/>
      <c r="E27" s="6" t="n">
        <v>24991</v>
      </c>
      <c r="F27" s="6" t="n">
        <v>151475</v>
      </c>
      <c r="G27" s="6" t="n"/>
      <c r="H27" s="6" t="n">
        <v>151475</v>
      </c>
    </row>
    <row r="28">
      <c r="A28" s="6" t="inlineStr">
        <is>
          <t>Profit for the year</t>
        </is>
      </c>
      <c r="B28" s="6" t="n"/>
      <c r="C28" s="6" t="n"/>
      <c r="D28" s="6" t="n"/>
      <c r="E28" s="6" t="n">
        <v>2554</v>
      </c>
      <c r="F28" s="6" t="n">
        <v>2554</v>
      </c>
      <c r="G28" s="6" t="n"/>
      <c r="H28" s="6" t="n">
        <v>2554</v>
      </c>
    </row>
    <row r="29">
      <c r="A29" s="6" t="inlineStr">
        <is>
          <t>Equity settled share-based payment</t>
        </is>
      </c>
      <c r="B29" s="6" t="n"/>
      <c r="C29" s="6" t="n"/>
      <c r="D29" s="6" t="n"/>
      <c r="E29" s="6" t="n">
        <v>29</v>
      </c>
      <c r="F29" s="6" t="n">
        <v>29</v>
      </c>
      <c r="G29" s="6" t="n"/>
      <c r="H29" s="6" t="n">
        <v>29</v>
      </c>
    </row>
    <row r="30">
      <c r="A30" s="5" t="inlineStr">
        <is>
          <t>Balance at 31 December 2020 / 1 January 2021</t>
        </is>
      </c>
      <c r="B30" s="5" t="n">
        <v>126288</v>
      </c>
      <c r="C30" s="5" t="n">
        <v>196</v>
      </c>
      <c r="D30" s="5" t="n"/>
      <c r="E30" s="5" t="n">
        <v>27574</v>
      </c>
      <c r="F30" s="5" t="n">
        <v>154058</v>
      </c>
      <c r="G30" s="5" t="n"/>
      <c r="H30" s="5" t="n">
        <v>154058</v>
      </c>
    </row>
    <row r="31">
      <c r="A31" s="6" t="inlineStr">
        <is>
          <t>Profit for the year</t>
        </is>
      </c>
      <c r="B31" s="6" t="n"/>
      <c r="C31" s="6" t="n"/>
      <c r="D31" s="6" t="n"/>
      <c r="E31" s="6" t="n">
        <v>20562</v>
      </c>
      <c r="F31" s="6" t="n">
        <v>20562</v>
      </c>
      <c r="G31" s="6" t="n"/>
      <c r="H31" s="6" t="n">
        <v>20562</v>
      </c>
    </row>
    <row r="32">
      <c r="A32" s="6" t="inlineStr">
        <is>
          <t>Equity settled share-based payment</t>
        </is>
      </c>
      <c r="B32" s="6" t="n"/>
      <c r="C32" s="6" t="n"/>
      <c r="D32" s="6" t="n"/>
      <c r="E32" s="6" t="n">
        <v>676</v>
      </c>
      <c r="F32" s="6" t="n">
        <v>676</v>
      </c>
      <c r="G32" s="6" t="n"/>
      <c r="H32" s="6" t="n">
        <v>676</v>
      </c>
    </row>
    <row r="33">
      <c r="A33" s="6" t="inlineStr">
        <is>
          <t>Issue of share capital</t>
        </is>
      </c>
      <c r="B33" s="6" t="n">
        <v>13540</v>
      </c>
      <c r="C33" s="6" t="n"/>
      <c r="D33" s="6" t="n"/>
      <c r="E33" s="6" t="n"/>
      <c r="F33" s="6" t="n">
        <v>13540</v>
      </c>
      <c r="G33" s="6" t="n"/>
      <c r="H33" s="6" t="n">
        <v>13540</v>
      </c>
    </row>
    <row r="34">
      <c r="A34" s="5" t="inlineStr">
        <is>
          <t>Balance at 31 December 2021</t>
        </is>
      </c>
      <c r="B34" s="5" t="n">
        <v>139828</v>
      </c>
      <c r="C34" s="5" t="n">
        <v>196</v>
      </c>
      <c r="D34" s="5" t="n"/>
      <c r="E34" s="5" t="n">
        <v>48812</v>
      </c>
      <c r="F34" s="5" t="n">
        <v>188836</v>
      </c>
      <c r="G34" s="5" t="n"/>
      <c r="H34" s="5" t="n">
        <v>188836</v>
      </c>
    </row>
    <row r="35">
      <c r="A35" s="6" t="inlineStr">
        <is>
          <t>Balance at 1 January 2022</t>
        </is>
      </c>
      <c r="B35" s="6" t="n">
        <v>139828</v>
      </c>
      <c r="C35" s="6" t="n">
        <v>196</v>
      </c>
      <c r="D35" s="6" t="n"/>
      <c r="E35" s="6" t="n">
        <v>48812</v>
      </c>
      <c r="F35" s="6" t="n">
        <v>188836</v>
      </c>
      <c r="G35" s="6" t="n"/>
      <c r="H35" s="6" t="n">
        <v>188836</v>
      </c>
    </row>
    <row r="36">
      <c r="A36" s="6" t="inlineStr">
        <is>
          <t>Profit for the year</t>
        </is>
      </c>
      <c r="B36" s="6" t="n"/>
      <c r="C36" s="6" t="n"/>
      <c r="D36" s="6" t="n"/>
      <c r="E36" s="6" t="n">
        <v>54033</v>
      </c>
      <c r="F36" s="6" t="n">
        <v>54033</v>
      </c>
      <c r="G36" s="6" t="n"/>
      <c r="H36" s="6" t="n">
        <v>54033</v>
      </c>
    </row>
    <row r="37">
      <c r="A37" s="6" t="inlineStr">
        <is>
          <t>Cash flow hedges - effective portion of changes in fair value</t>
        </is>
      </c>
      <c r="B37" s="6" t="n"/>
      <c r="C37" s="6" t="n"/>
      <c r="D37" s="6" t="n">
        <v>125</v>
      </c>
      <c r="E37" s="6" t="n"/>
      <c r="F37" s="6" t="n">
        <v>125</v>
      </c>
      <c r="G37" s="6" t="n"/>
      <c r="H37" s="6" t="n">
        <v>125</v>
      </c>
    </row>
    <row r="38">
      <c r="A38" s="6" t="inlineStr">
        <is>
          <t>Cash-flow hedges - recycled to profit or loss</t>
        </is>
      </c>
      <c r="B38" s="6" t="n"/>
      <c r="C38" s="6" t="n"/>
      <c r="D38" s="6" t="n">
        <v>4</v>
      </c>
      <c r="E38" s="6" t="n"/>
      <c r="F38" s="6" t="n">
        <v>4</v>
      </c>
      <c r="G38" s="6" t="n"/>
      <c r="H38" s="6" t="n">
        <v>4</v>
      </c>
    </row>
    <row r="39">
      <c r="A39" s="6" t="inlineStr">
        <is>
          <t>Equity settled share-based payment</t>
        </is>
      </c>
      <c r="B39" s="6" t="n"/>
      <c r="C39" s="6" t="n"/>
      <c r="D39" s="6" t="n"/>
      <c r="E39" s="6" t="n">
        <v>240</v>
      </c>
      <c r="F39" s="6" t="n">
        <v>240</v>
      </c>
      <c r="G39" s="6" t="n"/>
      <c r="H39" s="6" t="n">
        <v>240</v>
      </c>
    </row>
    <row r="40">
      <c r="A40" s="6" t="inlineStr">
        <is>
          <t>Issue of other equity instruments</t>
        </is>
      </c>
      <c r="B40" s="6" t="n"/>
      <c r="C40" s="6" t="n"/>
      <c r="D40" s="6" t="n"/>
      <c r="E40" s="6" t="n"/>
      <c r="F40" s="6" t="n"/>
      <c r="G40" s="6" t="n">
        <v>17030</v>
      </c>
      <c r="H40" s="6" t="n">
        <v>17030</v>
      </c>
    </row>
    <row r="41">
      <c r="A41" s="6" t="inlineStr">
        <is>
          <t>Coupon paid on other equity instruments</t>
        </is>
      </c>
      <c r="B41" s="6" t="n"/>
      <c r="C41" s="6" t="n"/>
      <c r="D41" s="6" t="n"/>
      <c r="E41" s="6" t="n">
        <v>-1404</v>
      </c>
      <c r="F41" s="6" t="n">
        <v>-1404</v>
      </c>
      <c r="G41" s="6" t="n"/>
      <c r="H41" s="6" t="n">
        <v>-1404</v>
      </c>
    </row>
    <row r="42">
      <c r="A42" s="5" t="inlineStr">
        <is>
          <t>Balance at 31 December 2022</t>
        </is>
      </c>
      <c r="B42" s="5" t="n">
        <v>139828</v>
      </c>
      <c r="C42" s="5" t="n">
        <v>196</v>
      </c>
      <c r="D42" s="5" t="n">
        <v>129</v>
      </c>
      <c r="E42" s="5" t="n">
        <v>101681</v>
      </c>
      <c r="F42" s="5" t="n">
        <v>241834</v>
      </c>
      <c r="G42" s="5" t="n">
        <v>17030</v>
      </c>
      <c r="H42" s="5" t="n">
        <v>258864</v>
      </c>
    </row>
    <row r="43">
      <c r="A43" s="6" t="inlineStr">
        <is>
          <t>Balance at 1 January 2023</t>
        </is>
      </c>
      <c r="B43" s="6" t="n">
        <v>139828</v>
      </c>
      <c r="C43" s="6" t="n">
        <v>196</v>
      </c>
      <c r="D43" s="6" t="n">
        <v>129</v>
      </c>
      <c r="E43" s="6" t="n">
        <v>101681</v>
      </c>
      <c r="F43" s="6" t="n">
        <v>241834</v>
      </c>
      <c r="G43" s="6" t="n">
        <v>17030</v>
      </c>
      <c r="H43" s="6" t="n">
        <v>258864</v>
      </c>
    </row>
    <row r="44">
      <c r="A44" s="6" t="inlineStr">
        <is>
          <t>Profit for the year</t>
        </is>
      </c>
      <c r="B44" s="6" t="n"/>
      <c r="C44" s="6" t="n"/>
      <c r="D44" s="6" t="n"/>
      <c r="E44" s="6" t="n">
        <v>67273</v>
      </c>
      <c r="F44" s="6" t="n">
        <v>67273</v>
      </c>
      <c r="G44" s="6" t="n"/>
      <c r="H44" s="6" t="n">
        <v>67273</v>
      </c>
    </row>
    <row r="45">
      <c r="A45" s="6" t="inlineStr">
        <is>
          <t>Cash flow hedges - effective portion of changes in fair value</t>
        </is>
      </c>
      <c r="B45" s="6" t="n"/>
      <c r="C45" s="6" t="n"/>
      <c r="D45" s="6" t="n">
        <v>-3394</v>
      </c>
      <c r="E45" s="6" t="n"/>
      <c r="F45" s="6" t="n">
        <v>-3394</v>
      </c>
      <c r="G45" s="6" t="n"/>
      <c r="H45" s="6" t="n">
        <v>-3394</v>
      </c>
    </row>
    <row r="46">
      <c r="A46" s="6" t="inlineStr">
        <is>
          <t>Cash-flow hedges - recycled to profit or loss</t>
        </is>
      </c>
      <c r="B46" s="6" t="n"/>
      <c r="C46" s="6" t="n"/>
      <c r="D46" s="6" t="n">
        <v>166</v>
      </c>
      <c r="E46" s="6" t="n"/>
      <c r="F46" s="6" t="n">
        <v>166</v>
      </c>
      <c r="G46" s="6" t="n"/>
      <c r="H46" s="6" t="n">
        <v>166</v>
      </c>
    </row>
    <row r="47">
      <c r="A47" s="6" t="inlineStr">
        <is>
          <t>Equity settled share-based payment</t>
        </is>
      </c>
      <c r="B47" s="6" t="n"/>
      <c r="C47" s="6" t="n"/>
      <c r="D47" s="6" t="n"/>
      <c r="E47" s="6" t="n">
        <v>1399</v>
      </c>
      <c r="F47" s="6" t="n">
        <v>1399</v>
      </c>
      <c r="G47" s="6" t="n"/>
      <c r="H47" s="6" t="n">
        <v>1399</v>
      </c>
    </row>
    <row r="48">
      <c r="A48" s="6" t="inlineStr">
        <is>
          <t>Coupon paid on other equity instruments</t>
        </is>
      </c>
      <c r="B48" s="6" t="n"/>
      <c r="C48" s="6" t="n"/>
      <c r="D48" s="6" t="n"/>
      <c r="E48" s="6" t="n">
        <v>-1507</v>
      </c>
      <c r="F48" s="6" t="n">
        <v>-1507</v>
      </c>
      <c r="G48" s="6" t="n"/>
      <c r="H48" s="6" t="n">
        <v>-1507</v>
      </c>
    </row>
    <row r="49">
      <c r="A49" s="5" t="inlineStr">
        <is>
          <t>Balance at 31 December 2023</t>
        </is>
      </c>
      <c r="B49" s="5" t="n">
        <v>139828</v>
      </c>
      <c r="C49" s="5" t="n">
        <v>196</v>
      </c>
      <c r="D49" s="5" t="n">
        <v>-3099</v>
      </c>
      <c r="E49" s="5" t="n">
        <v>168846</v>
      </c>
      <c r="F49" s="5" t="n">
        <v>305771</v>
      </c>
      <c r="G49" s="5" t="n">
        <v>17030</v>
      </c>
      <c r="H49" s="5" t="n">
        <v>322801</v>
      </c>
    </row>
    <row r="50">
      <c r="A50" s="6" t="inlineStr">
        <is>
          <t>Balance at 1 January 2024</t>
        </is>
      </c>
      <c r="B50" s="6" t="n">
        <v>139828</v>
      </c>
      <c r="C50" s="6" t="n">
        <v>196</v>
      </c>
      <c r="D50" s="6" t="n">
        <v>-3099</v>
      </c>
      <c r="E50" s="6" t="n">
        <v>168846</v>
      </c>
      <c r="F50" s="6" t="n">
        <v>305771</v>
      </c>
      <c r="G50" s="6" t="n">
        <v>17030</v>
      </c>
      <c r="H50" s="6" t="n">
        <v>322801</v>
      </c>
    </row>
    <row r="51">
      <c r="A51" s="6" t="inlineStr">
        <is>
          <t>Profit for the year</t>
        </is>
      </c>
      <c r="B51" s="6" t="n"/>
      <c r="C51" s="6" t="n"/>
      <c r="D51" s="6" t="n"/>
      <c r="E51" s="6" t="n">
        <v>53054</v>
      </c>
      <c r="F51" s="6" t="n">
        <v>53054</v>
      </c>
      <c r="G51" s="6" t="n"/>
      <c r="H51" s="6" t="n">
        <v>53054</v>
      </c>
    </row>
    <row r="52">
      <c r="A52" s="6" t="inlineStr">
        <is>
          <t>Cash flow hedges - effective portion of changes in fair value</t>
        </is>
      </c>
      <c r="B52" s="6" t="n"/>
      <c r="C52" s="6" t="n"/>
      <c r="D52" s="6" t="n">
        <v>-724</v>
      </c>
      <c r="E52" s="6" t="n"/>
      <c r="F52" s="6" t="n">
        <v>-724</v>
      </c>
      <c r="G52" s="6" t="n"/>
      <c r="H52" s="6" t="n">
        <v>-724</v>
      </c>
    </row>
    <row r="53">
      <c r="A53" s="6" t="inlineStr">
        <is>
          <t>Cash-flow hedges - recycled to profit or loss</t>
        </is>
      </c>
      <c r="B53" s="6" t="n"/>
      <c r="C53" s="6" t="n"/>
      <c r="D53" s="6" t="n">
        <v>1149</v>
      </c>
      <c r="E53" s="6" t="n"/>
      <c r="F53" s="6" t="n">
        <v>1149</v>
      </c>
      <c r="G53" s="6" t="n"/>
      <c r="H53" s="6" t="n">
        <v>1149</v>
      </c>
    </row>
    <row r="54">
      <c r="A54" s="6" t="inlineStr">
        <is>
          <t>Equity settled share-based payment</t>
        </is>
      </c>
      <c r="B54" s="6" t="n"/>
      <c r="C54" s="6" t="n"/>
      <c r="D54" s="6" t="n"/>
      <c r="E54" s="6" t="n">
        <v>-204</v>
      </c>
      <c r="F54" s="6" t="n">
        <v>-204</v>
      </c>
      <c r="G54" s="6" t="n"/>
      <c r="H54" s="6" t="n">
        <v>-204</v>
      </c>
    </row>
    <row r="55">
      <c r="A55" s="6" t="inlineStr">
        <is>
          <t>Coupon paid on other equity instruments</t>
        </is>
      </c>
      <c r="B55" s="6" t="n"/>
      <c r="C55" s="6" t="n"/>
      <c r="D55" s="6" t="n"/>
      <c r="E55" s="6" t="n">
        <v>-1517</v>
      </c>
      <c r="F55" s="6" t="n">
        <v>-1517</v>
      </c>
      <c r="G55" s="6" t="n"/>
      <c r="H55" s="6" t="n">
        <v>-1517</v>
      </c>
    </row>
    <row r="56">
      <c r="A56" s="5" t="inlineStr">
        <is>
          <t>Balance at 31 December 2024</t>
        </is>
      </c>
      <c r="B56" s="5" t="n">
        <v>139828</v>
      </c>
      <c r="C56" s="5" t="n">
        <v>196</v>
      </c>
      <c r="D56" s="5" t="n">
        <v>-2674</v>
      </c>
      <c r="E56" s="5" t="n">
        <v>220179</v>
      </c>
      <c r="F56" s="5" t="n">
        <v>357529</v>
      </c>
      <c r="G56" s="5" t="n">
        <v>17030</v>
      </c>
      <c r="H56" s="5" t="n">
        <v>374559</v>
      </c>
    </row>
    <row r="57">
      <c r="A57" s="6" t="inlineStr">
        <is>
          <t>Balance at 1 January 2025</t>
        </is>
      </c>
      <c r="B57" s="6" t="n">
        <v>139828</v>
      </c>
      <c r="C57" s="6" t="n">
        <v>196</v>
      </c>
      <c r="D57" s="6" t="n">
        <v>-2674</v>
      </c>
      <c r="E57" s="6" t="n">
        <v>220179</v>
      </c>
      <c r="F57" s="6" t="n">
        <v>357529</v>
      </c>
      <c r="G57" s="6" t="n">
        <v>17030</v>
      </c>
      <c r="H57" s="6" t="n">
        <v>374559</v>
      </c>
    </row>
    <row r="58">
      <c r="A58" s="6" t="inlineStr">
        <is>
          <t>Profit for the year</t>
        </is>
      </c>
      <c r="B58" s="6" t="n"/>
      <c r="C58" s="6" t="n"/>
      <c r="D58" s="6" t="n"/>
      <c r="E58" s="6" t="n">
        <v>60116</v>
      </c>
      <c r="F58" s="6" t="n">
        <v>60116</v>
      </c>
      <c r="G58" s="6" t="n"/>
      <c r="H58" s="6" t="n">
        <v>60116</v>
      </c>
    </row>
    <row r="59">
      <c r="A59" s="6" t="inlineStr">
        <is>
          <t>Cash flow hedges - effective portion of changes in fair value</t>
        </is>
      </c>
      <c r="B59" s="6" t="n"/>
      <c r="C59" s="6" t="n"/>
      <c r="D59" s="6" t="n">
        <v>-184</v>
      </c>
      <c r="E59" s="6" t="n"/>
      <c r="F59" s="6" t="n">
        <v>-184</v>
      </c>
      <c r="G59" s="6" t="n"/>
      <c r="H59" s="6" t="n">
        <v>-184</v>
      </c>
    </row>
    <row r="60">
      <c r="A60" s="6" t="inlineStr">
        <is>
          <t>Cash-flow hedges - recycled to profit or loss</t>
        </is>
      </c>
      <c r="B60" s="6" t="n"/>
      <c r="C60" s="6" t="n"/>
      <c r="D60" s="6" t="n">
        <v>676</v>
      </c>
      <c r="E60" s="6" t="n"/>
      <c r="F60" s="6" t="n">
        <v>676</v>
      </c>
      <c r="G60" s="6" t="n"/>
      <c r="H60" s="6" t="n">
        <v>676</v>
      </c>
    </row>
    <row r="61">
      <c r="A61" s="6" t="inlineStr">
        <is>
          <t>Equity settled share-based payment</t>
        </is>
      </c>
      <c r="B61" s="6" t="n"/>
      <c r="C61" s="6" t="n"/>
      <c r="D61" s="6" t="n"/>
      <c r="E61" s="6" t="n">
        <v>718</v>
      </c>
      <c r="F61" s="6" t="n">
        <v>718</v>
      </c>
      <c r="G61" s="6" t="n"/>
      <c r="H61" s="6" t="n">
        <v>718</v>
      </c>
    </row>
    <row r="62">
      <c r="A62" s="6" t="inlineStr">
        <is>
          <t>Coupon paid on other equity instruments</t>
        </is>
      </c>
      <c r="B62" s="6" t="n"/>
      <c r="C62" s="6" t="n"/>
      <c r="D62" s="6" t="n"/>
      <c r="E62" s="6" t="n">
        <v>-1518</v>
      </c>
      <c r="F62" s="6" t="n">
        <v>-1518</v>
      </c>
      <c r="G62" s="6" t="n"/>
      <c r="H62" s="6" t="n">
        <v>-1518</v>
      </c>
    </row>
    <row r="63">
      <c r="A63" s="5" t="inlineStr">
        <is>
          <t>Balance at 31 December 2025</t>
        </is>
      </c>
      <c r="B63" s="5" t="n">
        <v>139828</v>
      </c>
      <c r="C63" s="5" t="n">
        <v>196</v>
      </c>
      <c r="D63" s="5" t="n">
        <v>-2182</v>
      </c>
      <c r="E63" s="5" t="n">
        <v>279495</v>
      </c>
      <c r="F63" s="5" t="n">
        <v>417337</v>
      </c>
      <c r="G63" s="5" t="n">
        <v>17030</v>
      </c>
      <c r="H63" s="5" t="n">
        <v>434367</v>
      </c>
    </row>
    <row r="65" ht="390" customHeight="1">
      <c r="A65" s="8" t="inlineStr">
        <is>
          <t>Sources - Hampshire Trust Bank Plc's own Bank Statement of Changes in Equity, each year's own originally-published report (page as cited on the Balance Sheet/P&amp;L sheets' source notes for that year - the equity statement sits on the immediately adjacent page in every filing):
FY2025: https://find-and-update.company-information.service.gov.uk/company/01311315/filing-history/MzUyMTMxMjk3OWFkaXF6a2N4/document?format=pdf&amp;download=0 (p.62)
FY2024: https://find-and-update.company-information.service.gov.uk/company/01311315/filing-history/MzQ2NTc0NTU3N2FkaXF6a2N4/document?format=pdf&amp;download=0 (p.72)
FY2023: https://find-and-update.company-information.service.gov.uk/company/01311315/filing-history/MzQyNDU2MzAzMmFkaXF6a2N4/document?format=pdf&amp;download=0 (p.60ish, Bank statement)
FY2022: https://find-and-update.company-information.service.gov.uk/company/01311315/filing-history/MzM4ODU3ODUzOWFkaXF6a2N4/document?format=pdf&amp;download=0 (p.59)
FY2021: https://find-and-update.company-information.service.gov.uk/company/01311315/filing-history/MzM0MjI1MzEyMmFkaXF6a2N4/document?format=pdf&amp;download=0 (p.52, single Company statement)
FY2020: https://www.htb.co.uk/htbcontent/uploads/2021/11/HTB_Annual_Report_2020.pdf (p.53-54, includes FY2019 comparative chain)
FY2019: https://find-and-update.company-information.service.gov.uk/company/01311315/filing-history/MzI3MTk4MjMzN2FkaXF6a2N4/document?format=pdf&amp;download=0 (p.45, scanned/image-only)
FY2018: https://find-and-update.company-information.service.gov.uk/company/01311315/filing-history/MzIzNzQ4OTc1NWFkaXF6a2N4/document?format=pdf&amp;download=0 (p.38, scanned/image-only)
FY2017: https://www.htb.co.uk/htbcontent/uploads/2019/08/Hampshire-Trust-Bank-HTB-2017-Annual-Report-1.pdf (p.37)
FY2016: https://www.htb.co.uk/htbcontent/uploads/2019/08/Hampshire-Trust-Bank-HTB-2016-Annual-Report-1.pdf (p.29)
Balance Sheet, Profit &amp; Loss and Statement of Changes in Equity all use the Bank (parent-entity, non-consolidated) column, matching the entity-level basis used throughout this workbook. Every year's own originally-published figures are used (e.g. FY2023 comes from HTB's own FY2023 Annual Report, FY2024 from its own FY2024 report), not a later restated comparative column - confirmed identical between each year's own report and the next year's comparative column in every case checked. FY2021 and earlier all predate any Group consolidation (first subsidiary acquired during FY2022) and predate HTB's use of cash-flow hedge accounting - no Cash flow hedge reserve, Investment in subsidiaries, or Other equity instruments (non-controlling interest) balance exists in any of FY2016-FY2021. Corporation tax asset is only broken out as its own Balance Sheet line from FY2025 onward - FY2024 and earlier years fold it into Other assets (confirmed: FY2024's Other assets of 227,921 = the 226,100 shown in the FY2025 report's restated FY2024 comparative plus that year's 1,821 Corporation tax asset, transcribed here on each year's own originally-disclosed basis, i.e. undivided).
FY2016-FY2020 all predate HTB's Group consolidation (first subsidiary acquired during FY2022) and use the Bank's own single (pre-Group-split) statements/disclosures throughout - there is no separate Group/Bank column to choose between in any of these 5 years. FY2016-FY2017 also predate IFRS 9 (adopted 1 Jan 2018, not restated in comparatives), IFRS 16 leases (adopted 1 Jan 2019) and any subordinated debt or central bank facility drawn that early (Central Bank Facilities first drawn FY2017; Subordinated Liabilities first issued FY2018) - rows that don't exist yet in a given year are left blank rather than assumed zero, except where that year's own report explicitly discloses a nil/dash balance for a line item that does exist that year (entered as 0).
A 'Fair value through OCI reserve' equity component (distinct from the later Cash flow hedge reserve - it holds fair value movements on debt securities held at FVOCI, not derivative hedge movements) exists only in FY2018-FY2020 (FY2018: £(50)k, FY2019/FY2020: £0, i.e. genuinely nil those two years, not undisclosed) - added as its own row since it is not the same reserve as the Cash flow hedge reserve used from FY2022 onward. FY2018's Balance Sheet Deferred Tax Liabilities line (£13k, no equivalent row in this workbook's standard shape) is folded into that year's Other liabilities figure (11,886 + 13 = 11,899) so the liabilities total still ties exactly to the £898,423k disclosed total. Provisions for Liabilities is disclosed as its own Balance Sheet line only FY2016-FY2018 (FY2016: £36k, FY2017: £303k, FY2018: £0, i.e. genuinely nil that year) - folded into Other liabilities from FY2019 onward, where it is no longer broken out as a separate line at all.
Built using the per-year reconciliation ladder: every year's closing balance ties exactly to both the next year's own opening balance and that year's own Balance Sheet Total equity - zero plug rows needed anywhere in this roll-forward. The 'Balance at 31 December 2020 / 1 January 2021' row merges what were two identical duplicate rows in the original per-year sourcing (that year's closing balance and the next year's opening balance) into one, as this workbook has done at every other year boundary in this roll-forward.</t>
        </is>
      </c>
    </row>
    <row r="67" ht="210" customHeight="1">
      <c r="A67" s="8" t="inlineStr">
        <is>
          <t>(continued)
This workbook's Statement of Changes in Equity has no dedicated 'Fair value through OCI reserve' column (only the Balance Sheet does, since that reserve exists only in FY2018-FY2020 and is tiny - at most £50k). Its movements are folded into the 'Retained earnings' column here instead (labelled 'Profit for the year / other comprehensive income (incl. FVOCI reserve movement, see note)' on the FY2018 and FY2019 movement rows) so this sheet's FY2018/FY2019 'Retained earnings' column reads £14,266k/£24,991k rather than the Balance Sheet's own separately-stated £14,316k/£24,991k retained earnings line (FY2018 differs by exactly £50k, the folded-in FVOCI reserve; FY2019's FVOCI reserve is £0 that year so the two figures happen to coincide) - both are correct on their own sheet's own convention, not a reconciliation break. FY2018's IFRS 9 transition adjustment (£(506)k ECL day-1 adjustment plus £1,301k FVTPL reclassification, both net of tax, both hitting retained earnings) is combined into one 'Adjustment on initial application of IFRS 9' row for the same reason - the combined £795k figure is exact, not a rounding of the two components.</t>
        </is>
      </c>
    </row>
  </sheetData>
  <mergeCells count="2">
    <mergeCell ref="A65:H65"/>
    <mergeCell ref="A67:H6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Bank Statement of Cash Flows</t>
        </is>
      </c>
    </row>
    <row r="2">
      <c r="A2" s="2" t="inlineStr">
        <is>
          <t>Bank (parent-entity) column; FY2021 and earlier predate Group consolidation and use the single Company statement —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Operating activities</t>
        </is>
      </c>
      <c r="B4" s="6" t="n"/>
      <c r="C4" s="6" t="n"/>
      <c r="D4" s="6" t="n"/>
      <c r="E4" s="6" t="n"/>
      <c r="F4" s="6" t="n"/>
      <c r="G4" s="6" t="n"/>
      <c r="H4" s="6" t="n"/>
      <c r="I4" s="6" t="n"/>
      <c r="J4" s="6" t="n"/>
      <c r="K4" s="6" t="n"/>
    </row>
    <row r="5">
      <c r="A5" s="6" t="inlineStr">
        <is>
          <t>Profit before tax for the year</t>
        </is>
      </c>
      <c r="B5" s="6" t="n">
        <v>78521</v>
      </c>
      <c r="C5" s="6" t="n">
        <v>72461</v>
      </c>
      <c r="D5" s="6" t="n">
        <v>80407</v>
      </c>
      <c r="E5" s="6" t="n">
        <v>64521</v>
      </c>
      <c r="F5" s="6" t="n">
        <v>27346</v>
      </c>
      <c r="G5" s="6" t="n">
        <v>2863</v>
      </c>
      <c r="H5" s="6" t="n">
        <v>13545</v>
      </c>
      <c r="I5" s="6" t="n">
        <v>11148</v>
      </c>
      <c r="J5" s="6" t="n">
        <v>10104</v>
      </c>
      <c r="K5" s="6" t="n">
        <v>2795</v>
      </c>
    </row>
    <row r="6">
      <c r="A6" s="6" t="inlineStr">
        <is>
          <t>Depreciation and amortisation</t>
        </is>
      </c>
      <c r="B6" s="6" t="n">
        <v>6963</v>
      </c>
      <c r="C6" s="6" t="n">
        <v>5800</v>
      </c>
      <c r="D6" s="6" t="n">
        <v>4936</v>
      </c>
      <c r="E6" s="6" t="n">
        <v>4411</v>
      </c>
      <c r="F6" s="6" t="n">
        <v>3936</v>
      </c>
      <c r="G6" s="6" t="n">
        <v>3524</v>
      </c>
      <c r="H6" s="6" t="n">
        <v>2885</v>
      </c>
      <c r="I6" s="6" t="n">
        <v>1409</v>
      </c>
      <c r="J6" s="6" t="n">
        <v>991</v>
      </c>
      <c r="K6" s="6" t="n">
        <v>676</v>
      </c>
    </row>
    <row r="7">
      <c r="A7" s="6" t="inlineStr">
        <is>
          <t>Loss on disposal of fixed assets</t>
        </is>
      </c>
      <c r="B7" s="6" t="n"/>
      <c r="C7" s="6" t="n"/>
      <c r="D7" s="6" t="n">
        <v>503</v>
      </c>
      <c r="E7" s="6" t="n"/>
      <c r="F7" s="6" t="n"/>
      <c r="G7" s="6" t="n"/>
      <c r="H7" s="6" t="n"/>
      <c r="I7" s="6" t="n"/>
      <c r="J7" s="6" t="n"/>
      <c r="K7" s="6" t="n"/>
    </row>
    <row r="8">
      <c r="A8" s="6" t="inlineStr">
        <is>
          <t>Impairment loss on investment in subsidiaries</t>
        </is>
      </c>
      <c r="B8" s="6" t="n">
        <v>26500</v>
      </c>
      <c r="C8" s="6" t="n">
        <v>11219</v>
      </c>
      <c r="D8" s="6" t="n"/>
      <c r="E8" s="6" t="n"/>
      <c r="F8" s="6" t="n"/>
      <c r="G8" s="6" t="n"/>
      <c r="H8" s="6" t="n"/>
      <c r="I8" s="6" t="n"/>
      <c r="J8" s="6" t="n"/>
      <c r="K8" s="6" t="n"/>
    </row>
    <row r="9">
      <c r="A9" s="6" t="inlineStr">
        <is>
          <t>Foreign exchange gains/(losses)</t>
        </is>
      </c>
      <c r="B9" s="6" t="n">
        <v>-29</v>
      </c>
      <c r="C9" s="6" t="n"/>
      <c r="D9" s="6" t="n"/>
      <c r="E9" s="6" t="n">
        <v>-2</v>
      </c>
      <c r="F9" s="6" t="n">
        <v>9</v>
      </c>
      <c r="G9" s="6" t="n">
        <v>3</v>
      </c>
      <c r="H9" s="6" t="n">
        <v>6</v>
      </c>
      <c r="I9" s="6" t="n">
        <v>-8</v>
      </c>
      <c r="J9" s="6" t="n">
        <v>5</v>
      </c>
      <c r="K9" s="6" t="n">
        <v>-34</v>
      </c>
    </row>
    <row r="10">
      <c r="A10" s="6" t="inlineStr">
        <is>
          <t>Gain on securitisation</t>
        </is>
      </c>
      <c r="B10" s="6" t="n"/>
      <c r="C10" s="6" t="n">
        <v>-10414</v>
      </c>
      <c r="D10" s="6" t="n"/>
      <c r="E10" s="6" t="n"/>
      <c r="F10" s="6" t="n"/>
      <c r="G10" s="6" t="n"/>
      <c r="H10" s="6" t="n"/>
      <c r="I10" s="6" t="n"/>
      <c r="J10" s="6" t="n"/>
      <c r="K10" s="6" t="n"/>
    </row>
    <row r="11">
      <c r="A11" s="6" t="inlineStr">
        <is>
          <t>Increase in impairment of loans and advances</t>
        </is>
      </c>
      <c r="B11" s="6" t="n">
        <v>10147</v>
      </c>
      <c r="C11" s="6" t="n">
        <v>8939</v>
      </c>
      <c r="D11" s="6" t="n">
        <v>7183</v>
      </c>
      <c r="E11" s="6" t="n">
        <v>11995</v>
      </c>
      <c r="F11" s="6" t="n">
        <v>6362</v>
      </c>
      <c r="G11" s="6" t="n">
        <v>3753</v>
      </c>
      <c r="H11" s="6" t="n">
        <v>776</v>
      </c>
      <c r="I11" s="6" t="n">
        <v>-1582</v>
      </c>
      <c r="J11" s="6" t="n">
        <v>4078</v>
      </c>
      <c r="K11" s="6" t="n">
        <v>2607</v>
      </c>
    </row>
    <row r="12">
      <c r="A12" s="6" t="inlineStr">
        <is>
          <t>Increase/(decrease) in provisions</t>
        </is>
      </c>
      <c r="B12" s="6" t="n">
        <v>1831</v>
      </c>
      <c r="C12" s="6" t="n">
        <v>1364</v>
      </c>
      <c r="D12" s="6" t="n">
        <v>6036</v>
      </c>
      <c r="E12" s="6" t="n">
        <v>3215</v>
      </c>
      <c r="F12" s="6" t="n">
        <v>-4206</v>
      </c>
      <c r="G12" s="6" t="n">
        <v>10918</v>
      </c>
      <c r="H12" s="6" t="n">
        <v>2599</v>
      </c>
      <c r="I12" s="6" t="n">
        <v>-303</v>
      </c>
      <c r="J12" s="6" t="n">
        <v>267</v>
      </c>
      <c r="K12" s="6" t="n">
        <v>-9</v>
      </c>
    </row>
    <row r="13">
      <c r="A13" s="6" t="inlineStr">
        <is>
          <t>Equity-settled share-based payment transactions</t>
        </is>
      </c>
      <c r="B13" s="6" t="n">
        <v>718</v>
      </c>
      <c r="C13" s="6" t="n">
        <v>-204</v>
      </c>
      <c r="D13" s="6" t="n">
        <v>1399</v>
      </c>
      <c r="E13" s="6" t="n">
        <v>240</v>
      </c>
      <c r="F13" s="6" t="n">
        <v>676</v>
      </c>
      <c r="G13" s="6" t="n">
        <v>30</v>
      </c>
      <c r="H13" s="6" t="n">
        <v>-16</v>
      </c>
      <c r="I13" s="6" t="n">
        <v>335</v>
      </c>
      <c r="J13" s="6" t="n">
        <v>549</v>
      </c>
      <c r="K13" s="6" t="n">
        <v>341</v>
      </c>
    </row>
    <row r="14">
      <c r="A14" s="6" t="inlineStr">
        <is>
          <t>Bond premium/discount amortisation</t>
        </is>
      </c>
      <c r="B14" s="6" t="n">
        <v>157</v>
      </c>
      <c r="C14" s="6" t="n">
        <v>-1943</v>
      </c>
      <c r="D14" s="6" t="n">
        <v>-4943</v>
      </c>
      <c r="E14" s="6" t="n">
        <v>-335</v>
      </c>
      <c r="F14" s="6" t="n">
        <v>1275</v>
      </c>
      <c r="G14" s="6" t="n">
        <v>-67</v>
      </c>
      <c r="H14" s="6" t="n"/>
      <c r="I14" s="6" t="n"/>
      <c r="J14" s="6" t="n"/>
      <c r="K14" s="6" t="n"/>
    </row>
    <row r="15">
      <c r="A15" s="6" t="inlineStr">
        <is>
          <t>Decrease/(increase) in fair value of derivative assets</t>
        </is>
      </c>
      <c r="B15" s="6" t="n">
        <v>30481</v>
      </c>
      <c r="C15" s="6" t="n">
        <v>18609</v>
      </c>
      <c r="D15" s="6" t="n">
        <v>41007</v>
      </c>
      <c r="E15" s="6" t="n">
        <v>-76695</v>
      </c>
      <c r="F15" s="6" t="n">
        <v>-28408</v>
      </c>
      <c r="G15" s="6" t="n">
        <v>10120</v>
      </c>
      <c r="H15" s="6" t="n">
        <v>3574</v>
      </c>
      <c r="I15" s="6" t="n">
        <v>82</v>
      </c>
      <c r="J15" s="6" t="n">
        <v>-157</v>
      </c>
      <c r="K15" s="6" t="n">
        <v>-5</v>
      </c>
    </row>
    <row r="16">
      <c r="A16" s="6" t="inlineStr">
        <is>
          <t>Increase/(decrease) in fair value of loans and advances designated as hedged items</t>
        </is>
      </c>
      <c r="B16" s="6" t="n">
        <v>-32163</v>
      </c>
      <c r="C16" s="6" t="n">
        <v>-19784</v>
      </c>
      <c r="D16" s="6" t="n">
        <v>-39698</v>
      </c>
      <c r="E16" s="6" t="n">
        <v>73530</v>
      </c>
      <c r="F16" s="6" t="n">
        <v>25595</v>
      </c>
      <c r="G16" s="6" t="n">
        <v>-9116</v>
      </c>
      <c r="H16" s="6" t="n">
        <v>-3243</v>
      </c>
      <c r="I16" s="6" t="n"/>
      <c r="J16" s="6" t="n"/>
      <c r="K16" s="6" t="n"/>
    </row>
    <row r="17">
      <c r="A17" s="6" t="inlineStr">
        <is>
          <t>Decrease/(increase) in fair value of loans and advances held at FVTPL</t>
        </is>
      </c>
      <c r="B17" s="6" t="n">
        <v>188</v>
      </c>
      <c r="C17" s="6" t="n">
        <v>-53</v>
      </c>
      <c r="D17" s="6" t="n">
        <v>1436</v>
      </c>
      <c r="E17" s="6" t="n">
        <v>-6981</v>
      </c>
      <c r="F17" s="6" t="n">
        <v>-749</v>
      </c>
      <c r="G17" s="6" t="n">
        <v>6463</v>
      </c>
      <c r="H17" s="6" t="n">
        <v>4088</v>
      </c>
      <c r="I17" s="6" t="n">
        <v>1682</v>
      </c>
      <c r="J17" s="6" t="n"/>
      <c r="K17" s="6" t="n"/>
    </row>
    <row r="18">
      <c r="A18" s="6" t="inlineStr">
        <is>
          <t>(Increase)/decrease in fair value of GILTs</t>
        </is>
      </c>
      <c r="B18" s="6" t="n"/>
      <c r="C18" s="6" t="n"/>
      <c r="D18" s="6" t="n"/>
      <c r="E18" s="6" t="n"/>
      <c r="F18" s="6" t="n"/>
      <c r="G18" s="6" t="n"/>
      <c r="H18" s="6" t="n">
        <v>61</v>
      </c>
      <c r="I18" s="6" t="n"/>
      <c r="J18" s="6" t="n"/>
      <c r="K18" s="6" t="n"/>
    </row>
    <row r="19">
      <c r="A19" s="6" t="inlineStr">
        <is>
          <t>Repayment of the interest accrued on lease liabilities</t>
        </is>
      </c>
      <c r="B19" s="6" t="n">
        <v>228</v>
      </c>
      <c r="C19" s="6" t="n">
        <v>258</v>
      </c>
      <c r="D19" s="6" t="n">
        <v>142</v>
      </c>
      <c r="E19" s="6" t="n">
        <v>70</v>
      </c>
      <c r="F19" s="6" t="n">
        <v>-129</v>
      </c>
      <c r="G19" s="6" t="n">
        <v>-187</v>
      </c>
      <c r="H19" s="6" t="n">
        <v>-240</v>
      </c>
      <c r="I19" s="6" t="n"/>
      <c r="J19" s="6" t="n"/>
      <c r="K19" s="6" t="n"/>
    </row>
    <row r="20">
      <c r="A20" s="6" t="inlineStr">
        <is>
          <t>Dividends received</t>
        </is>
      </c>
      <c r="B20" s="6" t="n">
        <v>-26500</v>
      </c>
      <c r="C20" s="6" t="n">
        <v>-11000</v>
      </c>
      <c r="D20" s="6" t="n">
        <v>-27500</v>
      </c>
      <c r="E20" s="6" t="n">
        <v>-20000</v>
      </c>
      <c r="F20" s="6" t="n"/>
      <c r="G20" s="6" t="n"/>
      <c r="H20" s="6" t="n"/>
      <c r="I20" s="6" t="n"/>
      <c r="J20" s="6" t="n"/>
      <c r="K20" s="6" t="n"/>
    </row>
    <row r="21">
      <c r="A21" s="6" t="inlineStr">
        <is>
          <t>Other acquisition costs recognised through equity</t>
        </is>
      </c>
      <c r="B21" s="6" t="n"/>
      <c r="C21" s="6" t="n"/>
      <c r="D21" s="6" t="n"/>
      <c r="E21" s="6" t="n">
        <v>-392</v>
      </c>
      <c r="F21" s="6" t="n"/>
      <c r="G21" s="6" t="n"/>
      <c r="H21" s="6" t="n"/>
      <c r="I21" s="6" t="n"/>
      <c r="J21" s="6" t="n"/>
      <c r="K21" s="6" t="n"/>
    </row>
    <row r="22">
      <c r="A22" s="6" t="inlineStr">
        <is>
          <t>Corporation tax paid</t>
        </is>
      </c>
      <c r="B22" s="6" t="n">
        <v>-21655</v>
      </c>
      <c r="C22" s="6" t="n">
        <v>-18086</v>
      </c>
      <c r="D22" s="6" t="n">
        <v>-15835</v>
      </c>
      <c r="E22" s="6" t="n">
        <v>-14257</v>
      </c>
      <c r="F22" s="6" t="n">
        <v>-3709</v>
      </c>
      <c r="G22" s="6" t="n">
        <v>-2091</v>
      </c>
      <c r="H22" s="6" t="n">
        <v>-2230</v>
      </c>
      <c r="I22" s="6" t="n">
        <v>-2077</v>
      </c>
      <c r="J22" s="6" t="n">
        <v>-1070</v>
      </c>
      <c r="K22" s="6" t="n"/>
    </row>
    <row r="23">
      <c r="A23" s="6" t="inlineStr">
        <is>
          <t>Corporation tax received</t>
        </is>
      </c>
      <c r="B23" s="6" t="n">
        <v>1166</v>
      </c>
      <c r="C23" s="6" t="n"/>
      <c r="D23" s="6" t="n"/>
      <c r="E23" s="6" t="n"/>
      <c r="F23" s="6" t="n"/>
      <c r="G23" s="6" t="n"/>
      <c r="H23" s="6" t="n"/>
      <c r="I23" s="6" t="n"/>
      <c r="J23" s="6" t="n"/>
      <c r="K23" s="6" t="n"/>
    </row>
    <row r="24">
      <c r="A24" s="6" t="inlineStr">
        <is>
          <t>(Increase) in loans and advances to customers</t>
        </is>
      </c>
      <c r="B24" s="6" t="n">
        <v>-1121847</v>
      </c>
      <c r="C24" s="6" t="n">
        <v>-717726</v>
      </c>
      <c r="D24" s="6" t="n">
        <v>-675670</v>
      </c>
      <c r="E24" s="6" t="n">
        <v>-625569</v>
      </c>
      <c r="F24" s="6" t="n">
        <v>-419379</v>
      </c>
      <c r="G24" s="6" t="n">
        <v>-158211</v>
      </c>
      <c r="H24" s="6" t="n">
        <v>-278881</v>
      </c>
      <c r="I24" s="6" t="n">
        <v>-266849</v>
      </c>
      <c r="J24" s="6" t="n">
        <v>-173034</v>
      </c>
      <c r="K24" s="6" t="n">
        <v>-288487</v>
      </c>
    </row>
    <row r="25">
      <c r="A25" s="6" t="inlineStr">
        <is>
          <t>(Increase)/decrease in other assets</t>
        </is>
      </c>
      <c r="B25" s="6" t="n">
        <v>61605</v>
      </c>
      <c r="C25" s="6" t="n">
        <v>6841</v>
      </c>
      <c r="D25" s="6" t="n">
        <v>-169564</v>
      </c>
      <c r="E25" s="6" t="n">
        <v>-94775</v>
      </c>
      <c r="F25" s="6" t="n">
        <v>-508</v>
      </c>
      <c r="G25" s="6" t="n">
        <v>1950</v>
      </c>
      <c r="H25" s="6" t="n">
        <v>-3324</v>
      </c>
      <c r="I25" s="6" t="n">
        <v>-964</v>
      </c>
      <c r="J25" s="6" t="n">
        <v>41</v>
      </c>
      <c r="K25" s="6" t="n">
        <v>-1098</v>
      </c>
    </row>
    <row r="26">
      <c r="A26" s="6" t="inlineStr">
        <is>
          <t>(Decrease)/increase in central bank facilities</t>
        </is>
      </c>
      <c r="B26" s="6" t="n">
        <v>-5000</v>
      </c>
      <c r="C26" s="6" t="n">
        <v>-5000</v>
      </c>
      <c r="D26" s="6" t="n">
        <v>5000</v>
      </c>
      <c r="E26" s="6" t="n"/>
      <c r="F26" s="6" t="n">
        <v>115000</v>
      </c>
      <c r="G26" s="6" t="n">
        <v>7000</v>
      </c>
      <c r="H26" s="6" t="n">
        <v>38000</v>
      </c>
      <c r="I26" s="6" t="n">
        <v>115000</v>
      </c>
      <c r="J26" s="6" t="n">
        <v>20000</v>
      </c>
      <c r="K26" s="6" t="n"/>
    </row>
    <row r="27">
      <c r="A27" s="6" t="inlineStr">
        <is>
          <t>(Increase)/decrease in collateral held with banks</t>
        </is>
      </c>
      <c r="B27" s="6" t="n">
        <v>-30078</v>
      </c>
      <c r="C27" s="6" t="n">
        <v>-25256</v>
      </c>
      <c r="D27" s="6" t="n">
        <v>-33646</v>
      </c>
      <c r="E27" s="6" t="n">
        <v>73421</v>
      </c>
      <c r="F27" s="6" t="n">
        <v>27594</v>
      </c>
      <c r="G27" s="6" t="n"/>
      <c r="H27" s="6" t="n"/>
      <c r="I27" s="6" t="n">
        <v>-11</v>
      </c>
      <c r="J27" s="6" t="n">
        <v>-2750</v>
      </c>
      <c r="K27" s="6" t="n"/>
    </row>
    <row r="28">
      <c r="A28" s="6" t="inlineStr">
        <is>
          <t>(Increase)/decrease in debt securities (operating)</t>
        </is>
      </c>
      <c r="B28" s="6" t="n"/>
      <c r="C28" s="6" t="n"/>
      <c r="D28" s="6" t="n"/>
      <c r="E28" s="6" t="n"/>
      <c r="F28" s="6" t="n"/>
      <c r="G28" s="6" t="n"/>
      <c r="H28" s="6" t="n">
        <v>15098</v>
      </c>
      <c r="I28" s="6" t="n">
        <v>-15098</v>
      </c>
      <c r="J28" s="6" t="n"/>
      <c r="K28" s="6" t="n"/>
    </row>
    <row r="29">
      <c r="A29" s="6" t="inlineStr">
        <is>
          <t>Increase in customer deposits</t>
        </is>
      </c>
      <c r="B29" s="6" t="n">
        <v>702733</v>
      </c>
      <c r="C29" s="6" t="n">
        <v>1324101</v>
      </c>
      <c r="D29" s="6" t="n">
        <v>765355</v>
      </c>
      <c r="E29" s="6" t="n">
        <v>798748</v>
      </c>
      <c r="F29" s="6" t="n">
        <v>512682</v>
      </c>
      <c r="G29" s="6" t="n">
        <v>219961</v>
      </c>
      <c r="H29" s="6" t="n">
        <v>183827</v>
      </c>
      <c r="I29" s="6" t="n">
        <v>124422</v>
      </c>
      <c r="J29" s="6" t="n">
        <v>72981</v>
      </c>
      <c r="K29" s="6" t="n">
        <v>336143</v>
      </c>
    </row>
    <row r="30">
      <c r="A30" s="6" t="inlineStr">
        <is>
          <t>Increase/(decrease) in subordinated and other liabilities</t>
        </is>
      </c>
      <c r="B30" s="6" t="n">
        <v>-12373</v>
      </c>
      <c r="C30" s="6" t="n">
        <v>-20701</v>
      </c>
      <c r="D30" s="6" t="n">
        <v>6564</v>
      </c>
      <c r="E30" s="6" t="n">
        <v>68205</v>
      </c>
      <c r="F30" s="6" t="n">
        <v>3637</v>
      </c>
      <c r="G30" s="6" t="n">
        <v>-685</v>
      </c>
      <c r="H30" s="6" t="n">
        <v>3068</v>
      </c>
      <c r="I30" s="6" t="n">
        <v>2032</v>
      </c>
      <c r="J30" s="6" t="n">
        <v>695</v>
      </c>
      <c r="K30" s="6" t="n">
        <v>4613</v>
      </c>
    </row>
    <row r="31">
      <c r="A31" s="5" t="inlineStr">
        <is>
          <t>Net cash from/(used in) operating activities</t>
        </is>
      </c>
      <c r="B31" s="5" t="n">
        <v>-328407</v>
      </c>
      <c r="C31" s="5" t="n">
        <v>619425</v>
      </c>
      <c r="D31" s="5" t="n">
        <v>-46888</v>
      </c>
      <c r="E31" s="5" t="n">
        <v>259350</v>
      </c>
      <c r="F31" s="5" t="n">
        <v>267024</v>
      </c>
      <c r="G31" s="5" t="n">
        <v>96228</v>
      </c>
      <c r="H31" s="5" t="n">
        <v>-20407</v>
      </c>
      <c r="I31" s="5" t="n">
        <v>-30782</v>
      </c>
      <c r="J31" s="5" t="n">
        <v>-67300</v>
      </c>
      <c r="K31" s="5" t="n">
        <v>57542</v>
      </c>
    </row>
    <row r="32">
      <c r="A32" s="5" t="inlineStr">
        <is>
          <t>Investing activities</t>
        </is>
      </c>
      <c r="B32" s="6" t="n"/>
      <c r="C32" s="6" t="n"/>
      <c r="D32" s="6" t="n"/>
      <c r="E32" s="6" t="n"/>
      <c r="F32" s="6" t="n"/>
      <c r="G32" s="6" t="n"/>
      <c r="H32" s="6" t="n"/>
      <c r="I32" s="6" t="n"/>
      <c r="J32" s="6" t="n"/>
      <c r="K32" s="6" t="n"/>
    </row>
    <row r="33">
      <c r="A33" s="6" t="inlineStr">
        <is>
          <t>Acquisition of subsidiary, net of cash acquired</t>
        </is>
      </c>
      <c r="B33" s="6" t="n"/>
      <c r="C33" s="6" t="n"/>
      <c r="D33" s="6" t="n"/>
      <c r="E33" s="6" t="n">
        <v>-32000</v>
      </c>
      <c r="F33" s="6" t="n"/>
      <c r="G33" s="6" t="n"/>
      <c r="H33" s="6" t="n"/>
      <c r="I33" s="6" t="n"/>
      <c r="J33" s="6" t="n"/>
      <c r="K33" s="6" t="n"/>
    </row>
    <row r="34">
      <c r="A34" s="6" t="inlineStr">
        <is>
          <t>Dividends received from subsidiary undertakings</t>
        </is>
      </c>
      <c r="B34" s="6" t="n">
        <v>26500</v>
      </c>
      <c r="C34" s="6" t="n">
        <v>11000</v>
      </c>
      <c r="D34" s="6" t="n">
        <v>27500</v>
      </c>
      <c r="E34" s="6" t="n">
        <v>20000</v>
      </c>
      <c r="F34" s="6" t="n"/>
      <c r="G34" s="6" t="n"/>
      <c r="H34" s="6" t="n"/>
      <c r="I34" s="6" t="n"/>
      <c r="J34" s="6" t="n"/>
      <c r="K34" s="6" t="n"/>
    </row>
    <row r="35">
      <c r="A35" s="6" t="inlineStr">
        <is>
          <t>Purchase of property, plant and equipment</t>
        </is>
      </c>
      <c r="B35" s="6" t="n">
        <v>-300</v>
      </c>
      <c r="C35" s="6" t="n">
        <v>-298</v>
      </c>
      <c r="D35" s="6" t="n">
        <v>-4742</v>
      </c>
      <c r="E35" s="6" t="n">
        <v>-543</v>
      </c>
      <c r="F35" s="6" t="n">
        <v>-231</v>
      </c>
      <c r="G35" s="6" t="n">
        <v>-278</v>
      </c>
      <c r="H35" s="6" t="n">
        <v>-280</v>
      </c>
      <c r="I35" s="6" t="n">
        <v>-790</v>
      </c>
      <c r="J35" s="6" t="n">
        <v>-1329</v>
      </c>
      <c r="K35" s="6" t="n">
        <v>-761</v>
      </c>
    </row>
    <row r="36">
      <c r="A36" s="6" t="inlineStr">
        <is>
          <t>Disposal of property, plant and equipment</t>
        </is>
      </c>
      <c r="B36" s="6" t="n"/>
      <c r="C36" s="6" t="n">
        <v>51</v>
      </c>
      <c r="D36" s="6" t="n"/>
      <c r="E36" s="6" t="n"/>
      <c r="F36" s="6" t="n"/>
      <c r="G36" s="6" t="n"/>
      <c r="H36" s="6" t="n"/>
      <c r="I36" s="6" t="n"/>
      <c r="J36" s="6" t="n"/>
      <c r="K36" s="6" t="n"/>
    </row>
    <row r="37">
      <c r="A37" s="6" t="inlineStr">
        <is>
          <t>Purchase of intangible assets</t>
        </is>
      </c>
      <c r="B37" s="6" t="n">
        <v>-4612</v>
      </c>
      <c r="C37" s="6" t="n">
        <v>-6814</v>
      </c>
      <c r="D37" s="6" t="n">
        <v>-5424</v>
      </c>
      <c r="E37" s="6" t="n">
        <v>-4777</v>
      </c>
      <c r="F37" s="6" t="n">
        <v>-3355</v>
      </c>
      <c r="G37" s="6" t="n">
        <v>-2772</v>
      </c>
      <c r="H37" s="6" t="n">
        <v>-3400</v>
      </c>
      <c r="I37" s="6" t="n">
        <v>-1876</v>
      </c>
      <c r="J37" s="6" t="n">
        <v>-1819</v>
      </c>
      <c r="K37" s="6" t="n">
        <v>-1150</v>
      </c>
    </row>
    <row r="38">
      <c r="A38" s="6" t="inlineStr">
        <is>
          <t>Disposal of intangible assets</t>
        </is>
      </c>
      <c r="B38" s="6" t="n">
        <v>477</v>
      </c>
      <c r="C38" s="6" t="n">
        <v>67</v>
      </c>
      <c r="D38" s="6" t="n"/>
      <c r="E38" s="6" t="n"/>
      <c r="F38" s="6" t="n"/>
      <c r="G38" s="6" t="n"/>
      <c r="H38" s="6" t="n"/>
      <c r="I38" s="6" t="n"/>
      <c r="J38" s="6" t="n"/>
      <c r="K38" s="6" t="n"/>
    </row>
    <row r="39">
      <c r="A39" s="6" t="inlineStr">
        <is>
          <t>Purchase of right of use asset</t>
        </is>
      </c>
      <c r="B39" s="6" t="n"/>
      <c r="C39" s="6" t="n"/>
      <c r="D39" s="6" t="n">
        <v>-3982</v>
      </c>
      <c r="E39" s="6" t="n"/>
      <c r="F39" s="6" t="n"/>
      <c r="G39" s="6" t="n"/>
      <c r="H39" s="6" t="n"/>
      <c r="I39" s="6" t="n"/>
      <c r="J39" s="6" t="n"/>
      <c r="K39" s="6" t="n"/>
    </row>
    <row r="40">
      <c r="A40" s="6" t="inlineStr">
        <is>
          <t>Disposal of right of use asset</t>
        </is>
      </c>
      <c r="B40" s="6" t="n"/>
      <c r="C40" s="6" t="n">
        <v>-113</v>
      </c>
      <c r="D40" s="6" t="n"/>
      <c r="E40" s="6" t="n"/>
      <c r="F40" s="6" t="n"/>
      <c r="G40" s="6" t="n"/>
      <c r="H40" s="6" t="n"/>
      <c r="I40" s="6" t="n"/>
      <c r="J40" s="6" t="n"/>
      <c r="K40" s="6" t="n"/>
    </row>
    <row r="41">
      <c r="A41" s="6" t="inlineStr">
        <is>
          <t>Purchase of investment securities</t>
        </is>
      </c>
      <c r="B41" s="6" t="n">
        <v>-500773</v>
      </c>
      <c r="C41" s="6" t="n">
        <v>-135668</v>
      </c>
      <c r="D41" s="6" t="n">
        <v>-415054</v>
      </c>
      <c r="E41" s="6" t="n">
        <v>-424657</v>
      </c>
      <c r="F41" s="6" t="n">
        <v>-178144</v>
      </c>
      <c r="G41" s="6" t="n">
        <v>-84984</v>
      </c>
      <c r="H41" s="6" t="n"/>
      <c r="I41" s="6" t="n"/>
      <c r="J41" s="6" t="n"/>
      <c r="K41" s="6" t="n"/>
    </row>
    <row r="42">
      <c r="A42" s="6" t="inlineStr">
        <is>
          <t>Settlement/sale of investment securities</t>
        </is>
      </c>
      <c r="B42" s="6" t="n">
        <v>28148</v>
      </c>
      <c r="C42" s="6" t="n">
        <v>162520</v>
      </c>
      <c r="D42" s="6" t="n">
        <v>439744</v>
      </c>
      <c r="E42" s="6" t="n">
        <v>402000</v>
      </c>
      <c r="F42" s="6" t="n"/>
      <c r="G42" s="6" t="n">
        <v>65000</v>
      </c>
      <c r="H42" s="6" t="n"/>
      <c r="I42" s="6" t="n"/>
      <c r="J42" s="6" t="n"/>
      <c r="K42" s="6" t="n"/>
    </row>
    <row r="43">
      <c r="A43" s="5" t="inlineStr">
        <is>
          <t>Net cash from/(used in) investing activities</t>
        </is>
      </c>
      <c r="B43" s="5" t="n">
        <v>-450560</v>
      </c>
      <c r="C43" s="5" t="n">
        <v>30745</v>
      </c>
      <c r="D43" s="5" t="n">
        <v>38042</v>
      </c>
      <c r="E43" s="5" t="n">
        <v>-39977</v>
      </c>
      <c r="F43" s="5" t="n">
        <v>-181730</v>
      </c>
      <c r="G43" s="5" t="n">
        <v>-23034</v>
      </c>
      <c r="H43" s="5" t="n">
        <v>-3680</v>
      </c>
      <c r="I43" s="5" t="n">
        <v>-2666</v>
      </c>
      <c r="J43" s="5" t="n">
        <v>-3148</v>
      </c>
      <c r="K43" s="5" t="n">
        <v>-1911</v>
      </c>
    </row>
    <row r="44">
      <c r="A44" s="5" t="inlineStr">
        <is>
          <t>Financing activities</t>
        </is>
      </c>
      <c r="B44" s="6" t="n"/>
      <c r="C44" s="6" t="n"/>
      <c r="D44" s="6" t="n"/>
      <c r="E44" s="6" t="n"/>
      <c r="F44" s="6" t="n"/>
      <c r="G44" s="6" t="n"/>
      <c r="H44" s="6" t="n"/>
      <c r="I44" s="6" t="n"/>
      <c r="J44" s="6" t="n"/>
      <c r="K44" s="6" t="n"/>
    </row>
    <row r="45">
      <c r="A45" s="6" t="inlineStr">
        <is>
          <t>Repayments of the principal portion of finance lease liabilities</t>
        </is>
      </c>
      <c r="B45" s="6" t="n">
        <v>-737</v>
      </c>
      <c r="C45" s="6" t="n">
        <v>-710</v>
      </c>
      <c r="D45" s="6" t="n">
        <v>-797</v>
      </c>
      <c r="E45" s="6" t="n">
        <v>-1318</v>
      </c>
      <c r="F45" s="6" t="n">
        <v>-1183</v>
      </c>
      <c r="G45" s="6" t="n">
        <v>-1131</v>
      </c>
      <c r="H45" s="6" t="n">
        <v>-1078</v>
      </c>
      <c r="I45" s="6" t="n"/>
      <c r="J45" s="6" t="n"/>
      <c r="K45" s="6" t="n"/>
    </row>
    <row r="46">
      <c r="A46" s="6" t="inlineStr">
        <is>
          <t>Inception of finance lease liability</t>
        </is>
      </c>
      <c r="B46" s="6" t="n"/>
      <c r="C46" s="6" t="n"/>
      <c r="D46" s="6" t="n">
        <v>3982</v>
      </c>
      <c r="E46" s="6" t="n"/>
      <c r="F46" s="6" t="n"/>
      <c r="G46" s="6" t="n"/>
      <c r="H46" s="6" t="n"/>
      <c r="I46" s="6" t="n"/>
      <c r="J46" s="6" t="n"/>
      <c r="K46" s="6" t="n"/>
    </row>
    <row r="47">
      <c r="A47" s="6" t="inlineStr">
        <is>
          <t>Coupon paid to other equity instrument holders</t>
        </is>
      </c>
      <c r="B47" s="6" t="n">
        <v>-1518</v>
      </c>
      <c r="C47" s="6" t="n">
        <v>-1517</v>
      </c>
      <c r="D47" s="6" t="n">
        <v>-1507</v>
      </c>
      <c r="E47" s="6" t="n">
        <v>-1404</v>
      </c>
      <c r="F47" s="6" t="n"/>
      <c r="G47" s="6" t="n"/>
      <c r="H47" s="6" t="n"/>
      <c r="I47" s="6" t="n"/>
      <c r="J47" s="6" t="n"/>
      <c r="K47" s="6" t="n"/>
    </row>
    <row r="48">
      <c r="A48" s="6" t="inlineStr">
        <is>
          <t>Proceeds from the issuance of subordinated debt</t>
        </is>
      </c>
      <c r="B48" s="6" t="n">
        <v>55000</v>
      </c>
      <c r="C48" s="6" t="n"/>
      <c r="D48" s="6" t="n">
        <v>25000</v>
      </c>
      <c r="E48" s="6" t="n"/>
      <c r="F48" s="6" t="n"/>
      <c r="G48" s="6" t="n"/>
      <c r="H48" s="6" t="n"/>
      <c r="I48" s="6" t="n">
        <v>30000</v>
      </c>
      <c r="J48" s="6" t="n"/>
      <c r="K48" s="6" t="n"/>
    </row>
    <row r="49">
      <c r="A49" s="6" t="inlineStr">
        <is>
          <t>Repayment of subordinated debt</t>
        </is>
      </c>
      <c r="B49" s="6" t="n">
        <v>-30000</v>
      </c>
      <c r="C49" s="6" t="n"/>
      <c r="D49" s="6" t="n"/>
      <c r="E49" s="6" t="n"/>
      <c r="F49" s="6" t="n"/>
      <c r="G49" s="6" t="n"/>
      <c r="H49" s="6" t="n"/>
      <c r="I49" s="6" t="n"/>
      <c r="J49" s="6" t="n"/>
      <c r="K49" s="6" t="n"/>
    </row>
    <row r="50">
      <c r="A50" s="6" t="inlineStr">
        <is>
          <t>Proceeds from securitisation</t>
        </is>
      </c>
      <c r="B50" s="6" t="n"/>
      <c r="C50" s="6" t="n">
        <v>310558</v>
      </c>
      <c r="D50" s="6" t="n"/>
      <c r="E50" s="6" t="n"/>
      <c r="F50" s="6" t="n"/>
      <c r="G50" s="6" t="n"/>
      <c r="H50" s="6" t="n"/>
      <c r="I50" s="6" t="n"/>
      <c r="J50" s="6" t="n"/>
      <c r="K50" s="6" t="n"/>
    </row>
    <row r="51">
      <c r="A51" s="6" t="inlineStr">
        <is>
          <t>Proceeds from the issue of share capital</t>
        </is>
      </c>
      <c r="B51" s="6" t="n"/>
      <c r="C51" s="6" t="n"/>
      <c r="D51" s="6" t="n"/>
      <c r="E51" s="6" t="n"/>
      <c r="F51" s="6" t="n">
        <v>13540</v>
      </c>
      <c r="G51" s="6" t="n"/>
      <c r="H51" s="6" t="n">
        <v>15000</v>
      </c>
      <c r="I51" s="6" t="n"/>
      <c r="J51" s="6" t="n">
        <v>33000</v>
      </c>
      <c r="K51" s="6" t="n">
        <v>20000</v>
      </c>
    </row>
    <row r="52">
      <c r="A52" s="5" t="inlineStr">
        <is>
          <t>Net cash from/(used in) financing activities</t>
        </is>
      </c>
      <c r="B52" s="5" t="n">
        <v>22745</v>
      </c>
      <c r="C52" s="5" t="n">
        <v>308331</v>
      </c>
      <c r="D52" s="5" t="n">
        <v>26678</v>
      </c>
      <c r="E52" s="5" t="n">
        <v>-2722</v>
      </c>
      <c r="F52" s="5" t="n">
        <v>12357</v>
      </c>
      <c r="G52" s="5" t="n">
        <v>-1131</v>
      </c>
      <c r="H52" s="5" t="n">
        <v>13922</v>
      </c>
      <c r="I52" s="5" t="n">
        <v>30000</v>
      </c>
      <c r="J52" s="5" t="n">
        <v>33000</v>
      </c>
      <c r="K52" s="5" t="n">
        <v>20000</v>
      </c>
    </row>
    <row r="53">
      <c r="A53" s="5" t="inlineStr">
        <is>
          <t>Net (decrease)/increase in cash and cash equivalents</t>
        </is>
      </c>
      <c r="B53" s="5" t="n">
        <v>-756222</v>
      </c>
      <c r="C53" s="5" t="n">
        <v>958501</v>
      </c>
      <c r="D53" s="5" t="n">
        <v>17832</v>
      </c>
      <c r="E53" s="5" t="n">
        <v>216651</v>
      </c>
      <c r="F53" s="5" t="n">
        <v>97651</v>
      </c>
      <c r="G53" s="5" t="n">
        <v>72063</v>
      </c>
      <c r="H53" s="5" t="n">
        <v>-10165</v>
      </c>
      <c r="I53" s="5" t="n">
        <v>-3448</v>
      </c>
      <c r="J53" s="5" t="n">
        <v>-37448</v>
      </c>
      <c r="K53" s="5" t="n">
        <v>75631</v>
      </c>
    </row>
    <row r="54">
      <c r="A54" s="6" t="inlineStr">
        <is>
          <t>Cash and cash equivalents at the beginning of the year</t>
        </is>
      </c>
      <c r="B54" s="6" t="n">
        <v>1435307</v>
      </c>
      <c r="C54" s="6" t="n">
        <v>476806</v>
      </c>
      <c r="D54" s="6" t="n">
        <v>458974</v>
      </c>
      <c r="E54" s="6" t="n">
        <v>242323</v>
      </c>
      <c r="F54" s="6" t="n">
        <v>144672</v>
      </c>
      <c r="G54" s="6" t="n">
        <v>84644</v>
      </c>
      <c r="H54" s="6" t="n">
        <v>94809</v>
      </c>
      <c r="I54" s="6" t="n">
        <v>98257</v>
      </c>
      <c r="J54" s="6" t="n">
        <v>135705</v>
      </c>
      <c r="K54" s="6" t="n">
        <v>60074</v>
      </c>
    </row>
    <row r="55">
      <c r="A55" s="5" t="inlineStr">
        <is>
          <t>Cash and cash equivalents at the end of the year</t>
        </is>
      </c>
      <c r="B55" s="5" t="n">
        <v>679085</v>
      </c>
      <c r="C55" s="5" t="n">
        <v>1435307</v>
      </c>
      <c r="D55" s="5" t="n">
        <v>476806</v>
      </c>
      <c r="E55" s="5" t="n">
        <v>458974</v>
      </c>
      <c r="F55" s="5" t="n">
        <v>242323</v>
      </c>
      <c r="G55" s="5" t="n">
        <v>156707</v>
      </c>
      <c r="H55" s="5" t="n">
        <v>84644</v>
      </c>
      <c r="I55" s="5" t="n">
        <v>94809</v>
      </c>
      <c r="J55" s="5" t="n">
        <v>98257</v>
      </c>
      <c r="K55" s="5" t="n">
        <v>135705</v>
      </c>
    </row>
    <row r="57" ht="351" customHeight="1">
      <c r="A57" s="8" t="inlineStr">
        <is>
          <t>Sources - Hampshire Trust Bank Plc's own Consolidated and Bank Statement of Cash Flows (Bank column):
FY2025: Group Annual Report and Accounts 2025 (Companies House, filed 13 May 2026), p.64-65 - https://find-and-update.company-information.service.gov.uk/company/01311315/filing-history/MzUyMTMxMjk3OWFkaXF6a2N4/document?format=pdf&amp;download=0
  (operating-activities section from HTB's own website copy of the same report, p.32 - https://www.htb.co.uk/htbcontent/uploads/2026/04/HTB_Annual_Report_2025.pdf)
FY2024: Annual Report and Accounts for the year ended 31 December 2024 (Companies House, filed 13 May 2025), p.74-75 - https://find-and-update.company-information.service.gov.uk/company/01311315/filing-history/MzQ2NTc0NTU3N2FkaXF6a2N4/document?format=pdf&amp;download=0
FY2023: Annual Report and Accounts for the year ended 31 December 2023 (Companies House, filed 11 Jun 2024), p.74-75 (FY2023 comparative column) - https://find-and-update.company-information.service.gov.uk/company/01311315/filing-history/MzQyNDU2MzAzMmFkaXF6a2N4/document?format=pdf&amp;download=0
FY2022: Annual Report and Accounts for the year ended 31 December 2022 (Companies House, filed 07 Aug 2023), p.61-62 - https://find-and-update.company-information.service.gov.uk/company/01311315/filing-history/MzM4ODU3ODUzOWFkaXF6a2N4/document?format=pdf&amp;download=0
FY2021: Annual Report and Accounts for the year ended 31 December 2021 (Companies House, filed 14 Jun 2022), p.54, Statement of Cash flows - https://find-and-update.company-information.service.gov.uk/company/01311315/filing-history/MzM0MjI1MzEyMmFkaXF6a2N4/document?format=pdf&amp;download=0
FY2020: Annual Report and Accounts 2020 (HTB website copy, text-native), p.55 - https://www.htb.co.uk/htbcontent/uploads/2021/11/HTB_Annual_Report_2020.pdf
  (Companies House filing of the same report, filed 29 May 2021 - https://find-and-update.company-information.service.gov.uk/company/01311315/filing-history/MzMwMjA1NDQ0MWFkaXF6a2N4/document?format=pdf&amp;download=0)
FY2019: Annual Report and Accounts for the year ended 31 December 2019 (Companies House, filed 02 Jul 2020, scanned/image-only), p.47, Statement of Cash flows - https://find-and-update.company-information.service.gov.uk/company/01311315/filing-history/MzI3MTk4MjMzN2FkaXF6a2N4/document?format=pdf&amp;download=0
FY2018: Annual Report and Accounts for the year ended 31 December 2018 (Companies House, filed 24 Jun 2019, scanned/image-only), p.39, Statement of Cashflows - https://find-and-update.company-information.service.gov.uk/company/01311315/filing-history/MzIzNzQ4OTc1NWFkaXF6a2N4/document?format=pdf&amp;download=0
FY2017: Annual Report and Accounts 2017 (HTB website copy, text-native), p.38, Statement of Cashflows - https://www.htb.co.uk/htbcontent/uploads/2019/08/Hampshire-Trust-Bank-HTB-2017-Annual-Report-1.pdf
  (Companies House filing of the same report, filed 03 May 2018, scanned/image-only - https://find-and-update.company-information.service.gov.uk/company/01311315/filing-history/MzIwNDA2OTI3M2FkaXF6a2N4/document?format=pdf&amp;download=0)
FY2016: Annual Report and Accounts 2016 (HTB website copy, text-native), p.30, Statement of Cashflows - https://www.htb.co.uk/htbcontent/uploads/2019/08/Hampshire-Trust-Bank-HTB-2016-Annual-Report-1.pdf
  (Companies House filing of the same report, filed 02 May 2017, scanned/image-only - https://find-and-update.company-information.service.gov.uk/company/01311315/filing-history/MzE3NDY4MzczMWFkaXF6a2N4/document?format=pdf&amp;download=0)
All Cash Flow Statement figures use the Bank (parent-entity, non-consolidated) column, matching the entity-level basis of the Pillar 3 disclosures below. HTB's FY2021 Annual Report predates any Group consolidation (its first subsidiary was acquired during FY2022, see the Investing Activities section), so FY2021 presents a single unified Company statement rather than separate Group/Bank columns - that single column is used here. The FY2025 Companies House filing (the source used for every other year) is missing page 64 of its own PDF (the Statement of Cash Flows' operating-activities page - printed page numbers jump 63 to 65 with no page 64 present in the scan); the operating-activities detail for FY2025 was instead sourced from the identical statement in HTB's own website copy of the same Annual Report, which is text-native and paginates differently. Every other line item and every other year comes from the Companies House filings.
IMPORTANT - a genuine FY2020/FY2021 discontinuity, not an error: FY2021's own Annual Report restates its FY2020 comparative cash flow column (explicitly labelled '(Restated)', with 'Note 6.22 provides further detail on the nature and value of the restatement to the prior year statement of cash flows') - the restated FY2020 figures differ from FY2020's own originally-published statement transcribed here (e.g. Net cash flow from operating activities: originally £96,228k, restated £86,669k; Cash and cash equivalents at 31 December 2020: originally £156,707k, restated £144,672k - the latter is what FY2021's own column uses as its opening balance, per that year's own report, unchanged from before this ticket). Per this project's established convention (each year's own originally-published figures, not a later restated comparative), the FY2020 column here uses FY2020's own Annual Report throughout - so FY2020's closing cash (£156,707k) does not tie to FY2021's opening cash (£144,672k) in this workbook, a real, disclosed source discontinuity rather than a transcription gap. The restatement also introduced a new 'Decrease/(increase) in collateral held with banks' reconciling line for FY2020 (£(9,559)k in the restated comparative) that FY2020's own originally-published statement does not show at all - left blank on the FY2020 column here for the same reason.
FY2016-FY2020 also each present a single unified Company statement (same pre-Group basis as FY2021). FY2016-FY2017 are sourced from HTB's own website copies of those Annual Reports (text-native PDFs); the Companies House filings for those two years are themselves scanned image-only PDFs with no text layer at all (confirmed via pdffonts - zero embedded fonts), so the website copies - identical statements, confirmed by their own FY2017-into-FY2016-comparative tie-out - were used instead. FY2018 and FY2019 have no equivalent text-native website copy of their own Annual Report (the website only carries their Pillar 3 disclosures, not the Annual Report itself), so those two years were read directly from the scanned Companies House filing's page images. FY2020 is sourced from HTB's own website copy (text-native).</t>
        </is>
      </c>
    </row>
  </sheetData>
  <mergeCells count="1">
    <mergeCell ref="A57:K5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Asset Quality</t>
        </is>
      </c>
    </row>
    <row r="2">
      <c r="A2" s="2" t="inlineStr">
        <is>
          <t>Bank basis, Note 30's financial-assets-at-amortised-cost scope; FY2016-FY2017 use a Legacy IAS 39 section instead -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Gross carrying value by IFRS 9 stage (Bank basis)</t>
        </is>
      </c>
      <c r="B4" s="6" t="n"/>
      <c r="C4" s="6" t="n"/>
      <c r="D4" s="6" t="n"/>
      <c r="E4" s="6" t="n"/>
      <c r="F4" s="6" t="n"/>
      <c r="G4" s="6" t="n"/>
      <c r="H4" s="6" t="n"/>
      <c r="I4" s="6" t="n"/>
      <c r="J4" s="6" t="n"/>
      <c r="K4" s="6" t="n"/>
    </row>
    <row r="5">
      <c r="A5" s="6" t="inlineStr">
        <is>
          <t>Stage 1 (12-month ECL)</t>
        </is>
      </c>
      <c r="B5" s="6" t="n">
        <v>3911362</v>
      </c>
      <c r="C5" s="6" t="n">
        <v>2958747</v>
      </c>
      <c r="D5" s="6" t="n">
        <v>2512679</v>
      </c>
      <c r="E5" s="6" t="n">
        <v>1896973</v>
      </c>
      <c r="F5" s="6" t="n">
        <v>1565803</v>
      </c>
      <c r="G5" s="6" t="n">
        <v>1113344</v>
      </c>
      <c r="H5" s="6" t="n">
        <v>1004778</v>
      </c>
      <c r="I5" s="6" t="n">
        <v>720676</v>
      </c>
      <c r="J5" s="6" t="n"/>
      <c r="K5" s="6" t="n"/>
    </row>
    <row r="6">
      <c r="A6" s="6" t="inlineStr">
        <is>
          <t>Stage 2 (lifetime ECL, not credit-impaired)</t>
        </is>
      </c>
      <c r="B6" s="6" t="n">
        <v>471501</v>
      </c>
      <c r="C6" s="6" t="n">
        <v>388068</v>
      </c>
      <c r="D6" s="6" t="n">
        <v>443933</v>
      </c>
      <c r="E6" s="6" t="n">
        <v>407977</v>
      </c>
      <c r="F6" s="6" t="n">
        <v>127790</v>
      </c>
      <c r="G6" s="6" t="n">
        <v>147415</v>
      </c>
      <c r="H6" s="6" t="n">
        <v>41077</v>
      </c>
      <c r="I6" s="6" t="n">
        <v>10860</v>
      </c>
      <c r="J6" s="6" t="n"/>
      <c r="K6" s="6" t="n"/>
    </row>
    <row r="7">
      <c r="A7" s="6" t="inlineStr">
        <is>
          <t>Stage 3 (credit-impaired)</t>
        </is>
      </c>
      <c r="B7" s="6" t="n">
        <v>167492</v>
      </c>
      <c r="C7" s="6" t="n">
        <v>91739</v>
      </c>
      <c r="D7" s="6" t="n">
        <v>70199</v>
      </c>
      <c r="E7" s="6" t="n">
        <v>53821</v>
      </c>
      <c r="F7" s="6" t="n">
        <v>38893</v>
      </c>
      <c r="G7" s="6" t="n">
        <v>17551</v>
      </c>
      <c r="H7" s="6" t="n">
        <v>8363</v>
      </c>
      <c r="I7" s="6" t="n">
        <v>3528</v>
      </c>
      <c r="J7" s="6" t="n"/>
      <c r="K7" s="6" t="n"/>
    </row>
    <row r="8">
      <c r="A8" s="5" t="inlineStr">
        <is>
          <t>Total gross carrying value</t>
        </is>
      </c>
      <c r="B8" s="5" t="n">
        <v>4550355</v>
      </c>
      <c r="C8" s="5" t="n">
        <v>3438552</v>
      </c>
      <c r="D8" s="5" t="n">
        <v>3026811</v>
      </c>
      <c r="E8" s="5" t="n">
        <v>2358771</v>
      </c>
      <c r="F8" s="5" t="n">
        <v>1732486</v>
      </c>
      <c r="G8" s="5" t="n">
        <v>1278310</v>
      </c>
      <c r="H8" s="5" t="n">
        <v>1054218</v>
      </c>
      <c r="I8" s="5" t="n">
        <v>735064</v>
      </c>
      <c r="J8" s="5" t="n"/>
      <c r="K8" s="5" t="n"/>
    </row>
    <row r="9">
      <c r="A9" s="5" t="inlineStr">
        <is>
          <t>Loss allowance (ECL) by IFRS 9 stage (Bank basis)</t>
        </is>
      </c>
      <c r="B9" s="6" t="n"/>
      <c r="C9" s="6" t="n"/>
      <c r="D9" s="6" t="n"/>
      <c r="E9" s="6" t="n"/>
      <c r="F9" s="6" t="n"/>
      <c r="G9" s="6" t="n"/>
      <c r="H9" s="6" t="n"/>
      <c r="I9" s="6" t="n"/>
      <c r="J9" s="6" t="n"/>
      <c r="K9" s="6" t="n"/>
    </row>
    <row r="10">
      <c r="A10" s="6" t="inlineStr">
        <is>
          <t>Stage 1</t>
        </is>
      </c>
      <c r="B10" s="6" t="n">
        <v>4573</v>
      </c>
      <c r="C10" s="6" t="n">
        <v>4436</v>
      </c>
      <c r="D10" s="6" t="n">
        <v>5307</v>
      </c>
      <c r="E10" s="6" t="n">
        <v>3099</v>
      </c>
      <c r="F10" s="6" t="n">
        <v>1431</v>
      </c>
      <c r="G10" s="6" t="n">
        <v>2061</v>
      </c>
      <c r="H10" s="6" t="n">
        <v>1115</v>
      </c>
      <c r="I10" s="6" t="n">
        <v>891</v>
      </c>
      <c r="J10" s="6" t="n"/>
      <c r="K10" s="6" t="n"/>
    </row>
    <row r="11">
      <c r="A11" s="6" t="inlineStr">
        <is>
          <t>Stage 2</t>
        </is>
      </c>
      <c r="B11" s="6" t="n">
        <v>3429</v>
      </c>
      <c r="C11" s="6" t="n">
        <v>3998</v>
      </c>
      <c r="D11" s="6" t="n">
        <v>6038</v>
      </c>
      <c r="E11" s="6" t="n">
        <v>4752</v>
      </c>
      <c r="F11" s="6" t="n">
        <v>1475</v>
      </c>
      <c r="G11" s="6" t="n">
        <v>6924</v>
      </c>
      <c r="H11" s="6" t="n">
        <v>861</v>
      </c>
      <c r="I11" s="6" t="n">
        <v>433</v>
      </c>
      <c r="J11" s="6" t="n"/>
      <c r="K11" s="6" t="n"/>
    </row>
    <row r="12">
      <c r="A12" s="6" t="inlineStr">
        <is>
          <t>Stage 3</t>
        </is>
      </c>
      <c r="B12" s="6" t="n">
        <v>13467</v>
      </c>
      <c r="C12" s="6" t="n">
        <v>13281</v>
      </c>
      <c r="D12" s="6" t="n">
        <v>9078</v>
      </c>
      <c r="E12" s="6" t="n">
        <v>6535</v>
      </c>
      <c r="F12" s="6" t="n">
        <v>8265</v>
      </c>
      <c r="G12" s="6" t="n">
        <v>6392</v>
      </c>
      <c r="H12" s="6" t="n">
        <v>2494</v>
      </c>
      <c r="I12" s="6" t="n">
        <v>548</v>
      </c>
      <c r="J12" s="6" t="n"/>
      <c r="K12" s="6" t="n"/>
    </row>
    <row r="13">
      <c r="A13" s="5" t="inlineStr">
        <is>
          <t>Total loss allowance</t>
        </is>
      </c>
      <c r="B13" s="5" t="n">
        <v>21469</v>
      </c>
      <c r="C13" s="5" t="n">
        <v>21715</v>
      </c>
      <c r="D13" s="5" t="n">
        <v>20423</v>
      </c>
      <c r="E13" s="5" t="n">
        <v>14386</v>
      </c>
      <c r="F13" s="5" t="n">
        <v>11171</v>
      </c>
      <c r="G13" s="5" t="n">
        <v>15377</v>
      </c>
      <c r="H13" s="5" t="n">
        <v>4470</v>
      </c>
      <c r="I13" s="5" t="n">
        <v>1872</v>
      </c>
      <c r="J13" s="5" t="n"/>
      <c r="K13" s="5" t="n"/>
    </row>
    <row r="14">
      <c r="A14" s="5" t="inlineStr">
        <is>
          <t>Net carrying value (Gross carrying value less Loss allowance)</t>
        </is>
      </c>
      <c r="B14" s="5" t="n">
        <v>4528886</v>
      </c>
      <c r="C14" s="5" t="n">
        <v>3416837</v>
      </c>
      <c r="D14" s="5" t="n">
        <v>3006388</v>
      </c>
      <c r="E14" s="5" t="n">
        <v>2344385</v>
      </c>
      <c r="F14" s="5" t="n">
        <v>1721315</v>
      </c>
      <c r="G14" s="5" t="n">
        <v>1262933</v>
      </c>
      <c r="H14" s="5" t="n">
        <v>1049748</v>
      </c>
      <c r="I14" s="5" t="n">
        <v>733192</v>
      </c>
      <c r="J14" s="5" t="n"/>
      <c r="K14" s="5" t="n"/>
    </row>
    <row r="15">
      <c r="A15" s="5" t="inlineStr">
        <is>
          <t>Derived ratios</t>
        </is>
      </c>
      <c r="B15" s="6" t="n"/>
      <c r="C15" s="6" t="n"/>
      <c r="D15" s="6" t="n"/>
      <c r="E15" s="6" t="n"/>
      <c r="F15" s="6" t="n"/>
      <c r="G15" s="6" t="n"/>
      <c r="H15" s="6" t="n"/>
      <c r="I15" s="6" t="n"/>
      <c r="J15" s="6" t="n"/>
      <c r="K15" s="6" t="n"/>
    </row>
    <row r="16">
      <c r="A16" s="6" t="inlineStr">
        <is>
          <t>Stage 3 (NPL) ratio (Stage 3 / Total gross carrying value)</t>
        </is>
      </c>
      <c r="B16" s="6" t="inlineStr">
        <is>
          <t>3.68%</t>
        </is>
      </c>
      <c r="C16" s="6" t="inlineStr">
        <is>
          <t>2.67%</t>
        </is>
      </c>
      <c r="D16" s="6" t="inlineStr">
        <is>
          <t>2.32%</t>
        </is>
      </c>
      <c r="E16" s="6" t="inlineStr">
        <is>
          <t>2.28%</t>
        </is>
      </c>
      <c r="F16" s="6" t="inlineStr">
        <is>
          <t>2.25%</t>
        </is>
      </c>
      <c r="G16" s="6" t="inlineStr">
        <is>
          <t>1.37%</t>
        </is>
      </c>
      <c r="H16" s="6" t="inlineStr">
        <is>
          <t>0.79%</t>
        </is>
      </c>
      <c r="I16" s="6" t="inlineStr">
        <is>
          <t>0.48%</t>
        </is>
      </c>
      <c r="J16" s="6" t="n"/>
      <c r="K16" s="6" t="n"/>
    </row>
    <row r="17">
      <c r="A17" s="6" t="inlineStr">
        <is>
          <t>ECL coverage ratio (Total loss allowance / Total gross carrying value)</t>
        </is>
      </c>
      <c r="B17" s="6" t="inlineStr">
        <is>
          <t>0.47%</t>
        </is>
      </c>
      <c r="C17" s="6" t="inlineStr">
        <is>
          <t>0.63%</t>
        </is>
      </c>
      <c r="D17" s="6" t="inlineStr">
        <is>
          <t>0.67%</t>
        </is>
      </c>
      <c r="E17" s="6" t="inlineStr">
        <is>
          <t>0.61%</t>
        </is>
      </c>
      <c r="F17" s="6" t="inlineStr">
        <is>
          <t>0.64%</t>
        </is>
      </c>
      <c r="G17" s="6" t="inlineStr">
        <is>
          <t>1.20%</t>
        </is>
      </c>
      <c r="H17" s="6" t="inlineStr">
        <is>
          <t>0.42%</t>
        </is>
      </c>
      <c r="I17" s="6" t="inlineStr">
        <is>
          <t>0.25%</t>
        </is>
      </c>
      <c r="J17" s="6" t="n"/>
      <c r="K17" s="6" t="n"/>
    </row>
    <row r="18">
      <c r="A18" s="6" t="inlineStr">
        <is>
          <t>Stage 3 coverage ratio (Stage 3 loss allowance / Stage 3 gross carrying value)</t>
        </is>
      </c>
      <c r="B18" s="6" t="inlineStr">
        <is>
          <t>8.04%</t>
        </is>
      </c>
      <c r="C18" s="6" t="inlineStr">
        <is>
          <t>14.48%</t>
        </is>
      </c>
      <c r="D18" s="6" t="inlineStr">
        <is>
          <t>12.93%</t>
        </is>
      </c>
      <c r="E18" s="6" t="inlineStr">
        <is>
          <t>12.14%</t>
        </is>
      </c>
      <c r="F18" s="6" t="inlineStr">
        <is>
          <t>21.25%</t>
        </is>
      </c>
      <c r="G18" s="6" t="inlineStr">
        <is>
          <t>36.43%</t>
        </is>
      </c>
      <c r="H18" s="6" t="inlineStr">
        <is>
          <t>29.83%</t>
        </is>
      </c>
      <c r="I18" s="6" t="inlineStr">
        <is>
          <t>15.53%</t>
        </is>
      </c>
      <c r="J18" s="6" t="n"/>
      <c r="K18" s="6" t="n"/>
    </row>
    <row r="19">
      <c r="A19" s="5" t="inlineStr">
        <is>
          <t>Legacy IAS 39 basis (pre-IFRS 9) - gross carrying value by product (FY2016-FY2017 only)</t>
        </is>
      </c>
      <c r="B19" s="6" t="n"/>
      <c r="C19" s="6" t="n"/>
      <c r="D19" s="6" t="n"/>
      <c r="E19" s="6" t="n"/>
      <c r="F19" s="6" t="n"/>
      <c r="G19" s="6" t="n"/>
      <c r="H19" s="6" t="n"/>
      <c r="I19" s="6" t="n"/>
      <c r="J19" s="6" t="n"/>
      <c r="K19" s="6" t="n"/>
    </row>
    <row r="20">
      <c r="A20" s="6" t="inlineStr">
        <is>
          <t>Property Finance</t>
        </is>
      </c>
      <c r="B20" s="6" t="n"/>
      <c r="C20" s="6" t="n"/>
      <c r="D20" s="6" t="n"/>
      <c r="E20" s="6" t="n"/>
      <c r="F20" s="6" t="n"/>
      <c r="G20" s="6" t="n"/>
      <c r="H20" s="6" t="n"/>
      <c r="I20" s="6" t="n"/>
      <c r="J20" s="6" t="n">
        <v>225701</v>
      </c>
      <c r="K20" s="6" t="n">
        <v>207709</v>
      </c>
    </row>
    <row r="21">
      <c r="A21" s="6" t="inlineStr">
        <is>
          <t>Specialist/Commercial Mortgages</t>
        </is>
      </c>
      <c r="B21" s="6" t="n"/>
      <c r="C21" s="6" t="n"/>
      <c r="D21" s="6" t="n"/>
      <c r="E21" s="6" t="n"/>
      <c r="F21" s="6" t="n"/>
      <c r="G21" s="6" t="n"/>
      <c r="H21" s="6" t="n"/>
      <c r="I21" s="6" t="n"/>
      <c r="J21" s="6" t="n">
        <v>192787</v>
      </c>
      <c r="K21" s="6" t="n">
        <v>101428</v>
      </c>
    </row>
    <row r="22">
      <c r="A22" s="6" t="inlineStr">
        <is>
          <t>Asset Finance (Hire Purchase + Finance Leases)</t>
        </is>
      </c>
      <c r="B22" s="6" t="n"/>
      <c r="C22" s="6" t="n"/>
      <c r="D22" s="6" t="n"/>
      <c r="E22" s="6" t="n"/>
      <c r="F22" s="6" t="n"/>
      <c r="G22" s="6" t="n"/>
      <c r="H22" s="6" t="n"/>
      <c r="I22" s="6" t="n"/>
      <c r="J22" s="6" t="n">
        <v>155714</v>
      </c>
      <c r="K22" s="6" t="n">
        <v>112445</v>
      </c>
    </row>
    <row r="23">
      <c r="A23" s="6" t="inlineStr">
        <is>
          <t>Block Discounting</t>
        </is>
      </c>
      <c r="B23" s="6" t="n"/>
      <c r="C23" s="6" t="n"/>
      <c r="D23" s="6" t="n"/>
      <c r="E23" s="6" t="n"/>
      <c r="F23" s="6" t="n"/>
      <c r="G23" s="6" t="n"/>
      <c r="H23" s="6" t="n"/>
      <c r="I23" s="6" t="n"/>
      <c r="J23" s="6" t="n">
        <v>62899</v>
      </c>
      <c r="K23" s="6" t="n">
        <v>41718</v>
      </c>
    </row>
    <row r="24">
      <c r="A24" s="6" t="inlineStr">
        <is>
          <t>Discontinued asset-backed lending</t>
        </is>
      </c>
      <c r="B24" s="6" t="n"/>
      <c r="C24" s="6" t="n"/>
      <c r="D24" s="6" t="n"/>
      <c r="E24" s="6" t="n"/>
      <c r="F24" s="6" t="n"/>
      <c r="G24" s="6" t="n"/>
      <c r="H24" s="6" t="n"/>
      <c r="I24" s="6" t="n"/>
      <c r="J24" s="6" t="n">
        <v>1601</v>
      </c>
      <c r="K24" s="6" t="n">
        <v>2573</v>
      </c>
    </row>
    <row r="25">
      <c r="A25" s="5" t="inlineStr">
        <is>
          <t>Total gross carrying value (legacy basis)</t>
        </is>
      </c>
      <c r="B25" s="5" t="n"/>
      <c r="C25" s="5" t="n"/>
      <c r="D25" s="5" t="n"/>
      <c r="E25" s="5" t="n"/>
      <c r="F25" s="5" t="n"/>
      <c r="G25" s="5" t="n"/>
      <c r="H25" s="5" t="n"/>
      <c r="I25" s="5" t="n"/>
      <c r="J25" s="5" t="n">
        <v>638702</v>
      </c>
      <c r="K25" s="5" t="n">
        <v>465873</v>
      </c>
    </row>
    <row r="26">
      <c r="A26" s="5" t="inlineStr">
        <is>
          <t>Legacy IAS 39 basis - impairment allowance by product</t>
        </is>
      </c>
      <c r="B26" s="6" t="n"/>
      <c r="C26" s="6" t="n"/>
      <c r="D26" s="6" t="n"/>
      <c r="E26" s="6" t="n"/>
      <c r="F26" s="6" t="n"/>
      <c r="G26" s="6" t="n"/>
      <c r="H26" s="6" t="n"/>
      <c r="I26" s="6" t="n"/>
      <c r="J26" s="6" t="n"/>
      <c r="K26" s="6" t="n"/>
    </row>
    <row r="27">
      <c r="A27" s="6" t="inlineStr">
        <is>
          <t>Property Finance</t>
        </is>
      </c>
      <c r="B27" s="6" t="n"/>
      <c r="C27" s="6" t="n"/>
      <c r="D27" s="6" t="n"/>
      <c r="E27" s="6" t="n"/>
      <c r="F27" s="6" t="n"/>
      <c r="G27" s="6" t="n"/>
      <c r="H27" s="6" t="n"/>
      <c r="I27" s="6" t="n"/>
      <c r="J27" s="6" t="n">
        <v>-3217</v>
      </c>
      <c r="K27" s="6" t="n">
        <v>-200</v>
      </c>
    </row>
    <row r="28">
      <c r="A28" s="6" t="inlineStr">
        <is>
          <t>Specialist/Commercial Mortgages</t>
        </is>
      </c>
      <c r="B28" s="6" t="n"/>
      <c r="C28" s="6" t="n"/>
      <c r="D28" s="6" t="n"/>
      <c r="E28" s="6" t="n"/>
      <c r="F28" s="6" t="n"/>
      <c r="G28" s="6" t="n"/>
      <c r="H28" s="6" t="n"/>
      <c r="I28" s="6" t="n"/>
      <c r="J28" s="6" t="n">
        <v>-222</v>
      </c>
      <c r="K28" s="6" t="n">
        <v>-127</v>
      </c>
    </row>
    <row r="29">
      <c r="A29" s="6" t="inlineStr">
        <is>
          <t>Asset Finance (Hire Purchase + Finance Leases)</t>
        </is>
      </c>
      <c r="B29" s="6" t="n"/>
      <c r="C29" s="6" t="n"/>
      <c r="D29" s="6" t="n"/>
      <c r="E29" s="6" t="n"/>
      <c r="F29" s="6" t="n"/>
      <c r="G29" s="6" t="n"/>
      <c r="H29" s="6" t="n"/>
      <c r="I29" s="6" t="n"/>
      <c r="J29" s="6" t="n">
        <v>-1588</v>
      </c>
      <c r="K29" s="6" t="n">
        <v>-359</v>
      </c>
    </row>
    <row r="30">
      <c r="A30" s="6" t="inlineStr">
        <is>
          <t>Block Discounting</t>
        </is>
      </c>
      <c r="B30" s="6" t="n"/>
      <c r="C30" s="6" t="n"/>
      <c r="D30" s="6" t="n"/>
      <c r="E30" s="6" t="n"/>
      <c r="F30" s="6" t="n"/>
      <c r="G30" s="6" t="n"/>
      <c r="H30" s="6" t="n"/>
      <c r="I30" s="6" t="n"/>
      <c r="J30" s="6" t="n">
        <v>0</v>
      </c>
      <c r="K30" s="6" t="n">
        <v>-62</v>
      </c>
    </row>
    <row r="31">
      <c r="A31" s="6" t="inlineStr">
        <is>
          <t>Discontinued asset-backed lending</t>
        </is>
      </c>
      <c r="B31" s="6" t="n"/>
      <c r="C31" s="6" t="n"/>
      <c r="D31" s="6" t="n"/>
      <c r="E31" s="6" t="n"/>
      <c r="F31" s="6" t="n"/>
      <c r="G31" s="6" t="n"/>
      <c r="H31" s="6" t="n"/>
      <c r="I31" s="6" t="n"/>
      <c r="J31" s="6" t="n">
        <v>-1400</v>
      </c>
      <c r="K31" s="6" t="n">
        <v>-1600</v>
      </c>
    </row>
    <row r="32">
      <c r="A32" s="5" t="inlineStr">
        <is>
          <t>Total impairment allowance (legacy basis)</t>
        </is>
      </c>
      <c r="B32" s="5" t="n"/>
      <c r="C32" s="5" t="n"/>
      <c r="D32" s="5" t="n"/>
      <c r="E32" s="5" t="n"/>
      <c r="F32" s="5" t="n"/>
      <c r="G32" s="5" t="n"/>
      <c r="H32" s="5" t="n"/>
      <c r="I32" s="5" t="n"/>
      <c r="J32" s="5" t="n">
        <v>-6427</v>
      </c>
      <c r="K32" s="5" t="n">
        <v>-2348</v>
      </c>
    </row>
    <row r="33">
      <c r="A33" s="5" t="inlineStr">
        <is>
          <t>Net carrying value (legacy basis)</t>
        </is>
      </c>
      <c r="B33" s="5" t="n"/>
      <c r="C33" s="5" t="n"/>
      <c r="D33" s="5" t="n"/>
      <c r="E33" s="5" t="n"/>
      <c r="F33" s="5" t="n"/>
      <c r="G33" s="5" t="n"/>
      <c r="H33" s="5" t="n"/>
      <c r="I33" s="5" t="n"/>
      <c r="J33" s="5" t="n">
        <v>632275</v>
      </c>
      <c r="K33" s="5" t="n">
        <v>463525</v>
      </c>
    </row>
    <row r="35" ht="325" customHeight="1">
      <c r="A35" s="8" t="inlineStr">
        <is>
          <t>Sources - Hampshire Trust Bank Plc's own Note 30 'Allowance for credit impairment losses on financial assets at amortised cost', Bank Total Gross Carrying Value and Bank Total Loss allowance tables (summed across the Bank's disclosed product lines: Development Finance, Specialist Mortgages, Asset and Wholesale Finance):
FY2025: Group Annual Report and Accounts 2025 (Companies House, filed 13 May 2026), p.18-25 - https://find-and-update.company-information.service.gov.uk/company/01311315/filing-history/MzUyMTMxMjk3OWFkaXF6a2N4/document?format=pdf&amp;download=0
FY2024: same document's FY2024 comparative columns, p.18-25 - https://find-and-update.company-information.service.gov.uk/company/01311315/filing-history/MzUyMTMxMjk3OWFkaXF6a2N4/document?format=pdf&amp;download=0
FY2023: Annual Report and Accounts for the year ended 31 December 2024 (Companies House, filed 13 May 2025), FY2023 comparative columns, p.126-136 - https://find-and-update.company-information.service.gov.uk/company/01311315/filing-history/MzQ2NTc0NTU3N2FkaXF6a2N4/document?format=pdf&amp;download=0
FY2022: same document's FY2022 comparative columns (from the FY2023 GCV/loss allowance tables), p.126-136 - https://find-and-update.company-information.service.gov.uk/company/01311315/filing-history/MzQ2NTc0NTU3N2FkaXF6a2N4/document?format=pdf&amp;download=0
FY2021: Annual Report and Accounts for the year ended 31 December 2021 (Companies House, filed 14 Jun 2022), single Company basis (pre-Group; only Development Finance + Specialist Mortgages + Asset and Wholesale Finance product lines existed), p.93-97 - https://find-and-update.company-information.service.gov.uk/company/01311315/filing-history/MzM0MjI1MzEyMmFkaXF6a2N4/document?format=pdf&amp;download=0
Note's own product-level tables are labelled 'Bank' for Development Finance and Specialist Mortgages in every year checked (identical to the 'Group' tables for those two products - both are 100% Bank-originated) and separately labelled 'Bank' vs 'Group' for Asset and Wholesale Finance/Commercial and Retail Finance once the Group had subsidiary-originated lending (from FY2022) - the Bank Total used here sums only the Bank-basis product lines, consistent with the Bank basis used throughout this workbook. Commercial and Retail Finance has no Bank-basis line at all in any year (subsidiary-only origination) - correctly excluded from the Bank Total. FY2024's Bank Total loss allowance is disclosed as £21,715k in AR2024's own FY2024 closing balance but as £21,787k in AR2025's FY2024 opening comparative (a £72k gap, both companies' own filings, not reconciled here - reproduced as each document discloses it). Net carrying value (Gross carrying value less Loss allowance) does not tie exactly to the Balance Sheet's 'Loans and advances to customers - at amortised cost' line (e.g. FY2025: £4,528,886k here vs £4,540,376k on the Balance Sheet) - Note 30's 'financial assets at amortised cost' scope is evidently broader than customer loans alone (likely also captures loans to banks and/or investment securities held at amortised cost), not confirmed further from the disclosure alone - not force-reconciled.
FY2018-FY2020 (IFRS 9 stage data, same Development Finance/Specialist Mortgages/Asset and Wholesale Finance product scope as later years): FY2020 from Annual Report and Accounts 2020 (HTB website copy), p.92-93 - https://www.htb.co.uk/htbcontent/uploads/2021/11/HTB_Annual_Report_2020.pdf; FY2019 from the same document's FY2019 comparative columns, p.92-93; FY2018 from Annual Report and Accounts for the year ended 31 December 2018 (Companies House, filed 24 Jun 2019, scanned/image-only), p.59-61 - https://find-and-update.company-information.service.gov.uk/company/01311315/filing-history/MzIzNzQ4OTc1NWFkaXF6a2N4/document?format=pdf&amp;download=0 (this year's Total Exposure is split Stage 2 &lt;=30 / &gt;30 days past due in the source; the two sub-splits are summed into one Stage 2 figure here to match the later years' 3-stage shape; the source table's own 'Total Gross Exposure' additionally includes Off Balance Sheet Loan Commitments, excluded here to match the on-balance-sheet-only scope used in every other year - the resulting FY2018 Net carrying value ties exactly to the Balance Sheet's £733,192k, unlike later years' looser tie). FY2019's Total loss allowance is disclosed as £4,470k in AR2019's own closing balance table but as £4,469k in AR2020's FY2019 opening comparative (a trivial £1k rounding gap, both companies' own filings, reproduced as each discloses it, same pattern as the FY2024 gap noted above). FY2020's Net carrying value (£1,262,933k) sits £14,159k below the Balance Sheet's £1,277,092k - the source's own 'Add FV gains from portfolio hedging' line (£14,160k, from fair-value hedge accounting on the loan book) closes almost exactly the whole gap, unlike the unexplained gap in FY2021 onward - not added into Net carrying value here to keep this row as a pure Gross-less-Loss-allowance calculation, consistent with every other year on this sheet.
FY2016-FY2017 predate IFRS 9 entirely (adopted 1 Jan 2018) - no stage concept exists for these two years, so a separate 'Legacy IAS 39 basis' section below uses each year's own product-level gross carrying value/impairment allowance/net carrying value instead (Note 4.2 'Loans and advances to customers', both years use different product names than the post-2018 Development Finance/Specialist Mortgages/Asset and Wholesale Finance labels - FY2016/FY2017's own labels are used as-is rather than force-mapped onto the later taxonomy). Both years' Net carrying value ties exactly to the Balance Sheet (FY2016: £463,525k, FY2017: £632,275k). Source: FY2017 from Annual Report and Accounts 2017 (HTB website copy, text-native), p.57-58 - https://www.htb.co.uk/htbcontent/uploads/2019/08/Hampshire-Trust-Bank-HTB-2017-Annual-Report-1.pdf; FY2016 from Annual Report and Accounts 2016 (HTB website copy, text-native), p.41-42 - https://www.htb.co.uk/htbcontent/uploads/2019/08/Hampshire-Trust-Bank-HTB-2016-Annual-Report-1.pdf.</t>
        </is>
      </c>
    </row>
  </sheetData>
  <mergeCells count="1">
    <mergeCell ref="A35:K3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5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Return on equity - average equity basis</t>
        </is>
      </c>
      <c r="B4" s="6" t="inlineStr">
        <is>
          <t>14.86%</t>
        </is>
      </c>
      <c r="C4" s="6" t="inlineStr">
        <is>
          <t>15.22%</t>
        </is>
      </c>
      <c r="D4" s="6" t="inlineStr">
        <is>
          <t>23.13%</t>
        </is>
      </c>
      <c r="E4" s="6" t="inlineStr">
        <is>
          <t>24.14%</t>
        </is>
      </c>
      <c r="F4" s="6" t="inlineStr">
        <is>
          <t>11.99%</t>
        </is>
      </c>
      <c r="G4" s="6" t="inlineStr">
        <is>
          <t>1.67%</t>
        </is>
      </c>
      <c r="H4" s="6" t="inlineStr">
        <is>
          <t>7.79%</t>
        </is>
      </c>
      <c r="I4" s="6" t="inlineStr">
        <is>
          <t>7.48%</t>
        </is>
      </c>
      <c r="J4" s="6" t="inlineStr">
        <is>
          <t>8.45%</t>
        </is>
      </c>
      <c r="K4" s="6" t="n"/>
    </row>
    <row r="5">
      <c r="A5" s="6" t="inlineStr">
        <is>
          <t>Return on equity - year-end equity basis</t>
        </is>
      </c>
      <c r="B5" s="6" t="inlineStr">
        <is>
          <t>13.84%</t>
        </is>
      </c>
      <c r="C5" s="6" t="inlineStr">
        <is>
          <t>14.16%</t>
        </is>
      </c>
      <c r="D5" s="6" t="inlineStr">
        <is>
          <t>20.84%</t>
        </is>
      </c>
      <c r="E5" s="6" t="inlineStr">
        <is>
          <t>20.87%</t>
        </is>
      </c>
      <c r="F5" s="6" t="inlineStr">
        <is>
          <t>10.89%</t>
        </is>
      </c>
      <c r="G5" s="6" t="inlineStr">
        <is>
          <t>1.66%</t>
        </is>
      </c>
      <c r="H5" s="6" t="inlineStr">
        <is>
          <t>7.13%</t>
        </is>
      </c>
      <c r="I5" s="6" t="inlineStr">
        <is>
          <t>7.18%</t>
        </is>
      </c>
      <c r="J5" s="6" t="inlineStr">
        <is>
          <t>6.93%</t>
        </is>
      </c>
      <c r="K5" s="6" t="inlineStr">
        <is>
          <t>2.91%</t>
        </is>
      </c>
    </row>
    <row r="6">
      <c r="A6" s="6" t="inlineStr">
        <is>
          <t>Return on assets - average assets basis</t>
        </is>
      </c>
      <c r="B6" s="6" t="inlineStr">
        <is>
          <t>1.04%</t>
        </is>
      </c>
      <c r="C6" s="6" t="inlineStr">
        <is>
          <t>1.12%</t>
        </is>
      </c>
      <c r="D6" s="6" t="inlineStr">
        <is>
          <t>1.85%</t>
        </is>
      </c>
      <c r="E6" s="6" t="inlineStr">
        <is>
          <t>2.00%</t>
        </is>
      </c>
      <c r="F6" s="6" t="inlineStr">
        <is>
          <t>1.11%</t>
        </is>
      </c>
      <c r="G6" s="6" t="inlineStr">
        <is>
          <t>0.18%</t>
        </is>
      </c>
      <c r="H6" s="6" t="inlineStr">
        <is>
          <t>0.94%</t>
        </is>
      </c>
      <c r="I6" s="6" t="inlineStr">
        <is>
          <t>1.02%</t>
        </is>
      </c>
      <c r="J6" s="6" t="inlineStr">
        <is>
          <t>1.19%</t>
        </is>
      </c>
      <c r="K6" s="6" t="n"/>
    </row>
    <row r="7">
      <c r="A7" s="6" t="inlineStr">
        <is>
          <t>Return on assets - year-end assets basis</t>
        </is>
      </c>
      <c r="B7" s="6" t="inlineStr">
        <is>
          <t>0.98%</t>
        </is>
      </c>
      <c r="C7" s="6" t="inlineStr">
        <is>
          <t>0.98%</t>
        </is>
      </c>
      <c r="D7" s="6" t="inlineStr">
        <is>
          <t>1.66%</t>
        </is>
      </c>
      <c r="E7" s="6" t="inlineStr">
        <is>
          <t>1.69%</t>
        </is>
      </c>
      <c r="F7" s="6" t="inlineStr">
        <is>
          <t>0.94%</t>
        </is>
      </c>
      <c r="G7" s="6" t="inlineStr">
        <is>
          <t>0.17%</t>
        </is>
      </c>
      <c r="H7" s="6" t="inlineStr">
        <is>
          <t>0.84%</t>
        </is>
      </c>
      <c r="I7" s="6" t="inlineStr">
        <is>
          <t>0.88%</t>
        </is>
      </c>
      <c r="J7" s="6" t="inlineStr">
        <is>
          <t>1.08%</t>
        </is>
      </c>
      <c r="K7" s="6" t="inlineStr">
        <is>
          <t>0.36%</t>
        </is>
      </c>
    </row>
    <row r="8">
      <c r="A8" s="6" t="inlineStr">
        <is>
          <t>Return on Equity (post tax) (as published)</t>
        </is>
      </c>
      <c r="B8" s="6" t="inlineStr">
        <is>
          <t>Not published</t>
        </is>
      </c>
      <c r="C8" s="6" t="inlineStr">
        <is>
          <t>15.2%</t>
        </is>
      </c>
      <c r="D8" s="6" t="inlineStr">
        <is>
          <t>Not published</t>
        </is>
      </c>
      <c r="E8" s="6" t="n"/>
      <c r="F8" s="6" t="n"/>
      <c r="G8" s="6" t="n"/>
      <c r="H8" s="6" t="n"/>
      <c r="I8" s="6" t="n"/>
      <c r="J8" s="6" t="n"/>
      <c r="K8" s="6" t="n"/>
    </row>
    <row r="9">
      <c r="A9" s="6" t="inlineStr">
        <is>
          <t>Return on Tangible Equity (as published)</t>
        </is>
      </c>
      <c r="B9" s="6" t="inlineStr">
        <is>
          <t>16.7%</t>
        </is>
      </c>
      <c r="C9" s="6" t="inlineStr">
        <is>
          <t>Not published</t>
        </is>
      </c>
      <c r="D9" s="6" t="inlineStr">
        <is>
          <t>Not published</t>
        </is>
      </c>
      <c r="E9" s="6" t="n"/>
      <c r="F9" s="6" t="n"/>
      <c r="G9" s="6" t="n"/>
      <c r="H9" s="6" t="n"/>
      <c r="I9" s="6" t="n"/>
      <c r="J9" s="6" t="n"/>
      <c r="K9" s="6" t="n"/>
    </row>
    <row r="10">
      <c r="A10" s="6" t="inlineStr">
        <is>
          <t>Return on equity (post tax) (as published)</t>
        </is>
      </c>
      <c r="B10" s="6" t="inlineStr">
        <is>
          <t>14.9%</t>
        </is>
      </c>
      <c r="C10" s="6" t="inlineStr">
        <is>
          <t>Not published</t>
        </is>
      </c>
      <c r="D10" s="6" t="inlineStr">
        <is>
          <t>Not published</t>
        </is>
      </c>
      <c r="E10" s="6" t="n"/>
      <c r="F10" s="6" t="n"/>
      <c r="G10" s="6" t="n"/>
      <c r="H10" s="6" t="n"/>
      <c r="I10" s="6" t="n"/>
      <c r="J10" s="6" t="n"/>
      <c r="K10" s="6" t="n"/>
    </row>
    <row r="11">
      <c r="A11" s="6" t="inlineStr">
        <is>
          <t>Return on required equity (post tax) (as published)</t>
        </is>
      </c>
      <c r="B11" s="6" t="inlineStr">
        <is>
          <t>22.4%</t>
        </is>
      </c>
      <c r="C11" s="6" t="inlineStr">
        <is>
          <t>Not published</t>
        </is>
      </c>
      <c r="D11" s="6" t="inlineStr">
        <is>
          <t>Not published</t>
        </is>
      </c>
      <c r="E11" s="6" t="n"/>
      <c r="F11" s="6" t="n"/>
      <c r="G11" s="6" t="n"/>
      <c r="H11" s="6" t="n"/>
      <c r="I11" s="6" t="n"/>
      <c r="J11" s="6" t="n"/>
      <c r="K11" s="6" t="n"/>
    </row>
    <row r="12" ht="273" customHeight="1">
      <c r="A12"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Equity (post tax): “Return on equity (post-tax) is calculated as profit post tax for the year divided by average equity.” Return on Tangible Equity: “Return on Tangible Equity is calculated as profit post tax for the year excluding amortisation divided by average tangible equity.” Return on equity (post tax): “Return on equity (post-tax) is calculated as profit post tax for the year divided by average equity.” Return on required equity (post tax): “Return on Required Equity is calculated as profit post tax for the year divided by average required equity.”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FY2022, where return on equity is 24.14% on an average basis and 20.87% on a year-end basis.
FY2016 HAS NO AVERAGE-BASIS RATIO, AND THAT IS CORRECT. An average denominator needs an opening balance, and FY2016 is the oldest column this workbook carries, so there is no prior year to open from. The blank is structural, not a missing figure. The year-end basis is shown for FY2016 because it needs only the closing balance.
FIGURES THE BANK PUBLISHED ONLY AS A LATER EDITION'S COMPARATIVE, AND WHY THEY ARE NOT IN THE CELLS ABOVE. FY2024 Return on Tangible Equity 16.9%; FY2024 Return on required equity (post tax) 25.6%; FY2024 Return on equity (post tax) 15.2%; FY2023 Return on Equity (post tax) 23.1%.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
RULED OUT, AND RECORDED SO IT IS NOT RE-DERIVED. FY2024 Return on Equity (post tax) - GROUP column = 14.9%: Recorded as an EXCLUSION so the Group number is never substituted into a Bank-only cell, and so nobody re-derives it. Aggregator rows for HAMPSHIRE TRUST BANK should be assumed to be this Group series unless their own page says otherwise. The measure label here carries a ' - GROUP column' suffix because the report prints the SAME label, 'Return on Equity (post tax)', over both the Group and the Bank columns; only the column header separates them, and the store is keyed on (bank, year, measure).</t>
        </is>
      </c>
    </row>
    <row r="14" ht="170" customHeight="1">
      <c r="A14" s="8" t="inlineStr">
        <is>
          <t>Computed by this workbook's own build script from the Profit &amp; Loss and Balance Sheet sheets of this same workbook - the Profit &amp; Loss row “profit after tax for the year” and the Balance Sheet rows “total equity” and “total assets”, resolved BY LABEL at build time through the shared resolver scripts/profitability_rows.py, so this sheet cannot drift from the statements it summarises. Those rows are themselves transcribed from Hampshire Trust Bank Plc's Annual Report and Accounts for each year; see the source cells on the Balance Sheet and Profit &amp; Loss sheets for the exact document, page and table behind every input to every percentage above.
The '(as published)' rows are quoted verbatim from Hampshire Trust Bank Plc's own disclosures and are recorded, with the exact document, page and verification state for each, in research/profitability/published_returns.jsonl under ‘HAMPSHIRE TRUST BANK’.</t>
        </is>
      </c>
    </row>
  </sheetData>
  <mergeCells count="2">
    <mergeCell ref="A14:K14"/>
    <mergeCell ref="A12:K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s>
  <sheetData>
    <row r="1">
      <c r="A1" s="1" t="inlineStr">
        <is>
          <t>Hampshire Trust Bank Plc — KM1 Key Metrics</t>
        </is>
      </c>
    </row>
    <row r="2">
      <c r="A2" s="2" t="inlineStr">
        <is>
          <t>The Bank's own published UK KM1 key-metrics template, reproduced in its own row order, with its own template row numbers, labels and printed precision. Rows 1-14 are the BANK (solo) column; rows 15-20 are the GROUP column, because HTB reports liquidity only on a consolidated Domestic Liquidity Sub-Group basis - see the source note. Amounts in £'000, ratios as printed. FY2021 is the FY2022 edition's comparative column (that year's own edition prints no template at all); FY2016-FY2020 are blank because the template pre-dates them and no edition carries a comparative for those dates.</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 — Bank (solo) basis</t>
        </is>
      </c>
      <c r="B4" s="6" t="n"/>
      <c r="C4" s="6" t="n"/>
      <c r="D4" s="6" t="n"/>
      <c r="E4" s="6" t="n"/>
      <c r="F4" s="6" t="n"/>
    </row>
    <row r="5">
      <c r="A5" s="6" t="inlineStr">
        <is>
          <t>1 Common Equity Tier 1 (CET1) capital (£'000)</t>
        </is>
      </c>
      <c r="B5" s="6" t="n">
        <v>397694</v>
      </c>
      <c r="C5" s="6" t="n">
        <v>300589</v>
      </c>
      <c r="D5" s="6" t="n">
        <v>243719</v>
      </c>
      <c r="E5" s="6" t="n">
        <v>180193</v>
      </c>
      <c r="F5" s="6" t="n">
        <v>174913</v>
      </c>
    </row>
    <row r="6">
      <c r="A6" s="6" t="inlineStr">
        <is>
          <t>2 Tier 1 capital (£'000)</t>
        </is>
      </c>
      <c r="B6" s="6" t="n">
        <v>414725</v>
      </c>
      <c r="C6" s="6" t="n">
        <v>317619</v>
      </c>
      <c r="D6" s="6" t="n">
        <v>260749</v>
      </c>
      <c r="E6" s="6" t="n">
        <v>197223</v>
      </c>
      <c r="F6" s="6" t="n">
        <v>174913</v>
      </c>
    </row>
    <row r="7">
      <c r="A7" s="6" t="inlineStr">
        <is>
          <t>3 Total capital (£'000)</t>
        </is>
      </c>
      <c r="B7" s="6" t="n">
        <v>494725</v>
      </c>
      <c r="C7" s="6" t="n">
        <v>362750</v>
      </c>
      <c r="D7" s="6" t="n">
        <v>311890</v>
      </c>
      <c r="E7" s="6" t="n">
        <v>227223</v>
      </c>
      <c r="F7" s="6" t="n">
        <v>204913</v>
      </c>
    </row>
    <row r="8">
      <c r="A8" s="5" t="inlineStr">
        <is>
          <t>Risk-weighted exposure amounts — Bank (solo) basis</t>
        </is>
      </c>
      <c r="B8" s="6" t="n"/>
      <c r="C8" s="6" t="n"/>
      <c r="D8" s="6" t="n"/>
      <c r="E8" s="6" t="n"/>
      <c r="F8" s="6" t="n"/>
    </row>
    <row r="9">
      <c r="A9" s="6" t="inlineStr">
        <is>
          <t>4 Total risk-weighted exposure amount (£'000)</t>
        </is>
      </c>
      <c r="B9" s="6" t="n">
        <v>2949233</v>
      </c>
      <c r="C9" s="6" t="n">
        <v>2207947</v>
      </c>
      <c r="D9" s="6" t="n">
        <v>1830864</v>
      </c>
      <c r="E9" s="6" t="n">
        <v>1310125</v>
      </c>
      <c r="F9" s="6" t="n">
        <v>922921</v>
      </c>
    </row>
    <row r="10">
      <c r="A10" s="5" t="inlineStr">
        <is>
          <t>Capital ratios (as a percentage of risk-weighted exposure amount)</t>
        </is>
      </c>
      <c r="B10" s="6" t="n"/>
      <c r="C10" s="6" t="n"/>
      <c r="D10" s="6" t="n"/>
      <c r="E10" s="6" t="n"/>
      <c r="F10" s="6" t="n"/>
    </row>
    <row r="11">
      <c r="A11" s="6" t="inlineStr">
        <is>
          <t>5 Common Equity Tier 1 ratio (%)</t>
        </is>
      </c>
      <c r="B11" s="6" t="inlineStr">
        <is>
          <t>13.5%</t>
        </is>
      </c>
      <c r="C11" s="6" t="inlineStr">
        <is>
          <t>13.6%</t>
        </is>
      </c>
      <c r="D11" s="6" t="inlineStr">
        <is>
          <t>13.3%</t>
        </is>
      </c>
      <c r="E11" s="6" t="inlineStr">
        <is>
          <t>13.8%</t>
        </is>
      </c>
      <c r="F11" s="6" t="inlineStr">
        <is>
          <t>18.9%</t>
        </is>
      </c>
    </row>
    <row r="12">
      <c r="A12" s="6" t="inlineStr">
        <is>
          <t>6 Tier 1 ratio (%)</t>
        </is>
      </c>
      <c r="B12" s="6" t="inlineStr">
        <is>
          <t>14.1%</t>
        </is>
      </c>
      <c r="C12" s="6" t="inlineStr">
        <is>
          <t>14.4%</t>
        </is>
      </c>
      <c r="D12" s="6" t="inlineStr">
        <is>
          <t>14.2%</t>
        </is>
      </c>
      <c r="E12" s="6" t="inlineStr">
        <is>
          <t>15.1%</t>
        </is>
      </c>
      <c r="F12" s="6" t="inlineStr">
        <is>
          <t>18.9%</t>
        </is>
      </c>
    </row>
    <row r="13">
      <c r="A13" s="6" t="inlineStr">
        <is>
          <t>7 Total capital ratio (%)</t>
        </is>
      </c>
      <c r="B13" s="6" t="inlineStr">
        <is>
          <t>16.8%</t>
        </is>
      </c>
      <c r="C13" s="6" t="inlineStr">
        <is>
          <t>16.4%</t>
        </is>
      </c>
      <c r="D13" s="6" t="inlineStr">
        <is>
          <t>17.0%</t>
        </is>
      </c>
      <c r="E13" s="6" t="inlineStr">
        <is>
          <t>17.4%</t>
        </is>
      </c>
      <c r="F13" s="6" t="inlineStr">
        <is>
          <t>22.2%</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0.39%</t>
        </is>
      </c>
      <c r="C15" s="6" t="inlineStr">
        <is>
          <t>0.39%</t>
        </is>
      </c>
      <c r="D15" s="6" t="inlineStr">
        <is>
          <t>0.39%</t>
        </is>
      </c>
      <c r="E15" s="6" t="inlineStr">
        <is>
          <t>0.95%</t>
        </is>
      </c>
      <c r="F15" s="6" t="inlineStr">
        <is>
          <t>0.95%</t>
        </is>
      </c>
    </row>
    <row r="16">
      <c r="A16" s="6" t="inlineStr">
        <is>
          <t>UK 7b Additional AT1 SREP requirements (%)</t>
        </is>
      </c>
      <c r="B16" s="6" t="inlineStr">
        <is>
          <t>0.13%</t>
        </is>
      </c>
      <c r="C16" s="6" t="inlineStr">
        <is>
          <t>0.13%</t>
        </is>
      </c>
      <c r="D16" s="6" t="inlineStr">
        <is>
          <t>0.13%</t>
        </is>
      </c>
      <c r="E16" s="6" t="inlineStr">
        <is>
          <t>0.32%</t>
        </is>
      </c>
      <c r="F16" s="6" t="inlineStr">
        <is>
          <t>0.32%</t>
        </is>
      </c>
    </row>
    <row r="17">
      <c r="A17" s="6" t="inlineStr">
        <is>
          <t>UK 7c Additional T2 SREP requirements (%)</t>
        </is>
      </c>
      <c r="B17" s="6" t="inlineStr">
        <is>
          <t>0.18%</t>
        </is>
      </c>
      <c r="C17" s="6" t="inlineStr">
        <is>
          <t>0.18%</t>
        </is>
      </c>
      <c r="D17" s="6" t="inlineStr">
        <is>
          <t>0.18%</t>
        </is>
      </c>
      <c r="E17" s="6" t="inlineStr">
        <is>
          <t>0.42%</t>
        </is>
      </c>
      <c r="F17" s="6" t="inlineStr">
        <is>
          <t>0.42%</t>
        </is>
      </c>
    </row>
    <row r="18">
      <c r="A18" s="6" t="inlineStr">
        <is>
          <t>UK 7d Total SREP own funds requirements (%) *</t>
        </is>
      </c>
      <c r="B18" s="6" t="inlineStr">
        <is>
          <t>8.70%</t>
        </is>
      </c>
      <c r="C18" s="6" t="inlineStr">
        <is>
          <t>8.70%</t>
        </is>
      </c>
      <c r="D18" s="6" t="inlineStr">
        <is>
          <t>8.70%</t>
        </is>
      </c>
      <c r="E18" s="6" t="inlineStr">
        <is>
          <t>9.69%</t>
        </is>
      </c>
      <c r="F18" s="6" t="inlineStr">
        <is>
          <t>9.69%</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t>
        </is>
      </c>
      <c r="E20" s="6" t="inlineStr">
        <is>
          <t>2.5%</t>
        </is>
      </c>
      <c r="F20" s="6" t="inlineStr">
        <is>
          <t>2.5%</t>
        </is>
      </c>
    </row>
    <row r="21">
      <c r="A21" s="6" t="inlineStr">
        <is>
          <t>9 Institution specific countercyclical capital buffer (%)</t>
        </is>
      </c>
      <c r="B21" s="6" t="inlineStr">
        <is>
          <t>2.0%</t>
        </is>
      </c>
      <c r="C21" s="6" t="inlineStr">
        <is>
          <t>2.0%</t>
        </is>
      </c>
      <c r="D21" s="6" t="inlineStr">
        <is>
          <t>2.0%</t>
        </is>
      </c>
      <c r="E21" s="6" t="inlineStr">
        <is>
          <t>1.0%</t>
        </is>
      </c>
      <c r="F21" s="6" t="inlineStr">
        <is>
          <t>0.0%</t>
        </is>
      </c>
    </row>
    <row r="22">
      <c r="A22" s="6" t="inlineStr">
        <is>
          <t>11 Combined buffer requirement (%)</t>
        </is>
      </c>
      <c r="B22" s="6" t="inlineStr">
        <is>
          <t>4.5%</t>
        </is>
      </c>
      <c r="C22" s="6" t="inlineStr">
        <is>
          <t>4.5%</t>
        </is>
      </c>
      <c r="D22" s="6" t="inlineStr">
        <is>
          <t>4.5%</t>
        </is>
      </c>
      <c r="E22" s="6" t="inlineStr">
        <is>
          <t>3.5%</t>
        </is>
      </c>
      <c r="F22" s="6" t="inlineStr">
        <is>
          <t>2.5%</t>
        </is>
      </c>
    </row>
    <row r="23">
      <c r="A23" s="6" t="inlineStr">
        <is>
          <t>UK 11a Overall capital requirements (%)</t>
        </is>
      </c>
      <c r="B23" s="6" t="inlineStr">
        <is>
          <t>13.20%</t>
        </is>
      </c>
      <c r="C23" s="6" t="inlineStr">
        <is>
          <t>13.20%</t>
        </is>
      </c>
      <c r="D23" s="6" t="inlineStr">
        <is>
          <t>13.20%</t>
        </is>
      </c>
      <c r="E23" s="6" t="inlineStr">
        <is>
          <t>13.19%</t>
        </is>
      </c>
      <c r="F23" s="6" t="inlineStr">
        <is>
          <t>12.19%</t>
        </is>
      </c>
    </row>
    <row r="24">
      <c r="A24" s="6" t="inlineStr">
        <is>
          <t>12 CET1 available after meeting the total SREP own funds requirements (%)</t>
        </is>
      </c>
      <c r="B24" s="6" t="inlineStr">
        <is>
          <t>7.54%</t>
        </is>
      </c>
      <c r="C24" s="6" t="inlineStr">
        <is>
          <t>7.73%</t>
        </is>
      </c>
      <c r="D24" s="6" t="inlineStr">
        <is>
          <t>7.72%</t>
        </is>
      </c>
      <c r="E24" s="6" t="inlineStr">
        <is>
          <t>7.65%</t>
        </is>
      </c>
      <c r="F24" s="6" t="inlineStr">
        <is>
          <t>11.68%</t>
        </is>
      </c>
    </row>
    <row r="25">
      <c r="A25" s="5" t="inlineStr">
        <is>
          <t>Leverage ratio — Bank (solo) basis</t>
        </is>
      </c>
      <c r="B25" s="6" t="n"/>
      <c r="C25" s="6" t="n"/>
      <c r="D25" s="6" t="n"/>
      <c r="E25" s="6" t="n"/>
      <c r="F25" s="6" t="n"/>
    </row>
    <row r="26">
      <c r="A26" s="6" t="inlineStr">
        <is>
          <t>13 Leverage ratio total exposure measure (£'000)</t>
        </is>
      </c>
      <c r="B26" s="6" t="n">
        <v>5497075</v>
      </c>
      <c r="C26" s="6" t="n">
        <v>3925344</v>
      </c>
      <c r="D26" s="6" t="n">
        <v>3491694</v>
      </c>
      <c r="E26" s="6" t="n">
        <v>2148245</v>
      </c>
      <c r="F26" s="6" t="n">
        <v>2190634</v>
      </c>
    </row>
    <row r="27">
      <c r="A27" s="6" t="inlineStr">
        <is>
          <t>14 Leverage ratio (%)</t>
        </is>
      </c>
      <c r="B27" s="6" t="inlineStr">
        <is>
          <t>7.5%</t>
        </is>
      </c>
      <c r="C27" s="6" t="inlineStr">
        <is>
          <t>8.1%</t>
        </is>
      </c>
      <c r="D27" s="6" t="inlineStr">
        <is>
          <t>7.5%</t>
        </is>
      </c>
      <c r="E27" s="6" t="inlineStr">
        <is>
          <t>9.2%</t>
        </is>
      </c>
      <c r="F27" s="6" t="inlineStr">
        <is>
          <t>8.0%</t>
        </is>
      </c>
    </row>
    <row r="28">
      <c r="A28" s="5" t="inlineStr">
        <is>
          <t>Liquidity Coverage Ratio * — GROUP (consolidated) basis, the only basis the Bank reports liquidity on (Domestic Liquidity Sub-Group)</t>
        </is>
      </c>
      <c r="B28" s="6" t="n"/>
      <c r="C28" s="6" t="n"/>
      <c r="D28" s="6" t="n"/>
      <c r="E28" s="6" t="n"/>
      <c r="F28" s="6" t="n"/>
    </row>
    <row r="29">
      <c r="A29" s="6" t="inlineStr">
        <is>
          <t>15 Total high-quality liquid assets (HQLA) (Weighted value - average) (£'000)</t>
        </is>
      </c>
      <c r="B29" s="6" t="n">
        <v>1458361</v>
      </c>
      <c r="C29" s="6" t="n">
        <v>1014062</v>
      </c>
      <c r="D29" s="6" t="n">
        <v>570667</v>
      </c>
      <c r="E29" s="6" t="n">
        <v>479543</v>
      </c>
      <c r="F29" s="6" t="n">
        <v>199339</v>
      </c>
    </row>
    <row r="30">
      <c r="A30" s="6" t="inlineStr">
        <is>
          <t>UK 16a Cash outflows - Total weighted value (£'000)</t>
        </is>
      </c>
      <c r="B30" s="6" t="n">
        <v>475658</v>
      </c>
      <c r="C30" s="6" t="n">
        <v>315664</v>
      </c>
      <c r="D30" s="6" t="n">
        <v>201820</v>
      </c>
      <c r="E30" s="6" t="n">
        <v>167124</v>
      </c>
      <c r="F30" s="6" t="n">
        <v>84833</v>
      </c>
    </row>
    <row r="31">
      <c r="A31" s="6" t="inlineStr">
        <is>
          <t>UK 16b Cash inflows - Total weighted value (£'000)</t>
        </is>
      </c>
      <c r="B31" s="6" t="n">
        <v>55236</v>
      </c>
      <c r="C31" s="6" t="n">
        <v>56385</v>
      </c>
      <c r="D31" s="6" t="n">
        <v>54956</v>
      </c>
      <c r="E31" s="6" t="n">
        <v>43179</v>
      </c>
      <c r="F31" s="6" t="n">
        <v>21508</v>
      </c>
    </row>
    <row r="32">
      <c r="A32" s="6" t="inlineStr">
        <is>
          <t>16 Total net cash outflows (adjusted value) (£'000)</t>
        </is>
      </c>
      <c r="B32" s="6" t="n">
        <v>420422</v>
      </c>
      <c r="C32" s="6" t="n">
        <v>259279</v>
      </c>
      <c r="D32" s="6" t="n">
        <v>146864</v>
      </c>
      <c r="E32" s="6" t="n">
        <v>123945</v>
      </c>
      <c r="F32" s="6" t="n">
        <v>63325</v>
      </c>
    </row>
    <row r="33">
      <c r="A33" s="6" t="inlineStr">
        <is>
          <t>17 Liquidity coverage ratio (%)</t>
        </is>
      </c>
      <c r="B33" s="6" t="inlineStr">
        <is>
          <t>346.9%</t>
        </is>
      </c>
      <c r="C33" s="6" t="inlineStr">
        <is>
          <t>391.1%</t>
        </is>
      </c>
      <c r="D33" s="6" t="inlineStr">
        <is>
          <t>388.6%</t>
        </is>
      </c>
      <c r="E33" s="6" t="inlineStr">
        <is>
          <t>386.9%</t>
        </is>
      </c>
      <c r="F33" s="6" t="inlineStr">
        <is>
          <t>314.8%</t>
        </is>
      </c>
    </row>
    <row r="34">
      <c r="A34" s="5" t="inlineStr">
        <is>
          <t>Net Stable Funding Ratio * — GROUP (consolidated) basis, same reason as the LCR block above</t>
        </is>
      </c>
      <c r="B34" s="6" t="n"/>
      <c r="C34" s="6" t="n"/>
      <c r="D34" s="6" t="n"/>
      <c r="E34" s="6" t="n"/>
      <c r="F34" s="6" t="n"/>
    </row>
    <row r="35">
      <c r="A35" s="6" t="inlineStr">
        <is>
          <t>18 Total available stable funding (£'000)</t>
        </is>
      </c>
      <c r="B35" s="6" t="n">
        <v>5182100</v>
      </c>
      <c r="C35" s="6" t="n">
        <v>4312061</v>
      </c>
      <c r="D35" s="6" t="n">
        <v>3377489</v>
      </c>
      <c r="E35" s="6" t="n">
        <v>2782040</v>
      </c>
      <c r="F35" s="6" t="n">
        <v>1418721</v>
      </c>
    </row>
    <row r="36">
      <c r="A36" s="6" t="inlineStr">
        <is>
          <t>19 Total required stable funding (£'000)</t>
        </is>
      </c>
      <c r="B36" s="6" t="n">
        <v>3260472</v>
      </c>
      <c r="C36" s="6" t="n">
        <v>2639910</v>
      </c>
      <c r="D36" s="6" t="n">
        <v>2287273</v>
      </c>
      <c r="E36" s="6" t="n">
        <v>1824815</v>
      </c>
      <c r="F36" s="6" t="n">
        <v>1177441</v>
      </c>
    </row>
    <row r="37">
      <c r="A37" s="6" t="inlineStr">
        <is>
          <t>20 NSFR ratio (%)</t>
        </is>
      </c>
      <c r="B37" s="6" t="inlineStr">
        <is>
          <t>158.9%</t>
        </is>
      </c>
      <c r="C37" s="6" t="inlineStr">
        <is>
          <t>163.3%</t>
        </is>
      </c>
      <c r="D37" s="6" t="inlineStr">
        <is>
          <t>147.7%</t>
        </is>
      </c>
      <c r="E37" s="6" t="inlineStr">
        <is>
          <t>152.5%</t>
        </is>
      </c>
      <c r="F37" s="6" t="inlineStr">
        <is>
          <t>120.5%</t>
        </is>
      </c>
    </row>
    <row r="39" ht="390" customHeight="1">
      <c r="A39" s="8" t="inlineStr">
        <is>
          <t>Sources - Hampshire Trust Bank Plc's own 'Key Metrics' table (the UK KM1 key-metrics template, printed with its own template row numbers but no 'KM1' caption), section 3 of each year's own Pillar 3 Disclosures. Each year is transcribed from the edition in which it is the REPORTING year, never from a later edition's comparative column, except FY2021 - see the FY2021 note below:
FY2025: Pillar 3 Disclosures 31 December 2025, pp.10-11 (the table breaks across two pages; rows 18-20 sit alone on p.11) - https://www.htb.co.uk/htbcontent/uploads/2026/04/HTB_Pillar_3_Disclosures_2025.pdf
FY2024: Pillar 3 Disclosures 31 December 2024, pp.9-10 (same two-page break) - https://www.htb.co.uk/htbcontent/uploads/2025/07/HTB_Pillar_3_Disclosures_2024.pdf
FY2023: Pillar 3 Disclosures 31 December 2023, pp.10-11 - https://www.htb.co.uk/htbcontent/uploads/2024/06/HTB_Pillar_3_Disclosures_2023.pdf
FY2022: Pillar 3 Disclosures 31 December 2022, pp.10-11 - https://www.htb.co.uk/htbcontent/uploads/2023/08/Hampshire-Trust-Bank-HTB-2022-Pillar-3-Disclosures.pdf
FY2021: NOT from a FY2021 KM1 - the FY2021 edition contains no key-metrics template at all (see below) - but from the FY2022 edition's own 2021 comparative column, pp.10-11 - https://www.htb.co.uk/htbcontent/uploads/2023/08/Hampshire-Trust-Bank-HTB-2022-Pillar-3-Disclosures.pdf
ENTITY BASIS - READ THIS BEFORE COMPARING ANY FIGURE. From FY2022 the Bank prints the template TWICE over, side by side: a 'Group' column (HTB Group - Hampshire Trust Bank Plc and its subsidiaries, the consolidated accounts basis) beside a 'Bank' column (Hampshire Trust Bank Plc alone). The two differ materially - at 31 December 2025 CET1 capital is 398,863 Group against 397,694 Bank, and at 31 December 2022 it is 254,118 against 180,193, a 41% gap. This workbook's Pillar 3 basis is the BANK, so rows 1-14 below reproduce the BANK column in every year, and the Group column's figures are deliberately NOT shown here.
Rows 15-20 are the one exception, and it is the Bank's own doing rather than a choice made here: HTB reports liquidity only on a consolidated basis. Its FY2023 edition footnotes the LCR and NSFR blocks 'Consolidated only as the Group forms a Domestic Liquidity Sub-Group', and its FY2024 and FY2025 editions 'Liquidity is managed on a consolidated basis hence only Group metrics are reported' (FY2025 adding 'Quarterly weighted average metrics used'). Those three editions therefore print ONE set of liquidity figures, not two, and it is the Group's. Rows 15-20 below are consequently on the GROUP basis in every year, matching this workbook's own LCR and NSFR sheets.
FY2022 is the year where that distinction is visible rather than forced: its edition does print liquidity for both entities. The Group figures are used here (LCR 386.9%, NSFR 152.5%) for continuity with FY2023-FY2025 and with the LCR/NSFR sheets. RECORDED, NOT USED: the same table's BANK-level FY2022 liquidity figures are HQLA 423,381, cash outflows 171,278, cash inflows 22,793, net cash outflows 148,484, LCR 285.1%, ASF 2,188,656, RSF 1,560,511, NSFR 140.3%.
FY2021 IS A FILLED COLUMN, AND THIS IS WHY. The FY2021 Pillar 3 edition prints no key-metrics template anywhere - not under that name and not under any other. Its section 1.5 'Summary of key ratios' is a five-line table (CET1 ratio, total capital ratio, risk weighted assets, leverage ratio, LCR) with no SREP block, no buffer block, no NSFR and no template row numbers, which is a different and much shorter table, not an unnumbered template. That was confirmed against the whole document rather than inferred from a failed search: the FY2021 PDF extracts 181,170 characters of text and is rich in capital content (a full Appendix 1 own-funds disclosure template on pp.57-61, an Appendix 3 IFRS 9 transitional capital table on p.66, a capital resources table on p.15), while the phrases 'Available own funds' and 'Key metric' appear zero times in it. So FY2021's own edition has no table to quote, and the FY2022 edition's 2021 comparative column is used instead - the whole column, including its printed 0.0% countercyclical buffer. A filled column is always named as such here; every other year above is its own edition's.
FY2016-FY2020 are BLANK, and for a different reason again: the UK KM1 template arrived with the Disclosure (CRR) Part of the PRA Rulebook on 1 January 2022, no edition before FY2022 prints one, and no edition anywhere prints a comparative column for any of those five dates. Blank here therefore means the Bank has never published these figures on this template, on any basis, in any edition.</t>
        </is>
      </c>
    </row>
    <row r="41" ht="380" customHeight="1">
      <c r="A41" s="8" t="inlineStr">
        <is>
          <t>(continued)
UNIT. The key-metrics table itself carries no unit caption - the Bank simply prints the column headers 'Group' and 'Bank' over the year. The amounts are £'000: the same documents' own Pillar 1 credit-risk tables are headed "Pillar 1 £'000s" at both Group and HTB level, and every amount below ties to the Annual Report's £'000 statements. Each amount row carries the unit explicitly.
SDDT NOTE: the PRA waivers register records a modification for HTB of rule 2.1(9) of the SDDT Regime - General Application Part (07/05/2026-07/05/2029). That is an ELIGIBILITY criterion, not the rule 3.1 opt-in that removes the Pillar 3 disclosure duty, so it does not affect anything on this sheet; HTB published a full Pillar 3 with a KM1 for FY2025 as usual. Its FY2025 edition states its disclosure requirements are set out in Article 433b of the PRA Rulebook as a 'small and non-complex institution'.
LATEST-EDITION CHECK 2026-09-17: htb.co.uk's own uploads directory was checked for a newer edition. The newest Pillar 3 published is 'HTB Pillar 3 Disclosures 2025' (uploaded 2026/04) and the newest Annual Report is 'HTB Annual Report 2025' (uploaded 2026/04) - both already the newest year in this workbook. Nothing newer exists.</t>
        </is>
      </c>
    </row>
  </sheetData>
  <mergeCells count="2">
    <mergeCell ref="A41:F41"/>
    <mergeCell ref="A39:F3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(CET1) capital</t>
        </is>
      </c>
      <c r="B4" s="6" t="n">
        <v>397694</v>
      </c>
      <c r="C4" s="6" t="n">
        <v>300589</v>
      </c>
      <c r="D4" s="6" t="n">
        <v>243719</v>
      </c>
      <c r="E4" s="6" t="n">
        <v>180193</v>
      </c>
      <c r="F4" s="6" t="n">
        <v>174913</v>
      </c>
      <c r="G4" s="6" t="n">
        <v>151737</v>
      </c>
      <c r="H4" s="6" t="n">
        <v>137496</v>
      </c>
      <c r="I4" s="6" t="n">
        <v>121690</v>
      </c>
      <c r="J4" s="6" t="n">
        <v>112543</v>
      </c>
      <c r="K4" s="6" t="n">
        <v>72227</v>
      </c>
    </row>
    <row r="6" ht="390" customHeight="1">
      <c r="A6" s="8" t="inlineStr">
        <is>
          <t>Sources - Hampshire Trust Bank Plc Pillar 3 Disclosures, 'Key Metrics' (KM1) table, Bank column (Group column used only for LCR/NSFR, which HTB discloses only at consolidated/Group level - 'Liquidity is managed on a consolidated basis hence only Group metrics are reported'; FY2021 and earlier all predate the Group/Bank split entirely and show a single value used for every metric in those years; FY2016-FY2020 predate the KM1 template itself and instead use each year's own 'Summary of key ratios' table plus its Capital Resources/Capital Adequacy section for CET1/Tier 1/Total Capital £ amounts):
FY2025: Pillar 3 Disclosures | 31 December 2025, p.10-11 - https://www.htb.co.uk/htbcontent/uploads/2026/04/HTB_Pillar_3_Disclosures_2025.pdf
FY2024: Pillar 3 Disclosures | 31 December 2024, p.9-10 - https://www.htb.co.uk/htbcontent/uploads/2025/07/HTB_Pillar_3_Disclosures_2024.pdf
FY2023: Pillar 3 Disclosures | 31 December 2023, p.10-11 - https://www.htb.co.uk/htbcontent/uploads/2024/06/HTB_Pillar_3_Disclosures_2023.pdf
FY2022: Pillar 3 Disclosures | 31 December 2022, p.10-11 - https://www.htb.co.uk/htbcontent/uploads/2023/08/Hampshire-Trust-Bank-HTB-2022-Pillar-3-Disclosures.pdf
FY2021: Pillar 3 Disclosures | 31 December 2021, Key Metrics table - https://www.htb.co.uk/htbcontent/uploads/2022/07/Hampshire-Trust-Bank-HTB-2021-Pillar-3-Disclosures.pdf
FY2020: Pillar 3 Disclosures | 31 December 2020, Section 4.2/4.3/4.5 (Minimum capital requirement/Leverage Ratio/Liquidity Coverage Ratio) plus Capital Resources table - https://www.htb.co.uk/htbcontent/uploads/2021/07/Hampshire-Trust-Bank-HTB-2020-Pillar-3-Disclosures.pdf
FY2019: Pillar 3 Disclosures | 31 December 2019, Section 5.2/5.4/5.5 plus Capital Resources table - https://www.htb.co.uk/htbcontent/uploads/2020/07/Hampshire-Trust-Bank-HTB-2019-Pillar-3-Disclosures.pdf
FY2018: Pillar 3 Disclosures | 31 December 2018, Section 4.2/4.3/4.4 plus Capital Resources table - https://www.htb.co.uk/htbcontent/uploads/2019/08/Hampshire-Trust-Bank-HTB-2018-Pillar-3-Disclosures-1.pdf
FY2017: Pillar 3 Disclosures | 31 December 2017, Section 4.1/4.2/4.3/4.4 (Capital Adequacy/Minimum capital requirement/Leverage Ratio/LCR) - https://www.htb.co.uk/htbcontent/uploads/2019/08/Hampshire-Trust-Bank-HTB-2017-Pillar-3-Disclosures-1.pdf
FY2016: Pillar 3 Disclosures | 31 December 2016, Section 1.5 (Summary of key ratios)/Section 8 (Capital Adequacy) - https://www.htb.co.uk/htbcontent/uploads/2019/08/Hampshire-Trust-Bank-HTB-2016-Pillar-3-Disclosures-1.pdf
MREL is not mentioned anywhere in any year's Pillar 3 disclosure (FY2016-FY2025) - not publicly disclosed. NSFR is likewise never mentioned in any FY2016-FY2020 disclosure (the concept isn't introduced in HTB's own Pillar 3 reports until FY2021) - genuinely not disclosed those years, not a gap in this transcription.
Tier 1 capital equals CET1 capital in every year FY2016-FY2020 (no Additional Tier 1 instrument existed until the Other equity instruments (non-controlling interests) issued in FY2022) - see the Tier 1 Capital sheet's own note. Total Capital = Tier 1 + Tier 2 from FY2018 onward (Tier 2 = Subordinated Liabilities, first issued FY2018); FY2016-FY2017 had no Tier 2 capital at all, so Total Capital = Tier 1 = CET1 those two years too.
Each year's own 'Summary of key ratios' table prints a 'Risk weighted assets (£000)' line that is systematically inconsistent with that same table's own displayed CET1/Total Capital ratios in every one of FY2018-FY2020: recomputing CET1 capital / RWA against the printed RWA figure gives a ratio 1-2pp off the printed ratio, while the more granular COREP 'Total risk exposure amount' figure found elsewhere in each of those 3 documents (746,201 for FY2018, 831,229 for FY2019, 809,489 for FY2020) reproduces the printed ratios almost exactly (e.g. FY2018: 121,690/746,201 = 16.31%, matching the document's own precise COREP disclosure of 16.31% CET1 exactly, vs 121,690/687,497 = 17.70% using the summary table's own printed RWA line). The Total RWAs sheet below therefore uses the COREP figure for FY2018-FY2020, not the mismatched summary-table figure - a genuine, recurring source-document inconsistency, not a transcription error introduced here. FY2016/FY2017 have no COREP template to cross-check against, so their summary-table RWA figures (430,807/529,157) are used as-is despite a smaller (~1pp) rounding gap against their own printed ratios.
RESOLVED 2026-09-15 (RWA cross-sheet sweep - do not re-flag): what HTB's headline 'Risk weighted assets' line actually measures in FY2016-FY2017 is now established from the documents, not inferred. The FY2017 Pillar 3 p.12 credit-risk exposure-class table foots to exactly 529,157 in its own RWAs column (42,100 + 67,276 + 264,058 + 142,500 + 6,229 + 0 + 2,233 + 4,763), i.e. the headline line is CREDIT-RISK RWA ONLY and excludes the separately-disclosed operational risk requirement (FY2017 3,136 -&gt; 39,200 RWA; FY2016 1,189 -&gt; 14,863 RWA). The FY2018 document proves the same structure directly: its summary line reads 687,497 while its own COREP row 010 'Total risk exposure amount' on the same document reads 746,201 - a 58,704 difference matching that year's operational risk RWA (4,677/0.08 = 58,463). HTB's own printed ratios are computed on the credit-only denominator too (total regulatory capital 113,435 / 529,157 = 21.44%, matching the printed 21%; against 568,357 it would be 19.96%, i.e. 20%), so the printed ratio cannot be used to overturn the printed total the way it was for Redwood. HTB has never published a FY2016 or FY2017 total risk exposure amount in any document (Pillar 3 or Annual Report - AR2017 and AR2016 repeat the same 529,157/430,807), so there is no transcribable replacement; credit + operational would be arithmetic, which this project does not substitute for a disclosed figure. FY2016/FY2017 therefore knowingly hold a credit-risk-only figure, and the FY2017 -&gt; FY2018 step in this series carries a basis change (credit-only -&gt; COREP total) on top of real balance-sheet growth. See the RWA Breakdown sheet for the two components.</t>
        </is>
      </c>
    </row>
  </sheetData>
  <mergeCells count="1">
    <mergeCell ref="A6:K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(CET1) ratio</t>
        </is>
      </c>
      <c r="B4" s="6" t="inlineStr">
        <is>
          <t>13.5%</t>
        </is>
      </c>
      <c r="C4" s="6" t="inlineStr">
        <is>
          <t>13.6%</t>
        </is>
      </c>
      <c r="D4" s="6" t="inlineStr">
        <is>
          <t>13.3%</t>
        </is>
      </c>
      <c r="E4" s="6" t="inlineStr">
        <is>
          <t>13.8%</t>
        </is>
      </c>
      <c r="F4" s="6" t="inlineStr">
        <is>
          <t>18.9%</t>
        </is>
      </c>
      <c r="G4" s="6" t="inlineStr">
        <is>
          <t>18.7%</t>
        </is>
      </c>
      <c r="H4" s="6" t="inlineStr">
        <is>
          <t>16.5%</t>
        </is>
      </c>
      <c r="I4" s="6" t="inlineStr">
        <is>
          <t>16.3%</t>
        </is>
      </c>
      <c r="J4" s="6" t="inlineStr">
        <is>
          <t>21%</t>
        </is>
      </c>
      <c r="K4" s="6" t="inlineStr">
        <is>
          <t>16%</t>
        </is>
      </c>
    </row>
    <row r="5" ht="30" customHeight="1">
      <c r="A5" s="7" t="inlineStr">
        <is>
          <t>Note: FY2016-FY2017 are transcribed exactly as each year's own report discloses them - a whole percent, no decimal precision given (unlike FY2018 onward, where the COREP template discloses to 2 decimal places). FY2017's own report's FY2016 comparative shows 17%, not the 16% in FY2016's own report - reproduced as each document discloses it, not force-reconciled.</t>
        </is>
      </c>
    </row>
    <row r="7" ht="390" customHeight="1">
      <c r="A7" s="8" t="inlineStr">
        <is>
          <t>Sources - Hampshire Trust Bank Plc Pillar 3 Disclosures, 'Key Metrics' (KM1) table, Bank column (Group column used only for LCR/NSFR, which HTB discloses only at consolidated/Group level - 'Liquidity is managed on a consolidated basis hence only Group metrics are reported'; FY2021 and earlier all predate the Group/Bank split entirely and show a single value used for every metric in those years; FY2016-FY2020 predate the KM1 template itself and instead use each year's own 'Summary of key ratios' table plus its Capital Resources/Capital Adequacy section for CET1/Tier 1/Total Capital £ amounts):
FY2025: Pillar 3 Disclosures | 31 December 2025, p.10-11 - https://www.htb.co.uk/htbcontent/uploads/2026/04/HTB_Pillar_3_Disclosures_2025.pdf
FY2024: Pillar 3 Disclosures | 31 December 2024, p.9-10 - https://www.htb.co.uk/htbcontent/uploads/2025/07/HTB_Pillar_3_Disclosures_2024.pdf
FY2023: Pillar 3 Disclosures | 31 December 2023, p.10-11 - https://www.htb.co.uk/htbcontent/uploads/2024/06/HTB_Pillar_3_Disclosures_2023.pdf
FY2022: Pillar 3 Disclosures | 31 December 2022, p.10-11 - https://www.htb.co.uk/htbcontent/uploads/2023/08/Hampshire-Trust-Bank-HTB-2022-Pillar-3-Disclosures.pdf
FY2021: Pillar 3 Disclosures | 31 December 2021, Key Metrics table - https://www.htb.co.uk/htbcontent/uploads/2022/07/Hampshire-Trust-Bank-HTB-2021-Pillar-3-Disclosures.pdf
FY2020: Pillar 3 Disclosures | 31 December 2020, Section 4.2/4.3/4.5 (Minimum capital requirement/Leverage Ratio/Liquidity Coverage Ratio) plus Capital Resources table - https://www.htb.co.uk/htbcontent/uploads/2021/07/Hampshire-Trust-Bank-HTB-2020-Pillar-3-Disclosures.pdf
FY2019: Pillar 3 Disclosures | 31 December 2019, Section 5.2/5.4/5.5 plus Capital Resources table - https://www.htb.co.uk/htbcontent/uploads/2020/07/Hampshire-Trust-Bank-HTB-2019-Pillar-3-Disclosures.pdf
FY2018: Pillar 3 Disclosures | 31 December 2018, Section 4.2/4.3/4.4 plus Capital Resources table - https://www.htb.co.uk/htbcontent/uploads/2019/08/Hampshire-Trust-Bank-HTB-2018-Pillar-3-Disclosures-1.pdf
FY2017: Pillar 3 Disclosures | 31 December 2017, Section 4.1/4.2/4.3/4.4 (Capital Adequacy/Minimum capital requirement/Leverage Ratio/LCR) - https://www.htb.co.uk/htbcontent/uploads/2019/08/Hampshire-Trust-Bank-HTB-2017-Pillar-3-Disclosures-1.pdf
FY2016: Pillar 3 Disclosures | 31 December 2016, Section 1.5 (Summary of key ratios)/Section 8 (Capital Adequacy) - https://www.htb.co.uk/htbcontent/uploads/2019/08/Hampshire-Trust-Bank-HTB-2016-Pillar-3-Disclosures-1.pdf
MREL is not mentioned anywhere in any year's Pillar 3 disclosure (FY2016-FY2025) - not publicly disclosed. NSFR is likewise never mentioned in any FY2016-FY2020 disclosure (the concept isn't introduced in HTB's own Pillar 3 reports until FY2021) - genuinely not disclosed those years, not a gap in this transcription.
Tier 1 capital equals CET1 capital in every year FY2016-FY2020 (no Additional Tier 1 instrument existed until the Other equity instruments (non-controlling interests) issued in FY2022) - see the Tier 1 Capital sheet's own note. Total Capital = Tier 1 + Tier 2 from FY2018 onward (Tier 2 = Subordinated Liabilities, first issued FY2018); FY2016-FY2017 had no Tier 2 capital at all, so Total Capital = Tier 1 = CET1 those two years too.
Each year's own 'Summary of key ratios' table prints a 'Risk weighted assets (£000)' line that is systematically inconsistent with that same table's own displayed CET1/Total Capital ratios in every one of FY2018-FY2020: recomputing CET1 capital / RWA against the printed RWA figure gives a ratio 1-2pp off the printed ratio, while the more granular COREP 'Total risk exposure amount' figure found elsewhere in each of those 3 documents (746,201 for FY2018, 831,229 for FY2019, 809,489 for FY2020) reproduces the printed ratios almost exactly (e.g. FY2018: 121,690/746,201 = 16.31%, matching the document's own precise COREP disclosure of 16.31% CET1 exactly, vs 121,690/687,497 = 17.70% using the summary table's own printed RWA line). The Total RWAs sheet below therefore uses the COREP figure for FY2018-FY2020, not the mismatched summary-table figure - a genuine, recurring source-document inconsistency, not a transcription error introduced here. FY2016/FY2017 have no COREP template to cross-check against, so their summary-table RWA figures (430,807/529,157) are used as-is despite a smaller (~1pp) rounding gap against their own printed ratios.
RESOLVED 2026-09-15 (RWA cross-sheet sweep - do not re-flag): what HTB's headline 'Risk weighted assets' line actually measures in FY2016-FY2017 is now established from the documents, not inferred. The FY2017 Pillar 3 p.12 credit-risk exposure-class table foots to exactly 529,157 in its own RWAs column (42,100 + 67,276 + 264,058 + 142,500 + 6,229 + 0 + 2,233 + 4,763), i.e. the headline line is CREDIT-RISK RWA ONLY and excludes the separately-disclosed operational risk requirement (FY2017 3,136 -&gt; 39,200 RWA; FY2016 1,189 -&gt; 14,863 RWA). The FY2018 document proves the same structure directly: its summary line reads 687,497 while its own COREP row 010 'Total risk exposure amount' on the same document reads 746,201 - a 58,704 difference matching that year's operational risk RWA (4,677/0.08 = 58,463). HTB's own printed ratios are computed on the credit-only denominator too (total regulatory capital 113,435 / 529,157 = 21.44%, matching the printed 21%; against 568,357 it would be 19.96%, i.e. 20%), so the printed ratio cannot be used to overturn the printed total the way it was for Redwood. HTB has never published a FY2016 or FY2017 total risk exposure amount in any document (Pillar 3 or Annual Report - AR2017 and AR2016 repeat the same 529,157/430,807), so there is no transcribable replacement; credit + operational would be arithmetic, which this project does not substitute for a disclosed figure. FY2016/FY2017 therefore knowingly hold a credit-risk-only figure, and the FY2017 -&gt; FY2018 step in this series carries a basis change (credit-only -&gt; COREP total) on top of real balance-sheet growth. See the RWA Breakdown sheet for the two components.</t>
        </is>
      </c>
    </row>
  </sheetData>
  <mergeCells count="2">
    <mergeCell ref="A5:K5"/>
    <mergeCell ref="A7:K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capital</t>
        </is>
      </c>
      <c r="B4" s="6" t="n">
        <v>414725</v>
      </c>
      <c r="C4" s="6" t="n">
        <v>317619</v>
      </c>
      <c r="D4" s="6" t="n">
        <v>260749</v>
      </c>
      <c r="E4" s="6" t="n">
        <v>197223</v>
      </c>
      <c r="F4" s="6" t="n">
        <v>174913</v>
      </c>
      <c r="G4" s="6" t="n">
        <v>151737</v>
      </c>
      <c r="H4" s="6" t="n">
        <v>137496</v>
      </c>
      <c r="I4" s="6" t="n">
        <v>121690</v>
      </c>
      <c r="J4" s="6" t="n">
        <v>112543</v>
      </c>
      <c r="K4" s="6" t="n">
        <v>72227</v>
      </c>
    </row>
    <row r="5" ht="30" customHeight="1">
      <c r="A5" s="7" t="inlineStr">
        <is>
          <t>Note: No Additional Tier 1 instruments are disclosed for FY2016-FY2021 — Tier 1 capital equals CET1 capital in every one of those 6 years (the first AT1-eligible instrument is the Other equity instruments (non-controlling interests) issued in FY2022).</t>
        </is>
      </c>
    </row>
    <row r="7" ht="390" customHeight="1">
      <c r="A7" s="8" t="inlineStr">
        <is>
          <t>Sources - Hampshire Trust Bank Plc Pillar 3 Disclosures, 'Key Metrics' (KM1) table, Bank column (Group column used only for LCR/NSFR, which HTB discloses only at consolidated/Group level - 'Liquidity is managed on a consolidated basis hence only Group metrics are reported'; FY2021 and earlier all predate the Group/Bank split entirely and show a single value used for every metric in those years; FY2016-FY2020 predate the KM1 template itself and instead use each year's own 'Summary of key ratios' table plus its Capital Resources/Capital Adequacy section for CET1/Tier 1/Total Capital £ amounts):
FY2025: Pillar 3 Disclosures | 31 December 2025, p.10-11 - https://www.htb.co.uk/htbcontent/uploads/2026/04/HTB_Pillar_3_Disclosures_2025.pdf
FY2024: Pillar 3 Disclosures | 31 December 2024, p.9-10 - https://www.htb.co.uk/htbcontent/uploads/2025/07/HTB_Pillar_3_Disclosures_2024.pdf
FY2023: Pillar 3 Disclosures | 31 December 2023, p.10-11 - https://www.htb.co.uk/htbcontent/uploads/2024/06/HTB_Pillar_3_Disclosures_2023.pdf
FY2022: Pillar 3 Disclosures | 31 December 2022, p.10-11 - https://www.htb.co.uk/htbcontent/uploads/2023/08/Hampshire-Trust-Bank-HTB-2022-Pillar-3-Disclosures.pdf
FY2021: Pillar 3 Disclosures | 31 December 2021, Key Metrics table - https://www.htb.co.uk/htbcontent/uploads/2022/07/Hampshire-Trust-Bank-HTB-2021-Pillar-3-Disclosures.pdf
FY2020: Pillar 3 Disclosures | 31 December 2020, Section 4.2/4.3/4.5 (Minimum capital requirement/Leverage Ratio/Liquidity Coverage Ratio) plus Capital Resources table - https://www.htb.co.uk/htbcontent/uploads/2021/07/Hampshire-Trust-Bank-HTB-2020-Pillar-3-Disclosures.pdf
FY2019: Pillar 3 Disclosures | 31 December 2019, Section 5.2/5.4/5.5 plus Capital Resources table - https://www.htb.co.uk/htbcontent/uploads/2020/07/Hampshire-Trust-Bank-HTB-2019-Pillar-3-Disclosures.pdf
FY2018: Pillar 3 Disclosures | 31 December 2018, Section 4.2/4.3/4.4 plus Capital Resources table - https://www.htb.co.uk/htbcontent/uploads/2019/08/Hampshire-Trust-Bank-HTB-2018-Pillar-3-Disclosures-1.pdf
FY2017: Pillar 3 Disclosures | 31 December 2017, Section 4.1/4.2/4.3/4.4 (Capital Adequacy/Minimum capital requirement/Leverage Ratio/LCR) - https://www.htb.co.uk/htbcontent/uploads/2019/08/Hampshire-Trust-Bank-HTB-2017-Pillar-3-Disclosures-1.pdf
FY2016: Pillar 3 Disclosures | 31 December 2016, Section 1.5 (Summary of key ratios)/Section 8 (Capital Adequacy) - https://www.htb.co.uk/htbcontent/uploads/2019/08/Hampshire-Trust-Bank-HTB-2016-Pillar-3-Disclosures-1.pdf
MREL is not mentioned anywhere in any year's Pillar 3 disclosure (FY2016-FY2025) - not publicly disclosed. NSFR is likewise never mentioned in any FY2016-FY2020 disclosure (the concept isn't introduced in HTB's own Pillar 3 reports until FY2021) - genuinely not disclosed those years, not a gap in this transcription.
Tier 1 capital equals CET1 capital in every year FY2016-FY2020 (no Additional Tier 1 instrument existed until the Other equity instruments (non-controlling interests) issued in FY2022) - see the Tier 1 Capital sheet's own note. Total Capital = Tier 1 + Tier 2 from FY2018 onward (Tier 2 = Subordinated Liabilities, first issued FY2018); FY2016-FY2017 had no Tier 2 capital at all, so Total Capital = Tier 1 = CET1 those two years too.
Each year's own 'Summary of key ratios' table prints a 'Risk weighted assets (£000)' line that is systematically inconsistent with that same table's own displayed CET1/Total Capital ratios in every one of FY2018-FY2020: recomputing CET1 capital / RWA against the printed RWA figure gives a ratio 1-2pp off the printed ratio, while the more granular COREP 'Total risk exposure amount' figure found elsewhere in each of those 3 documents (746,201 for FY2018, 831,229 for FY2019, 809,489 for FY2020) reproduces the printed ratios almost exactly (e.g. FY2018: 121,690/746,201 = 16.31%, matching the document's own precise COREP disclosure of 16.31% CET1 exactly, vs 121,690/687,497 = 17.70% using the summary table's own printed RWA line). The Total RWAs sheet below therefore uses the COREP figure for FY2018-FY2020, not the mismatched summary-table figure - a genuine, recurring source-document inconsistency, not a transcription error introduced here. FY2016/FY2017 have no COREP template to cross-check against, so their summary-table RWA figures (430,807/529,157) are used as-is despite a smaller (~1pp) rounding gap against their own printed ratios.
RESOLVED 2026-09-15 (RWA cross-sheet sweep - do not re-flag): what HTB's headline 'Risk weighted assets' line actually measures in FY2016-FY2017 is now established from the documents, not inferred. The FY2017 Pillar 3 p.12 credit-risk exposure-class table foots to exactly 529,157 in its own RWAs column (42,100 + 67,276 + 264,058 + 142,500 + 6,229 + 0 + 2,233 + 4,763), i.e. the headline line is CREDIT-RISK RWA ONLY and excludes the separately-disclosed operational risk requirement (FY2017 3,136 -&gt; 39,200 RWA; FY2016 1,189 -&gt; 14,863 RWA). The FY2018 document proves the same structure directly: its summary line reads 687,497 while its own COREP row 010 'Total risk exposure amount' on the same document reads 746,201 - a 58,704 difference matching that year's operational risk RWA (4,677/0.08 = 58,463). HTB's own printed ratios are computed on the credit-only denominator too (total regulatory capital 113,435 / 529,157 = 21.44%, matching the printed 21%; against 568,357 it would be 19.96%, i.e. 20%), so the printed ratio cannot be used to overturn the printed total the way it was for Redwood. HTB has never published a FY2016 or FY2017 total risk exposure amount in any document (Pillar 3 or Annual Report - AR2017 and AR2016 repeat the same 529,157/430,807), so there is no transcribable replacement; credit + operational would be arithmetic, which this project does not substitute for a disclosed figure. FY2016/FY2017 therefore knowingly hold a credit-risk-only figure, and the FY2017 -&gt; FY2018 step in this series carries a basis change (credit-only -&gt; COREP total) on top of real balance-sheet growth. See the RWA Breakdown sheet for the two components.</t>
        </is>
      </c>
    </row>
  </sheetData>
  <mergeCells count="2">
    <mergeCell ref="A5:K5"/>
    <mergeCell ref="A7:K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ratio</t>
        </is>
      </c>
      <c r="B4" s="6" t="inlineStr">
        <is>
          <t>14.1%</t>
        </is>
      </c>
      <c r="C4" s="6" t="inlineStr">
        <is>
          <t>14.4%</t>
        </is>
      </c>
      <c r="D4" s="6" t="inlineStr">
        <is>
          <t>14.2%</t>
        </is>
      </c>
      <c r="E4" s="6" t="inlineStr">
        <is>
          <t>15.1%</t>
        </is>
      </c>
      <c r="F4" s="6" t="inlineStr">
        <is>
          <t>18.9%</t>
        </is>
      </c>
      <c r="G4" s="6" t="inlineStr">
        <is>
          <t>18.7%</t>
        </is>
      </c>
      <c r="H4" s="6" t="inlineStr">
        <is>
          <t>16.5%</t>
        </is>
      </c>
      <c r="I4" s="6" t="inlineStr">
        <is>
          <t>16.3%</t>
        </is>
      </c>
      <c r="J4" s="6" t="inlineStr">
        <is>
          <t>21%</t>
        </is>
      </c>
      <c r="K4" s="6" t="inlineStr">
        <is>
          <t>16%</t>
        </is>
      </c>
    </row>
    <row r="5" ht="30" customHeight="1">
      <c r="A5" s="7" t="inlineStr">
        <is>
          <t>Note: Equals the CET1 Ratio in every year FY2016-FY2021 - no Additional Tier 1 capital existed yet.</t>
        </is>
      </c>
    </row>
    <row r="7" ht="390" customHeight="1">
      <c r="A7" s="8" t="inlineStr">
        <is>
          <t>Sources - Hampshire Trust Bank Plc Pillar 3 Disclosures, 'Key Metrics' (KM1) table, Bank column (Group column used only for LCR/NSFR, which HTB discloses only at consolidated/Group level - 'Liquidity is managed on a consolidated basis hence only Group metrics are reported'; FY2021 and earlier all predate the Group/Bank split entirely and show a single value used for every metric in those years; FY2016-FY2020 predate the KM1 template itself and instead use each year's own 'Summary of key ratios' table plus its Capital Resources/Capital Adequacy section for CET1/Tier 1/Total Capital £ amounts):
FY2025: Pillar 3 Disclosures | 31 December 2025, p.10-11 - https://www.htb.co.uk/htbcontent/uploads/2026/04/HTB_Pillar_3_Disclosures_2025.pdf
FY2024: Pillar 3 Disclosures | 31 December 2024, p.9-10 - https://www.htb.co.uk/htbcontent/uploads/2025/07/HTB_Pillar_3_Disclosures_2024.pdf
FY2023: Pillar 3 Disclosures | 31 December 2023, p.10-11 - https://www.htb.co.uk/htbcontent/uploads/2024/06/HTB_Pillar_3_Disclosures_2023.pdf
FY2022: Pillar 3 Disclosures | 31 December 2022, p.10-11 - https://www.htb.co.uk/htbcontent/uploads/2023/08/Hampshire-Trust-Bank-HTB-2022-Pillar-3-Disclosures.pdf
FY2021: Pillar 3 Disclosures | 31 December 2021, Key Metrics table - https://www.htb.co.uk/htbcontent/uploads/2022/07/Hampshire-Trust-Bank-HTB-2021-Pillar-3-Disclosures.pdf
FY2020: Pillar 3 Disclosures | 31 December 2020, Section 4.2/4.3/4.5 (Minimum capital requirement/Leverage Ratio/Liquidity Coverage Ratio) plus Capital Resources table - https://www.htb.co.uk/htbcontent/uploads/2021/07/Hampshire-Trust-Bank-HTB-2020-Pillar-3-Disclosures.pdf
FY2019: Pillar 3 Disclosures | 31 December 2019, Section 5.2/5.4/5.5 plus Capital Resources table - https://www.htb.co.uk/htbcontent/uploads/2020/07/Hampshire-Trust-Bank-HTB-2019-Pillar-3-Disclosures.pdf
FY2018: Pillar 3 Disclosures | 31 December 2018, Section 4.2/4.3/4.4 plus Capital Resources table - https://www.htb.co.uk/htbcontent/uploads/2019/08/Hampshire-Trust-Bank-HTB-2018-Pillar-3-Disclosures-1.pdf
FY2017: Pillar 3 Disclosures | 31 December 2017, Section 4.1/4.2/4.3/4.4 (Capital Adequacy/Minimum capital requirement/Leverage Ratio/LCR) - https://www.htb.co.uk/htbcontent/uploads/2019/08/Hampshire-Trust-Bank-HTB-2017-Pillar-3-Disclosures-1.pdf
FY2016: Pillar 3 Disclosures | 31 December 2016, Section 1.5 (Summary of key ratios)/Section 8 (Capital Adequacy) - https://www.htb.co.uk/htbcontent/uploads/2019/08/Hampshire-Trust-Bank-HTB-2016-Pillar-3-Disclosures-1.pdf
MREL is not mentioned anywhere in any year's Pillar 3 disclosure (FY2016-FY2025) - not publicly disclosed. NSFR is likewise never mentioned in any FY2016-FY2020 disclosure (the concept isn't introduced in HTB's own Pillar 3 reports until FY2021) - genuinely not disclosed those years, not a gap in this transcription.
Tier 1 capital equals CET1 capital in every year FY2016-FY2020 (no Additional Tier 1 instrument existed until the Other equity instruments (non-controlling interests) issued in FY2022) - see the Tier 1 Capital sheet's own note. Total Capital = Tier 1 + Tier 2 from FY2018 onward (Tier 2 = Subordinated Liabilities, first issued FY2018); FY2016-FY2017 had no Tier 2 capital at all, so Total Capital = Tier 1 = CET1 those two years too.
Each year's own 'Summary of key ratios' table prints a 'Risk weighted assets (£000)' line that is systematically inconsistent with that same table's own displayed CET1/Total Capital ratios in every one of FY2018-FY2020: recomputing CET1 capital / RWA against the printed RWA figure gives a ratio 1-2pp off the printed ratio, while the more granular COREP 'Total risk exposure amount' figure found elsewhere in each of those 3 documents (746,201 for FY2018, 831,229 for FY2019, 809,489 for FY2020) reproduces the printed ratios almost exactly (e.g. FY2018: 121,690/746,201 = 16.31%, matching the document's own precise COREP disclosure of 16.31% CET1 exactly, vs 121,690/687,497 = 17.70% using the summary table's own printed RWA line). The Total RWAs sheet below therefore uses the COREP figure for FY2018-FY2020, not the mismatched summary-table figure - a genuine, recurring source-document inconsistency, not a transcription error introduced here. FY2016/FY2017 have no COREP template to cross-check against, so their summary-table RWA figures (430,807/529,157) are used as-is despite a smaller (~1pp) rounding gap against their own printed ratios.
RESOLVED 2026-09-15 (RWA cross-sheet sweep - do not re-flag): what HTB's headline 'Risk weighted assets' line actually measures in FY2016-FY2017 is now established from the documents, not inferred. The FY2017 Pillar 3 p.12 credit-risk exposure-class table foots to exactly 529,157 in its own RWAs column (42,100 + 67,276 + 264,058 + 142,500 + 6,229 + 0 + 2,233 + 4,763), i.e. the headline line is CREDIT-RISK RWA ONLY and excludes the separately-disclosed operational risk requirement (FY2017 3,136 -&gt; 39,200 RWA; FY2016 1,189 -&gt; 14,863 RWA). The FY2018 document proves the same structure directly: its summary line reads 687,497 while its own COREP row 010 'Total risk exposure amount' on the same document reads 746,201 - a 58,704 difference matching that year's operational risk RWA (4,677/0.08 = 58,463). HTB's own printed ratios are computed on the credit-only denominator too (total regulatory capital 113,435 / 529,157 = 21.44%, matching the printed 21%; against 568,357 it would be 19.96%, i.e. 20%), so the printed ratio cannot be used to overturn the printed total the way it was for Redwood. HTB has never published a FY2016 or FY2017 total risk exposure amount in any document (Pillar 3 or Annual Report - AR2017 and AR2016 repeat the same 529,157/430,807), so there is no transcribable replacement; credit + operational would be arithmetic, which this project does not substitute for a disclosed figure. FY2016/FY2017 therefore knowingly hold a credit-risk-only figure, and the FY2017 -&gt; FY2018 step in this series carries a basis change (credit-only -&gt; COREP total) on top of real balance-sheet growth. See the RWA Breakdown sheet for the two components.</t>
        </is>
      </c>
    </row>
  </sheetData>
  <mergeCells count="2">
    <mergeCell ref="A5:K5"/>
    <mergeCell ref="A7:K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t>
        </is>
      </c>
      <c r="B4" s="6" t="n">
        <v>494725</v>
      </c>
      <c r="C4" s="6" t="n">
        <v>362750</v>
      </c>
      <c r="D4" s="6" t="n">
        <v>311890</v>
      </c>
      <c r="E4" s="6" t="n">
        <v>227223</v>
      </c>
      <c r="F4" s="6" t="n">
        <v>204913</v>
      </c>
      <c r="G4" s="6" t="n">
        <v>181737</v>
      </c>
      <c r="H4" s="6" t="n">
        <v>167496</v>
      </c>
      <c r="I4" s="6" t="n">
        <v>151690</v>
      </c>
      <c r="J4" s="6" t="n">
        <v>112543</v>
      </c>
      <c r="K4" s="6" t="n">
        <v>72227</v>
      </c>
    </row>
    <row r="5" ht="30" customHeight="1">
      <c r="A5" s="7" t="inlineStr">
        <is>
          <t>Note: Equals Tier 1 (= CET1) capital in FY2016-FY2017 - no Tier 2 capital existed yet (Subordinated Liabilities were first issued in FY2018). From FY2018 onward, Total Capital = Tier 1 + the £30,000k Tier 2 (subordinated debt) capital disclosed each year.</t>
        </is>
      </c>
    </row>
    <row r="7" ht="390" customHeight="1">
      <c r="A7" s="8" t="inlineStr">
        <is>
          <t>Sources - Hampshire Trust Bank Plc Pillar 3 Disclosures, 'Key Metrics' (KM1) table, Bank column (Group column used only for LCR/NSFR, which HTB discloses only at consolidated/Group level - 'Liquidity is managed on a consolidated basis hence only Group metrics are reported'; FY2021 and earlier all predate the Group/Bank split entirely and show a single value used for every metric in those years; FY2016-FY2020 predate the KM1 template itself and instead use each year's own 'Summary of key ratios' table plus its Capital Resources/Capital Adequacy section for CET1/Tier 1/Total Capital £ amounts):
FY2025: Pillar 3 Disclosures | 31 December 2025, p.10-11 - https://www.htb.co.uk/htbcontent/uploads/2026/04/HTB_Pillar_3_Disclosures_2025.pdf
FY2024: Pillar 3 Disclosures | 31 December 2024, p.9-10 - https://www.htb.co.uk/htbcontent/uploads/2025/07/HTB_Pillar_3_Disclosures_2024.pdf
FY2023: Pillar 3 Disclosures | 31 December 2023, p.10-11 - https://www.htb.co.uk/htbcontent/uploads/2024/06/HTB_Pillar_3_Disclosures_2023.pdf
FY2022: Pillar 3 Disclosures | 31 December 2022, p.10-11 - https://www.htb.co.uk/htbcontent/uploads/2023/08/Hampshire-Trust-Bank-HTB-2022-Pillar-3-Disclosures.pdf
FY2021: Pillar 3 Disclosures | 31 December 2021, Key Metrics table - https://www.htb.co.uk/htbcontent/uploads/2022/07/Hampshire-Trust-Bank-HTB-2021-Pillar-3-Disclosures.pdf
FY2020: Pillar 3 Disclosures | 31 December 2020, Section 4.2/4.3/4.5 (Minimum capital requirement/Leverage Ratio/Liquidity Coverage Ratio) plus Capital Resources table - https://www.htb.co.uk/htbcontent/uploads/2021/07/Hampshire-Trust-Bank-HTB-2020-Pillar-3-Disclosures.pdf
FY2019: Pillar 3 Disclosures | 31 December 2019, Section 5.2/5.4/5.5 plus Capital Resources table - https://www.htb.co.uk/htbcontent/uploads/2020/07/Hampshire-Trust-Bank-HTB-2019-Pillar-3-Disclosures.pdf
FY2018: Pillar 3 Disclosures | 31 December 2018, Section 4.2/4.3/4.4 plus Capital Resources table - https://www.htb.co.uk/htbcontent/uploads/2019/08/Hampshire-Trust-Bank-HTB-2018-Pillar-3-Disclosures-1.pdf
FY2017: Pillar 3 Disclosures | 31 December 2017, Section 4.1/4.2/4.3/4.4 (Capital Adequacy/Minimum capital requirement/Leverage Ratio/LCR) - https://www.htb.co.uk/htbcontent/uploads/2019/08/Hampshire-Trust-Bank-HTB-2017-Pillar-3-Disclosures-1.pdf
FY2016: Pillar 3 Disclosures | 31 December 2016, Section 1.5 (Summary of key ratios)/Section 8 (Capital Adequacy) - https://www.htb.co.uk/htbcontent/uploads/2019/08/Hampshire-Trust-Bank-HTB-2016-Pillar-3-Disclosures-1.pdf
MREL is not mentioned anywhere in any year's Pillar 3 disclosure (FY2016-FY2025) - not publicly disclosed. NSFR is likewise never mentioned in any FY2016-FY2020 disclosure (the concept isn't introduced in HTB's own Pillar 3 reports until FY2021) - genuinely not disclosed those years, not a gap in this transcription.
Tier 1 capital equals CET1 capital in every year FY2016-FY2020 (no Additional Tier 1 instrument existed until the Other equity instruments (non-controlling interests) issued in FY2022) - see the Tier 1 Capital sheet's own note. Total Capital = Tier 1 + Tier 2 from FY2018 onward (Tier 2 = Subordinated Liabilities, first issued FY2018); FY2016-FY2017 had no Tier 2 capital at all, so Total Capital = Tier 1 = CET1 those two years too.
Each year's own 'Summary of key ratios' table prints a 'Risk weighted assets (£000)' line that is systematically inconsistent with that same table's own displayed CET1/Total Capital ratios in every one of FY2018-FY2020: recomputing CET1 capital / RWA against the printed RWA figure gives a ratio 1-2pp off the printed ratio, while the more granular COREP 'Total risk exposure amount' figure found elsewhere in each of those 3 documents (746,201 for FY2018, 831,229 for FY2019, 809,489 for FY2020) reproduces the printed ratios almost exactly (e.g. FY2018: 121,690/746,201 = 16.31%, matching the document's own precise COREP disclosure of 16.31% CET1 exactly, vs 121,690/687,497 = 17.70% using the summary table's own printed RWA line). The Total RWAs sheet below therefore uses the COREP figure for FY2018-FY2020, not the mismatched summary-table figure - a genuine, recurring source-document inconsistency, not a transcription error introduced here. FY2016/FY2017 have no COREP template to cross-check against, so their summary-table RWA figures (430,807/529,157) are used as-is despite a smaller (~1pp) rounding gap against their own printed ratios.
RESOLVED 2026-09-15 (RWA cross-sheet sweep - do not re-flag): what HTB's headline 'Risk weighted assets' line actually measures in FY2016-FY2017 is now established from the documents, not inferred. The FY2017 Pillar 3 p.12 credit-risk exposure-class table foots to exactly 529,157 in its own RWAs column (42,100 + 67,276 + 264,058 + 142,500 + 6,229 + 0 + 2,233 + 4,763), i.e. the headline line is CREDIT-RISK RWA ONLY and excludes the separately-disclosed operational risk requirement (FY2017 3,136 -&gt; 39,200 RWA; FY2016 1,189 -&gt; 14,863 RWA). The FY2018 document proves the same structure directly: its summary line reads 687,497 while its own COREP row 010 'Total risk exposure amount' on the same document reads 746,201 - a 58,704 difference matching that year's operational risk RWA (4,677/0.08 = 58,463). HTB's own printed ratios are computed on the credit-only denominator too (total regulatory capital 113,435 / 529,157 = 21.44%, matching the printed 21%; against 568,357 it would be 19.96%, i.e. 20%), so the printed ratio cannot be used to overturn the printed total the way it was for Redwood. HTB has never published a FY2016 or FY2017 total risk exposure amount in any document (Pillar 3 or Annual Report - AR2017 and AR2016 repeat the same 529,157/430,807), so there is no transcribable replacement; credit + operational would be arithmetic, which this project does not substitute for a disclosed figure. FY2016/FY2017 therefore knowingly hold a credit-risk-only figure, and the FY2017 -&gt; FY2018 step in this series carries a basis change (credit-only -&gt; COREP total) on top of real balance-sheet growth. See the RWA Breakdown sheet for the two components.</t>
        </is>
      </c>
    </row>
  </sheetData>
  <mergeCells count="2">
    <mergeCell ref="A5:K5"/>
    <mergeCell ref="A7:K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 ratio</t>
        </is>
      </c>
      <c r="B4" s="6" t="inlineStr">
        <is>
          <t>16.8%</t>
        </is>
      </c>
      <c r="C4" s="6" t="inlineStr">
        <is>
          <t>16.4%</t>
        </is>
      </c>
      <c r="D4" s="6" t="inlineStr">
        <is>
          <t>17.0%</t>
        </is>
      </c>
      <c r="E4" s="6" t="inlineStr">
        <is>
          <t>17.4%</t>
        </is>
      </c>
      <c r="F4" s="6" t="inlineStr">
        <is>
          <t>22.2%</t>
        </is>
      </c>
      <c r="G4" s="6" t="inlineStr">
        <is>
          <t>22.4%</t>
        </is>
      </c>
      <c r="H4" s="6" t="inlineStr">
        <is>
          <t>20.2%</t>
        </is>
      </c>
      <c r="I4" s="6" t="inlineStr">
        <is>
          <t>20.3%</t>
        </is>
      </c>
      <c r="J4" s="6" t="inlineStr">
        <is>
          <t>21%</t>
        </is>
      </c>
      <c r="K4" s="6" t="inlineStr">
        <is>
          <t>16%</t>
        </is>
      </c>
    </row>
    <row r="6" ht="390" customHeight="1">
      <c r="A6" s="8" t="inlineStr">
        <is>
          <t>Sources - Hampshire Trust Bank Plc Pillar 3 Disclosures, 'Key Metrics' (KM1) table, Bank column (Group column used only for LCR/NSFR, which HTB discloses only at consolidated/Group level - 'Liquidity is managed on a consolidated basis hence only Group metrics are reported'; FY2021 and earlier all predate the Group/Bank split entirely and show a single value used for every metric in those years; FY2016-FY2020 predate the KM1 template itself and instead use each year's own 'Summary of key ratios' table plus its Capital Resources/Capital Adequacy section for CET1/Tier 1/Total Capital £ amounts):
FY2025: Pillar 3 Disclosures | 31 December 2025, p.10-11 - https://www.htb.co.uk/htbcontent/uploads/2026/04/HTB_Pillar_3_Disclosures_2025.pdf
FY2024: Pillar 3 Disclosures | 31 December 2024, p.9-10 - https://www.htb.co.uk/htbcontent/uploads/2025/07/HTB_Pillar_3_Disclosures_2024.pdf
FY2023: Pillar 3 Disclosures | 31 December 2023, p.10-11 - https://www.htb.co.uk/htbcontent/uploads/2024/06/HTB_Pillar_3_Disclosures_2023.pdf
FY2022: Pillar 3 Disclosures | 31 December 2022, p.10-11 - https://www.htb.co.uk/htbcontent/uploads/2023/08/Hampshire-Trust-Bank-HTB-2022-Pillar-3-Disclosures.pdf
FY2021: Pillar 3 Disclosures | 31 December 2021, Key Metrics table - https://www.htb.co.uk/htbcontent/uploads/2022/07/Hampshire-Trust-Bank-HTB-2021-Pillar-3-Disclosures.pdf
FY2020: Pillar 3 Disclosures | 31 December 2020, Section 4.2/4.3/4.5 (Minimum capital requirement/Leverage Ratio/Liquidity Coverage Ratio) plus Capital Resources table - https://www.htb.co.uk/htbcontent/uploads/2021/07/Hampshire-Trust-Bank-HTB-2020-Pillar-3-Disclosures.pdf
FY2019: Pillar 3 Disclosures | 31 December 2019, Section 5.2/5.4/5.5 plus Capital Resources table - https://www.htb.co.uk/htbcontent/uploads/2020/07/Hampshire-Trust-Bank-HTB-2019-Pillar-3-Disclosures.pdf
FY2018: Pillar 3 Disclosures | 31 December 2018, Section 4.2/4.3/4.4 plus Capital Resources table - https://www.htb.co.uk/htbcontent/uploads/2019/08/Hampshire-Trust-Bank-HTB-2018-Pillar-3-Disclosures-1.pdf
FY2017: Pillar 3 Disclosures | 31 December 2017, Section 4.1/4.2/4.3/4.4 (Capital Adequacy/Minimum capital requirement/Leverage Ratio/LCR) - https://www.htb.co.uk/htbcontent/uploads/2019/08/Hampshire-Trust-Bank-HTB-2017-Pillar-3-Disclosures-1.pdf
FY2016: Pillar 3 Disclosures | 31 December 2016, Section 1.5 (Summary of key ratios)/Section 8 (Capital Adequacy) - https://www.htb.co.uk/htbcontent/uploads/2019/08/Hampshire-Trust-Bank-HTB-2016-Pillar-3-Disclosures-1.pdf
MREL is not mentioned anywhere in any year's Pillar 3 disclosure (FY2016-FY2025) - not publicly disclosed. NSFR is likewise never mentioned in any FY2016-FY2020 disclosure (the concept isn't introduced in HTB's own Pillar 3 reports until FY2021) - genuinely not disclosed those years, not a gap in this transcription.
Tier 1 capital equals CET1 capital in every year FY2016-FY2020 (no Additional Tier 1 instrument existed until the Other equity instruments (non-controlling interests) issued in FY2022) - see the Tier 1 Capital sheet's own note. Total Capital = Tier 1 + Tier 2 from FY2018 onward (Tier 2 = Subordinated Liabilities, first issued FY2018); FY2016-FY2017 had no Tier 2 capital at all, so Total Capital = Tier 1 = CET1 those two years too.
Each year's own 'Summary of key ratios' table prints a 'Risk weighted assets (£000)' line that is systematically inconsistent with that same table's own displayed CET1/Total Capital ratios in every one of FY2018-FY2020: recomputing CET1 capital / RWA against the printed RWA figure gives a ratio 1-2pp off the printed ratio, while the more granular COREP 'Total risk exposure amount' figure found elsewhere in each of those 3 documents (746,201 for FY2018, 831,229 for FY2019, 809,489 for FY2020) reproduces the printed ratios almost exactly (e.g. FY2018: 121,690/746,201 = 16.31%, matching the document's own precise COREP disclosure of 16.31% CET1 exactly, vs 121,690/687,497 = 17.70% using the summary table's own printed RWA line). The Total RWAs sheet below therefore uses the COREP figure for FY2018-FY2020, not the mismatched summary-table figure - a genuine, recurring source-document inconsistency, not a transcription error introduced here. FY2016/FY2017 have no COREP template to cross-check against, so their summary-table RWA figures (430,807/529,157) are used as-is despite a smaller (~1pp) rounding gap against their own printed ratios.
RESOLVED 2026-09-15 (RWA cross-sheet sweep - do not re-flag): what HTB's headline 'Risk weighted assets' line actually measures in FY2016-FY2017 is now established from the documents, not inferred. The FY2017 Pillar 3 p.12 credit-risk exposure-class table foots to exactly 529,157 in its own RWAs column (42,100 + 67,276 + 264,058 + 142,500 + 6,229 + 0 + 2,233 + 4,763), i.e. the headline line is CREDIT-RISK RWA ONLY and excludes the separately-disclosed operational risk requirement (FY2017 3,136 -&gt; 39,200 RWA; FY2016 1,189 -&gt; 14,863 RWA). The FY2018 document proves the same structure directly: its summary line reads 687,497 while its own COREP row 010 'Total risk exposure amount' on the same document reads 746,201 - a 58,704 difference matching that year's operational risk RWA (4,677/0.08 = 58,463). HTB's own printed ratios are computed on the credit-only denominator too (total regulatory capital 113,435 / 529,157 = 21.44%, matching the printed 21%; against 568,357 it would be 19.96%, i.e. 20%), so the printed ratio cannot be used to overturn the printed total the way it was for Redwood. HTB has never published a FY2016 or FY2017 total risk exposure amount in any document (Pillar 3 or Annual Report - AR2017 and AR2016 repeat the same 529,157/430,807), so there is no transcribable replacement; credit + operational would be arithmetic, which this project does not substitute for a disclosed figure. FY2016/FY2017 therefore knowingly hold a credit-risk-only figure, and the FY2017 -&gt; FY2018 step in this series carries a basis change (credit-only -&gt; COREP total) on top of real balance-sheet growth. See the RWA Breakdown sheet for the two components.</t>
        </is>
      </c>
    </row>
  </sheetData>
  <mergeCells count="1">
    <mergeCell ref="A6:K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risk-weighted exposure amount</t>
        </is>
      </c>
      <c r="B4" s="6" t="n">
        <v>2949233</v>
      </c>
      <c r="C4" s="6" t="n">
        <v>2207947</v>
      </c>
      <c r="D4" s="6" t="n">
        <v>1830864</v>
      </c>
      <c r="E4" s="6" t="n">
        <v>1310125</v>
      </c>
      <c r="F4" s="6" t="n">
        <v>922921</v>
      </c>
      <c r="G4" s="6" t="n">
        <v>809489</v>
      </c>
      <c r="H4" s="6" t="n">
        <v>831229</v>
      </c>
      <c r="I4" s="6" t="n">
        <v>746201</v>
      </c>
      <c r="J4" s="6" t="n">
        <v>529157</v>
      </c>
      <c r="K4" s="6" t="n">
        <v>430807</v>
      </c>
    </row>
    <row r="5" ht="52" customHeight="1">
      <c r="A5" s="7" t="inlineStr">
        <is>
          <t>Note: FY2018-FY2020 use each year's own COREP 'Total risk exposure amount' figure, not that same document's own (internally inconsistent) 'Summary of key ratios' table RWA line - see the note in the sources above for why. FY2016 (430,807) and FY2017 (529,157) are HTB's own headline 'Risk weighted assets' line, which those years' documents show to be CREDIT-RISK RWA ONLY: the FY2017 Pillar 3 p.12 exposure-class table foots to exactly 529,157, and FY2018's COREP total (746,201) sits beside the same summary line reading 687,497. HTB published no total risk exposure amount for FY2016/FY2017 in any document, so these two years are knowingly below the true total by that year's operational risk RWA (~14,863 / ~39,200) rather than being restated on arithmetic. Treat the FY2017 -&gt; FY2018 step as a basis change as well as growth. Checked and resolved 2026-09-15.</t>
        </is>
      </c>
    </row>
    <row r="7" ht="390" customHeight="1">
      <c r="A7" s="8" t="inlineStr">
        <is>
          <t>Sources - Hampshire Trust Bank Plc Pillar 3 Disclosures, 'Key Metrics' (KM1) table, Bank column (Group column used only for LCR/NSFR, which HTB discloses only at consolidated/Group level - 'Liquidity is managed on a consolidated basis hence only Group metrics are reported'; FY2021 and earlier all predate the Group/Bank split entirely and show a single value used for every metric in those years; FY2016-FY2020 predate the KM1 template itself and instead use each year's own 'Summary of key ratios' table plus its Capital Resources/Capital Adequacy section for CET1/Tier 1/Total Capital £ amounts):
FY2025: Pillar 3 Disclosures | 31 December 2025, p.10-11 - https://www.htb.co.uk/htbcontent/uploads/2026/04/HTB_Pillar_3_Disclosures_2025.pdf
FY2024: Pillar 3 Disclosures | 31 December 2024, p.9-10 - https://www.htb.co.uk/htbcontent/uploads/2025/07/HTB_Pillar_3_Disclosures_2024.pdf
FY2023: Pillar 3 Disclosures | 31 December 2023, p.10-11 - https://www.htb.co.uk/htbcontent/uploads/2024/06/HTB_Pillar_3_Disclosures_2023.pdf
FY2022: Pillar 3 Disclosures | 31 December 2022, p.10-11 - https://www.htb.co.uk/htbcontent/uploads/2023/08/Hampshire-Trust-Bank-HTB-2022-Pillar-3-Disclosures.pdf
FY2021: Pillar 3 Disclosures | 31 December 2021, Key Metrics table - https://www.htb.co.uk/htbcontent/uploads/2022/07/Hampshire-Trust-Bank-HTB-2021-Pillar-3-Disclosures.pdf
FY2020: Pillar 3 Disclosures | 31 December 2020, Section 4.2/4.3/4.5 (Minimum capital requirement/Leverage Ratio/Liquidity Coverage Ratio) plus Capital Resources table - https://www.htb.co.uk/htbcontent/uploads/2021/07/Hampshire-Trust-Bank-HTB-2020-Pillar-3-Disclosures.pdf
FY2019: Pillar 3 Disclosures | 31 December 2019, Section 5.2/5.4/5.5 plus Capital Resources table - https://www.htb.co.uk/htbcontent/uploads/2020/07/Hampshire-Trust-Bank-HTB-2019-Pillar-3-Disclosures.pdf
FY2018: Pillar 3 Disclosures | 31 December 2018, Section 4.2/4.3/4.4 plus Capital Resources table - https://www.htb.co.uk/htbcontent/uploads/2019/08/Hampshire-Trust-Bank-HTB-2018-Pillar-3-Disclosures-1.pdf
FY2017: Pillar 3 Disclosures | 31 December 2017, Section 4.1/4.2/4.3/4.4 (Capital Adequacy/Minimum capital requirement/Leverage Ratio/LCR) - https://www.htb.co.uk/htbcontent/uploads/2019/08/Hampshire-Trust-Bank-HTB-2017-Pillar-3-Disclosures-1.pdf
FY2016: Pillar 3 Disclosures | 31 December 2016, Section 1.5 (Summary of key ratios)/Section 8 (Capital Adequacy) - https://www.htb.co.uk/htbcontent/uploads/2019/08/Hampshire-Trust-Bank-HTB-2016-Pillar-3-Disclosures-1.pdf
MREL is not mentioned anywhere in any year's Pillar 3 disclosure (FY2016-FY2025) - not publicly disclosed. NSFR is likewise never mentioned in any FY2016-FY2020 disclosure (the concept isn't introduced in HTB's own Pillar 3 reports until FY2021) - genuinely not disclosed those years, not a gap in this transcription.
Tier 1 capital equals CET1 capital in every year FY2016-FY2020 (no Additional Tier 1 instrument existed until the Other equity instruments (non-controlling interests) issued in FY2022) - see the Tier 1 Capital sheet's own note. Total Capital = Tier 1 + Tier 2 from FY2018 onward (Tier 2 = Subordinated Liabilities, first issued FY2018); FY2016-FY2017 had no Tier 2 capital at all, so Total Capital = Tier 1 = CET1 those two years too.
Each year's own 'Summary of key ratios' table prints a 'Risk weighted assets (£000)' line that is systematically inconsistent with that same table's own displayed CET1/Total Capital ratios in every one of FY2018-FY2020: recomputing CET1 capital / RWA against the printed RWA figure gives a ratio 1-2pp off the printed ratio, while the more granular COREP 'Total risk exposure amount' figure found elsewhere in each of those 3 documents (746,201 for FY2018, 831,229 for FY2019, 809,489 for FY2020) reproduces the printed ratios almost exactly (e.g. FY2018: 121,690/746,201 = 16.31%, matching the document's own precise COREP disclosure of 16.31% CET1 exactly, vs 121,690/687,497 = 17.70% using the summary table's own printed RWA line). The Total RWAs sheet below therefore uses the COREP figure for FY2018-FY2020, not the mismatched summary-table figure - a genuine, recurring source-document inconsistency, not a transcription error introduced here. FY2016/FY2017 have no COREP template to cross-check against, so their summary-table RWA figures (430,807/529,157) are used as-is despite a smaller (~1pp) rounding gap against their own printed ratios.
RESOLVED 2026-09-15 (RWA cross-sheet sweep - do not re-flag): what HTB's headline 'Risk weighted assets' line actually measures in FY2016-FY2017 is now established from the documents, not inferred. The FY2017 Pillar 3 p.12 credit-risk exposure-class table foots to exactly 529,157 in its own RWAs column (42,100 + 67,276 + 264,058 + 142,500 + 6,229 + 0 + 2,233 + 4,763), i.e. the headline line is CREDIT-RISK RWA ONLY and excludes the separately-disclosed operational risk requirement (FY2017 3,136 -&gt; 39,200 RWA; FY2016 1,189 -&gt; 14,863 RWA). The FY2018 document proves the same structure directly: its summary line reads 687,497 while its own COREP row 010 'Total risk exposure amount' on the same document reads 746,201 - a 58,704 difference matching that year's operational risk RWA (4,677/0.08 = 58,463). HTB's own printed ratios are computed on the credit-only denominator too (total regulatory capital 113,435 / 529,157 = 21.44%, matching the printed 21%; against 568,357 it would be 19.96%, i.e. 20%), so the printed ratio cannot be used to overturn the printed total the way it was for Redwood. HTB has never published a FY2016 or FY2017 total risk exposure amount in any document (Pillar 3 or Annual Report - AR2017 and AR2016 repeat the same 529,157/430,807), so there is no transcribable replacement; credit + operational would be arithmetic, which this project does not substitute for a disclosed figure. FY2016/FY2017 therefore knowingly hold a credit-risk-only figure, and the FY2017 -&gt; FY2018 step in this series carries a basis change (credit-only -&gt; COREP total) on top of real balance-sheet growth. See the RWA Breakdown sheet for the two components.</t>
        </is>
      </c>
    </row>
  </sheetData>
  <mergeCells count="2">
    <mergeCell ref="A5:K5"/>
    <mergeCell ref="A7:K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RWA Breakdown</t>
        </is>
      </c>
    </row>
    <row r="2">
      <c r="A2" s="2" t="inlineStr">
        <is>
          <t>Bank basis; FY2016-FY2021 derived from the disclosed capital requirement (÷8%) - see source note for the FY2016/FY2017 pattern</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6" t="inlineStr">
        <is>
          <t>Credit risk (excluding CCR)</t>
        </is>
      </c>
      <c r="B4" s="6" t="n">
        <v>2627722</v>
      </c>
      <c r="C4" s="6" t="n">
        <v>1952854</v>
      </c>
      <c r="D4" s="6" t="n">
        <v>1623626</v>
      </c>
      <c r="E4" s="6" t="n">
        <v>1151820</v>
      </c>
      <c r="F4" s="6" t="n">
        <v>816163</v>
      </c>
      <c r="G4" s="6" t="n">
        <v>725113</v>
      </c>
      <c r="H4" s="6" t="n">
        <v>757438</v>
      </c>
      <c r="I4" s="6" t="n">
        <v>687500</v>
      </c>
      <c r="J4" s="6" t="n">
        <v>529163</v>
      </c>
      <c r="K4" s="6" t="n">
        <v>430800</v>
      </c>
    </row>
    <row r="5">
      <c r="A5" s="6" t="inlineStr">
        <is>
          <t>Counterparty credit risk (CCR)</t>
        </is>
      </c>
      <c r="B5" s="6" t="n">
        <v>1435</v>
      </c>
      <c r="C5" s="6" t="n">
        <v>8733</v>
      </c>
      <c r="D5" s="6" t="n">
        <v>9410</v>
      </c>
      <c r="E5" s="6" t="n">
        <v>13524</v>
      </c>
      <c r="F5" s="6" t="n"/>
      <c r="G5" s="6" t="n"/>
      <c r="H5" s="6" t="n"/>
      <c r="I5" s="6" t="n"/>
      <c r="J5" s="6" t="n"/>
      <c r="K5" s="6" t="n"/>
    </row>
    <row r="6">
      <c r="A6" s="6" t="inlineStr">
        <is>
          <t>Securitisation exposures</t>
        </is>
      </c>
      <c r="B6" s="6" t="n">
        <v>35085</v>
      </c>
      <c r="C6" s="6" t="n">
        <v>0</v>
      </c>
      <c r="D6" s="6" t="n">
        <v>0</v>
      </c>
      <c r="E6" s="6" t="n">
        <v>0</v>
      </c>
      <c r="F6" s="6" t="n"/>
      <c r="G6" s="6" t="n"/>
      <c r="H6" s="6" t="n"/>
      <c r="I6" s="6" t="n"/>
      <c r="J6" s="6" t="n"/>
      <c r="K6" s="6" t="n"/>
    </row>
    <row r="7">
      <c r="A7" s="6" t="inlineStr">
        <is>
          <t>Operational risk</t>
        </is>
      </c>
      <c r="B7" s="6" t="n">
        <v>284991</v>
      </c>
      <c r="C7" s="6" t="n">
        <v>246360</v>
      </c>
      <c r="D7" s="6" t="n">
        <v>197828</v>
      </c>
      <c r="E7" s="6" t="n">
        <v>144781</v>
      </c>
      <c r="F7" s="6" t="n">
        <v>105325</v>
      </c>
      <c r="G7" s="6" t="n">
        <v>83038</v>
      </c>
      <c r="H7" s="6" t="n">
        <v>73525</v>
      </c>
      <c r="I7" s="6" t="n">
        <v>58463</v>
      </c>
      <c r="J7" s="6" t="n">
        <v>39200</v>
      </c>
      <c r="K7" s="6" t="n">
        <v>14863</v>
      </c>
    </row>
    <row r="8">
      <c r="A8" s="5" t="inlineStr">
        <is>
          <t>Total RWAs</t>
        </is>
      </c>
      <c r="B8" s="5" t="n">
        <v>2949233</v>
      </c>
      <c r="C8" s="5" t="n">
        <v>2207947</v>
      </c>
      <c r="D8" s="5" t="n">
        <v>1830864</v>
      </c>
      <c r="E8" s="5" t="n">
        <v>1310125</v>
      </c>
      <c r="F8" s="5" t="n">
        <v>921488</v>
      </c>
      <c r="G8" s="5" t="n">
        <v>808151</v>
      </c>
      <c r="H8" s="5" t="n">
        <v>830963</v>
      </c>
      <c r="I8" s="5" t="n">
        <v>745963</v>
      </c>
      <c r="J8" s="5" t="n">
        <v>568363</v>
      </c>
      <c r="K8" s="5" t="n">
        <v>445663</v>
      </c>
    </row>
    <row r="10" ht="286" customHeight="1">
      <c r="A10" s="8" t="inlineStr">
        <is>
          <t>Sources - Hampshire Trust Bank Plc Pillar 3 Disclosures, 'Minimum capital requirement' RWEA table (UK OV1-style breakdown by risk category), Bank column:
FY2025: Pillar 3 Disclosures | 31 December 2025, p.12 - https://www.htb.co.uk/htbcontent/uploads/2026/04/HTB_Pillar_3_Disclosures_2025.pdf
FY2024: same table's Bank 2024 comparative column, p.12 - https://www.htb.co.uk/htbcontent/uploads/2026/04/HTB_Pillar_3_Disclosures_2025.pdf
FY2023: Pillar 3 Disclosures | 31 December 2023, p.12, Bank 2023 column - https://www.htb.co.uk/htbcontent/uploads/2024/06/HTB_Pillar_3_Disclosures_2023.pdf
FY2022: same table's Bank 2022 comparative column, p.12 - https://www.htb.co.uk/htbcontent/uploads/2024/06/HTB_Pillar_3_Disclosures_2023.pdf
FY2021: Pillar 3 Disclosures | 31 December 2021, p.17, Bank's 'Capital resources requirement - Pillar 1' table (only Credit risk and Operational risk capital requirements disclosed that year, no Counterparty credit risk/Securitisation breakout) - https://www.htb.co.uk/htbcontent/uploads/2022/07/Hampshire-Trust-Bank-HTB-2021-Pillar-3-Disclosures.pdf
FY2021's Credit risk and Operational risk RWA figures are derived from that year's disclosed capital requirements (requirement / 8%), since no direct RWEA table was published that year - the derived Total (£921,488k) sits ~£1,433k (0.16%) below the disclosed Total RWAs sheet figure (£922,921k), likely reflecting a small Counterparty credit risk or other category not captured in the simplified 2-line disclosure - not force-reconciled. Securitisation exposures are a new category from FY2025 (HTB's first securitisation) - genuinely nil (not merely undisclosed) in FY2024-FY2022, confirmed since the Total ties exactly without a Securitisation line those years.
FY2016-FY2020 use the same derivation as FY2021 (Credit risk/Operational risk Pillar 1 capital requirement ÷ 8%, from each year's own Pillar 3 'Capital resources requirement – Pillar 1' table, Section 4.2/5.2 of the relevant year's own document - https://www.htb.co.uk/htbcontent/uploads/2019/08/Hampshire-Trust-Bank-HTB-2016-Pillar-3-Disclosures-1.pdf / https://www.htb.co.uk/htbcontent/uploads/2019/08/Hampshire-Trust-Bank-HTB-2017-Pillar-3-Disclosures-1.pdf / https://www.htb.co.uk/htbcontent/uploads/2019/08/Hampshire-Trust-Bank-HTB-2018-Pillar-3-Disclosures-1.pdf / https://www.htb.co.uk/htbcontent/uploads/2020/07/Hampshire-Trust-Bank-HTB-2019-Pillar-3-Disclosures.pdf / https://www.htb.co.uk/htbcontent/uploads/2021/07/Hampshire-Trust-Bank-HTB-2020-Pillar-3-Disclosures.pdf), since none of these 5 years published a direct RWEA-by-category table either. FY2018-FY2020's derived totals sit within 0.2% of the Total RWAs sheet figure (same small gap pattern as FY2021, most likely a small Market/CCR component not separately requirement-disclosed). FY2016 and FY2017 are a different, larger pattern: their derived Credit+Operational totals (£445,663k and £568,363k) sit 3-7% ABOVE the Total RWAs sheet figure (£430,807k/£529,157k) - recomputing shows the Total RWAs sheet figure for these 2 years is itself extremely close to Credit risk RWA ALONE (£430,800k and £529,163k respectively, both within £10k), meaning HTB's own FY2016/FY2017 'Risk weighted assets' summary-table figure appears to exclude Operational risk RWA entirely, unlike FY2018 onward - a genuine, structural difference in what that year's summary line actually measures, not a transcription error. Both risk categories are shown here regardless, so this sheet's own Total row does not match the Total RWAs sheet for FY2016/FY2017 - flagged rather than force-matched.
RESOLVED 2026-09-15 (RWA cross-sheet sweep - do not re-flag): the FY2016/FY2017 divergence between this sheet's Total row and the Total RWAs sheet is confirmed from the primary documents and is expected. The FY2017 Pillar 3 p.12 credit-risk exposure-class table foots to exactly 529,157 in its RWAs column, which is the same number HTB prints as headline 'Risk weighted assets' - so the headline line is credit-only. FY2018 proves it independently: headline 687,497 alongside that document's own COREP row 010 'Total risk exposure amount' of 746,201 (difference 58,704 ~= that year's operational risk RWA of 58,463). HTB never published a FY2016/FY2017 total risk exposure amount anywhere, so the Total RWAs sheet keeps the only disclosed figure rather than adopting this sheet's derived Total - the two are measuring different things by design, and neither number is to be changed to make them agree.</t>
        </is>
      </c>
    </row>
  </sheetData>
  <mergeCells count="1">
    <mergeCell ref="A10:K1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Leverage ratio</t>
        </is>
      </c>
      <c r="B4" s="6" t="inlineStr">
        <is>
          <t>7.5%</t>
        </is>
      </c>
      <c r="C4" s="6" t="inlineStr">
        <is>
          <t>8.1%</t>
        </is>
      </c>
      <c r="D4" s="6" t="inlineStr">
        <is>
          <t>7.5%</t>
        </is>
      </c>
      <c r="E4" s="6" t="inlineStr">
        <is>
          <t>9.2%</t>
        </is>
      </c>
      <c r="F4" s="6" t="inlineStr">
        <is>
          <t>8.0%</t>
        </is>
      </c>
      <c r="G4" s="6" t="inlineStr">
        <is>
          <t>10%</t>
        </is>
      </c>
      <c r="H4" s="6" t="inlineStr">
        <is>
          <t>11%</t>
        </is>
      </c>
      <c r="I4" s="6" t="inlineStr">
        <is>
          <t>12%</t>
        </is>
      </c>
      <c r="J4" s="6" t="inlineStr">
        <is>
          <t>15%</t>
        </is>
      </c>
      <c r="K4" s="6" t="inlineStr">
        <is>
          <t>11%</t>
        </is>
      </c>
    </row>
    <row r="5" ht="117" customHeight="1">
      <c r="A5" s="7" t="inlineStr">
        <is>
          <t>Note: FY2016-FY2020 are transcribed exactly as each year's own report discloses them - a whole percent, no decimal precision given (unlike FY2021 onward's one-decimal figures).
LEVERAGE BASIS: THE BANK PUBLISHES ONE RATIO AND ATTACHES NO BASIS QUALIFIER TO IT (GA-026, 2026-10-10). From 1 January 2022 template UK LR2 / LRCom prints the exposure measure on BOTH bases - row 24 including claims on central banks, row UK-24b excluding them, reconciling at UK-24a, with ratios at row 25 and UK-25c. HTB prints no UK LR2 table in any edition. Its leverage disclosure is two plainly captioned rows in the 'Key Metrics' (KM1) table: '13 Leverage ratio total exposure measure' and '14 Leverage ratio'. Neither carries a central-bank qualifier, and no reconciliation of accounting assets to leverage exposure is printed, so nothing in the document fixes a basis and none is attributed here.
The FY2025 edition's own glossary is consistent with that and is the closest the Bank comes to defining the measure: 'Leverage ratio - the ratio of Tier 1 capital divided by total exposure, which includes on and off-balance sheet assets, after netting derivatives.' It describes no exclusion of central bank claims.
COLUMN CHOICE, RE-CONFIRMED. The FY2025 KM1 prints FOUR leverage columns - Group 2025, Bank 2025, Group 2024, Bank 2024 - reading 7.6% / 7.5% / 8.9% / 8.1% on row 14. This sheet takes the BANK (solo) column throughout, giving FY2025 7.5% and FY2024 8.1%, consistent with every other sheet in this workbook; the Group figures are deliberately not shown. Recorded here because a reader comparing this sheet against the published table would otherwise see 7.6% in the first column and think the figure wrong.</t>
        </is>
      </c>
    </row>
    <row r="7" ht="390" customHeight="1">
      <c r="A7" s="8" t="inlineStr">
        <is>
          <t>Sources - Hampshire Trust Bank Plc Pillar 3 Disclosures, 'Key Metrics' (KM1) table, Bank column (Group column used only for LCR/NSFR, which HTB discloses only at consolidated/Group level - 'Liquidity is managed on a consolidated basis hence only Group metrics are reported'; FY2021 and earlier all predate the Group/Bank split entirely and show a single value used for every metric in those years; FY2016-FY2020 predate the KM1 template itself and instead use each year's own 'Summary of key ratios' table plus its Capital Resources/Capital Adequacy section for CET1/Tier 1/Total Capital £ amounts):
FY2025: Pillar 3 Disclosures | 31 December 2025, p.10-11 - https://www.htb.co.uk/htbcontent/uploads/2026/04/HTB_Pillar_3_Disclosures_2025.pdf
FY2024: Pillar 3 Disclosures | 31 December 2024, p.9-10 - https://www.htb.co.uk/htbcontent/uploads/2025/07/HTB_Pillar_3_Disclosures_2024.pdf
FY2023: Pillar 3 Disclosures | 31 December 2023, p.10-11 - https://www.htb.co.uk/htbcontent/uploads/2024/06/HTB_Pillar_3_Disclosures_2023.pdf
FY2022: Pillar 3 Disclosures | 31 December 2022, p.10-11 - https://www.htb.co.uk/htbcontent/uploads/2023/08/Hampshire-Trust-Bank-HTB-2022-Pillar-3-Disclosures.pdf
FY2021: Pillar 3 Disclosures | 31 December 2021, Key Metrics table - https://www.htb.co.uk/htbcontent/uploads/2022/07/Hampshire-Trust-Bank-HTB-2021-Pillar-3-Disclosures.pdf
FY2020: Pillar 3 Disclosures | 31 December 2020, Section 4.2/4.3/4.5 (Minimum capital requirement/Leverage Ratio/Liquidity Coverage Ratio) plus Capital Resources table - https://www.htb.co.uk/htbcontent/uploads/2021/07/Hampshire-Trust-Bank-HTB-2020-Pillar-3-Disclosures.pdf
FY2019: Pillar 3 Disclosures | 31 December 2019, Section 5.2/5.4/5.5 plus Capital Resources table - https://www.htb.co.uk/htbcontent/uploads/2020/07/Hampshire-Trust-Bank-HTB-2019-Pillar-3-Disclosures.pdf
FY2018: Pillar 3 Disclosures | 31 December 2018, Section 4.2/4.3/4.4 plus Capital Resources table - https://www.htb.co.uk/htbcontent/uploads/2019/08/Hampshire-Trust-Bank-HTB-2018-Pillar-3-Disclosures-1.pdf
FY2017: Pillar 3 Disclosures | 31 December 2017, Section 4.1/4.2/4.3/4.4 (Capital Adequacy/Minimum capital requirement/Leverage Ratio/LCR) - https://www.htb.co.uk/htbcontent/uploads/2019/08/Hampshire-Trust-Bank-HTB-2017-Pillar-3-Disclosures-1.pdf
FY2016: Pillar 3 Disclosures | 31 December 2016, Section 1.5 (Summary of key ratios)/Section 8 (Capital Adequacy) - https://www.htb.co.uk/htbcontent/uploads/2019/08/Hampshire-Trust-Bank-HTB-2016-Pillar-3-Disclosures-1.pdf
MREL is not mentioned anywhere in any year's Pillar 3 disclosure (FY2016-FY2025) - not publicly disclosed. NSFR is likewise never mentioned in any FY2016-FY2020 disclosure (the concept isn't introduced in HTB's own Pillar 3 reports until FY2021) - genuinely not disclosed those years, not a gap in this transcription.
Tier 1 capital equals CET1 capital in every year FY2016-FY2020 (no Additional Tier 1 instrument existed until the Other equity instruments (non-controlling interests) issued in FY2022) - see the Tier 1 Capital sheet's own note. Total Capital = Tier 1 + Tier 2 from FY2018 onward (Tier 2 = Subordinated Liabilities, first issued FY2018); FY2016-FY2017 had no Tier 2 capital at all, so Total Capital = Tier 1 = CET1 those two years too.
Each year's own 'Summary of key ratios' table prints a 'Risk weighted assets (£000)' line that is systematically inconsistent with that same table's own displayed CET1/Total Capital ratios in every one of FY2018-FY2020: recomputing CET1 capital / RWA against the printed RWA figure gives a ratio 1-2pp off the printed ratio, while the more granular COREP 'Total risk exposure amount' figure found elsewhere in each of those 3 documents (746,201 for FY2018, 831,229 for FY2019, 809,489 for FY2020) reproduces the printed ratios almost exactly (e.g. FY2018: 121,690/746,201 = 16.31%, matching the document's own precise COREP disclosure of 16.31% CET1 exactly, vs 121,690/687,497 = 17.70% using the summary table's own printed RWA line). The Total RWAs sheet below therefore uses the COREP figure for FY2018-FY2020, not the mismatched summary-table figure - a genuine, recurring source-document inconsistency, not a transcription error introduced here. FY2016/FY2017 have no COREP template to cross-check against, so their summary-table RWA figures (430,807/529,157) are used as-is despite a smaller (~1pp) rounding gap against their own printed ratios.
RESOLVED 2026-09-15 (RWA cross-sheet sweep - do not re-flag): what HTB's headline 'Risk weighted assets' line actually measures in FY2016-FY2017 is now established from the documents, not inferred. The FY2017 Pillar 3 p.12 credit-risk exposure-class table foots to exactly 529,157 in its own RWAs column (42,100 + 67,276 + 264,058 + 142,500 + 6,229 + 0 + 2,233 + 4,763), i.e. the headline line is CREDIT-RISK RWA ONLY and excludes the separately-disclosed operational risk requirement (FY2017 3,136 -&gt; 39,200 RWA; FY2016 1,189 -&gt; 14,863 RWA). The FY2018 document proves the same structure directly: its summary line reads 687,497 while its own COREP row 010 'Total risk exposure amount' on the same document reads 746,201 - a 58,704 difference matching that year's operational risk RWA (4,677/0.08 = 58,463). HTB's own printed ratios are computed on the credit-only denominator too (total regulatory capital 113,435 / 529,157 = 21.44%, matching the printed 21%; against 568,357 it would be 19.96%, i.e. 20%), so the printed ratio cannot be used to overturn the printed total the way it was for Redwood. HTB has never published a FY2016 or FY2017 total risk exposure amount in any document (Pillar 3 or Annual Report - AR2017 and AR2016 repeat the same 529,157/430,807), so there is no transcribable replacement; credit + operational would be arithmetic, which this project does not substitute for a disclosed figure. FY2016/FY2017 therefore knowingly hold a credit-risk-only figure, and the FY2017 -&gt; FY2018 step in this series carries a basis change (credit-only -&gt; COREP total) on top of real balance-sheet growth. See the RWA Breakdown sheet for the two components.</t>
        </is>
      </c>
    </row>
  </sheetData>
  <mergeCells count="2">
    <mergeCell ref="A5:K5"/>
    <mergeCell ref="A7:K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Liquidity Coverage Ratio</t>
        </is>
      </c>
      <c r="B4" s="6" t="inlineStr">
        <is>
          <t>346.9%</t>
        </is>
      </c>
      <c r="C4" s="6" t="inlineStr">
        <is>
          <t>391.1%</t>
        </is>
      </c>
      <c r="D4" s="6" t="inlineStr">
        <is>
          <t>388.6%</t>
        </is>
      </c>
      <c r="E4" s="6" t="inlineStr">
        <is>
          <t>386.9%</t>
        </is>
      </c>
      <c r="F4" s="6" t="inlineStr">
        <is>
          <t>314.8%</t>
        </is>
      </c>
      <c r="G4" s="6" t="inlineStr">
        <is>
          <t>393%</t>
        </is>
      </c>
      <c r="H4" s="6" t="inlineStr">
        <is>
          <t>242%</t>
        </is>
      </c>
      <c r="I4" s="6" t="inlineStr">
        <is>
          <t>335%</t>
        </is>
      </c>
      <c r="J4" s="6" t="inlineStr">
        <is>
          <t>467%</t>
        </is>
      </c>
      <c r="K4" s="6" t="inlineStr">
        <is>
          <t>816%</t>
        </is>
      </c>
    </row>
    <row r="5" ht="39" customHeight="1">
      <c r="A5" s="7" t="inlineStr">
        <is>
          <t>Note: Disclosed only at consolidated Group level from FY2022 onward ('Liquidity is managed on a consolidated basis hence only Group metrics are reported') — no separate Bank-solo LCR exists to report for those years. FY2016-FY2021 all predate the Group/Bank split; each year's single reported (Bank-only) value is used, transcribed as a whole percent exactly as each year's own report discloses it (no decimal precision given before FY2022). FY2016's 816% is genuinely this high - the Bank was very new (first banking-licence year on a materially smaller loan book) and held a correspondingly outsized liquid-asset buffer relative to its Pillar 1 requirement that year.</t>
        </is>
      </c>
    </row>
    <row r="7" ht="390" customHeight="1">
      <c r="A7" s="8" t="inlineStr">
        <is>
          <t>Sources - Hampshire Trust Bank Plc Pillar 3 Disclosures, 'Key Metrics' (KM1) table, Bank column (Group column used only for LCR/NSFR, which HTB discloses only at consolidated/Group level - 'Liquidity is managed on a consolidated basis hence only Group metrics are reported'; FY2021 and earlier all predate the Group/Bank split entirely and show a single value used for every metric in those years; FY2016-FY2020 predate the KM1 template itself and instead use each year's own 'Summary of key ratios' table plus its Capital Resources/Capital Adequacy section for CET1/Tier 1/Total Capital £ amounts):
FY2025: Pillar 3 Disclosures | 31 December 2025, p.10-11 - https://www.htb.co.uk/htbcontent/uploads/2026/04/HTB_Pillar_3_Disclosures_2025.pdf
FY2024: Pillar 3 Disclosures | 31 December 2024, p.9-10 - https://www.htb.co.uk/htbcontent/uploads/2025/07/HTB_Pillar_3_Disclosures_2024.pdf
FY2023: Pillar 3 Disclosures | 31 December 2023, p.10-11 - https://www.htb.co.uk/htbcontent/uploads/2024/06/HTB_Pillar_3_Disclosures_2023.pdf
FY2022: Pillar 3 Disclosures | 31 December 2022, p.10-11 - https://www.htb.co.uk/htbcontent/uploads/2023/08/Hampshire-Trust-Bank-HTB-2022-Pillar-3-Disclosures.pdf
FY2021: Pillar 3 Disclosures | 31 December 2021, Key Metrics table - https://www.htb.co.uk/htbcontent/uploads/2022/07/Hampshire-Trust-Bank-HTB-2021-Pillar-3-Disclosures.pdf
FY2020: Pillar 3 Disclosures | 31 December 2020, Section 4.2/4.3/4.5 (Minimum capital requirement/Leverage Ratio/Liquidity Coverage Ratio) plus Capital Resources table - https://www.htb.co.uk/htbcontent/uploads/2021/07/Hampshire-Trust-Bank-HTB-2020-Pillar-3-Disclosures.pdf
FY2019: Pillar 3 Disclosures | 31 December 2019, Section 5.2/5.4/5.5 plus Capital Resources table - https://www.htb.co.uk/htbcontent/uploads/2020/07/Hampshire-Trust-Bank-HTB-2019-Pillar-3-Disclosures.pdf
FY2018: Pillar 3 Disclosures | 31 December 2018, Section 4.2/4.3/4.4 plus Capital Resources table - https://www.htb.co.uk/htbcontent/uploads/2019/08/Hampshire-Trust-Bank-HTB-2018-Pillar-3-Disclosures-1.pdf
FY2017: Pillar 3 Disclosures | 31 December 2017, Section 4.1/4.2/4.3/4.4 (Capital Adequacy/Minimum capital requirement/Leverage Ratio/LCR) - https://www.htb.co.uk/htbcontent/uploads/2019/08/Hampshire-Trust-Bank-HTB-2017-Pillar-3-Disclosures-1.pdf
FY2016: Pillar 3 Disclosures | 31 December 2016, Section 1.5 (Summary of key ratios)/Section 8 (Capital Adequacy) - https://www.htb.co.uk/htbcontent/uploads/2019/08/Hampshire-Trust-Bank-HTB-2016-Pillar-3-Disclosures-1.pdf
MREL is not mentioned anywhere in any year's Pillar 3 disclosure (FY2016-FY2025) - not publicly disclosed. NSFR is likewise never mentioned in any FY2016-FY2020 disclosure (the concept isn't introduced in HTB's own Pillar 3 reports until FY2021) - genuinely not disclosed those years, not a gap in this transcription.
Tier 1 capital equals CET1 capital in every year FY2016-FY2020 (no Additional Tier 1 instrument existed until the Other equity instruments (non-controlling interests) issued in FY2022) - see the Tier 1 Capital sheet's own note. Total Capital = Tier 1 + Tier 2 from FY2018 onward (Tier 2 = Subordinated Liabilities, first issued FY2018); FY2016-FY2017 had no Tier 2 capital at all, so Total Capital = Tier 1 = CET1 those two years too.
Each year's own 'Summary of key ratios' table prints a 'Risk weighted assets (£000)' line that is systematically inconsistent with that same table's own displayed CET1/Total Capital ratios in every one of FY2018-FY2020: recomputing CET1 capital / RWA against the printed RWA figure gives a ratio 1-2pp off the printed ratio, while the more granular COREP 'Total risk exposure amount' figure found elsewhere in each of those 3 documents (746,201 for FY2018, 831,229 for FY2019, 809,489 for FY2020) reproduces the printed ratios almost exactly (e.g. FY2018: 121,690/746,201 = 16.31%, matching the document's own precise COREP disclosure of 16.31% CET1 exactly, vs 121,690/687,497 = 17.70% using the summary table's own printed RWA line). The Total RWAs sheet below therefore uses the COREP figure for FY2018-FY2020, not the mismatched summary-table figure - a genuine, recurring source-document inconsistency, not a transcription error introduced here. FY2016/FY2017 have no COREP template to cross-check against, so their summary-table RWA figures (430,807/529,157) are used as-is despite a smaller (~1pp) rounding gap against their own printed ratios.
RESOLVED 2026-09-15 (RWA cross-sheet sweep - do not re-flag): what HTB's headline 'Risk weighted assets' line actually measures in FY2016-FY2017 is now established from the documents, not inferred. The FY2017 Pillar 3 p.12 credit-risk exposure-class table foots to exactly 529,157 in its own RWAs column (42,100 + 67,276 + 264,058 + 142,500 + 6,229 + 0 + 2,233 + 4,763), i.e. the headline line is CREDIT-RISK RWA ONLY and excludes the separately-disclosed operational risk requirement (FY2017 3,136 -&gt; 39,200 RWA; FY2016 1,189 -&gt; 14,863 RWA). The FY2018 document proves the same structure directly: its summary line reads 687,497 while its own COREP row 010 'Total risk exposure amount' on the same document reads 746,201 - a 58,704 difference matching that year's operational risk RWA (4,677/0.08 = 58,463). HTB's own printed ratios are computed on the credit-only denominator too (total regulatory capital 113,435 / 529,157 = 21.44%, matching the printed 21%; against 568,357 it would be 19.96%, i.e. 20%), so the printed ratio cannot be used to overturn the printed total the way it was for Redwood. HTB has never published a FY2016 or FY2017 total risk exposure amount in any document (Pillar 3 or Annual Report - AR2017 and AR2016 repeat the same 529,157/430,807), so there is no transcribable replacement; credit + operational would be arithmetic, which this project does not substitute for a disclosed figure. FY2016/FY2017 therefore knowingly hold a credit-risk-only figure, and the FY2017 -&gt; FY2018 step in this series carries a basis change (credit-only -&gt; COREP total) on top of real balance-sheet growth. See the RWA Breakdown sheet for the two components.</t>
        </is>
      </c>
    </row>
  </sheetData>
  <mergeCells count="2">
    <mergeCell ref="A5:K5"/>
    <mergeCell ref="A7:K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Hampshire Trust Bank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t>
        </is>
      </c>
      <c r="B4" s="6" t="inlineStr">
        <is>
          <t>158.9%</t>
        </is>
      </c>
      <c r="C4" s="6" t="inlineStr">
        <is>
          <t>163.3%</t>
        </is>
      </c>
      <c r="D4" s="6" t="inlineStr">
        <is>
          <t>147.7%</t>
        </is>
      </c>
      <c r="E4" s="6" t="inlineStr">
        <is>
          <t>152.5%</t>
        </is>
      </c>
      <c r="F4" s="6" t="inlineStr">
        <is>
          <t>120.5%</t>
        </is>
      </c>
    </row>
    <row r="5" ht="39" customHeight="1">
      <c r="A5" s="7" t="inlineStr">
        <is>
          <t>Note: Disclosed only at consolidated Group level from FY2022 onward, same basis as LCR above. FY2021 predates the Group/Bank split; its single reported value is used. NSFR is never mentioned at all in any of HTB's FY2016-FY2020 Pillar 3 disclosures (confirmed by direct text search of each document) - the concept isn't introduced into HTB's own reporting until FY2021, a genuine disclosure-regime floor rather than a search gap.</t>
        </is>
      </c>
    </row>
    <row r="7" ht="325" customHeight="1">
      <c r="A7" s="8" t="inlineStr">
        <is>
          <t>Sources - Hampshire Trust Bank Plc Pillar 3 Disclosures, 'Key Metrics' (KM1) table, Bank column (Group column used only for LCR/NSFR, which HTB discloses only at consolidated/Group level - 'Liquidity is managed on a consolidated basis hence only Group metrics are reported'; FY2021 and earlier all predate the Group/Bank split entirely and show a single value used for every metric in those years; FY2016-FY2020 predate the KM1 template itself and instead use each year's own 'Summary of key ratios' table plus its Capital Resources/Capital Adequacy section for CET1/Tier 1/Total Capital £ amounts):
FY2025: Pillar 3 Disclosures | 31 December 2025, p.10-11 - https://www.htb.co.uk/htbcontent/uploads/2026/04/HTB_Pillar_3_Disclosures_2025.pdf
FY2024: Pillar 3 Disclosures | 31 December 2024, p.9-10 - https://www.htb.co.uk/htbcontent/uploads/2025/07/HTB_Pillar_3_Disclosures_2024.pdf
FY2023: Pillar 3 Disclosures | 31 December 2023, p.10-11 - https://www.htb.co.uk/htbcontent/uploads/2024/06/HTB_Pillar_3_Disclosures_2023.pdf
FY2022: Pillar 3 Disclosures | 31 December 2022, p.10-11 - https://www.htb.co.uk/htbcontent/uploads/2023/08/Hampshire-Trust-Bank-HTB-2022-Pillar-3-Disclosures.pdf
FY2021: Pillar 3 Disclosures | 31 December 2021, Key Metrics table - https://www.htb.co.uk/htbcontent/uploads/2022/07/Hampshire-Trust-Bank-HTB-2021-Pillar-3-Disclosures.pdf
FY2020: Pillar 3 Disclosures | 31 December 2020, Section 4.2/4.3/4.5 (Minimum capital requirement/Leverage Ratio/Liquidity Coverage Ratio) plus Capital Resources table - https://www.htb.co.uk/htbcontent/uploads/2021/07/Hampshire-Trust-Bank-HTB-2020-Pillar-3-Disclosures.pdf
FY2019: Pillar 3 Disclosures | 31 December 2019, Section 5.2/5.4/5.5 plus Capital Resources table - https://www.htb.co.uk/htbcontent/uploads/2020/07/Hampshire-Trust-Bank-HTB-2019-Pillar-3-Disclosures.pdf
FY2018: Pillar 3 Disclosures | 31 December 2018, Section 4.2/4.3/4.4 plus Capital Resources table - https://www.htb.co.uk/htbcontent/uploads/2019/08/Hampshire-Trust-Bank-HTB-2018-Pillar-3-Disclosures-1.pdf
FY2017: Pillar 3 Disclosures | 31 December 2017, Section 4.1/4.2/4.3/4.4 (Capital Adequacy/Minimum capital requirement/Leverage Ratio/LCR) - https://www.htb.co.uk/htbcontent/uploads/2019/08/Hampshire-Trust-Bank-HTB-2017-Pillar-3-Disclosures-1.pdf
FY2016: Pillar 3 Disclosures | 31 December 2016, Section 1.5 (Summary of key ratios)/Section 8 (Capital Adequacy) - https://www.htb.co.uk/htbcontent/uploads/2019/08/Hampshire-Trust-Bank-HTB-2016-Pillar-3-Disclosures-1.pdf
MREL is not mentioned anywhere in any year's Pillar 3 disclosure (FY2016-FY2025) - not publicly disclosed. NSFR is likewise never mentioned in any FY2016-FY2020 disclosure (the concept isn't introduced in HTB's own Pillar 3 reports until FY2021) - genuinely not disclosed those years, not a gap in this transcription.
Tier 1 capital equals CET1 capital in every year FY2016-FY2020 (no Additional Tier 1 instrument existed until the Other equity instruments (non-controlling interests) issued in FY2022) - see the Tier 1 Capital sheet's own note. Total Capital = Tier 1 + Tier 2 from FY2018 onward (Tier 2 = Subordinated Liabilities, first issued FY2018); FY2016-FY2017 had no Tier 2 capital at all, so Total Capital = Tier 1 = CET1 those two years too.</t>
        </is>
      </c>
    </row>
    <row r="9" ht="260" customHeight="1">
      <c r="A9" s="8" t="inlineStr">
        <is>
          <t>(continued)
Each year's own 'Summary of key ratios' table prints a 'Risk weighted assets (£000)' line that is systematically inconsistent with that same table's own displayed CET1/Total Capital ratios in every one of FY2018-FY2020: recomputing CET1 capital / RWA against the printed RWA figure gives a ratio 1-2pp off the printed ratio, while the more granular COREP 'Total risk exposure amount' figure found elsewhere in each of those 3 documents (746,201 for FY2018, 831,229 for FY2019, 809,489 for FY2020) reproduces the printed ratios almost exactly (e.g. FY2018: 121,690/746,201 = 16.31%, matching the document's own precise COREP disclosure of 16.31% CET1 exactly, vs 121,690/687,497 = 17.70% using the summary table's own printed RWA line). The Total RWAs sheet below therefore uses the COREP figure for FY2018-FY2020, not the mismatched summary-table figure - a genuine, recurring source-document inconsistency, not a transcription error introduced here. FY2016/FY2017 have no COREP template to cross-check against, so their summary-table RWA figures (430,807/529,157) are used as-is despite a smaller (~1pp) rounding gap against their own printed ratios.
RESOLVED 2026-09-15 (RWA cross-sheet sweep - do not re-flag): what HTB's headline 'Risk weighted assets' line actually measures in FY2016-FY2017 is now established from the documents, not inferred. The FY2017 Pillar 3 p.12 credit-risk exposure-class table foots to exactly 529,157 in its own RWAs column (42,100 + 67,276 + 264,058 + 142,500 + 6,229 + 0 + 2,233 + 4,763), i.e. the headline line is CREDIT-RISK RWA ONLY and excludes the separately-disclosed operational risk requirement (FY2017 3,136 -&gt; 39,200 RWA; FY2016 1,189 -&gt; 14,863 RWA). The FY2018 document proves the same structure directly: its summary line reads 687,497 while its own COREP row 010 'Total risk exposure amount' on the same document reads 746,201 - a 58,704 difference matching that year's operational risk RWA (4,677/0.08 = 58,463). HTB's own printed ratios are computed on the credit-only denominator too (total regulatory capital 113,435 / 529,157 = 21.44%, matching the printed 21%; against 568,357 it would be 19.96%, i.e. 20%), so the printed ratio cannot be used to overturn the printed total the way it was for Redwood. HTB has never published a FY2016 or FY2017 total risk exposure amount in any document (Pillar 3 or Annual Report - AR2017 and AR2016 repeat the same 529,157/430,807), so there is no transcribable replacement; credit + operational would be arithmetic, which this project does not substitute for a disclosed figure. FY2016/FY2017 therefore knowingly hold a credit-risk-only figure, and the FY2017 -&gt; FY2018 step in this series carries a basis change (credit-only -&gt; COREP total) on top of real balance-sheet growth. See the RWA Breakdown sheet for the two components.</t>
        </is>
      </c>
    </row>
  </sheetData>
  <mergeCells count="3">
    <mergeCell ref="A5:F5"/>
    <mergeCell ref="A7:F7"/>
    <mergeCell ref="A9:F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Hampshire Trust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MREL Ratio</t>
        </is>
      </c>
      <c r="B4" s="6" t="inlineStr">
        <is>
          <t>Not published – HTB Pillar 3 FY2025 (text search, 2026-09-19) has no MREL figure or mention (richness control: capital 65-160 hits).</t>
        </is>
      </c>
      <c r="C4" s="6" t="inlineStr">
        <is>
          <t>Not published – HTB Pillar 3 FY2024 (text search, 2026-09-19) has no MREL figure or mention (richness control: capital 65-160 hits).</t>
        </is>
      </c>
      <c r="D4" s="6" t="inlineStr">
        <is>
          <t>Not published – HTB Pillar 3 FY2023 (text search, 2026-09-19) has no MREL figure or mention (richness control: capital 65-160 hits).</t>
        </is>
      </c>
      <c r="E4" s="6" t="inlineStr">
        <is>
          <t>Not published – HTB Pillar 3 FY2022 (text search, 2026-09-19) has no MREL figure or mention (richness control: capital 65-160 hits).</t>
        </is>
      </c>
      <c r="F4" s="6" t="inlineStr">
        <is>
          <t>Not published – HTB Pillar 3 FY2021 (text search, 2026-09-19) has no MREL figure or mention (richness control: capital 65-160 hits).</t>
        </is>
      </c>
      <c r="G4" s="6" t="inlineStr">
        <is>
          <t>Not published – HTB Pillar 3 FY2020 (text search, 2026-09-19) has no MREL figure or mention (richness control: capital 65-160 hits).</t>
        </is>
      </c>
      <c r="H4" s="6" t="inlineStr">
        <is>
          <t>Not published – HTB Pillar 3 FY2019 (text search, 2026-09-19) has no MREL figure or mention (richness control: capital 65-160 hits).</t>
        </is>
      </c>
      <c r="I4" s="6" t="inlineStr">
        <is>
          <t>Not published – HTB Pillar 3 FY2018 (text search, 2026-09-19) has no MREL figure or mention (richness control: capital 65-160 hits).</t>
        </is>
      </c>
      <c r="J4" s="6" t="inlineStr">
        <is>
          <t>Not applicable – HTB Pillar 3 FY2017: 'lowest resolution risk level category where MREL requirements are set to equal the level of Pillar 1 and Pillar 2 requirements'.</t>
        </is>
      </c>
      <c r="K4" s="6" t="inlineStr">
        <is>
          <t>Not applicable – HTB Pillar 3 FY2016: 'lowest resolution risk level category where MREL requirements are set to equal the level of Pillar 1 and Pillar 2 requirements'.</t>
        </is>
      </c>
    </row>
    <row r="5" ht="30" customHeight="1">
      <c r="A5" s="7" t="inlineStr">
        <is>
          <t>Note: CORRECTION 2026-09-19 (GA-020): the source note's 'MREL is not mentioned anywhere in any year's Pillar 3' is wrong for FY2016 and FY2017 - both editions state the Bank 'is in the lowest resolution risk level category where MREL requirements are set to equal the level of Pillar 1 and Pillar 2 requirements, therefore no additional capital would be required' (FY2016 section 1; FY2017 section 1.6.3). It holds for FY2018-FY2025, which were each re-searched.</t>
        </is>
      </c>
    </row>
    <row r="7" ht="377" customHeight="1">
      <c r="A7" s="8" t="inlineStr">
        <is>
          <t>Sources - Hampshire Trust Bank Plc Pillar 3 Disclosures, 'Key Metrics' (KM1) table, Bank column (Group column used only for LCR/NSFR, which HTB discloses only at consolidated/Group level - 'Liquidity is managed on a consolidated basis hence only Group metrics are reported'; FY2021 and earlier all predate the Group/Bank split entirely and show a single value used for every metric in those years; FY2016-FY2020 predate the KM1 template itself and instead use each year's own 'Summary of key ratios' table plus its Capital Resources/Capital Adequacy section for CET1/Tier 1/Total Capital £ amounts):
FY2025: Pillar 3 Disclosures | 31 December 2025, p.10-11 - https://www.htb.co.uk/htbcontent/uploads/2026/04/HTB_Pillar_3_Disclosures_2025.pdf
FY2024: Pillar 3 Disclosures | 31 December 2024, p.9-10 - https://www.htb.co.uk/htbcontent/uploads/2025/07/HTB_Pillar_3_Disclosures_2024.pdf
FY2023: Pillar 3 Disclosures | 31 December 2023, p.10-11 - https://www.htb.co.uk/htbcontent/uploads/2024/06/HTB_Pillar_3_Disclosures_2023.pdf
FY2022: Pillar 3 Disclosures | 31 December 2022, p.10-11 - https://www.htb.co.uk/htbcontent/uploads/2023/08/Hampshire-Trust-Bank-HTB-2022-Pillar-3-Disclosures.pdf
FY2021: Pillar 3 Disclosures | 31 December 2021, Key Metrics table - https://www.htb.co.uk/htbcontent/uploads/2022/07/Hampshire-Trust-Bank-HTB-2021-Pillar-3-Disclosures.pdf
FY2020: Pillar 3 Disclosures | 31 December 2020, Section 4.2/4.3/4.5 (Minimum capital requirement/Leverage Ratio/Liquidity Coverage Ratio) plus Capital Resources table - https://www.htb.co.uk/htbcontent/uploads/2021/07/Hampshire-Trust-Bank-HTB-2020-Pillar-3-Disclosures.pdf
FY2019: Pillar 3 Disclosures | 31 December 2019, Section 5.2/5.4/5.5 plus Capital Resources table - https://www.htb.co.uk/htbcontent/uploads/2020/07/Hampshire-Trust-Bank-HTB-2019-Pillar-3-Disclosures.pdf
FY2018: Pillar 3 Disclosures | 31 December 2018, Section 4.2/4.3/4.4 plus Capital Resources table - https://www.htb.co.uk/htbcontent/uploads/2019/08/Hampshire-Trust-Bank-HTB-2018-Pillar-3-Disclosures-1.pdf
FY2017: Pillar 3 Disclosures | 31 December 2017, Section 4.1/4.2/4.3/4.4 (Capital Adequacy/Minimum capital requirement/Leverage Ratio/LCR) - https://www.htb.co.uk/htbcontent/uploads/2019/08/Hampshire-Trust-Bank-HTB-2017-Pillar-3-Disclosures-1.pdf
FY2016: Pillar 3 Disclosures | 31 December 2016, Section 1.5 (Summary of key ratios)/Section 8 (Capital Adequacy) - https://www.htb.co.uk/htbcontent/uploads/2019/08/Hampshire-Trust-Bank-HTB-2016-Pillar-3-Disclosures-1.pdf
MREL is not mentioned anywhere in any year's Pillar 3 disclosure (FY2016-FY2025) - not publicly disclosed. NSFR is likewise never mentioned in any FY2016-FY2020 disclosure (the concept isn't introduced in HTB's own Pillar 3 reports until FY2021) - genuinely not disclosed those years, not a gap in this transcription.
Tier 1 capital equals CET1 capital in every year FY2016-FY2020 (no Additional Tier 1 instrument existed until the Other equity instruments (non-controlling interests) issued in FY2022) - see the Tier 1 Capital sheet's own note. Total Capital = Tier 1 + Tier 2 from FY2018 onward (Tier 2 = Subordinated Liabilities, first issued FY2018); FY2016-FY2017 had no Tier 2 capital at all, so Total Capital = Tier 1 = CET1 those two years too.
Each year's own 'Summary of key ratios' table prints a 'Risk weighted assets (£000)' line that is systematically inconsistent with that same table's own displayed CET1/Total Capital ratios in every one of FY2018-FY2020: recomputing CET1 capital / RWA against the printed RWA figure gives a ratio 1-2pp off the printed ratio, while the more granular COREP 'Total risk exposure amount' figure found elsewhere in each of those 3 documents (746,201 for FY2018, 831,229 for FY2019, 809,489 for FY2020) reproduces the printed ratios almost exactly (e.g. FY2018: 121,690/746,201 = 16.31%, matching the document's own precise COREP disclosure of 16.31% CET1 exactly, vs 121,690/687,497 = 17.70% using the summary table's own printed RWA line). The Total RWAs sheet below therefore uses the COREP figure for FY2018-FY2020, not the mismatched summary-table figure - a genuine, recurring source-document inconsistency, not a transcription error introduced here. FY2016/FY2017 have no COREP template to cross-check against, so their summary-table RWA figures (430,807/529,157) are used as-is despite a smaller (~1pp) rounding gap against their own printed ratios.
RESOLVED 2026-09-15 (RWA cross-sheet sweep - do not re-flag): what HTB's headline 'Risk weighted assets' line actually measures in FY2016-FY2017 is now established from the documents, not inferred. The FY2017 Pillar 3 p.12 credit-risk exposure-class table foots to exactly 529,157 in its own RWAs column (42,100 + 67,276 + 264,058 + 142,500 + 6,229 + 0 + 2,233 + 4,763), i.e. the headline line is CREDIT-RISK RWA ONLY and excludes the separately-disclosed operational risk requirement (FY2017 3,136 -&gt; 39,200 RWA; FY2016 1,189 -&gt; 14,863 RWA). The FY2018 document proves the same structure directly: its summary line reads 687,497 while its own COREP row 010 'Total risk exposure amount' on the same document reads 746,201 - a 58,704 difference matching that year's operational risk RWA (4,677/0.08 = 58,463). HTB's own printed ratios are computed on the credit-only denominator too (total regulatory capital 113,435 / 529,157 = 21.44%, matching the printed 21%; against 568,357 it would be 19.96%, i.e. 20%), so the printed ratio cannot be used to overturn the printed total the way it was for Redwood. HTB has never published a FY2016 or FY2017 total risk exposure amount in any document (Pillar 3 or Annual Report - AR2017 and AR2016 repeat the same 529,157/430,807), so there is no transcribable replacement; credit + operational would be arithmetic, which this project does not substitute for a disclosed figure. FY2016/FY2017 therefore knowingly hold a credit-risk-only figure, and the FY2017 -&gt; FY2018 step in this series carries a basis change (credit-only -&gt; COREP total) on top of real balance-sheet growth. See the RWA Breakdown sheet for the two components.</t>
        </is>
      </c>
    </row>
  </sheetData>
  <mergeCells count="2">
    <mergeCell ref="A5:K5"/>
    <mergeCell ref="A7:K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2026-10-26T09:36:05Z</dcterms:created>
  <dcterms:modified xmlns:dcterms="http://purl.org/dc/terms/" xmlns:xsi="http://www.w3.org/2001/XMLSchema-instance" xsi:type="dcterms:W3CDTF">2026-10-26T09:36:05Z</dcterms:modified>
</cp:coreProperties>
</file>