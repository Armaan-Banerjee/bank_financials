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6126399</v>
      </c>
      <c r="C6" s="5" t="n">
        <v>5387529</v>
      </c>
      <c r="D6" s="5" t="n">
        <v>4063807</v>
      </c>
      <c r="E6" s="5" t="n">
        <v>3200482</v>
      </c>
      <c r="F6" s="5" t="n">
        <v>2190531</v>
      </c>
      <c r="I6" t="inlineStr">
        <is>
          <t>Total assets</t>
        </is>
      </c>
      <c r="J6" t="n">
        <v>2190531</v>
      </c>
      <c r="K6" t="n">
        <v>3200482</v>
      </c>
      <c r="L6" t="n">
        <v>4063807</v>
      </c>
      <c r="M6" t="n">
        <v>5387529</v>
      </c>
      <c r="N6" t="n">
        <v>6126399</v>
      </c>
      <c r="AO6" t="inlineStr">
        <is>
          <t>CET1 Ratio</t>
        </is>
      </c>
      <c r="AP6" t="n">
        <v>18.9</v>
      </c>
      <c r="AQ6" t="n">
        <v>13.8</v>
      </c>
      <c r="AR6" t="n">
        <v>13.3</v>
      </c>
      <c r="AS6" t="n">
        <v>13.6</v>
      </c>
      <c r="AT6" t="n">
        <v>13.5</v>
      </c>
    </row>
    <row r="7">
      <c r="A7" s="5" t="inlineStr">
        <is>
          <t>Loans and advances to customers - at amortised cost</t>
        </is>
      </c>
      <c r="B7" s="5" t="n">
        <v>4540376</v>
      </c>
      <c r="C7" s="5" t="n">
        <v>3391908</v>
      </c>
      <c r="D7" s="5" t="n">
        <v>2967326</v>
      </c>
      <c r="E7" s="5" t="n">
        <v>2243123</v>
      </c>
      <c r="F7" s="5" t="n">
        <v>1704683</v>
      </c>
      <c r="I7" t="inlineStr">
        <is>
          <t>Loans and advances to customers - at amortised cost</t>
        </is>
      </c>
      <c r="J7" t="n">
        <v>1704683</v>
      </c>
      <c r="K7" t="n">
        <v>2243123</v>
      </c>
      <c r="L7" t="n">
        <v>2967326</v>
      </c>
      <c r="M7" t="n">
        <v>3391908</v>
      </c>
      <c r="N7" t="n">
        <v>4540376</v>
      </c>
      <c r="AO7" t="inlineStr">
        <is>
          <t>Tier 1 Ratio</t>
        </is>
      </c>
      <c r="AP7" t="n">
        <v>18.9</v>
      </c>
      <c r="AQ7" t="n">
        <v>15.1</v>
      </c>
      <c r="AR7" t="n">
        <v>14.2</v>
      </c>
      <c r="AS7" t="n">
        <v>14.4</v>
      </c>
      <c r="AT7" t="n">
        <v>14.1</v>
      </c>
    </row>
    <row r="8">
      <c r="A8" s="5" t="inlineStr">
        <is>
          <t>Customer deposits</t>
        </is>
      </c>
      <c r="B8" s="5" t="n">
        <v>5232516</v>
      </c>
      <c r="C8" s="5" t="n">
        <v>4526003</v>
      </c>
      <c r="D8" s="5" t="n">
        <v>3205681</v>
      </c>
      <c r="E8" s="5" t="n">
        <v>2420694</v>
      </c>
      <c r="F8" s="5" t="n">
        <v>1633046</v>
      </c>
      <c r="I8" t="inlineStr">
        <is>
          <t>Customer deposits</t>
        </is>
      </c>
      <c r="J8" t="n">
        <v>1633046</v>
      </c>
      <c r="K8" t="n">
        <v>2420694</v>
      </c>
      <c r="L8" t="n">
        <v>3205681</v>
      </c>
      <c r="M8" t="n">
        <v>4526003</v>
      </c>
      <c r="N8" t="n">
        <v>5232516</v>
      </c>
      <c r="AO8" t="inlineStr">
        <is>
          <t>Total Capital Ratio</t>
        </is>
      </c>
      <c r="AP8" t="n">
        <v>22.2</v>
      </c>
      <c r="AQ8" t="n">
        <v>17.4</v>
      </c>
      <c r="AR8" t="n">
        <v>17</v>
      </c>
      <c r="AS8" t="n">
        <v>16.4</v>
      </c>
      <c r="AT8" t="n">
        <v>16.8</v>
      </c>
    </row>
    <row r="9">
      <c r="A9" s="5" t="inlineStr">
        <is>
          <t>Total equity</t>
        </is>
      </c>
      <c r="B9" s="5" t="n">
        <v>434367</v>
      </c>
      <c r="C9" s="5" t="n">
        <v>374559</v>
      </c>
      <c r="D9" s="5" t="n">
        <v>322801</v>
      </c>
      <c r="E9" s="5" t="n">
        <v>258864</v>
      </c>
      <c r="F9" s="5" t="n">
        <v>188836</v>
      </c>
      <c r="I9" t="inlineStr">
        <is>
          <t>Total equity</t>
        </is>
      </c>
      <c r="J9" t="n">
        <v>188836</v>
      </c>
      <c r="K9" t="n">
        <v>258864</v>
      </c>
      <c r="L9" t="n">
        <v>322801</v>
      </c>
      <c r="M9" t="n">
        <v>374559</v>
      </c>
      <c r="N9" t="n">
        <v>434367</v>
      </c>
      <c r="AO9" t="inlineStr">
        <is>
          <t>Leverage Ratio</t>
        </is>
      </c>
      <c r="AP9" t="n">
        <v>8</v>
      </c>
      <c r="AQ9" t="n">
        <v>9.199999999999999</v>
      </c>
      <c r="AR9" t="n">
        <v>7.5</v>
      </c>
      <c r="AS9" t="n">
        <v>8.1</v>
      </c>
      <c r="AT9" t="n">
        <v>7.5</v>
      </c>
    </row>
    <row r="10">
      <c r="AO10" t="inlineStr">
        <is>
          <t>LCR</t>
        </is>
      </c>
      <c r="AP10" t="n">
        <v>314.8</v>
      </c>
      <c r="AQ10" t="n">
        <v>386.9</v>
      </c>
      <c r="AR10" t="n">
        <v>388.6</v>
      </c>
      <c r="AS10" t="n">
        <v>391.1</v>
      </c>
      <c r="AT10" t="n">
        <v>346.9</v>
      </c>
    </row>
    <row r="11">
      <c r="A11" s="3" t="inlineStr">
        <is>
          <t>Profit &amp; Loss Summary (£'000)</t>
        </is>
      </c>
      <c r="AO11" t="inlineStr">
        <is>
          <t>NSFR</t>
        </is>
      </c>
      <c r="AP11" t="n">
        <v>120.5</v>
      </c>
      <c r="AQ11" t="n">
        <v>152.5</v>
      </c>
      <c r="AR11" t="n">
        <v>147.7</v>
      </c>
      <c r="AS11" t="n">
        <v>163.3</v>
      </c>
      <c r="AT11" t="n">
        <v>158.9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167619</v>
      </c>
      <c r="C13" s="5" t="n">
        <v>145342</v>
      </c>
      <c r="D13" s="5" t="n">
        <v>131062</v>
      </c>
      <c r="E13" s="5" t="n">
        <v>98584</v>
      </c>
      <c r="F13" s="5" t="n">
        <v>69157</v>
      </c>
      <c r="Q13" t="inlineStr">
        <is>
          <t>Net interest income</t>
        </is>
      </c>
      <c r="R13" t="n">
        <v>69157</v>
      </c>
      <c r="S13" t="n">
        <v>98584</v>
      </c>
      <c r="T13" t="n">
        <v>131062</v>
      </c>
      <c r="U13" t="n">
        <v>145342</v>
      </c>
      <c r="V13" t="n">
        <v>167619</v>
      </c>
    </row>
    <row r="14">
      <c r="A14" s="5" t="inlineStr">
        <is>
          <t>Administrative expenses</t>
        </is>
      </c>
      <c r="B14" s="5" t="n">
        <v>-83039</v>
      </c>
      <c r="C14" s="5" t="n">
        <v>-75545</v>
      </c>
      <c r="D14" s="5" t="n">
        <v>-69237</v>
      </c>
      <c r="E14" s="5" t="n">
        <v>-56984</v>
      </c>
      <c r="F14" s="5" t="n">
        <v>-46313</v>
      </c>
      <c r="Q14" t="inlineStr">
        <is>
          <t>Administrative expenses</t>
        </is>
      </c>
      <c r="R14" t="n">
        <v>-46313</v>
      </c>
      <c r="S14" t="n">
        <v>-56984</v>
      </c>
      <c r="T14" t="n">
        <v>-69237</v>
      </c>
      <c r="U14" t="n">
        <v>-75545</v>
      </c>
      <c r="V14" t="n">
        <v>-83039</v>
      </c>
    </row>
    <row r="15">
      <c r="A15" s="5" t="inlineStr">
        <is>
          <t>Profit after tax for the year</t>
        </is>
      </c>
      <c r="B15" s="5" t="n">
        <v>60116</v>
      </c>
      <c r="C15" s="5" t="n">
        <v>53054</v>
      </c>
      <c r="D15" s="5" t="n">
        <v>67273</v>
      </c>
      <c r="E15" s="5" t="n">
        <v>54033</v>
      </c>
      <c r="F15" s="5" t="n">
        <v>20562</v>
      </c>
      <c r="Q15" t="inlineStr">
        <is>
          <t>Profit after tax for the year</t>
        </is>
      </c>
      <c r="R15" t="n">
        <v>20562</v>
      </c>
      <c r="S15" t="n">
        <v>54033</v>
      </c>
      <c r="T15" t="n">
        <v>67273</v>
      </c>
      <c r="U15" t="n">
        <v>53054</v>
      </c>
      <c r="V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374559</v>
      </c>
      <c r="C19" s="5" t="n">
        <v>322801</v>
      </c>
      <c r="D19" s="5" t="n">
        <v>258864</v>
      </c>
      <c r="E19" s="5" t="n">
        <v>188836</v>
      </c>
      <c r="F19" s="5" t="n">
        <v>154058</v>
      </c>
      <c r="Y19" t="inlineStr">
        <is>
          <t>Opening equity</t>
        </is>
      </c>
      <c r="Z19" t="n">
        <v>154058</v>
      </c>
      <c r="AA19" t="n">
        <v>188836</v>
      </c>
      <c r="AB19" t="n">
        <v>258864</v>
      </c>
      <c r="AC19" t="n">
        <v>322801</v>
      </c>
      <c r="AD19" t="n">
        <v>374559</v>
      </c>
    </row>
    <row r="20">
      <c r="A20" s="5" t="inlineStr">
        <is>
          <t>Total comprehensive income for the year</t>
        </is>
      </c>
      <c r="B20" s="5" t="n">
        <v>60608</v>
      </c>
      <c r="C20" s="5" t="n">
        <v>53479</v>
      </c>
      <c r="D20" s="5" t="n">
        <v>64045</v>
      </c>
      <c r="E20" s="5" t="n">
        <v>54162</v>
      </c>
      <c r="F20" s="5" t="n">
        <v>20562</v>
      </c>
      <c r="Y20" t="inlineStr">
        <is>
          <t>Total comprehensive income for the year</t>
        </is>
      </c>
      <c r="Z20" t="n">
        <v>20562</v>
      </c>
      <c r="AA20" t="n">
        <v>54162</v>
      </c>
      <c r="AB20" t="n">
        <v>64045</v>
      </c>
      <c r="AC20" t="n">
        <v>53479</v>
      </c>
      <c r="AD20" t="n">
        <v>60608</v>
      </c>
    </row>
    <row r="21">
      <c r="A21" s="5" t="inlineStr">
        <is>
          <t>Closing equity</t>
        </is>
      </c>
      <c r="B21" s="5" t="n">
        <v>434367</v>
      </c>
      <c r="C21" s="5" t="n">
        <v>374559</v>
      </c>
      <c r="D21" s="5" t="n">
        <v>322801</v>
      </c>
      <c r="E21" s="5" t="n">
        <v>258864</v>
      </c>
      <c r="F21" s="5" t="n">
        <v>188836</v>
      </c>
      <c r="Y21" t="inlineStr">
        <is>
          <t>Closing equity</t>
        </is>
      </c>
      <c r="Z21" t="n">
        <v>188836</v>
      </c>
      <c r="AA21" t="n">
        <v>258864</v>
      </c>
      <c r="AB21" t="n">
        <v>322801</v>
      </c>
      <c r="AC21" t="n">
        <v>374559</v>
      </c>
      <c r="AD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-328407</v>
      </c>
      <c r="C25" s="5" t="n">
        <v>619425</v>
      </c>
      <c r="D25" s="5" t="n">
        <v>-46888</v>
      </c>
      <c r="E25" s="5" t="n">
        <v>259350</v>
      </c>
      <c r="F25" s="5" t="n">
        <v>267024</v>
      </c>
      <c r="AG25" t="inlineStr">
        <is>
          <t>Net cash from/(used in) operating activities</t>
        </is>
      </c>
      <c r="AH25" t="n">
        <v>267024</v>
      </c>
      <c r="AI25" t="n">
        <v>259350</v>
      </c>
      <c r="AJ25" t="n">
        <v>-46888</v>
      </c>
      <c r="AK25" t="n">
        <v>619425</v>
      </c>
      <c r="AL25" t="n">
        <v>-328407</v>
      </c>
    </row>
    <row r="26">
      <c r="A26" s="5" t="inlineStr">
        <is>
          <t>Net cash from/(used in) investing activities</t>
        </is>
      </c>
      <c r="B26" s="5" t="n">
        <v>-450560</v>
      </c>
      <c r="C26" s="5" t="n">
        <v>30745</v>
      </c>
      <c r="D26" s="5" t="n">
        <v>38042</v>
      </c>
      <c r="E26" s="5" t="n">
        <v>-39977</v>
      </c>
      <c r="F26" s="5" t="n">
        <v>-181730</v>
      </c>
      <c r="AG26" t="inlineStr">
        <is>
          <t>Net cash from/(used in) investing activities</t>
        </is>
      </c>
      <c r="AH26" t="n">
        <v>-181730</v>
      </c>
      <c r="AI26" t="n">
        <v>-39977</v>
      </c>
      <c r="AJ26" t="n">
        <v>38042</v>
      </c>
      <c r="AK26" t="n">
        <v>30745</v>
      </c>
      <c r="AL26" t="n">
        <v>-450560</v>
      </c>
    </row>
    <row r="27">
      <c r="A27" s="5" t="inlineStr">
        <is>
          <t>Net cash from/(used in) financing activities</t>
        </is>
      </c>
      <c r="B27" s="5" t="n">
        <v>22745</v>
      </c>
      <c r="C27" s="5" t="n">
        <v>308331</v>
      </c>
      <c r="D27" s="5" t="n">
        <v>26678</v>
      </c>
      <c r="E27" s="5" t="n">
        <v>-2722</v>
      </c>
      <c r="F27" s="5" t="n">
        <v>12357</v>
      </c>
      <c r="AG27" t="inlineStr">
        <is>
          <t>Net cash from/(used in) financing activities</t>
        </is>
      </c>
      <c r="AH27" t="n">
        <v>12357</v>
      </c>
      <c r="AI27" t="n">
        <v>-2722</v>
      </c>
      <c r="AJ27" t="n">
        <v>26678</v>
      </c>
      <c r="AK27" t="n">
        <v>308331</v>
      </c>
      <c r="AL27" t="n">
        <v>22745</v>
      </c>
    </row>
    <row r="28">
      <c r="A28" s="5" t="inlineStr">
        <is>
          <t>Cash and cash equivalents at end of year</t>
        </is>
      </c>
      <c r="B28" s="5" t="n">
        <v>679085</v>
      </c>
      <c r="C28" s="5" t="n">
        <v>1435307</v>
      </c>
      <c r="D28" s="5" t="n">
        <v>476806</v>
      </c>
      <c r="E28" s="5" t="n">
        <v>458974</v>
      </c>
      <c r="F28" s="5" t="n">
        <v>242323</v>
      </c>
      <c r="AG28" t="inlineStr">
        <is>
          <t>Cash and cash equivalents at end of year</t>
        </is>
      </c>
      <c r="AH28" t="n">
        <v>242323</v>
      </c>
      <c r="AI28" t="n">
        <v>458974</v>
      </c>
      <c r="AJ28" t="n">
        <v>476806</v>
      </c>
      <c r="AK28" t="n">
        <v>1435307</v>
      </c>
      <c r="AL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13.5%</t>
        </is>
      </c>
      <c r="C32" s="6" t="inlineStr">
        <is>
          <t>13.6%</t>
        </is>
      </c>
      <c r="D32" s="6" t="inlineStr">
        <is>
          <t>13.3%</t>
        </is>
      </c>
      <c r="E32" s="6" t="inlineStr">
        <is>
          <t>13.8%</t>
        </is>
      </c>
      <c r="F32" s="6" t="inlineStr">
        <is>
          <t>18.9%</t>
        </is>
      </c>
    </row>
    <row r="33">
      <c r="A33" s="6" t="inlineStr">
        <is>
          <t>Tier 1 Ratio</t>
        </is>
      </c>
      <c r="B33" s="6" t="inlineStr">
        <is>
          <t>14.1%</t>
        </is>
      </c>
      <c r="C33" s="6" t="inlineStr">
        <is>
          <t>14.4%</t>
        </is>
      </c>
      <c r="D33" s="6" t="inlineStr">
        <is>
          <t>14.2%</t>
        </is>
      </c>
      <c r="E33" s="6" t="inlineStr">
        <is>
          <t>15.1%</t>
        </is>
      </c>
      <c r="F33" s="6" t="inlineStr">
        <is>
          <t>18.9%</t>
        </is>
      </c>
    </row>
    <row r="34">
      <c r="A34" s="6" t="inlineStr">
        <is>
          <t>Total Capital Ratio</t>
        </is>
      </c>
      <c r="B34" s="6" t="inlineStr">
        <is>
          <t>16.8%</t>
        </is>
      </c>
      <c r="C34" s="6" t="inlineStr">
        <is>
          <t>16.4%</t>
        </is>
      </c>
      <c r="D34" s="6" t="inlineStr">
        <is>
          <t>17.0%</t>
        </is>
      </c>
      <c r="E34" s="6" t="inlineStr">
        <is>
          <t>17.4%</t>
        </is>
      </c>
      <c r="F34" s="6" t="inlineStr">
        <is>
          <t>22.2%</t>
        </is>
      </c>
    </row>
    <row r="35">
      <c r="A35" s="6" t="inlineStr">
        <is>
          <t>Leverage Ratio</t>
        </is>
      </c>
      <c r="B35" s="6" t="inlineStr">
        <is>
          <t>7.5%</t>
        </is>
      </c>
      <c r="C35" s="6" t="inlineStr">
        <is>
          <t>8.1%</t>
        </is>
      </c>
      <c r="D35" s="6" t="inlineStr">
        <is>
          <t>7.5%</t>
        </is>
      </c>
      <c r="E35" s="6" t="inlineStr">
        <is>
          <t>9.2%</t>
        </is>
      </c>
      <c r="F35" s="6" t="inlineStr">
        <is>
          <t>8.0%</t>
        </is>
      </c>
    </row>
    <row r="36">
      <c r="A36" s="6" t="inlineStr">
        <is>
          <t>LCR</t>
        </is>
      </c>
      <c r="B36" s="6" t="inlineStr">
        <is>
          <t>346.9%</t>
        </is>
      </c>
      <c r="C36" s="6" t="inlineStr">
        <is>
          <t>391.1%</t>
        </is>
      </c>
      <c r="D36" s="6" t="inlineStr">
        <is>
          <t>388.6%</t>
        </is>
      </c>
      <c r="E36" s="6" t="inlineStr">
        <is>
          <t>386.9%</t>
        </is>
      </c>
      <c r="F36" s="6" t="inlineStr">
        <is>
          <t>314.8%</t>
        </is>
      </c>
    </row>
    <row r="37">
      <c r="A37" s="6" t="inlineStr">
        <is>
          <t>NSFR</t>
        </is>
      </c>
      <c r="B37" s="6" t="inlineStr">
        <is>
          <t>158.9%</t>
        </is>
      </c>
      <c r="C37" s="6" t="inlineStr">
        <is>
          <t>163.3%</t>
        </is>
      </c>
      <c r="D37" s="6" t="inlineStr">
        <is>
          <t>147.7%</t>
        </is>
      </c>
      <c r="E37" s="6" t="inlineStr">
        <is>
          <t>152.5%</t>
        </is>
      </c>
      <c r="F37" s="6" t="inlineStr">
        <is>
          <t>120.5%</t>
        </is>
      </c>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Hampshire Trust Bank Plc — Bank Statement of Financial Position</t>
        </is>
      </c>
    </row>
    <row r="2">
      <c r="A2" s="2" t="inlineStr">
        <is>
          <t>Bank (parent-entity) column; FY2021 predates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679085</v>
      </c>
      <c r="C5" s="6" t="n">
        <v>1435307</v>
      </c>
      <c r="D5" s="6" t="n">
        <v>476806</v>
      </c>
      <c r="E5" s="6" t="n">
        <v>458974</v>
      </c>
      <c r="F5" s="6" t="n">
        <v>242323</v>
      </c>
    </row>
    <row r="6">
      <c r="A6" s="6" t="inlineStr">
        <is>
          <t>Derivative assets held for risk management</t>
        </is>
      </c>
      <c r="B6" s="6" t="n">
        <v>13326</v>
      </c>
      <c r="C6" s="6" t="n">
        <v>51588</v>
      </c>
      <c r="D6" s="6" t="n">
        <v>75076</v>
      </c>
      <c r="E6" s="6" t="n">
        <v>113319</v>
      </c>
      <c r="F6" s="6" t="n">
        <v>19458</v>
      </c>
    </row>
    <row r="7">
      <c r="A7" s="6" t="inlineStr">
        <is>
          <t>Investment securities</t>
        </is>
      </c>
      <c r="B7" s="6" t="n">
        <v>693673</v>
      </c>
      <c r="C7" s="6" t="n">
        <v>219980</v>
      </c>
      <c r="D7" s="6" t="n">
        <v>234509</v>
      </c>
      <c r="E7" s="6" t="n">
        <v>217722</v>
      </c>
      <c r="F7" s="6" t="n">
        <v>196712</v>
      </c>
    </row>
    <row r="8">
      <c r="A8" s="6" t="inlineStr">
        <is>
          <t>Loans and advances to customers - FVTPL</t>
        </is>
      </c>
      <c r="B8" s="6" t="n">
        <v>0</v>
      </c>
      <c r="C8" s="6" t="n">
        <v>260</v>
      </c>
      <c r="D8" s="6" t="n">
        <v>3305</v>
      </c>
      <c r="E8" s="6" t="n">
        <v>4294</v>
      </c>
      <c r="F8" s="6" t="n">
        <v>10025</v>
      </c>
    </row>
    <row r="9">
      <c r="A9" s="6" t="inlineStr">
        <is>
          <t>Loans and advances to customers - at amortised cost</t>
        </is>
      </c>
      <c r="B9" s="6" t="n">
        <v>4540376</v>
      </c>
      <c r="C9" s="6" t="n">
        <v>3391908</v>
      </c>
      <c r="D9" s="6" t="n">
        <v>2967326</v>
      </c>
      <c r="E9" s="6" t="n">
        <v>2243123</v>
      </c>
      <c r="F9" s="6" t="n">
        <v>1704683</v>
      </c>
    </row>
    <row r="10">
      <c r="A10" s="6" t="inlineStr">
        <is>
          <t>Investment in subsidiaries</t>
        </is>
      </c>
      <c r="B10" s="6" t="n">
        <v>11703</v>
      </c>
      <c r="C10" s="6" t="n">
        <v>38203</v>
      </c>
      <c r="D10" s="6" t="n">
        <v>49422</v>
      </c>
      <c r="E10" s="6" t="n">
        <v>49422</v>
      </c>
      <c r="F10" s="6" t="n"/>
    </row>
    <row r="11">
      <c r="A11" s="6" t="inlineStr">
        <is>
          <t>Property, plant and equipment</t>
        </is>
      </c>
      <c r="B11" s="6" t="n">
        <v>2969</v>
      </c>
      <c r="C11" s="6" t="n">
        <v>3961</v>
      </c>
      <c r="D11" s="6" t="n">
        <v>4969</v>
      </c>
      <c r="E11" s="6" t="n">
        <v>1443</v>
      </c>
      <c r="F11" s="6" t="n">
        <v>1471</v>
      </c>
    </row>
    <row r="12">
      <c r="A12" s="6" t="inlineStr">
        <is>
          <t>Right-of-use assets</t>
        </is>
      </c>
      <c r="B12" s="6" t="n">
        <v>1940</v>
      </c>
      <c r="C12" s="6" t="n">
        <v>2711</v>
      </c>
      <c r="D12" s="6" t="n">
        <v>3602</v>
      </c>
      <c r="E12" s="6" t="n">
        <v>685</v>
      </c>
      <c r="F12" s="6" t="n">
        <v>1608</v>
      </c>
    </row>
    <row r="13">
      <c r="A13" s="6" t="inlineStr">
        <is>
          <t>Intangible assets</t>
        </is>
      </c>
      <c r="B13" s="6" t="n">
        <v>13949</v>
      </c>
      <c r="C13" s="6" t="n">
        <v>14712</v>
      </c>
      <c r="D13" s="6" t="n">
        <v>11732</v>
      </c>
      <c r="E13" s="6" t="n">
        <v>9464</v>
      </c>
      <c r="F13" s="6" t="n">
        <v>7606</v>
      </c>
    </row>
    <row r="14">
      <c r="A14" s="6" t="inlineStr">
        <is>
          <t>Corporation tax asset</t>
        </is>
      </c>
      <c r="B14" s="6" t="n">
        <v>4416</v>
      </c>
      <c r="C14" s="6" t="n"/>
      <c r="D14" s="6" t="n"/>
      <c r="E14" s="6" t="n"/>
      <c r="F14" s="6" t="n"/>
    </row>
    <row r="15">
      <c r="A15" s="6" t="inlineStr">
        <is>
          <t>Deferred tax asset</t>
        </is>
      </c>
      <c r="B15" s="6" t="n">
        <v>468</v>
      </c>
      <c r="C15" s="6" t="n">
        <v>978</v>
      </c>
      <c r="D15" s="6" t="n">
        <v>1414</v>
      </c>
      <c r="E15" s="6" t="n">
        <v>2538</v>
      </c>
      <c r="F15" s="6" t="n">
        <v>1925</v>
      </c>
    </row>
    <row r="16">
      <c r="A16" s="6" t="inlineStr">
        <is>
          <t>Other assets</t>
        </is>
      </c>
      <c r="B16" s="6" t="n">
        <v>164494</v>
      </c>
      <c r="C16" s="6" t="n">
        <v>227921</v>
      </c>
      <c r="D16" s="6" t="n">
        <v>235646</v>
      </c>
      <c r="E16" s="6" t="n">
        <v>99498</v>
      </c>
      <c r="F16" s="6" t="n">
        <v>4720</v>
      </c>
    </row>
    <row r="17">
      <c r="A17" s="5" t="inlineStr">
        <is>
          <t>Total assets</t>
        </is>
      </c>
      <c r="B17" s="5" t="n">
        <v>6126399</v>
      </c>
      <c r="C17" s="5" t="n">
        <v>5387529</v>
      </c>
      <c r="D17" s="5" t="n">
        <v>4063807</v>
      </c>
      <c r="E17" s="5" t="n">
        <v>3200482</v>
      </c>
      <c r="F17" s="5" t="n">
        <v>2190531</v>
      </c>
    </row>
    <row r="18">
      <c r="A18" s="5" t="inlineStr">
        <is>
          <t>Liabilities</t>
        </is>
      </c>
      <c r="B18" s="6" t="n"/>
      <c r="C18" s="6" t="n"/>
      <c r="D18" s="6" t="n"/>
      <c r="E18" s="6" t="n"/>
      <c r="F18" s="6" t="n"/>
    </row>
    <row r="19">
      <c r="A19" s="6" t="inlineStr">
        <is>
          <t>Derivative liabilities held for risk management</t>
        </is>
      </c>
      <c r="B19" s="6" t="n">
        <v>18715</v>
      </c>
      <c r="C19" s="6" t="n">
        <v>22569</v>
      </c>
      <c r="D19" s="6" t="n">
        <v>25456</v>
      </c>
      <c r="E19" s="6" t="n">
        <v>19136</v>
      </c>
      <c r="F19" s="6" t="n">
        <v>4413</v>
      </c>
    </row>
    <row r="20">
      <c r="A20" s="6" t="inlineStr">
        <is>
          <t>Customer deposits</t>
        </is>
      </c>
      <c r="B20" s="6" t="n">
        <v>5232516</v>
      </c>
      <c r="C20" s="6" t="n">
        <v>4526003</v>
      </c>
      <c r="D20" s="6" t="n">
        <v>3205681</v>
      </c>
      <c r="E20" s="6" t="n">
        <v>2420694</v>
      </c>
      <c r="F20" s="6" t="n">
        <v>1633046</v>
      </c>
    </row>
    <row r="21">
      <c r="A21" s="6" t="inlineStr">
        <is>
          <t>Lease liabilities</t>
        </is>
      </c>
      <c r="B21" s="6" t="n">
        <v>2900</v>
      </c>
      <c r="C21" s="6" t="n">
        <v>3409</v>
      </c>
      <c r="D21" s="6" t="n">
        <v>3974</v>
      </c>
      <c r="E21" s="6" t="n">
        <v>647</v>
      </c>
      <c r="F21" s="6" t="n">
        <v>1895</v>
      </c>
    </row>
    <row r="22">
      <c r="A22" s="6" t="inlineStr">
        <is>
          <t>Central bank facilities</t>
        </is>
      </c>
      <c r="B22" s="6" t="n">
        <v>290000</v>
      </c>
      <c r="C22" s="6" t="n">
        <v>295000</v>
      </c>
      <c r="D22" s="6" t="n">
        <v>300000</v>
      </c>
      <c r="E22" s="6" t="n">
        <v>295000</v>
      </c>
      <c r="F22" s="6" t="n">
        <v>295000</v>
      </c>
    </row>
    <row r="23">
      <c r="A23" s="6" t="inlineStr">
        <is>
          <t>Subordinated liabilities</t>
        </is>
      </c>
      <c r="B23" s="6" t="n">
        <v>81669</v>
      </c>
      <c r="C23" s="6" t="n">
        <v>56085</v>
      </c>
      <c r="D23" s="6" t="n">
        <v>57768</v>
      </c>
      <c r="E23" s="6" t="n">
        <v>30336</v>
      </c>
      <c r="F23" s="6" t="n">
        <v>30202</v>
      </c>
    </row>
    <row r="24">
      <c r="A24" s="6" t="inlineStr">
        <is>
          <t>Provisions</t>
        </is>
      </c>
      <c r="B24" s="6" t="n">
        <v>2150</v>
      </c>
      <c r="C24" s="6" t="n"/>
      <c r="D24" s="6" t="n"/>
      <c r="E24" s="6" t="n"/>
      <c r="F24" s="6" t="n"/>
    </row>
    <row r="25">
      <c r="A25" s="6" t="inlineStr">
        <is>
          <t>Other liabilities</t>
        </is>
      </c>
      <c r="B25" s="6" t="n">
        <v>64082</v>
      </c>
      <c r="C25" s="6" t="n">
        <v>109904</v>
      </c>
      <c r="D25" s="6" t="n">
        <v>148127</v>
      </c>
      <c r="E25" s="6" t="n">
        <v>175805</v>
      </c>
      <c r="F25" s="6" t="n">
        <v>37139</v>
      </c>
    </row>
    <row r="26">
      <c r="A26" s="5" t="inlineStr">
        <is>
          <t>Total liabilities</t>
        </is>
      </c>
      <c r="B26" s="5" t="n">
        <v>5692032</v>
      </c>
      <c r="C26" s="5" t="n">
        <v>5012970</v>
      </c>
      <c r="D26" s="5" t="n">
        <v>3741006</v>
      </c>
      <c r="E26" s="5" t="n">
        <v>2941618</v>
      </c>
      <c r="F26" s="5" t="n">
        <v>2001695</v>
      </c>
    </row>
    <row r="27">
      <c r="A27" s="5" t="inlineStr">
        <is>
          <t>Equity</t>
        </is>
      </c>
      <c r="B27" s="6" t="n"/>
      <c r="C27" s="6" t="n"/>
      <c r="D27" s="6" t="n"/>
      <c r="E27" s="6" t="n"/>
      <c r="F27" s="6" t="n"/>
    </row>
    <row r="28">
      <c r="A28" s="6" t="inlineStr">
        <is>
          <t>Share capital</t>
        </is>
      </c>
      <c r="B28" s="6" t="n">
        <v>139828</v>
      </c>
      <c r="C28" s="6" t="n">
        <v>139828</v>
      </c>
      <c r="D28" s="6" t="n">
        <v>139828</v>
      </c>
      <c r="E28" s="6" t="n">
        <v>139828</v>
      </c>
      <c r="F28" s="6" t="n">
        <v>139828</v>
      </c>
    </row>
    <row r="29">
      <c r="A29" s="6" t="inlineStr">
        <is>
          <t>Share premium</t>
        </is>
      </c>
      <c r="B29" s="6" t="n">
        <v>196</v>
      </c>
      <c r="C29" s="6" t="n">
        <v>196</v>
      </c>
      <c r="D29" s="6" t="n">
        <v>196</v>
      </c>
      <c r="E29" s="6" t="n">
        <v>196</v>
      </c>
      <c r="F29" s="6" t="n">
        <v>196</v>
      </c>
    </row>
    <row r="30">
      <c r="A30" s="6" t="inlineStr">
        <is>
          <t>Cash flow hedge reserve</t>
        </is>
      </c>
      <c r="B30" s="6" t="n">
        <v>-2182</v>
      </c>
      <c r="C30" s="6" t="n">
        <v>-2674</v>
      </c>
      <c r="D30" s="6" t="n">
        <v>-3099</v>
      </c>
      <c r="E30" s="6" t="n">
        <v>129</v>
      </c>
      <c r="F30" s="6" t="n"/>
    </row>
    <row r="31">
      <c r="A31" s="6" t="inlineStr">
        <is>
          <t>Retained earnings</t>
        </is>
      </c>
      <c r="B31" s="6" t="n">
        <v>279495</v>
      </c>
      <c r="C31" s="6" t="n">
        <v>220179</v>
      </c>
      <c r="D31" s="6" t="n">
        <v>168846</v>
      </c>
      <c r="E31" s="6" t="n">
        <v>101681</v>
      </c>
      <c r="F31" s="6" t="n">
        <v>48812</v>
      </c>
    </row>
    <row r="32">
      <c r="A32" s="5" t="inlineStr">
        <is>
          <t>Total equity, excluding non-controlling interest</t>
        </is>
      </c>
      <c r="B32" s="5" t="n">
        <v>417337</v>
      </c>
      <c r="C32" s="5" t="n">
        <v>357529</v>
      </c>
      <c r="D32" s="5" t="n">
        <v>305771</v>
      </c>
      <c r="E32" s="5" t="n">
        <v>241834</v>
      </c>
      <c r="F32" s="5" t="n">
        <v>188836</v>
      </c>
    </row>
    <row r="33">
      <c r="A33" s="6" t="inlineStr">
        <is>
          <t>Other equity instruments (non-controlling interests)</t>
        </is>
      </c>
      <c r="B33" s="6" t="n">
        <v>17030</v>
      </c>
      <c r="C33" s="6" t="n">
        <v>17030</v>
      </c>
      <c r="D33" s="6" t="n">
        <v>17030</v>
      </c>
      <c r="E33" s="6" t="n">
        <v>17030</v>
      </c>
      <c r="F33" s="6" t="n"/>
    </row>
    <row r="34">
      <c r="A34" s="5" t="inlineStr">
        <is>
          <t>Total equity</t>
        </is>
      </c>
      <c r="B34" s="5" t="n">
        <v>434367</v>
      </c>
      <c r="C34" s="5" t="n">
        <v>374559</v>
      </c>
      <c r="D34" s="5" t="n">
        <v>322801</v>
      </c>
      <c r="E34" s="5" t="n">
        <v>258864</v>
      </c>
      <c r="F34" s="5" t="n">
        <v>188836</v>
      </c>
    </row>
    <row r="35">
      <c r="A35" s="5" t="inlineStr">
        <is>
          <t>Total liabilities and equity</t>
        </is>
      </c>
      <c r="B35" s="5" t="n">
        <v>6126399</v>
      </c>
      <c r="C35" s="5" t="n">
        <v>5387529</v>
      </c>
      <c r="D35" s="5" t="n">
        <v>4063807</v>
      </c>
      <c r="E35" s="5" t="n">
        <v>3200482</v>
      </c>
      <c r="F35" s="5" t="n">
        <v>2190531</v>
      </c>
    </row>
    <row r="37" ht="190" customHeight="1">
      <c r="A37"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predates any Group consolidation (first subsidiary acquired during FY2022) and predates HTB's use of cash-flow hedge accounting - no Cash flow hedge reserve, Investment in subsidiaries, or Other equity instruments (non-controlling interest) balance exists that year.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Hampshire Trust Bank Plc — Bank Statement of Comprehensive Income</t>
        </is>
      </c>
    </row>
    <row r="2">
      <c r="A2" s="2" t="inlineStr">
        <is>
          <t>Bank (parent-entity) column; FY2021 predates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Interest and similar income</t>
        </is>
      </c>
      <c r="B4" s="6" t="n">
        <v>396890</v>
      </c>
      <c r="C4" s="6" t="n">
        <v>352194</v>
      </c>
      <c r="D4" s="6" t="n">
        <v>245613</v>
      </c>
      <c r="E4" s="6" t="n">
        <v>131839</v>
      </c>
      <c r="F4" s="6" t="n">
        <v>88508</v>
      </c>
    </row>
    <row r="5">
      <c r="A5" s="6" t="inlineStr">
        <is>
          <t>Interest expense and similar charges</t>
        </is>
      </c>
      <c r="B5" s="6" t="n">
        <v>-229271</v>
      </c>
      <c r="C5" s="6" t="n">
        <v>-206852</v>
      </c>
      <c r="D5" s="6" t="n">
        <v>-114551</v>
      </c>
      <c r="E5" s="6" t="n">
        <v>-33255</v>
      </c>
      <c r="F5" s="6" t="n">
        <v>-19351</v>
      </c>
    </row>
    <row r="6">
      <c r="A6" s="5" t="inlineStr">
        <is>
          <t>Net interest income</t>
        </is>
      </c>
      <c r="B6" s="5" t="n">
        <v>167619</v>
      </c>
      <c r="C6" s="5" t="n">
        <v>145342</v>
      </c>
      <c r="D6" s="5" t="n">
        <v>131062</v>
      </c>
      <c r="E6" s="5" t="n">
        <v>98584</v>
      </c>
      <c r="F6" s="5" t="n">
        <v>69157</v>
      </c>
    </row>
    <row r="7">
      <c r="A7" s="5" t="inlineStr">
        <is>
          <t>Other operating income</t>
        </is>
      </c>
      <c r="B7" s="6" t="n"/>
      <c r="C7" s="6" t="n"/>
      <c r="D7" s="6" t="n"/>
      <c r="E7" s="6" t="n"/>
      <c r="F7" s="6" t="n"/>
    </row>
    <row r="8">
      <c r="A8" s="6" t="inlineStr">
        <is>
          <t>Fees and commissions income</t>
        </is>
      </c>
      <c r="B8" s="6" t="n">
        <v>3006</v>
      </c>
      <c r="C8" s="6" t="n">
        <v>3172</v>
      </c>
      <c r="D8" s="6" t="n">
        <v>1459</v>
      </c>
      <c r="E8" s="6" t="n">
        <v>2078</v>
      </c>
      <c r="F8" s="6" t="n">
        <v>1533</v>
      </c>
    </row>
    <row r="9">
      <c r="A9" s="6" t="inlineStr">
        <is>
          <t>Fees and commissions payable</t>
        </is>
      </c>
      <c r="B9" s="6" t="n">
        <v>-1110</v>
      </c>
      <c r="C9" s="6" t="n">
        <v>-1406</v>
      </c>
      <c r="D9" s="6" t="n">
        <v>-1375</v>
      </c>
      <c r="E9" s="6" t="n">
        <v>-1637</v>
      </c>
      <c r="F9" s="6" t="n">
        <v>-805</v>
      </c>
    </row>
    <row r="10">
      <c r="A10" s="6" t="inlineStr">
        <is>
          <t>Net (loss)/gain on loans and other financial assets at fair value through profit or loss</t>
        </is>
      </c>
      <c r="B10" s="6" t="n">
        <v>-1010</v>
      </c>
      <c r="C10" s="6" t="n">
        <v>-315</v>
      </c>
      <c r="D10" s="6" t="n">
        <v>-2495</v>
      </c>
      <c r="E10" s="6" t="n">
        <v>3276</v>
      </c>
      <c r="F10" s="6" t="n">
        <v>3175</v>
      </c>
    </row>
    <row r="11">
      <c r="A11" s="6" t="inlineStr">
        <is>
          <t>Net (loss)/gain arising from derecognition of financial assets at amortised cost</t>
        </is>
      </c>
      <c r="B11" s="6" t="n">
        <v>-769</v>
      </c>
      <c r="C11" s="6" t="n">
        <v>7275</v>
      </c>
      <c r="D11" s="6" t="n"/>
      <c r="E11" s="6" t="n"/>
      <c r="F11" s="6" t="n"/>
    </row>
    <row r="12">
      <c r="A12" s="6" t="inlineStr">
        <is>
          <t>Other income</t>
        </is>
      </c>
      <c r="B12" s="6" t="n">
        <v>2887</v>
      </c>
      <c r="C12" s="6" t="n">
        <v>3927</v>
      </c>
      <c r="D12" s="6" t="n">
        <v>5991</v>
      </c>
      <c r="E12" s="6" t="n">
        <v>6512</v>
      </c>
      <c r="F12" s="6" t="n">
        <v>9</v>
      </c>
    </row>
    <row r="13">
      <c r="A13" s="5" t="inlineStr">
        <is>
          <t>Operating income</t>
        </is>
      </c>
      <c r="B13" s="5" t="n">
        <v>170623</v>
      </c>
      <c r="C13" s="5" t="n">
        <v>157995</v>
      </c>
      <c r="D13" s="5" t="n">
        <v>134642</v>
      </c>
      <c r="E13" s="5" t="n">
        <v>108813</v>
      </c>
      <c r="F13" s="5" t="n">
        <v>73069</v>
      </c>
    </row>
    <row r="14">
      <c r="A14" s="6" t="inlineStr">
        <is>
          <t>Administrative expenses</t>
        </is>
      </c>
      <c r="B14" s="6" t="n">
        <v>-83039</v>
      </c>
      <c r="C14" s="6" t="n">
        <v>-75545</v>
      </c>
      <c r="D14" s="6" t="n">
        <v>-69237</v>
      </c>
      <c r="E14" s="6" t="n">
        <v>-56984</v>
      </c>
      <c r="F14" s="6" t="n">
        <v>-46313</v>
      </c>
    </row>
    <row r="15">
      <c r="A15" s="6" t="inlineStr">
        <is>
          <t>Impairment loss on investments in subsidiaries</t>
        </is>
      </c>
      <c r="B15" s="6" t="n">
        <v>-26500</v>
      </c>
      <c r="C15" s="6" t="n">
        <v>-11219</v>
      </c>
      <c r="D15" s="6" t="n"/>
      <c r="E15" s="6" t="n"/>
      <c r="F15" s="6" t="n"/>
    </row>
    <row r="16">
      <c r="A16" s="6" t="inlineStr">
        <is>
          <t>Impairment gains/(losses) on loans and advances to customers</t>
        </is>
      </c>
      <c r="B16" s="6" t="n">
        <v>-9063</v>
      </c>
      <c r="C16" s="6" t="n">
        <v>-9770</v>
      </c>
      <c r="D16" s="6" t="n">
        <v>-12498</v>
      </c>
      <c r="E16" s="6" t="n">
        <v>-7308</v>
      </c>
      <c r="F16" s="6" t="n">
        <v>590</v>
      </c>
    </row>
    <row r="17">
      <c r="A17" s="5" t="inlineStr">
        <is>
          <t>Profit before tax and dividends</t>
        </is>
      </c>
      <c r="B17" s="5" t="n">
        <v>52021</v>
      </c>
      <c r="C17" s="5" t="n">
        <v>61461</v>
      </c>
      <c r="D17" s="5" t="n">
        <v>52907</v>
      </c>
      <c r="E17" s="5" t="n">
        <v>44521</v>
      </c>
      <c r="F17" s="5" t="n">
        <v>27346</v>
      </c>
    </row>
    <row r="18">
      <c r="A18" s="6" t="inlineStr">
        <is>
          <t>Interim dividends received</t>
        </is>
      </c>
      <c r="B18" s="6" t="n">
        <v>26500</v>
      </c>
      <c r="C18" s="6" t="n">
        <v>11000</v>
      </c>
      <c r="D18" s="6" t="n">
        <v>27500</v>
      </c>
      <c r="E18" s="6" t="n">
        <v>20000</v>
      </c>
      <c r="F18" s="6" t="n"/>
    </row>
    <row r="19">
      <c r="A19" s="5" t="inlineStr">
        <is>
          <t>Profit before tax</t>
        </is>
      </c>
      <c r="B19" s="5" t="n">
        <v>78521</v>
      </c>
      <c r="C19" s="5" t="n">
        <v>72461</v>
      </c>
      <c r="D19" s="5" t="n">
        <v>80407</v>
      </c>
      <c r="E19" s="5" t="n">
        <v>64521</v>
      </c>
      <c r="F19" s="5" t="n">
        <v>27346</v>
      </c>
    </row>
    <row r="20">
      <c r="A20" s="6" t="inlineStr">
        <is>
          <t>Tax expense</t>
        </is>
      </c>
      <c r="B20" s="6" t="n">
        <v>-18405</v>
      </c>
      <c r="C20" s="6" t="n">
        <v>-19407</v>
      </c>
      <c r="D20" s="6" t="n">
        <v>-13134</v>
      </c>
      <c r="E20" s="6" t="n">
        <v>-10488</v>
      </c>
      <c r="F20" s="6" t="n">
        <v>-6784</v>
      </c>
    </row>
    <row r="21">
      <c r="A21" s="5" t="inlineStr">
        <is>
          <t>Profit after tax for the year</t>
        </is>
      </c>
      <c r="B21" s="5" t="n">
        <v>60116</v>
      </c>
      <c r="C21" s="5" t="n">
        <v>53054</v>
      </c>
      <c r="D21" s="5" t="n">
        <v>67273</v>
      </c>
      <c r="E21" s="5" t="n">
        <v>54033</v>
      </c>
      <c r="F21" s="5" t="n">
        <v>20562</v>
      </c>
    </row>
    <row r="22">
      <c r="A22" s="5" t="inlineStr">
        <is>
          <t>Other comprehensive income</t>
        </is>
      </c>
      <c r="B22" s="6" t="n"/>
      <c r="C22" s="6" t="n"/>
      <c r="D22" s="6" t="n"/>
      <c r="E22" s="6" t="n"/>
      <c r="F22" s="6" t="n"/>
    </row>
    <row r="23">
      <c r="A23" s="6" t="inlineStr">
        <is>
          <t>Cash flow hedges - effective portion of changes in fair value</t>
        </is>
      </c>
      <c r="B23" s="6" t="n">
        <v>-184</v>
      </c>
      <c r="C23" s="6" t="n">
        <v>-724</v>
      </c>
      <c r="D23" s="6" t="n">
        <v>-3394</v>
      </c>
      <c r="E23" s="6" t="n">
        <v>125</v>
      </c>
      <c r="F23" s="6" t="n"/>
    </row>
    <row r="24">
      <c r="A24" s="6" t="inlineStr">
        <is>
          <t>Cash flow hedges - recycled to profit or loss</t>
        </is>
      </c>
      <c r="B24" s="6" t="n">
        <v>676</v>
      </c>
      <c r="C24" s="6" t="n">
        <v>1149</v>
      </c>
      <c r="D24" s="6" t="n">
        <v>166</v>
      </c>
      <c r="E24" s="6" t="n">
        <v>4</v>
      </c>
      <c r="F24" s="6" t="n"/>
    </row>
    <row r="25">
      <c r="A25" s="5" t="inlineStr">
        <is>
          <t>Total comprehensive income for the year, net of tax</t>
        </is>
      </c>
      <c r="B25" s="5" t="n">
        <v>60608</v>
      </c>
      <c r="C25" s="5" t="n">
        <v>53479</v>
      </c>
      <c r="D25" s="5" t="n">
        <v>64045</v>
      </c>
      <c r="E25" s="5" t="n">
        <v>54162</v>
      </c>
      <c r="F25" s="5" t="n">
        <v>20562</v>
      </c>
    </row>
    <row r="27" ht="190" customHeight="1">
      <c r="A27"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predates any Group consolidation (first subsidiary acquired during FY2022) and predates HTB's use of cash-flow hedge accounting - no Cash flow hedge reserve, Investment in subsidiaries, or Other equity instruments (non-controlling interest) balance exists that year.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Net (loss)/gain arising from derecognition of financial assets at amortised cost and Impairment loss on investments in subsidiaries are only disclosed as separate lines from FY2024 onward - not applicable/nil in earlier years' own disclosures, left blank rather than assumed zero.</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predates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2021</t>
        </is>
      </c>
      <c r="B4" s="6" t="n">
        <v>126288</v>
      </c>
      <c r="C4" s="6" t="n">
        <v>196</v>
      </c>
      <c r="D4" s="6" t="n"/>
      <c r="E4" s="6" t="n">
        <v>27574</v>
      </c>
      <c r="F4" s="6" t="n">
        <v>154058</v>
      </c>
      <c r="G4" s="6" t="n"/>
      <c r="H4" s="6" t="n">
        <v>154058</v>
      </c>
    </row>
    <row r="5">
      <c r="A5" s="6" t="inlineStr">
        <is>
          <t>Profit for the year</t>
        </is>
      </c>
      <c r="B5" s="6" t="n"/>
      <c r="C5" s="6" t="n"/>
      <c r="D5" s="6" t="n"/>
      <c r="E5" s="6" t="n">
        <v>20562</v>
      </c>
      <c r="F5" s="6" t="n">
        <v>20562</v>
      </c>
      <c r="G5" s="6" t="n"/>
      <c r="H5" s="6" t="n">
        <v>20562</v>
      </c>
    </row>
    <row r="6">
      <c r="A6" s="6" t="inlineStr">
        <is>
          <t>Equity settled share-based payment</t>
        </is>
      </c>
      <c r="B6" s="6" t="n"/>
      <c r="C6" s="6" t="n"/>
      <c r="D6" s="6" t="n"/>
      <c r="E6" s="6" t="n">
        <v>676</v>
      </c>
      <c r="F6" s="6" t="n">
        <v>676</v>
      </c>
      <c r="G6" s="6" t="n"/>
      <c r="H6" s="6" t="n">
        <v>676</v>
      </c>
    </row>
    <row r="7">
      <c r="A7" s="6" t="inlineStr">
        <is>
          <t>Issue of share capital</t>
        </is>
      </c>
      <c r="B7" s="6" t="n">
        <v>13540</v>
      </c>
      <c r="C7" s="6" t="n"/>
      <c r="D7" s="6" t="n"/>
      <c r="E7" s="6" t="n"/>
      <c r="F7" s="6" t="n">
        <v>13540</v>
      </c>
      <c r="G7" s="6" t="n"/>
      <c r="H7" s="6" t="n">
        <v>13540</v>
      </c>
    </row>
    <row r="8">
      <c r="A8" s="5" t="inlineStr">
        <is>
          <t>Balance at 31 December 2021</t>
        </is>
      </c>
      <c r="B8" s="5" t="n">
        <v>139828</v>
      </c>
      <c r="C8" s="5" t="n">
        <v>196</v>
      </c>
      <c r="D8" s="5" t="n"/>
      <c r="E8" s="5" t="n">
        <v>48812</v>
      </c>
      <c r="F8" s="5" t="n">
        <v>188836</v>
      </c>
      <c r="G8" s="5" t="n"/>
      <c r="H8" s="5" t="n">
        <v>188836</v>
      </c>
    </row>
    <row r="9">
      <c r="A9" s="6" t="inlineStr">
        <is>
          <t>Balance at 1 January 2022</t>
        </is>
      </c>
      <c r="B9" s="6" t="n">
        <v>139828</v>
      </c>
      <c r="C9" s="6" t="n">
        <v>196</v>
      </c>
      <c r="D9" s="6" t="n"/>
      <c r="E9" s="6" t="n">
        <v>48812</v>
      </c>
      <c r="F9" s="6" t="n">
        <v>188836</v>
      </c>
      <c r="G9" s="6" t="n"/>
      <c r="H9" s="6" t="n">
        <v>188836</v>
      </c>
    </row>
    <row r="10">
      <c r="A10" s="6" t="inlineStr">
        <is>
          <t>Profit for the year</t>
        </is>
      </c>
      <c r="B10" s="6" t="n"/>
      <c r="C10" s="6" t="n"/>
      <c r="D10" s="6" t="n"/>
      <c r="E10" s="6" t="n">
        <v>54033</v>
      </c>
      <c r="F10" s="6" t="n">
        <v>54033</v>
      </c>
      <c r="G10" s="6" t="n"/>
      <c r="H10" s="6" t="n">
        <v>54033</v>
      </c>
    </row>
    <row r="11">
      <c r="A11" s="6" t="inlineStr">
        <is>
          <t>Cash flow hedges - effective portion of changes in fair value</t>
        </is>
      </c>
      <c r="B11" s="6" t="n"/>
      <c r="C11" s="6" t="n"/>
      <c r="D11" s="6" t="n">
        <v>125</v>
      </c>
      <c r="E11" s="6" t="n"/>
      <c r="F11" s="6" t="n">
        <v>125</v>
      </c>
      <c r="G11" s="6" t="n"/>
      <c r="H11" s="6" t="n">
        <v>125</v>
      </c>
    </row>
    <row r="12">
      <c r="A12" s="6" t="inlineStr">
        <is>
          <t>Cash-flow hedges - recycled to profit or loss</t>
        </is>
      </c>
      <c r="B12" s="6" t="n"/>
      <c r="C12" s="6" t="n"/>
      <c r="D12" s="6" t="n">
        <v>4</v>
      </c>
      <c r="E12" s="6" t="n"/>
      <c r="F12" s="6" t="n">
        <v>4</v>
      </c>
      <c r="G12" s="6" t="n"/>
      <c r="H12" s="6" t="n">
        <v>4</v>
      </c>
    </row>
    <row r="13">
      <c r="A13" s="6" t="inlineStr">
        <is>
          <t>Equity settled share-based payment</t>
        </is>
      </c>
      <c r="B13" s="6" t="n"/>
      <c r="C13" s="6" t="n"/>
      <c r="D13" s="6" t="n"/>
      <c r="E13" s="6" t="n">
        <v>240</v>
      </c>
      <c r="F13" s="6" t="n">
        <v>240</v>
      </c>
      <c r="G13" s="6" t="n"/>
      <c r="H13" s="6" t="n">
        <v>240</v>
      </c>
    </row>
    <row r="14">
      <c r="A14" s="6" t="inlineStr">
        <is>
          <t>Issue of other equity instruments</t>
        </is>
      </c>
      <c r="B14" s="6" t="n"/>
      <c r="C14" s="6" t="n"/>
      <c r="D14" s="6" t="n"/>
      <c r="E14" s="6" t="n"/>
      <c r="F14" s="6" t="n"/>
      <c r="G14" s="6" t="n">
        <v>17030</v>
      </c>
      <c r="H14" s="6" t="n">
        <v>17030</v>
      </c>
    </row>
    <row r="15">
      <c r="A15" s="6" t="inlineStr">
        <is>
          <t>Coupon paid on other equity instruments</t>
        </is>
      </c>
      <c r="B15" s="6" t="n"/>
      <c r="C15" s="6" t="n"/>
      <c r="D15" s="6" t="n"/>
      <c r="E15" s="6" t="n">
        <v>-1404</v>
      </c>
      <c r="F15" s="6" t="n">
        <v>-1404</v>
      </c>
      <c r="G15" s="6" t="n"/>
      <c r="H15" s="6" t="n">
        <v>-1404</v>
      </c>
    </row>
    <row r="16">
      <c r="A16" s="5" t="inlineStr">
        <is>
          <t>Balance at 31 December 2022</t>
        </is>
      </c>
      <c r="B16" s="5" t="n">
        <v>139828</v>
      </c>
      <c r="C16" s="5" t="n">
        <v>196</v>
      </c>
      <c r="D16" s="5" t="n">
        <v>129</v>
      </c>
      <c r="E16" s="5" t="n">
        <v>101681</v>
      </c>
      <c r="F16" s="5" t="n">
        <v>241834</v>
      </c>
      <c r="G16" s="5" t="n">
        <v>17030</v>
      </c>
      <c r="H16" s="5" t="n">
        <v>258864</v>
      </c>
    </row>
    <row r="17">
      <c r="A17" s="6" t="inlineStr">
        <is>
          <t>Balance at 1 January 2023</t>
        </is>
      </c>
      <c r="B17" s="6" t="n">
        <v>139828</v>
      </c>
      <c r="C17" s="6" t="n">
        <v>196</v>
      </c>
      <c r="D17" s="6" t="n">
        <v>129</v>
      </c>
      <c r="E17" s="6" t="n">
        <v>101681</v>
      </c>
      <c r="F17" s="6" t="n">
        <v>241834</v>
      </c>
      <c r="G17" s="6" t="n">
        <v>17030</v>
      </c>
      <c r="H17" s="6" t="n">
        <v>258864</v>
      </c>
    </row>
    <row r="18">
      <c r="A18" s="6" t="inlineStr">
        <is>
          <t>Profit for the year</t>
        </is>
      </c>
      <c r="B18" s="6" t="n"/>
      <c r="C18" s="6" t="n"/>
      <c r="D18" s="6" t="n"/>
      <c r="E18" s="6" t="n">
        <v>67273</v>
      </c>
      <c r="F18" s="6" t="n">
        <v>67273</v>
      </c>
      <c r="G18" s="6" t="n"/>
      <c r="H18" s="6" t="n">
        <v>67273</v>
      </c>
    </row>
    <row r="19">
      <c r="A19" s="6" t="inlineStr">
        <is>
          <t>Cash flow hedges - effective portion of changes in fair value</t>
        </is>
      </c>
      <c r="B19" s="6" t="n"/>
      <c r="C19" s="6" t="n"/>
      <c r="D19" s="6" t="n">
        <v>-3394</v>
      </c>
      <c r="E19" s="6" t="n"/>
      <c r="F19" s="6" t="n">
        <v>-3394</v>
      </c>
      <c r="G19" s="6" t="n"/>
      <c r="H19" s="6" t="n">
        <v>-3394</v>
      </c>
    </row>
    <row r="20">
      <c r="A20" s="6" t="inlineStr">
        <is>
          <t>Cash-flow hedges - recycled to profit or loss</t>
        </is>
      </c>
      <c r="B20" s="6" t="n"/>
      <c r="C20" s="6" t="n"/>
      <c r="D20" s="6" t="n">
        <v>166</v>
      </c>
      <c r="E20" s="6" t="n"/>
      <c r="F20" s="6" t="n">
        <v>166</v>
      </c>
      <c r="G20" s="6" t="n"/>
      <c r="H20" s="6" t="n">
        <v>166</v>
      </c>
    </row>
    <row r="21">
      <c r="A21" s="6" t="inlineStr">
        <is>
          <t>Equity settled share-based payment</t>
        </is>
      </c>
      <c r="B21" s="6" t="n"/>
      <c r="C21" s="6" t="n"/>
      <c r="D21" s="6" t="n"/>
      <c r="E21" s="6" t="n">
        <v>1399</v>
      </c>
      <c r="F21" s="6" t="n">
        <v>1399</v>
      </c>
      <c r="G21" s="6" t="n"/>
      <c r="H21" s="6" t="n">
        <v>1399</v>
      </c>
    </row>
    <row r="22">
      <c r="A22" s="6" t="inlineStr">
        <is>
          <t>Coupon paid on other equity instruments</t>
        </is>
      </c>
      <c r="B22" s="6" t="n"/>
      <c r="C22" s="6" t="n"/>
      <c r="D22" s="6" t="n"/>
      <c r="E22" s="6" t="n">
        <v>-1507</v>
      </c>
      <c r="F22" s="6" t="n">
        <v>-1507</v>
      </c>
      <c r="G22" s="6" t="n"/>
      <c r="H22" s="6" t="n">
        <v>-1507</v>
      </c>
    </row>
    <row r="23">
      <c r="A23" s="5" t="inlineStr">
        <is>
          <t>Balance at 31 December 2023</t>
        </is>
      </c>
      <c r="B23" s="5" t="n">
        <v>139828</v>
      </c>
      <c r="C23" s="5" t="n">
        <v>196</v>
      </c>
      <c r="D23" s="5" t="n">
        <v>-3099</v>
      </c>
      <c r="E23" s="5" t="n">
        <v>168846</v>
      </c>
      <c r="F23" s="5" t="n">
        <v>305771</v>
      </c>
      <c r="G23" s="5" t="n">
        <v>17030</v>
      </c>
      <c r="H23" s="5" t="n">
        <v>322801</v>
      </c>
    </row>
    <row r="24">
      <c r="A24" s="6" t="inlineStr">
        <is>
          <t>Balance at 1 January 2024</t>
        </is>
      </c>
      <c r="B24" s="6" t="n">
        <v>139828</v>
      </c>
      <c r="C24" s="6" t="n">
        <v>196</v>
      </c>
      <c r="D24" s="6" t="n">
        <v>-3099</v>
      </c>
      <c r="E24" s="6" t="n">
        <v>168846</v>
      </c>
      <c r="F24" s="6" t="n">
        <v>305771</v>
      </c>
      <c r="G24" s="6" t="n">
        <v>17030</v>
      </c>
      <c r="H24" s="6" t="n">
        <v>322801</v>
      </c>
    </row>
    <row r="25">
      <c r="A25" s="6" t="inlineStr">
        <is>
          <t>Profit for the year</t>
        </is>
      </c>
      <c r="B25" s="6" t="n"/>
      <c r="C25" s="6" t="n"/>
      <c r="D25" s="6" t="n"/>
      <c r="E25" s="6" t="n">
        <v>53054</v>
      </c>
      <c r="F25" s="6" t="n">
        <v>53054</v>
      </c>
      <c r="G25" s="6" t="n"/>
      <c r="H25" s="6" t="n">
        <v>53054</v>
      </c>
    </row>
    <row r="26">
      <c r="A26" s="6" t="inlineStr">
        <is>
          <t>Cash flow hedges - effective portion of changes in fair value</t>
        </is>
      </c>
      <c r="B26" s="6" t="n"/>
      <c r="C26" s="6" t="n"/>
      <c r="D26" s="6" t="n">
        <v>-724</v>
      </c>
      <c r="E26" s="6" t="n"/>
      <c r="F26" s="6" t="n">
        <v>-724</v>
      </c>
      <c r="G26" s="6" t="n"/>
      <c r="H26" s="6" t="n">
        <v>-724</v>
      </c>
    </row>
    <row r="27">
      <c r="A27" s="6" t="inlineStr">
        <is>
          <t>Cash-flow hedges - recycled to profit or loss</t>
        </is>
      </c>
      <c r="B27" s="6" t="n"/>
      <c r="C27" s="6" t="n"/>
      <c r="D27" s="6" t="n">
        <v>1149</v>
      </c>
      <c r="E27" s="6" t="n"/>
      <c r="F27" s="6" t="n">
        <v>1149</v>
      </c>
      <c r="G27" s="6" t="n"/>
      <c r="H27" s="6" t="n">
        <v>1149</v>
      </c>
    </row>
    <row r="28">
      <c r="A28" s="6" t="inlineStr">
        <is>
          <t>Equity settled share-based payment</t>
        </is>
      </c>
      <c r="B28" s="6" t="n"/>
      <c r="C28" s="6" t="n"/>
      <c r="D28" s="6" t="n"/>
      <c r="E28" s="6" t="n">
        <v>-204</v>
      </c>
      <c r="F28" s="6" t="n">
        <v>-204</v>
      </c>
      <c r="G28" s="6" t="n"/>
      <c r="H28" s="6" t="n">
        <v>-204</v>
      </c>
    </row>
    <row r="29">
      <c r="A29" s="6" t="inlineStr">
        <is>
          <t>Coupon paid on other equity instruments</t>
        </is>
      </c>
      <c r="B29" s="6" t="n"/>
      <c r="C29" s="6" t="n"/>
      <c r="D29" s="6" t="n"/>
      <c r="E29" s="6" t="n">
        <v>-1517</v>
      </c>
      <c r="F29" s="6" t="n">
        <v>-1517</v>
      </c>
      <c r="G29" s="6" t="n"/>
      <c r="H29" s="6" t="n">
        <v>-1517</v>
      </c>
    </row>
    <row r="30">
      <c r="A30" s="5" t="inlineStr">
        <is>
          <t>Balance at 31 December 2024</t>
        </is>
      </c>
      <c r="B30" s="5" t="n">
        <v>139828</v>
      </c>
      <c r="C30" s="5" t="n">
        <v>196</v>
      </c>
      <c r="D30" s="5" t="n">
        <v>-2674</v>
      </c>
      <c r="E30" s="5" t="n">
        <v>220179</v>
      </c>
      <c r="F30" s="5" t="n">
        <v>357529</v>
      </c>
      <c r="G30" s="5" t="n">
        <v>17030</v>
      </c>
      <c r="H30" s="5" t="n">
        <v>374559</v>
      </c>
    </row>
    <row r="31">
      <c r="A31" s="6" t="inlineStr">
        <is>
          <t>Balance at 1 January 2025</t>
        </is>
      </c>
      <c r="B31" s="6" t="n">
        <v>139828</v>
      </c>
      <c r="C31" s="6" t="n">
        <v>196</v>
      </c>
      <c r="D31" s="6" t="n">
        <v>-2674</v>
      </c>
      <c r="E31" s="6" t="n">
        <v>220179</v>
      </c>
      <c r="F31" s="6" t="n">
        <v>357529</v>
      </c>
      <c r="G31" s="6" t="n">
        <v>17030</v>
      </c>
      <c r="H31" s="6" t="n">
        <v>374559</v>
      </c>
    </row>
    <row r="32">
      <c r="A32" s="6" t="inlineStr">
        <is>
          <t>Profit for the year</t>
        </is>
      </c>
      <c r="B32" s="6" t="n"/>
      <c r="C32" s="6" t="n"/>
      <c r="D32" s="6" t="n"/>
      <c r="E32" s="6" t="n">
        <v>60116</v>
      </c>
      <c r="F32" s="6" t="n">
        <v>60116</v>
      </c>
      <c r="G32" s="6" t="n"/>
      <c r="H32" s="6" t="n">
        <v>60116</v>
      </c>
    </row>
    <row r="33">
      <c r="A33" s="6" t="inlineStr">
        <is>
          <t>Cash flow hedges - effective portion of changes in fair value</t>
        </is>
      </c>
      <c r="B33" s="6" t="n"/>
      <c r="C33" s="6" t="n"/>
      <c r="D33" s="6" t="n">
        <v>-184</v>
      </c>
      <c r="E33" s="6" t="n"/>
      <c r="F33" s="6" t="n">
        <v>-184</v>
      </c>
      <c r="G33" s="6" t="n"/>
      <c r="H33" s="6" t="n">
        <v>-184</v>
      </c>
    </row>
    <row r="34">
      <c r="A34" s="6" t="inlineStr">
        <is>
          <t>Cash-flow hedges - recycled to profit or loss</t>
        </is>
      </c>
      <c r="B34" s="6" t="n"/>
      <c r="C34" s="6" t="n"/>
      <c r="D34" s="6" t="n">
        <v>676</v>
      </c>
      <c r="E34" s="6" t="n"/>
      <c r="F34" s="6" t="n">
        <v>676</v>
      </c>
      <c r="G34" s="6" t="n"/>
      <c r="H34" s="6" t="n">
        <v>676</v>
      </c>
    </row>
    <row r="35">
      <c r="A35" s="6" t="inlineStr">
        <is>
          <t>Equity settled share-based payment</t>
        </is>
      </c>
      <c r="B35" s="6" t="n"/>
      <c r="C35" s="6" t="n"/>
      <c r="D35" s="6" t="n"/>
      <c r="E35" s="6" t="n">
        <v>718</v>
      </c>
      <c r="F35" s="6" t="n">
        <v>718</v>
      </c>
      <c r="G35" s="6" t="n"/>
      <c r="H35" s="6" t="n">
        <v>718</v>
      </c>
    </row>
    <row r="36">
      <c r="A36" s="6" t="inlineStr">
        <is>
          <t>Coupon paid on other equity instruments</t>
        </is>
      </c>
      <c r="B36" s="6" t="n"/>
      <c r="C36" s="6" t="n"/>
      <c r="D36" s="6" t="n"/>
      <c r="E36" s="6" t="n">
        <v>-1518</v>
      </c>
      <c r="F36" s="6" t="n">
        <v>-1518</v>
      </c>
      <c r="G36" s="6" t="n"/>
      <c r="H36" s="6" t="n">
        <v>-1518</v>
      </c>
    </row>
    <row r="37">
      <c r="A37" s="5" t="inlineStr">
        <is>
          <t>Balance at 31 December 2025</t>
        </is>
      </c>
      <c r="B37" s="5" t="n">
        <v>139828</v>
      </c>
      <c r="C37" s="5" t="n">
        <v>196</v>
      </c>
      <c r="D37" s="5" t="n">
        <v>-2182</v>
      </c>
      <c r="E37" s="5" t="n">
        <v>279495</v>
      </c>
      <c r="F37" s="5" t="n">
        <v>417337</v>
      </c>
      <c r="G37" s="5" t="n">
        <v>17030</v>
      </c>
      <c r="H37" s="5" t="n">
        <v>434367</v>
      </c>
    </row>
    <row r="39" ht="210" customHeight="1">
      <c r="A39"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predates any Group consolidation (first subsidiary acquired during FY2022) and predates HTB's use of cash-flow hedge accounting - no Cash flow hedge reserve, Investment in subsidiaries, or Other equity instruments (non-controlling interest) balance exists that year.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Built using the per-year reconciliation ladder: every year's closing balance ties exactly to both the next year's own opening balance and that year's own Balance Sheet Total equity - zero plug rows needed anywhere in this roll-forward.</t>
        </is>
      </c>
    </row>
  </sheetData>
  <mergeCells count="1">
    <mergeCell ref="A39:H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Hampshire Trust Bank Plc — Bank Statement of Cash Flows</t>
        </is>
      </c>
    </row>
    <row r="2">
      <c r="A2" s="2" t="inlineStr">
        <is>
          <t>Bank (parent-entity) column; FY2021 predates Group consolidation and uses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 for the year</t>
        </is>
      </c>
      <c r="B5" s="6" t="n">
        <v>78521</v>
      </c>
      <c r="C5" s="6" t="n">
        <v>72461</v>
      </c>
      <c r="D5" s="6" t="n">
        <v>80407</v>
      </c>
      <c r="E5" s="6" t="n">
        <v>64521</v>
      </c>
      <c r="F5" s="6" t="n">
        <v>27346</v>
      </c>
    </row>
    <row r="6">
      <c r="A6" s="6" t="inlineStr">
        <is>
          <t>Depreciation and amortisation</t>
        </is>
      </c>
      <c r="B6" s="6" t="n">
        <v>6963</v>
      </c>
      <c r="C6" s="6" t="n">
        <v>5800</v>
      </c>
      <c r="D6" s="6" t="n">
        <v>4936</v>
      </c>
      <c r="E6" s="6" t="n">
        <v>4411</v>
      </c>
      <c r="F6" s="6" t="n">
        <v>3936</v>
      </c>
    </row>
    <row r="7">
      <c r="A7" s="6" t="inlineStr">
        <is>
          <t>Loss on disposal of fixed assets</t>
        </is>
      </c>
      <c r="B7" s="6" t="n"/>
      <c r="C7" s="6" t="n"/>
      <c r="D7" s="6" t="n">
        <v>503</v>
      </c>
      <c r="E7" s="6" t="n"/>
      <c r="F7" s="6" t="n"/>
    </row>
    <row r="8">
      <c r="A8" s="6" t="inlineStr">
        <is>
          <t>Impairment loss on investment in subsidiaries</t>
        </is>
      </c>
      <c r="B8" s="6" t="n">
        <v>26500</v>
      </c>
      <c r="C8" s="6" t="n">
        <v>11219</v>
      </c>
      <c r="D8" s="6" t="n"/>
      <c r="E8" s="6" t="n"/>
      <c r="F8" s="6" t="n"/>
    </row>
    <row r="9">
      <c r="A9" s="6" t="inlineStr">
        <is>
          <t>Foreign exchange gains/(losses)</t>
        </is>
      </c>
      <c r="B9" s="6" t="n">
        <v>-29</v>
      </c>
      <c r="C9" s="6" t="n"/>
      <c r="D9" s="6" t="n"/>
      <c r="E9" s="6" t="n">
        <v>-2</v>
      </c>
      <c r="F9" s="6" t="n">
        <v>9</v>
      </c>
    </row>
    <row r="10">
      <c r="A10" s="6" t="inlineStr">
        <is>
          <t>Gain on securitisation</t>
        </is>
      </c>
      <c r="B10" s="6" t="n"/>
      <c r="C10" s="6" t="n">
        <v>-10414</v>
      </c>
      <c r="D10" s="6" t="n"/>
      <c r="E10" s="6" t="n"/>
      <c r="F10" s="6" t="n"/>
    </row>
    <row r="11">
      <c r="A11" s="6" t="inlineStr">
        <is>
          <t>Increase in impairment of loans and advances</t>
        </is>
      </c>
      <c r="B11" s="6" t="n">
        <v>10147</v>
      </c>
      <c r="C11" s="6" t="n">
        <v>8939</v>
      </c>
      <c r="D11" s="6" t="n">
        <v>7183</v>
      </c>
      <c r="E11" s="6" t="n">
        <v>11995</v>
      </c>
      <c r="F11" s="6" t="n">
        <v>6362</v>
      </c>
    </row>
    <row r="12">
      <c r="A12" s="6" t="inlineStr">
        <is>
          <t>Increase/(decrease) in provisions</t>
        </is>
      </c>
      <c r="B12" s="6" t="n">
        <v>1831</v>
      </c>
      <c r="C12" s="6" t="n">
        <v>1364</v>
      </c>
      <c r="D12" s="6" t="n">
        <v>6036</v>
      </c>
      <c r="E12" s="6" t="n">
        <v>3215</v>
      </c>
      <c r="F12" s="6" t="n">
        <v>-4206</v>
      </c>
    </row>
    <row r="13">
      <c r="A13" s="6" t="inlineStr">
        <is>
          <t>Equity-settled share-based payment transactions</t>
        </is>
      </c>
      <c r="B13" s="6" t="n">
        <v>718</v>
      </c>
      <c r="C13" s="6" t="n">
        <v>-204</v>
      </c>
      <c r="D13" s="6" t="n">
        <v>1399</v>
      </c>
      <c r="E13" s="6" t="n">
        <v>240</v>
      </c>
      <c r="F13" s="6" t="n">
        <v>676</v>
      </c>
    </row>
    <row r="14">
      <c r="A14" s="6" t="inlineStr">
        <is>
          <t>Bond premium/discount amortisation</t>
        </is>
      </c>
      <c r="B14" s="6" t="n">
        <v>157</v>
      </c>
      <c r="C14" s="6" t="n">
        <v>-1943</v>
      </c>
      <c r="D14" s="6" t="n">
        <v>-4943</v>
      </c>
      <c r="E14" s="6" t="n">
        <v>-335</v>
      </c>
      <c r="F14" s="6" t="n">
        <v>1275</v>
      </c>
    </row>
    <row r="15">
      <c r="A15" s="6" t="inlineStr">
        <is>
          <t>Decrease/(increase) in fair value of derivative assets</t>
        </is>
      </c>
      <c r="B15" s="6" t="n">
        <v>30481</v>
      </c>
      <c r="C15" s="6" t="n">
        <v>18609</v>
      </c>
      <c r="D15" s="6" t="n">
        <v>41007</v>
      </c>
      <c r="E15" s="6" t="n">
        <v>-76695</v>
      </c>
      <c r="F15" s="6" t="n">
        <v>-28408</v>
      </c>
    </row>
    <row r="16">
      <c r="A16" s="6" t="inlineStr">
        <is>
          <t>Increase/(decrease) in fair value of loans and advances designated as hedged items</t>
        </is>
      </c>
      <c r="B16" s="6" t="n">
        <v>-32163</v>
      </c>
      <c r="C16" s="6" t="n">
        <v>-19784</v>
      </c>
      <c r="D16" s="6" t="n">
        <v>-39698</v>
      </c>
      <c r="E16" s="6" t="n">
        <v>73530</v>
      </c>
      <c r="F16" s="6" t="n">
        <v>25595</v>
      </c>
    </row>
    <row r="17">
      <c r="A17" s="6" t="inlineStr">
        <is>
          <t>Decrease/(increase) in fair value of loans and advances held at FVTPL</t>
        </is>
      </c>
      <c r="B17" s="6" t="n">
        <v>188</v>
      </c>
      <c r="C17" s="6" t="n">
        <v>-53</v>
      </c>
      <c r="D17" s="6" t="n">
        <v>1436</v>
      </c>
      <c r="E17" s="6" t="n">
        <v>-6981</v>
      </c>
      <c r="F17" s="6" t="n">
        <v>-749</v>
      </c>
    </row>
    <row r="18">
      <c r="A18" s="6" t="inlineStr">
        <is>
          <t>Repayment of the interest accrued on lease liabilities</t>
        </is>
      </c>
      <c r="B18" s="6" t="n">
        <v>228</v>
      </c>
      <c r="C18" s="6" t="n">
        <v>258</v>
      </c>
      <c r="D18" s="6" t="n">
        <v>142</v>
      </c>
      <c r="E18" s="6" t="n">
        <v>70</v>
      </c>
      <c r="F18" s="6" t="n">
        <v>-129</v>
      </c>
    </row>
    <row r="19">
      <c r="A19" s="6" t="inlineStr">
        <is>
          <t>Dividends received</t>
        </is>
      </c>
      <c r="B19" s="6" t="n">
        <v>-26500</v>
      </c>
      <c r="C19" s="6" t="n">
        <v>-11000</v>
      </c>
      <c r="D19" s="6" t="n">
        <v>-27500</v>
      </c>
      <c r="E19" s="6" t="n">
        <v>-20000</v>
      </c>
      <c r="F19" s="6" t="n"/>
    </row>
    <row r="20">
      <c r="A20" s="6" t="inlineStr">
        <is>
          <t>Other acquisition costs recognised through equity</t>
        </is>
      </c>
      <c r="B20" s="6" t="n"/>
      <c r="C20" s="6" t="n"/>
      <c r="D20" s="6" t="n"/>
      <c r="E20" s="6" t="n">
        <v>-392</v>
      </c>
      <c r="F20" s="6" t="n"/>
    </row>
    <row r="21">
      <c r="A21" s="6" t="inlineStr">
        <is>
          <t>Corporation tax paid</t>
        </is>
      </c>
      <c r="B21" s="6" t="n">
        <v>-21655</v>
      </c>
      <c r="C21" s="6" t="n">
        <v>-18086</v>
      </c>
      <c r="D21" s="6" t="n">
        <v>-15835</v>
      </c>
      <c r="E21" s="6" t="n">
        <v>-14257</v>
      </c>
      <c r="F21" s="6" t="n">
        <v>-3709</v>
      </c>
    </row>
    <row r="22">
      <c r="A22" s="6" t="inlineStr">
        <is>
          <t>Corporation tax received</t>
        </is>
      </c>
      <c r="B22" s="6" t="n">
        <v>1166</v>
      </c>
      <c r="C22" s="6" t="n"/>
      <c r="D22" s="6" t="n"/>
      <c r="E22" s="6" t="n"/>
      <c r="F22" s="6" t="n"/>
    </row>
    <row r="23">
      <c r="A23" s="6" t="inlineStr">
        <is>
          <t>(Increase) in loans and advances to customers</t>
        </is>
      </c>
      <c r="B23" s="6" t="n">
        <v>-1121847</v>
      </c>
      <c r="C23" s="6" t="n">
        <v>-717726</v>
      </c>
      <c r="D23" s="6" t="n">
        <v>-675670</v>
      </c>
      <c r="E23" s="6" t="n">
        <v>-625569</v>
      </c>
      <c r="F23" s="6" t="n">
        <v>-419379</v>
      </c>
    </row>
    <row r="24">
      <c r="A24" s="6" t="inlineStr">
        <is>
          <t>(Increase)/decrease in other assets</t>
        </is>
      </c>
      <c r="B24" s="6" t="n">
        <v>61605</v>
      </c>
      <c r="C24" s="6" t="n">
        <v>6841</v>
      </c>
      <c r="D24" s="6" t="n">
        <v>-169564</v>
      </c>
      <c r="E24" s="6" t="n">
        <v>-94775</v>
      </c>
      <c r="F24" s="6" t="n">
        <v>-508</v>
      </c>
    </row>
    <row r="25">
      <c r="A25" s="6" t="inlineStr">
        <is>
          <t>(Decrease)/increase in central bank facilities</t>
        </is>
      </c>
      <c r="B25" s="6" t="n">
        <v>-5000</v>
      </c>
      <c r="C25" s="6" t="n">
        <v>-5000</v>
      </c>
      <c r="D25" s="6" t="n">
        <v>5000</v>
      </c>
      <c r="E25" s="6" t="n"/>
      <c r="F25" s="6" t="n">
        <v>115000</v>
      </c>
    </row>
    <row r="26">
      <c r="A26" s="6" t="inlineStr">
        <is>
          <t>(Increase)/decrease in collateral held with banks</t>
        </is>
      </c>
      <c r="B26" s="6" t="n">
        <v>-30078</v>
      </c>
      <c r="C26" s="6" t="n">
        <v>-25256</v>
      </c>
      <c r="D26" s="6" t="n">
        <v>-33646</v>
      </c>
      <c r="E26" s="6" t="n">
        <v>73421</v>
      </c>
      <c r="F26" s="6" t="n">
        <v>27594</v>
      </c>
    </row>
    <row r="27">
      <c r="A27" s="6" t="inlineStr">
        <is>
          <t>Increase in customer deposits</t>
        </is>
      </c>
      <c r="B27" s="6" t="n">
        <v>702733</v>
      </c>
      <c r="C27" s="6" t="n">
        <v>1324101</v>
      </c>
      <c r="D27" s="6" t="n">
        <v>765355</v>
      </c>
      <c r="E27" s="6" t="n">
        <v>798748</v>
      </c>
      <c r="F27" s="6" t="n">
        <v>512682</v>
      </c>
    </row>
    <row r="28">
      <c r="A28" s="6" t="inlineStr">
        <is>
          <t>Increase/(decrease) in subordinated and other liabilities</t>
        </is>
      </c>
      <c r="B28" s="6" t="n">
        <v>-12373</v>
      </c>
      <c r="C28" s="6" t="n">
        <v>-20701</v>
      </c>
      <c r="D28" s="6" t="n">
        <v>6564</v>
      </c>
      <c r="E28" s="6" t="n">
        <v>68205</v>
      </c>
      <c r="F28" s="6" t="n">
        <v>3637</v>
      </c>
    </row>
    <row r="29">
      <c r="A29" s="5" t="inlineStr">
        <is>
          <t>Net cash from/(used in) operating activities</t>
        </is>
      </c>
      <c r="B29" s="5" t="n">
        <v>-328407</v>
      </c>
      <c r="C29" s="5" t="n">
        <v>619425</v>
      </c>
      <c r="D29" s="5" t="n">
        <v>-46888</v>
      </c>
      <c r="E29" s="5" t="n">
        <v>259350</v>
      </c>
      <c r="F29" s="5" t="n">
        <v>267024</v>
      </c>
    </row>
    <row r="30">
      <c r="A30" s="5" t="inlineStr">
        <is>
          <t>Investing activities</t>
        </is>
      </c>
      <c r="B30" s="6" t="n"/>
      <c r="C30" s="6" t="n"/>
      <c r="D30" s="6" t="n"/>
      <c r="E30" s="6" t="n"/>
      <c r="F30" s="6" t="n"/>
    </row>
    <row r="31">
      <c r="A31" s="6" t="inlineStr">
        <is>
          <t>Acquisition of subsidiary, net of cash acquired</t>
        </is>
      </c>
      <c r="B31" s="6" t="n"/>
      <c r="C31" s="6" t="n"/>
      <c r="D31" s="6" t="n"/>
      <c r="E31" s="6" t="n">
        <v>-32000</v>
      </c>
      <c r="F31" s="6" t="n"/>
    </row>
    <row r="32">
      <c r="A32" s="6" t="inlineStr">
        <is>
          <t>Dividends received from subsidiary undertakings</t>
        </is>
      </c>
      <c r="B32" s="6" t="n">
        <v>26500</v>
      </c>
      <c r="C32" s="6" t="n">
        <v>11000</v>
      </c>
      <c r="D32" s="6" t="n">
        <v>27500</v>
      </c>
      <c r="E32" s="6" t="n">
        <v>20000</v>
      </c>
      <c r="F32" s="6" t="n"/>
    </row>
    <row r="33">
      <c r="A33" s="6" t="inlineStr">
        <is>
          <t>Purchase of property, plant and equipment</t>
        </is>
      </c>
      <c r="B33" s="6" t="n">
        <v>-300</v>
      </c>
      <c r="C33" s="6" t="n">
        <v>-298</v>
      </c>
      <c r="D33" s="6" t="n">
        <v>-4742</v>
      </c>
      <c r="E33" s="6" t="n">
        <v>-543</v>
      </c>
      <c r="F33" s="6" t="n">
        <v>-231</v>
      </c>
    </row>
    <row r="34">
      <c r="A34" s="6" t="inlineStr">
        <is>
          <t>Disposal of property, plant and equipment</t>
        </is>
      </c>
      <c r="B34" s="6" t="n"/>
      <c r="C34" s="6" t="n">
        <v>51</v>
      </c>
      <c r="D34" s="6" t="n"/>
      <c r="E34" s="6" t="n"/>
      <c r="F34" s="6" t="n"/>
    </row>
    <row r="35">
      <c r="A35" s="6" t="inlineStr">
        <is>
          <t>Purchase of intangible assets</t>
        </is>
      </c>
      <c r="B35" s="6" t="n">
        <v>-4612</v>
      </c>
      <c r="C35" s="6" t="n">
        <v>-6814</v>
      </c>
      <c r="D35" s="6" t="n">
        <v>-5424</v>
      </c>
      <c r="E35" s="6" t="n">
        <v>-4777</v>
      </c>
      <c r="F35" s="6" t="n">
        <v>-3355</v>
      </c>
    </row>
    <row r="36">
      <c r="A36" s="6" t="inlineStr">
        <is>
          <t>Disposal of intangible assets</t>
        </is>
      </c>
      <c r="B36" s="6" t="n">
        <v>477</v>
      </c>
      <c r="C36" s="6" t="n">
        <v>67</v>
      </c>
      <c r="D36" s="6" t="n"/>
      <c r="E36" s="6" t="n"/>
      <c r="F36" s="6" t="n"/>
    </row>
    <row r="37">
      <c r="A37" s="6" t="inlineStr">
        <is>
          <t>Purchase of right of use asset</t>
        </is>
      </c>
      <c r="B37" s="6" t="n"/>
      <c r="C37" s="6" t="n"/>
      <c r="D37" s="6" t="n">
        <v>-3982</v>
      </c>
      <c r="E37" s="6" t="n"/>
      <c r="F37" s="6" t="n"/>
    </row>
    <row r="38">
      <c r="A38" s="6" t="inlineStr">
        <is>
          <t>Disposal of right of use asset</t>
        </is>
      </c>
      <c r="B38" s="6" t="n"/>
      <c r="C38" s="6" t="n">
        <v>-113</v>
      </c>
      <c r="D38" s="6" t="n"/>
      <c r="E38" s="6" t="n"/>
      <c r="F38" s="6" t="n"/>
    </row>
    <row r="39">
      <c r="A39" s="6" t="inlineStr">
        <is>
          <t>Purchase of investment securities</t>
        </is>
      </c>
      <c r="B39" s="6" t="n">
        <v>-500773</v>
      </c>
      <c r="C39" s="6" t="n">
        <v>-135668</v>
      </c>
      <c r="D39" s="6" t="n">
        <v>-415054</v>
      </c>
      <c r="E39" s="6" t="n">
        <v>-424657</v>
      </c>
      <c r="F39" s="6" t="n">
        <v>-178144</v>
      </c>
    </row>
    <row r="40">
      <c r="A40" s="6" t="inlineStr">
        <is>
          <t>Settlement/sale of investment securities</t>
        </is>
      </c>
      <c r="B40" s="6" t="n">
        <v>28148</v>
      </c>
      <c r="C40" s="6" t="n">
        <v>162520</v>
      </c>
      <c r="D40" s="6" t="n">
        <v>439744</v>
      </c>
      <c r="E40" s="6" t="n">
        <v>402000</v>
      </c>
      <c r="F40" s="6" t="n"/>
    </row>
    <row r="41">
      <c r="A41" s="5" t="inlineStr">
        <is>
          <t>Net cash from/(used in) investing activities</t>
        </is>
      </c>
      <c r="B41" s="5" t="n">
        <v>-450560</v>
      </c>
      <c r="C41" s="5" t="n">
        <v>30745</v>
      </c>
      <c r="D41" s="5" t="n">
        <v>38042</v>
      </c>
      <c r="E41" s="5" t="n">
        <v>-39977</v>
      </c>
      <c r="F41" s="5" t="n">
        <v>-181730</v>
      </c>
    </row>
    <row r="42">
      <c r="A42" s="5" t="inlineStr">
        <is>
          <t>Financing activities</t>
        </is>
      </c>
      <c r="B42" s="6" t="n"/>
      <c r="C42" s="6" t="n"/>
      <c r="D42" s="6" t="n"/>
      <c r="E42" s="6" t="n"/>
      <c r="F42" s="6" t="n"/>
    </row>
    <row r="43">
      <c r="A43" s="6" t="inlineStr">
        <is>
          <t>Repayments of the principal portion of finance lease liabilities</t>
        </is>
      </c>
      <c r="B43" s="6" t="n">
        <v>-737</v>
      </c>
      <c r="C43" s="6" t="n">
        <v>-710</v>
      </c>
      <c r="D43" s="6" t="n">
        <v>-797</v>
      </c>
      <c r="E43" s="6" t="n">
        <v>-1318</v>
      </c>
      <c r="F43" s="6" t="n">
        <v>-1183</v>
      </c>
    </row>
    <row r="44">
      <c r="A44" s="6" t="inlineStr">
        <is>
          <t>Inception of finance lease liability</t>
        </is>
      </c>
      <c r="B44" s="6" t="n"/>
      <c r="C44" s="6" t="n"/>
      <c r="D44" s="6" t="n">
        <v>3982</v>
      </c>
      <c r="E44" s="6" t="n"/>
      <c r="F44" s="6" t="n"/>
    </row>
    <row r="45">
      <c r="A45" s="6" t="inlineStr">
        <is>
          <t>Coupon paid to other equity instrument holders</t>
        </is>
      </c>
      <c r="B45" s="6" t="n">
        <v>-1518</v>
      </c>
      <c r="C45" s="6" t="n">
        <v>-1517</v>
      </c>
      <c r="D45" s="6" t="n">
        <v>-1507</v>
      </c>
      <c r="E45" s="6" t="n">
        <v>-1404</v>
      </c>
      <c r="F45" s="6" t="n"/>
    </row>
    <row r="46">
      <c r="A46" s="6" t="inlineStr">
        <is>
          <t>Proceeds from the issuance of subordinated debt</t>
        </is>
      </c>
      <c r="B46" s="6" t="n">
        <v>55000</v>
      </c>
      <c r="C46" s="6" t="n"/>
      <c r="D46" s="6" t="n">
        <v>25000</v>
      </c>
      <c r="E46" s="6" t="n"/>
      <c r="F46" s="6" t="n"/>
    </row>
    <row r="47">
      <c r="A47" s="6" t="inlineStr">
        <is>
          <t>Repayment of subordinated debt</t>
        </is>
      </c>
      <c r="B47" s="6" t="n">
        <v>-30000</v>
      </c>
      <c r="C47" s="6" t="n"/>
      <c r="D47" s="6" t="n"/>
      <c r="E47" s="6" t="n"/>
      <c r="F47" s="6" t="n"/>
    </row>
    <row r="48">
      <c r="A48" s="6" t="inlineStr">
        <is>
          <t>Proceeds from securitisation</t>
        </is>
      </c>
      <c r="B48" s="6" t="n"/>
      <c r="C48" s="6" t="n">
        <v>310558</v>
      </c>
      <c r="D48" s="6" t="n"/>
      <c r="E48" s="6" t="n"/>
      <c r="F48" s="6" t="n"/>
    </row>
    <row r="49">
      <c r="A49" s="6" t="inlineStr">
        <is>
          <t>Proceeds from the issue of share capital</t>
        </is>
      </c>
      <c r="B49" s="6" t="n"/>
      <c r="C49" s="6" t="n"/>
      <c r="D49" s="6" t="n"/>
      <c r="E49" s="6" t="n"/>
      <c r="F49" s="6" t="n">
        <v>13540</v>
      </c>
    </row>
    <row r="50">
      <c r="A50" s="5" t="inlineStr">
        <is>
          <t>Net cash from/(used in) financing activities</t>
        </is>
      </c>
      <c r="B50" s="5" t="n">
        <v>22745</v>
      </c>
      <c r="C50" s="5" t="n">
        <v>308331</v>
      </c>
      <c r="D50" s="5" t="n">
        <v>26678</v>
      </c>
      <c r="E50" s="5" t="n">
        <v>-2722</v>
      </c>
      <c r="F50" s="5" t="n">
        <v>12357</v>
      </c>
    </row>
    <row r="51">
      <c r="A51" s="5" t="inlineStr">
        <is>
          <t>Net (decrease)/increase in cash and cash equivalents</t>
        </is>
      </c>
      <c r="B51" s="5" t="n">
        <v>-756222</v>
      </c>
      <c r="C51" s="5" t="n">
        <v>958501</v>
      </c>
      <c r="D51" s="5" t="n">
        <v>17832</v>
      </c>
      <c r="E51" s="5" t="n">
        <v>216651</v>
      </c>
      <c r="F51" s="5" t="n">
        <v>97651</v>
      </c>
    </row>
    <row r="52">
      <c r="A52" s="6" t="inlineStr">
        <is>
          <t>Cash and cash equivalents at the beginning of the year</t>
        </is>
      </c>
      <c r="B52" s="6" t="n">
        <v>1435307</v>
      </c>
      <c r="C52" s="6" t="n">
        <v>476806</v>
      </c>
      <c r="D52" s="6" t="n">
        <v>458974</v>
      </c>
      <c r="E52" s="6" t="n">
        <v>242323</v>
      </c>
      <c r="F52" s="6" t="n">
        <v>144672</v>
      </c>
    </row>
    <row r="53">
      <c r="A53" s="5" t="inlineStr">
        <is>
          <t>Cash and cash equivalents at the end of the year</t>
        </is>
      </c>
      <c r="B53" s="5" t="n">
        <v>679085</v>
      </c>
      <c r="C53" s="5" t="n">
        <v>1435307</v>
      </c>
      <c r="D53" s="5" t="n">
        <v>476806</v>
      </c>
      <c r="E53" s="5" t="n">
        <v>458974</v>
      </c>
      <c r="F53" s="5" t="n">
        <v>242323</v>
      </c>
    </row>
    <row r="55" ht="170" customHeight="1">
      <c r="A55"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t>
        </is>
      </c>
    </row>
  </sheetData>
  <mergeCells count="1">
    <mergeCell ref="A55:F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Hampshire Trust Bank Plc — Asset Quality</t>
        </is>
      </c>
    </row>
    <row r="2">
      <c r="A2" s="2" t="inlineStr">
        <is>
          <t>Bank basis, Note 30's financial-assets-at-amortised-cost scope - see source note for the resulting Balance Sheet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 (Bank basis)</t>
        </is>
      </c>
      <c r="B4" s="6" t="n"/>
      <c r="C4" s="6" t="n"/>
      <c r="D4" s="6" t="n"/>
      <c r="E4" s="6" t="n"/>
      <c r="F4" s="6" t="n"/>
    </row>
    <row r="5">
      <c r="A5" s="6" t="inlineStr">
        <is>
          <t>Stage 1 (12-month ECL)</t>
        </is>
      </c>
      <c r="B5" s="6" t="n">
        <v>3911362</v>
      </c>
      <c r="C5" s="6" t="n">
        <v>2958747</v>
      </c>
      <c r="D5" s="6" t="n">
        <v>2512679</v>
      </c>
      <c r="E5" s="6" t="n">
        <v>1896973</v>
      </c>
      <c r="F5" s="6" t="n">
        <v>1565803</v>
      </c>
    </row>
    <row r="6">
      <c r="A6" s="6" t="inlineStr">
        <is>
          <t>Stage 2 (lifetime ECL, not credit-impaired)</t>
        </is>
      </c>
      <c r="B6" s="6" t="n">
        <v>471501</v>
      </c>
      <c r="C6" s="6" t="n">
        <v>388068</v>
      </c>
      <c r="D6" s="6" t="n">
        <v>443933</v>
      </c>
      <c r="E6" s="6" t="n">
        <v>407977</v>
      </c>
      <c r="F6" s="6" t="n">
        <v>127790</v>
      </c>
    </row>
    <row r="7">
      <c r="A7" s="6" t="inlineStr">
        <is>
          <t>Stage 3 (credit-impaired)</t>
        </is>
      </c>
      <c r="B7" s="6" t="n">
        <v>167492</v>
      </c>
      <c r="C7" s="6" t="n">
        <v>91739</v>
      </c>
      <c r="D7" s="6" t="n">
        <v>70199</v>
      </c>
      <c r="E7" s="6" t="n">
        <v>53821</v>
      </c>
      <c r="F7" s="6" t="n">
        <v>38893</v>
      </c>
    </row>
    <row r="8">
      <c r="A8" s="5" t="inlineStr">
        <is>
          <t>Total gross carrying value</t>
        </is>
      </c>
      <c r="B8" s="5" t="n">
        <v>4550355</v>
      </c>
      <c r="C8" s="5" t="n">
        <v>3438552</v>
      </c>
      <c r="D8" s="5" t="n">
        <v>3026811</v>
      </c>
      <c r="E8" s="5" t="n">
        <v>2358771</v>
      </c>
      <c r="F8" s="5" t="n">
        <v>1732486</v>
      </c>
    </row>
    <row r="9">
      <c r="A9" s="5" t="inlineStr">
        <is>
          <t>Loss allowance (ECL) by IFRS 9 stage (Bank basis)</t>
        </is>
      </c>
      <c r="B9" s="6" t="n"/>
      <c r="C9" s="6" t="n"/>
      <c r="D9" s="6" t="n"/>
      <c r="E9" s="6" t="n"/>
      <c r="F9" s="6" t="n"/>
    </row>
    <row r="10">
      <c r="A10" s="6" t="inlineStr">
        <is>
          <t>Stage 1</t>
        </is>
      </c>
      <c r="B10" s="6" t="n">
        <v>4573</v>
      </c>
      <c r="C10" s="6" t="n">
        <v>4436</v>
      </c>
      <c r="D10" s="6" t="n">
        <v>5307</v>
      </c>
      <c r="E10" s="6" t="n">
        <v>3099</v>
      </c>
      <c r="F10" s="6" t="n">
        <v>1431</v>
      </c>
    </row>
    <row r="11">
      <c r="A11" s="6" t="inlineStr">
        <is>
          <t>Stage 2</t>
        </is>
      </c>
      <c r="B11" s="6" t="n">
        <v>3429</v>
      </c>
      <c r="C11" s="6" t="n">
        <v>3998</v>
      </c>
      <c r="D11" s="6" t="n">
        <v>6038</v>
      </c>
      <c r="E11" s="6" t="n">
        <v>4752</v>
      </c>
      <c r="F11" s="6" t="n">
        <v>1475</v>
      </c>
    </row>
    <row r="12">
      <c r="A12" s="6" t="inlineStr">
        <is>
          <t>Stage 3</t>
        </is>
      </c>
      <c r="B12" s="6" t="n">
        <v>13467</v>
      </c>
      <c r="C12" s="6" t="n">
        <v>13281</v>
      </c>
      <c r="D12" s="6" t="n">
        <v>9078</v>
      </c>
      <c r="E12" s="6" t="n">
        <v>6535</v>
      </c>
      <c r="F12" s="6" t="n">
        <v>8265</v>
      </c>
    </row>
    <row r="13">
      <c r="A13" s="5" t="inlineStr">
        <is>
          <t>Total loss allowance</t>
        </is>
      </c>
      <c r="B13" s="5" t="n">
        <v>21469</v>
      </c>
      <c r="C13" s="5" t="n">
        <v>21715</v>
      </c>
      <c r="D13" s="5" t="n">
        <v>20423</v>
      </c>
      <c r="E13" s="5" t="n">
        <v>14386</v>
      </c>
      <c r="F13" s="5" t="n">
        <v>11171</v>
      </c>
    </row>
    <row r="14">
      <c r="A14" s="5" t="inlineStr">
        <is>
          <t>Net carrying value (Gross carrying value less Loss allowance)</t>
        </is>
      </c>
      <c r="B14" s="5" t="n">
        <v>4528886</v>
      </c>
      <c r="C14" s="5" t="n">
        <v>3416837</v>
      </c>
      <c r="D14" s="5" t="n">
        <v>3006388</v>
      </c>
      <c r="E14" s="5" t="n">
        <v>2344385</v>
      </c>
      <c r="F14" s="5" t="n">
        <v>1721315</v>
      </c>
    </row>
    <row r="15">
      <c r="A15" s="5" t="inlineStr">
        <is>
          <t>Derived ratios</t>
        </is>
      </c>
      <c r="B15" s="6" t="n"/>
      <c r="C15" s="6" t="n"/>
      <c r="D15" s="6" t="n"/>
      <c r="E15" s="6" t="n"/>
      <c r="F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row>
    <row r="20" ht="260" customHeight="1">
      <c r="A20"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397694</v>
      </c>
      <c r="C4" s="6" t="n">
        <v>300589</v>
      </c>
      <c r="D4" s="6" t="n">
        <v>243719</v>
      </c>
      <c r="E4" s="6" t="n">
        <v>180193</v>
      </c>
      <c r="F4" s="6" t="n">
        <v>174913</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13.5%</t>
        </is>
      </c>
      <c r="C4" s="6" t="inlineStr">
        <is>
          <t>13.6%</t>
        </is>
      </c>
      <c r="D4" s="6" t="inlineStr">
        <is>
          <t>13.3%</t>
        </is>
      </c>
      <c r="E4" s="6" t="inlineStr">
        <is>
          <t>13.8%</t>
        </is>
      </c>
      <c r="F4" s="6" t="inlineStr">
        <is>
          <t>18.9%</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414725</v>
      </c>
      <c r="C4" s="6" t="n">
        <v>317619</v>
      </c>
      <c r="D4" s="6" t="n">
        <v>260749</v>
      </c>
      <c r="E4" s="6" t="n">
        <v>197223</v>
      </c>
      <c r="F4" s="6" t="n">
        <v>174913</v>
      </c>
    </row>
    <row r="5" ht="60" customHeight="1">
      <c r="A5" s="7" t="inlineStr">
        <is>
          <t>Note: No Additional Tier 1 instruments are disclosed for FY2021 — Tier 1 capital equals CET1 capital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14.1%</t>
        </is>
      </c>
      <c r="C4" s="6" t="inlineStr">
        <is>
          <t>14.4%</t>
        </is>
      </c>
      <c r="D4" s="6" t="inlineStr">
        <is>
          <t>14.2%</t>
        </is>
      </c>
      <c r="E4" s="6" t="inlineStr">
        <is>
          <t>15.1%</t>
        </is>
      </c>
      <c r="F4" s="6" t="inlineStr">
        <is>
          <t>18.9%</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494725</v>
      </c>
      <c r="C4" s="6" t="n">
        <v>362750</v>
      </c>
      <c r="D4" s="6" t="n">
        <v>311890</v>
      </c>
      <c r="E4" s="6" t="n">
        <v>227223</v>
      </c>
      <c r="F4" s="6" t="n">
        <v>204913</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16.8%</t>
        </is>
      </c>
      <c r="C4" s="6" t="inlineStr">
        <is>
          <t>16.4%</t>
        </is>
      </c>
      <c r="D4" s="6" t="inlineStr">
        <is>
          <t>17.0%</t>
        </is>
      </c>
      <c r="E4" s="6" t="inlineStr">
        <is>
          <t>17.4%</t>
        </is>
      </c>
      <c r="F4" s="6" t="inlineStr">
        <is>
          <t>22.2%</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2949233</v>
      </c>
      <c r="C4" s="6" t="n">
        <v>2207947</v>
      </c>
      <c r="D4" s="6" t="n">
        <v>1830864</v>
      </c>
      <c r="E4" s="6" t="n">
        <v>1310125</v>
      </c>
      <c r="F4" s="6" t="n">
        <v>922921</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Hampshire Trust Bank Plc — RWA Breakdown</t>
        </is>
      </c>
    </row>
    <row r="2">
      <c r="A2" s="2" t="inlineStr">
        <is>
          <t>Bank basis; FY2021 derived from the disclosed capital requirement (÷8%)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2627722</v>
      </c>
      <c r="C4" s="6" t="n">
        <v>1952854</v>
      </c>
      <c r="D4" s="6" t="n">
        <v>1623626</v>
      </c>
      <c r="E4" s="6" t="n">
        <v>1151820</v>
      </c>
      <c r="F4" s="6" t="n">
        <v>816163</v>
      </c>
    </row>
    <row r="5">
      <c r="A5" s="6" t="inlineStr">
        <is>
          <t>Counterparty credit risk (CCR)</t>
        </is>
      </c>
      <c r="B5" s="6" t="n">
        <v>1435</v>
      </c>
      <c r="C5" s="6" t="n">
        <v>8733</v>
      </c>
      <c r="D5" s="6" t="n">
        <v>9410</v>
      </c>
      <c r="E5" s="6" t="n">
        <v>13524</v>
      </c>
      <c r="F5" s="6" t="n"/>
    </row>
    <row r="6">
      <c r="A6" s="6" t="inlineStr">
        <is>
          <t>Securitisation exposures</t>
        </is>
      </c>
      <c r="B6" s="6" t="n">
        <v>35085</v>
      </c>
      <c r="C6" s="6" t="n">
        <v>0</v>
      </c>
      <c r="D6" s="6" t="n">
        <v>0</v>
      </c>
      <c r="E6" s="6" t="n">
        <v>0</v>
      </c>
      <c r="F6" s="6" t="n"/>
    </row>
    <row r="7">
      <c r="A7" s="6" t="inlineStr">
        <is>
          <t>Operational risk</t>
        </is>
      </c>
      <c r="B7" s="6" t="n">
        <v>284991</v>
      </c>
      <c r="C7" s="6" t="n">
        <v>246360</v>
      </c>
      <c r="D7" s="6" t="n">
        <v>197828</v>
      </c>
      <c r="E7" s="6" t="n">
        <v>144781</v>
      </c>
      <c r="F7" s="6" t="n">
        <v>105325</v>
      </c>
    </row>
    <row r="8">
      <c r="A8" s="5" t="inlineStr">
        <is>
          <t>Total RWAs</t>
        </is>
      </c>
      <c r="B8" s="5" t="n">
        <v>2949233</v>
      </c>
      <c r="C8" s="5" t="n">
        <v>2207947</v>
      </c>
      <c r="D8" s="5" t="n">
        <v>1830864</v>
      </c>
      <c r="E8" s="5" t="n">
        <v>1310125</v>
      </c>
      <c r="F8" s="5" t="n">
        <v>921488</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7.5%</t>
        </is>
      </c>
      <c r="C4" s="6" t="inlineStr">
        <is>
          <t>8.1%</t>
        </is>
      </c>
      <c r="D4" s="6" t="inlineStr">
        <is>
          <t>7.5%</t>
        </is>
      </c>
      <c r="E4" s="6" t="inlineStr">
        <is>
          <t>9.2%</t>
        </is>
      </c>
      <c r="F4" s="6" t="inlineStr">
        <is>
          <t>8.0%</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346.9%</t>
        </is>
      </c>
      <c r="C4" s="6" t="inlineStr">
        <is>
          <t>391.1%</t>
        </is>
      </c>
      <c r="D4" s="6" t="inlineStr">
        <is>
          <t>388.6%</t>
        </is>
      </c>
      <c r="E4" s="6" t="inlineStr">
        <is>
          <t>386.9%</t>
        </is>
      </c>
      <c r="F4" s="6" t="inlineStr">
        <is>
          <t>314.8%</t>
        </is>
      </c>
    </row>
    <row r="5" ht="60" customHeight="1">
      <c r="A5" s="7" t="inlineStr">
        <is>
          <t>Note: Disclosed only at consolidated Group level from FY2022 onward ('Liquidity is managed on a consolidated basis hence only Group metrics are reported') — no separate Bank-solo LCR exists to report for those years. FY2021 predates the Group/Bank split; its single reported value is used.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60" customHeight="1">
      <c r="A5" s="7" t="inlineStr">
        <is>
          <t>Note: Disclosed only at consolidated Group level from FY2022 onward, same basis as LCR above. FY2021 predates the Group/Bank split; its single reported value is used.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2026-09-03T10:20:14Z</dcterms:created>
  <dcterms:modified xmlns:dcterms="http://purl.org/dc/terms/" xmlns:xsi="http://www.w3.org/2001/XMLSchema-instance" xsi:type="dcterms:W3CDTF">2026-09-03T10:20:14Z</dcterms:modified>
</cp:coreProperties>
</file>