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Santander UK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from operating activities</t>
        </is>
      </c>
      <c r="B6" s="5" t="n">
        <v>-8798</v>
      </c>
      <c r="C6" s="5" t="n">
        <v>-3331</v>
      </c>
      <c r="D6" s="5" t="n">
        <v>-1133</v>
      </c>
      <c r="E6" s="5" t="n">
        <v>-2970</v>
      </c>
      <c r="F6" s="5" t="n">
        <v>10251</v>
      </c>
      <c r="I6" t="inlineStr">
        <is>
          <t>Net cash flows from operating activities</t>
        </is>
      </c>
      <c r="J6" t="n">
        <v>10251</v>
      </c>
      <c r="K6" t="n">
        <v>-2970</v>
      </c>
      <c r="L6" t="n">
        <v>-1133</v>
      </c>
      <c r="M6" t="n">
        <v>-3331</v>
      </c>
      <c r="N6" t="n">
        <v>-8798</v>
      </c>
      <c r="Q6" t="inlineStr">
        <is>
          <t>CET1 Ratio</t>
        </is>
      </c>
      <c r="R6" t="n">
        <v>16.1</v>
      </c>
      <c r="S6" t="n">
        <v>15.41</v>
      </c>
      <c r="T6" t="n">
        <v>15.39</v>
      </c>
      <c r="U6" t="n">
        <v>14.9</v>
      </c>
      <c r="V6" t="n">
        <v>15.8</v>
      </c>
    </row>
    <row r="7">
      <c r="A7" s="5" t="inlineStr">
        <is>
          <t>Net cash flows from investing activities</t>
        </is>
      </c>
      <c r="B7" s="5" t="n">
        <v>2957</v>
      </c>
      <c r="C7" s="5" t="n">
        <v>-4540</v>
      </c>
      <c r="D7" s="5" t="n">
        <v>-2747</v>
      </c>
      <c r="E7" s="5" t="n">
        <v>-198</v>
      </c>
      <c r="F7" s="5" t="n">
        <v>3077</v>
      </c>
      <c r="I7" t="inlineStr">
        <is>
          <t>Net cash flows from investing activities</t>
        </is>
      </c>
      <c r="J7" t="n">
        <v>3077</v>
      </c>
      <c r="K7" t="n">
        <v>-198</v>
      </c>
      <c r="L7" t="n">
        <v>-2747</v>
      </c>
      <c r="M7" t="n">
        <v>-4540</v>
      </c>
      <c r="N7" t="n">
        <v>2957</v>
      </c>
      <c r="Q7" t="inlineStr">
        <is>
          <t>Tier 1 Ratio</t>
        </is>
      </c>
      <c r="R7" t="n">
        <v>19.2</v>
      </c>
      <c r="S7" t="n">
        <v>18.2</v>
      </c>
      <c r="T7" t="n">
        <v>18.28</v>
      </c>
      <c r="U7" t="n">
        <v>17.8</v>
      </c>
      <c r="V7" t="n">
        <v>18.5</v>
      </c>
    </row>
    <row r="8">
      <c r="A8" s="5" t="inlineStr">
        <is>
          <t>Net cash flows from financing activities</t>
        </is>
      </c>
      <c r="B8" s="5" t="n">
        <v>5410</v>
      </c>
      <c r="C8" s="5" t="n">
        <v>285</v>
      </c>
      <c r="D8" s="5" t="n">
        <v>19</v>
      </c>
      <c r="E8" s="5" t="n">
        <v>277</v>
      </c>
      <c r="F8" s="5" t="n">
        <v>-10753</v>
      </c>
      <c r="I8" t="inlineStr">
        <is>
          <t>Net cash flows from financing activities</t>
        </is>
      </c>
      <c r="J8" t="n">
        <v>-10753</v>
      </c>
      <c r="K8" t="n">
        <v>277</v>
      </c>
      <c r="L8" t="n">
        <v>19</v>
      </c>
      <c r="M8" t="n">
        <v>285</v>
      </c>
      <c r="N8" t="n">
        <v>5410</v>
      </c>
      <c r="Q8" t="inlineStr">
        <is>
          <t>Total Capital Ratio</t>
        </is>
      </c>
      <c r="R8" t="n">
        <v>21.9</v>
      </c>
      <c r="S8" t="n">
        <v>20.41</v>
      </c>
      <c r="T8" t="n">
        <v>21.48</v>
      </c>
      <c r="U8" t="n">
        <v>21</v>
      </c>
      <c r="V8" t="n">
        <v>21.3</v>
      </c>
    </row>
    <row r="9">
      <c r="A9" s="5" t="inlineStr">
        <is>
          <t>Cash and cash equivalents at end of year</t>
        </is>
      </c>
      <c r="B9" s="5" t="n">
        <v>28738</v>
      </c>
      <c r="C9" s="5" t="n">
        <v>29181</v>
      </c>
      <c r="D9" s="5" t="n">
        <v>42502</v>
      </c>
      <c r="E9" s="5" t="n">
        <v>46484</v>
      </c>
      <c r="F9" s="5" t="n">
        <v>49254</v>
      </c>
      <c r="I9" t="inlineStr">
        <is>
          <t>Cash and cash equivalents at end of year</t>
        </is>
      </c>
      <c r="J9" t="n">
        <v>49254</v>
      </c>
      <c r="K9" t="n">
        <v>46484</v>
      </c>
      <c r="L9" t="n">
        <v>42502</v>
      </c>
      <c r="M9" t="n">
        <v>29181</v>
      </c>
      <c r="N9" t="n">
        <v>28738</v>
      </c>
      <c r="Q9" t="inlineStr">
        <is>
          <t>Leverage Ratio</t>
        </is>
      </c>
      <c r="R9" t="n">
        <v>5.3</v>
      </c>
      <c r="S9" t="n">
        <v>5.2</v>
      </c>
      <c r="T9" t="n">
        <v>5.1</v>
      </c>
      <c r="U9" t="n">
        <v>4.9</v>
      </c>
      <c r="V9" t="n">
        <v>5</v>
      </c>
    </row>
    <row r="10">
      <c r="Q10" t="inlineStr">
        <is>
          <t>LCR</t>
        </is>
      </c>
      <c r="R10" t="n">
        <v>168.4</v>
      </c>
      <c r="S10" t="n">
        <v>156.75</v>
      </c>
      <c r="T10" t="n">
        <v>159.49</v>
      </c>
      <c r="U10" t="n">
        <v>154</v>
      </c>
      <c r="V10" t="n">
        <v>162</v>
      </c>
    </row>
    <row r="11">
      <c r="A11" s="3" t="inlineStr">
        <is>
          <t>Pillar 3 Key Metrics</t>
        </is>
      </c>
      <c r="Q11" t="inlineStr">
        <is>
          <t>NSFR</t>
        </is>
      </c>
      <c r="S11" t="n">
        <v>136.8</v>
      </c>
      <c r="T11" t="n">
        <v>137.99</v>
      </c>
      <c r="U11" t="n">
        <v>137</v>
      </c>
      <c r="V11" t="n">
        <v>135</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15.8%</t>
        </is>
      </c>
      <c r="C13" s="6" t="inlineStr">
        <is>
          <t>14.9%</t>
        </is>
      </c>
      <c r="D13" s="6" t="inlineStr">
        <is>
          <t>15.39%</t>
        </is>
      </c>
      <c r="E13" s="6" t="inlineStr">
        <is>
          <t>15.41%</t>
        </is>
      </c>
      <c r="F13" s="6" t="inlineStr">
        <is>
          <t>16.1%</t>
        </is>
      </c>
    </row>
    <row r="14">
      <c r="A14" s="6" t="inlineStr">
        <is>
          <t>Tier 1 Ratio</t>
        </is>
      </c>
      <c r="B14" s="6" t="inlineStr">
        <is>
          <t>18.5%</t>
        </is>
      </c>
      <c r="C14" s="6" t="inlineStr">
        <is>
          <t>17.8%</t>
        </is>
      </c>
      <c r="D14" s="6" t="inlineStr">
        <is>
          <t>18.28%</t>
        </is>
      </c>
      <c r="E14" s="6" t="inlineStr">
        <is>
          <t>18.20%</t>
        </is>
      </c>
      <c r="F14" s="6" t="inlineStr">
        <is>
          <t>19.2%</t>
        </is>
      </c>
    </row>
    <row r="15">
      <c r="A15" s="6" t="inlineStr">
        <is>
          <t>Total Capital Ratio</t>
        </is>
      </c>
      <c r="B15" s="6" t="inlineStr">
        <is>
          <t>21.3%</t>
        </is>
      </c>
      <c r="C15" s="6" t="inlineStr">
        <is>
          <t>21.0%</t>
        </is>
      </c>
      <c r="D15" s="6" t="inlineStr">
        <is>
          <t>21.48%</t>
        </is>
      </c>
      <c r="E15" s="6" t="inlineStr">
        <is>
          <t>20.41%</t>
        </is>
      </c>
      <c r="F15" s="6" t="inlineStr">
        <is>
          <t>21.9%</t>
        </is>
      </c>
    </row>
    <row r="16">
      <c r="A16" s="6" t="inlineStr">
        <is>
          <t>Leverage Ratio</t>
        </is>
      </c>
      <c r="B16" s="6" t="inlineStr">
        <is>
          <t>5.0%</t>
        </is>
      </c>
      <c r="C16" s="6" t="inlineStr">
        <is>
          <t>4.9%</t>
        </is>
      </c>
      <c r="D16" s="6" t="inlineStr">
        <is>
          <t>5.1%</t>
        </is>
      </c>
      <c r="E16" s="6" t="inlineStr">
        <is>
          <t>5.2%</t>
        </is>
      </c>
      <c r="F16" s="6" t="inlineStr">
        <is>
          <t>5.3%</t>
        </is>
      </c>
    </row>
    <row r="17">
      <c r="A17" s="6" t="inlineStr">
        <is>
          <t>LCR</t>
        </is>
      </c>
      <c r="B17" s="6" t="inlineStr">
        <is>
          <t>162%</t>
        </is>
      </c>
      <c r="C17" s="6" t="inlineStr">
        <is>
          <t>154%</t>
        </is>
      </c>
      <c r="D17" s="6" t="inlineStr">
        <is>
          <t>159.49%</t>
        </is>
      </c>
      <c r="E17" s="6" t="inlineStr">
        <is>
          <t>156.75%</t>
        </is>
      </c>
      <c r="F17" s="6" t="inlineStr">
        <is>
          <t>168.4%</t>
        </is>
      </c>
    </row>
    <row r="18">
      <c r="A18" s="6" t="inlineStr">
        <is>
          <t>NSFR</t>
        </is>
      </c>
      <c r="B18" s="6" t="inlineStr">
        <is>
          <t>135%</t>
        </is>
      </c>
      <c r="C18" s="6" t="inlineStr">
        <is>
          <t>137%</t>
        </is>
      </c>
      <c r="D18" s="6" t="inlineStr">
        <is>
          <t>137.99%</t>
        </is>
      </c>
      <c r="E18" s="6" t="inlineStr">
        <is>
          <t>136.80%</t>
        </is>
      </c>
      <c r="F18" s="6" t="n"/>
    </row>
    <row r="20" ht="45" customHeight="1">
      <c r="A2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before tax</t>
        </is>
      </c>
      <c r="B5" s="6" t="n">
        <v>1482</v>
      </c>
      <c r="C5" s="6" t="n">
        <v>1349</v>
      </c>
      <c r="D5" s="6" t="n">
        <v>2100</v>
      </c>
      <c r="E5" s="6" t="n">
        <v>1874</v>
      </c>
      <c r="F5" s="6" t="n">
        <v>1888</v>
      </c>
    </row>
    <row r="6">
      <c r="A6" s="6" t="inlineStr">
        <is>
          <t>Depreciation and amortisation</t>
        </is>
      </c>
      <c r="B6" s="6" t="n">
        <v>322</v>
      </c>
      <c r="C6" s="6" t="n">
        <v>300</v>
      </c>
      <c r="D6" s="6" t="n">
        <v>290</v>
      </c>
      <c r="E6" s="6" t="n">
        <v>296</v>
      </c>
      <c r="F6" s="6" t="n">
        <v>501</v>
      </c>
    </row>
    <row r="7">
      <c r="A7" s="6" t="inlineStr">
        <is>
          <t>Loss from disposal of mortgage portfolio</t>
        </is>
      </c>
      <c r="B7" s="6" t="n"/>
      <c r="C7" s="6" t="n">
        <v>31</v>
      </c>
      <c r="D7" s="6" t="n"/>
      <c r="E7" s="6" t="n"/>
      <c r="F7" s="6" t="n"/>
    </row>
    <row r="8">
      <c r="A8" s="6" t="inlineStr">
        <is>
          <t>Provisions for other liabilities and charges</t>
        </is>
      </c>
      <c r="B8" s="6" t="n">
        <v>597</v>
      </c>
      <c r="C8" s="6" t="n">
        <v>689</v>
      </c>
      <c r="D8" s="6" t="n">
        <v>335</v>
      </c>
      <c r="E8" s="6" t="n">
        <v>419</v>
      </c>
      <c r="F8" s="6" t="n">
        <v>381</v>
      </c>
    </row>
    <row r="9">
      <c r="A9" s="6" t="inlineStr">
        <is>
          <t>Impairment losses</t>
        </is>
      </c>
      <c r="B9" s="6" t="n">
        <v>207</v>
      </c>
      <c r="C9" s="6" t="n">
        <v>94</v>
      </c>
      <c r="D9" s="6" t="n">
        <v>195</v>
      </c>
      <c r="E9" s="6" t="n">
        <v>284</v>
      </c>
      <c r="F9" s="6" t="n">
        <v>-228</v>
      </c>
    </row>
    <row r="10">
      <c r="A10" s="6" t="inlineStr">
        <is>
          <t>Other non-cash items</t>
        </is>
      </c>
      <c r="B10" s="6" t="n">
        <v>-4</v>
      </c>
      <c r="C10" s="6" t="n">
        <v>65</v>
      </c>
      <c r="D10" s="6" t="n">
        <v>-749</v>
      </c>
      <c r="E10" s="6" t="n">
        <v>1497</v>
      </c>
      <c r="F10" s="6" t="n">
        <v>-147</v>
      </c>
    </row>
    <row r="11">
      <c r="A11" s="6" t="inlineStr">
        <is>
          <t>Pension charge for defined benefit pension schemes</t>
        </is>
      </c>
      <c r="B11" s="6" t="n">
        <v>8</v>
      </c>
      <c r="C11" s="6" t="n">
        <v>13</v>
      </c>
      <c r="D11" s="6" t="n">
        <v>13</v>
      </c>
      <c r="E11" s="6" t="n">
        <v>28</v>
      </c>
      <c r="F11" s="6" t="n">
        <v>38</v>
      </c>
    </row>
    <row r="12">
      <c r="A12" s="5" t="inlineStr">
        <is>
          <t>Net change in operating assets and liabilities</t>
        </is>
      </c>
      <c r="B12" s="6" t="n"/>
      <c r="C12" s="6" t="n"/>
      <c r="D12" s="6" t="n"/>
      <c r="E12" s="6" t="n"/>
      <c r="F12" s="6" t="n"/>
    </row>
    <row r="13">
      <c r="A13" s="6" t="inlineStr">
        <is>
          <t>Cash and balances at central banks</t>
        </is>
      </c>
      <c r="B13" s="6" t="n">
        <v>140</v>
      </c>
      <c r="C13" s="6" t="n">
        <v>731</v>
      </c>
      <c r="D13" s="6" t="n">
        <v>-88</v>
      </c>
      <c r="E13" s="6" t="n">
        <v>275</v>
      </c>
      <c r="F13" s="6" t="n">
        <v>-659</v>
      </c>
    </row>
    <row r="14">
      <c r="A14" s="6" t="inlineStr">
        <is>
          <t>Derivative assets</t>
        </is>
      </c>
      <c r="B14" s="6" t="n">
        <v>334</v>
      </c>
      <c r="C14" s="6" t="n">
        <v>228</v>
      </c>
      <c r="D14" s="6" t="n">
        <v>975</v>
      </c>
      <c r="E14" s="6" t="n">
        <v>-726</v>
      </c>
      <c r="F14" s="6" t="n">
        <v>1725</v>
      </c>
    </row>
    <row r="15">
      <c r="A15" s="6" t="inlineStr">
        <is>
          <t>Other financial assets at fair value through profit or loss</t>
        </is>
      </c>
      <c r="B15" s="6" t="n">
        <v>72</v>
      </c>
      <c r="C15" s="6" t="n">
        <v>130</v>
      </c>
      <c r="D15" s="6" t="n">
        <v>40</v>
      </c>
      <c r="E15" s="6" t="n">
        <v>877</v>
      </c>
      <c r="F15" s="6" t="n">
        <v>1007</v>
      </c>
    </row>
    <row r="16">
      <c r="A16" s="6" t="inlineStr">
        <is>
          <t>Loans and advances to banks and customers</t>
        </is>
      </c>
      <c r="B16" s="6" t="n">
        <v>-3403</v>
      </c>
      <c r="C16" s="6" t="n">
        <v>8065</v>
      </c>
      <c r="D16" s="6" t="n">
        <v>12112</v>
      </c>
      <c r="E16" s="6" t="n">
        <v>-9966</v>
      </c>
      <c r="F16" s="6" t="n">
        <v>-971</v>
      </c>
    </row>
    <row r="17">
      <c r="A17" s="6" t="inlineStr">
        <is>
          <t>Reverse repurchase agreements - non-trading</t>
        </is>
      </c>
      <c r="B17" s="6" t="n">
        <v>-7340</v>
      </c>
      <c r="C17" s="6" t="n">
        <v>2130</v>
      </c>
      <c r="D17" s="6" t="n">
        <v>-3224</v>
      </c>
      <c r="E17" s="6" t="n">
        <v>6818</v>
      </c>
      <c r="F17" s="6" t="n">
        <v>7024</v>
      </c>
    </row>
    <row r="18">
      <c r="A18" s="6" t="inlineStr">
        <is>
          <t>Other assets</t>
        </is>
      </c>
      <c r="B18" s="6" t="n">
        <v>-70</v>
      </c>
      <c r="C18" s="6" t="n">
        <v>118</v>
      </c>
      <c r="D18" s="6" t="n">
        <v>-141</v>
      </c>
      <c r="E18" s="6" t="n">
        <v>-574</v>
      </c>
      <c r="F18" s="6" t="n">
        <v>324</v>
      </c>
    </row>
    <row r="19">
      <c r="A19" s="6" t="inlineStr">
        <is>
          <t>Deposits by banks and customers</t>
        </is>
      </c>
      <c r="B19" s="6" t="n">
        <v>-1130</v>
      </c>
      <c r="C19" s="6" t="n">
        <v>-16059</v>
      </c>
      <c r="D19" s="6" t="n">
        <v>-13504</v>
      </c>
      <c r="E19" s="6" t="n">
        <v>-3128</v>
      </c>
      <c r="F19" s="6" t="n">
        <v>10735</v>
      </c>
    </row>
    <row r="20">
      <c r="A20" s="6" t="inlineStr">
        <is>
          <t>Repurchase agreements - non-trading</t>
        </is>
      </c>
      <c r="B20" s="6" t="n">
        <v>412</v>
      </c>
      <c r="C20" s="6" t="n">
        <v>206</v>
      </c>
      <c r="D20" s="6" t="n">
        <v>704</v>
      </c>
      <c r="E20" s="6" t="n">
        <v>-4145</v>
      </c>
      <c r="F20" s="6" t="n">
        <v>-7550</v>
      </c>
    </row>
    <row r="21">
      <c r="A21" s="6" t="inlineStr">
        <is>
          <t>Derivative liabilities</t>
        </is>
      </c>
      <c r="B21" s="6" t="n">
        <v>-15</v>
      </c>
      <c r="C21" s="6" t="n">
        <v>-116</v>
      </c>
      <c r="D21" s="6" t="n">
        <v>-133</v>
      </c>
      <c r="E21" s="6" t="n">
        <v>174</v>
      </c>
      <c r="F21" s="6" t="n">
        <v>-807</v>
      </c>
    </row>
    <row r="22">
      <c r="A22" s="6" t="inlineStr">
        <is>
          <t>Other financial liabilities at fair value through profit or loss</t>
        </is>
      </c>
      <c r="B22" s="6" t="n">
        <v>241</v>
      </c>
      <c r="C22" s="6" t="n">
        <v>179</v>
      </c>
      <c r="D22" s="6" t="n">
        <v>102</v>
      </c>
      <c r="E22" s="6" t="n">
        <v>-973</v>
      </c>
      <c r="F22" s="6" t="n">
        <v>-1109</v>
      </c>
    </row>
    <row r="23">
      <c r="A23" s="6" t="inlineStr">
        <is>
          <t>Debt securities in issue</t>
        </is>
      </c>
      <c r="B23" s="6" t="n">
        <v>38</v>
      </c>
      <c r="C23" s="6" t="n">
        <v>212</v>
      </c>
      <c r="D23" s="6" t="n">
        <v>962</v>
      </c>
      <c r="E23" s="6" t="n">
        <v>3120</v>
      </c>
      <c r="F23" s="6" t="n">
        <v>-329</v>
      </c>
    </row>
    <row r="24">
      <c r="A24" s="6" t="inlineStr">
        <is>
          <t>Other liabilities</t>
        </is>
      </c>
      <c r="B24" s="6" t="n">
        <v>-299</v>
      </c>
      <c r="C24" s="6" t="n">
        <v>-1403</v>
      </c>
      <c r="D24" s="6" t="n">
        <v>-67</v>
      </c>
      <c r="E24" s="6" t="n">
        <v>-98</v>
      </c>
      <c r="F24" s="6" t="n">
        <v>-603</v>
      </c>
    </row>
    <row r="25">
      <c r="A25" s="6" t="inlineStr">
        <is>
          <t>Corporation taxes paid</t>
        </is>
      </c>
      <c r="B25" s="6" t="n">
        <v>-46</v>
      </c>
      <c r="C25" s="6" t="n">
        <v>-240</v>
      </c>
      <c r="D25" s="6" t="n">
        <v>-537</v>
      </c>
      <c r="E25" s="6" t="n">
        <v>-405</v>
      </c>
      <c r="F25" s="6" t="n">
        <v>-427</v>
      </c>
    </row>
    <row r="26">
      <c r="A26" s="6" t="inlineStr">
        <is>
          <t>Effects of exchange rate differences</t>
        </is>
      </c>
      <c r="B26" s="6" t="n">
        <v>-344</v>
      </c>
      <c r="C26" s="6" t="n">
        <v>-53</v>
      </c>
      <c r="D26" s="6" t="n">
        <v>-518</v>
      </c>
      <c r="E26" s="6" t="n">
        <v>1383</v>
      </c>
      <c r="F26" s="6" t="n">
        <v>-542</v>
      </c>
    </row>
    <row r="27">
      <c r="A27" s="5" t="inlineStr">
        <is>
          <t>Net cash flows from operating activities</t>
        </is>
      </c>
      <c r="B27" s="5" t="n">
        <v>-8798</v>
      </c>
      <c r="C27" s="5" t="n">
        <v>-3331</v>
      </c>
      <c r="D27" s="5" t="n">
        <v>-1133</v>
      </c>
      <c r="E27" s="5" t="n">
        <v>-2970</v>
      </c>
      <c r="F27" s="5" t="n">
        <v>10251</v>
      </c>
    </row>
    <row r="28">
      <c r="A28" s="5" t="inlineStr">
        <is>
          <t>Cash flows from investing activities</t>
        </is>
      </c>
      <c r="B28" s="6" t="n"/>
      <c r="C28" s="6" t="n"/>
      <c r="D28" s="6" t="n"/>
      <c r="E28" s="6" t="n"/>
      <c r="F28" s="6" t="n"/>
    </row>
    <row r="29">
      <c r="A29" s="6" t="inlineStr">
        <is>
          <t>Purchase of property, plant and equipment and intangible assets</t>
        </is>
      </c>
      <c r="B29" s="6" t="n">
        <v>-407</v>
      </c>
      <c r="C29" s="6" t="n">
        <v>-528</v>
      </c>
      <c r="D29" s="6" t="n">
        <v>-385</v>
      </c>
      <c r="E29" s="6" t="n">
        <v>-496</v>
      </c>
      <c r="F29" s="6" t="n">
        <v>-613</v>
      </c>
    </row>
    <row r="30">
      <c r="A30" s="6" t="inlineStr">
        <is>
          <t>Proceeds from sale of property, plant and equipment and intangible assets</t>
        </is>
      </c>
      <c r="B30" s="6" t="n">
        <v>161</v>
      </c>
      <c r="C30" s="6" t="n">
        <v>148</v>
      </c>
      <c r="D30" s="6" t="n">
        <v>175</v>
      </c>
      <c r="E30" s="6" t="n">
        <v>159</v>
      </c>
      <c r="F30" s="6" t="n">
        <v>437</v>
      </c>
    </row>
    <row r="31">
      <c r="A31" s="6" t="inlineStr">
        <is>
          <t>Purchase of financial assets at amortised cost and financial assets at FVOCI</t>
        </is>
      </c>
      <c r="B31" s="6" t="n">
        <v>-1981</v>
      </c>
      <c r="C31" s="6" t="n">
        <v>-10343</v>
      </c>
      <c r="D31" s="6" t="n">
        <v>-10899</v>
      </c>
      <c r="E31" s="6" t="n">
        <v>-2884</v>
      </c>
      <c r="F31" s="6" t="n">
        <v>-1256</v>
      </c>
    </row>
    <row r="32">
      <c r="A32" s="6" t="inlineStr">
        <is>
          <t>Proceeds from sale and redemption of financial assets at amortised cost and financial assets at FVOCI</t>
        </is>
      </c>
      <c r="B32" s="6" t="n">
        <v>5184</v>
      </c>
      <c r="C32" s="6" t="n">
        <v>6183</v>
      </c>
      <c r="D32" s="6" t="n">
        <v>8362</v>
      </c>
      <c r="E32" s="6" t="n">
        <v>3023</v>
      </c>
      <c r="F32" s="6" t="n">
        <v>4509</v>
      </c>
    </row>
    <row r="33">
      <c r="A33" s="5" t="inlineStr">
        <is>
          <t>Net cash flows from investing activities</t>
        </is>
      </c>
      <c r="B33" s="5" t="n">
        <v>2957</v>
      </c>
      <c r="C33" s="5" t="n">
        <v>-4540</v>
      </c>
      <c r="D33" s="5" t="n">
        <v>-2747</v>
      </c>
      <c r="E33" s="5" t="n">
        <v>-198</v>
      </c>
      <c r="F33" s="5" t="n">
        <v>3077</v>
      </c>
    </row>
    <row r="34">
      <c r="A34" s="5" t="inlineStr">
        <is>
          <t>Cash flows from financing activities</t>
        </is>
      </c>
      <c r="B34" s="6" t="n"/>
      <c r="C34" s="6" t="n"/>
      <c r="D34" s="6" t="n"/>
      <c r="E34" s="6" t="n"/>
      <c r="F34" s="6" t="n"/>
    </row>
    <row r="35">
      <c r="A35" s="6" t="inlineStr">
        <is>
          <t>Issue of other equity instruments</t>
        </is>
      </c>
      <c r="B35" s="6" t="n">
        <v>500</v>
      </c>
      <c r="C35" s="6" t="n">
        <v>400</v>
      </c>
      <c r="D35" s="6" t="n"/>
      <c r="E35" s="6" t="n">
        <v>750</v>
      </c>
      <c r="F35" s="6" t="n">
        <v>210</v>
      </c>
    </row>
    <row r="36">
      <c r="A36" s="6" t="inlineStr">
        <is>
          <t>Issue of debt securities and subordinated notes</t>
        </is>
      </c>
      <c r="B36" s="6" t="n">
        <v>9833</v>
      </c>
      <c r="C36" s="6" t="n">
        <v>8425</v>
      </c>
      <c r="D36" s="6" t="n">
        <v>5276</v>
      </c>
      <c r="E36" s="6" t="n">
        <v>4794</v>
      </c>
      <c r="F36" s="6" t="n">
        <v>2878</v>
      </c>
    </row>
    <row r="37">
      <c r="A37" s="6" t="inlineStr">
        <is>
          <t>Issuance costs of debt securities and subordinated notes</t>
        </is>
      </c>
      <c r="B37" s="6" t="n">
        <v>-24</v>
      </c>
      <c r="C37" s="6" t="n">
        <v>-28</v>
      </c>
      <c r="D37" s="6" t="n">
        <v>-18</v>
      </c>
      <c r="E37" s="6" t="n">
        <v>-16</v>
      </c>
      <c r="F37" s="6" t="n">
        <v>-6</v>
      </c>
    </row>
    <row r="38">
      <c r="A38" s="6" t="inlineStr">
        <is>
          <t>Repayment of debt securities and subordinated notes</t>
        </is>
      </c>
      <c r="B38" s="6" t="n">
        <v>-4219</v>
      </c>
      <c r="C38" s="6" t="n">
        <v>-6539</v>
      </c>
      <c r="D38" s="6" t="n">
        <v>-3539</v>
      </c>
      <c r="E38" s="6" t="n">
        <v>-3076</v>
      </c>
      <c r="F38" s="6" t="n">
        <v>-11914</v>
      </c>
    </row>
    <row r="39">
      <c r="A39" s="6" t="inlineStr">
        <is>
          <t>Disposal of non-controlling interests</t>
        </is>
      </c>
      <c r="B39" s="6" t="n"/>
      <c r="C39" s="6" t="n"/>
      <c r="D39" s="6" t="n"/>
      <c r="E39" s="6" t="n"/>
      <c r="F39" s="6" t="n">
        <v>-181</v>
      </c>
    </row>
    <row r="40">
      <c r="A40" s="6" t="inlineStr">
        <is>
          <t>Repurchase of other equity instruments</t>
        </is>
      </c>
      <c r="B40" s="6" t="n">
        <v>-500</v>
      </c>
      <c r="C40" s="6" t="n">
        <v>-500</v>
      </c>
      <c r="D40" s="6" t="n"/>
      <c r="E40" s="6" t="n">
        <v>-985</v>
      </c>
      <c r="F40" s="6" t="n">
        <v>-210</v>
      </c>
    </row>
    <row r="41">
      <c r="A41" s="6" t="inlineStr">
        <is>
          <t>Dividends paid on ordinary shares</t>
        </is>
      </c>
      <c r="B41" s="6" t="n">
        <v>-26</v>
      </c>
      <c r="C41" s="6" t="n">
        <v>-1311</v>
      </c>
      <c r="D41" s="6" t="n">
        <v>-1530</v>
      </c>
      <c r="E41" s="6" t="n">
        <v>-1014</v>
      </c>
      <c r="F41" s="6" t="n">
        <v>-1358</v>
      </c>
    </row>
    <row r="42">
      <c r="A42" s="6" t="inlineStr">
        <is>
          <t>Dividends paid on preference shares and other equity instruments</t>
        </is>
      </c>
      <c r="B42" s="6" t="n">
        <v>-132</v>
      </c>
      <c r="C42" s="6" t="n">
        <v>-129</v>
      </c>
      <c r="D42" s="6" t="n">
        <v>-123</v>
      </c>
      <c r="E42" s="6" t="n">
        <v>-150</v>
      </c>
      <c r="F42" s="6" t="n">
        <v>-147</v>
      </c>
    </row>
    <row r="43">
      <c r="A43" s="6" t="inlineStr">
        <is>
          <t>Principal elements of lease payments</t>
        </is>
      </c>
      <c r="B43" s="6" t="n">
        <v>-22</v>
      </c>
      <c r="C43" s="6" t="n">
        <v>-33</v>
      </c>
      <c r="D43" s="6" t="n">
        <v>-47</v>
      </c>
      <c r="E43" s="6" t="n">
        <v>-26</v>
      </c>
      <c r="F43" s="6" t="n">
        <v>-25</v>
      </c>
    </row>
    <row r="44">
      <c r="A44" s="5" t="inlineStr">
        <is>
          <t>Net cash flows from financing activities</t>
        </is>
      </c>
      <c r="B44" s="5" t="n">
        <v>5410</v>
      </c>
      <c r="C44" s="5" t="n">
        <v>285</v>
      </c>
      <c r="D44" s="5" t="n">
        <v>19</v>
      </c>
      <c r="E44" s="5" t="n">
        <v>277</v>
      </c>
      <c r="F44" s="5" t="n">
        <v>-10753</v>
      </c>
    </row>
    <row r="45">
      <c r="A45" s="5" t="inlineStr">
        <is>
          <t>Change in cash and cash equivalents</t>
        </is>
      </c>
      <c r="B45" s="5" t="n">
        <v>-431</v>
      </c>
      <c r="C45" s="5" t="n">
        <v>-7586</v>
      </c>
      <c r="D45" s="5" t="n">
        <v>-3861</v>
      </c>
      <c r="E45" s="5" t="n">
        <v>-2891</v>
      </c>
      <c r="F45" s="5" t="n">
        <v>2575</v>
      </c>
    </row>
    <row r="46">
      <c r="A46" s="6" t="inlineStr">
        <is>
          <t>Cash and cash equivalents at beginning of the year</t>
        </is>
      </c>
      <c r="B46" s="6" t="n">
        <v>29181</v>
      </c>
      <c r="C46" s="6" t="n">
        <v>36781</v>
      </c>
      <c r="D46" s="6" t="n">
        <v>46484</v>
      </c>
      <c r="E46" s="6" t="n">
        <v>49254</v>
      </c>
      <c r="F46" s="6" t="n">
        <v>46697</v>
      </c>
    </row>
    <row r="47">
      <c r="A47" s="6" t="inlineStr">
        <is>
          <t>Effects of exchange rate changes on cash and cash equivalents</t>
        </is>
      </c>
      <c r="B47" s="6" t="n">
        <v>-12</v>
      </c>
      <c r="C47" s="6" t="n">
        <v>-14</v>
      </c>
      <c r="D47" s="6" t="n">
        <v>-121</v>
      </c>
      <c r="E47" s="6" t="n">
        <v>121</v>
      </c>
      <c r="F47" s="6" t="n">
        <v>-18</v>
      </c>
    </row>
    <row r="48">
      <c r="A48" s="5" t="inlineStr">
        <is>
          <t>Cash and cash equivalents at the end of the year</t>
        </is>
      </c>
      <c r="B48" s="5" t="n">
        <v>28738</v>
      </c>
      <c r="C48" s="5" t="n">
        <v>29181</v>
      </c>
      <c r="D48" s="5" t="n">
        <v>42502</v>
      </c>
      <c r="E48" s="5" t="n">
        <v>46484</v>
      </c>
      <c r="F48" s="5" t="n">
        <v>49254</v>
      </c>
    </row>
    <row r="49">
      <c r="A49" s="5" t="inlineStr">
        <is>
          <t>Cash and cash equivalents at the end of the year comprise</t>
        </is>
      </c>
      <c r="B49" s="6" t="n"/>
      <c r="C49" s="6" t="n"/>
      <c r="D49" s="6" t="n"/>
      <c r="E49" s="6" t="n"/>
      <c r="F49" s="6" t="n"/>
    </row>
    <row r="50">
      <c r="A50" s="6" t="inlineStr">
        <is>
          <t>Cash and balances at central banks</t>
        </is>
      </c>
      <c r="B50" s="6" t="n">
        <v>29376</v>
      </c>
      <c r="C50" s="6" t="n">
        <v>29881</v>
      </c>
      <c r="D50" s="6" t="n">
        <v>38214</v>
      </c>
      <c r="E50" s="6" t="n">
        <v>44190</v>
      </c>
      <c r="F50" s="6" t="n">
        <v>48139</v>
      </c>
    </row>
    <row r="51">
      <c r="A51" s="6" t="inlineStr">
        <is>
          <t>Less: restricted balances</t>
        </is>
      </c>
      <c r="B51" s="6" t="n">
        <v>-1440</v>
      </c>
      <c r="C51" s="6" t="n">
        <v>-1580</v>
      </c>
      <c r="D51" s="6" t="n">
        <v>-2311</v>
      </c>
      <c r="E51" s="6" t="n">
        <v>-2223</v>
      </c>
      <c r="F51" s="6" t="n">
        <v>-2498</v>
      </c>
    </row>
    <row r="52">
      <c r="A52" s="6" t="inlineStr">
        <is>
          <t>Other cash equivalents: loans and advances to banks - non-trading</t>
        </is>
      </c>
      <c r="B52" s="6" t="n">
        <v>802</v>
      </c>
      <c r="C52" s="6" t="n">
        <v>880</v>
      </c>
      <c r="D52" s="6" t="n">
        <v>878</v>
      </c>
      <c r="E52" s="6" t="n">
        <v>904</v>
      </c>
      <c r="F52" s="6" t="n">
        <v>1074</v>
      </c>
    </row>
    <row r="53">
      <c r="A53" s="6" t="inlineStr">
        <is>
          <t>Other cash equivalents: reverse repurchase agreements</t>
        </is>
      </c>
      <c r="B53" s="6" t="n"/>
      <c r="C53" s="6" t="n"/>
      <c r="D53" s="6" t="n">
        <v>5721</v>
      </c>
      <c r="E53" s="6" t="n">
        <v>3613</v>
      </c>
      <c r="F53" s="6" t="n">
        <v>2539</v>
      </c>
    </row>
    <row r="54">
      <c r="A54" s="5" t="inlineStr">
        <is>
          <t>Cash and cash equivalents at the end of the year</t>
        </is>
      </c>
      <c r="B54" s="5" t="n">
        <v>28738</v>
      </c>
      <c r="C54" s="5" t="n">
        <v>29181</v>
      </c>
      <c r="D54" s="5" t="n">
        <v>42502</v>
      </c>
      <c r="E54" s="5" t="n">
        <v>46484</v>
      </c>
      <c r="F54" s="5" t="n">
        <v>49254</v>
      </c>
    </row>
    <row r="56" ht="190" customHeight="1">
      <c r="A56"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56:F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10601</v>
      </c>
      <c r="C4" s="6" t="n">
        <v>9791</v>
      </c>
      <c r="D4" s="6" t="n">
        <v>10443</v>
      </c>
      <c r="E4" s="6" t="n">
        <v>10799</v>
      </c>
      <c r="F4" s="6" t="n">
        <v>10820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14.9%</t>
        </is>
      </c>
      <c r="D4" s="6" t="inlineStr">
        <is>
          <t>15.39%</t>
        </is>
      </c>
      <c r="E4" s="6" t="inlineStr">
        <is>
          <t>15.41%</t>
        </is>
      </c>
      <c r="F4" s="6" t="inlineStr">
        <is>
          <t>16.1%</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12461</v>
      </c>
      <c r="C4" s="6" t="n">
        <v>11651</v>
      </c>
      <c r="D4" s="6" t="n">
        <v>12399</v>
      </c>
      <c r="E4" s="6" t="n">
        <v>12755</v>
      </c>
      <c r="F4" s="6" t="n">
        <v>12939</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18.5%</t>
        </is>
      </c>
      <c r="C4" s="6" t="inlineStr">
        <is>
          <t>17.8%</t>
        </is>
      </c>
      <c r="D4" s="6" t="inlineStr">
        <is>
          <t>18.28%</t>
        </is>
      </c>
      <c r="E4" s="6" t="inlineStr">
        <is>
          <t>18.20%</t>
        </is>
      </c>
      <c r="F4" s="6" t="inlineStr">
        <is>
          <t>19.2%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14315</v>
      </c>
      <c r="C4" s="6" t="n">
        <v>13744</v>
      </c>
      <c r="D4" s="6" t="n">
        <v>14571</v>
      </c>
      <c r="E4" s="6" t="n">
        <v>14303</v>
      </c>
      <c r="F4" s="6" t="n">
        <v>14755</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21.3%</t>
        </is>
      </c>
      <c r="C4" s="6" t="inlineStr">
        <is>
          <t>21.0%</t>
        </is>
      </c>
      <c r="D4" s="6" t="inlineStr">
        <is>
          <t>21.48%</t>
        </is>
      </c>
      <c r="E4" s="6" t="inlineStr">
        <is>
          <t>20.41%</t>
        </is>
      </c>
      <c r="F4" s="6" t="inlineStr">
        <is>
          <t>21.9%</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67231</v>
      </c>
      <c r="C4" s="6" t="n">
        <v>65528</v>
      </c>
      <c r="D4" s="6" t="n">
        <v>67839</v>
      </c>
      <c r="E4" s="6" t="n">
        <v>70089</v>
      </c>
      <c r="F4" s="6" t="n">
        <v>67148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247722</v>
      </c>
      <c r="C4" s="6" t="n">
        <v>238445</v>
      </c>
      <c r="D4" s="6" t="n">
        <v>242900</v>
      </c>
      <c r="E4" s="6" t="n">
        <v>244000</v>
      </c>
      <c r="F4" s="6" t="n">
        <v>242100</v>
      </c>
    </row>
    <row r="5">
      <c r="A5" s="6" t="inlineStr">
        <is>
          <t>Leverage ratio excluding claims on central banks (%)</t>
        </is>
      </c>
      <c r="B5" s="6" t="inlineStr">
        <is>
          <t>5.0%</t>
        </is>
      </c>
      <c r="C5" s="6" t="inlineStr">
        <is>
          <t>4.9%</t>
        </is>
      </c>
      <c r="D5" s="6" t="inlineStr">
        <is>
          <t>5.1%</t>
        </is>
      </c>
      <c r="E5" s="6" t="inlineStr">
        <is>
          <t>5.2%</t>
        </is>
      </c>
      <c r="F5" s="6" t="inlineStr">
        <is>
          <t>5.3%</t>
        </is>
      </c>
    </row>
    <row r="6">
      <c r="A6" s="6" t="inlineStr">
        <is>
          <t>Leverage ratio including claims on central banks (%)</t>
        </is>
      </c>
      <c r="B6" s="6" t="inlineStr">
        <is>
          <t>4.5%</t>
        </is>
      </c>
      <c r="C6" s="6" t="inlineStr">
        <is>
          <t>4.3%</t>
        </is>
      </c>
      <c r="D6" s="6" t="inlineStr">
        <is>
          <t>4.4%</t>
        </is>
      </c>
      <c r="E6" s="6" t="inlineStr">
        <is>
          <t>4.4%</t>
        </is>
      </c>
      <c r="F6" s="6" t="inlineStr">
        <is>
          <t>4.3%</t>
        </is>
      </c>
    </row>
    <row r="7" ht="60" customHeight="1">
      <c r="A7" s="7" t="inlineStr">
        <is>
          <t>Note: FY2021's exposure measure/ratio ('UK1' basis, excluding claims on central banks per FPC recommendation) and the 'UK CRR' basis (including them, 293,800/4.3%)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46888</v>
      </c>
      <c r="C4" s="6" t="n">
        <v>43681</v>
      </c>
      <c r="D4" s="6" t="n">
        <v>47824</v>
      </c>
      <c r="E4" s="6" t="n">
        <v>46160</v>
      </c>
      <c r="F4" s="6" t="n">
        <v>51266</v>
      </c>
    </row>
    <row r="5">
      <c r="A5" s="6" t="inlineStr">
        <is>
          <t>Total net cash outflows, adjusted value</t>
        </is>
      </c>
      <c r="B5" s="6" t="n">
        <v>28951</v>
      </c>
      <c r="C5" s="6" t="n">
        <v>28323</v>
      </c>
      <c r="D5" s="6" t="n">
        <v>29985</v>
      </c>
      <c r="E5" s="6" t="n">
        <v>29448</v>
      </c>
      <c r="F5" s="6" t="n">
        <v>30439</v>
      </c>
    </row>
    <row r="6">
      <c r="A6" s="6" t="inlineStr">
        <is>
          <t>Liquidity Coverage Ratio (%)</t>
        </is>
      </c>
      <c r="B6" s="6" t="inlineStr">
        <is>
          <t>162%</t>
        </is>
      </c>
      <c r="C6" s="6" t="inlineStr">
        <is>
          <t>154%</t>
        </is>
      </c>
      <c r="D6" s="6" t="inlineStr">
        <is>
          <t>159.49%</t>
        </is>
      </c>
      <c r="E6" s="6" t="inlineStr">
        <is>
          <t>156.75%</t>
        </is>
      </c>
      <c r="F6" s="6" t="inlineStr">
        <is>
          <t>168.4%</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211913</v>
      </c>
      <c r="C4" s="6" t="n">
        <v>208000</v>
      </c>
      <c r="D4" s="6" t="n">
        <v>218975</v>
      </c>
      <c r="E4" s="6" t="n">
        <v>233408</v>
      </c>
      <c r="F4" s="6" t="n"/>
    </row>
    <row r="5">
      <c r="A5" s="6" t="inlineStr">
        <is>
          <t>Total required stable funding</t>
        </is>
      </c>
      <c r="B5" s="6" t="n">
        <v>156768</v>
      </c>
      <c r="C5" s="6" t="n">
        <v>151457</v>
      </c>
      <c r="D5" s="6" t="n">
        <v>158693</v>
      </c>
      <c r="E5" s="6" t="n">
        <v>170615</v>
      </c>
      <c r="F5" s="6" t="n"/>
    </row>
    <row r="6">
      <c r="A6" s="6" t="inlineStr">
        <is>
          <t>NSFR ratio (%)</t>
        </is>
      </c>
      <c r="B6" s="6" t="inlineStr">
        <is>
          <t>135%</t>
        </is>
      </c>
      <c r="C6" s="6" t="inlineStr">
        <is>
          <t>137%</t>
        </is>
      </c>
      <c r="D6" s="6" t="inlineStr">
        <is>
          <t>137.99%</t>
        </is>
      </c>
      <c r="E6" s="6" t="inlineStr">
        <is>
          <t>136.80%</t>
        </is>
      </c>
      <c r="F6" s="6" t="inlineStr">
        <is>
          <t>Not disclosed</t>
        </is>
      </c>
    </row>
    <row r="7" ht="60" customHeight="1">
      <c r="A7" s="7" t="inlineStr">
        <is>
          <t>Note: NSFR was not a UK Pillar 3 disclosure requirement as at FY2021 (the UK NSFR regime took effect from 1 January 2022), so no FY2021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2026-08-26T12:43:56Z</dcterms:created>
  <dcterms:modified xsi:type="dcterms:W3CDTF">2026-08-26T12:43:56Z</dcterms:modified>
</cp:coreProperties>
</file>