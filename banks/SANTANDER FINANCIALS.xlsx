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verview" sheetId="1" state="visible" r:id="rId1"/>
    <sheet xmlns:r="http://schemas.openxmlformats.org/officeDocument/2006/relationships" name="Balance Sheet" sheetId="2" state="visible" r:id="rId2"/>
    <sheet xmlns:r="http://schemas.openxmlformats.org/officeDocument/2006/relationships" name="Profit &amp; Loss" sheetId="3" state="visible" r:id="rId3"/>
    <sheet xmlns:r="http://schemas.openxmlformats.org/officeDocument/2006/relationships" name="Statement of Changes in Equity" sheetId="4" state="visible" r:id="rId4"/>
    <sheet xmlns:r="http://schemas.openxmlformats.org/officeDocument/2006/relationships" name="Cash Flow Statement" sheetId="5" state="visible" r:id="rId5"/>
    <sheet xmlns:r="http://schemas.openxmlformats.org/officeDocument/2006/relationships" name="Asset Quality" sheetId="6" state="visible" r:id="rId6"/>
    <sheet xmlns:r="http://schemas.openxmlformats.org/officeDocument/2006/relationships" name="Profitability" sheetId="7" state="visible" r:id="rId7"/>
    <sheet xmlns:r="http://schemas.openxmlformats.org/officeDocument/2006/relationships" name="KM1 Key Metrics" sheetId="8" state="visible" r:id="rId8"/>
    <sheet xmlns:r="http://schemas.openxmlformats.org/officeDocument/2006/relationships" name="CET1 Capital" sheetId="9" state="visible" r:id="rId9"/>
    <sheet xmlns:r="http://schemas.openxmlformats.org/officeDocument/2006/relationships" name="CET1 Ratio" sheetId="10" state="visible" r:id="rId10"/>
    <sheet xmlns:r="http://schemas.openxmlformats.org/officeDocument/2006/relationships" name="Tier 1 Capital" sheetId="11" state="visible" r:id="rId11"/>
    <sheet xmlns:r="http://schemas.openxmlformats.org/officeDocument/2006/relationships" name="Tier 1 Ratio" sheetId="12" state="visible" r:id="rId12"/>
    <sheet xmlns:r="http://schemas.openxmlformats.org/officeDocument/2006/relationships" name="Total Capital" sheetId="13" state="visible" r:id="rId13"/>
    <sheet xmlns:r="http://schemas.openxmlformats.org/officeDocument/2006/relationships" name="Total Capital Ratio" sheetId="14" state="visible" r:id="rId14"/>
    <sheet xmlns:r="http://schemas.openxmlformats.org/officeDocument/2006/relationships" name="Total RWAs" sheetId="15" state="visible" r:id="rId15"/>
    <sheet xmlns:r="http://schemas.openxmlformats.org/officeDocument/2006/relationships" name="RWA Breakdown" sheetId="16" state="visible" r:id="rId16"/>
    <sheet xmlns:r="http://schemas.openxmlformats.org/officeDocument/2006/relationships" name="Leverage Ratio" sheetId="17" state="visible" r:id="rId17"/>
    <sheet xmlns:r="http://schemas.openxmlformats.org/officeDocument/2006/relationships" name="LCR" sheetId="18" state="visible" r:id="rId18"/>
    <sheet xmlns:r="http://schemas.openxmlformats.org/officeDocument/2006/relationships" name="NSFR" sheetId="19" state="visible" r:id="rId19"/>
    <sheet xmlns:r="http://schemas.openxmlformats.org/officeDocument/2006/relationships" name="MREL Ratio" sheetId="20" state="visible" r:id="rId20"/>
    <sheet xmlns:r="http://schemas.openxmlformats.org/officeDocument/2006/relationships" name="Interim Pillar 3" sheetId="21" state="visible" r:id="rId21"/>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b val="1"/>
      <sz val="13"/>
    </font>
    <font>
      <i val="1"/>
      <color rgb="00666666"/>
      <sz val="9"/>
    </font>
    <font>
      <b val="1"/>
      <color rgb="00FFFFFF"/>
    </font>
    <font>
      <b val="1"/>
    </font>
    <font>
      <i val="1"/>
      <color rgb="00444444"/>
      <sz val="9"/>
    </font>
    <font>
      <name val="Calibri"/>
      <family val="2"/>
      <color theme="10"/>
      <sz val="12"/>
      <scheme val="minor"/>
    </font>
  </fonts>
  <fills count="3">
    <fill>
      <patternFill/>
    </fill>
    <fill>
      <patternFill patternType="gray125"/>
    </fill>
    <fill>
      <patternFill patternType="solid">
        <fgColor rgb="00EC0000"/>
        <bgColor rgb="00EC0000"/>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2">
    <xf numFmtId="0" fontId="0" fillId="0" borderId="0"/>
    <xf numFmtId="0" fontId="6" fillId="0" borderId="0"/>
  </cellStyleXfs>
  <cellXfs count="10">
    <xf numFmtId="0" fontId="0" fillId="0" borderId="0" pivotButton="0" quotePrefix="0" xfId="0"/>
    <xf numFmtId="0" fontId="1" fillId="0" borderId="0" pivotButton="0" quotePrefix="0" xfId="0"/>
    <xf numFmtId="0" fontId="2" fillId="0" borderId="0" pivotButton="0" quotePrefix="0" xfId="0"/>
    <xf numFmtId="0" fontId="4" fillId="0" borderId="0" pivotButton="0" quotePrefix="0" xfId="0"/>
    <xf numFmtId="0" fontId="3" fillId="2" borderId="0" applyAlignment="1" pivotButton="0" quotePrefix="0" xfId="0">
      <alignment horizontal="left" vertical="center" wrapText="1"/>
    </xf>
    <xf numFmtId="0" fontId="4" fillId="0" borderId="1" pivotButton="0" quotePrefix="0" xfId="0"/>
    <xf numFmtId="0" fontId="0" fillId="0" borderId="1" pivotButton="0" quotePrefix="0" xfId="0"/>
    <xf numFmtId="0" fontId="2" fillId="0" borderId="0" applyAlignment="1" pivotButton="0" quotePrefix="0" xfId="0">
      <alignment horizontal="left" vertical="top" wrapText="1"/>
    </xf>
    <xf numFmtId="0" fontId="5" fillId="0" borderId="0" applyAlignment="1" pivotButton="0" quotePrefix="0" xfId="0">
      <alignment horizontal="left" vertical="top" wrapText="1"/>
    </xf>
    <xf numFmtId="0" fontId="6"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styles" Target="styles.xml" Id="rId22"/><Relationship Type="http://schemas.openxmlformats.org/officeDocument/2006/relationships/theme" Target="theme/theme1.xml" Id="rId23"/></Relationships>
</file>

<file path=xl/charts/chart1.xml><?xml version="1.0" encoding="utf-8"?>
<chartSpace xmlns="http://schemas.openxmlformats.org/drawingml/2006/chart">
  <chart>
    <title>
      <tx>
        <rich>
          <a:bodyPr xmlns:a="http://schemas.openxmlformats.org/drawingml/2006/main"/>
          <a:p xmlns:a="http://schemas.openxmlformats.org/drawingml/2006/main">
            <a:pPr>
              <a:defRPr/>
            </a:pPr>
            <a:r>
              <a:t>Santander UK Plc — Balance Sheet Summary by Year</a:t>
            </a:r>
          </a:p>
        </rich>
      </tx>
    </title>
    <plotArea>
      <layout>
        <manualLayout>
          <layoutTarget val="inner"/>
          <xMode val="edge"/>
          <yMode val="edge"/>
          <wMode val="factor"/>
          <hMode val="factor"/>
          <x val="0.1"/>
          <y val="0.14"/>
          <w val="0.85"/>
          <h val="0.55"/>
        </manualLayout>
      </layout>
      <barChart>
        <barDir val="col"/>
        <grouping val="clustered"/>
        <ser>
          <idx val="0"/>
          <order val="0"/>
          <tx>
            <strRef>
              <f>'Overview'!J6</f>
            </strRef>
          </tx>
          <spPr>
            <a:ln xmlns:a="http://schemas.openxmlformats.org/drawingml/2006/main">
              <a:prstDash val="solid"/>
            </a:ln>
          </spPr>
          <cat>
            <numRef>
              <f>'Overview'!$K$5:$P$5</f>
            </numRef>
          </cat>
          <val>
            <numRef>
              <f>'Overview'!$K$6:$P$6</f>
            </numRef>
          </val>
        </ser>
        <ser>
          <idx val="1"/>
          <order val="1"/>
          <tx>
            <strRef>
              <f>'Overview'!J7</f>
            </strRef>
          </tx>
          <spPr>
            <a:ln xmlns:a="http://schemas.openxmlformats.org/drawingml/2006/main">
              <a:prstDash val="solid"/>
            </a:ln>
          </spPr>
          <cat>
            <numRef>
              <f>'Overview'!$K$5:$P$5</f>
            </numRef>
          </cat>
          <val>
            <numRef>
              <f>'Overview'!$K$7:$P$7</f>
            </numRef>
          </val>
        </ser>
        <ser>
          <idx val="2"/>
          <order val="2"/>
          <tx>
            <strRef>
              <f>'Overview'!J8</f>
            </strRef>
          </tx>
          <spPr>
            <a:ln xmlns:a="http://schemas.openxmlformats.org/drawingml/2006/main">
              <a:prstDash val="solid"/>
            </a:ln>
          </spPr>
          <cat>
            <numRef>
              <f>'Overview'!$K$5:$P$5</f>
            </numRef>
          </cat>
          <val>
            <numRef>
              <f>'Overview'!$K$8:$P$8</f>
            </numRef>
          </val>
        </ser>
        <ser>
          <idx val="3"/>
          <order val="3"/>
          <tx>
            <strRef>
              <f>'Overview'!J9</f>
            </strRef>
          </tx>
          <spPr>
            <a:ln xmlns:a="http://schemas.openxmlformats.org/drawingml/2006/main">
              <a:prstDash val="solid"/>
            </a:ln>
          </spPr>
          <cat>
            <numRef>
              <f>'Overview'!$K$5:$P$5</f>
            </numRef>
          </cat>
          <val>
            <numRef>
              <f>'Overview'!$K$9:$P$9</f>
            </numRef>
          </val>
        </ser>
        <gapWidth val="150"/>
        <axId val="10"/>
        <axId val="100"/>
      </barChart>
      <catAx>
        <axId val="10"/>
        <scaling>
          <orientation val="minMax"/>
        </scaling>
        <delete val="0"/>
        <axPos val="b"/>
        <majorTickMark val="out"/>
        <minorTickMark val="none"/>
        <tickLblPos val="nextTo"/>
        <crossAx val="100"/>
        <lblOffset val="100"/>
      </catAx>
      <valAx>
        <axId val="100"/>
        <scaling>
          <orientation val="minMax"/>
        </scaling>
        <delete val="0"/>
        <axPos val="l"/>
        <majorGridlines/>
        <title>
          <tx>
            <rich>
              <a:bodyPr xmlns:a="http://schemas.openxmlformats.org/drawingml/2006/main"/>
              <a:p xmlns:a="http://schemas.openxmlformats.org/drawingml/2006/main">
                <a:pPr>
                  <a:defRPr/>
                </a:pPr>
                <a:r>
                  <a:t>£m</a:t>
                </a:r>
              </a:p>
            </rich>
          </tx>
        </title>
        <majorTickMark val="out"/>
        <minorTickMark val="none"/>
        <tickLblPos val="nextTo"/>
        <crossAx val="10"/>
      </valAx>
    </plotArea>
    <legend>
      <legendPos val="b"/>
      <layout>
        <manualLayout>
          <xMode val="edge"/>
          <yMode val="edge"/>
          <wMode val="factor"/>
          <hMode val="factor"/>
          <x val="0.02"/>
          <y val="0.84"/>
          <w val="0.96"/>
          <h val="0.16"/>
        </manualLayout>
      </layout>
    </legend>
    <plotVisOnly val="0"/>
    <dispBlanksAs val="gap"/>
  </chart>
</chartSpace>
</file>

<file path=xl/charts/chart2.xml><?xml version="1.0" encoding="utf-8"?>
<chartSpace xmlns="http://schemas.openxmlformats.org/drawingml/2006/chart">
  <chart>
    <title>
      <tx>
        <rich>
          <a:bodyPr xmlns:a="http://schemas.openxmlformats.org/drawingml/2006/main"/>
          <a:p xmlns:a="http://schemas.openxmlformats.org/drawingml/2006/main">
            <a:pPr>
              <a:defRPr/>
            </a:pPr>
            <a:r>
              <a:t>Santander UK Plc — Profit &amp; Loss Summary by Year</a:t>
            </a:r>
          </a:p>
        </rich>
      </tx>
    </title>
    <plotArea>
      <layout>
        <manualLayout>
          <layoutTarget val="inner"/>
          <xMode val="edge"/>
          <yMode val="edge"/>
          <wMode val="factor"/>
          <hMode val="factor"/>
          <x val="0.1"/>
          <y val="0.14"/>
          <w val="0.85"/>
          <h val="0.55"/>
        </manualLayout>
      </layout>
      <barChart>
        <barDir val="col"/>
        <grouping val="clustered"/>
        <ser>
          <idx val="0"/>
          <order val="0"/>
          <tx>
            <strRef>
              <f>'Overview'!S13</f>
            </strRef>
          </tx>
          <spPr>
            <a:ln xmlns:a="http://schemas.openxmlformats.org/drawingml/2006/main">
              <a:prstDash val="solid"/>
            </a:ln>
          </spPr>
          <cat>
            <numRef>
              <f>'Overview'!$T$12:$Y$12</f>
            </numRef>
          </cat>
          <val>
            <numRef>
              <f>'Overview'!$T$13:$Y$13</f>
            </numRef>
          </val>
        </ser>
        <ser>
          <idx val="1"/>
          <order val="1"/>
          <tx>
            <strRef>
              <f>'Overview'!S14</f>
            </strRef>
          </tx>
          <spPr>
            <a:ln xmlns:a="http://schemas.openxmlformats.org/drawingml/2006/main">
              <a:prstDash val="solid"/>
            </a:ln>
          </spPr>
          <cat>
            <numRef>
              <f>'Overview'!$T$12:$Y$12</f>
            </numRef>
          </cat>
          <val>
            <numRef>
              <f>'Overview'!$T$14:$Y$14</f>
            </numRef>
          </val>
        </ser>
        <ser>
          <idx val="2"/>
          <order val="2"/>
          <tx>
            <strRef>
              <f>'Overview'!S15</f>
            </strRef>
          </tx>
          <spPr>
            <a:ln xmlns:a="http://schemas.openxmlformats.org/drawingml/2006/main">
              <a:prstDash val="solid"/>
            </a:ln>
          </spPr>
          <cat>
            <numRef>
              <f>'Overview'!$T$12:$Y$12</f>
            </numRef>
          </cat>
          <val>
            <numRef>
              <f>'Overview'!$T$15:$Y$15</f>
            </numRef>
          </val>
        </ser>
        <gapWidth val="150"/>
        <axId val="10"/>
        <axId val="100"/>
      </barChart>
      <catAx>
        <axId val="10"/>
        <scaling>
          <orientation val="minMax"/>
        </scaling>
        <delete val="0"/>
        <axPos val="b"/>
        <majorTickMark val="out"/>
        <minorTickMark val="none"/>
        <tickLblPos val="nextTo"/>
        <crossAx val="100"/>
        <lblOffset val="100"/>
      </catAx>
      <valAx>
        <axId val="100"/>
        <scaling>
          <orientation val="minMax"/>
        </scaling>
        <delete val="0"/>
        <axPos val="l"/>
        <majorGridlines/>
        <title>
          <tx>
            <rich>
              <a:bodyPr xmlns:a="http://schemas.openxmlformats.org/drawingml/2006/main"/>
              <a:p xmlns:a="http://schemas.openxmlformats.org/drawingml/2006/main">
                <a:pPr>
                  <a:defRPr/>
                </a:pPr>
                <a:r>
                  <a:t>£m</a:t>
                </a:r>
              </a:p>
            </rich>
          </tx>
        </title>
        <majorTickMark val="out"/>
        <minorTickMark val="none"/>
        <tickLblPos val="nextTo"/>
        <crossAx val="10"/>
      </valAx>
    </plotArea>
    <legend>
      <legendPos val="b"/>
      <layout>
        <manualLayout>
          <xMode val="edge"/>
          <yMode val="edge"/>
          <wMode val="factor"/>
          <hMode val="factor"/>
          <x val="0.02"/>
          <y val="0.84"/>
          <w val="0.96"/>
          <h val="0.16"/>
        </manualLayout>
      </layout>
    </legend>
    <plotVisOnly val="0"/>
    <dispBlanksAs val="gap"/>
  </chart>
</chartSpace>
</file>

<file path=xl/charts/chart3.xml><?xml version="1.0" encoding="utf-8"?>
<chartSpace xmlns="http://schemas.openxmlformats.org/drawingml/2006/chart">
  <chart>
    <title>
      <tx>
        <rich>
          <a:bodyPr xmlns:a="http://schemas.openxmlformats.org/drawingml/2006/main"/>
          <a:p xmlns:a="http://schemas.openxmlformats.org/drawingml/2006/main">
            <a:pPr>
              <a:defRPr/>
            </a:pPr>
            <a:r>
              <a:t>Santander UK Plc — Statement of Changes in Equity Summary by Year</a:t>
            </a:r>
          </a:p>
        </rich>
      </tx>
    </title>
    <plotArea>
      <layout>
        <manualLayout>
          <layoutTarget val="inner"/>
          <xMode val="edge"/>
          <yMode val="edge"/>
          <wMode val="factor"/>
          <hMode val="factor"/>
          <x val="0.1"/>
          <y val="0.14"/>
          <w val="0.85"/>
          <h val="0.55"/>
        </manualLayout>
      </layout>
      <barChart>
        <barDir val="col"/>
        <grouping val="clustered"/>
        <ser>
          <idx val="0"/>
          <order val="0"/>
          <tx>
            <strRef>
              <f>'Overview'!AB19</f>
            </strRef>
          </tx>
          <spPr>
            <a:ln xmlns:a="http://schemas.openxmlformats.org/drawingml/2006/main">
              <a:prstDash val="solid"/>
            </a:ln>
          </spPr>
          <cat>
            <numRef>
              <f>'Overview'!$AC$18:$AH$18</f>
            </numRef>
          </cat>
          <val>
            <numRef>
              <f>'Overview'!$AC$19:$AH$19</f>
            </numRef>
          </val>
        </ser>
        <ser>
          <idx val="1"/>
          <order val="1"/>
          <tx>
            <strRef>
              <f>'Overview'!AB20</f>
            </strRef>
          </tx>
          <spPr>
            <a:ln xmlns:a="http://schemas.openxmlformats.org/drawingml/2006/main">
              <a:prstDash val="solid"/>
            </a:ln>
          </spPr>
          <cat>
            <numRef>
              <f>'Overview'!$AC$18:$AH$18</f>
            </numRef>
          </cat>
          <val>
            <numRef>
              <f>'Overview'!$AC$20:$AH$20</f>
            </numRef>
          </val>
        </ser>
        <ser>
          <idx val="2"/>
          <order val="2"/>
          <tx>
            <strRef>
              <f>'Overview'!AB21</f>
            </strRef>
          </tx>
          <spPr>
            <a:ln xmlns:a="http://schemas.openxmlformats.org/drawingml/2006/main">
              <a:prstDash val="solid"/>
            </a:ln>
          </spPr>
          <cat>
            <numRef>
              <f>'Overview'!$AC$18:$AH$18</f>
            </numRef>
          </cat>
          <val>
            <numRef>
              <f>'Overview'!$AC$21:$AH$21</f>
            </numRef>
          </val>
        </ser>
        <ser>
          <idx val="3"/>
          <order val="3"/>
          <tx>
            <strRef>
              <f>'Overview'!AB22</f>
            </strRef>
          </tx>
          <spPr>
            <a:ln xmlns:a="http://schemas.openxmlformats.org/drawingml/2006/main">
              <a:prstDash val="solid"/>
            </a:ln>
          </spPr>
          <cat>
            <numRef>
              <f>'Overview'!$AC$18:$AH$18</f>
            </numRef>
          </cat>
          <val>
            <numRef>
              <f>'Overview'!$AC$22:$AH$22</f>
            </numRef>
          </val>
        </ser>
        <gapWidth val="150"/>
        <axId val="10"/>
        <axId val="100"/>
      </barChart>
      <catAx>
        <axId val="10"/>
        <scaling>
          <orientation val="minMax"/>
        </scaling>
        <delete val="0"/>
        <axPos val="b"/>
        <majorTickMark val="out"/>
        <minorTickMark val="none"/>
        <tickLblPos val="nextTo"/>
        <crossAx val="100"/>
        <lblOffset val="100"/>
      </catAx>
      <valAx>
        <axId val="100"/>
        <scaling>
          <orientation val="minMax"/>
        </scaling>
        <delete val="0"/>
        <axPos val="l"/>
        <majorGridlines/>
        <title>
          <tx>
            <rich>
              <a:bodyPr xmlns:a="http://schemas.openxmlformats.org/drawingml/2006/main"/>
              <a:p xmlns:a="http://schemas.openxmlformats.org/drawingml/2006/main">
                <a:pPr>
                  <a:defRPr/>
                </a:pPr>
                <a:r>
                  <a:t>£m</a:t>
                </a:r>
              </a:p>
            </rich>
          </tx>
        </title>
        <majorTickMark val="out"/>
        <minorTickMark val="none"/>
        <tickLblPos val="nextTo"/>
        <crossAx val="10"/>
      </valAx>
    </plotArea>
    <legend>
      <legendPos val="b"/>
      <layout>
        <manualLayout>
          <xMode val="edge"/>
          <yMode val="edge"/>
          <wMode val="factor"/>
          <hMode val="factor"/>
          <x val="0.02"/>
          <y val="0.84"/>
          <w val="0.96"/>
          <h val="0.16"/>
        </manualLayout>
      </layout>
    </legend>
    <plotVisOnly val="0"/>
    <dispBlanksAs val="gap"/>
  </chart>
</chartSpace>
</file>

<file path=xl/charts/chart4.xml><?xml version="1.0" encoding="utf-8"?>
<chartSpace xmlns="http://schemas.openxmlformats.org/drawingml/2006/chart">
  <chart>
    <title>
      <tx>
        <rich>
          <a:bodyPr xmlns:a="http://schemas.openxmlformats.org/drawingml/2006/main"/>
          <a:p xmlns:a="http://schemas.openxmlformats.org/drawingml/2006/main">
            <a:pPr>
              <a:defRPr/>
            </a:pPr>
            <a:r>
              <a:t>Santander UK Plc — Cash Flow Summary by Year</a:t>
            </a:r>
          </a:p>
        </rich>
      </tx>
    </title>
    <plotArea>
      <layout>
        <manualLayout>
          <layoutTarget val="inner"/>
          <xMode val="edge"/>
          <yMode val="edge"/>
          <wMode val="factor"/>
          <hMode val="factor"/>
          <x val="0.1"/>
          <y val="0.14"/>
          <w val="0.85"/>
          <h val="0.55"/>
        </manualLayout>
      </layout>
      <barChart>
        <barDir val="col"/>
        <grouping val="clustered"/>
        <ser>
          <idx val="0"/>
          <order val="0"/>
          <tx>
            <strRef>
              <f>'Overview'!AK26</f>
            </strRef>
          </tx>
          <spPr>
            <a:ln xmlns:a="http://schemas.openxmlformats.org/drawingml/2006/main">
              <a:prstDash val="solid"/>
            </a:ln>
          </spPr>
          <cat>
            <numRef>
              <f>'Overview'!$AL$25:$AQ$25</f>
            </numRef>
          </cat>
          <val>
            <numRef>
              <f>'Overview'!$AL$26:$AQ$26</f>
            </numRef>
          </val>
        </ser>
        <ser>
          <idx val="1"/>
          <order val="1"/>
          <tx>
            <strRef>
              <f>'Overview'!AK27</f>
            </strRef>
          </tx>
          <spPr>
            <a:ln xmlns:a="http://schemas.openxmlformats.org/drawingml/2006/main">
              <a:prstDash val="solid"/>
            </a:ln>
          </spPr>
          <cat>
            <numRef>
              <f>'Overview'!$AL$25:$AQ$25</f>
            </numRef>
          </cat>
          <val>
            <numRef>
              <f>'Overview'!$AL$27:$AQ$27</f>
            </numRef>
          </val>
        </ser>
        <ser>
          <idx val="2"/>
          <order val="2"/>
          <tx>
            <strRef>
              <f>'Overview'!AK28</f>
            </strRef>
          </tx>
          <spPr>
            <a:ln xmlns:a="http://schemas.openxmlformats.org/drawingml/2006/main">
              <a:prstDash val="solid"/>
            </a:ln>
          </spPr>
          <cat>
            <numRef>
              <f>'Overview'!$AL$25:$AQ$25</f>
            </numRef>
          </cat>
          <val>
            <numRef>
              <f>'Overview'!$AL$28:$AQ$28</f>
            </numRef>
          </val>
        </ser>
        <ser>
          <idx val="3"/>
          <order val="3"/>
          <tx>
            <strRef>
              <f>'Overview'!AK29</f>
            </strRef>
          </tx>
          <spPr>
            <a:ln xmlns:a="http://schemas.openxmlformats.org/drawingml/2006/main">
              <a:prstDash val="solid"/>
            </a:ln>
          </spPr>
          <cat>
            <numRef>
              <f>'Overview'!$AL$25:$AQ$25</f>
            </numRef>
          </cat>
          <val>
            <numRef>
              <f>'Overview'!$AL$29:$AQ$29</f>
            </numRef>
          </val>
        </ser>
        <gapWidth val="150"/>
        <axId val="10"/>
        <axId val="100"/>
      </barChart>
      <catAx>
        <axId val="10"/>
        <scaling>
          <orientation val="minMax"/>
        </scaling>
        <delete val="0"/>
        <axPos val="b"/>
        <majorTickMark val="out"/>
        <minorTickMark val="none"/>
        <tickLblPos val="nextTo"/>
        <crossAx val="100"/>
        <lblOffset val="100"/>
      </catAx>
      <valAx>
        <axId val="100"/>
        <scaling>
          <orientation val="minMax"/>
        </scaling>
        <delete val="0"/>
        <axPos val="l"/>
        <majorGridlines/>
        <title>
          <tx>
            <rich>
              <a:bodyPr xmlns:a="http://schemas.openxmlformats.org/drawingml/2006/main"/>
              <a:p xmlns:a="http://schemas.openxmlformats.org/drawingml/2006/main">
                <a:pPr>
                  <a:defRPr/>
                </a:pPr>
                <a:r>
                  <a:t>£m</a:t>
                </a:r>
              </a:p>
            </rich>
          </tx>
        </title>
        <majorTickMark val="out"/>
        <minorTickMark val="none"/>
        <tickLblPos val="nextTo"/>
        <crossAx val="10"/>
      </valAx>
    </plotArea>
    <legend>
      <legendPos val="b"/>
      <layout>
        <manualLayout>
          <xMode val="edge"/>
          <yMode val="edge"/>
          <wMode val="factor"/>
          <hMode val="factor"/>
          <x val="0.02"/>
          <y val="0.84"/>
          <w val="0.96"/>
          <h val="0.16"/>
        </manualLayout>
      </layout>
    </legend>
    <plotVisOnly val="0"/>
    <dispBlanksAs val="gap"/>
  </chart>
</chartSpace>
</file>

<file path=xl/charts/chart5.xml><?xml version="1.0" encoding="utf-8"?>
<chartSpace xmlns="http://schemas.openxmlformats.org/drawingml/2006/chart">
  <chart>
    <title>
      <tx>
        <rich>
          <a:bodyPr xmlns:a="http://schemas.openxmlformats.org/drawingml/2006/main"/>
          <a:p xmlns:a="http://schemas.openxmlformats.org/drawingml/2006/main">
            <a:pPr>
              <a:defRPr/>
            </a:pPr>
            <a:r>
              <a:t>Santander UK Plc — Pillar 3 Key Metrics by Year</a:t>
            </a:r>
          </a:p>
        </rich>
      </tx>
    </title>
    <plotArea>
      <layout>
        <manualLayout>
          <layoutTarget val="inner"/>
          <xMode val="edge"/>
          <yMode val="edge"/>
          <wMode val="factor"/>
          <hMode val="factor"/>
          <x val="0.1"/>
          <y val="0.12"/>
          <w val="0.85"/>
          <h val="0.5"/>
        </manualLayout>
      </layout>
      <lineChart>
        <grouping val="standard"/>
        <ser>
          <idx val="0"/>
          <order val="0"/>
          <tx>
            <strRef>
              <f>'Overview'!AT6</f>
            </strRef>
          </tx>
          <spPr>
            <a:ln xmlns:a="http://schemas.openxmlformats.org/drawingml/2006/main">
              <a:prstDash val="solid"/>
            </a:ln>
          </spPr>
          <marker>
            <symbol val="none"/>
            <spPr>
              <a:ln xmlns:a="http://schemas.openxmlformats.org/drawingml/2006/main">
                <a:prstDash val="solid"/>
              </a:ln>
            </spPr>
          </marker>
          <cat>
            <numRef>
              <f>'Overview'!$AU$5:$AZ$5</f>
            </numRef>
          </cat>
          <val>
            <numRef>
              <f>'Overview'!$AU$6:$AZ$6</f>
            </numRef>
          </val>
          <smooth val="0"/>
        </ser>
        <ser>
          <idx val="1"/>
          <order val="1"/>
          <tx>
            <strRef>
              <f>'Overview'!AT7</f>
            </strRef>
          </tx>
          <spPr>
            <a:ln xmlns:a="http://schemas.openxmlformats.org/drawingml/2006/main">
              <a:prstDash val="solid"/>
            </a:ln>
          </spPr>
          <marker>
            <symbol val="none"/>
            <spPr>
              <a:ln xmlns:a="http://schemas.openxmlformats.org/drawingml/2006/main">
                <a:prstDash val="solid"/>
              </a:ln>
            </spPr>
          </marker>
          <cat>
            <numRef>
              <f>'Overview'!$AU$5:$AZ$5</f>
            </numRef>
          </cat>
          <val>
            <numRef>
              <f>'Overview'!$AU$7:$AZ$7</f>
            </numRef>
          </val>
          <smooth val="0"/>
        </ser>
        <ser>
          <idx val="2"/>
          <order val="2"/>
          <tx>
            <strRef>
              <f>'Overview'!AT8</f>
            </strRef>
          </tx>
          <spPr>
            <a:ln xmlns:a="http://schemas.openxmlformats.org/drawingml/2006/main">
              <a:prstDash val="solid"/>
            </a:ln>
          </spPr>
          <marker>
            <symbol val="none"/>
            <spPr>
              <a:ln xmlns:a="http://schemas.openxmlformats.org/drawingml/2006/main">
                <a:prstDash val="solid"/>
              </a:ln>
            </spPr>
          </marker>
          <cat>
            <numRef>
              <f>'Overview'!$AU$5:$AZ$5</f>
            </numRef>
          </cat>
          <val>
            <numRef>
              <f>'Overview'!$AU$8:$AZ$8</f>
            </numRef>
          </val>
          <smooth val="0"/>
        </ser>
        <ser>
          <idx val="3"/>
          <order val="3"/>
          <tx>
            <strRef>
              <f>'Overview'!AT9</f>
            </strRef>
          </tx>
          <spPr>
            <a:ln xmlns:a="http://schemas.openxmlformats.org/drawingml/2006/main">
              <a:prstDash val="solid"/>
            </a:ln>
          </spPr>
          <marker>
            <symbol val="none"/>
            <spPr>
              <a:ln xmlns:a="http://schemas.openxmlformats.org/drawingml/2006/main">
                <a:prstDash val="solid"/>
              </a:ln>
            </spPr>
          </marker>
          <cat>
            <numRef>
              <f>'Overview'!$AU$5:$AZ$5</f>
            </numRef>
          </cat>
          <val>
            <numRef>
              <f>'Overview'!$AU$9:$AZ$9</f>
            </numRef>
          </val>
          <smooth val="0"/>
        </ser>
        <ser>
          <idx val="4"/>
          <order val="4"/>
          <tx>
            <strRef>
              <f>'Overview'!AT10</f>
            </strRef>
          </tx>
          <spPr>
            <a:ln xmlns:a="http://schemas.openxmlformats.org/drawingml/2006/main">
              <a:prstDash val="solid"/>
            </a:ln>
          </spPr>
          <marker>
            <symbol val="none"/>
            <spPr>
              <a:ln xmlns:a="http://schemas.openxmlformats.org/drawingml/2006/main">
                <a:prstDash val="solid"/>
              </a:ln>
            </spPr>
          </marker>
          <cat>
            <numRef>
              <f>'Overview'!$AU$5:$AZ$5</f>
            </numRef>
          </cat>
          <val>
            <numRef>
              <f>'Overview'!$AU$10:$AZ$10</f>
            </numRef>
          </val>
          <smooth val="0"/>
        </ser>
        <ser>
          <idx val="5"/>
          <order val="5"/>
          <tx>
            <strRef>
              <f>'Overview'!AT11</f>
            </strRef>
          </tx>
          <spPr>
            <a:ln xmlns:a="http://schemas.openxmlformats.org/drawingml/2006/main">
              <a:prstDash val="solid"/>
            </a:ln>
          </spPr>
          <marker>
            <symbol val="none"/>
            <spPr>
              <a:ln xmlns:a="http://schemas.openxmlformats.org/drawingml/2006/main">
                <a:prstDash val="solid"/>
              </a:ln>
            </spPr>
          </marker>
          <cat>
            <numRef>
              <f>'Overview'!$AU$5:$AZ$5</f>
            </numRef>
          </cat>
          <val>
            <numRef>
              <f>'Overview'!$AU$11:$AZ$11</f>
            </numRef>
          </val>
          <smooth val="0"/>
        </ser>
        <axId val="10"/>
        <axId val="100"/>
      </lineChart>
      <catAx>
        <axId val="10"/>
        <scaling>
          <orientation val="minMax"/>
        </scaling>
        <delete val="0"/>
        <axPos val="b"/>
        <majorTickMark val="out"/>
        <minorTickMark val="none"/>
        <tickLblPos val="nextTo"/>
        <crossAx val="100"/>
        <lblOffset val="100"/>
      </catAx>
      <valAx>
        <axId val="100"/>
        <scaling>
          <orientation val="minMax"/>
        </scaling>
        <delete val="0"/>
        <axPos val="l"/>
        <majorGridlines/>
        <title>
          <tx>
            <rich>
              <a:bodyPr xmlns:a="http://schemas.openxmlformats.org/drawingml/2006/main"/>
              <a:p xmlns:a="http://schemas.openxmlformats.org/drawingml/2006/main">
                <a:pPr>
                  <a:defRPr/>
                </a:pPr>
                <a:r>
                  <a:t>%</a:t>
                </a:r>
              </a:p>
            </rich>
          </tx>
        </title>
        <majorTickMark val="out"/>
        <minorTickMark val="none"/>
        <tickLblPos val="nextTo"/>
        <crossAx val="10"/>
      </valAx>
    </plotArea>
    <legend>
      <legendPos val="b"/>
      <layout>
        <manualLayout>
          <xMode val="edge"/>
          <yMode val="edge"/>
          <wMode val="factor"/>
          <hMode val="factor"/>
          <x val="0.02"/>
          <y val="0.78"/>
          <w val="0.96"/>
          <h val="0.22"/>
        </manualLayout>
      </layout>
    </legend>
    <plotVisOnly val="0"/>
    <dispBlanksAs val="gap"/>
  </chart>
</chartSpace>
</file>

<file path=xl/drawings/_rels/drawing1.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 Type="http://schemas.openxmlformats.org/officeDocument/2006/relationships/chart" Target="/xl/charts/chart3.xml" Id="rId3"/><Relationship Type="http://schemas.openxmlformats.org/officeDocument/2006/relationships/chart" Target="/xl/charts/chart4.xml" Id="rId4"/><Relationship Type="http://schemas.openxmlformats.org/officeDocument/2006/relationships/chart" Target="/xl/charts/chart5.xml" Id="rId5"/></Relationships>
</file>

<file path=xl/drawings/drawing1.xml><?xml version="1.0" encoding="utf-8"?>
<wsDr xmlns="http://schemas.openxmlformats.org/drawingml/2006/spreadsheetDrawing">
  <oneCellAnchor>
    <from>
      <col>0</col>
      <colOff>0</colOff>
      <row>42</row>
      <rowOff>0</rowOff>
    </from>
    <ext cx="8640000" cy="46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0</col>
      <colOff>0</colOff>
      <row>64</row>
      <rowOff>0</rowOff>
    </from>
    <ext cx="8640000" cy="468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oneCellAnchor>
    <from>
      <col>0</col>
      <colOff>0</colOff>
      <row>86</row>
      <rowOff>0</rowOff>
    </from>
    <ext cx="8640000" cy="4680000"/>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oneCellAnchor>
  <oneCellAnchor>
    <from>
      <col>0</col>
      <colOff>0</colOff>
      <row>108</row>
      <rowOff>0</rowOff>
    </from>
    <ext cx="8640000" cy="4680000"/>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oneCellAnchor>
  <oneCellAnchor>
    <from>
      <col>0</col>
      <colOff>0</colOff>
      <row>130</row>
      <rowOff>0</rowOff>
    </from>
    <ext cx="8640000" cy="5760000"/>
    <graphicFrame>
      <nvGraphicFramePr>
        <cNvPr id="5" name="Chart 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5"/>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21.xml.rels><Relationships xmlns="http://schemas.openxmlformats.org/package/2006/relationships"><Relationship Type="http://schemas.openxmlformats.org/officeDocument/2006/relationships/hyperlink" Target="https://assets.santandermedia.com/adobe/assets/urn:aaid:aem:94435843-ac08-4d49-8c4b-0c86bb0f4271/original/as/Santander%20UK%202026%20Half%20Yearly%20ACRMD.pdf" TargetMode="External" Id="rId1"/><Relationship Type="http://schemas.openxmlformats.org/officeDocument/2006/relationships/hyperlink" Target="https://assets.santandermedia.com/adobe/assets/urn:aaid:aem:f00ce81d-d424-4cf6-8b64-9e3df1ff0aa3/original/as/Q1-26SantanderUKACRMD_1.pdf" TargetMode="External" Id="rId2"/><Relationship Type="http://schemas.openxmlformats.org/officeDocument/2006/relationships/hyperlink" Target="https://assets.santandermedia.com/adobe/assets/urn:aaid:aem:94435843-ac08-4d49-8c4b-0c86bb0f4271/original/as/Santander%20UK%202026%20Half%20Yearly%20ACRMD.pdf" TargetMode="External" Id="rId3"/><Relationship Type="http://schemas.openxmlformats.org/officeDocument/2006/relationships/hyperlink" Target="https://assets.santandermedia.com/adobe/assets/urn:aaid:aem:f00ce81d-d424-4cf6-8b64-9e3df1ff0aa3/original/as/Q1-26SantanderUKACRMD_1.pdf" TargetMode="External" Id="rId4"/><Relationship Type="http://schemas.openxmlformats.org/officeDocument/2006/relationships/hyperlink" Target="https://assets.santandermedia.com/adobe/assets/urn:aaid:aem:94435843-ac08-4d49-8c4b-0c86bb0f4271/original/as/Santander%20UK%202026%20Half%20Yearly%20ACRMD.pdf" TargetMode="External" Id="rId5"/><Relationship Type="http://schemas.openxmlformats.org/officeDocument/2006/relationships/hyperlink" Target="https://assets.santandermedia.com/adobe/assets/urn:aaid:aem:f00ce81d-d424-4cf6-8b64-9e3df1ff0aa3/original/as/Q1-26SantanderUKACRMD_1.pdf" TargetMode="External" Id="rId6"/><Relationship Type="http://schemas.openxmlformats.org/officeDocument/2006/relationships/hyperlink" Target="https://assets.santandermedia.com/adobe/assets/urn:aaid:aem:94435843-ac08-4d49-8c4b-0c86bb0f4271/original/as/Santander%20UK%202026%20Half%20Yearly%20ACRMD.pdf" TargetMode="External" Id="rId7"/><Relationship Type="http://schemas.openxmlformats.org/officeDocument/2006/relationships/hyperlink" Target="https://assets.santandermedia.com/adobe/assets/urn:aaid:aem:f00ce81d-d424-4cf6-8b64-9e3df1ff0aa3/original/as/Q1-26SantanderUKACRMD_1.pdf" TargetMode="External" Id="rId8"/><Relationship Type="http://schemas.openxmlformats.org/officeDocument/2006/relationships/hyperlink" Target="https://assets.santandermedia.com/adobe/assets/urn:aaid:aem:94435843-ac08-4d49-8c4b-0c86bb0f4271/original/as/Santander%20UK%202026%20Half%20Yearly%20ACRMD.pdf" TargetMode="External" Id="rId9"/><Relationship Type="http://schemas.openxmlformats.org/officeDocument/2006/relationships/hyperlink" Target="https://assets.santandermedia.com/adobe/assets/urn:aaid:aem:f00ce81d-d424-4cf6-8b64-9e3df1ff0aa3/original/as/Q1-26SantanderUKACRMD_1.pdf" TargetMode="External" Id="rId10"/><Relationship Type="http://schemas.openxmlformats.org/officeDocument/2006/relationships/hyperlink" Target="https://assets.santandermedia.com/adobe/assets/urn:aaid:aem:94435843-ac08-4d49-8c4b-0c86bb0f4271/original/as/Santander%20UK%202026%20Half%20Yearly%20ACRMD.pdf" TargetMode="External" Id="rId11"/><Relationship Type="http://schemas.openxmlformats.org/officeDocument/2006/relationships/hyperlink" Target="https://assets.santandermedia.com/adobe/assets/urn:aaid:aem:f00ce81d-d424-4cf6-8b64-9e3df1ff0aa3/original/as/Q1-26SantanderUKACRMD_1.pdf" TargetMode="External" Id="rId12"/><Relationship Type="http://schemas.openxmlformats.org/officeDocument/2006/relationships/hyperlink" Target="https://assets.santandermedia.com/adobe/assets/urn:aaid:aem:94435843-ac08-4d49-8c4b-0c86bb0f4271/original/as/Santander%20UK%202026%20Half%20Yearly%20ACRMD.pdf" TargetMode="External" Id="rId13"/><Relationship Type="http://schemas.openxmlformats.org/officeDocument/2006/relationships/hyperlink" Target="https://assets.santandermedia.com/adobe/assets/urn:aaid:aem:f00ce81d-d424-4cf6-8b64-9e3df1ff0aa3/original/as/Q1-26SantanderUKACRMD_1.pdf" TargetMode="External" Id="rId14"/><Relationship Type="http://schemas.openxmlformats.org/officeDocument/2006/relationships/hyperlink" Target="https://assets.santandermedia.com/adobe/assets/urn:aaid:aem:94435843-ac08-4d49-8c4b-0c86bb0f4271/original/as/Santander%20UK%202026%20Half%20Yearly%20ACRMD.pdf" TargetMode="External" Id="rId15"/><Relationship Type="http://schemas.openxmlformats.org/officeDocument/2006/relationships/hyperlink" Target="https://assets.santandermedia.com/adobe/assets/urn:aaid:aem:f00ce81d-d424-4cf6-8b64-9e3df1ff0aa3/original/as/Q1-26SantanderUKACRMD_1.pdf" TargetMode="External" Id="rId16"/><Relationship Type="http://schemas.openxmlformats.org/officeDocument/2006/relationships/hyperlink" Target="https://assets.santandermedia.com/adobe/assets/urn:aaid:aem:94435843-ac08-4d49-8c4b-0c86bb0f4271/original/as/Santander%20UK%202026%20Half%20Yearly%20ACRMD.pdf" TargetMode="External" Id="rId17"/><Relationship Type="http://schemas.openxmlformats.org/officeDocument/2006/relationships/hyperlink" Target="https://assets.santandermedia.com/adobe/assets/urn:aaid:aem:f00ce81d-d424-4cf6-8b64-9e3df1ff0aa3/original/as/Q1-26SantanderUKACRMD_1.pdf" TargetMode="External" Id="rId18"/><Relationship Type="http://schemas.openxmlformats.org/officeDocument/2006/relationships/hyperlink" Target="https://assets.santandermedia.com/adobe/assets/urn:aaid:aem:94435843-ac08-4d49-8c4b-0c86bb0f4271/original/as/Santander%20UK%202026%20Half%20Yearly%20ACRMD.pdf" TargetMode="External" Id="rId19"/><Relationship Type="http://schemas.openxmlformats.org/officeDocument/2006/relationships/hyperlink" Target="https://assets.santandermedia.com/adobe/assets/urn:aaid:aem:f00ce81d-d424-4cf6-8b64-9e3df1ff0aa3/original/as/Q1-26SantanderUKACRMD_1.pdf" TargetMode="External" Id="rId20"/><Relationship Type="http://schemas.openxmlformats.org/officeDocument/2006/relationships/hyperlink" Target="https://assets.santandermedia.com/adobe/assets/urn:aaid:aem:94435843-ac08-4d49-8c4b-0c86bb0f4271/original/as/Santander%20UK%202026%20Half%20Yearly%20ACRMD.pdf" TargetMode="External" Id="rId21"/><Relationship Type="http://schemas.openxmlformats.org/officeDocument/2006/relationships/hyperlink" Target="https://assets.santandermedia.com/adobe/assets/urn:aaid:aem:f00ce81d-d424-4cf6-8b64-9e3df1ff0aa3/original/as/Q1-26SantanderUKACRMD_1.pdf" TargetMode="External" Id="rId22"/><Relationship Type="http://schemas.openxmlformats.org/officeDocument/2006/relationships/hyperlink" Target="https://assets.santandermedia.com/adobe/assets/urn:aaid:aem:94435843-ac08-4d49-8c4b-0c86bb0f4271/original/as/Santander%20UK%202026%20Half%20Yearly%20ACRMD.pdf" TargetMode="External" Id="rId23"/><Relationship Type="http://schemas.openxmlformats.org/officeDocument/2006/relationships/hyperlink" Target="https://assets.santandermedia.com/adobe/assets/urn:aaid:aem:f00ce81d-d424-4cf6-8b64-9e3df1ff0aa3/original/as/Q1-26SantanderUKACRMD_1.pdf" TargetMode="External" Id="rId24"/><Relationship Type="http://schemas.openxmlformats.org/officeDocument/2006/relationships/hyperlink" Target="https://assets.santandermedia.com/adobe/assets/urn:aaid:aem:94435843-ac08-4d49-8c4b-0c86bb0f4271/original/as/Santander%20UK%202026%20Half%20Yearly%20ACRMD.pdf" TargetMode="External" Id="rId25"/><Relationship Type="http://schemas.openxmlformats.org/officeDocument/2006/relationships/hyperlink" Target="https://assets.santandermedia.com/adobe/assets/urn:aaid:aem:f00ce81d-d424-4cf6-8b64-9e3df1ff0aa3/original/as/Q1-26SantanderUKACRMD_1.pdf" TargetMode="External" Id="rId26"/></Relationships>
</file>

<file path=xl/worksheets/sheet1.xml><?xml version="1.0" encoding="utf-8"?>
<worksheet xmlns="http://schemas.openxmlformats.org/spreadsheetml/2006/main">
  <sheetPr>
    <outlinePr summaryBelow="1" summaryRight="1"/>
    <pageSetUpPr/>
  </sheetPr>
  <dimension ref="A1:AZ40"/>
  <sheetViews>
    <sheetView workbookViewId="0">
      <selection activeCell="A1" sqref="A1"/>
    </sheetView>
  </sheetViews>
  <sheetFormatPr baseColWidth="8" defaultRowHeight="15"/>
  <cols>
    <col width="42" customWidth="1" min="1" max="1"/>
    <col width="15" customWidth="1" min="2" max="2"/>
    <col width="15" customWidth="1" min="3" max="3"/>
    <col width="15" customWidth="1" min="4" max="4"/>
    <col width="15" customWidth="1" min="5" max="5"/>
    <col width="15" customWidth="1" min="6" max="6"/>
    <col width="15" customWidth="1" min="7" max="7"/>
    <col hidden="1" width="13" customWidth="1" min="10" max="10"/>
    <col hidden="1" width="13" customWidth="1" min="11" max="11"/>
    <col hidden="1" width="13" customWidth="1" min="12" max="12"/>
    <col hidden="1" width="13" customWidth="1" min="13" max="13"/>
    <col hidden="1" width="13" customWidth="1" min="14" max="14"/>
    <col hidden="1" width="13" customWidth="1" min="15" max="15"/>
    <col hidden="1" width="13" customWidth="1" min="16" max="16"/>
    <col hidden="1" width="13" customWidth="1" min="17" max="17"/>
    <col hidden="1" width="13" customWidth="1" min="18" max="18"/>
    <col hidden="1" width="13" customWidth="1" min="19" max="19"/>
    <col hidden="1" width="13" customWidth="1" min="20" max="20"/>
    <col hidden="1" width="13" customWidth="1" min="21" max="21"/>
    <col hidden="1" width="13" customWidth="1" min="22" max="22"/>
    <col hidden="1" width="13" customWidth="1" min="23" max="23"/>
    <col hidden="1" width="13" customWidth="1" min="24" max="24"/>
    <col hidden="1" width="13" customWidth="1" min="25" max="25"/>
    <col hidden="1" width="13" customWidth="1" min="26" max="26"/>
    <col hidden="1" width="13" customWidth="1" min="27" max="27"/>
    <col hidden="1" width="13" customWidth="1" min="28" max="28"/>
    <col hidden="1" width="13" customWidth="1" min="29" max="29"/>
    <col hidden="1" width="13" customWidth="1" min="30" max="30"/>
    <col hidden="1" width="13" customWidth="1" min="31" max="31"/>
    <col hidden="1" width="13" customWidth="1" min="32" max="32"/>
    <col hidden="1" width="13" customWidth="1" min="33" max="33"/>
    <col hidden="1" width="13" customWidth="1" min="34" max="34"/>
    <col hidden="1" width="13" customWidth="1" min="35" max="35"/>
    <col hidden="1" width="13" customWidth="1" min="36" max="36"/>
    <col hidden="1" width="13" customWidth="1" min="37" max="37"/>
    <col hidden="1" width="13" customWidth="1" min="38" max="38"/>
    <col hidden="1" width="13" customWidth="1" min="39" max="39"/>
    <col hidden="1" width="13" customWidth="1" min="40" max="40"/>
    <col hidden="1" width="13" customWidth="1" min="41" max="41"/>
    <col hidden="1" width="13" customWidth="1" min="42" max="42"/>
    <col hidden="1" width="13" customWidth="1" min="43" max="43"/>
    <col hidden="1" width="13" customWidth="1" min="44" max="44"/>
    <col hidden="1" width="13" customWidth="1" min="45" max="45"/>
    <col hidden="1" width="13" customWidth="1" min="46" max="46"/>
    <col hidden="1" width="13" customWidth="1" min="47" max="47"/>
    <col hidden="1" width="13" customWidth="1" min="48" max="48"/>
    <col hidden="1" width="13" customWidth="1" min="49" max="49"/>
    <col hidden="1" width="13" customWidth="1" min="50" max="50"/>
    <col hidden="1" width="13" customWidth="1" min="51" max="51"/>
    <col hidden="1" width="13" customWidth="1" min="52" max="52"/>
  </cols>
  <sheetData>
    <row r="1">
      <c r="A1" s="1" t="inlineStr">
        <is>
          <t>Santander UK Plc — Overview</t>
        </is>
      </c>
    </row>
    <row r="2">
      <c r="A2" s="2" t="inlineStr">
        <is>
          <t>Headline balance sheet, profit &amp; loss, cash flow and Pillar 3 figures across all years covered in this workbook - how the bank is using its money and the risk it is taking with it</t>
        </is>
      </c>
    </row>
    <row r="3"/>
    <row r="4">
      <c r="A4" s="3" t="inlineStr">
        <is>
          <t>Balance Sheet Summary (£m)</t>
        </is>
      </c>
    </row>
    <row r="5">
      <c r="A5" s="4" t="inlineStr">
        <is>
          <t>Line item</t>
        </is>
      </c>
      <c r="B5" s="4" t="inlineStr">
        <is>
          <t>FY2025</t>
        </is>
      </c>
      <c r="C5" s="4" t="inlineStr">
        <is>
          <t>FY2024</t>
        </is>
      </c>
      <c r="D5" s="4" t="inlineStr">
        <is>
          <t>FY2023</t>
        </is>
      </c>
      <c r="E5" s="4" t="inlineStr">
        <is>
          <t>FY2022</t>
        </is>
      </c>
      <c r="F5" s="4" t="inlineStr">
        <is>
          <t>FY2021</t>
        </is>
      </c>
      <c r="G5" s="4" t="inlineStr">
        <is>
          <t>FY2020</t>
        </is>
      </c>
      <c r="K5" t="inlineStr">
        <is>
          <t>FY2020</t>
        </is>
      </c>
      <c r="L5" t="inlineStr">
        <is>
          <t>FY2021</t>
        </is>
      </c>
      <c r="M5" t="inlineStr">
        <is>
          <t>FY2022</t>
        </is>
      </c>
      <c r="N5" t="inlineStr">
        <is>
          <t>FY2023</t>
        </is>
      </c>
      <c r="O5" t="inlineStr">
        <is>
          <t>FY2024</t>
        </is>
      </c>
      <c r="P5" t="inlineStr">
        <is>
          <t>FY2025</t>
        </is>
      </c>
      <c r="AU5" t="inlineStr">
        <is>
          <t>FY2020</t>
        </is>
      </c>
      <c r="AV5" t="inlineStr">
        <is>
          <t>FY2021</t>
        </is>
      </c>
      <c r="AW5" t="inlineStr">
        <is>
          <t>FY2022</t>
        </is>
      </c>
      <c r="AX5" t="inlineStr">
        <is>
          <t>FY2023</t>
        </is>
      </c>
      <c r="AY5" t="inlineStr">
        <is>
          <t>FY2024</t>
        </is>
      </c>
      <c r="AZ5" t="inlineStr">
        <is>
          <t>FY2025</t>
        </is>
      </c>
    </row>
    <row r="6">
      <c r="A6" s="5" t="inlineStr">
        <is>
          <t>Total assets</t>
        </is>
      </c>
      <c r="B6" s="5" t="n">
        <v>266837</v>
      </c>
      <c r="C6" s="5" t="n">
        <v>259944</v>
      </c>
      <c r="D6" s="5" t="n">
        <v>275448</v>
      </c>
      <c r="E6" s="5" t="n">
        <v>285213</v>
      </c>
      <c r="F6" s="5" t="n">
        <v>287098</v>
      </c>
      <c r="G6" s="5" t="n">
        <v>292332</v>
      </c>
      <c r="J6" t="inlineStr">
        <is>
          <t>Total assets</t>
        </is>
      </c>
      <c r="K6" t="n">
        <v>292332</v>
      </c>
      <c r="L6" t="n">
        <v>287098</v>
      </c>
      <c r="M6" t="n">
        <v>285213</v>
      </c>
      <c r="N6" t="n">
        <v>275448</v>
      </c>
      <c r="O6" t="n">
        <v>259944</v>
      </c>
      <c r="P6" t="n">
        <v>266837</v>
      </c>
      <c r="AT6" t="inlineStr">
        <is>
          <t>CET1 Ratio</t>
        </is>
      </c>
      <c r="AU6" t="n">
        <v>15.4</v>
      </c>
      <c r="AV6" t="n">
        <v>16.1</v>
      </c>
      <c r="AW6" t="n">
        <v>15.41</v>
      </c>
      <c r="AX6" t="n">
        <v>15.39</v>
      </c>
      <c r="AY6" t="n">
        <v>14.9</v>
      </c>
      <c r="AZ6" t="n">
        <v>15.8</v>
      </c>
    </row>
    <row r="7">
      <c r="A7" s="5" t="inlineStr">
        <is>
          <t>Loans and advances to customers</t>
        </is>
      </c>
      <c r="B7" s="5" t="n">
        <v>202609</v>
      </c>
      <c r="C7" s="5" t="n">
        <v>199408</v>
      </c>
      <c r="D7" s="5" t="n">
        <v>207435</v>
      </c>
      <c r="E7" s="5" t="n">
        <v>219716</v>
      </c>
      <c r="F7" s="5" t="n">
        <v>210094</v>
      </c>
      <c r="G7" s="5" t="n">
        <v>208750</v>
      </c>
      <c r="J7" t="inlineStr">
        <is>
          <t>Loans and advances to customers</t>
        </is>
      </c>
      <c r="K7" t="n">
        <v>208750</v>
      </c>
      <c r="L7" t="n">
        <v>210094</v>
      </c>
      <c r="M7" t="n">
        <v>219716</v>
      </c>
      <c r="N7" t="n">
        <v>207435</v>
      </c>
      <c r="O7" t="n">
        <v>199408</v>
      </c>
      <c r="P7" t="n">
        <v>202609</v>
      </c>
      <c r="AT7" t="inlineStr">
        <is>
          <t>Tier 1 Ratio</t>
        </is>
      </c>
      <c r="AU7" t="n">
        <v>18.6</v>
      </c>
      <c r="AV7" t="n">
        <v>19.2</v>
      </c>
      <c r="AW7" t="n">
        <v>18.2</v>
      </c>
      <c r="AX7" t="n">
        <v>18.28</v>
      </c>
      <c r="AY7" t="n">
        <v>17.8</v>
      </c>
      <c r="AZ7" t="n">
        <v>18.5</v>
      </c>
    </row>
    <row r="8">
      <c r="A8" s="5" t="inlineStr">
        <is>
          <t>Deposits by customers</t>
        </is>
      </c>
      <c r="B8" s="5" t="n">
        <v>187300</v>
      </c>
      <c r="C8" s="5" t="n">
        <v>180967</v>
      </c>
      <c r="D8" s="5" t="n">
        <v>190850</v>
      </c>
      <c r="E8" s="5" t="n">
        <v>195568</v>
      </c>
      <c r="F8" s="5" t="n">
        <v>192926</v>
      </c>
      <c r="G8" s="5" t="n">
        <v>195135</v>
      </c>
      <c r="J8" t="inlineStr">
        <is>
          <t>Deposits by customers</t>
        </is>
      </c>
      <c r="K8" t="n">
        <v>195135</v>
      </c>
      <c r="L8" t="n">
        <v>192926</v>
      </c>
      <c r="M8" t="n">
        <v>195568</v>
      </c>
      <c r="N8" t="n">
        <v>190850</v>
      </c>
      <c r="O8" t="n">
        <v>180967</v>
      </c>
      <c r="P8" t="n">
        <v>187300</v>
      </c>
      <c r="AT8" t="inlineStr">
        <is>
          <t>Total Capital Ratio</t>
        </is>
      </c>
      <c r="AU8" t="n">
        <v>21.2</v>
      </c>
      <c r="AV8" t="n">
        <v>21.9</v>
      </c>
      <c r="AW8" t="n">
        <v>20.41</v>
      </c>
      <c r="AX8" t="n">
        <v>21.48</v>
      </c>
      <c r="AY8" t="n">
        <v>21</v>
      </c>
      <c r="AZ8" t="n">
        <v>21.3</v>
      </c>
    </row>
    <row r="9">
      <c r="A9" s="5" t="inlineStr">
        <is>
          <t>Total equity</t>
        </is>
      </c>
      <c r="B9" s="5" t="n">
        <v>15148</v>
      </c>
      <c r="C9" s="5" t="n">
        <v>13773</v>
      </c>
      <c r="D9" s="5" t="n">
        <v>14623</v>
      </c>
      <c r="E9" s="5" t="n">
        <v>14407</v>
      </c>
      <c r="F9" s="5" t="n">
        <v>16102</v>
      </c>
      <c r="G9" s="5" t="n">
        <v>15936</v>
      </c>
      <c r="J9" t="inlineStr">
        <is>
          <t>Total equity</t>
        </is>
      </c>
      <c r="K9" t="n">
        <v>15936</v>
      </c>
      <c r="L9" t="n">
        <v>16102</v>
      </c>
      <c r="M9" t="n">
        <v>14407</v>
      </c>
      <c r="N9" t="n">
        <v>14623</v>
      </c>
      <c r="O9" t="n">
        <v>13773</v>
      </c>
      <c r="P9" t="n">
        <v>15148</v>
      </c>
      <c r="AT9" t="inlineStr">
        <is>
          <t>Leverage Ratio</t>
        </is>
      </c>
      <c r="AU9" t="n">
        <v>5.1</v>
      </c>
      <c r="AV9" t="n">
        <v>5.3</v>
      </c>
      <c r="AW9" t="n">
        <v>5.2</v>
      </c>
      <c r="AX9" t="n">
        <v>5.1</v>
      </c>
      <c r="AY9" t="n">
        <v>4.9</v>
      </c>
      <c r="AZ9" t="n">
        <v>5</v>
      </c>
    </row>
    <row r="10">
      <c r="AT10" t="inlineStr">
        <is>
          <t>LCR</t>
        </is>
      </c>
      <c r="AU10" t="n">
        <v>151.7</v>
      </c>
      <c r="AV10" t="n">
        <v>168.4</v>
      </c>
      <c r="AW10" t="n">
        <v>156.75</v>
      </c>
      <c r="AX10" t="n">
        <v>159.49</v>
      </c>
      <c r="AY10" t="n">
        <v>154</v>
      </c>
      <c r="AZ10" t="n">
        <v>162</v>
      </c>
    </row>
    <row r="11">
      <c r="A11" s="3" t="inlineStr">
        <is>
          <t>Profit &amp; Loss Summary (£m)</t>
        </is>
      </c>
      <c r="AT11" t="inlineStr">
        <is>
          <t>NSFR</t>
        </is>
      </c>
      <c r="AW11" t="n">
        <v>136.8</v>
      </c>
      <c r="AX11" t="n">
        <v>137.99</v>
      </c>
      <c r="AY11" t="n">
        <v>137</v>
      </c>
      <c r="AZ11" t="n">
        <v>135</v>
      </c>
    </row>
    <row r="12">
      <c r="A12" s="4" t="inlineStr">
        <is>
          <t>Line item</t>
        </is>
      </c>
      <c r="B12" s="4" t="inlineStr">
        <is>
          <t>FY2025</t>
        </is>
      </c>
      <c r="C12" s="4" t="inlineStr">
        <is>
          <t>FY2024</t>
        </is>
      </c>
      <c r="D12" s="4" t="inlineStr">
        <is>
          <t>FY2023</t>
        </is>
      </c>
      <c r="E12" s="4" t="inlineStr">
        <is>
          <t>FY2022</t>
        </is>
      </c>
      <c r="F12" s="4" t="inlineStr">
        <is>
          <t>FY2021</t>
        </is>
      </c>
      <c r="G12" s="4" t="inlineStr">
        <is>
          <t>FY2020</t>
        </is>
      </c>
      <c r="T12" t="inlineStr">
        <is>
          <t>FY2020</t>
        </is>
      </c>
      <c r="U12" t="inlineStr">
        <is>
          <t>FY2021</t>
        </is>
      </c>
      <c r="V12" t="inlineStr">
        <is>
          <t>FY2022</t>
        </is>
      </c>
      <c r="W12" t="inlineStr">
        <is>
          <t>FY2023</t>
        </is>
      </c>
      <c r="X12" t="inlineStr">
        <is>
          <t>FY2024</t>
        </is>
      </c>
      <c r="Y12" t="inlineStr">
        <is>
          <t>FY2025</t>
        </is>
      </c>
    </row>
    <row r="13">
      <c r="A13" s="5" t="inlineStr">
        <is>
          <t>Total operating income</t>
        </is>
      </c>
      <c r="B13" s="5" t="n">
        <v>4729</v>
      </c>
      <c r="C13" s="5" t="n">
        <v>4657</v>
      </c>
      <c r="D13" s="5" t="n">
        <v>5096</v>
      </c>
      <c r="E13" s="5" t="n">
        <v>4956</v>
      </c>
      <c r="F13" s="5" t="n">
        <v>4499</v>
      </c>
      <c r="G13" s="5" t="n">
        <v>3975</v>
      </c>
      <c r="S13" t="inlineStr">
        <is>
          <t>Total operating income</t>
        </is>
      </c>
      <c r="T13" t="n">
        <v>3975</v>
      </c>
      <c r="U13" t="n">
        <v>4499</v>
      </c>
      <c r="V13" t="n">
        <v>4956</v>
      </c>
      <c r="W13" t="n">
        <v>5096</v>
      </c>
      <c r="X13" t="n">
        <v>4657</v>
      </c>
      <c r="Y13" t="n">
        <v>4729</v>
      </c>
    </row>
    <row r="14">
      <c r="A14" s="5" t="inlineStr">
        <is>
          <t>Operating expenses before impairment, provisions and charges</t>
        </is>
      </c>
      <c r="B14" s="5" t="n">
        <v>-2457</v>
      </c>
      <c r="C14" s="5" t="n">
        <v>-2548</v>
      </c>
      <c r="D14" s="5" t="n">
        <v>-2456</v>
      </c>
      <c r="E14" s="5" t="n">
        <v>-2343</v>
      </c>
      <c r="F14" s="5" t="n">
        <v>-2510</v>
      </c>
      <c r="G14" s="5" t="n">
        <v>-2452</v>
      </c>
      <c r="S14" t="inlineStr">
        <is>
          <t>Operating expenses before impairment, provisions and charges</t>
        </is>
      </c>
      <c r="T14" t="n">
        <v>-2452</v>
      </c>
      <c r="U14" t="n">
        <v>-2510</v>
      </c>
      <c r="V14" t="n">
        <v>-2343</v>
      </c>
      <c r="W14" t="n">
        <v>-2456</v>
      </c>
      <c r="X14" t="n">
        <v>-2548</v>
      </c>
      <c r="Y14" t="n">
        <v>-2457</v>
      </c>
    </row>
    <row r="15">
      <c r="A15" s="5" t="inlineStr">
        <is>
          <t>Profit after tax</t>
        </is>
      </c>
      <c r="B15" s="5" t="n">
        <v>1086</v>
      </c>
      <c r="C15" s="5" t="n">
        <v>971</v>
      </c>
      <c r="D15" s="5" t="n">
        <v>1541</v>
      </c>
      <c r="E15" s="5" t="n">
        <v>1394</v>
      </c>
      <c r="F15" s="5" t="n">
        <v>1384</v>
      </c>
      <c r="G15" s="5" t="n">
        <v>471</v>
      </c>
      <c r="S15" t="inlineStr">
        <is>
          <t>Profit after tax</t>
        </is>
      </c>
      <c r="T15" t="n">
        <v>471</v>
      </c>
      <c r="U15" t="n">
        <v>1384</v>
      </c>
      <c r="V15" t="n">
        <v>1394</v>
      </c>
      <c r="W15" t="n">
        <v>1541</v>
      </c>
      <c r="X15" t="n">
        <v>971</v>
      </c>
      <c r="Y15" t="n">
        <v>1086</v>
      </c>
    </row>
    <row r="17">
      <c r="A17" s="3" t="inlineStr">
        <is>
          <t>Statement of Changes in Equity Summary (£m)</t>
        </is>
      </c>
    </row>
    <row r="18">
      <c r="A18" s="4" t="inlineStr">
        <is>
          <t>Line item</t>
        </is>
      </c>
      <c r="B18" s="4" t="inlineStr">
        <is>
          <t>FY2025</t>
        </is>
      </c>
      <c r="C18" s="4" t="inlineStr">
        <is>
          <t>FY2024</t>
        </is>
      </c>
      <c r="D18" s="4" t="inlineStr">
        <is>
          <t>FY2023</t>
        </is>
      </c>
      <c r="E18" s="4" t="inlineStr">
        <is>
          <t>FY2022</t>
        </is>
      </c>
      <c r="F18" s="4" t="inlineStr">
        <is>
          <t>FY2021</t>
        </is>
      </c>
      <c r="G18" s="4" t="inlineStr">
        <is>
          <t>FY2020</t>
        </is>
      </c>
      <c r="AC18" t="inlineStr">
        <is>
          <t>FY2020</t>
        </is>
      </c>
      <c r="AD18" t="inlineStr">
        <is>
          <t>FY2021</t>
        </is>
      </c>
      <c r="AE18" t="inlineStr">
        <is>
          <t>FY2022</t>
        </is>
      </c>
      <c r="AF18" t="inlineStr">
        <is>
          <t>FY2023</t>
        </is>
      </c>
      <c r="AG18" t="inlineStr">
        <is>
          <t>FY2024</t>
        </is>
      </c>
      <c r="AH18" t="inlineStr">
        <is>
          <t>FY2025</t>
        </is>
      </c>
    </row>
    <row r="19">
      <c r="A19" s="5" t="inlineStr">
        <is>
          <t>Opening equity</t>
        </is>
      </c>
      <c r="B19" s="5" t="n">
        <v>13773</v>
      </c>
      <c r="C19" s="5" t="n">
        <v>14623</v>
      </c>
      <c r="D19" s="5" t="n">
        <v>14407</v>
      </c>
      <c r="E19" s="5" t="n">
        <v>16102</v>
      </c>
      <c r="F19" s="5" t="n">
        <v>15936</v>
      </c>
      <c r="G19" s="5" t="n">
        <v>16017</v>
      </c>
      <c r="AB19" t="inlineStr">
        <is>
          <t>Opening equity</t>
        </is>
      </c>
      <c r="AC19" t="n">
        <v>16017</v>
      </c>
      <c r="AD19" t="n">
        <v>15936</v>
      </c>
      <c r="AE19" t="n">
        <v>16102</v>
      </c>
      <c r="AF19" t="n">
        <v>14407</v>
      </c>
      <c r="AG19" t="n">
        <v>14623</v>
      </c>
      <c r="AH19" t="n">
        <v>13773</v>
      </c>
    </row>
    <row r="20">
      <c r="A20" s="5" t="inlineStr">
        <is>
          <t>Total comprehensive income/(expense)</t>
        </is>
      </c>
      <c r="B20" s="5" t="n">
        <v>1532</v>
      </c>
      <c r="C20" s="5" t="n">
        <v>690</v>
      </c>
      <c r="D20" s="5" t="n">
        <v>1868</v>
      </c>
      <c r="E20" s="5" t="n">
        <v>-296</v>
      </c>
      <c r="F20" s="5" t="n">
        <v>1852</v>
      </c>
      <c r="G20" s="5" t="n">
        <v>211</v>
      </c>
      <c r="AB20" t="inlineStr">
        <is>
          <t>Total comprehensive income/(expense)</t>
        </is>
      </c>
      <c r="AC20" t="n">
        <v>211</v>
      </c>
      <c r="AD20" t="n">
        <v>1852</v>
      </c>
      <c r="AE20" t="n">
        <v>-296</v>
      </c>
      <c r="AF20" t="n">
        <v>1868</v>
      </c>
      <c r="AG20" t="n">
        <v>690</v>
      </c>
      <c r="AH20" t="n">
        <v>1532</v>
      </c>
    </row>
    <row r="21">
      <c r="A21" s="5" t="inlineStr">
        <is>
          <t>Other equity movements, net</t>
        </is>
      </c>
      <c r="B21" s="5" t="n">
        <v>-157</v>
      </c>
      <c r="C21" s="5" t="n">
        <v>-1540</v>
      </c>
      <c r="D21" s="5" t="n">
        <v>-1652</v>
      </c>
      <c r="E21" s="5" t="n">
        <v>-1399</v>
      </c>
      <c r="F21" s="5" t="n">
        <v>-1686</v>
      </c>
      <c r="G21" s="5" t="n">
        <v>-292</v>
      </c>
      <c r="AB21" t="inlineStr">
        <is>
          <t>Other equity movements, net</t>
        </is>
      </c>
      <c r="AC21" t="n">
        <v>-292</v>
      </c>
      <c r="AD21" t="n">
        <v>-1686</v>
      </c>
      <c r="AE21" t="n">
        <v>-1399</v>
      </c>
      <c r="AF21" t="n">
        <v>-1652</v>
      </c>
      <c r="AG21" t="n">
        <v>-1540</v>
      </c>
      <c r="AH21" t="n">
        <v>-157</v>
      </c>
    </row>
    <row r="22">
      <c r="A22" s="5" t="inlineStr">
        <is>
          <t>Closing equity</t>
        </is>
      </c>
      <c r="B22" s="5" t="n">
        <v>15148</v>
      </c>
      <c r="C22" s="5" t="n">
        <v>13773</v>
      </c>
      <c r="D22" s="5" t="n">
        <v>14623</v>
      </c>
      <c r="E22" s="5" t="n">
        <v>14407</v>
      </c>
      <c r="F22" s="5" t="n">
        <v>16102</v>
      </c>
      <c r="G22" s="5" t="n">
        <v>15936</v>
      </c>
      <c r="AB22" t="inlineStr">
        <is>
          <t>Closing equity</t>
        </is>
      </c>
      <c r="AC22" t="n">
        <v>15936</v>
      </c>
      <c r="AD22" t="n">
        <v>16102</v>
      </c>
      <c r="AE22" t="n">
        <v>14407</v>
      </c>
      <c r="AF22" t="n">
        <v>14623</v>
      </c>
      <c r="AG22" t="n">
        <v>13773</v>
      </c>
      <c r="AH22" t="n">
        <v>15148</v>
      </c>
    </row>
    <row r="24">
      <c r="A24" s="3" t="inlineStr">
        <is>
          <t>Cash Flow Summary (£m)</t>
        </is>
      </c>
    </row>
    <row r="25">
      <c r="A25" s="4" t="inlineStr">
        <is>
          <t>Line item</t>
        </is>
      </c>
      <c r="B25" s="4" t="inlineStr">
        <is>
          <t>FY2025</t>
        </is>
      </c>
      <c r="C25" s="4" t="inlineStr">
        <is>
          <t>FY2024</t>
        </is>
      </c>
      <c r="D25" s="4" t="inlineStr">
        <is>
          <t>FY2023</t>
        </is>
      </c>
      <c r="E25" s="4" t="inlineStr">
        <is>
          <t>FY2022</t>
        </is>
      </c>
      <c r="F25" s="4" t="inlineStr">
        <is>
          <t>FY2021</t>
        </is>
      </c>
      <c r="G25" s="4" t="inlineStr">
        <is>
          <t>FY2020</t>
        </is>
      </c>
      <c r="AL25" t="inlineStr">
        <is>
          <t>FY2020</t>
        </is>
      </c>
      <c r="AM25" t="inlineStr">
        <is>
          <t>FY2021</t>
        </is>
      </c>
      <c r="AN25" t="inlineStr">
        <is>
          <t>FY2022</t>
        </is>
      </c>
      <c r="AO25" t="inlineStr">
        <is>
          <t>FY2023</t>
        </is>
      </c>
      <c r="AP25" t="inlineStr">
        <is>
          <t>FY2024</t>
        </is>
      </c>
      <c r="AQ25" t="inlineStr">
        <is>
          <t>FY2025</t>
        </is>
      </c>
    </row>
    <row r="26">
      <c r="A26" s="5" t="inlineStr">
        <is>
          <t>Net cash flows from operating activities</t>
        </is>
      </c>
      <c r="B26" s="5" t="n">
        <v>-8798</v>
      </c>
      <c r="C26" s="5" t="n">
        <v>-3331</v>
      </c>
      <c r="D26" s="5" t="n">
        <v>-1133</v>
      </c>
      <c r="E26" s="5" t="n">
        <v>-2970</v>
      </c>
      <c r="F26" s="5" t="n">
        <v>10251</v>
      </c>
      <c r="G26" s="5" t="n">
        <v>19236</v>
      </c>
      <c r="AK26" t="inlineStr">
        <is>
          <t>Net cash flows from operating activities</t>
        </is>
      </c>
      <c r="AL26" t="n">
        <v>19236</v>
      </c>
      <c r="AM26" t="n">
        <v>10251</v>
      </c>
      <c r="AN26" t="n">
        <v>-2970</v>
      </c>
      <c r="AO26" t="n">
        <v>-1133</v>
      </c>
      <c r="AP26" t="n">
        <v>-3331</v>
      </c>
      <c r="AQ26" t="n">
        <v>-8798</v>
      </c>
    </row>
    <row r="27">
      <c r="A27" s="5" t="inlineStr">
        <is>
          <t>Net cash flows from investing activities</t>
        </is>
      </c>
      <c r="B27" s="5" t="n">
        <v>2957</v>
      </c>
      <c r="C27" s="5" t="n">
        <v>-4540</v>
      </c>
      <c r="D27" s="5" t="n">
        <v>-2747</v>
      </c>
      <c r="E27" s="5" t="n">
        <v>-198</v>
      </c>
      <c r="F27" s="5" t="n">
        <v>3077</v>
      </c>
      <c r="G27" s="5" t="n">
        <v>6636</v>
      </c>
      <c r="AK27" t="inlineStr">
        <is>
          <t>Net cash flows from investing activities</t>
        </is>
      </c>
      <c r="AL27" t="n">
        <v>6636</v>
      </c>
      <c r="AM27" t="n">
        <v>3077</v>
      </c>
      <c r="AN27" t="n">
        <v>-198</v>
      </c>
      <c r="AO27" t="n">
        <v>-2747</v>
      </c>
      <c r="AP27" t="n">
        <v>-4540</v>
      </c>
      <c r="AQ27" t="n">
        <v>2957</v>
      </c>
    </row>
    <row r="28">
      <c r="A28" s="5" t="inlineStr">
        <is>
          <t>Net cash flows from financing activities</t>
        </is>
      </c>
      <c r="B28" s="5" t="n">
        <v>5410</v>
      </c>
      <c r="C28" s="5" t="n">
        <v>285</v>
      </c>
      <c r="D28" s="5" t="n">
        <v>19</v>
      </c>
      <c r="E28" s="5" t="n">
        <v>277</v>
      </c>
      <c r="F28" s="5" t="n">
        <v>-10753</v>
      </c>
      <c r="G28" s="5" t="n">
        <v>-8152</v>
      </c>
      <c r="AK28" t="inlineStr">
        <is>
          <t>Net cash flows from financing activities</t>
        </is>
      </c>
      <c r="AL28" t="n">
        <v>-8152</v>
      </c>
      <c r="AM28" t="n">
        <v>-10753</v>
      </c>
      <c r="AN28" t="n">
        <v>277</v>
      </c>
      <c r="AO28" t="n">
        <v>19</v>
      </c>
      <c r="AP28" t="n">
        <v>285</v>
      </c>
      <c r="AQ28" t="n">
        <v>5410</v>
      </c>
    </row>
    <row r="29">
      <c r="A29" s="5" t="inlineStr">
        <is>
          <t>Cash and cash equivalents at end of year</t>
        </is>
      </c>
      <c r="B29" s="5" t="n">
        <v>28738</v>
      </c>
      <c r="C29" s="5" t="n">
        <v>29181</v>
      </c>
      <c r="D29" s="5" t="n">
        <v>42502</v>
      </c>
      <c r="E29" s="5" t="n">
        <v>46484</v>
      </c>
      <c r="F29" s="5" t="n">
        <v>49254</v>
      </c>
      <c r="G29" s="5" t="n">
        <v>45582</v>
      </c>
      <c r="AK29" t="inlineStr">
        <is>
          <t>Cash and cash equivalents at end of year</t>
        </is>
      </c>
      <c r="AL29" t="n">
        <v>45582</v>
      </c>
      <c r="AM29" t="n">
        <v>49254</v>
      </c>
      <c r="AN29" t="n">
        <v>46484</v>
      </c>
      <c r="AO29" t="n">
        <v>42502</v>
      </c>
      <c r="AP29" t="n">
        <v>29181</v>
      </c>
      <c r="AQ29" t="n">
        <v>28738</v>
      </c>
    </row>
    <row r="31">
      <c r="A31" s="3" t="inlineStr">
        <is>
          <t>Pillar 3 Key Metrics</t>
        </is>
      </c>
    </row>
    <row r="32">
      <c r="A32" s="4" t="inlineStr">
        <is>
          <t>Line item</t>
        </is>
      </c>
      <c r="B32" s="4" t="inlineStr">
        <is>
          <t>FY2025</t>
        </is>
      </c>
      <c r="C32" s="4" t="inlineStr">
        <is>
          <t>FY2024</t>
        </is>
      </c>
      <c r="D32" s="4" t="inlineStr">
        <is>
          <t>FY2023</t>
        </is>
      </c>
      <c r="E32" s="4" t="inlineStr">
        <is>
          <t>FY2022</t>
        </is>
      </c>
      <c r="F32" s="4" t="inlineStr">
        <is>
          <t>FY2021</t>
        </is>
      </c>
      <c r="G32" s="4" t="inlineStr">
        <is>
          <t>FY2020</t>
        </is>
      </c>
    </row>
    <row r="33">
      <c r="A33" s="6" t="inlineStr">
        <is>
          <t>CET1 Ratio</t>
        </is>
      </c>
      <c r="B33" s="6" t="inlineStr">
        <is>
          <t>15.8%</t>
        </is>
      </c>
      <c r="C33" s="6" t="inlineStr">
        <is>
          <t>14.9%</t>
        </is>
      </c>
      <c r="D33" s="6" t="inlineStr">
        <is>
          <t>15.39%</t>
        </is>
      </c>
      <c r="E33" s="6" t="inlineStr">
        <is>
          <t>15.41%</t>
        </is>
      </c>
      <c r="F33" s="6" t="inlineStr">
        <is>
          <t>16.1%</t>
        </is>
      </c>
      <c r="G33" s="6" t="inlineStr">
        <is>
          <t>15.4%</t>
        </is>
      </c>
    </row>
    <row r="34">
      <c r="A34" s="6" t="inlineStr">
        <is>
          <t>Tier 1 Ratio</t>
        </is>
      </c>
      <c r="B34" s="6" t="inlineStr">
        <is>
          <t>18.5%</t>
        </is>
      </c>
      <c r="C34" s="6" t="inlineStr">
        <is>
          <t>17.8%</t>
        </is>
      </c>
      <c r="D34" s="6" t="inlineStr">
        <is>
          <t>18.28%</t>
        </is>
      </c>
      <c r="E34" s="6" t="inlineStr">
        <is>
          <t>18.20%</t>
        </is>
      </c>
      <c r="F34" s="6" t="inlineStr">
        <is>
          <t>19.2%</t>
        </is>
      </c>
      <c r="G34" s="6" t="inlineStr">
        <is>
          <t>18.6%</t>
        </is>
      </c>
    </row>
    <row r="35">
      <c r="A35" s="6" t="inlineStr">
        <is>
          <t>Total Capital Ratio</t>
        </is>
      </c>
      <c r="B35" s="6" t="inlineStr">
        <is>
          <t>21.3%</t>
        </is>
      </c>
      <c r="C35" s="6" t="inlineStr">
        <is>
          <t>21.0%</t>
        </is>
      </c>
      <c r="D35" s="6" t="inlineStr">
        <is>
          <t>21.48%</t>
        </is>
      </c>
      <c r="E35" s="6" t="inlineStr">
        <is>
          <t>20.41%</t>
        </is>
      </c>
      <c r="F35" s="6" t="inlineStr">
        <is>
          <t>21.9%</t>
        </is>
      </c>
      <c r="G35" s="6" t="inlineStr">
        <is>
          <t>21.2%</t>
        </is>
      </c>
    </row>
    <row r="36">
      <c r="A36" s="6" t="inlineStr">
        <is>
          <t>Leverage Ratio</t>
        </is>
      </c>
      <c r="B36" s="6" t="inlineStr">
        <is>
          <t>5.0%</t>
        </is>
      </c>
      <c r="C36" s="6" t="inlineStr">
        <is>
          <t>4.9%</t>
        </is>
      </c>
      <c r="D36" s="6" t="inlineStr">
        <is>
          <t>5.1%</t>
        </is>
      </c>
      <c r="E36" s="6" t="inlineStr">
        <is>
          <t>5.2%</t>
        </is>
      </c>
      <c r="F36" s="6" t="inlineStr">
        <is>
          <t>5.3%</t>
        </is>
      </c>
      <c r="G36" s="6" t="inlineStr">
        <is>
          <t>5.1%</t>
        </is>
      </c>
    </row>
    <row r="37">
      <c r="A37" s="6" t="inlineStr">
        <is>
          <t>LCR</t>
        </is>
      </c>
      <c r="B37" s="6" t="inlineStr">
        <is>
          <t>162%</t>
        </is>
      </c>
      <c r="C37" s="6" t="inlineStr">
        <is>
          <t>154%</t>
        </is>
      </c>
      <c r="D37" s="6" t="inlineStr">
        <is>
          <t>159.49%</t>
        </is>
      </c>
      <c r="E37" s="6" t="inlineStr">
        <is>
          <t>156.75%</t>
        </is>
      </c>
      <c r="F37" s="6" t="inlineStr">
        <is>
          <t>168.4%</t>
        </is>
      </c>
      <c r="G37" s="6" t="inlineStr">
        <is>
          <t>151.7%</t>
        </is>
      </c>
    </row>
    <row r="38">
      <c r="A38" s="6" t="inlineStr">
        <is>
          <t>NSFR</t>
        </is>
      </c>
      <c r="B38" s="6" t="inlineStr">
        <is>
          <t>135%</t>
        </is>
      </c>
      <c r="C38" s="6" t="inlineStr">
        <is>
          <t>137%</t>
        </is>
      </c>
      <c r="D38" s="6" t="inlineStr">
        <is>
          <t>137.99%</t>
        </is>
      </c>
      <c r="E38" s="6" t="inlineStr">
        <is>
          <t>136.80%</t>
        </is>
      </c>
      <c r="F38" s="6" t="inlineStr">
        <is>
          <t>Not published – FY2021 ACRMD KM1 has no NSFR rows (UK NSFR from 1 Jan 2022); Annual Report 2021 p.112 gives RFB DoLSub year-end 136%, on the row below</t>
        </is>
      </c>
      <c r="G38" s="6" t="n"/>
    </row>
    <row r="40" ht="39" customHeight="1">
      <c r="A40" s="7" t="inlineStr">
        <is>
          <t>Note: Figures are duplicated from the detail sheets for at-a-glance trend viewing; see each sheet's own source citation for the underlying document/page. See the Cash Flow Statement sheet's note re: Santander's pending acquisition of TSB Bank plc (announced 21 July 2025, not yet completed as at the FY2025 reporting date) - a bank also covered elsewhere in this workbook series.</t>
        </is>
      </c>
    </row>
  </sheetData>
  <mergeCells count="1">
    <mergeCell ref="A40:G40"/>
  </mergeCells>
  <pageMargins left="0.75" right="0.75" top="1" bottom="1" header="0.5" footer="0.5"/>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G46"/>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68"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Santander UK Plc — Balance Sheet</t>
        </is>
      </c>
    </row>
    <row r="2">
      <c r="A2" s="2" t="inlineStr">
        <is>
          <t>Santander UK Plc Group (consolidated 'RFB Group' basis), £m. Total assets = Total liabilities + Total equity for every year; Total equity ties exactly to the Statement of Changes in Equity sheet's own opening/closing balances - zero plug rows. FY2020 carries its own small 'Non-controlling interests' equity line (blank thereafter, disposed of during 2021) and does not disclose a separate 'Macro hedge of interest rate risk' or 'Assets held for sale' line (both left blank for FY2020 only, per its own report's older balance sheet presentation).</t>
        </is>
      </c>
    </row>
    <row r="3">
      <c r="A3" s="4" t="inlineStr">
        <is>
          <t>Line item</t>
        </is>
      </c>
      <c r="B3" s="4" t="inlineStr">
        <is>
          <t>FY2025 (£m)</t>
        </is>
      </c>
      <c r="C3" s="4" t="inlineStr">
        <is>
          <t>FY2024 (£m)</t>
        </is>
      </c>
      <c r="D3" s="4" t="inlineStr">
        <is>
          <t>FY2023 (£m)</t>
        </is>
      </c>
      <c r="E3" s="4" t="inlineStr">
        <is>
          <t>FY2022 (£m)</t>
        </is>
      </c>
      <c r="F3" s="4" t="inlineStr">
        <is>
          <t>FY2021 (£m)</t>
        </is>
      </c>
      <c r="G3" s="4" t="inlineStr">
        <is>
          <t>FY2020 (£m)</t>
        </is>
      </c>
    </row>
    <row r="4">
      <c r="A4" s="5" t="inlineStr">
        <is>
          <t>Assets</t>
        </is>
      </c>
      <c r="B4" s="6" t="n"/>
      <c r="C4" s="6" t="n"/>
      <c r="D4" s="6" t="n"/>
      <c r="E4" s="6" t="n"/>
      <c r="F4" s="6" t="n"/>
      <c r="G4" s="6" t="n"/>
    </row>
    <row r="5">
      <c r="A5" s="6" t="inlineStr">
        <is>
          <t>Cash and balances at central banks</t>
        </is>
      </c>
      <c r="B5" s="6" t="n">
        <v>29376</v>
      </c>
      <c r="C5" s="6" t="n">
        <v>29881</v>
      </c>
      <c r="D5" s="6" t="n">
        <v>38214</v>
      </c>
      <c r="E5" s="6" t="n">
        <v>44190</v>
      </c>
      <c r="F5" s="6" t="n">
        <v>48139</v>
      </c>
      <c r="G5" s="6" t="n">
        <v>41250</v>
      </c>
    </row>
    <row r="6">
      <c r="A6" s="6" t="inlineStr">
        <is>
          <t>Derivative financial instruments</t>
        </is>
      </c>
      <c r="B6" s="6" t="n">
        <v>870</v>
      </c>
      <c r="C6" s="6" t="n">
        <v>1204</v>
      </c>
      <c r="D6" s="6" t="n">
        <v>1432</v>
      </c>
      <c r="E6" s="6" t="n">
        <v>2407</v>
      </c>
      <c r="F6" s="6" t="n">
        <v>1681</v>
      </c>
      <c r="G6" s="6" t="n">
        <v>3406</v>
      </c>
    </row>
    <row r="7">
      <c r="A7" s="6" t="inlineStr">
        <is>
          <t>Other financial assets at FVTPL</t>
        </is>
      </c>
      <c r="B7" s="6" t="n">
        <v>64</v>
      </c>
      <c r="C7" s="6" t="n">
        <v>136</v>
      </c>
      <c r="D7" s="6" t="n">
        <v>262</v>
      </c>
      <c r="E7" s="6" t="n">
        <v>129</v>
      </c>
      <c r="F7" s="6" t="n">
        <v>185</v>
      </c>
      <c r="G7" s="6" t="n">
        <v>208</v>
      </c>
    </row>
    <row r="8">
      <c r="A8" s="6" t="inlineStr">
        <is>
          <t>Loans and advances to banks</t>
        </is>
      </c>
      <c r="B8" s="6" t="n">
        <v>1048</v>
      </c>
      <c r="C8" s="6" t="n">
        <v>1032</v>
      </c>
      <c r="D8" s="6" t="n">
        <v>1080</v>
      </c>
      <c r="E8" s="6" t="n">
        <v>992</v>
      </c>
      <c r="F8" s="6" t="n">
        <v>1169</v>
      </c>
      <c r="G8" s="6" t="n">
        <v>1682</v>
      </c>
    </row>
    <row r="9">
      <c r="A9" s="6" t="inlineStr">
        <is>
          <t>Loans and advances to customers</t>
        </is>
      </c>
      <c r="B9" s="6" t="n">
        <v>202609</v>
      </c>
      <c r="C9" s="6" t="n">
        <v>199408</v>
      </c>
      <c r="D9" s="6" t="n">
        <v>207435</v>
      </c>
      <c r="E9" s="6" t="n">
        <v>219716</v>
      </c>
      <c r="F9" s="6" t="n">
        <v>210094</v>
      </c>
      <c r="G9" s="6" t="n">
        <v>208750</v>
      </c>
    </row>
    <row r="10">
      <c r="A10" s="6" t="inlineStr">
        <is>
          <t>Reverse repurchase agreements - non-trading</t>
        </is>
      </c>
      <c r="B10" s="6" t="n">
        <v>17678</v>
      </c>
      <c r="C10" s="6" t="n">
        <v>10338</v>
      </c>
      <c r="D10" s="6" t="n">
        <v>12468</v>
      </c>
      <c r="E10" s="6" t="n">
        <v>7348</v>
      </c>
      <c r="F10" s="6" t="n">
        <v>12683</v>
      </c>
      <c r="G10" s="6" t="n">
        <v>19599</v>
      </c>
    </row>
    <row r="11">
      <c r="A11" s="6" t="inlineStr">
        <is>
          <t>Other financial assets at amortised cost</t>
        </is>
      </c>
      <c r="B11" s="6" t="n">
        <v>3987</v>
      </c>
      <c r="C11" s="6" t="n">
        <v>3408</v>
      </c>
      <c r="D11" s="6" t="n">
        <v>152</v>
      </c>
      <c r="E11" s="6" t="n">
        <v>156</v>
      </c>
      <c r="F11" s="6" t="n">
        <v>506</v>
      </c>
      <c r="G11" s="6" t="n">
        <v>1163</v>
      </c>
    </row>
    <row r="12">
      <c r="A12" s="6" t="inlineStr">
        <is>
          <t>Macro hedge of interest rate risk</t>
        </is>
      </c>
      <c r="B12" s="6" t="n">
        <v>-80</v>
      </c>
      <c r="C12" s="6" t="n">
        <v>-738</v>
      </c>
      <c r="D12" s="6" t="n">
        <v>-632</v>
      </c>
      <c r="E12" s="6" t="n">
        <v>-2657</v>
      </c>
      <c r="F12" s="6" t="n">
        <v>77</v>
      </c>
      <c r="G12" s="6" t="n"/>
    </row>
    <row r="13">
      <c r="A13" s="6" t="inlineStr">
        <is>
          <t>Financial assets at FVOCI</t>
        </is>
      </c>
      <c r="B13" s="6" t="n">
        <v>5216</v>
      </c>
      <c r="C13" s="6" t="n">
        <v>9040</v>
      </c>
      <c r="D13" s="6" t="n">
        <v>8481</v>
      </c>
      <c r="E13" s="6" t="n">
        <v>6024</v>
      </c>
      <c r="F13" s="6" t="n">
        <v>5851</v>
      </c>
      <c r="G13" s="6" t="n">
        <v>8950</v>
      </c>
    </row>
    <row r="14">
      <c r="A14" s="6" t="inlineStr">
        <is>
          <t>Interests in other entities</t>
        </is>
      </c>
      <c r="B14" s="6" t="n">
        <v>293</v>
      </c>
      <c r="C14" s="6" t="n">
        <v>289</v>
      </c>
      <c r="D14" s="6" t="n">
        <v>245</v>
      </c>
      <c r="E14" s="6" t="n">
        <v>252</v>
      </c>
      <c r="F14" s="6" t="n">
        <v>201</v>
      </c>
      <c r="G14" s="6" t="n">
        <v>172</v>
      </c>
    </row>
    <row r="15">
      <c r="A15" s="6" t="inlineStr">
        <is>
          <t>Intangible assets</t>
        </is>
      </c>
      <c r="B15" s="6" t="n">
        <v>1511</v>
      </c>
      <c r="C15" s="6" t="n">
        <v>1539</v>
      </c>
      <c r="D15" s="6" t="n">
        <v>1548</v>
      </c>
      <c r="E15" s="6" t="n">
        <v>1550</v>
      </c>
      <c r="F15" s="6" t="n">
        <v>1545</v>
      </c>
      <c r="G15" s="6" t="n">
        <v>1646</v>
      </c>
    </row>
    <row r="16">
      <c r="A16" s="6" t="inlineStr">
        <is>
          <t>Property, plant and equipment</t>
        </is>
      </c>
      <c r="B16" s="6" t="n">
        <v>1511</v>
      </c>
      <c r="C16" s="6" t="n">
        <v>1563</v>
      </c>
      <c r="D16" s="6" t="n">
        <v>1494</v>
      </c>
      <c r="E16" s="6" t="n">
        <v>1513</v>
      </c>
      <c r="F16" s="6" t="n">
        <v>1548</v>
      </c>
      <c r="G16" s="6" t="n">
        <v>1734</v>
      </c>
    </row>
    <row r="17">
      <c r="A17" s="6" t="inlineStr">
        <is>
          <t>Current tax assets</t>
        </is>
      </c>
      <c r="B17" s="6" t="n">
        <v>355</v>
      </c>
      <c r="C17" s="6" t="n">
        <v>506</v>
      </c>
      <c r="D17" s="6" t="n">
        <v>490</v>
      </c>
      <c r="E17" s="6" t="n">
        <v>478</v>
      </c>
      <c r="F17" s="6" t="n">
        <v>347</v>
      </c>
      <c r="G17" s="6" t="n">
        <v>264</v>
      </c>
    </row>
    <row r="18">
      <c r="A18" s="6" t="inlineStr">
        <is>
          <t>Retirement benefit assets</t>
        </is>
      </c>
      <c r="B18" s="6" t="n">
        <v>524</v>
      </c>
      <c r="C18" s="6" t="n">
        <v>439</v>
      </c>
      <c r="D18" s="6" t="n">
        <v>723</v>
      </c>
      <c r="E18" s="6" t="n">
        <v>1050</v>
      </c>
      <c r="F18" s="6" t="n">
        <v>1572</v>
      </c>
      <c r="G18" s="6" t="n">
        <v>495</v>
      </c>
    </row>
    <row r="19">
      <c r="A19" s="6" t="inlineStr">
        <is>
          <t>Other assets</t>
        </is>
      </c>
      <c r="B19" s="6" t="n">
        <v>1857</v>
      </c>
      <c r="C19" s="6" t="n">
        <v>1887</v>
      </c>
      <c r="D19" s="6" t="n">
        <v>2043</v>
      </c>
      <c r="E19" s="6" t="n">
        <v>2016</v>
      </c>
      <c r="F19" s="6" t="n">
        <v>1500</v>
      </c>
      <c r="G19" s="6" t="n">
        <v>3013</v>
      </c>
    </row>
    <row r="20">
      <c r="A20" s="6" t="inlineStr">
        <is>
          <t>Assets held for sale</t>
        </is>
      </c>
      <c r="B20" s="6" t="n">
        <v>18</v>
      </c>
      <c r="C20" s="6" t="n">
        <v>12</v>
      </c>
      <c r="D20" s="6" t="n">
        <v>13</v>
      </c>
      <c r="E20" s="6" t="n">
        <v>49</v>
      </c>
      <c r="F20" s="6" t="n"/>
      <c r="G20" s="6" t="n"/>
    </row>
    <row r="21">
      <c r="A21" s="5" t="inlineStr">
        <is>
          <t>Total assets</t>
        </is>
      </c>
      <c r="B21" s="5" t="n">
        <v>266837</v>
      </c>
      <c r="C21" s="5" t="n">
        <v>259944</v>
      </c>
      <c r="D21" s="5" t="n">
        <v>275448</v>
      </c>
      <c r="E21" s="5" t="n">
        <v>285213</v>
      </c>
      <c r="F21" s="5" t="n">
        <v>287098</v>
      </c>
      <c r="G21" s="5" t="n">
        <v>292332</v>
      </c>
    </row>
    <row r="22">
      <c r="A22" s="5" t="inlineStr">
        <is>
          <t>Liabilities</t>
        </is>
      </c>
      <c r="B22" s="6" t="n"/>
      <c r="C22" s="6" t="n"/>
      <c r="D22" s="6" t="n"/>
      <c r="E22" s="6" t="n"/>
      <c r="F22" s="6" t="n"/>
      <c r="G22" s="6" t="n"/>
    </row>
    <row r="23">
      <c r="A23" s="6" t="inlineStr">
        <is>
          <t>Deposits by banks</t>
        </is>
      </c>
      <c r="B23" s="6" t="n">
        <v>6628</v>
      </c>
      <c r="C23" s="6" t="n">
        <v>13993</v>
      </c>
      <c r="D23" s="6" t="n">
        <v>20332</v>
      </c>
      <c r="E23" s="6" t="n">
        <v>28525</v>
      </c>
      <c r="F23" s="6" t="n">
        <v>33855</v>
      </c>
      <c r="G23" s="6" t="n">
        <v>20958</v>
      </c>
    </row>
    <row r="24">
      <c r="A24" s="6" t="inlineStr">
        <is>
          <t>Deposits by customers</t>
        </is>
      </c>
      <c r="B24" s="6" t="n">
        <v>187300</v>
      </c>
      <c r="C24" s="6" t="n">
        <v>180967</v>
      </c>
      <c r="D24" s="6" t="n">
        <v>190850</v>
      </c>
      <c r="E24" s="6" t="n">
        <v>195568</v>
      </c>
      <c r="F24" s="6" t="n">
        <v>192926</v>
      </c>
      <c r="G24" s="6" t="n">
        <v>195135</v>
      </c>
    </row>
    <row r="25">
      <c r="A25" s="6" t="inlineStr">
        <is>
          <t>Repurchase agreements - non-trading</t>
        </is>
      </c>
      <c r="B25" s="6" t="n">
        <v>9029</v>
      </c>
      <c r="C25" s="6" t="n">
        <v>8617</v>
      </c>
      <c r="D25" s="6" t="n">
        <v>8411</v>
      </c>
      <c r="E25" s="6" t="n">
        <v>7982</v>
      </c>
      <c r="F25" s="6" t="n">
        <v>11718</v>
      </c>
      <c r="G25" s="6" t="n">
        <v>15848</v>
      </c>
    </row>
    <row r="26">
      <c r="A26" s="6" t="inlineStr">
        <is>
          <t>Derivative financial instruments</t>
        </is>
      </c>
      <c r="B26" s="6" t="n">
        <v>687</v>
      </c>
      <c r="C26" s="6" t="n">
        <v>702</v>
      </c>
      <c r="D26" s="6" t="n">
        <v>818</v>
      </c>
      <c r="E26" s="6" t="n">
        <v>951</v>
      </c>
      <c r="F26" s="6" t="n">
        <v>777</v>
      </c>
      <c r="G26" s="6" t="n">
        <v>1584</v>
      </c>
    </row>
    <row r="27">
      <c r="A27" s="6" t="inlineStr">
        <is>
          <t>Other financial liabilities at FVTPL</t>
        </is>
      </c>
      <c r="B27" s="6" t="n">
        <v>1250</v>
      </c>
      <c r="C27" s="6" t="n">
        <v>1055</v>
      </c>
      <c r="D27" s="6" t="n">
        <v>899</v>
      </c>
      <c r="E27" s="6" t="n">
        <v>803</v>
      </c>
      <c r="F27" s="6" t="n">
        <v>803</v>
      </c>
      <c r="G27" s="6" t="n">
        <v>1434</v>
      </c>
    </row>
    <row r="28">
      <c r="A28" s="6" t="inlineStr">
        <is>
          <t>Debt securities in issue</t>
        </is>
      </c>
      <c r="B28" s="6" t="n">
        <v>41388</v>
      </c>
      <c r="C28" s="6" t="n">
        <v>35673</v>
      </c>
      <c r="D28" s="6" t="n">
        <v>33910</v>
      </c>
      <c r="E28" s="6" t="n">
        <v>31531</v>
      </c>
      <c r="F28" s="6" t="n">
        <v>25520</v>
      </c>
      <c r="G28" s="6" t="n">
        <v>35566</v>
      </c>
    </row>
    <row r="29">
      <c r="A29" s="6" t="inlineStr">
        <is>
          <t>Macro hedge of interest rate risk</t>
        </is>
      </c>
      <c r="B29" s="6" t="n">
        <v>60</v>
      </c>
      <c r="C29" s="6" t="n">
        <v>47</v>
      </c>
      <c r="D29" s="6" t="n">
        <v>86</v>
      </c>
      <c r="E29" s="6" t="n">
        <v>95</v>
      </c>
      <c r="F29" s="6" t="n">
        <v>122</v>
      </c>
      <c r="G29" s="6" t="n"/>
    </row>
    <row r="30">
      <c r="A30" s="6" t="inlineStr">
        <is>
          <t>Other liabilities</t>
        </is>
      </c>
      <c r="B30" s="6" t="n">
        <v>2173</v>
      </c>
      <c r="C30" s="6" t="n">
        <v>1852</v>
      </c>
      <c r="D30" s="6" t="n">
        <v>2479</v>
      </c>
      <c r="E30" s="6" t="n">
        <v>2581</v>
      </c>
      <c r="F30" s="6" t="n">
        <v>2067</v>
      </c>
      <c r="G30" s="6" t="n">
        <v>2337</v>
      </c>
    </row>
    <row r="31">
      <c r="A31" s="6" t="inlineStr">
        <is>
          <t>Provisions</t>
        </is>
      </c>
      <c r="B31" s="6" t="n">
        <v>683</v>
      </c>
      <c r="C31" s="6" t="n">
        <v>611</v>
      </c>
      <c r="D31" s="6" t="n">
        <v>402</v>
      </c>
      <c r="E31" s="6" t="n">
        <v>378</v>
      </c>
      <c r="F31" s="6" t="n">
        <v>364</v>
      </c>
      <c r="G31" s="6" t="n">
        <v>464</v>
      </c>
    </row>
    <row r="32">
      <c r="A32" s="6" t="inlineStr">
        <is>
          <t>Deferred tax liabilities</t>
        </is>
      </c>
      <c r="B32" s="6" t="n">
        <v>437</v>
      </c>
      <c r="C32" s="6" t="n">
        <v>246</v>
      </c>
      <c r="D32" s="6" t="n">
        <v>186</v>
      </c>
      <c r="E32" s="6" t="n">
        <v>35</v>
      </c>
      <c r="F32" s="6" t="n">
        <v>579</v>
      </c>
      <c r="G32" s="6" t="n">
        <v>111</v>
      </c>
    </row>
    <row r="33">
      <c r="A33" s="6" t="inlineStr">
        <is>
          <t>Retirement benefit obligations</t>
        </is>
      </c>
      <c r="B33" s="6" t="n">
        <v>22</v>
      </c>
      <c r="C33" s="6" t="n">
        <v>23</v>
      </c>
      <c r="D33" s="6" t="n">
        <v>66</v>
      </c>
      <c r="E33" s="6" t="n">
        <v>25</v>
      </c>
      <c r="F33" s="6" t="n">
        <v>37</v>
      </c>
      <c r="G33" s="6" t="n">
        <v>403</v>
      </c>
    </row>
    <row r="34">
      <c r="A34" s="6" t="inlineStr">
        <is>
          <t>Subordinated liabilities</t>
        </is>
      </c>
      <c r="B34" s="6" t="n">
        <v>2032</v>
      </c>
      <c r="C34" s="6" t="n">
        <v>2385</v>
      </c>
      <c r="D34" s="6" t="n">
        <v>2386</v>
      </c>
      <c r="E34" s="6" t="n">
        <v>2332</v>
      </c>
      <c r="F34" s="6" t="n">
        <v>2228</v>
      </c>
      <c r="G34" s="6" t="n">
        <v>2556</v>
      </c>
    </row>
    <row r="35">
      <c r="A35" s="5" t="inlineStr">
        <is>
          <t>Total liabilities</t>
        </is>
      </c>
      <c r="B35" s="5" t="n">
        <v>251689</v>
      </c>
      <c r="C35" s="5" t="n">
        <v>246171</v>
      </c>
      <c r="D35" s="5" t="n">
        <v>260825</v>
      </c>
      <c r="E35" s="5" t="n">
        <v>270806</v>
      </c>
      <c r="F35" s="5" t="n">
        <v>270996</v>
      </c>
      <c r="G35" s="5" t="n">
        <v>276396</v>
      </c>
    </row>
    <row r="36">
      <c r="A36" s="5" t="inlineStr">
        <is>
          <t>Equity</t>
        </is>
      </c>
      <c r="B36" s="6" t="n"/>
      <c r="C36" s="6" t="n"/>
      <c r="D36" s="6" t="n"/>
      <c r="E36" s="6" t="n"/>
      <c r="F36" s="6" t="n"/>
      <c r="G36" s="6" t="n"/>
    </row>
    <row r="37">
      <c r="A37" s="6" t="inlineStr">
        <is>
          <t>Share capital</t>
        </is>
      </c>
      <c r="B37" s="6" t="n">
        <v>3105</v>
      </c>
      <c r="C37" s="6" t="n">
        <v>3105</v>
      </c>
      <c r="D37" s="6" t="n">
        <v>3105</v>
      </c>
      <c r="E37" s="6" t="n">
        <v>3105</v>
      </c>
      <c r="F37" s="6" t="n">
        <v>3105</v>
      </c>
      <c r="G37" s="6" t="n">
        <v>3105</v>
      </c>
    </row>
    <row r="38">
      <c r="A38" s="6" t="inlineStr">
        <is>
          <t>Share premium</t>
        </is>
      </c>
      <c r="B38" s="6" t="n">
        <v>1119</v>
      </c>
      <c r="C38" s="6" t="n">
        <v>5620</v>
      </c>
      <c r="D38" s="6" t="n">
        <v>5620</v>
      </c>
      <c r="E38" s="6" t="n">
        <v>5620</v>
      </c>
      <c r="F38" s="6" t="n">
        <v>5620</v>
      </c>
      <c r="G38" s="6" t="n">
        <v>5620</v>
      </c>
    </row>
    <row r="39">
      <c r="A39" s="6" t="inlineStr">
        <is>
          <t>Other equity instruments</t>
        </is>
      </c>
      <c r="B39" s="6" t="n">
        <v>1860</v>
      </c>
      <c r="C39" s="6" t="n">
        <v>1860</v>
      </c>
      <c r="D39" s="6" t="n">
        <v>1956</v>
      </c>
      <c r="E39" s="6" t="n">
        <v>1956</v>
      </c>
      <c r="F39" s="6" t="n">
        <v>2191</v>
      </c>
      <c r="G39" s="6" t="n">
        <v>2191</v>
      </c>
    </row>
    <row r="40">
      <c r="A40" s="6" t="inlineStr">
        <is>
          <t>Other reserves</t>
        </is>
      </c>
      <c r="B40" s="6" t="n">
        <v>186</v>
      </c>
      <c r="C40" s="6" t="n">
        <v>-333</v>
      </c>
      <c r="D40" s="6" t="n">
        <v>-353</v>
      </c>
      <c r="E40" s="6" t="n">
        <v>-1122</v>
      </c>
      <c r="F40" s="6" t="n">
        <v>133</v>
      </c>
      <c r="G40" s="6" t="n">
        <v>510</v>
      </c>
    </row>
    <row r="41">
      <c r="A41" s="6" t="inlineStr">
        <is>
          <t>Retained earnings</t>
        </is>
      </c>
      <c r="B41" s="6" t="n">
        <v>8878</v>
      </c>
      <c r="C41" s="6" t="n">
        <v>3521</v>
      </c>
      <c r="D41" s="6" t="n">
        <v>4295</v>
      </c>
      <c r="E41" s="6" t="n">
        <v>4848</v>
      </c>
      <c r="F41" s="6" t="n">
        <v>5053</v>
      </c>
      <c r="G41" s="6" t="n">
        <v>4348</v>
      </c>
    </row>
    <row r="42">
      <c r="A42" s="6" t="inlineStr">
        <is>
          <t>Non-controlling interests</t>
        </is>
      </c>
      <c r="B42" s="6" t="n"/>
      <c r="C42" s="6" t="n"/>
      <c r="D42" s="6" t="n"/>
      <c r="E42" s="6" t="n"/>
      <c r="F42" s="6" t="n"/>
      <c r="G42" s="6" t="n">
        <v>162</v>
      </c>
    </row>
    <row r="43">
      <c r="A43" s="5" t="inlineStr">
        <is>
          <t>Total equity</t>
        </is>
      </c>
      <c r="B43" s="5" t="n">
        <v>15148</v>
      </c>
      <c r="C43" s="5" t="n">
        <v>13773</v>
      </c>
      <c r="D43" s="5" t="n">
        <v>14623</v>
      </c>
      <c r="E43" s="5" t="n">
        <v>14407</v>
      </c>
      <c r="F43" s="5" t="n">
        <v>16102</v>
      </c>
      <c r="G43" s="5" t="n">
        <v>15936</v>
      </c>
    </row>
    <row r="44">
      <c r="A44" s="5" t="inlineStr">
        <is>
          <t>Total liabilities and equity</t>
        </is>
      </c>
      <c r="B44" s="5" t="n">
        <v>266837</v>
      </c>
      <c r="C44" s="5" t="n">
        <v>259944</v>
      </c>
      <c r="D44" s="5" t="n">
        <v>275448</v>
      </c>
      <c r="E44" s="5" t="n">
        <v>285213</v>
      </c>
      <c r="F44" s="5" t="n">
        <v>287098</v>
      </c>
      <c r="G44" s="5" t="n">
        <v>292332</v>
      </c>
    </row>
    <row r="46" ht="299" customHeight="1">
      <c r="A46" s="8" t="inlineStr">
        <is>
          <t>Sources - Santander UK Plc consolidated ('RFB Group') basis, £m:
FY2025: Santander UK plc Annual Report 2025, p.123 (Consolidated Income Statement), p.124 (Consolidated Statement of Comprehensive Income), p.125 (Consolidated Balance Sheet), p.127 (Consolidated Statement of Changes in Equity) - https://www.santander.co.uk/assets/s3fs-public/documents/SantanderUKplc2025AnnualReport.pdf
FY2024: Santander UK plc Annual Report 2025, p.123-127 (FY2024 comparative column of the same statements) - https://www.santander.co.uk/assets/s3fs-public/documents/SantanderUKplc2025AnnualReport.pdf
FY2023: Santander UK plc Annual Report 2023, p.117 (Consolidated Income Statement), p.118 (Consolidated Statement of Comprehensive Income), p.119 (Consolidated Balance Sheet), p.121 (Consolidated Statement of Changes in Equity) - https://www.santander.co.uk/assets/s3fs-public/documents/santander_uk_plc_annual_report_2023.pdf
FY2022: Santander UK plc Annual Report 2023, p.117-121 (FY2022 comparative column), independently cross-checked against Santander UK plc Annual Report 2022's own FY2022 Balance Sheet (p.131, Total assets 285,213 / Total liabilities 270,806 / Total equity 14,407), which agrees exactly - https://www.santander.co.uk/assets/s3fs-public/documents/santander_uk_plc_annual_report_2023.pdf
FY2021: Santander UK plc Annual Report 2022, p.129 (Consolidated Income Statement), p.132 (Consolidated Balance Sheet), p.121-122 comparative in the FY2023 report's Statement of Changes in Equity (opening/closing equity ties exactly to both years' own Balance Sheet Total equity: 16,102) - https://www.santander.co.uk/assets/s3fs-public/documents/santander_uk_plc_annual_report_2022.pdf
Presentation note: FY2021 includes a small discontinued-operations profit of £31m and non-controlling interests of £19m (disposed of during 2021, per the Statement of Changes in Equity's 'Disposal of non-controlling interests' movement) - neither recurs from FY2022 onward. FY2025's Statement of Changes in Equity introduces a new 'Cost of hedging reserve' column (nil in prior years) and drops the 'Non-controlling interests' column (nil since FY2022). Each year's own as-published structure is preserved rather than forced into a common format.
ENTITY NOTE: Santander UK Plc (FRN 106054, company number 02294747) is the PRA-authorised ring-fenced bank (RFB) - not to be confused with 'Santander Financial Services plc' (FRN 146003, a separate, smaller PRA-authorised entity) or with its own intermediate holding company 'Santander UK Group Holdings plc' (the resolution entity, which publishes its own separate Annual Report/Pillar 3). This workbook uses Santander UK Plc's own consolidated ('RFB Group') basis throughout, consistent with how this workbook series always prefers the ring-fenced/regulated banking entity's own consolidation level over a wider holding company - matching Barclays' use of 'Barclays Bank UK Group' rather than 'Barclays PLC'.
TSB ACQUISITION NOTE: On 21 July 2025 Banco Santander agreed to acquire TSB Banking Group plc (parent of TSB Bank plc, also covered elsewhere in this workbook series) from Sabadell for c.£2.65bn, with completion expected in early 2026 and a subsequent merger of TSB into the Santander UK group. The FY2025 ACRMD's 'Key Movements' commentary explicitly cites 'a no-dividend decision for 2025, in anticipation of the acquisition of TSB' as a driver of Santander UK's improved FY2025 capital ratios. This acquisition was still pending as at the FY2025 reporting date and is not reflected in any of the historical figures below; it may be worth revisiting both workbooks once the transaction completes and TSB Bank plc's own reporting entity status changes.</t>
        </is>
      </c>
    </row>
  </sheetData>
  <mergeCells count="1">
    <mergeCell ref="A46:G46"/>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35"/>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74"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Santander UK Plc — Profit &amp; Loss</t>
        </is>
      </c>
    </row>
    <row r="2">
      <c r="A2" s="2" t="inlineStr">
        <is>
          <t>Santander UK Plc Group (consolidated 'RFB Group' basis), £m. 'Total comprehensive income/(expense)' ties exactly to Profit after tax + Total other comprehensive income for every year. FY2021 includes a small discontinued-operations profit and non-controlling interest, both nil from FY2022 onward; FY2020 also carries a small non-controlling interest (disposed of during 2021) but no discontinued-operations line.</t>
        </is>
      </c>
    </row>
    <row r="3">
      <c r="A3" s="4" t="inlineStr">
        <is>
          <t>Line item</t>
        </is>
      </c>
      <c r="B3" s="4" t="inlineStr">
        <is>
          <t>FY2025 (£m)</t>
        </is>
      </c>
      <c r="C3" s="4" t="inlineStr">
        <is>
          <t>FY2024 (£m)</t>
        </is>
      </c>
      <c r="D3" s="4" t="inlineStr">
        <is>
          <t>FY2023 (£m)</t>
        </is>
      </c>
      <c r="E3" s="4" t="inlineStr">
        <is>
          <t>FY2022 (£m)</t>
        </is>
      </c>
      <c r="F3" s="4" t="inlineStr">
        <is>
          <t>FY2021 (£m)</t>
        </is>
      </c>
      <c r="G3" s="4" t="inlineStr">
        <is>
          <t>FY2020 (£m)</t>
        </is>
      </c>
    </row>
    <row r="4">
      <c r="A4" s="5" t="inlineStr">
        <is>
          <t>Income</t>
        </is>
      </c>
      <c r="B4" s="6" t="n"/>
      <c r="C4" s="6" t="n"/>
      <c r="D4" s="6" t="n"/>
      <c r="E4" s="6" t="n"/>
      <c r="F4" s="6" t="n"/>
      <c r="G4" s="6" t="n"/>
    </row>
    <row r="5">
      <c r="A5" s="6" t="inlineStr">
        <is>
          <t>Interest and similar income</t>
        </is>
      </c>
      <c r="B5" s="6" t="n">
        <v>11541</v>
      </c>
      <c r="C5" s="6" t="n">
        <v>12439</v>
      </c>
      <c r="D5" s="6" t="n">
        <v>11617</v>
      </c>
      <c r="E5" s="6" t="n">
        <v>6708</v>
      </c>
      <c r="F5" s="6" t="n">
        <v>4762</v>
      </c>
      <c r="G5" s="6" t="n">
        <v>5105</v>
      </c>
    </row>
    <row r="6">
      <c r="A6" s="6" t="inlineStr">
        <is>
          <t>Interest expense and similar charges</t>
        </is>
      </c>
      <c r="B6" s="6" t="n">
        <v>-7161</v>
      </c>
      <c r="C6" s="6" t="n">
        <v>-8127</v>
      </c>
      <c r="D6" s="6" t="n">
        <v>-6959</v>
      </c>
      <c r="E6" s="6" t="n">
        <v>-2283</v>
      </c>
      <c r="F6" s="6" t="n">
        <v>-813</v>
      </c>
      <c r="G6" s="6" t="n">
        <v>-1662</v>
      </c>
    </row>
    <row r="7">
      <c r="A7" s="5" t="inlineStr">
        <is>
          <t>Net interest income</t>
        </is>
      </c>
      <c r="B7" s="5" t="n">
        <v>4380</v>
      </c>
      <c r="C7" s="5" t="n">
        <v>4312</v>
      </c>
      <c r="D7" s="5" t="n">
        <v>4658</v>
      </c>
      <c r="E7" s="5" t="n">
        <v>4425</v>
      </c>
      <c r="F7" s="5" t="n">
        <v>3949</v>
      </c>
      <c r="G7" s="5" t="n">
        <v>3443</v>
      </c>
    </row>
    <row r="8">
      <c r="A8" s="6" t="inlineStr">
        <is>
          <t>Fee and commission income</t>
        </is>
      </c>
      <c r="B8" s="6" t="n">
        <v>752</v>
      </c>
      <c r="C8" s="6" t="n">
        <v>733</v>
      </c>
      <c r="D8" s="6" t="n">
        <v>804</v>
      </c>
      <c r="E8" s="6" t="n">
        <v>839</v>
      </c>
      <c r="F8" s="6" t="n">
        <v>697</v>
      </c>
      <c r="G8" s="6" t="n">
        <v>756</v>
      </c>
    </row>
    <row r="9">
      <c r="A9" s="6" t="inlineStr">
        <is>
          <t>Fee and commission expense</t>
        </is>
      </c>
      <c r="B9" s="6" t="n">
        <v>-419</v>
      </c>
      <c r="C9" s="6" t="n">
        <v>-481</v>
      </c>
      <c r="D9" s="6" t="n">
        <v>-501</v>
      </c>
      <c r="E9" s="6" t="n">
        <v>-509</v>
      </c>
      <c r="F9" s="6" t="n">
        <v>-411</v>
      </c>
      <c r="G9" s="6" t="n">
        <v>-371</v>
      </c>
    </row>
    <row r="10">
      <c r="A10" s="5" t="inlineStr">
        <is>
          <t>Net fee and commission income</t>
        </is>
      </c>
      <c r="B10" s="5" t="n">
        <v>333</v>
      </c>
      <c r="C10" s="5" t="n">
        <v>252</v>
      </c>
      <c r="D10" s="5" t="n">
        <v>303</v>
      </c>
      <c r="E10" s="5" t="n">
        <v>330</v>
      </c>
      <c r="F10" s="5" t="n">
        <v>286</v>
      </c>
      <c r="G10" s="5" t="n">
        <v>385</v>
      </c>
    </row>
    <row r="11">
      <c r="A11" s="6" t="inlineStr">
        <is>
          <t>Other operating income</t>
        </is>
      </c>
      <c r="B11" s="6" t="n">
        <v>16</v>
      </c>
      <c r="C11" s="6" t="n">
        <v>93</v>
      </c>
      <c r="D11" s="6" t="n">
        <v>135</v>
      </c>
      <c r="E11" s="6" t="n">
        <v>201</v>
      </c>
      <c r="F11" s="6" t="n">
        <v>264</v>
      </c>
      <c r="G11" s="6" t="n">
        <v>147</v>
      </c>
    </row>
    <row r="12">
      <c r="A12" s="5" t="inlineStr">
        <is>
          <t>Total operating income</t>
        </is>
      </c>
      <c r="B12" s="5" t="n">
        <v>4729</v>
      </c>
      <c r="C12" s="5" t="n">
        <v>4657</v>
      </c>
      <c r="D12" s="5" t="n">
        <v>5096</v>
      </c>
      <c r="E12" s="5" t="n">
        <v>4956</v>
      </c>
      <c r="F12" s="5" t="n">
        <v>4499</v>
      </c>
      <c r="G12" s="5" t="n">
        <v>3975</v>
      </c>
    </row>
    <row r="13">
      <c r="A13" s="5" t="inlineStr">
        <is>
          <t>Impairment, provisions and expenses</t>
        </is>
      </c>
      <c r="B13" s="6" t="n"/>
      <c r="C13" s="6" t="n"/>
      <c r="D13" s="6" t="n"/>
      <c r="E13" s="6" t="n"/>
      <c r="F13" s="6" t="n"/>
      <c r="G13" s="6" t="n"/>
    </row>
    <row r="14">
      <c r="A14" s="6" t="inlineStr">
        <is>
          <t>Operating expenses before credit impairment charges, provisions and charges</t>
        </is>
      </c>
      <c r="B14" s="6" t="n">
        <v>-2457</v>
      </c>
      <c r="C14" s="6" t="n">
        <v>-2548</v>
      </c>
      <c r="D14" s="6" t="n">
        <v>-2456</v>
      </c>
      <c r="E14" s="6" t="n">
        <v>-2343</v>
      </c>
      <c r="F14" s="6" t="n">
        <v>-2510</v>
      </c>
      <c r="G14" s="6" t="n">
        <v>-2452</v>
      </c>
    </row>
    <row r="15">
      <c r="A15" s="6" t="inlineStr">
        <is>
          <t>Credit impairment charges/(write-backs)</t>
        </is>
      </c>
      <c r="B15" s="6" t="n">
        <v>-193</v>
      </c>
      <c r="C15" s="6" t="n">
        <v>-71</v>
      </c>
      <c r="D15" s="6" t="n">
        <v>-205</v>
      </c>
      <c r="E15" s="6" t="n">
        <v>-320</v>
      </c>
      <c r="F15" s="6" t="n">
        <v>233</v>
      </c>
      <c r="G15" s="6" t="n">
        <v>-645</v>
      </c>
    </row>
    <row r="16">
      <c r="A16" s="6" t="inlineStr">
        <is>
          <t>Provisions for other liabilities and charges</t>
        </is>
      </c>
      <c r="B16" s="6" t="n">
        <v>-597</v>
      </c>
      <c r="C16" s="6" t="n">
        <v>-689</v>
      </c>
      <c r="D16" s="6" t="n">
        <v>-335</v>
      </c>
      <c r="E16" s="6" t="n">
        <v>-419</v>
      </c>
      <c r="F16" s="6" t="n">
        <v>-377</v>
      </c>
      <c r="G16" s="6" t="n">
        <v>-273</v>
      </c>
    </row>
    <row r="17">
      <c r="A17" s="5" t="inlineStr">
        <is>
          <t>Total credit impairment charges, provisions and charges</t>
        </is>
      </c>
      <c r="B17" s="5" t="n">
        <v>-790</v>
      </c>
      <c r="C17" s="5" t="n">
        <v>-760</v>
      </c>
      <c r="D17" s="5" t="n">
        <v>-540</v>
      </c>
      <c r="E17" s="5" t="n">
        <v>-739</v>
      </c>
      <c r="F17" s="5" t="n">
        <v>-144</v>
      </c>
      <c r="G17" s="5" t="n">
        <v>-918</v>
      </c>
    </row>
    <row r="18">
      <c r="A18" s="5" t="inlineStr">
        <is>
          <t>Profit from continuing operations before tax</t>
        </is>
      </c>
      <c r="B18" s="5" t="n">
        <v>1482</v>
      </c>
      <c r="C18" s="5" t="n">
        <v>1349</v>
      </c>
      <c r="D18" s="5" t="n">
        <v>2100</v>
      </c>
      <c r="E18" s="5" t="n">
        <v>1874</v>
      </c>
      <c r="F18" s="5" t="n">
        <v>1845</v>
      </c>
      <c r="G18" s="5" t="n">
        <v>605</v>
      </c>
    </row>
    <row r="19">
      <c r="A19" s="6" t="inlineStr">
        <is>
          <t>Tax on profit</t>
        </is>
      </c>
      <c r="B19" s="6" t="n">
        <v>-396</v>
      </c>
      <c r="C19" s="6" t="n">
        <v>-378</v>
      </c>
      <c r="D19" s="6" t="n">
        <v>-559</v>
      </c>
      <c r="E19" s="6" t="n">
        <v>-480</v>
      </c>
      <c r="F19" s="6" t="n">
        <v>-492</v>
      </c>
      <c r="G19" s="6" t="n">
        <v>-134</v>
      </c>
    </row>
    <row r="20">
      <c r="A20" s="5" t="inlineStr">
        <is>
          <t>Profit from continuing operations after tax</t>
        </is>
      </c>
      <c r="B20" s="5" t="n">
        <v>1086</v>
      </c>
      <c r="C20" s="5" t="n">
        <v>971</v>
      </c>
      <c r="D20" s="5" t="n">
        <v>1541</v>
      </c>
      <c r="E20" s="5" t="n">
        <v>1394</v>
      </c>
      <c r="F20" s="5" t="n">
        <v>1353</v>
      </c>
      <c r="G20" s="5" t="n">
        <v>471</v>
      </c>
    </row>
    <row r="21">
      <c r="A21" s="6" t="inlineStr">
        <is>
          <t>Profit from discontinued operations after tax</t>
        </is>
      </c>
      <c r="B21" s="6" t="n"/>
      <c r="C21" s="6" t="n"/>
      <c r="D21" s="6" t="n"/>
      <c r="E21" s="6" t="n"/>
      <c r="F21" s="6" t="n">
        <v>31</v>
      </c>
      <c r="G21" s="6" t="n"/>
    </row>
    <row r="22">
      <c r="A22" s="5" t="inlineStr">
        <is>
          <t>Profit after tax</t>
        </is>
      </c>
      <c r="B22" s="5" t="n">
        <v>1086</v>
      </c>
      <c r="C22" s="5" t="n">
        <v>971</v>
      </c>
      <c r="D22" s="5" t="n">
        <v>1541</v>
      </c>
      <c r="E22" s="5" t="n">
        <v>1394</v>
      </c>
      <c r="F22" s="5" t="n">
        <v>1384</v>
      </c>
      <c r="G22" s="5" t="n">
        <v>471</v>
      </c>
    </row>
    <row r="23">
      <c r="A23" s="6" t="inlineStr">
        <is>
          <t>Attributable to: equity holders of the parent</t>
        </is>
      </c>
      <c r="B23" s="6" t="n">
        <v>1086</v>
      </c>
      <c r="C23" s="6" t="n">
        <v>971</v>
      </c>
      <c r="D23" s="6" t="n">
        <v>1541</v>
      </c>
      <c r="E23" s="6" t="n">
        <v>1394</v>
      </c>
      <c r="F23" s="6" t="n">
        <v>1365</v>
      </c>
      <c r="G23" s="6" t="n">
        <v>452</v>
      </c>
    </row>
    <row r="24">
      <c r="A24" s="6" t="inlineStr">
        <is>
          <t>Attributable to: non-controlling interests</t>
        </is>
      </c>
      <c r="B24" s="6" t="n"/>
      <c r="C24" s="6" t="n"/>
      <c r="D24" s="6" t="n"/>
      <c r="E24" s="6" t="n"/>
      <c r="F24" s="6" t="n">
        <v>19</v>
      </c>
      <c r="G24" s="6" t="n">
        <v>19</v>
      </c>
    </row>
    <row r="25">
      <c r="A25" s="5" t="inlineStr">
        <is>
          <t>Other comprehensive income, net of tax</t>
        </is>
      </c>
      <c r="B25" s="6" t="n"/>
      <c r="C25" s="6" t="n"/>
      <c r="D25" s="6" t="n"/>
      <c r="E25" s="6" t="n"/>
      <c r="F25" s="6" t="n"/>
      <c r="G25" s="6" t="n"/>
    </row>
    <row r="26">
      <c r="A26" s="6" t="inlineStr">
        <is>
          <t>Movement in fair value reserve (debt instruments)</t>
        </is>
      </c>
      <c r="B26" s="6" t="n">
        <v>11</v>
      </c>
      <c r="C26" s="6" t="n">
        <v>-11</v>
      </c>
      <c r="D26" s="6" t="n">
        <v>-11</v>
      </c>
      <c r="E26" s="6" t="n">
        <v>-20</v>
      </c>
      <c r="F26" s="6" t="n">
        <v>-3</v>
      </c>
      <c r="G26" s="6" t="n">
        <v>5</v>
      </c>
    </row>
    <row r="27">
      <c r="A27" s="6" t="inlineStr">
        <is>
          <t>Cash flow hedges</t>
        </is>
      </c>
      <c r="B27" s="6" t="n">
        <v>529</v>
      </c>
      <c r="C27" s="6" t="n">
        <v>31</v>
      </c>
      <c r="D27" s="6" t="n">
        <v>780</v>
      </c>
      <c r="E27" s="6" t="n">
        <v>-1235</v>
      </c>
      <c r="F27" s="6" t="n">
        <v>-374</v>
      </c>
      <c r="G27" s="6" t="n">
        <v>110</v>
      </c>
    </row>
    <row r="28">
      <c r="A28" s="6" t="inlineStr">
        <is>
          <t>Cost of hedging</t>
        </is>
      </c>
      <c r="B28" s="6" t="n">
        <v>-20</v>
      </c>
      <c r="C28" s="6" t="n"/>
      <c r="D28" s="6" t="n"/>
      <c r="E28" s="6" t="n"/>
      <c r="F28" s="6" t="n"/>
      <c r="G28" s="6" t="n"/>
    </row>
    <row r="29">
      <c r="A29" s="6" t="inlineStr">
        <is>
          <t>Pension remeasurement</t>
        </is>
      </c>
      <c r="B29" s="6" t="n">
        <v>-72</v>
      </c>
      <c r="C29" s="6" t="n">
        <v>-289</v>
      </c>
      <c r="D29" s="6" t="n">
        <v>-431</v>
      </c>
      <c r="E29" s="6" t="n">
        <v>-455</v>
      </c>
      <c r="F29" s="6" t="n">
        <v>845</v>
      </c>
      <c r="G29" s="6" t="n">
        <v>-372</v>
      </c>
    </row>
    <row r="30">
      <c r="A30" s="6" t="inlineStr">
        <is>
          <t>Own credit adjustment</t>
        </is>
      </c>
      <c r="B30" s="6" t="n">
        <v>-1</v>
      </c>
      <c r="C30" s="6" t="n">
        <v>-12</v>
      </c>
      <c r="D30" s="6" t="n">
        <v>-11</v>
      </c>
      <c r="E30" s="6" t="n">
        <v>20</v>
      </c>
      <c r="F30" s="6" t="n"/>
      <c r="G30" s="6" t="n">
        <v>-3</v>
      </c>
    </row>
    <row r="31">
      <c r="A31" s="6" t="inlineStr">
        <is>
          <t>Currency translation on foreign operations</t>
        </is>
      </c>
      <c r="B31" s="6" t="n">
        <v>-1</v>
      </c>
      <c r="C31" s="6" t="n"/>
      <c r="D31" s="6" t="n"/>
      <c r="E31" s="6" t="n"/>
      <c r="F31" s="6" t="n"/>
      <c r="G31" s="6" t="n"/>
    </row>
    <row r="32">
      <c r="A32" s="5" t="inlineStr">
        <is>
          <t>Total other comprehensive income/(expense), net of tax</t>
        </is>
      </c>
      <c r="B32" s="5" t="n">
        <v>446</v>
      </c>
      <c r="C32" s="5" t="n">
        <v>-281</v>
      </c>
      <c r="D32" s="5" t="n">
        <v>327</v>
      </c>
      <c r="E32" s="5" t="n">
        <v>-1690</v>
      </c>
      <c r="F32" s="5" t="n">
        <v>468</v>
      </c>
      <c r="G32" s="5" t="n">
        <v>-260</v>
      </c>
    </row>
    <row r="33">
      <c r="A33" s="5" t="inlineStr">
        <is>
          <t>Total comprehensive income/(expense)</t>
        </is>
      </c>
      <c r="B33" s="5" t="n">
        <v>1532</v>
      </c>
      <c r="C33" s="5" t="n">
        <v>690</v>
      </c>
      <c r="D33" s="5" t="n">
        <v>1868</v>
      </c>
      <c r="E33" s="5" t="n">
        <v>-296</v>
      </c>
      <c r="F33" s="5" t="n">
        <v>1852</v>
      </c>
      <c r="G33" s="5" t="n">
        <v>211</v>
      </c>
    </row>
    <row r="35" ht="299" customHeight="1">
      <c r="A35" s="8" t="inlineStr">
        <is>
          <t>Sources - Santander UK Plc consolidated ('RFB Group') basis, £m:
FY2025: Santander UK plc Annual Report 2025, p.123 (Consolidated Income Statement), p.124 (Consolidated Statement of Comprehensive Income), p.125 (Consolidated Balance Sheet), p.127 (Consolidated Statement of Changes in Equity) - https://www.santander.co.uk/assets/s3fs-public/documents/SantanderUKplc2025AnnualReport.pdf
FY2024: Santander UK plc Annual Report 2025, p.123-127 (FY2024 comparative column of the same statements) - https://www.santander.co.uk/assets/s3fs-public/documents/SantanderUKplc2025AnnualReport.pdf
FY2023: Santander UK plc Annual Report 2023, p.117 (Consolidated Income Statement), p.118 (Consolidated Statement of Comprehensive Income), p.119 (Consolidated Balance Sheet), p.121 (Consolidated Statement of Changes in Equity) - https://www.santander.co.uk/assets/s3fs-public/documents/santander_uk_plc_annual_report_2023.pdf
FY2022: Santander UK plc Annual Report 2023, p.117-121 (FY2022 comparative column), independently cross-checked against Santander UK plc Annual Report 2022's own FY2022 Balance Sheet (p.131, Total assets 285,213 / Total liabilities 270,806 / Total equity 14,407), which agrees exactly - https://www.santander.co.uk/assets/s3fs-public/documents/santander_uk_plc_annual_report_2023.pdf
FY2021: Santander UK plc Annual Report 2022, p.129 (Consolidated Income Statement), p.132 (Consolidated Balance Sheet), p.121-122 comparative in the FY2023 report's Statement of Changes in Equity (opening/closing equity ties exactly to both years' own Balance Sheet Total equity: 16,102) - https://www.santander.co.uk/assets/s3fs-public/documents/santander_uk_plc_annual_report_2022.pdf
Presentation note: FY2021 includes a small discontinued-operations profit of £31m and non-controlling interests of £19m (disposed of during 2021, per the Statement of Changes in Equity's 'Disposal of non-controlling interests' movement) - neither recurs from FY2022 onward. FY2025's Statement of Changes in Equity introduces a new 'Cost of hedging reserve' column (nil in prior years) and drops the 'Non-controlling interests' column (nil since FY2022). Each year's own as-published structure is preserved rather than forced into a common format.
ENTITY NOTE: Santander UK Plc (FRN 106054, company number 02294747) is the PRA-authorised ring-fenced bank (RFB) - not to be confused with 'Santander Financial Services plc' (FRN 146003, a separate, smaller PRA-authorised entity) or with its own intermediate holding company 'Santander UK Group Holdings plc' (the resolution entity, which publishes its own separate Annual Report/Pillar 3). This workbook uses Santander UK Plc's own consolidated ('RFB Group') basis throughout, consistent with how this workbook series always prefers the ring-fenced/regulated banking entity's own consolidation level over a wider holding company - matching Barclays' use of 'Barclays Bank UK Group' rather than 'Barclays PLC'.
TSB ACQUISITION NOTE: On 21 July 2025 Banco Santander agreed to acquire TSB Banking Group plc (parent of TSB Bank plc, also covered elsewhere in this workbook series) from Sabadell for c.£2.65bn, with completion expected in early 2026 and a subsequent merger of TSB into the Santander UK group. The FY2025 ACRMD's 'Key Movements' commentary explicitly cites 'a no-dividend decision for 2025, in anticipation of the acquisition of TSB' as a driver of Santander UK's improved FY2025 capital ratios. This acquisition was still pending as at the FY2025 reporting date and is not reflected in any of the historical figures below; it may be worth revisiting both workbooks once the transaction completes and TSB Bank plc's own reporting entity status changes.</t>
        </is>
      </c>
    </row>
  </sheetData>
  <mergeCells count="1">
    <mergeCell ref="A35:G35"/>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68"/>
  <sheetViews>
    <sheetView workbookViewId="0">
      <pane ySplit="4" topLeftCell="A5" activePane="bottomLeft" state="frozen"/>
      <selection pane="bottomLeft" activeCell="A1" sqref="A1"/>
    </sheetView>
  </sheetViews>
  <sheetFormatPr baseColWidth="8" defaultRowHeight="15"/>
  <cols>
    <col width="54"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s>
  <sheetData>
    <row r="1">
      <c r="A1" s="1" t="inlineStr">
        <is>
          <t>Santander UK Plc — Statement of Changes in Equity</t>
        </is>
      </c>
    </row>
    <row r="2">
      <c r="A2" s="2" t="inlineStr">
        <is>
          <t>Santander UK Plc Group (consolidated 'RFB Group' basis), £m, chronological (oldest to newest). Each year's closing Total equity ties exactly to that year's own Balance Sheet Total equity and to the next year's opening balance - zero undocumented plug rows across all 6 years. FY2020's own opening balance (1 January 2020, Total equity 16,017) ties exactly to the FY2019 comparative disclosed in the FY2020 Annual Report.</t>
        </is>
      </c>
    </row>
    <row r="3">
      <c r="A3" s="4" t="inlineStr">
        <is>
          <t>Movement</t>
        </is>
      </c>
      <c r="B3" s="4" t="inlineStr">
        <is>
          <t>Share capital</t>
        </is>
      </c>
      <c r="C3" s="4" t="inlineStr">
        <is>
          <t>Share premium</t>
        </is>
      </c>
      <c r="D3" s="4" t="inlineStr">
        <is>
          <t>Other equity instruments</t>
        </is>
      </c>
      <c r="E3" s="4" t="inlineStr">
        <is>
          <t>Fair value reserve</t>
        </is>
      </c>
      <c r="F3" s="4" t="inlineStr">
        <is>
          <t>Cash flow hedging reserve</t>
        </is>
      </c>
      <c r="G3" s="4" t="inlineStr">
        <is>
          <t>Cost of hedging reserve</t>
        </is>
      </c>
      <c r="H3" s="4" t="inlineStr">
        <is>
          <t>Currency translation reserve</t>
        </is>
      </c>
      <c r="I3" s="4" t="inlineStr">
        <is>
          <t>Retained earnings</t>
        </is>
      </c>
      <c r="J3" s="4" t="inlineStr">
        <is>
          <t>Non-controlling interests</t>
        </is>
      </c>
      <c r="K3" s="4" t="inlineStr">
        <is>
          <t>Total equity</t>
        </is>
      </c>
    </row>
    <row r="4">
      <c r="A4" s="5" t="inlineStr">
        <is>
          <t>Balance at 1 January 2020</t>
        </is>
      </c>
      <c r="B4" s="5" t="n">
        <v>3105</v>
      </c>
      <c r="C4" s="5" t="n">
        <v>5620</v>
      </c>
      <c r="D4" s="5" t="n">
        <v>2191</v>
      </c>
      <c r="E4" s="5" t="n">
        <v>23</v>
      </c>
      <c r="F4" s="5" t="n">
        <v>371</v>
      </c>
      <c r="G4" s="5" t="n"/>
      <c r="H4" s="5" t="n">
        <v>1</v>
      </c>
      <c r="I4" s="5" t="n">
        <v>4546</v>
      </c>
      <c r="J4" s="5" t="n">
        <v>160</v>
      </c>
      <c r="K4" s="5" t="n">
        <v>16017</v>
      </c>
    </row>
    <row r="5">
      <c r="A5" s="6" t="inlineStr">
        <is>
          <t>Profit after tax</t>
        </is>
      </c>
      <c r="B5" s="6" t="n"/>
      <c r="C5" s="6" t="n"/>
      <c r="D5" s="6" t="n"/>
      <c r="E5" s="6" t="n"/>
      <c r="F5" s="6" t="n"/>
      <c r="G5" s="6" t="n"/>
      <c r="H5" s="6" t="n"/>
      <c r="I5" s="6" t="n">
        <v>452</v>
      </c>
      <c r="J5" s="6" t="n">
        <v>19</v>
      </c>
      <c r="K5" s="6" t="n">
        <v>471</v>
      </c>
    </row>
    <row r="6">
      <c r="A6" s="6" t="inlineStr">
        <is>
          <t>Fair value reserve movements (debt instruments)</t>
        </is>
      </c>
      <c r="B6" s="6" t="n"/>
      <c r="C6" s="6" t="n"/>
      <c r="D6" s="6" t="n"/>
      <c r="E6" s="6" t="n">
        <v>5</v>
      </c>
      <c r="F6" s="6" t="n"/>
      <c r="G6" s="6" t="n"/>
      <c r="H6" s="6" t="n"/>
      <c r="I6" s="6" t="n"/>
      <c r="J6" s="6" t="n"/>
      <c r="K6" s="6" t="n">
        <v>5</v>
      </c>
    </row>
    <row r="7">
      <c r="A7" s="6" t="inlineStr">
        <is>
          <t>Cash flow hedges</t>
        </is>
      </c>
      <c r="B7" s="6" t="n"/>
      <c r="C7" s="6" t="n"/>
      <c r="D7" s="6" t="n"/>
      <c r="E7" s="6" t="n"/>
      <c r="F7" s="6" t="n">
        <v>110</v>
      </c>
      <c r="G7" s="6" t="n"/>
      <c r="H7" s="6" t="n"/>
      <c r="I7" s="6" t="n"/>
      <c r="J7" s="6" t="n"/>
      <c r="K7" s="6" t="n">
        <v>110</v>
      </c>
    </row>
    <row r="8">
      <c r="A8" s="6" t="inlineStr">
        <is>
          <t>Pension remeasurement</t>
        </is>
      </c>
      <c r="B8" s="6" t="n"/>
      <c r="C8" s="6" t="n"/>
      <c r="D8" s="6" t="n"/>
      <c r="E8" s="6" t="n"/>
      <c r="F8" s="6" t="n"/>
      <c r="G8" s="6" t="n"/>
      <c r="H8" s="6" t="n"/>
      <c r="I8" s="6" t="n">
        <v>-370</v>
      </c>
      <c r="J8" s="6" t="n">
        <v>-2</v>
      </c>
      <c r="K8" s="6" t="n">
        <v>-372</v>
      </c>
    </row>
    <row r="9">
      <c r="A9" s="6" t="inlineStr">
        <is>
          <t>Own credit adjustment</t>
        </is>
      </c>
      <c r="B9" s="6" t="n"/>
      <c r="C9" s="6" t="n"/>
      <c r="D9" s="6" t="n"/>
      <c r="E9" s="6" t="n"/>
      <c r="F9" s="6" t="n"/>
      <c r="G9" s="6" t="n"/>
      <c r="H9" s="6" t="n"/>
      <c r="I9" s="6" t="n">
        <v>-3</v>
      </c>
      <c r="J9" s="6" t="n"/>
      <c r="K9" s="6" t="n">
        <v>-3</v>
      </c>
    </row>
    <row r="10">
      <c r="A10" s="6" t="inlineStr">
        <is>
          <t>Dividends on ordinary shares</t>
        </is>
      </c>
      <c r="B10" s="6" t="n"/>
      <c r="C10" s="6" t="n"/>
      <c r="D10" s="6" t="n"/>
      <c r="E10" s="6" t="n"/>
      <c r="F10" s="6" t="n"/>
      <c r="G10" s="6" t="n"/>
      <c r="H10" s="6" t="n"/>
      <c r="I10" s="6" t="n">
        <v>-129</v>
      </c>
      <c r="J10" s="6" t="n"/>
      <c r="K10" s="6" t="n">
        <v>-129</v>
      </c>
    </row>
    <row r="11">
      <c r="A11" s="6" t="inlineStr">
        <is>
          <t>Dividends on preference shares and other equity instruments</t>
        </is>
      </c>
      <c r="B11" s="6" t="n"/>
      <c r="C11" s="6" t="n"/>
      <c r="D11" s="6" t="n"/>
      <c r="E11" s="6" t="n"/>
      <c r="F11" s="6" t="n"/>
      <c r="G11" s="6" t="n"/>
      <c r="H11" s="6" t="n"/>
      <c r="I11" s="6" t="n">
        <v>-148</v>
      </c>
      <c r="J11" s="6" t="n"/>
      <c r="K11" s="6" t="n">
        <v>-148</v>
      </c>
    </row>
    <row r="12">
      <c r="A12" s="6" t="inlineStr">
        <is>
          <t>Dividends on non-controlling interests</t>
        </is>
      </c>
      <c r="B12" s="6" t="n"/>
      <c r="C12" s="6" t="n"/>
      <c r="D12" s="6" t="n"/>
      <c r="E12" s="6" t="n"/>
      <c r="F12" s="6" t="n"/>
      <c r="G12" s="6" t="n"/>
      <c r="H12" s="6" t="n"/>
      <c r="I12" s="6" t="n"/>
      <c r="J12" s="6" t="n">
        <v>-15</v>
      </c>
      <c r="K12" s="6" t="n">
        <v>-15</v>
      </c>
    </row>
    <row r="13">
      <c r="A13" s="5" t="inlineStr">
        <is>
          <t>Balance at 31 December 2020 / 1 January 2021</t>
        </is>
      </c>
      <c r="B13" s="5" t="n">
        <v>3105</v>
      </c>
      <c r="C13" s="5" t="n">
        <v>5620</v>
      </c>
      <c r="D13" s="5" t="n">
        <v>2191</v>
      </c>
      <c r="E13" s="5" t="n">
        <v>28</v>
      </c>
      <c r="F13" s="5" t="n">
        <v>481</v>
      </c>
      <c r="G13" s="5" t="n"/>
      <c r="H13" s="5" t="n">
        <v>1</v>
      </c>
      <c r="I13" s="5" t="n">
        <v>4348</v>
      </c>
      <c r="J13" s="5" t="n">
        <v>162</v>
      </c>
      <c r="K13" s="5" t="n">
        <v>15936</v>
      </c>
    </row>
    <row r="14">
      <c r="A14" s="6" t="inlineStr">
        <is>
          <t>Profit after tax</t>
        </is>
      </c>
      <c r="B14" s="6" t="n"/>
      <c r="C14" s="6" t="n"/>
      <c r="D14" s="6" t="n"/>
      <c r="E14" s="6" t="n"/>
      <c r="F14" s="6" t="n"/>
      <c r="G14" s="6" t="n"/>
      <c r="H14" s="6" t="n"/>
      <c r="I14" s="6" t="n">
        <v>1365</v>
      </c>
      <c r="J14" s="6" t="n">
        <v>19</v>
      </c>
      <c r="K14" s="6" t="n">
        <v>1384</v>
      </c>
    </row>
    <row r="15">
      <c r="A15" s="6" t="inlineStr">
        <is>
          <t>Fair value reserve movements (debt instruments)</t>
        </is>
      </c>
      <c r="B15" s="6" t="n"/>
      <c r="C15" s="6" t="n"/>
      <c r="D15" s="6" t="n"/>
      <c r="E15" s="6" t="n">
        <v>-3</v>
      </c>
      <c r="F15" s="6" t="n"/>
      <c r="G15" s="6" t="n"/>
      <c r="H15" s="6" t="n"/>
      <c r="I15" s="6" t="n"/>
      <c r="J15" s="6" t="n"/>
      <c r="K15" s="6" t="n">
        <v>-3</v>
      </c>
    </row>
    <row r="16">
      <c r="A16" s="6" t="inlineStr">
        <is>
          <t>Cash flow hedges</t>
        </is>
      </c>
      <c r="B16" s="6" t="n"/>
      <c r="C16" s="6" t="n"/>
      <c r="D16" s="6" t="n"/>
      <c r="E16" s="6" t="n"/>
      <c r="F16" s="6" t="n">
        <v>-374</v>
      </c>
      <c r="G16" s="6" t="n"/>
      <c r="H16" s="6" t="n"/>
      <c r="I16" s="6" t="n"/>
      <c r="J16" s="6" t="n"/>
      <c r="K16" s="6" t="n">
        <v>-374</v>
      </c>
    </row>
    <row r="17">
      <c r="A17" s="6" t="inlineStr">
        <is>
          <t>Pension remeasurement</t>
        </is>
      </c>
      <c r="B17" s="6" t="n"/>
      <c r="C17" s="6" t="n"/>
      <c r="D17" s="6" t="n"/>
      <c r="E17" s="6" t="n"/>
      <c r="F17" s="6" t="n"/>
      <c r="G17" s="6" t="n"/>
      <c r="H17" s="6" t="n"/>
      <c r="I17" s="6" t="n">
        <v>845</v>
      </c>
      <c r="J17" s="6" t="n"/>
      <c r="K17" s="6" t="n">
        <v>845</v>
      </c>
    </row>
    <row r="18">
      <c r="A18" s="6" t="inlineStr">
        <is>
          <t>Issue of other equity instruments</t>
        </is>
      </c>
      <c r="B18" s="6" t="n"/>
      <c r="C18" s="6" t="n"/>
      <c r="D18" s="6" t="n">
        <v>210</v>
      </c>
      <c r="E18" s="6" t="n"/>
      <c r="F18" s="6" t="n"/>
      <c r="G18" s="6" t="n"/>
      <c r="H18" s="6" t="n"/>
      <c r="I18" s="6" t="n"/>
      <c r="J18" s="6" t="n"/>
      <c r="K18" s="6" t="n">
        <v>210</v>
      </c>
    </row>
    <row r="19">
      <c r="A19" s="6" t="inlineStr">
        <is>
          <t>Repurchase of other equity instruments</t>
        </is>
      </c>
      <c r="B19" s="6" t="n"/>
      <c r="C19" s="6" t="n"/>
      <c r="D19" s="6" t="n">
        <v>-210</v>
      </c>
      <c r="E19" s="6" t="n"/>
      <c r="F19" s="6" t="n"/>
      <c r="G19" s="6" t="n"/>
      <c r="H19" s="6" t="n"/>
      <c r="I19" s="6" t="n"/>
      <c r="J19" s="6" t="n"/>
      <c r="K19" s="6" t="n">
        <v>-210</v>
      </c>
    </row>
    <row r="20">
      <c r="A20" s="6" t="inlineStr">
        <is>
          <t>Disposal of non-controlling interests</t>
        </is>
      </c>
      <c r="B20" s="6" t="n"/>
      <c r="C20" s="6" t="n"/>
      <c r="D20" s="6" t="n"/>
      <c r="E20" s="6" t="n"/>
      <c r="F20" s="6" t="n"/>
      <c r="G20" s="6" t="n"/>
      <c r="H20" s="6" t="n"/>
      <c r="I20" s="6" t="n"/>
      <c r="J20" s="6" t="n">
        <v>-181</v>
      </c>
      <c r="K20" s="6" t="n">
        <v>-181</v>
      </c>
    </row>
    <row r="21">
      <c r="A21" s="6" t="inlineStr">
        <is>
          <t>Dividends on ordinary shares</t>
        </is>
      </c>
      <c r="B21" s="6" t="n"/>
      <c r="C21" s="6" t="n"/>
      <c r="D21" s="6" t="n"/>
      <c r="E21" s="6" t="n"/>
      <c r="F21" s="6" t="n"/>
      <c r="G21" s="6" t="n"/>
      <c r="H21" s="6" t="n"/>
      <c r="I21" s="6" t="n">
        <v>-1358</v>
      </c>
      <c r="J21" s="6" t="n"/>
      <c r="K21" s="6" t="n">
        <v>-1358</v>
      </c>
    </row>
    <row r="22">
      <c r="A22" s="6" t="inlineStr">
        <is>
          <t>Dividends on preference shares and other equity instruments</t>
        </is>
      </c>
      <c r="B22" s="6" t="n"/>
      <c r="C22" s="6" t="n"/>
      <c r="D22" s="6" t="n"/>
      <c r="E22" s="6" t="n"/>
      <c r="F22" s="6" t="n"/>
      <c r="G22" s="6" t="n"/>
      <c r="H22" s="6" t="n"/>
      <c r="I22" s="6" t="n">
        <v>-147</v>
      </c>
      <c r="J22" s="6" t="n"/>
      <c r="K22" s="6" t="n">
        <v>-147</v>
      </c>
    </row>
    <row r="23">
      <c r="A23" s="5" t="inlineStr">
        <is>
          <t>Balance at 31 December 2021 / 1 January 2022</t>
        </is>
      </c>
      <c r="B23" s="5" t="n">
        <v>3105</v>
      </c>
      <c r="C23" s="5" t="n">
        <v>5620</v>
      </c>
      <c r="D23" s="5" t="n">
        <v>2191</v>
      </c>
      <c r="E23" s="5" t="n">
        <v>25</v>
      </c>
      <c r="F23" s="5" t="n">
        <v>107</v>
      </c>
      <c r="G23" s="5" t="n"/>
      <c r="H23" s="5" t="n">
        <v>1</v>
      </c>
      <c r="I23" s="5" t="n">
        <v>5053</v>
      </c>
      <c r="J23" s="5" t="n">
        <v>0</v>
      </c>
      <c r="K23" s="5" t="n">
        <v>16102</v>
      </c>
    </row>
    <row r="24">
      <c r="A24" s="6" t="inlineStr">
        <is>
          <t>Profit after tax</t>
        </is>
      </c>
      <c r="B24" s="6" t="n"/>
      <c r="C24" s="6" t="n"/>
      <c r="D24" s="6" t="n"/>
      <c r="E24" s="6" t="n"/>
      <c r="F24" s="6" t="n"/>
      <c r="G24" s="6" t="n"/>
      <c r="H24" s="6" t="n"/>
      <c r="I24" s="6" t="n">
        <v>1394</v>
      </c>
      <c r="J24" s="6" t="n"/>
      <c r="K24" s="6" t="n">
        <v>1394</v>
      </c>
    </row>
    <row r="25">
      <c r="A25" s="6" t="inlineStr">
        <is>
          <t>Fair value reserve movements (debt instruments)</t>
        </is>
      </c>
      <c r="B25" s="6" t="n"/>
      <c r="C25" s="6" t="n"/>
      <c r="D25" s="6" t="n"/>
      <c r="E25" s="6" t="n">
        <v>-20</v>
      </c>
      <c r="F25" s="6" t="n"/>
      <c r="G25" s="6" t="n"/>
      <c r="H25" s="6" t="n"/>
      <c r="I25" s="6" t="n"/>
      <c r="J25" s="6" t="n"/>
      <c r="K25" s="6" t="n">
        <v>-20</v>
      </c>
    </row>
    <row r="26">
      <c r="A26" s="6" t="inlineStr">
        <is>
          <t>Cash flow hedges</t>
        </is>
      </c>
      <c r="B26" s="6" t="n"/>
      <c r="C26" s="6" t="n"/>
      <c r="D26" s="6" t="n"/>
      <c r="E26" s="6" t="n"/>
      <c r="F26" s="6" t="n">
        <v>-1235</v>
      </c>
      <c r="G26" s="6" t="n"/>
      <c r="H26" s="6" t="n"/>
      <c r="I26" s="6" t="n"/>
      <c r="J26" s="6" t="n"/>
      <c r="K26" s="6" t="n">
        <v>-1235</v>
      </c>
    </row>
    <row r="27">
      <c r="A27" s="6" t="inlineStr">
        <is>
          <t>Pension remeasurement</t>
        </is>
      </c>
      <c r="B27" s="6" t="n"/>
      <c r="C27" s="6" t="n"/>
      <c r="D27" s="6" t="n"/>
      <c r="E27" s="6" t="n"/>
      <c r="F27" s="6" t="n"/>
      <c r="G27" s="6" t="n"/>
      <c r="H27" s="6" t="n"/>
      <c r="I27" s="6" t="n">
        <v>-455</v>
      </c>
      <c r="J27" s="6" t="n"/>
      <c r="K27" s="6" t="n">
        <v>-455</v>
      </c>
    </row>
    <row r="28">
      <c r="A28" s="6" t="inlineStr">
        <is>
          <t>Own credit adjustment</t>
        </is>
      </c>
      <c r="B28" s="6" t="n"/>
      <c r="C28" s="6" t="n"/>
      <c r="D28" s="6" t="n"/>
      <c r="E28" s="6" t="n"/>
      <c r="F28" s="6" t="n"/>
      <c r="G28" s="6" t="n"/>
      <c r="H28" s="6" t="n"/>
      <c r="I28" s="6" t="n">
        <v>20</v>
      </c>
      <c r="J28" s="6" t="n"/>
      <c r="K28" s="6" t="n">
        <v>20</v>
      </c>
    </row>
    <row r="29">
      <c r="A29" s="6" t="inlineStr">
        <is>
          <t>Issue of other equity instruments</t>
        </is>
      </c>
      <c r="B29" s="6" t="n"/>
      <c r="C29" s="6" t="n"/>
      <c r="D29" s="6" t="n">
        <v>750</v>
      </c>
      <c r="E29" s="6" t="n"/>
      <c r="F29" s="6" t="n"/>
      <c r="G29" s="6" t="n"/>
      <c r="H29" s="6" t="n"/>
      <c r="I29" s="6" t="n"/>
      <c r="J29" s="6" t="n"/>
      <c r="K29" s="6" t="n">
        <v>750</v>
      </c>
    </row>
    <row r="30">
      <c r="A30" s="6" t="inlineStr">
        <is>
          <t>Repurchase of other equity instruments</t>
        </is>
      </c>
      <c r="B30" s="6" t="n"/>
      <c r="C30" s="6" t="n"/>
      <c r="D30" s="6" t="n">
        <v>-985</v>
      </c>
      <c r="E30" s="6" t="n"/>
      <c r="F30" s="6" t="n"/>
      <c r="G30" s="6" t="n"/>
      <c r="H30" s="6" t="n"/>
      <c r="I30" s="6" t="n"/>
      <c r="J30" s="6" t="n"/>
      <c r="K30" s="6" t="n">
        <v>-985</v>
      </c>
    </row>
    <row r="31">
      <c r="A31" s="6" t="inlineStr">
        <is>
          <t>Dividends on ordinary shares</t>
        </is>
      </c>
      <c r="B31" s="6" t="n"/>
      <c r="C31" s="6" t="n"/>
      <c r="D31" s="6" t="n"/>
      <c r="E31" s="6" t="n"/>
      <c r="F31" s="6" t="n"/>
      <c r="G31" s="6" t="n"/>
      <c r="H31" s="6" t="n"/>
      <c r="I31" s="6" t="n">
        <v>-1014</v>
      </c>
      <c r="J31" s="6" t="n"/>
      <c r="K31" s="6" t="n">
        <v>-1014</v>
      </c>
    </row>
    <row r="32">
      <c r="A32" s="6" t="inlineStr">
        <is>
          <t>Dividends on preference shares and other equity instruments</t>
        </is>
      </c>
      <c r="B32" s="6" t="n"/>
      <c r="C32" s="6" t="n"/>
      <c r="D32" s="6" t="n"/>
      <c r="E32" s="6" t="n"/>
      <c r="F32" s="6" t="n"/>
      <c r="G32" s="6" t="n"/>
      <c r="H32" s="6" t="n"/>
      <c r="I32" s="6" t="n">
        <v>-150</v>
      </c>
      <c r="J32" s="6" t="n"/>
      <c r="K32" s="6" t="n">
        <v>-150</v>
      </c>
    </row>
    <row r="33">
      <c r="A33" s="5" t="inlineStr">
        <is>
          <t>Balance at 31 December 2022 / 1 January 2023</t>
        </is>
      </c>
      <c r="B33" s="5" t="n">
        <v>3105</v>
      </c>
      <c r="C33" s="5" t="n">
        <v>5620</v>
      </c>
      <c r="D33" s="5" t="n">
        <v>1956</v>
      </c>
      <c r="E33" s="5" t="n">
        <v>5</v>
      </c>
      <c r="F33" s="5" t="n">
        <v>-1128</v>
      </c>
      <c r="G33" s="5" t="n"/>
      <c r="H33" s="5" t="n">
        <v>1</v>
      </c>
      <c r="I33" s="5" t="n">
        <v>4848</v>
      </c>
      <c r="J33" s="5" t="n">
        <v>0</v>
      </c>
      <c r="K33" s="5" t="n">
        <v>14407</v>
      </c>
    </row>
    <row r="34">
      <c r="A34" s="6" t="inlineStr">
        <is>
          <t>Profit after tax</t>
        </is>
      </c>
      <c r="B34" s="6" t="n"/>
      <c r="C34" s="6" t="n"/>
      <c r="D34" s="6" t="n"/>
      <c r="E34" s="6" t="n"/>
      <c r="F34" s="6" t="n"/>
      <c r="G34" s="6" t="n"/>
      <c r="H34" s="6" t="n"/>
      <c r="I34" s="6" t="n">
        <v>1541</v>
      </c>
      <c r="J34" s="6" t="n"/>
      <c r="K34" s="6" t="n">
        <v>1541</v>
      </c>
    </row>
    <row r="35">
      <c r="A35" s="6" t="inlineStr">
        <is>
          <t>Fair value reserve movements (debt instruments)</t>
        </is>
      </c>
      <c r="B35" s="6" t="n"/>
      <c r="C35" s="6" t="n"/>
      <c r="D35" s="6" t="n"/>
      <c r="E35" s="6" t="n">
        <v>-11</v>
      </c>
      <c r="F35" s="6" t="n"/>
      <c r="G35" s="6" t="n"/>
      <c r="H35" s="6" t="n"/>
      <c r="I35" s="6" t="n"/>
      <c r="J35" s="6" t="n"/>
      <c r="K35" s="6" t="n">
        <v>-11</v>
      </c>
    </row>
    <row r="36">
      <c r="A36" s="6" t="inlineStr">
        <is>
          <t>Cash flow hedges</t>
        </is>
      </c>
      <c r="B36" s="6" t="n"/>
      <c r="C36" s="6" t="n"/>
      <c r="D36" s="6" t="n"/>
      <c r="E36" s="6" t="n"/>
      <c r="F36" s="6" t="n">
        <v>780</v>
      </c>
      <c r="G36" s="6" t="n"/>
      <c r="H36" s="6" t="n"/>
      <c r="I36" s="6" t="n"/>
      <c r="J36" s="6" t="n"/>
      <c r="K36" s="6" t="n">
        <v>780</v>
      </c>
    </row>
    <row r="37">
      <c r="A37" s="6" t="inlineStr">
        <is>
          <t>Pension remeasurement</t>
        </is>
      </c>
      <c r="B37" s="6" t="n"/>
      <c r="C37" s="6" t="n"/>
      <c r="D37" s="6" t="n"/>
      <c r="E37" s="6" t="n"/>
      <c r="F37" s="6" t="n"/>
      <c r="G37" s="6" t="n"/>
      <c r="H37" s="6" t="n"/>
      <c r="I37" s="6" t="n">
        <v>-431</v>
      </c>
      <c r="J37" s="6" t="n"/>
      <c r="K37" s="6" t="n">
        <v>-431</v>
      </c>
    </row>
    <row r="38">
      <c r="A38" s="6" t="inlineStr">
        <is>
          <t>Own credit adjustment</t>
        </is>
      </c>
      <c r="B38" s="6" t="n"/>
      <c r="C38" s="6" t="n"/>
      <c r="D38" s="6" t="n"/>
      <c r="E38" s="6" t="n"/>
      <c r="F38" s="6" t="n"/>
      <c r="G38" s="6" t="n"/>
      <c r="H38" s="6" t="n"/>
      <c r="I38" s="6" t="n">
        <v>-11</v>
      </c>
      <c r="J38" s="6" t="n"/>
      <c r="K38" s="6" t="n">
        <v>-11</v>
      </c>
    </row>
    <row r="39">
      <c r="A39" s="6" t="inlineStr">
        <is>
          <t>Other</t>
        </is>
      </c>
      <c r="B39" s="6" t="n"/>
      <c r="C39" s="6" t="n"/>
      <c r="D39" s="6" t="n"/>
      <c r="E39" s="6" t="n"/>
      <c r="F39" s="6" t="n"/>
      <c r="G39" s="6" t="n"/>
      <c r="H39" s="6" t="n"/>
      <c r="I39" s="6" t="n">
        <v>1</v>
      </c>
      <c r="J39" s="6" t="n"/>
      <c r="K39" s="6" t="n">
        <v>1</v>
      </c>
    </row>
    <row r="40">
      <c r="A40" s="6" t="inlineStr">
        <is>
          <t>Dividends on ordinary shares</t>
        </is>
      </c>
      <c r="B40" s="6" t="n"/>
      <c r="C40" s="6" t="n"/>
      <c r="D40" s="6" t="n"/>
      <c r="E40" s="6" t="n"/>
      <c r="F40" s="6" t="n"/>
      <c r="G40" s="6" t="n"/>
      <c r="H40" s="6" t="n"/>
      <c r="I40" s="6" t="n">
        <v>-1530</v>
      </c>
      <c r="J40" s="6" t="n"/>
      <c r="K40" s="6" t="n">
        <v>-1530</v>
      </c>
    </row>
    <row r="41">
      <c r="A41" s="6" t="inlineStr">
        <is>
          <t>Dividends on preference shares and other equity instruments</t>
        </is>
      </c>
      <c r="B41" s="6" t="n"/>
      <c r="C41" s="6" t="n"/>
      <c r="D41" s="6" t="n"/>
      <c r="E41" s="6" t="n"/>
      <c r="F41" s="6" t="n"/>
      <c r="G41" s="6" t="n"/>
      <c r="H41" s="6" t="n"/>
      <c r="I41" s="6" t="n">
        <v>-123</v>
      </c>
      <c r="J41" s="6" t="n"/>
      <c r="K41" s="6" t="n">
        <v>-123</v>
      </c>
    </row>
    <row r="42">
      <c r="A42" s="5" t="inlineStr">
        <is>
          <t>Balance at 31 December 2023 / 1 January 2024</t>
        </is>
      </c>
      <c r="B42" s="5" t="n">
        <v>3105</v>
      </c>
      <c r="C42" s="5" t="n">
        <v>5620</v>
      </c>
      <c r="D42" s="5" t="n">
        <v>1956</v>
      </c>
      <c r="E42" s="5" t="n">
        <v>-6</v>
      </c>
      <c r="F42" s="5" t="n">
        <v>-348</v>
      </c>
      <c r="G42" s="5" t="n"/>
      <c r="H42" s="5" t="n">
        <v>1</v>
      </c>
      <c r="I42" s="5" t="n">
        <v>4295</v>
      </c>
      <c r="J42" s="5" t="n">
        <v>0</v>
      </c>
      <c r="K42" s="5" t="n">
        <v>14623</v>
      </c>
    </row>
    <row r="43">
      <c r="A43" s="6" t="inlineStr">
        <is>
          <t>Profit after tax</t>
        </is>
      </c>
      <c r="B43" s="6" t="n"/>
      <c r="C43" s="6" t="n"/>
      <c r="D43" s="6" t="n"/>
      <c r="E43" s="6" t="n"/>
      <c r="F43" s="6" t="n"/>
      <c r="G43" s="6" t="n"/>
      <c r="H43" s="6" t="n"/>
      <c r="I43" s="6" t="n">
        <v>971</v>
      </c>
      <c r="J43" s="6" t="n"/>
      <c r="K43" s="6" t="n">
        <v>971</v>
      </c>
    </row>
    <row r="44">
      <c r="A44" s="6" t="inlineStr">
        <is>
          <t>Fair value reserve movements (debt instruments)</t>
        </is>
      </c>
      <c r="B44" s="6" t="n"/>
      <c r="C44" s="6" t="n"/>
      <c r="D44" s="6" t="n"/>
      <c r="E44" s="6" t="n">
        <v>-11</v>
      </c>
      <c r="F44" s="6" t="n"/>
      <c r="G44" s="6" t="n"/>
      <c r="H44" s="6" t="n"/>
      <c r="I44" s="6" t="n"/>
      <c r="J44" s="6" t="n"/>
      <c r="K44" s="6" t="n">
        <v>-11</v>
      </c>
    </row>
    <row r="45">
      <c r="A45" s="6" t="inlineStr">
        <is>
          <t>Cash flow hedges</t>
        </is>
      </c>
      <c r="B45" s="6" t="n"/>
      <c r="C45" s="6" t="n"/>
      <c r="D45" s="6" t="n"/>
      <c r="E45" s="6" t="n"/>
      <c r="F45" s="6" t="n">
        <v>31</v>
      </c>
      <c r="G45" s="6" t="n"/>
      <c r="H45" s="6" t="n"/>
      <c r="I45" s="6" t="n"/>
      <c r="J45" s="6" t="n"/>
      <c r="K45" s="6" t="n">
        <v>31</v>
      </c>
    </row>
    <row r="46">
      <c r="A46" s="6" t="inlineStr">
        <is>
          <t>Pension remeasurement</t>
        </is>
      </c>
      <c r="B46" s="6" t="n"/>
      <c r="C46" s="6" t="n"/>
      <c r="D46" s="6" t="n"/>
      <c r="E46" s="6" t="n"/>
      <c r="F46" s="6" t="n"/>
      <c r="G46" s="6" t="n"/>
      <c r="H46" s="6" t="n"/>
      <c r="I46" s="6" t="n">
        <v>-289</v>
      </c>
      <c r="J46" s="6" t="n"/>
      <c r="K46" s="6" t="n">
        <v>-289</v>
      </c>
    </row>
    <row r="47">
      <c r="A47" s="6" t="inlineStr">
        <is>
          <t>Own credit adjustment</t>
        </is>
      </c>
      <c r="B47" s="6" t="n"/>
      <c r="C47" s="6" t="n"/>
      <c r="D47" s="6" t="n"/>
      <c r="E47" s="6" t="n"/>
      <c r="F47" s="6" t="n"/>
      <c r="G47" s="6" t="n"/>
      <c r="H47" s="6" t="n"/>
      <c r="I47" s="6" t="n">
        <v>-12</v>
      </c>
      <c r="J47" s="6" t="n"/>
      <c r="K47" s="6" t="n">
        <v>-12</v>
      </c>
    </row>
    <row r="48">
      <c r="A48" s="6" t="inlineStr">
        <is>
          <t>Issue of other equity instruments</t>
        </is>
      </c>
      <c r="B48" s="6" t="n"/>
      <c r="C48" s="6" t="n"/>
      <c r="D48" s="6" t="n">
        <v>400</v>
      </c>
      <c r="E48" s="6" t="n"/>
      <c r="F48" s="6" t="n"/>
      <c r="G48" s="6" t="n"/>
      <c r="H48" s="6" t="n"/>
      <c r="I48" s="6" t="n"/>
      <c r="J48" s="6" t="n"/>
      <c r="K48" s="6" t="n">
        <v>400</v>
      </c>
    </row>
    <row r="49">
      <c r="A49" s="6" t="inlineStr">
        <is>
          <t>Repurchase of other equity instruments</t>
        </is>
      </c>
      <c r="B49" s="6" t="n"/>
      <c r="C49" s="6" t="n"/>
      <c r="D49" s="6" t="n">
        <v>-496</v>
      </c>
      <c r="E49" s="6" t="n"/>
      <c r="F49" s="6" t="n"/>
      <c r="G49" s="6" t="n"/>
      <c r="H49" s="6" t="n"/>
      <c r="I49" s="6" t="n">
        <v>-4</v>
      </c>
      <c r="J49" s="6" t="n"/>
      <c r="K49" s="6" t="n">
        <v>-500</v>
      </c>
    </row>
    <row r="50">
      <c r="A50" s="6" t="inlineStr">
        <is>
          <t>Dividends on ordinary shares</t>
        </is>
      </c>
      <c r="B50" s="6" t="n"/>
      <c r="C50" s="6" t="n"/>
      <c r="D50" s="6" t="n"/>
      <c r="E50" s="6" t="n"/>
      <c r="F50" s="6" t="n"/>
      <c r="G50" s="6" t="n"/>
      <c r="H50" s="6" t="n"/>
      <c r="I50" s="6" t="n">
        <v>-1311</v>
      </c>
      <c r="J50" s="6" t="n"/>
      <c r="K50" s="6" t="n">
        <v>-1311</v>
      </c>
    </row>
    <row r="51">
      <c r="A51" s="6" t="inlineStr">
        <is>
          <t>Dividends on preference shares and other equity instruments</t>
        </is>
      </c>
      <c r="B51" s="6" t="n"/>
      <c r="C51" s="6" t="n"/>
      <c r="D51" s="6" t="n"/>
      <c r="E51" s="6" t="n"/>
      <c r="F51" s="6" t="n"/>
      <c r="G51" s="6" t="n"/>
      <c r="H51" s="6" t="n"/>
      <c r="I51" s="6" t="n">
        <v>-129</v>
      </c>
      <c r="J51" s="6" t="n"/>
      <c r="K51" s="6" t="n">
        <v>-129</v>
      </c>
    </row>
    <row r="52">
      <c r="A52" s="5" t="inlineStr">
        <is>
          <t>Balance at 31 December 2024 / 1 January 2025</t>
        </is>
      </c>
      <c r="B52" s="5" t="n">
        <v>3105</v>
      </c>
      <c r="C52" s="5" t="n">
        <v>5620</v>
      </c>
      <c r="D52" s="5" t="n">
        <v>1860</v>
      </c>
      <c r="E52" s="5" t="n">
        <v>-17</v>
      </c>
      <c r="F52" s="5" t="n">
        <v>-317</v>
      </c>
      <c r="G52" s="5" t="n"/>
      <c r="H52" s="5" t="n">
        <v>1</v>
      </c>
      <c r="I52" s="5" t="n">
        <v>3521</v>
      </c>
      <c r="J52" s="5" t="n">
        <v>0</v>
      </c>
      <c r="K52" s="5" t="n">
        <v>13773</v>
      </c>
    </row>
    <row r="53">
      <c r="A53" s="6" t="inlineStr">
        <is>
          <t>Profit after tax</t>
        </is>
      </c>
      <c r="B53" s="6" t="n"/>
      <c r="C53" s="6" t="n"/>
      <c r="D53" s="6" t="n"/>
      <c r="E53" s="6" t="n"/>
      <c r="F53" s="6" t="n"/>
      <c r="G53" s="6" t="n"/>
      <c r="H53" s="6" t="n"/>
      <c r="I53" s="6" t="n">
        <v>1086</v>
      </c>
      <c r="J53" s="6" t="n"/>
      <c r="K53" s="6" t="n">
        <v>1086</v>
      </c>
    </row>
    <row r="54">
      <c r="A54" s="6" t="inlineStr">
        <is>
          <t>Fair value reserve movements (debt instruments)</t>
        </is>
      </c>
      <c r="B54" s="6" t="n"/>
      <c r="C54" s="6" t="n"/>
      <c r="D54" s="6" t="n"/>
      <c r="E54" s="6" t="n">
        <v>11</v>
      </c>
      <c r="F54" s="6" t="n"/>
      <c r="G54" s="6" t="n"/>
      <c r="H54" s="6" t="n"/>
      <c r="I54" s="6" t="n"/>
      <c r="J54" s="6" t="n"/>
      <c r="K54" s="6" t="n">
        <v>11</v>
      </c>
    </row>
    <row r="55">
      <c r="A55" s="6" t="inlineStr">
        <is>
          <t>Cash flow hedges</t>
        </is>
      </c>
      <c r="B55" s="6" t="n"/>
      <c r="C55" s="6" t="n"/>
      <c r="D55" s="6" t="n"/>
      <c r="E55" s="6" t="n"/>
      <c r="F55" s="6" t="n">
        <v>529</v>
      </c>
      <c r="G55" s="6" t="n"/>
      <c r="H55" s="6" t="n"/>
      <c r="I55" s="6" t="n"/>
      <c r="J55" s="6" t="n"/>
      <c r="K55" s="6" t="n">
        <v>529</v>
      </c>
    </row>
    <row r="56">
      <c r="A56" s="6" t="inlineStr">
        <is>
          <t>Cost of hedging</t>
        </is>
      </c>
      <c r="B56" s="6" t="n"/>
      <c r="C56" s="6" t="n"/>
      <c r="D56" s="6" t="n"/>
      <c r="E56" s="6" t="n"/>
      <c r="F56" s="6" t="n"/>
      <c r="G56" s="6" t="n">
        <v>-20</v>
      </c>
      <c r="H56" s="6" t="n"/>
      <c r="I56" s="6" t="n"/>
      <c r="J56" s="6" t="n"/>
      <c r="K56" s="6" t="n">
        <v>-20</v>
      </c>
    </row>
    <row r="57">
      <c r="A57" s="6" t="inlineStr">
        <is>
          <t>Pension remeasurement</t>
        </is>
      </c>
      <c r="B57" s="6" t="n"/>
      <c r="C57" s="6" t="n"/>
      <c r="D57" s="6" t="n"/>
      <c r="E57" s="6" t="n"/>
      <c r="F57" s="6" t="n"/>
      <c r="G57" s="6" t="n"/>
      <c r="H57" s="6" t="n"/>
      <c r="I57" s="6" t="n">
        <v>-72</v>
      </c>
      <c r="J57" s="6" t="n"/>
      <c r="K57" s="6" t="n">
        <v>-72</v>
      </c>
    </row>
    <row r="58">
      <c r="A58" s="6" t="inlineStr">
        <is>
          <t>Own credit adjustment</t>
        </is>
      </c>
      <c r="B58" s="6" t="n"/>
      <c r="C58" s="6" t="n"/>
      <c r="D58" s="6" t="n"/>
      <c r="E58" s="6" t="n"/>
      <c r="F58" s="6" t="n"/>
      <c r="G58" s="6" t="n"/>
      <c r="H58" s="6" t="n"/>
      <c r="I58" s="6" t="n">
        <v>-1</v>
      </c>
      <c r="J58" s="6" t="n"/>
      <c r="K58" s="6" t="n">
        <v>-1</v>
      </c>
    </row>
    <row r="59">
      <c r="A59" s="6" t="inlineStr">
        <is>
          <t>Currency translation on foreign operations</t>
        </is>
      </c>
      <c r="B59" s="6" t="n"/>
      <c r="C59" s="6" t="n"/>
      <c r="D59" s="6" t="n"/>
      <c r="E59" s="6" t="n"/>
      <c r="F59" s="6" t="n"/>
      <c r="G59" s="6" t="n"/>
      <c r="H59" s="6" t="n">
        <v>-1</v>
      </c>
      <c r="I59" s="6" t="n"/>
      <c r="J59" s="6" t="n"/>
      <c r="K59" s="6" t="n">
        <v>-1</v>
      </c>
    </row>
    <row r="60">
      <c r="A60" s="6" t="inlineStr">
        <is>
          <t>Capital reduction</t>
        </is>
      </c>
      <c r="B60" s="6" t="n"/>
      <c r="C60" s="6" t="n">
        <v>-4501</v>
      </c>
      <c r="D60" s="6" t="n"/>
      <c r="E60" s="6" t="n"/>
      <c r="F60" s="6" t="n"/>
      <c r="G60" s="6" t="n"/>
      <c r="H60" s="6" t="n"/>
      <c r="I60" s="6" t="n">
        <v>4501</v>
      </c>
      <c r="J60" s="6" t="n"/>
      <c r="K60" s="6" t="n">
        <v>0</v>
      </c>
    </row>
    <row r="61">
      <c r="A61" s="6" t="inlineStr">
        <is>
          <t>Issue of other equity instruments</t>
        </is>
      </c>
      <c r="B61" s="6" t="n"/>
      <c r="C61" s="6" t="n"/>
      <c r="D61" s="6" t="n">
        <v>500</v>
      </c>
      <c r="E61" s="6" t="n"/>
      <c r="F61" s="6" t="n"/>
      <c r="G61" s="6" t="n"/>
      <c r="H61" s="6" t="n"/>
      <c r="I61" s="6" t="n"/>
      <c r="J61" s="6" t="n"/>
      <c r="K61" s="6" t="n">
        <v>500</v>
      </c>
    </row>
    <row r="62">
      <c r="A62" s="6" t="inlineStr">
        <is>
          <t>Repurchase of other equity instruments</t>
        </is>
      </c>
      <c r="B62" s="6" t="n"/>
      <c r="C62" s="6" t="n"/>
      <c r="D62" s="6" t="n">
        <v>-500</v>
      </c>
      <c r="E62" s="6" t="n"/>
      <c r="F62" s="6" t="n"/>
      <c r="G62" s="6" t="n"/>
      <c r="H62" s="6" t="n"/>
      <c r="I62" s="6" t="n"/>
      <c r="J62" s="6" t="n"/>
      <c r="K62" s="6" t="n">
        <v>-500</v>
      </c>
    </row>
    <row r="63">
      <c r="A63" s="6" t="inlineStr">
        <is>
          <t>Other</t>
        </is>
      </c>
      <c r="B63" s="6" t="n"/>
      <c r="C63" s="6" t="n"/>
      <c r="D63" s="6" t="n"/>
      <c r="E63" s="6" t="n"/>
      <c r="F63" s="6" t="n"/>
      <c r="G63" s="6" t="n"/>
      <c r="H63" s="6" t="n"/>
      <c r="I63" s="6" t="n">
        <v>1</v>
      </c>
      <c r="J63" s="6" t="n"/>
      <c r="K63" s="6" t="n">
        <v>1</v>
      </c>
    </row>
    <row r="64">
      <c r="A64" s="6" t="inlineStr">
        <is>
          <t>Dividends on ordinary shares</t>
        </is>
      </c>
      <c r="B64" s="6" t="n"/>
      <c r="C64" s="6" t="n"/>
      <c r="D64" s="6" t="n"/>
      <c r="E64" s="6" t="n"/>
      <c r="F64" s="6" t="n"/>
      <c r="G64" s="6" t="n"/>
      <c r="H64" s="6" t="n"/>
      <c r="I64" s="6" t="n">
        <v>-26</v>
      </c>
      <c r="J64" s="6" t="n"/>
      <c r="K64" s="6" t="n">
        <v>-26</v>
      </c>
    </row>
    <row r="65">
      <c r="A65" s="6" t="inlineStr">
        <is>
          <t>Dividends on preference shares and other equity instruments</t>
        </is>
      </c>
      <c r="B65" s="6" t="n"/>
      <c r="C65" s="6" t="n"/>
      <c r="D65" s="6" t="n"/>
      <c r="E65" s="6" t="n"/>
      <c r="F65" s="6" t="n"/>
      <c r="G65" s="6" t="n"/>
      <c r="H65" s="6" t="n"/>
      <c r="I65" s="6" t="n">
        <v>-132</v>
      </c>
      <c r="J65" s="6" t="n"/>
      <c r="K65" s="6" t="n">
        <v>-132</v>
      </c>
    </row>
    <row r="66">
      <c r="A66" s="5" t="inlineStr">
        <is>
          <t>Balance at 31 December 2025</t>
        </is>
      </c>
      <c r="B66" s="5" t="n">
        <v>3105</v>
      </c>
      <c r="C66" s="5" t="n">
        <v>1119</v>
      </c>
      <c r="D66" s="5" t="n">
        <v>1860</v>
      </c>
      <c r="E66" s="5" t="n">
        <v>-6</v>
      </c>
      <c r="F66" s="5" t="n">
        <v>212</v>
      </c>
      <c r="G66" s="5" t="n">
        <v>-20</v>
      </c>
      <c r="H66" s="5" t="n">
        <v>0</v>
      </c>
      <c r="I66" s="5" t="n">
        <v>8878</v>
      </c>
      <c r="J66" s="5" t="n">
        <v>0</v>
      </c>
      <c r="K66" s="5" t="n">
        <v>15148</v>
      </c>
    </row>
    <row r="68" ht="260" customHeight="1">
      <c r="A68" s="8" t="inlineStr">
        <is>
          <t>Sources - Santander UK Plc consolidated ('RFB Group') basis, £m:
FY2025: Santander UK plc Annual Report 2025, p.123 (Consolidated Income Statement), p.124 (Consolidated Statement of Comprehensive Income), p.125 (Consolidated Balance Sheet), p.127 (Consolidated Statement of Changes in Equity) - https://www.santander.co.uk/assets/s3fs-public/documents/SantanderUKplc2025AnnualReport.pdf
FY2024: Santander UK plc Annual Report 2025, p.123-127 (FY2024 comparative column of the same statements) - https://www.santander.co.uk/assets/s3fs-public/documents/SantanderUKplc2025AnnualReport.pdf
FY2023: Santander UK plc Annual Report 2023, p.117 (Consolidated Income Statement), p.118 (Consolidated Statement of Comprehensive Income), p.119 (Consolidated Balance Sheet), p.121 (Consolidated Statement of Changes in Equity) - https://www.santander.co.uk/assets/s3fs-public/documents/santander_uk_plc_annual_report_2023.pdf
FY2022: Santander UK plc Annual Report 2023, p.117-121 (FY2022 comparative column), independently cross-checked against Santander UK plc Annual Report 2022's own FY2022 Balance Sheet (p.131, Total assets 285,213 / Total liabilities 270,806 / Total equity 14,407), which agrees exactly - https://www.santander.co.uk/assets/s3fs-public/documents/santander_uk_plc_annual_report_2023.pdf
FY2021: Santander UK plc Annual Report 2022, p.129 (Consolidated Income Statement), p.132 (Consolidated Balance Sheet), p.121-122 comparative in the FY2023 report's Statement of Changes in Equity (opening/closing equity ties exactly to both years' own Balance Sheet Total equity: 16,102) - https://www.santander.co.uk/assets/s3fs-public/documents/santander_uk_plc_annual_report_2022.pdf
Presentation note: FY2021 includes a small discontinued-operations profit of £31m and non-controlling interests of £19m (disposed of during 2021, per the Statement of Changes in Equity's 'Disposal of non-controlling interests' movement) - neither recurs from FY2022 onward. FY2025's Statement of Changes in Equity introduces a new 'Cost of hedging reserve' column (nil in prior years) and drops the 'Non-controlling interests' column (nil since FY2022). Each year's own as-published structure is preserved rather than forced into a common format.
ENTITY NOTE: Santander UK Plc (FRN 106054, company number 02294747) is the PRA-authorised ring-fenced bank (RFB) - not to be confused with 'Santander Financial Services plc' (FRN 146003, a separate, smaller PRA-authorised entity) or with its own intermediate holding company 'Santander UK Group Holdings plc' (the resolution entity, which publishes its own separate Annual Report/Pillar 3). This workbook uses Santander UK Plc's own consolidated ('RFB Group') basis throughout, consistent with how this workbook series always prefers the ring-fenced/regulated banking entity's own consolidation level over a wider holding company - matching Barclays' use of 'Barclays Bank UK Group' rather than 'Barclays PLC'.
TSB ACQUISITION NOTE: On 21 July 2025 Banco Santander agreed to acquire TSB Banking Group plc (parent of TSB Bank plc, also covered elsewhere in this workbook series) from Sabadell for c.£2.65bn, with completion expected in early 2026 and a subsequent merger of TSB into the Santander UK group. The FY2025 ACRMD's 'Key Movements' commentary explicitly cites 'a no-dividend decision for 2025, in anticipation of the acquisition of TSB' as a driver of Santander UK's improved FY2025 capital ratios. This acquisition was still pending as at the FY2025 reporting date and is not reflected in any of the historical figures below; it may be worth revisiting both workbooks once the transaction completes and TSB Bank plc's own reporting entity status changes.</t>
        </is>
      </c>
    </row>
  </sheetData>
  <mergeCells count="1">
    <mergeCell ref="A68:K68"/>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59"/>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70"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Santander UK Plc — Consolidated Cash Flow Statement</t>
        </is>
      </c>
    </row>
    <row r="2">
      <c r="A2" s="2" t="inlineStr">
        <is>
          <t>Santander UK Plc Group (consolidated basis), £m. See source note at bottom re: a cash-equivalents definition change.</t>
        </is>
      </c>
    </row>
    <row r="3">
      <c r="A3" s="4" t="inlineStr">
        <is>
          <t>Line item</t>
        </is>
      </c>
      <c r="B3" s="4" t="inlineStr">
        <is>
          <t>FY2025 (£m)</t>
        </is>
      </c>
      <c r="C3" s="4" t="inlineStr">
        <is>
          <t>FY2024 (£m)</t>
        </is>
      </c>
      <c r="D3" s="4" t="inlineStr">
        <is>
          <t>FY2023 (£m)</t>
        </is>
      </c>
      <c r="E3" s="4" t="inlineStr">
        <is>
          <t>FY2022 (£m)</t>
        </is>
      </c>
      <c r="F3" s="4" t="inlineStr">
        <is>
          <t>FY2021 (£m)</t>
        </is>
      </c>
      <c r="G3" s="4" t="inlineStr">
        <is>
          <t>FY2020 (£m)</t>
        </is>
      </c>
    </row>
    <row r="4">
      <c r="A4" s="5" t="inlineStr">
        <is>
          <t>Cash flows from operating activities</t>
        </is>
      </c>
      <c r="B4" s="6" t="n"/>
      <c r="C4" s="6" t="n"/>
      <c r="D4" s="6" t="n"/>
      <c r="E4" s="6" t="n"/>
      <c r="F4" s="6" t="n"/>
      <c r="G4" s="6" t="n"/>
    </row>
    <row r="5">
      <c r="A5" s="6" t="inlineStr">
        <is>
          <t>Profit before tax</t>
        </is>
      </c>
      <c r="B5" s="6" t="n">
        <v>1482</v>
      </c>
      <c r="C5" s="6" t="n">
        <v>1349</v>
      </c>
      <c r="D5" s="6" t="n">
        <v>2100</v>
      </c>
      <c r="E5" s="6" t="n">
        <v>1874</v>
      </c>
      <c r="F5" s="6" t="n">
        <v>1888</v>
      </c>
      <c r="G5" s="6" t="n">
        <v>605</v>
      </c>
    </row>
    <row r="6">
      <c r="A6" s="6" t="inlineStr">
        <is>
          <t>Depreciation and amortisation</t>
        </is>
      </c>
      <c r="B6" s="6" t="n">
        <v>322</v>
      </c>
      <c r="C6" s="6" t="n">
        <v>300</v>
      </c>
      <c r="D6" s="6" t="n">
        <v>290</v>
      </c>
      <c r="E6" s="6" t="n">
        <v>296</v>
      </c>
      <c r="F6" s="6" t="n">
        <v>501</v>
      </c>
      <c r="G6" s="6" t="n">
        <v>562</v>
      </c>
    </row>
    <row r="7">
      <c r="A7" s="6" t="inlineStr">
        <is>
          <t>Loss from disposal of mortgage portfolio</t>
        </is>
      </c>
      <c r="B7" s="6" t="n"/>
      <c r="C7" s="6" t="n">
        <v>31</v>
      </c>
      <c r="D7" s="6" t="n"/>
      <c r="E7" s="6" t="n"/>
      <c r="F7" s="6" t="n"/>
      <c r="G7" s="6" t="n"/>
    </row>
    <row r="8">
      <c r="A8" s="6" t="inlineStr">
        <is>
          <t>Provisions for other liabilities and charges</t>
        </is>
      </c>
      <c r="B8" s="6" t="n">
        <v>597</v>
      </c>
      <c r="C8" s="6" t="n">
        <v>689</v>
      </c>
      <c r="D8" s="6" t="n">
        <v>335</v>
      </c>
      <c r="E8" s="6" t="n">
        <v>419</v>
      </c>
      <c r="F8" s="6" t="n">
        <v>381</v>
      </c>
      <c r="G8" s="6" t="n">
        <v>273</v>
      </c>
    </row>
    <row r="9">
      <c r="A9" s="6" t="inlineStr">
        <is>
          <t>Impairment losses</t>
        </is>
      </c>
      <c r="B9" s="6" t="n">
        <v>207</v>
      </c>
      <c r="C9" s="6" t="n">
        <v>94</v>
      </c>
      <c r="D9" s="6" t="n">
        <v>195</v>
      </c>
      <c r="E9" s="6" t="n">
        <v>284</v>
      </c>
      <c r="F9" s="6" t="n">
        <v>-228</v>
      </c>
      <c r="G9" s="6" t="n">
        <v>672</v>
      </c>
    </row>
    <row r="10">
      <c r="A10" s="6" t="inlineStr">
        <is>
          <t>Other non-cash items</t>
        </is>
      </c>
      <c r="B10" s="6" t="n">
        <v>-4</v>
      </c>
      <c r="C10" s="6" t="n">
        <v>65</v>
      </c>
      <c r="D10" s="6" t="n">
        <v>-749</v>
      </c>
      <c r="E10" s="6" t="n">
        <v>1497</v>
      </c>
      <c r="F10" s="6" t="n">
        <v>-147</v>
      </c>
      <c r="G10" s="6" t="n">
        <v>-267</v>
      </c>
    </row>
    <row r="11">
      <c r="A11" s="6" t="inlineStr">
        <is>
          <t>Pension charge for defined benefit pension schemes</t>
        </is>
      </c>
      <c r="B11" s="6" t="n">
        <v>8</v>
      </c>
      <c r="C11" s="6" t="n">
        <v>13</v>
      </c>
      <c r="D11" s="6" t="n">
        <v>13</v>
      </c>
      <c r="E11" s="6" t="n">
        <v>28</v>
      </c>
      <c r="F11" s="6" t="n">
        <v>38</v>
      </c>
      <c r="G11" s="6" t="n">
        <v>38</v>
      </c>
    </row>
    <row r="12">
      <c r="A12" s="5" t="inlineStr">
        <is>
          <t>Net change in operating assets and liabilities</t>
        </is>
      </c>
      <c r="B12" s="6" t="n"/>
      <c r="C12" s="6" t="n"/>
      <c r="D12" s="6" t="n"/>
      <c r="E12" s="6" t="n"/>
      <c r="F12" s="6" t="n"/>
      <c r="G12" s="6" t="n"/>
    </row>
    <row r="13">
      <c r="A13" s="6" t="inlineStr">
        <is>
          <t>Cash and balances at central banks</t>
        </is>
      </c>
      <c r="B13" s="6" t="n">
        <v>140</v>
      </c>
      <c r="C13" s="6" t="n">
        <v>731</v>
      </c>
      <c r="D13" s="6" t="n">
        <v>-88</v>
      </c>
      <c r="E13" s="6" t="n">
        <v>275</v>
      </c>
      <c r="F13" s="6" t="n">
        <v>-659</v>
      </c>
      <c r="G13" s="6" t="n">
        <v>-147</v>
      </c>
    </row>
    <row r="14">
      <c r="A14" s="6" t="inlineStr">
        <is>
          <t>Derivative assets</t>
        </is>
      </c>
      <c r="B14" s="6" t="n">
        <v>334</v>
      </c>
      <c r="C14" s="6" t="n">
        <v>228</v>
      </c>
      <c r="D14" s="6" t="n">
        <v>975</v>
      </c>
      <c r="E14" s="6" t="n">
        <v>-726</v>
      </c>
      <c r="F14" s="6" t="n">
        <v>1725</v>
      </c>
      <c r="G14" s="6" t="n">
        <v>-90</v>
      </c>
    </row>
    <row r="15">
      <c r="A15" s="6" t="inlineStr">
        <is>
          <t>Other financial assets at fair value through profit or loss</t>
        </is>
      </c>
      <c r="B15" s="6" t="n">
        <v>72</v>
      </c>
      <c r="C15" s="6" t="n">
        <v>130</v>
      </c>
      <c r="D15" s="6" t="n">
        <v>40</v>
      </c>
      <c r="E15" s="6" t="n">
        <v>877</v>
      </c>
      <c r="F15" s="6" t="n">
        <v>1007</v>
      </c>
      <c r="G15" s="6" t="n">
        <v>1603</v>
      </c>
    </row>
    <row r="16">
      <c r="A16" s="6" t="inlineStr">
        <is>
          <t>Loans and advances to banks and customers</t>
        </is>
      </c>
      <c r="B16" s="6" t="n">
        <v>-3403</v>
      </c>
      <c r="C16" s="6" t="n">
        <v>8065</v>
      </c>
      <c r="D16" s="6" t="n">
        <v>12112</v>
      </c>
      <c r="E16" s="6" t="n">
        <v>-9966</v>
      </c>
      <c r="F16" s="6" t="n">
        <v>-971</v>
      </c>
      <c r="G16" s="6" t="n">
        <v>-2654</v>
      </c>
    </row>
    <row r="17">
      <c r="A17" s="6" t="inlineStr">
        <is>
          <t>Reverse repurchase agreements - non-trading</t>
        </is>
      </c>
      <c r="B17" s="6" t="n">
        <v>-7340</v>
      </c>
      <c r="C17" s="6" t="n">
        <v>2130</v>
      </c>
      <c r="D17" s="6" t="n">
        <v>-3224</v>
      </c>
      <c r="E17" s="6" t="n">
        <v>6818</v>
      </c>
      <c r="F17" s="6" t="n">
        <v>7024</v>
      </c>
      <c r="G17" s="6" t="n"/>
    </row>
    <row r="18">
      <c r="A18" s="6" t="inlineStr">
        <is>
          <t>Other assets</t>
        </is>
      </c>
      <c r="B18" s="6" t="n">
        <v>-70</v>
      </c>
      <c r="C18" s="6" t="n">
        <v>118</v>
      </c>
      <c r="D18" s="6" t="n">
        <v>-141</v>
      </c>
      <c r="E18" s="6" t="n">
        <v>-574</v>
      </c>
      <c r="F18" s="6" t="n">
        <v>324</v>
      </c>
      <c r="G18" s="6" t="n">
        <v>-340</v>
      </c>
    </row>
    <row r="19">
      <c r="A19" s="6" t="inlineStr">
        <is>
          <t>Deposits by banks and customers</t>
        </is>
      </c>
      <c r="B19" s="6" t="n">
        <v>-1130</v>
      </c>
      <c r="C19" s="6" t="n">
        <v>-16059</v>
      </c>
      <c r="D19" s="6" t="n">
        <v>-13504</v>
      </c>
      <c r="E19" s="6" t="n">
        <v>-3128</v>
      </c>
      <c r="F19" s="6" t="n">
        <v>10735</v>
      </c>
      <c r="G19" s="6" t="n">
        <v>19977</v>
      </c>
    </row>
    <row r="20">
      <c r="A20" s="6" t="inlineStr">
        <is>
          <t>Repurchase agreements - non-trading</t>
        </is>
      </c>
      <c r="B20" s="6" t="n">
        <v>412</v>
      </c>
      <c r="C20" s="6" t="n">
        <v>206</v>
      </c>
      <c r="D20" s="6" t="n">
        <v>704</v>
      </c>
      <c r="E20" s="6" t="n">
        <v>-4145</v>
      </c>
      <c r="F20" s="6" t="n">
        <v>-7550</v>
      </c>
      <c r="G20" s="6" t="n"/>
    </row>
    <row r="21">
      <c r="A21" s="6" t="inlineStr">
        <is>
          <t>Derivative liabilities</t>
        </is>
      </c>
      <c r="B21" s="6" t="n">
        <v>-15</v>
      </c>
      <c r="C21" s="6" t="n">
        <v>-116</v>
      </c>
      <c r="D21" s="6" t="n">
        <v>-133</v>
      </c>
      <c r="E21" s="6" t="n">
        <v>174</v>
      </c>
      <c r="F21" s="6" t="n">
        <v>-807</v>
      </c>
      <c r="G21" s="6" t="n">
        <v>136</v>
      </c>
    </row>
    <row r="22">
      <c r="A22" s="6" t="inlineStr">
        <is>
          <t>Other financial liabilities at fair value through profit or loss</t>
        </is>
      </c>
      <c r="B22" s="6" t="n">
        <v>241</v>
      </c>
      <c r="C22" s="6" t="n">
        <v>179</v>
      </c>
      <c r="D22" s="6" t="n">
        <v>102</v>
      </c>
      <c r="E22" s="6" t="n">
        <v>-973</v>
      </c>
      <c r="F22" s="6" t="n">
        <v>-1109</v>
      </c>
      <c r="G22" s="6" t="n">
        <v>-1618</v>
      </c>
    </row>
    <row r="23">
      <c r="A23" s="6" t="inlineStr">
        <is>
          <t>Debt securities in issue</t>
        </is>
      </c>
      <c r="B23" s="6" t="n">
        <v>38</v>
      </c>
      <c r="C23" s="6" t="n">
        <v>212</v>
      </c>
      <c r="D23" s="6" t="n">
        <v>962</v>
      </c>
      <c r="E23" s="6" t="n">
        <v>3120</v>
      </c>
      <c r="F23" s="6" t="n">
        <v>-329</v>
      </c>
      <c r="G23" s="6" t="n">
        <v>1201</v>
      </c>
    </row>
    <row r="24">
      <c r="A24" s="6" t="inlineStr">
        <is>
          <t>Other liabilities</t>
        </is>
      </c>
      <c r="B24" s="6" t="n">
        <v>-299</v>
      </c>
      <c r="C24" s="6" t="n">
        <v>-1403</v>
      </c>
      <c r="D24" s="6" t="n">
        <v>-67</v>
      </c>
      <c r="E24" s="6" t="n">
        <v>-98</v>
      </c>
      <c r="F24" s="6" t="n">
        <v>-603</v>
      </c>
      <c r="G24" s="6" t="n">
        <v>-966</v>
      </c>
    </row>
    <row r="25">
      <c r="A25" s="6" t="inlineStr">
        <is>
          <t>Corporation taxes paid</t>
        </is>
      </c>
      <c r="B25" s="6" t="n">
        <v>-46</v>
      </c>
      <c r="C25" s="6" t="n">
        <v>-240</v>
      </c>
      <c r="D25" s="6" t="n">
        <v>-537</v>
      </c>
      <c r="E25" s="6" t="n">
        <v>-405</v>
      </c>
      <c r="F25" s="6" t="n">
        <v>-427</v>
      </c>
      <c r="G25" s="6" t="n">
        <v>-159</v>
      </c>
    </row>
    <row r="26">
      <c r="A26" s="6" t="inlineStr">
        <is>
          <t>Effects of exchange rate differences</t>
        </is>
      </c>
      <c r="B26" s="6" t="n">
        <v>-344</v>
      </c>
      <c r="C26" s="6" t="n">
        <v>-53</v>
      </c>
      <c r="D26" s="6" t="n">
        <v>-518</v>
      </c>
      <c r="E26" s="6" t="n">
        <v>1383</v>
      </c>
      <c r="F26" s="6" t="n">
        <v>-542</v>
      </c>
      <c r="G26" s="6" t="n">
        <v>410</v>
      </c>
    </row>
    <row r="27">
      <c r="A27" s="5" t="inlineStr">
        <is>
          <t>Net cash flows from operating activities</t>
        </is>
      </c>
      <c r="B27" s="5" t="n">
        <v>-8798</v>
      </c>
      <c r="C27" s="5" t="n">
        <v>-3331</v>
      </c>
      <c r="D27" s="5" t="n">
        <v>-1133</v>
      </c>
      <c r="E27" s="5" t="n">
        <v>-2970</v>
      </c>
      <c r="F27" s="5" t="n">
        <v>10251</v>
      </c>
      <c r="G27" s="5" t="n">
        <v>19236</v>
      </c>
    </row>
    <row r="28">
      <c r="A28" s="5" t="inlineStr">
        <is>
          <t>Cash flows from investing activities</t>
        </is>
      </c>
      <c r="B28" s="6" t="n"/>
      <c r="C28" s="6" t="n"/>
      <c r="D28" s="6" t="n"/>
      <c r="E28" s="6" t="n"/>
      <c r="F28" s="6" t="n"/>
      <c r="G28" s="6" t="n"/>
    </row>
    <row r="29">
      <c r="A29" s="6" t="inlineStr">
        <is>
          <t>Purchase of property, plant and equipment and intangible assets</t>
        </is>
      </c>
      <c r="B29" s="6" t="n">
        <v>-407</v>
      </c>
      <c r="C29" s="6" t="n">
        <v>-528</v>
      </c>
      <c r="D29" s="6" t="n">
        <v>-385</v>
      </c>
      <c r="E29" s="6" t="n">
        <v>-496</v>
      </c>
      <c r="F29" s="6" t="n">
        <v>-613</v>
      </c>
      <c r="G29" s="6" t="n">
        <v>-373</v>
      </c>
    </row>
    <row r="30">
      <c r="A30" s="6" t="inlineStr">
        <is>
          <t>Proceeds from sale of property, plant and equipment and intangible assets</t>
        </is>
      </c>
      <c r="B30" s="6" t="n">
        <v>161</v>
      </c>
      <c r="C30" s="6" t="n">
        <v>148</v>
      </c>
      <c r="D30" s="6" t="n">
        <v>175</v>
      </c>
      <c r="E30" s="6" t="n">
        <v>159</v>
      </c>
      <c r="F30" s="6" t="n">
        <v>437</v>
      </c>
      <c r="G30" s="6" t="n">
        <v>166</v>
      </c>
    </row>
    <row r="31">
      <c r="A31" s="6" t="inlineStr">
        <is>
          <t>Purchase of financial assets at amortised cost and financial assets at FVOCI</t>
        </is>
      </c>
      <c r="B31" s="6" t="n">
        <v>-1981</v>
      </c>
      <c r="C31" s="6" t="n">
        <v>-10343</v>
      </c>
      <c r="D31" s="6" t="n">
        <v>-10899</v>
      </c>
      <c r="E31" s="6" t="n">
        <v>-2884</v>
      </c>
      <c r="F31" s="6" t="n">
        <v>-1256</v>
      </c>
      <c r="G31" s="6" t="n">
        <v>-3015</v>
      </c>
    </row>
    <row r="32">
      <c r="A32" s="6" t="inlineStr">
        <is>
          <t>Proceeds from sale and redemption of financial assets at amortised cost and financial assets at FVOCI</t>
        </is>
      </c>
      <c r="B32" s="6" t="n">
        <v>5184</v>
      </c>
      <c r="C32" s="6" t="n">
        <v>6183</v>
      </c>
      <c r="D32" s="6" t="n">
        <v>8362</v>
      </c>
      <c r="E32" s="6" t="n">
        <v>3023</v>
      </c>
      <c r="F32" s="6" t="n">
        <v>4509</v>
      </c>
      <c r="G32" s="6" t="n">
        <v>9858</v>
      </c>
    </row>
    <row r="33">
      <c r="A33" s="5" t="inlineStr">
        <is>
          <t>Net cash flows from investing activities</t>
        </is>
      </c>
      <c r="B33" s="5" t="n">
        <v>2957</v>
      </c>
      <c r="C33" s="5" t="n">
        <v>-4540</v>
      </c>
      <c r="D33" s="5" t="n">
        <v>-2747</v>
      </c>
      <c r="E33" s="5" t="n">
        <v>-198</v>
      </c>
      <c r="F33" s="5" t="n">
        <v>3077</v>
      </c>
      <c r="G33" s="5" t="n">
        <v>6636</v>
      </c>
    </row>
    <row r="34">
      <c r="A34" s="5" t="inlineStr">
        <is>
          <t>Cash flows from financing activities</t>
        </is>
      </c>
      <c r="B34" s="6" t="n"/>
      <c r="C34" s="6" t="n"/>
      <c r="D34" s="6" t="n"/>
      <c r="E34" s="6" t="n"/>
      <c r="F34" s="6" t="n"/>
      <c r="G34" s="6" t="n"/>
    </row>
    <row r="35">
      <c r="A35" s="6" t="inlineStr">
        <is>
          <t>Issue of other equity instruments</t>
        </is>
      </c>
      <c r="B35" s="6" t="n">
        <v>500</v>
      </c>
      <c r="C35" s="6" t="n">
        <v>400</v>
      </c>
      <c r="D35" s="6" t="n"/>
      <c r="E35" s="6" t="n">
        <v>750</v>
      </c>
      <c r="F35" s="6" t="n">
        <v>210</v>
      </c>
      <c r="G35" s="6" t="n"/>
    </row>
    <row r="36">
      <c r="A36" s="6" t="inlineStr">
        <is>
          <t>Issue of debt securities and subordinated notes</t>
        </is>
      </c>
      <c r="B36" s="6" t="n">
        <v>9833</v>
      </c>
      <c r="C36" s="6" t="n">
        <v>8425</v>
      </c>
      <c r="D36" s="6" t="n">
        <v>5276</v>
      </c>
      <c r="E36" s="6" t="n">
        <v>4794</v>
      </c>
      <c r="F36" s="6" t="n">
        <v>2878</v>
      </c>
      <c r="G36" s="6" t="n">
        <v>4190</v>
      </c>
    </row>
    <row r="37">
      <c r="A37" s="6" t="inlineStr">
        <is>
          <t>Issuance costs of debt securities and subordinated notes</t>
        </is>
      </c>
      <c r="B37" s="6" t="n">
        <v>-24</v>
      </c>
      <c r="C37" s="6" t="n">
        <v>-28</v>
      </c>
      <c r="D37" s="6" t="n">
        <v>-18</v>
      </c>
      <c r="E37" s="6" t="n">
        <v>-16</v>
      </c>
      <c r="F37" s="6" t="n">
        <v>-6</v>
      </c>
      <c r="G37" s="6" t="n">
        <v>-13</v>
      </c>
    </row>
    <row r="38">
      <c r="A38" s="6" t="inlineStr">
        <is>
          <t>Repayment of debt securities and subordinated notes</t>
        </is>
      </c>
      <c r="B38" s="6" t="n">
        <v>-4219</v>
      </c>
      <c r="C38" s="6" t="n">
        <v>-6539</v>
      </c>
      <c r="D38" s="6" t="n">
        <v>-3539</v>
      </c>
      <c r="E38" s="6" t="n">
        <v>-3076</v>
      </c>
      <c r="F38" s="6" t="n">
        <v>-11914</v>
      </c>
      <c r="G38" s="6" t="n">
        <v>-12037</v>
      </c>
    </row>
    <row r="39">
      <c r="A39" s="6" t="inlineStr">
        <is>
          <t>Disposal of non-controlling interests</t>
        </is>
      </c>
      <c r="B39" s="6" t="n"/>
      <c r="C39" s="6" t="n"/>
      <c r="D39" s="6" t="n"/>
      <c r="E39" s="6" t="n"/>
      <c r="F39" s="6" t="n">
        <v>-181</v>
      </c>
      <c r="G39" s="6" t="n"/>
    </row>
    <row r="40">
      <c r="A40" s="6" t="inlineStr">
        <is>
          <t>Repurchase of other equity instruments</t>
        </is>
      </c>
      <c r="B40" s="6" t="n">
        <v>-500</v>
      </c>
      <c r="C40" s="6" t="n">
        <v>-500</v>
      </c>
      <c r="D40" s="6" t="n"/>
      <c r="E40" s="6" t="n">
        <v>-985</v>
      </c>
      <c r="F40" s="6" t="n">
        <v>-210</v>
      </c>
      <c r="G40" s="6" t="n"/>
    </row>
    <row r="41">
      <c r="A41" s="6" t="inlineStr">
        <is>
          <t>Dividends paid on ordinary shares</t>
        </is>
      </c>
      <c r="B41" s="6" t="n">
        <v>-26</v>
      </c>
      <c r="C41" s="6" t="n">
        <v>-1311</v>
      </c>
      <c r="D41" s="6" t="n">
        <v>-1530</v>
      </c>
      <c r="E41" s="6" t="n">
        <v>-1014</v>
      </c>
      <c r="F41" s="6" t="n">
        <v>-1358</v>
      </c>
      <c r="G41" s="6" t="n">
        <v>-129</v>
      </c>
    </row>
    <row r="42">
      <c r="A42" s="6" t="inlineStr">
        <is>
          <t>Dividends paid on preference shares and other equity instruments</t>
        </is>
      </c>
      <c r="B42" s="6" t="n">
        <v>-132</v>
      </c>
      <c r="C42" s="6" t="n">
        <v>-129</v>
      </c>
      <c r="D42" s="6" t="n">
        <v>-123</v>
      </c>
      <c r="E42" s="6" t="n">
        <v>-150</v>
      </c>
      <c r="F42" s="6" t="n">
        <v>-147</v>
      </c>
      <c r="G42" s="6" t="n">
        <v>-148</v>
      </c>
    </row>
    <row r="43">
      <c r="A43" s="6" t="inlineStr">
        <is>
          <t>Dividends paid on non-controlling interests</t>
        </is>
      </c>
      <c r="B43" s="6" t="n"/>
      <c r="C43" s="6" t="n"/>
      <c r="D43" s="6" t="n"/>
      <c r="E43" s="6" t="n"/>
      <c r="F43" s="6" t="n"/>
      <c r="G43" s="6" t="n">
        <v>-15</v>
      </c>
    </row>
    <row r="44">
      <c r="A44" s="6" t="inlineStr">
        <is>
          <t>Principal elements of lease payments</t>
        </is>
      </c>
      <c r="B44" s="6" t="n">
        <v>-22</v>
      </c>
      <c r="C44" s="6" t="n">
        <v>-33</v>
      </c>
      <c r="D44" s="6" t="n">
        <v>-47</v>
      </c>
      <c r="E44" s="6" t="n">
        <v>-26</v>
      </c>
      <c r="F44" s="6" t="n">
        <v>-25</v>
      </c>
      <c r="G44" s="6" t="n"/>
    </row>
    <row r="45">
      <c r="A45" s="5" t="inlineStr">
        <is>
          <t>Net cash flows from financing activities</t>
        </is>
      </c>
      <c r="B45" s="5" t="n">
        <v>5410</v>
      </c>
      <c r="C45" s="5" t="n">
        <v>285</v>
      </c>
      <c r="D45" s="5" t="n">
        <v>19</v>
      </c>
      <c r="E45" s="5" t="n">
        <v>277</v>
      </c>
      <c r="F45" s="5" t="n">
        <v>-10753</v>
      </c>
      <c r="G45" s="5" t="n">
        <v>-8152</v>
      </c>
    </row>
    <row r="46">
      <c r="A46" s="5" t="inlineStr">
        <is>
          <t>Change in cash and cash equivalents</t>
        </is>
      </c>
      <c r="B46" s="5" t="n">
        <v>-431</v>
      </c>
      <c r="C46" s="5" t="n">
        <v>-7586</v>
      </c>
      <c r="D46" s="5" t="n">
        <v>-3861</v>
      </c>
      <c r="E46" s="5" t="n">
        <v>-2891</v>
      </c>
      <c r="F46" s="5" t="n">
        <v>2575</v>
      </c>
      <c r="G46" s="5" t="n">
        <v>17720</v>
      </c>
    </row>
    <row r="47">
      <c r="A47" s="6" t="inlineStr">
        <is>
          <t>Cash and cash equivalents at beginning of the year</t>
        </is>
      </c>
      <c r="B47" s="6" t="n">
        <v>29181</v>
      </c>
      <c r="C47" s="6" t="n">
        <v>36781</v>
      </c>
      <c r="D47" s="6" t="n">
        <v>46484</v>
      </c>
      <c r="E47" s="6" t="n">
        <v>49254</v>
      </c>
      <c r="F47" s="6" t="n">
        <v>46697</v>
      </c>
      <c r="G47" s="6" t="n">
        <v>27817</v>
      </c>
    </row>
    <row r="48">
      <c r="A48" s="6" t="inlineStr">
        <is>
          <t>Effects of exchange rate changes on cash and cash equivalents</t>
        </is>
      </c>
      <c r="B48" s="6" t="n">
        <v>-12</v>
      </c>
      <c r="C48" s="6" t="n">
        <v>-14</v>
      </c>
      <c r="D48" s="6" t="n">
        <v>-121</v>
      </c>
      <c r="E48" s="6" t="n">
        <v>121</v>
      </c>
      <c r="F48" s="6" t="n">
        <v>-18</v>
      </c>
      <c r="G48" s="6" t="n">
        <v>45</v>
      </c>
    </row>
    <row r="49">
      <c r="A49" s="5" t="inlineStr">
        <is>
          <t>Cash and cash equivalents at the end of the year</t>
        </is>
      </c>
      <c r="B49" s="5" t="n">
        <v>28738</v>
      </c>
      <c r="C49" s="5" t="n">
        <v>29181</v>
      </c>
      <c r="D49" s="5" t="n">
        <v>42502</v>
      </c>
      <c r="E49" s="5" t="n">
        <v>46484</v>
      </c>
      <c r="F49" s="5" t="n">
        <v>49254</v>
      </c>
      <c r="G49" s="5" t="n">
        <v>45582</v>
      </c>
    </row>
    <row r="50">
      <c r="A50" s="5" t="inlineStr">
        <is>
          <t>Cash and cash equivalents at the end of the year comprise</t>
        </is>
      </c>
      <c r="B50" s="6" t="n"/>
      <c r="C50" s="6" t="n"/>
      <c r="D50" s="6" t="n"/>
      <c r="E50" s="6" t="n"/>
      <c r="F50" s="6" t="n"/>
      <c r="G50" s="6" t="n"/>
    </row>
    <row r="51">
      <c r="A51" s="6" t="inlineStr">
        <is>
          <t>Cash and balances at central banks</t>
        </is>
      </c>
      <c r="B51" s="6" t="n">
        <v>29376</v>
      </c>
      <c r="C51" s="6" t="n">
        <v>29881</v>
      </c>
      <c r="D51" s="6" t="n">
        <v>38214</v>
      </c>
      <c r="E51" s="6" t="n">
        <v>44190</v>
      </c>
      <c r="F51" s="6" t="n">
        <v>48139</v>
      </c>
      <c r="G51" s="6" t="n">
        <v>41250</v>
      </c>
    </row>
    <row r="52">
      <c r="A52" s="6" t="inlineStr">
        <is>
          <t>Less: restricted balances</t>
        </is>
      </c>
      <c r="B52" s="6" t="n">
        <v>-1440</v>
      </c>
      <c r="C52" s="6" t="n">
        <v>-1580</v>
      </c>
      <c r="D52" s="6" t="n">
        <v>-2311</v>
      </c>
      <c r="E52" s="6" t="n">
        <v>-2223</v>
      </c>
      <c r="F52" s="6" t="n">
        <v>-2498</v>
      </c>
      <c r="G52" s="6" t="n">
        <v>-854</v>
      </c>
    </row>
    <row r="53">
      <c r="A53" s="6" t="inlineStr">
        <is>
          <t>Other cash equivalents: loans and advances to banks - non-trading</t>
        </is>
      </c>
      <c r="B53" s="6" t="n">
        <v>802</v>
      </c>
      <c r="C53" s="6" t="n">
        <v>880</v>
      </c>
      <c r="D53" s="6" t="n">
        <v>878</v>
      </c>
      <c r="E53" s="6" t="n">
        <v>904</v>
      </c>
      <c r="F53" s="6" t="n">
        <v>1074</v>
      </c>
      <c r="G53" s="6" t="n">
        <v>5186</v>
      </c>
    </row>
    <row r="54">
      <c r="A54" s="6" t="inlineStr">
        <is>
          <t>Other cash equivalents: reverse repurchase agreements</t>
        </is>
      </c>
      <c r="B54" s="6" t="n"/>
      <c r="C54" s="6" t="n"/>
      <c r="D54" s="6" t="n">
        <v>5721</v>
      </c>
      <c r="E54" s="6" t="n">
        <v>3613</v>
      </c>
      <c r="F54" s="6" t="n">
        <v>2539</v>
      </c>
      <c r="G54" s="6" t="n"/>
    </row>
    <row r="55">
      <c r="A55" s="5" t="inlineStr">
        <is>
          <t>Cash and cash equivalents at the end of the year</t>
        </is>
      </c>
      <c r="B55" s="5" t="n">
        <v>28738</v>
      </c>
      <c r="C55" s="5" t="n">
        <v>29181</v>
      </c>
      <c r="D55" s="5" t="n">
        <v>42502</v>
      </c>
      <c r="E55" s="5" t="n">
        <v>46484</v>
      </c>
      <c r="F55" s="5" t="n">
        <v>49254</v>
      </c>
      <c r="G55" s="5" t="n">
        <v>45582</v>
      </c>
    </row>
    <row r="57" ht="273" customHeight="1">
      <c r="A57" s="8" t="inlineStr">
        <is>
          <t>Sources - all figures are Santander UK Plc consolidated cash flow statement, £m:
FY2025 &amp; FY2024: Santander UK plc Annual Report 2025, p.126 (Consolidated Cash Flow Statement) - https://www.santander.co.uk/assets/s3fs-public/documents/SantanderUKplc2025AnnualReport.pdf
FY2023, FY2022 &amp; FY2021: Santander UK plc Annual Report 2023, p.120 (Consolidated Cash Flow Statement) - https://www.santander.co.uk/assets/s3fs-public/documents/santander_uk_plc_annual_report_2023.pdf
FY2020: Santander UK plc Annual Report 2020, p.176 (Consolidated Cash Flow Statement) - https://www.santander.co.uk/assets/s3fs-public/documents/santander_uk_plc_2020_annual_report.pdf
Note: Santander UK redefined the composition of 'cash and cash equivalents' between these report vintages - the FY2023 annual report (used for the FY2023/FY2022/FY2021 columns here) includes 'Reverse repurchase agreements' as a component of cash equivalents, while the FY2025 annual report's presentation (used for the FY2025/FY2024 columns) does not. Each column above uses that year's own report's original presentation rather than a later restated comparative, so FY2023's closing cash balance (42,502) will not tie directly to the FY2024 column's opening balance as shown in the FY2025 report (36,781) - the £5,721m difference is exactly the FY2023 reverse-repo balance reclassified out of cash equivalents. The same pattern recurs at the FY2020/FY2021 boundary: FY2020's own closing cash balance as originally reported in the FY2020 Annual Report (45,582, using that report's single undifferentiated 'Other cash equivalents' line) does not tie directly to the FY2021 column's opening balance as shown in the FY2023 report (46,697) - a £1,115m gap consistent with the same kind of cash-equivalents composition restatement, though the FY2023 report does not itemise FY2020's restated composition closely enough to attribute the gap to a specific instrument. Operating/investing/financing subtotals and the change-in-cash reconciliation are internally consistent within each year shown.
ENTITY NOTE: Santander UK Plc (FRN 106054, company number 02294747) is the PRA-authorised ring-fenced bank (RFB) - not to be confused with 'Santander Financial Services plc' (FRN 146003, a separate, smaller PRA-authorised entity) or with its own intermediate holding company 'Santander UK Group Holdings plc' (the resolution entity, which publishes its own separate Annual Report/Pillar 3). This workbook uses Santander UK Plc's own consolidated ('RFB Group') basis throughout, consistent with how this workbook series always prefers the ring-fenced/regulated banking entity's own consolidation level over a wider holding company - matching Barclays' use of 'Barclays Bank UK Group' rather than 'Barclays PLC'.
TSB ACQUISITION NOTE: On 21 July 2025 Banco Santander agreed to acquire TSB Banking Group plc (parent of TSB Bank plc, also covered elsewhere in this workbook series) from Sabadell for c.£2.65bn, with completion expected in early 2026 and a subsequent merger of TSB into the Santander UK group. The FY2025 ACRMD's 'Key Movements' commentary explicitly cites 'a no-dividend decision for 2025, in anticipation of the acquisition of TSB' as a driver of Santander UK's improved FY2025 capital ratios. This acquisition was still pending as at the FY2025 reporting date and is not reflected in any of the historical figures below; it may be worth revisiting both workbooks once the transaction completes and TSB Bank plc's own reporting entity status changes.</t>
        </is>
      </c>
    </row>
    <row r="59" ht="190" customHeight="1">
      <c r="A59" s="8" t="inlineStr">
        <is>
          <t>(continued)
FY2020 EXTENSION NOTE: FY2020 was added by re-verifying directly against Santander UK plc's own primary source documents (its FY2020 Annual Report and 31 December 2020 ACRMD), not assumed from the historical-depth ticket's nominal 'confirmed floor FY2020' signal alone. FY2020's Balance Sheet and Statement of Changes in Equity both tie exactly into the FY2021 column already in this workbook (e.g. FY2020's own closing Total equity of 15,936 is the exact same figure already used as this workbook's FY2021 opening balance) - no restatement at that boundary. FY2020's own cash-equivalents reconciliation, by contrast, does NOT tie exactly to the FY2021 column's opening balance - see the Cash Flow Statement sheet's own source note for the £1,115m gap, consistent with the same cash-equivalents composition restatement pattern already documented at the FY2023/FY2024 boundary. FY2020's own Cash Flow Statement is presented differently to every later year - starting from 'Profit after tax' plus a separate 'Corporation tax charge' non-cash addback, rather than starting from 'Profit before tax' directly - so the 'Profit before tax' cell shown for FY2020 here is the two figures recombined (471 + 134 = 605), which ties exactly to the Income Statement's own independently-disclosed FY2020 Profit before tax of 605; not an estimated plug. FY2020's cash flow statement also does not itemise 'Reverse repurchase agreements' / 'Repurchase agreements' as their own net-change lines (left blank for FY2020 only), does not itemise lease principal repayments as its own financing-activities line (embedded within 'Other liabilities' instead, per the source document's own footnote), and presents 'Other cash equivalents' as a single £5,186m line rather than split by instrument type (shown under 'loans and advances to banks - non-trading' for lack of a more precise label, with the reverse-repo sub-row blank for FY2020 only) - the within-year reconciliation (beginning + change + FX = end) still ties exactly for FY2020 itself; see above re: the cross-year gap into FY2021. FY2020 also still carries a small non-controlling interest (£162m, disposed of during 2021 per the existing FY2021 note) and a 'Dividends paid on non-controlling interests' cash flow line (£15m), both genuinely absent from FY2021 onward.</t>
        </is>
      </c>
    </row>
  </sheetData>
  <mergeCells count="2">
    <mergeCell ref="A57:G57"/>
    <mergeCell ref="A59:G59"/>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19"/>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64"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Santander UK Plc — Asset Quality</t>
        </is>
      </c>
    </row>
    <row r="2">
      <c r="A2" s="2" t="inlineStr">
        <is>
          <t>Santander UK Plc Group (consolidated 'RFB Group' basis). On-balance-sheet, drawn loans within the IFRS 9 ECL framework, by stage. FY2025/FY2024 and FY2023-FY2021 use two related but non-identical disclosure tables (Total Drawn customer loans vs. Loans and advances to customers rating distribution) - see source note; FY2025/FY2024 don't disclose a Stage 1/2/3 ECL split (only a Total ECL allowance), so those cells are blank rather than estimated. FY2020's Stage 3/NPL ratio (1.45%) is the directly-disclosed 'Key metrics' figure (a slightly different denominator, including undrawn Stage 3 exposures, per the source table's own definition), consistent with how FY2025/FY2024's ratio is also directly reported rather than derived.</t>
        </is>
      </c>
    </row>
    <row r="3">
      <c r="A3" s="4" t="inlineStr">
        <is>
          <t>Line item</t>
        </is>
      </c>
      <c r="B3" s="4" t="inlineStr">
        <is>
          <t>FY2025 (£m)</t>
        </is>
      </c>
      <c r="C3" s="4" t="inlineStr">
        <is>
          <t>FY2024 (£m)</t>
        </is>
      </c>
      <c r="D3" s="4" t="inlineStr">
        <is>
          <t>FY2023 (£m)</t>
        </is>
      </c>
      <c r="E3" s="4" t="inlineStr">
        <is>
          <t>FY2022 (£m)</t>
        </is>
      </c>
      <c r="F3" s="4" t="inlineStr">
        <is>
          <t>FY2021 (£m)</t>
        </is>
      </c>
      <c r="G3" s="4" t="inlineStr">
        <is>
          <t>FY2020 (£m)</t>
        </is>
      </c>
    </row>
    <row r="4">
      <c r="A4" s="5" t="inlineStr">
        <is>
          <t>Loans by IFRS 9 stage (on-balance sheet, drawn)</t>
        </is>
      </c>
      <c r="B4" s="6" t="n"/>
      <c r="C4" s="6" t="n"/>
      <c r="D4" s="6" t="n"/>
      <c r="E4" s="6" t="n"/>
      <c r="F4" s="6" t="n"/>
      <c r="G4" s="6" t="n"/>
    </row>
    <row r="5">
      <c r="A5" s="6" t="inlineStr">
        <is>
          <t>Stage 1 (performing)</t>
        </is>
      </c>
      <c r="B5" s="6" t="n">
        <v>177700</v>
      </c>
      <c r="C5" s="6" t="n">
        <v>171900</v>
      </c>
      <c r="D5" s="6" t="n">
        <v>182600</v>
      </c>
      <c r="E5" s="6" t="n">
        <v>199600</v>
      </c>
      <c r="F5" s="6" t="n">
        <v>191600</v>
      </c>
      <c r="G5" s="6" t="n">
        <v>189900</v>
      </c>
    </row>
    <row r="6">
      <c r="A6" s="6" t="inlineStr">
        <is>
          <t>Stage 2 (underperforming / significant increase in credit risk)</t>
        </is>
      </c>
      <c r="B6" s="6" t="n">
        <v>17500</v>
      </c>
      <c r="C6" s="6" t="n">
        <v>20000</v>
      </c>
      <c r="D6" s="6" t="n">
        <v>22200</v>
      </c>
      <c r="E6" s="6" t="n">
        <v>17800</v>
      </c>
      <c r="F6" s="6" t="n">
        <v>16000</v>
      </c>
      <c r="G6" s="6" t="n">
        <v>16600</v>
      </c>
    </row>
    <row r="7">
      <c r="A7" s="6" t="inlineStr">
        <is>
          <t>Stage 3 (credit-impaired / non-performing)</t>
        </is>
      </c>
      <c r="B7" s="6" t="n">
        <v>2200</v>
      </c>
      <c r="C7" s="6" t="n">
        <v>2600</v>
      </c>
      <c r="D7" s="6" t="n">
        <v>2600</v>
      </c>
      <c r="E7" s="6" t="n">
        <v>2300</v>
      </c>
      <c r="F7" s="6" t="n">
        <v>2500</v>
      </c>
      <c r="G7" s="6" t="n">
        <v>2300</v>
      </c>
    </row>
    <row r="8">
      <c r="A8" s="5" t="inlineStr">
        <is>
          <t>Total loans in scope</t>
        </is>
      </c>
      <c r="B8" s="5" t="n">
        <v>197400</v>
      </c>
      <c r="C8" s="5" t="n">
        <v>194500</v>
      </c>
      <c r="D8" s="5" t="n">
        <v>207400</v>
      </c>
      <c r="E8" s="5" t="n">
        <v>219700</v>
      </c>
      <c r="F8" s="5" t="n">
        <v>210100</v>
      </c>
      <c r="G8" s="5" t="n">
        <v>208800</v>
      </c>
    </row>
    <row r="9">
      <c r="A9" s="5" t="inlineStr">
        <is>
          <t>Expected credit loss (ECL) allowance</t>
        </is>
      </c>
      <c r="B9" s="6" t="n"/>
      <c r="C9" s="6" t="n"/>
      <c r="D9" s="6" t="n"/>
      <c r="E9" s="6" t="n"/>
      <c r="F9" s="6" t="n"/>
      <c r="G9" s="6" t="n"/>
    </row>
    <row r="10">
      <c r="A10" s="6" t="inlineStr">
        <is>
          <t>Stage 1 ECL allowance</t>
        </is>
      </c>
      <c r="B10" s="6" t="n"/>
      <c r="C10" s="6" t="n"/>
      <c r="D10" s="6" t="n">
        <v>100</v>
      </c>
      <c r="E10" s="6" t="n">
        <v>100</v>
      </c>
      <c r="F10" s="6" t="n">
        <v>100</v>
      </c>
      <c r="G10" s="6" t="n">
        <v>200</v>
      </c>
    </row>
    <row r="11">
      <c r="A11" s="6" t="inlineStr">
        <is>
          <t>Stage 2 ECL allowance</t>
        </is>
      </c>
      <c r="B11" s="6" t="n"/>
      <c r="C11" s="6" t="n"/>
      <c r="D11" s="6" t="n">
        <v>400</v>
      </c>
      <c r="E11" s="6" t="n">
        <v>500</v>
      </c>
      <c r="F11" s="6" t="n">
        <v>400</v>
      </c>
      <c r="G11" s="6" t="n">
        <v>500</v>
      </c>
    </row>
    <row r="12">
      <c r="A12" s="6" t="inlineStr">
        <is>
          <t>Stage 3 ECL allowance</t>
        </is>
      </c>
      <c r="B12" s="6" t="n"/>
      <c r="C12" s="6" t="n"/>
      <c r="D12" s="6" t="n">
        <v>400</v>
      </c>
      <c r="E12" s="6" t="n">
        <v>300</v>
      </c>
      <c r="F12" s="6" t="n">
        <v>400</v>
      </c>
      <c r="G12" s="6" t="n">
        <v>600</v>
      </c>
    </row>
    <row r="13">
      <c r="A13" s="5" t="inlineStr">
        <is>
          <t>Total ECL allowance</t>
        </is>
      </c>
      <c r="B13" s="5" t="n">
        <v>729</v>
      </c>
      <c r="C13" s="5" t="n">
        <v>784</v>
      </c>
      <c r="D13" s="5" t="n">
        <v>900</v>
      </c>
      <c r="E13" s="5" t="n">
        <v>900</v>
      </c>
      <c r="F13" s="5" t="n">
        <v>900</v>
      </c>
      <c r="G13" s="5" t="n">
        <v>1300</v>
      </c>
    </row>
    <row r="14">
      <c r="A14" s="5" t="inlineStr">
        <is>
          <t>Derived ratios</t>
        </is>
      </c>
      <c r="B14" s="6" t="n"/>
      <c r="C14" s="6" t="n"/>
      <c r="D14" s="6" t="n"/>
      <c r="E14" s="6" t="n"/>
      <c r="F14" s="6" t="n"/>
      <c r="G14" s="6" t="n"/>
    </row>
    <row r="15">
      <c r="A15" s="6" t="inlineStr">
        <is>
          <t>Stage 3 / NPL ratio (%)</t>
        </is>
      </c>
      <c r="B15" s="6" t="inlineStr">
        <is>
          <t>1.18%</t>
        </is>
      </c>
      <c r="C15" s="6" t="inlineStr">
        <is>
          <t>1.42%</t>
        </is>
      </c>
      <c r="D15" s="6" t="inlineStr">
        <is>
          <t>1.25%</t>
        </is>
      </c>
      <c r="E15" s="6" t="inlineStr">
        <is>
          <t>1.05%</t>
        </is>
      </c>
      <c r="F15" s="6" t="inlineStr">
        <is>
          <t>1.19%</t>
        </is>
      </c>
      <c r="G15" s="6" t="inlineStr">
        <is>
          <t>1.45%</t>
        </is>
      </c>
    </row>
    <row r="16">
      <c r="A16" s="6" t="inlineStr">
        <is>
          <t>ECL coverage ratio (Total ECL / Total loans in scope, %)</t>
        </is>
      </c>
      <c r="B16" s="6" t="inlineStr">
        <is>
          <t>0.37%</t>
        </is>
      </c>
      <c r="C16" s="6" t="inlineStr">
        <is>
          <t>0.40%</t>
        </is>
      </c>
      <c r="D16" s="6" t="inlineStr">
        <is>
          <t>0.43%</t>
        </is>
      </c>
      <c r="E16" s="6" t="inlineStr">
        <is>
          <t>0.41%</t>
        </is>
      </c>
      <c r="F16" s="6" t="inlineStr">
        <is>
          <t>0.43%</t>
        </is>
      </c>
      <c r="G16" s="6" t="inlineStr">
        <is>
          <t>0.62%</t>
        </is>
      </c>
    </row>
    <row r="17">
      <c r="A17" s="6" t="inlineStr">
        <is>
          <t>12-month gross write-offs (£m)</t>
        </is>
      </c>
      <c r="B17" s="6" t="n">
        <v>248</v>
      </c>
      <c r="C17" s="6" t="n">
        <v>230</v>
      </c>
      <c r="D17" s="6" t="n"/>
      <c r="E17" s="6" t="n"/>
      <c r="F17" s="6" t="n"/>
      <c r="G17" s="6" t="n"/>
    </row>
    <row r="19" ht="250" customHeight="1">
      <c r="A19" s="8" t="inlineStr">
        <is>
          <t>Sources - Santander UK Plc consolidated ('RFB Group') basis:
FY2025: Santander UK plc Annual Report 2025, p.67 ('Credit performance (audited)' table, Total Drawn row) - https://www.santander.co.uk/assets/s3fs-public/documents/SantanderUKplc2025AnnualReport.pdf
FY2024: Santander UK plc Annual Report 2025, p.67 (FY2024 comparative in the same table) - https://www.santander.co.uk/assets/s3fs-public/documents/SantanderUKplc2025AnnualReport.pdf
FY2023: Santander UK plc Annual Report 2023, p.61 ('Rating distribution (audited)' table, Loans and advances to customers row) - https://www.santander.co.uk/assets/s3fs-public/documents/santander_uk_plc_annual_report_2023.pdf
FY2022: Santander UK plc Annual Report 2023, p.62 (FY2022 comparative in the same rating distribution table) - https://www.santander.co.uk/assets/s3fs-public/documents/santander_uk_plc_annual_report_2023.pdf
FY2021: Santander UK plc Annual Report 2022, p.65 ('Rating distribution (audited)' table, Loans and advances to customers row) - https://www.santander.co.uk/assets/s3fs-public/documents/santander_uk_plc_annual_report_2022.pdf
FY2020: Santander UK plc Annual Report 2020, p.90-91 ('Rating distribution (audited)' table, Loans and advances to customers row, and 'Key metrics' Stage 3 ratio) - https://www.santander.co.uk/assets/s3fs-public/documents/santander_uk_plc_2020_annual_report.pdf
Presentation note: the FY2025/FY2024 table reports 'Total Drawn' customer loans (£197.4bn/£194.5bn), narrower than the FY2023-FY2021 table's 'Loans and advances to customers' on-balance-sheet scope (£207.4bn/£219.7bn/£210.1bn) and narrower still than the Balance Sheet's own broader Loans and advances to customers line (which includes accrued interest and other adjustments not captured in either credit-risk table) - each year's own as-disclosed figure is used rather than forced to tie across scopes. Stage 3/NPL ratio and ECL coverage ratio are derived from the figures above (Stage 3 ratio for FY2025/FY2024 is as directly reported in the source table, which uses a slightly different denominator including undrawn Stage 3 exposures - see the table's own footnote).
ENTITY NOTE: Santander UK Plc (FRN 106054, company number 02294747) is the PRA-authorised ring-fenced bank (RFB) - not to be confused with 'Santander Financial Services plc' (FRN 146003, a separate, smaller PRA-authorised entity) or with its own intermediate holding company 'Santander UK Group Holdings plc' (the resolution entity, which publishes its own separate Annual Report/Pillar 3). This workbook uses Santander UK Plc's own consolidated ('RFB Group') basis throughout, consistent with how this workbook series always prefers the ring-fenced/regulated banking entity's own consolidation level over a wider holding company - matching Barclays' use of 'Barclays Bank UK Group' rather than 'Barclays PLC'.</t>
        </is>
      </c>
    </row>
  </sheetData>
  <mergeCells count="1">
    <mergeCell ref="A19:G19"/>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11"/>
  <sheetViews>
    <sheetView workbookViewId="0">
      <selection activeCell="A1" sqref="A1"/>
    </sheetView>
  </sheetViews>
  <sheetFormatPr baseColWidth="8" defaultRowHeight="15"/>
  <cols>
    <col width="46"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Santander UK Plc — Profitability</t>
        </is>
      </c>
    </row>
    <row r="2">
      <c r="A2" s="2" t="inlineStr">
        <is>
          <t>Return on equity and return on assets in per cent, computed from this workbook's own Balance Sheet and Profit &amp; Loss sheets.</t>
        </is>
      </c>
    </row>
    <row r="3">
      <c r="A3" s="4" t="inlineStr">
        <is>
          <t>Metric</t>
        </is>
      </c>
      <c r="B3" s="4" t="inlineStr">
        <is>
          <t>FY2025</t>
        </is>
      </c>
      <c r="C3" s="4" t="inlineStr">
        <is>
          <t>FY2024</t>
        </is>
      </c>
      <c r="D3" s="4" t="inlineStr">
        <is>
          <t>FY2023</t>
        </is>
      </c>
      <c r="E3" s="4" t="inlineStr">
        <is>
          <t>FY2022</t>
        </is>
      </c>
      <c r="F3" s="4" t="inlineStr">
        <is>
          <t>FY2021</t>
        </is>
      </c>
      <c r="G3" s="4" t="inlineStr">
        <is>
          <t>FY2020</t>
        </is>
      </c>
    </row>
    <row r="4">
      <c r="A4" s="6" t="inlineStr">
        <is>
          <t>Return on equity - average equity basis</t>
        </is>
      </c>
      <c r="B4" s="6" t="inlineStr">
        <is>
          <t>7.51%</t>
        </is>
      </c>
      <c r="C4" s="6" t="inlineStr">
        <is>
          <t>6.84%</t>
        </is>
      </c>
      <c r="D4" s="6" t="inlineStr">
        <is>
          <t>10.62%</t>
        </is>
      </c>
      <c r="E4" s="6" t="inlineStr">
        <is>
          <t>9.14%</t>
        </is>
      </c>
      <c r="F4" s="6" t="inlineStr">
        <is>
          <t>8.45%</t>
        </is>
      </c>
      <c r="G4" s="6" t="n"/>
    </row>
    <row r="5">
      <c r="A5" s="6" t="inlineStr">
        <is>
          <t>Return on equity - year-end equity basis</t>
        </is>
      </c>
      <c r="B5" s="6" t="inlineStr">
        <is>
          <t>7.17%</t>
        </is>
      </c>
      <c r="C5" s="6" t="inlineStr">
        <is>
          <t>7.05%</t>
        </is>
      </c>
      <c r="D5" s="6" t="inlineStr">
        <is>
          <t>10.54%</t>
        </is>
      </c>
      <c r="E5" s="6" t="inlineStr">
        <is>
          <t>9.68%</t>
        </is>
      </c>
      <c r="F5" s="6" t="inlineStr">
        <is>
          <t>8.40%</t>
        </is>
      </c>
      <c r="G5" s="6" t="inlineStr">
        <is>
          <t>2.96%</t>
        </is>
      </c>
    </row>
    <row r="6">
      <c r="A6" s="6" t="inlineStr">
        <is>
          <t>Return on assets - average assets basis</t>
        </is>
      </c>
      <c r="B6" s="6" t="inlineStr">
        <is>
          <t>0.41%</t>
        </is>
      </c>
      <c r="C6" s="6" t="inlineStr">
        <is>
          <t>0.36%</t>
        </is>
      </c>
      <c r="D6" s="6" t="inlineStr">
        <is>
          <t>0.55%</t>
        </is>
      </c>
      <c r="E6" s="6" t="inlineStr">
        <is>
          <t>0.49%</t>
        </is>
      </c>
      <c r="F6" s="6" t="inlineStr">
        <is>
          <t>0.47%</t>
        </is>
      </c>
      <c r="G6" s="6" t="n"/>
    </row>
    <row r="7">
      <c r="A7" s="6" t="inlineStr">
        <is>
          <t>Return on assets - year-end assets basis</t>
        </is>
      </c>
      <c r="B7" s="6" t="inlineStr">
        <is>
          <t>0.41%</t>
        </is>
      </c>
      <c r="C7" s="6" t="inlineStr">
        <is>
          <t>0.37%</t>
        </is>
      </c>
      <c r="D7" s="6" t="inlineStr">
        <is>
          <t>0.56%</t>
        </is>
      </c>
      <c r="E7" s="6" t="inlineStr">
        <is>
          <t>0.49%</t>
        </is>
      </c>
      <c r="F7" s="6" t="inlineStr">
        <is>
          <t>0.47%</t>
        </is>
      </c>
      <c r="G7" s="6" t="inlineStr">
        <is>
          <t>0.16%</t>
        </is>
      </c>
    </row>
    <row r="8">
      <c r="A8" s="6" t="inlineStr">
        <is>
          <t>Return on assets (as published)</t>
        </is>
      </c>
      <c r="B8" s="6" t="inlineStr">
        <is>
          <t>0.40%</t>
        </is>
      </c>
      <c r="C8" s="6" t="inlineStr">
        <is>
          <t>Not published</t>
        </is>
      </c>
      <c r="D8" s="6" t="n"/>
      <c r="E8" s="6" t="n"/>
      <c r="F8" s="6" t="n"/>
      <c r="G8" s="6" t="n"/>
    </row>
    <row r="9" ht="221" customHeight="1">
      <c r="A9" s="7" t="inlineStr">
        <is>
          <t>Note: TWO KINDS OF FIGURE, NEVER MERGED. The rows above are not one series. The 'Return on equity/assets' rows are THIS PROJECT'S OWN ARITHMETIC on the figures printed on this workbook's statement sheets. The rows marked '(as published)' are the bank's own published ratios, quoted verbatim, each struck on the bank's own definition - which differs from bank to bank and usually from ours, most often in whether the numerator is before or after tax and whether the denominator is average, opening or year-end equity, tangible equity or required equity. They are not averaged, reconciled, or substituted for one another, and where they disagree both stand: the disagreement is the finding.
THE BANK'S OWN DEFINITIONS, VERBATIM. Return on assets: “profit after tax divided by average total assets”
WHY TWO BASES ARE PRINTED FOR EACH RATIO, AND NEITHER IS PREFERRED. The average basis divides by the mean of the opening and closing balance and is the fairer measure of a year in which the balance sheet moved a long way; the year-end basis divides by the closing balance alone and is what most outside sources quote. Both are shown so the reader can see which question a figure answers. They are not averaged and neither is 'the' return. The two diverge most in FY2022, where return on equity is 9.14% on an average basis and 9.68% on a year-end basis.
FY2020 HAS NO AVERAGE-BASIS RATIO, AND THAT IS CORRECT. An average denominator needs an opening balance, and FY2020 is the oldest column this workbook carries, so there is no prior year to open from. The blank is structural, not a missing figure. The year-end basis is shown for FY2020 because it needs only the closing balance.
FIGURES THE BANK PUBLISHED ONLY AS A LATER EDITION'S COMPARATIVE, AND WHY THEY ARE NOT IN THE CELLS ABOVE. FY2024 Return on assets 0.36%. Each year's cell carries what that year's OWN annual report printed. A comparative restated in a later edition is a different claim - it may rest on a revised definition, a restated perimeter or a corrected prior figure - so it is recorded here rather than substituted into the year it refers to.</t>
        </is>
      </c>
    </row>
    <row r="11" ht="170" customHeight="1">
      <c r="A11" s="8" t="inlineStr">
        <is>
          <t>Computed by this workbook's own build script from the Profit &amp; Loss and Balance Sheet sheets of this same workbook - the Profit &amp; Loss row “profit from continuing operations after tax” and the Balance Sheet rows “total equity” and “total assets”, resolved BY LABEL at build time through the shared resolver scripts/profitability_rows.py, so this sheet cannot drift from the statements it summarises. Those rows are themselves transcribed from Santander UK Plc's Annual Report and Accounts for each year; see the source cells on the Balance Sheet and Profit &amp; Loss sheets for the exact document, page and table behind every input to every percentage above.
The '(as published)' rows are quoted verbatim from Santander UK Plc's own disclosures and are recorded, with the exact document, page and verification state for each, in research/profitability/published_returns.jsonl under ‘SANTANDER’.</t>
        </is>
      </c>
    </row>
  </sheetData>
  <mergeCells count="2">
    <mergeCell ref="A11:G11"/>
    <mergeCell ref="A9:G9"/>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90"/>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86"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Santander UK Plc - KM1 Key Metrics</t>
        </is>
      </c>
    </row>
    <row r="2">
      <c r="A2" s="2" t="inlineStr">
        <is>
          <t>Santander UK plc Group ("RFB Group") consolidated basis - Part 2 of each year's ACRMD, not the Santander UK Group Holdings plc table in Part 1. Reproduced in the bank's own row order, row numbers and printed precision. Amounts in £m unless a row says otherwise; ratios as printed. Three template regimes are shown as separate blocks and are deliberately not merged - see the source note.</t>
        </is>
      </c>
    </row>
    <row r="3">
      <c r="A3" s="4" t="inlineStr">
        <is>
          <t>Line item</t>
        </is>
      </c>
      <c r="B3" s="4" t="inlineStr">
        <is>
          <t>FY2025</t>
        </is>
      </c>
      <c r="C3" s="4" t="inlineStr">
        <is>
          <t>FY2024</t>
        </is>
      </c>
      <c r="D3" s="4" t="inlineStr">
        <is>
          <t>FY2023</t>
        </is>
      </c>
      <c r="E3" s="4" t="inlineStr">
        <is>
          <t>FY2022</t>
        </is>
      </c>
      <c r="F3" s="4" t="inlineStr">
        <is>
          <t>FY2021</t>
        </is>
      </c>
      <c r="G3" s="4" t="inlineStr">
        <is>
          <t>FY2020</t>
        </is>
      </c>
    </row>
    <row r="4">
      <c r="A4" s="5" t="inlineStr">
        <is>
          <t>UK KM1 template (FY2025-FY2022 editions) - Available own funds (amounts) (£m)</t>
        </is>
      </c>
      <c r="B4" s="6" t="n"/>
      <c r="C4" s="6" t="n"/>
      <c r="D4" s="6" t="n"/>
      <c r="E4" s="6" t="n"/>
      <c r="F4" s="6" t="n"/>
      <c r="G4" s="6" t="n"/>
    </row>
    <row r="5">
      <c r="A5" s="6" t="inlineStr">
        <is>
          <t>1    Common Equity Tier 1 (CET1) capital</t>
        </is>
      </c>
      <c r="B5" s="6" t="n">
        <v>10601</v>
      </c>
      <c r="C5" s="6" t="n">
        <v>9791</v>
      </c>
      <c r="D5" s="6" t="n">
        <v>10443</v>
      </c>
      <c r="E5" s="6" t="n">
        <v>10799</v>
      </c>
      <c r="F5" s="6" t="n"/>
      <c r="G5" s="6" t="n"/>
    </row>
    <row r="6">
      <c r="A6" s="6" t="inlineStr">
        <is>
          <t>2    Tier 1 capital</t>
        </is>
      </c>
      <c r="B6" s="6" t="n">
        <v>12461</v>
      </c>
      <c r="C6" s="6" t="n">
        <v>11651</v>
      </c>
      <c r="D6" s="6" t="n">
        <v>12399</v>
      </c>
      <c r="E6" s="6" t="n">
        <v>12755</v>
      </c>
      <c r="F6" s="6" t="n"/>
      <c r="G6" s="6" t="n"/>
    </row>
    <row r="7">
      <c r="A7" s="6" t="inlineStr">
        <is>
          <t>3    Total capital</t>
        </is>
      </c>
      <c r="B7" s="6" t="n">
        <v>14315</v>
      </c>
      <c r="C7" s="6" t="n">
        <v>13744</v>
      </c>
      <c r="D7" s="6" t="n">
        <v>14571</v>
      </c>
      <c r="E7" s="6" t="n">
        <v>14303</v>
      </c>
      <c r="F7" s="6" t="n"/>
      <c r="G7" s="6" t="n"/>
    </row>
    <row r="8">
      <c r="A8" s="5" t="inlineStr">
        <is>
          <t>Risk-weighted exposure amounts (£m)</t>
        </is>
      </c>
      <c r="B8" s="6" t="n"/>
      <c r="C8" s="6" t="n"/>
      <c r="D8" s="6" t="n"/>
      <c r="E8" s="6" t="n"/>
      <c r="F8" s="6" t="n"/>
      <c r="G8" s="6" t="n"/>
    </row>
    <row r="9">
      <c r="A9" s="6" t="inlineStr">
        <is>
          <t>4    Total risk-weighted exposure amount</t>
        </is>
      </c>
      <c r="B9" s="6" t="n">
        <v>67231</v>
      </c>
      <c r="C9" s="6" t="n">
        <v>65528</v>
      </c>
      <c r="D9" s="6" t="n">
        <v>67839</v>
      </c>
      <c r="E9" s="6" t="n">
        <v>70089</v>
      </c>
      <c r="F9" s="6" t="n"/>
      <c r="G9" s="6" t="n"/>
    </row>
    <row r="10">
      <c r="A10" s="5" t="inlineStr">
        <is>
          <t>Capital ratios (as a percentage of risk-weighted exposure amount)</t>
        </is>
      </c>
      <c r="B10" s="6" t="n"/>
      <c r="C10" s="6" t="n"/>
      <c r="D10" s="6" t="n"/>
      <c r="E10" s="6" t="n"/>
      <c r="F10" s="6" t="n"/>
      <c r="G10" s="6" t="n"/>
    </row>
    <row r="11">
      <c r="A11" s="6" t="inlineStr">
        <is>
          <t>5    Common Equity Tier 1 ratio (%)</t>
        </is>
      </c>
      <c r="B11" s="6" t="inlineStr">
        <is>
          <t>15.8%</t>
        </is>
      </c>
      <c r="C11" s="6" t="inlineStr">
        <is>
          <t>14.9%</t>
        </is>
      </c>
      <c r="D11" s="6" t="inlineStr">
        <is>
          <t>15.39%</t>
        </is>
      </c>
      <c r="E11" s="6" t="inlineStr">
        <is>
          <t>15.41%</t>
        </is>
      </c>
      <c r="F11" s="6" t="n"/>
      <c r="G11" s="6" t="n"/>
    </row>
    <row r="12">
      <c r="A12" s="6" t="inlineStr">
        <is>
          <t>6    Tier 1 ratio (%)</t>
        </is>
      </c>
      <c r="B12" s="6" t="inlineStr">
        <is>
          <t>18.5%</t>
        </is>
      </c>
      <c r="C12" s="6" t="inlineStr">
        <is>
          <t>17.8%</t>
        </is>
      </c>
      <c r="D12" s="6" t="inlineStr">
        <is>
          <t>18.28%</t>
        </is>
      </c>
      <c r="E12" s="6" t="inlineStr">
        <is>
          <t>18.20%</t>
        </is>
      </c>
      <c r="F12" s="6" t="n"/>
      <c r="G12" s="6" t="n"/>
    </row>
    <row r="13">
      <c r="A13" s="6" t="inlineStr">
        <is>
          <t>7    Total capital ratio (%)</t>
        </is>
      </c>
      <c r="B13" s="6" t="inlineStr">
        <is>
          <t>21.3%</t>
        </is>
      </c>
      <c r="C13" s="6" t="inlineStr">
        <is>
          <t>21.0%</t>
        </is>
      </c>
      <c r="D13" s="6" t="inlineStr">
        <is>
          <t>21.48%</t>
        </is>
      </c>
      <c r="E13" s="6" t="inlineStr">
        <is>
          <t>20.41%</t>
        </is>
      </c>
      <c r="F13" s="6" t="n"/>
      <c r="G13" s="6" t="n"/>
    </row>
    <row r="14">
      <c r="A14" s="5" t="inlineStr">
        <is>
          <t>Additional own funds requirements based on SREP (as a percentage of risk-weighted exposure amount)</t>
        </is>
      </c>
      <c r="B14" s="6" t="n"/>
      <c r="C14" s="6" t="n"/>
      <c r="D14" s="6" t="n"/>
      <c r="E14" s="6" t="n"/>
      <c r="F14" s="6" t="n"/>
      <c r="G14" s="6" t="n"/>
    </row>
    <row r="15">
      <c r="A15" s="6" t="inlineStr">
        <is>
          <t>UK 7a    Additional CET1 SREP requirements (%)</t>
        </is>
      </c>
      <c r="B15" s="6" t="inlineStr">
        <is>
          <t>2.44%</t>
        </is>
      </c>
      <c r="C15" s="6" t="inlineStr">
        <is>
          <t>2.28%</t>
        </is>
      </c>
      <c r="D15" s="6" t="inlineStr">
        <is>
          <t>2.31%</t>
        </is>
      </c>
      <c r="E15" s="6" t="inlineStr">
        <is>
          <t>3.19%</t>
        </is>
      </c>
      <c r="F15" s="6" t="n"/>
      <c r="G15" s="6" t="n"/>
    </row>
    <row r="16">
      <c r="A16" s="6" t="inlineStr">
        <is>
          <t>UK 7b    Additional AT1 SREP requirements (%)</t>
        </is>
      </c>
      <c r="B16" s="6" t="inlineStr">
        <is>
          <t>0.81%</t>
        </is>
      </c>
      <c r="C16" s="6" t="inlineStr">
        <is>
          <t>0.76%</t>
        </is>
      </c>
      <c r="D16" s="6" t="inlineStr">
        <is>
          <t>0.77%</t>
        </is>
      </c>
      <c r="E16" s="6" t="inlineStr">
        <is>
          <t>1.06%</t>
        </is>
      </c>
      <c r="F16" s="6" t="n"/>
      <c r="G16" s="6" t="n"/>
    </row>
    <row r="17">
      <c r="A17" s="6" t="inlineStr">
        <is>
          <t>UK 7c    Additional T2 SREP requirements (%)</t>
        </is>
      </c>
      <c r="B17" s="6" t="inlineStr">
        <is>
          <t>1.09%</t>
        </is>
      </c>
      <c r="C17" s="6" t="inlineStr">
        <is>
          <t>1.01%</t>
        </is>
      </c>
      <c r="D17" s="6" t="inlineStr">
        <is>
          <t>1.03%</t>
        </is>
      </c>
      <c r="E17" s="6" t="inlineStr">
        <is>
          <t>1.42%</t>
        </is>
      </c>
      <c r="F17" s="6" t="n"/>
      <c r="G17" s="6" t="n"/>
    </row>
    <row r="18">
      <c r="A18" s="6" t="inlineStr">
        <is>
          <t>UK 7d    Total SREP own funds requirements (%)</t>
        </is>
      </c>
      <c r="B18" s="6" t="inlineStr">
        <is>
          <t>4.34%</t>
        </is>
      </c>
      <c r="C18" s="6" t="inlineStr">
        <is>
          <t>4.05%</t>
        </is>
      </c>
      <c r="D18" s="6" t="inlineStr">
        <is>
          <t>4.11%</t>
        </is>
      </c>
      <c r="E18" s="6" t="inlineStr">
        <is>
          <t>5.68%</t>
        </is>
      </c>
      <c r="F18" s="6" t="n"/>
      <c r="G18" s="6" t="n"/>
    </row>
    <row r="19">
      <c r="A19" s="5" t="inlineStr">
        <is>
          <t>Combined buffer requirement (as a percentage of risk-weighted exposure amount)</t>
        </is>
      </c>
      <c r="B19" s="6" t="n"/>
      <c r="C19" s="6" t="n"/>
      <c r="D19" s="6" t="n"/>
      <c r="E19" s="6" t="n"/>
      <c r="F19" s="6" t="n"/>
      <c r="G19" s="6" t="n"/>
    </row>
    <row r="20">
      <c r="A20" s="6" t="inlineStr">
        <is>
          <t>8    Capital conservation buffer (%)</t>
        </is>
      </c>
      <c r="B20" s="6" t="inlineStr">
        <is>
          <t>2.50%</t>
        </is>
      </c>
      <c r="C20" s="6" t="inlineStr">
        <is>
          <t>2.50%</t>
        </is>
      </c>
      <c r="D20" s="6" t="inlineStr">
        <is>
          <t>2.50%</t>
        </is>
      </c>
      <c r="E20" s="6" t="inlineStr">
        <is>
          <t>2.50%</t>
        </is>
      </c>
      <c r="F20" s="6" t="n"/>
      <c r="G20" s="6" t="n"/>
    </row>
    <row r="21">
      <c r="A21" s="6" t="inlineStr">
        <is>
          <t>UK 8a    Conservation buffer due to macro-prudential or systemic risk identified at the level of a Member State (%)</t>
        </is>
      </c>
      <c r="B21" s="6" t="inlineStr">
        <is>
          <t>-</t>
        </is>
      </c>
      <c r="C21" s="6" t="inlineStr">
        <is>
          <t>-</t>
        </is>
      </c>
      <c r="D21" s="6" t="inlineStr">
        <is>
          <t>-</t>
        </is>
      </c>
      <c r="E21" s="6" t="inlineStr">
        <is>
          <t>-</t>
        </is>
      </c>
      <c r="F21" s="6" t="n"/>
      <c r="G21" s="6" t="n"/>
    </row>
    <row r="22">
      <c r="A22" s="6" t="inlineStr">
        <is>
          <t>9    Institution specific countercyclical capital buffer (%)</t>
        </is>
      </c>
      <c r="B22" s="6" t="inlineStr">
        <is>
          <t>1.98%</t>
        </is>
      </c>
      <c r="C22" s="6" t="inlineStr">
        <is>
          <t>1.97%</t>
        </is>
      </c>
      <c r="D22" s="6" t="inlineStr">
        <is>
          <t>1.97%</t>
        </is>
      </c>
      <c r="E22" s="6" t="inlineStr">
        <is>
          <t>1.00%</t>
        </is>
      </c>
      <c r="F22" s="6" t="n"/>
      <c r="G22" s="6" t="n"/>
    </row>
    <row r="23">
      <c r="A23" s="6" t="inlineStr">
        <is>
          <t>UK 9a    Systemic risk buffer (%)</t>
        </is>
      </c>
      <c r="B23" s="6" t="inlineStr">
        <is>
          <t>-</t>
        </is>
      </c>
      <c r="C23" s="6" t="inlineStr">
        <is>
          <t>-</t>
        </is>
      </c>
      <c r="D23" s="6" t="inlineStr">
        <is>
          <t>-</t>
        </is>
      </c>
      <c r="E23" s="6" t="inlineStr">
        <is>
          <t>-</t>
        </is>
      </c>
      <c r="F23" s="6" t="n"/>
      <c r="G23" s="6" t="n"/>
    </row>
    <row r="24">
      <c r="A24" s="6" t="inlineStr">
        <is>
          <t>10    Global Systemically Important Institution buffer (%)</t>
        </is>
      </c>
      <c r="B24" s="6" t="inlineStr">
        <is>
          <t>-</t>
        </is>
      </c>
      <c r="C24" s="6" t="inlineStr">
        <is>
          <t>-</t>
        </is>
      </c>
      <c r="D24" s="6" t="inlineStr">
        <is>
          <t>-</t>
        </is>
      </c>
      <c r="E24" s="6" t="inlineStr">
        <is>
          <t>-</t>
        </is>
      </c>
      <c r="F24" s="6" t="n"/>
      <c r="G24" s="6" t="n"/>
    </row>
    <row r="25">
      <c r="A25" s="6" t="inlineStr">
        <is>
          <t>UK 10a    Other Systemically Important Institution buffer</t>
        </is>
      </c>
      <c r="B25" s="6" t="inlineStr">
        <is>
          <t>1.00%</t>
        </is>
      </c>
      <c r="C25" s="6" t="inlineStr">
        <is>
          <t>1.00%</t>
        </is>
      </c>
      <c r="D25" s="6" t="inlineStr">
        <is>
          <t>1.00%</t>
        </is>
      </c>
      <c r="E25" s="6" t="inlineStr">
        <is>
          <t>1.00%</t>
        </is>
      </c>
      <c r="F25" s="6" t="n"/>
      <c r="G25" s="6" t="n"/>
    </row>
    <row r="26">
      <c r="A26" s="6" t="inlineStr">
        <is>
          <t>11    Combined buffer requirement (%)</t>
        </is>
      </c>
      <c r="B26" s="6" t="inlineStr">
        <is>
          <t>5.48%</t>
        </is>
      </c>
      <c r="C26" s="6" t="inlineStr">
        <is>
          <t>5.47%</t>
        </is>
      </c>
      <c r="D26" s="6" t="inlineStr">
        <is>
          <t>5.47%</t>
        </is>
      </c>
      <c r="E26" s="6" t="inlineStr">
        <is>
          <t>4.50%</t>
        </is>
      </c>
      <c r="F26" s="6" t="n"/>
      <c r="G26" s="6" t="n"/>
    </row>
    <row r="27">
      <c r="A27" s="6" t="inlineStr">
        <is>
          <t>UK 11a    Overall capital requirements (%)</t>
        </is>
      </c>
      <c r="B27" s="6" t="inlineStr">
        <is>
          <t>17.82%</t>
        </is>
      </c>
      <c r="C27" s="6" t="inlineStr">
        <is>
          <t>17.52%</t>
        </is>
      </c>
      <c r="D27" s="6" t="inlineStr">
        <is>
          <t>17.85%</t>
        </is>
      </c>
      <c r="E27" s="6" t="inlineStr">
        <is>
          <t>18.17%</t>
        </is>
      </c>
      <c r="F27" s="6" t="n"/>
      <c r="G27" s="6" t="n"/>
    </row>
    <row r="28">
      <c r="A28" s="6" t="inlineStr">
        <is>
          <t>12    CET1 available after meeting the total SREP own funds requirements (%)</t>
        </is>
      </c>
      <c r="B28" s="6" t="inlineStr">
        <is>
          <t>3.47%</t>
        </is>
      </c>
      <c r="C28" s="6" t="inlineStr">
        <is>
          <t>3.45%</t>
        </is>
      </c>
      <c r="D28" s="6" t="inlineStr">
        <is>
          <t>3.90%</t>
        </is>
      </c>
      <c r="E28" s="6" t="inlineStr">
        <is>
          <t>2.24%</t>
        </is>
      </c>
      <c r="F28" s="6" t="n"/>
      <c r="G28" s="6" t="n"/>
    </row>
    <row r="29">
      <c r="A29" s="5" t="inlineStr">
        <is>
          <t>Leverage ratio</t>
        </is>
      </c>
      <c r="B29" s="6" t="n"/>
      <c r="C29" s="6" t="n"/>
      <c r="D29" s="6" t="n"/>
      <c r="E29" s="6" t="n"/>
      <c r="F29" s="6" t="n"/>
      <c r="G29" s="6" t="n"/>
    </row>
    <row r="30">
      <c r="A30" s="6" t="inlineStr">
        <is>
          <t>13    Total exposure measure excluding claims on central banks (£m, as printed by the FY2025 and FY2024 editions)</t>
        </is>
      </c>
      <c r="B30" s="6" t="n">
        <v>247722</v>
      </c>
      <c r="C30" s="6" t="n">
        <v>238445</v>
      </c>
      <c r="D30" s="6" t="n"/>
      <c r="E30" s="6" t="n"/>
      <c r="F30" s="6" t="n"/>
      <c r="G30" s="6" t="n"/>
    </row>
    <row r="31">
      <c r="A31" s="6" t="inlineStr">
        <is>
          <t>13    Total exposure measure excluding claims on central banks (£bn, as printed by the FY2023 and FY2022 editions)</t>
        </is>
      </c>
      <c r="B31" s="6" t="n"/>
      <c r="C31" s="6" t="n"/>
      <c r="D31" s="6" t="n">
        <v>242.9</v>
      </c>
      <c r="E31" s="6" t="n">
        <v>244</v>
      </c>
      <c r="F31" s="6" t="n"/>
      <c r="G31" s="6" t="n"/>
    </row>
    <row r="32">
      <c r="A32" s="6" t="inlineStr">
        <is>
          <t>14    Leverage ratio excluding claims on central banks (%)</t>
        </is>
      </c>
      <c r="B32" s="6" t="inlineStr">
        <is>
          <t>5.0%</t>
        </is>
      </c>
      <c r="C32" s="6" t="inlineStr">
        <is>
          <t>4.9%</t>
        </is>
      </c>
      <c r="D32" s="6" t="inlineStr">
        <is>
          <t>5.1%</t>
        </is>
      </c>
      <c r="E32" s="6" t="inlineStr">
        <is>
          <t>5.2%</t>
        </is>
      </c>
      <c r="F32" s="6" t="n"/>
      <c r="G32" s="6" t="n"/>
    </row>
    <row r="33">
      <c r="A33" s="5" t="inlineStr">
        <is>
          <t>Additional leverage ratio disclosure requirements</t>
        </is>
      </c>
      <c r="B33" s="6" t="n"/>
      <c r="C33" s="6" t="n"/>
      <c r="D33" s="6" t="n"/>
      <c r="E33" s="6" t="n"/>
      <c r="F33" s="6" t="n"/>
      <c r="G33" s="6" t="n"/>
    </row>
    <row r="34">
      <c r="A34" s="6" t="inlineStr">
        <is>
          <t>14a    Fully loaded ECL accounting model leverage ratio excluding claims on central banks (%)</t>
        </is>
      </c>
      <c r="B34" s="6" t="inlineStr">
        <is>
          <t>5.0%</t>
        </is>
      </c>
      <c r="C34" s="6" t="inlineStr">
        <is>
          <t>4.9%</t>
        </is>
      </c>
      <c r="D34" s="6" t="inlineStr">
        <is>
          <t>5.1%</t>
        </is>
      </c>
      <c r="E34" s="6" t="inlineStr">
        <is>
          <t>5.2%</t>
        </is>
      </c>
      <c r="F34" s="6" t="n"/>
      <c r="G34" s="6" t="n"/>
    </row>
    <row r="35">
      <c r="A35" s="6" t="inlineStr">
        <is>
          <t>14b    Leverage ratio including claims on central banks (%)</t>
        </is>
      </c>
      <c r="B35" s="6" t="inlineStr">
        <is>
          <t>4.5%</t>
        </is>
      </c>
      <c r="C35" s="6" t="inlineStr">
        <is>
          <t>4.3%</t>
        </is>
      </c>
      <c r="D35" s="6" t="inlineStr">
        <is>
          <t>4.4%</t>
        </is>
      </c>
      <c r="E35" s="6" t="inlineStr">
        <is>
          <t>4.4%</t>
        </is>
      </c>
      <c r="F35" s="6" t="n"/>
      <c r="G35" s="6" t="n"/>
    </row>
    <row r="36">
      <c r="A36" s="6" t="inlineStr">
        <is>
          <t>14c    Average leverage ratio excluding claims on central banks (%)</t>
        </is>
      </c>
      <c r="B36" s="6" t="inlineStr">
        <is>
          <t>4.6%</t>
        </is>
      </c>
      <c r="C36" s="6" t="inlineStr">
        <is>
          <t>5.0%</t>
        </is>
      </c>
      <c r="D36" s="6" t="inlineStr">
        <is>
          <t>5.4%</t>
        </is>
      </c>
      <c r="E36" s="6" t="inlineStr">
        <is>
          <t>5.3%</t>
        </is>
      </c>
      <c r="F36" s="6" t="n"/>
      <c r="G36" s="6" t="n"/>
    </row>
    <row r="37">
      <c r="A37" s="6" t="inlineStr">
        <is>
          <t>14d    Average leverage ratio including claims on central banks (%)</t>
        </is>
      </c>
      <c r="B37" s="6" t="inlineStr">
        <is>
          <t>4.1%</t>
        </is>
      </c>
      <c r="C37" s="6" t="inlineStr">
        <is>
          <t>4.5%</t>
        </is>
      </c>
      <c r="D37" s="6" t="inlineStr">
        <is>
          <t>4.6%</t>
        </is>
      </c>
      <c r="E37" s="6" t="inlineStr">
        <is>
          <t>4.4%</t>
        </is>
      </c>
      <c r="F37" s="6" t="n"/>
      <c r="G37" s="6" t="n"/>
    </row>
    <row r="38">
      <c r="A38" s="6" t="inlineStr">
        <is>
          <t>14e    Countercyclical leverage ratio buffer (%)</t>
        </is>
      </c>
      <c r="B38" s="6" t="inlineStr">
        <is>
          <t>0.7%</t>
        </is>
      </c>
      <c r="C38" s="6" t="inlineStr">
        <is>
          <t>0.7%</t>
        </is>
      </c>
      <c r="D38" s="6" t="inlineStr">
        <is>
          <t>0.7%</t>
        </is>
      </c>
      <c r="E38" s="6" t="inlineStr">
        <is>
          <t>0.3%</t>
        </is>
      </c>
      <c r="F38" s="6" t="n"/>
      <c r="G38" s="6" t="n"/>
    </row>
    <row r="39">
      <c r="A39" s="5" t="inlineStr">
        <is>
          <t>Liquidity Coverage Ratio (£m / %)</t>
        </is>
      </c>
      <c r="B39" s="6" t="n"/>
      <c r="C39" s="6" t="n"/>
      <c r="D39" s="6" t="n"/>
      <c r="E39" s="6" t="n"/>
      <c r="F39" s="6" t="n"/>
      <c r="G39" s="6" t="n"/>
    </row>
    <row r="40">
      <c r="A40" s="6" t="inlineStr">
        <is>
          <t>15    Total high-quality liquid assets (HQLA) (Weighted value - average)</t>
        </is>
      </c>
      <c r="B40" s="6" t="n">
        <v>46888</v>
      </c>
      <c r="C40" s="6" t="n">
        <v>43681</v>
      </c>
      <c r="D40" s="6" t="n">
        <v>47824</v>
      </c>
      <c r="E40" s="6" t="n">
        <v>46160</v>
      </c>
      <c r="F40" s="6" t="n"/>
      <c r="G40" s="6" t="n"/>
    </row>
    <row r="41">
      <c r="A41" s="6" t="inlineStr">
        <is>
          <t>UK 16a    Cash outflows - Total weighted value</t>
        </is>
      </c>
      <c r="B41" s="6" t="n">
        <v>30740</v>
      </c>
      <c r="C41" s="6" t="n">
        <v>30324</v>
      </c>
      <c r="D41" s="6" t="n">
        <v>31831</v>
      </c>
      <c r="E41" s="6" t="n">
        <v>31345</v>
      </c>
      <c r="F41" s="6" t="n"/>
      <c r="G41" s="6" t="n"/>
    </row>
    <row r="42">
      <c r="A42" s="6" t="inlineStr">
        <is>
          <t>UK 16b    Cash inflows - Total weighted value</t>
        </is>
      </c>
      <c r="B42" s="6" t="n">
        <v>1789</v>
      </c>
      <c r="C42" s="6" t="n">
        <v>2001</v>
      </c>
      <c r="D42" s="6" t="n">
        <v>1846</v>
      </c>
      <c r="E42" s="6" t="n">
        <v>1897</v>
      </c>
      <c r="F42" s="6" t="n"/>
      <c r="G42" s="6" t="n"/>
    </row>
    <row r="43">
      <c r="A43" s="6" t="inlineStr">
        <is>
          <t>16    Total net cash outflows (adjusted value)</t>
        </is>
      </c>
      <c r="B43" s="6" t="n">
        <v>28951</v>
      </c>
      <c r="C43" s="6" t="n">
        <v>28323</v>
      </c>
      <c r="D43" s="6" t="n">
        <v>29985</v>
      </c>
      <c r="E43" s="6" t="n">
        <v>29448</v>
      </c>
      <c r="F43" s="6" t="n"/>
      <c r="G43" s="6" t="n"/>
    </row>
    <row r="44">
      <c r="A44" s="6" t="inlineStr">
        <is>
          <t>17    Liquidity coverage ratio (%)</t>
        </is>
      </c>
      <c r="B44" s="6" t="inlineStr">
        <is>
          <t>162%</t>
        </is>
      </c>
      <c r="C44" s="6" t="inlineStr">
        <is>
          <t>154%</t>
        </is>
      </c>
      <c r="D44" s="6" t="inlineStr">
        <is>
          <t>159.49%</t>
        </is>
      </c>
      <c r="E44" s="6" t="inlineStr">
        <is>
          <t>156.75%</t>
        </is>
      </c>
      <c r="F44" s="6" t="n"/>
      <c r="G44" s="6" t="n"/>
    </row>
    <row r="45">
      <c r="A45" s="5" t="inlineStr">
        <is>
          <t>Net Stable Funding Ratio (£m / %)</t>
        </is>
      </c>
      <c r="B45" s="6" t="n"/>
      <c r="C45" s="6" t="n"/>
      <c r="D45" s="6" t="n"/>
      <c r="E45" s="6" t="n"/>
      <c r="F45" s="6" t="n"/>
      <c r="G45" s="6" t="n"/>
    </row>
    <row r="46">
      <c r="A46" s="6" t="inlineStr">
        <is>
          <t>18    Total available stable funding</t>
        </is>
      </c>
      <c r="B46" s="6" t="n">
        <v>211913</v>
      </c>
      <c r="C46" s="6" t="n">
        <v>208000</v>
      </c>
      <c r="D46" s="6" t="n">
        <v>218975</v>
      </c>
      <c r="E46" s="6" t="n">
        <v>233408</v>
      </c>
      <c r="F46" s="6" t="n"/>
      <c r="G46" s="6" t="n"/>
    </row>
    <row r="47">
      <c r="A47" s="6" t="inlineStr">
        <is>
          <t>19    Total required stable funding</t>
        </is>
      </c>
      <c r="B47" s="6" t="n">
        <v>156768</v>
      </c>
      <c r="C47" s="6" t="n">
        <v>151457</v>
      </c>
      <c r="D47" s="6" t="n">
        <v>158693</v>
      </c>
      <c r="E47" s="6" t="n">
        <v>170615</v>
      </c>
      <c r="F47" s="6" t="n"/>
      <c r="G47" s="6" t="n"/>
    </row>
    <row r="48">
      <c r="A48" s="6" t="inlineStr">
        <is>
          <t>20    NSFR ratio (%)</t>
        </is>
      </c>
      <c r="B48" s="6" t="inlineStr">
        <is>
          <t>135%</t>
        </is>
      </c>
      <c r="C48" s="6" t="inlineStr">
        <is>
          <t>137%</t>
        </is>
      </c>
      <c r="D48" s="6" t="inlineStr">
        <is>
          <t>137.99%</t>
        </is>
      </c>
      <c r="E48" s="6" t="inlineStr">
        <is>
          <t>136.80%</t>
        </is>
      </c>
      <c r="F48" s="6" t="n"/>
      <c r="G48" s="6" t="n"/>
    </row>
    <row r="49">
      <c r="A49" s="5" t="inlineStr">
        <is>
          <t>EARLIER EU/EBA KM1 TEMPLATE (FY2021 and FY2020 editions) - a different row set and a different numbering; not continuous with the block above. Row numbers are the FY2021 edition's; the FY2020 edition prints the same rows unnumbered.</t>
        </is>
      </c>
      <c r="B49" s="6" t="n"/>
      <c r="C49" s="6" t="n"/>
      <c r="D49" s="6" t="n"/>
      <c r="E49" s="6" t="n"/>
      <c r="F49" s="6" t="n"/>
      <c r="G49" s="6" t="n"/>
    </row>
    <row r="50">
      <c r="A50" s="5" t="inlineStr">
        <is>
          <t>Available Capital (amounts) (£m)</t>
        </is>
      </c>
      <c r="B50" s="6" t="n"/>
      <c r="C50" s="6" t="n"/>
      <c r="D50" s="6" t="n"/>
      <c r="E50" s="6" t="n"/>
      <c r="F50" s="6" t="n"/>
      <c r="G50" s="6" t="n"/>
    </row>
    <row r="51">
      <c r="A51" s="6" t="inlineStr">
        <is>
          <t>1    Common Equity Tier 1 (CET1) capital</t>
        </is>
      </c>
      <c r="B51" s="6" t="n"/>
      <c r="C51" s="6" t="n"/>
      <c r="D51" s="6" t="n"/>
      <c r="E51" s="6" t="n"/>
      <c r="F51" s="6" t="n">
        <v>10820</v>
      </c>
      <c r="G51" s="6" t="n">
        <v>11057</v>
      </c>
    </row>
    <row r="52">
      <c r="A52" s="6" t="inlineStr">
        <is>
          <t>2    Fully loaded Expected Credit Loss (ECL) accounting model CET1</t>
        </is>
      </c>
      <c r="B52" s="6" t="n"/>
      <c r="C52" s="6" t="n"/>
      <c r="D52" s="6" t="n"/>
      <c r="E52" s="6" t="n"/>
      <c r="F52" s="6" t="n">
        <v>10799</v>
      </c>
      <c r="G52" s="6" t="n">
        <v>10984</v>
      </c>
    </row>
    <row r="53">
      <c r="A53" s="6" t="inlineStr">
        <is>
          <t>3    Tier 1 capital</t>
        </is>
      </c>
      <c r="B53" s="6" t="n"/>
      <c r="C53" s="6" t="n"/>
      <c r="D53" s="6" t="n"/>
      <c r="E53" s="6" t="n"/>
      <c r="F53" s="6" t="n">
        <v>12939</v>
      </c>
      <c r="G53" s="6" t="n">
        <v>13338</v>
      </c>
    </row>
    <row r="54">
      <c r="A54" s="6" t="inlineStr">
        <is>
          <t>4    Fully loaded ECL accounting model Tier 1</t>
        </is>
      </c>
      <c r="B54" s="6" t="n"/>
      <c r="C54" s="6" t="n"/>
      <c r="D54" s="6" t="n"/>
      <c r="E54" s="6" t="n"/>
      <c r="F54" s="6" t="n">
        <v>12918</v>
      </c>
      <c r="G54" s="6" t="n">
        <v>13265</v>
      </c>
    </row>
    <row r="55">
      <c r="A55" s="6" t="inlineStr">
        <is>
          <t>5    Total capital</t>
        </is>
      </c>
      <c r="B55" s="6" t="n"/>
      <c r="C55" s="6" t="n"/>
      <c r="D55" s="6" t="n"/>
      <c r="E55" s="6" t="n"/>
      <c r="F55" s="6" t="n">
        <v>14755</v>
      </c>
      <c r="G55" s="6" t="n">
        <v>15247</v>
      </c>
    </row>
    <row r="56">
      <c r="A56" s="6" t="inlineStr">
        <is>
          <t>6    Fully loaded ECL accounting model total capital</t>
        </is>
      </c>
      <c r="B56" s="6" t="n"/>
      <c r="C56" s="6" t="n"/>
      <c r="D56" s="6" t="n"/>
      <c r="E56" s="6" t="n"/>
      <c r="F56" s="6" t="n">
        <v>14734</v>
      </c>
      <c r="G56" s="6" t="n">
        <v>15174</v>
      </c>
    </row>
    <row r="57">
      <c r="A57" s="5" t="inlineStr">
        <is>
          <t>Risk-weighted assets (amounts) (£m)</t>
        </is>
      </c>
      <c r="B57" s="6" t="n"/>
      <c r="C57" s="6" t="n"/>
      <c r="D57" s="6" t="n"/>
      <c r="E57" s="6" t="n"/>
      <c r="F57" s="6" t="n"/>
      <c r="G57" s="6" t="n"/>
    </row>
    <row r="58">
      <c r="A58" s="6" t="inlineStr">
        <is>
          <t>7    Total risk-weighted assets (RWA)</t>
        </is>
      </c>
      <c r="B58" s="6" t="n"/>
      <c r="C58" s="6" t="n"/>
      <c r="D58" s="6" t="n"/>
      <c r="E58" s="6" t="n"/>
      <c r="F58" s="6" t="n">
        <v>67148</v>
      </c>
      <c r="G58" s="6" t="n">
        <v>71860</v>
      </c>
    </row>
    <row r="59">
      <c r="A59" s="6" t="inlineStr">
        <is>
          <t>8    Fully loaded ECL accounting model total RWA</t>
        </is>
      </c>
      <c r="B59" s="6" t="n"/>
      <c r="C59" s="6" t="n"/>
      <c r="D59" s="6" t="n"/>
      <c r="E59" s="6" t="n"/>
      <c r="F59" s="6" t="n">
        <v>67146</v>
      </c>
      <c r="G59" s="6" t="n">
        <v>71732</v>
      </c>
    </row>
    <row r="60">
      <c r="A60" s="5" t="inlineStr">
        <is>
          <t>Risk-based capital ratios as a percentage of RWA</t>
        </is>
      </c>
      <c r="B60" s="6" t="n"/>
      <c r="C60" s="6" t="n"/>
      <c r="D60" s="6" t="n"/>
      <c r="E60" s="6" t="n"/>
      <c r="F60" s="6" t="n"/>
      <c r="G60" s="6" t="n"/>
    </row>
    <row r="61">
      <c r="A61" s="6" t="inlineStr">
        <is>
          <t>9    Common Equity Tier 1 ratio</t>
        </is>
      </c>
      <c r="B61" s="6" t="n"/>
      <c r="C61" s="6" t="n"/>
      <c r="D61" s="6" t="n"/>
      <c r="E61" s="6" t="n"/>
      <c r="F61" s="6" t="inlineStr">
        <is>
          <t>16.1%</t>
        </is>
      </c>
      <c r="G61" s="6" t="inlineStr">
        <is>
          <t>15.4%</t>
        </is>
      </c>
    </row>
    <row r="62">
      <c r="A62" s="6" t="inlineStr">
        <is>
          <t>10    Fully loaded ECL accounting model Common Equity Tier 1 (%)</t>
        </is>
      </c>
      <c r="B62" s="6" t="n"/>
      <c r="C62" s="6" t="n"/>
      <c r="D62" s="6" t="n"/>
      <c r="E62" s="6" t="n"/>
      <c r="F62" s="6" t="inlineStr">
        <is>
          <t>16.1%</t>
        </is>
      </c>
      <c r="G62" s="6" t="inlineStr">
        <is>
          <t>15.3%</t>
        </is>
      </c>
    </row>
    <row r="63">
      <c r="A63" s="6" t="inlineStr">
        <is>
          <t>11    Tier 1 ratio</t>
        </is>
      </c>
      <c r="B63" s="6" t="n"/>
      <c r="C63" s="6" t="n"/>
      <c r="D63" s="6" t="n"/>
      <c r="E63" s="6" t="n"/>
      <c r="F63" s="6" t="inlineStr">
        <is>
          <t>19.2%</t>
        </is>
      </c>
      <c r="G63" s="6" t="inlineStr">
        <is>
          <t>18.6%</t>
        </is>
      </c>
    </row>
    <row r="64">
      <c r="A64" s="6" t="inlineStr">
        <is>
          <t>12    Fully loaded ECL accounting model Tier 1 ratio (%)</t>
        </is>
      </c>
      <c r="B64" s="6" t="n"/>
      <c r="C64" s="6" t="n"/>
      <c r="D64" s="6" t="n"/>
      <c r="E64" s="6" t="n"/>
      <c r="F64" s="6" t="inlineStr">
        <is>
          <t>19.2%</t>
        </is>
      </c>
      <c r="G64" s="6" t="inlineStr">
        <is>
          <t>18.5%</t>
        </is>
      </c>
    </row>
    <row r="65">
      <c r="A65" s="6" t="inlineStr">
        <is>
          <t>13    Total capital ratio</t>
        </is>
      </c>
      <c r="B65" s="6" t="n"/>
      <c r="C65" s="6" t="n"/>
      <c r="D65" s="6" t="n"/>
      <c r="E65" s="6" t="n"/>
      <c r="F65" s="6" t="inlineStr">
        <is>
          <t>21.9%</t>
        </is>
      </c>
      <c r="G65" s="6" t="inlineStr">
        <is>
          <t>21.2%</t>
        </is>
      </c>
    </row>
    <row r="66">
      <c r="A66" s="6" t="inlineStr">
        <is>
          <t>14    Fully loaded ECL accounting model total capital ratio (%)</t>
        </is>
      </c>
      <c r="B66" s="6" t="n"/>
      <c r="C66" s="6" t="n"/>
      <c r="D66" s="6" t="n"/>
      <c r="E66" s="6" t="n"/>
      <c r="F66" s="6" t="inlineStr">
        <is>
          <t>21.9%</t>
        </is>
      </c>
      <c r="G66" s="6" t="inlineStr">
        <is>
          <t>21.2%</t>
        </is>
      </c>
    </row>
    <row r="67">
      <c r="A67" s="5" t="inlineStr">
        <is>
          <t>Additional CET1 buffer requirements as a percentage of RWA</t>
        </is>
      </c>
      <c r="B67" s="6" t="n"/>
      <c r="C67" s="6" t="n"/>
      <c r="D67" s="6" t="n"/>
      <c r="E67" s="6" t="n"/>
      <c r="F67" s="6" t="n"/>
      <c r="G67" s="6" t="n"/>
    </row>
    <row r="68">
      <c r="A68" s="6" t="inlineStr">
        <is>
          <t>Capital conservation buffer requirement (2.5% from 2019) (%)</t>
        </is>
      </c>
      <c r="B68" s="6" t="n"/>
      <c r="C68" s="6" t="n"/>
      <c r="D68" s="6" t="n"/>
      <c r="E68" s="6" t="n"/>
      <c r="F68" s="6" t="inlineStr">
        <is>
          <t>2.5%</t>
        </is>
      </c>
      <c r="G68" s="6" t="inlineStr">
        <is>
          <t>2.5%</t>
        </is>
      </c>
    </row>
    <row r="69">
      <c r="A69" s="6" t="inlineStr">
        <is>
          <t>Countercyclical buffer requirement (%)</t>
        </is>
      </c>
      <c r="B69" s="6" t="n"/>
      <c r="C69" s="6" t="n"/>
      <c r="D69" s="6" t="n"/>
      <c r="E69" s="6" t="n"/>
      <c r="F69" s="6" t="inlineStr">
        <is>
          <t>-</t>
        </is>
      </c>
      <c r="G69" s="6" t="inlineStr">
        <is>
          <t>-</t>
        </is>
      </c>
    </row>
    <row r="70">
      <c r="A70" s="6" t="inlineStr">
        <is>
          <t>Bank G-SIB and/or D-SIB additional requirements (%)</t>
        </is>
      </c>
      <c r="B70" s="6" t="n"/>
      <c r="C70" s="6" t="n"/>
      <c r="D70" s="6" t="n"/>
      <c r="E70" s="6" t="n"/>
      <c r="F70" s="6" t="inlineStr">
        <is>
          <t>-</t>
        </is>
      </c>
      <c r="G70" s="6" t="inlineStr">
        <is>
          <t>-</t>
        </is>
      </c>
    </row>
    <row r="71">
      <c r="A71" s="6" t="inlineStr">
        <is>
          <t>Other Systemically Important Institution Buffer (%)</t>
        </is>
      </c>
      <c r="B71" s="6" t="n"/>
      <c r="C71" s="6" t="n"/>
      <c r="D71" s="6" t="n"/>
      <c r="E71" s="6" t="n"/>
      <c r="F71" s="6" t="inlineStr">
        <is>
          <t>1.00%</t>
        </is>
      </c>
      <c r="G71" s="6" t="inlineStr">
        <is>
          <t>1.00%</t>
        </is>
      </c>
    </row>
    <row r="72">
      <c r="A72" s="6" t="inlineStr">
        <is>
          <t>Systemic Risk Buffer requirement (%)</t>
        </is>
      </c>
      <c r="B72" s="6" t="n"/>
      <c r="C72" s="6" t="n"/>
      <c r="D72" s="6" t="n"/>
      <c r="E72" s="6" t="n"/>
      <c r="F72" s="6" t="inlineStr">
        <is>
          <t>-</t>
        </is>
      </c>
      <c r="G72" s="6" t="inlineStr">
        <is>
          <t>-</t>
        </is>
      </c>
    </row>
    <row r="73">
      <c r="A73" s="6" t="inlineStr">
        <is>
          <t>Total of bank CET1 specific buffer requirements (%)</t>
        </is>
      </c>
      <c r="B73" s="6" t="n"/>
      <c r="C73" s="6" t="n"/>
      <c r="D73" s="6" t="n"/>
      <c r="E73" s="6" t="n"/>
      <c r="F73" s="6" t="inlineStr">
        <is>
          <t>3.50%</t>
        </is>
      </c>
      <c r="G73" s="6" t="inlineStr">
        <is>
          <t>3.50%</t>
        </is>
      </c>
    </row>
    <row r="74">
      <c r="A74" s="6" t="inlineStr">
        <is>
          <t>CET1 available after meeting the banks minimum capital requirements (%)</t>
        </is>
      </c>
      <c r="B74" s="6" t="n"/>
      <c r="C74" s="6" t="n"/>
      <c r="D74" s="6" t="n"/>
      <c r="E74" s="6" t="n"/>
      <c r="F74" s="6" t="inlineStr">
        <is>
          <t>8.11%</t>
        </is>
      </c>
      <c r="G74" s="6" t="inlineStr">
        <is>
          <t>7.39%</t>
        </is>
      </c>
    </row>
    <row r="75">
      <c r="A75" s="5" t="inlineStr">
        <is>
          <t>UK CRR leverage ratio (FY2021 edition's caption)</t>
        </is>
      </c>
      <c r="B75" s="6" t="n"/>
      <c r="C75" s="6" t="n"/>
      <c r="D75" s="6" t="n"/>
      <c r="E75" s="6" t="n"/>
      <c r="F75" s="6" t="n"/>
      <c r="G75" s="6" t="n"/>
    </row>
    <row r="76">
      <c r="A76" s="6" t="inlineStr">
        <is>
          <t>15    Total UK CRR leverage ratio exposure measure (£bn)</t>
        </is>
      </c>
      <c r="B76" s="6" t="n"/>
      <c r="C76" s="6" t="n"/>
      <c r="D76" s="6" t="n"/>
      <c r="E76" s="6" t="n"/>
      <c r="F76" s="6" t="n">
        <v>293.8</v>
      </c>
      <c r="G76" s="6" t="n"/>
    </row>
    <row r="77">
      <c r="A77" s="6" t="inlineStr">
        <is>
          <t>16    UK CRR leverage ratio</t>
        </is>
      </c>
      <c r="B77" s="6" t="n"/>
      <c r="C77" s="6" t="n"/>
      <c r="D77" s="6" t="n"/>
      <c r="E77" s="6" t="n"/>
      <c r="F77" s="6" t="inlineStr">
        <is>
          <t>4.3%</t>
        </is>
      </c>
      <c r="G77" s="6" t="n"/>
    </row>
    <row r="78">
      <c r="A78" s="6" t="inlineStr">
        <is>
          <t>17    Fully loaded ECL accounting model leverage Ratio</t>
        </is>
      </c>
      <c r="B78" s="6" t="n"/>
      <c r="C78" s="6" t="n"/>
      <c r="D78" s="6" t="n"/>
      <c r="E78" s="6" t="n"/>
      <c r="F78" s="6" t="inlineStr">
        <is>
          <t>4.3%</t>
        </is>
      </c>
      <c r="G78" s="6" t="n"/>
    </row>
    <row r="79">
      <c r="A79" s="5" t="inlineStr">
        <is>
          <t>Basel III leverage ratio (FY2020 edition's caption for the same three rows)</t>
        </is>
      </c>
      <c r="B79" s="6" t="n"/>
      <c r="C79" s="6" t="n"/>
      <c r="D79" s="6" t="n"/>
      <c r="E79" s="6" t="n"/>
      <c r="F79" s="6" t="n"/>
      <c r="G79" s="6" t="n"/>
    </row>
    <row r="80">
      <c r="A80" s="6" t="inlineStr">
        <is>
          <t>Total Basel III leverage ratio exposure measure (£bn)</t>
        </is>
      </c>
      <c r="B80" s="6" t="n"/>
      <c r="C80" s="6" t="n"/>
      <c r="D80" s="6" t="n"/>
      <c r="E80" s="6" t="n"/>
      <c r="F80" s="6" t="n"/>
      <c r="G80" s="6" t="n">
        <v>299.9</v>
      </c>
    </row>
    <row r="81">
      <c r="A81" s="6" t="inlineStr">
        <is>
          <t>Basel III leverage ratio</t>
        </is>
      </c>
      <c r="B81" s="6" t="n"/>
      <c r="C81" s="6" t="n"/>
      <c r="D81" s="6" t="n"/>
      <c r="E81" s="6" t="n"/>
      <c r="F81" s="6" t="n"/>
      <c r="G81" s="6" t="inlineStr">
        <is>
          <t>4.3%</t>
        </is>
      </c>
    </row>
    <row r="82">
      <c r="A82" s="6" t="inlineStr">
        <is>
          <t>Fully loaded ECL accounting model leverage Ratio (Basel III basis)</t>
        </is>
      </c>
      <c r="B82" s="6" t="n"/>
      <c r="C82" s="6" t="n"/>
      <c r="D82" s="6" t="n"/>
      <c r="E82" s="6" t="n"/>
      <c r="F82" s="6" t="n"/>
      <c r="G82" s="6" t="inlineStr">
        <is>
          <t>4.3%</t>
        </is>
      </c>
    </row>
    <row r="83">
      <c r="A83" s="5" t="inlineStr">
        <is>
          <t>Liquidity Coverage Ratio (£m / %)</t>
        </is>
      </c>
      <c r="B83" s="6" t="n"/>
      <c r="C83" s="6" t="n"/>
      <c r="D83" s="6" t="n"/>
      <c r="E83" s="6" t="n"/>
      <c r="F83" s="6" t="n"/>
      <c r="G83" s="6" t="n"/>
    </row>
    <row r="84">
      <c r="A84" s="6" t="inlineStr">
        <is>
          <t>Total high-quality liquid assets (HQLA)</t>
        </is>
      </c>
      <c r="B84" s="6" t="n"/>
      <c r="C84" s="6" t="n"/>
      <c r="D84" s="6" t="n"/>
      <c r="E84" s="6" t="n"/>
      <c r="F84" s="6" t="n">
        <v>51266</v>
      </c>
      <c r="G84" s="6" t="n">
        <v>51232</v>
      </c>
    </row>
    <row r="85">
      <c r="A85" s="6" t="inlineStr">
        <is>
          <t>Total net cash outflow</t>
        </is>
      </c>
      <c r="B85" s="6" t="n"/>
      <c r="C85" s="6" t="n"/>
      <c r="D85" s="6" t="n"/>
      <c r="E85" s="6" t="n"/>
      <c r="F85" s="6" t="n">
        <v>30439</v>
      </c>
      <c r="G85" s="6" t="n">
        <v>33766</v>
      </c>
    </row>
    <row r="86">
      <c r="A86" s="6" t="inlineStr">
        <is>
          <t>Liquidity coverage ratio (LCR)</t>
        </is>
      </c>
      <c r="B86" s="6" t="n"/>
      <c r="C86" s="6" t="n"/>
      <c r="D86" s="6" t="n"/>
      <c r="E86" s="6" t="n"/>
      <c r="F86" s="6" t="inlineStr">
        <is>
          <t>168.4%</t>
        </is>
      </c>
      <c r="G86" s="6" t="inlineStr">
        <is>
          <t>151.7%</t>
        </is>
      </c>
    </row>
    <row r="88" ht="409" customHeight="1">
      <c r="A88" s="8" t="inlineStr">
        <is>
          <t>Sources - Santander UK plc Group ("RFB Group") basis, from PART 2 of each year's Additional Capital and Risk Management Disclosures (ACRMD), Santander UK's Pillar 3 document. Each year is read from the edition in which it is the REPORTING year, never from a later edition's comparative column:
FY2025: ACRMD 31 December 2025, p.48 (Key metrics (KM1), RFB Group) - https://www.santander.co.uk/assets/s3fs-public/documents/2025SantanderUKACRMD.pdf
FY2024: ACRMD 31 December 2024, Part 2 (Key metrics (KM1), RFB Group) - https://www.santander.co.uk/assets/s3fs-public/documents/ACRMD%20FINAL_Dec%2024.pdf
FY2023: ACRMD 31 December 2023, Part 2 (Key metrics (KM1), RFB Group) - https://www.santander.co.uk/assets/s3fs-public/documents/santander_uk_acrmd_2023.pdf
FY2022: ACRMD 31 December 2022, Part 2 (Key metrics (KM1), RFB Group) - https://www.santander.co.uk/assets/s3fs-public/documents/santander_uk_additional_capital_and_risk_management_disclosures_2022.pdf
FY2021: ACRMD 31 December 2021, p.42 (Key metrics (KM1), RFB Group) - https://www.santander.co.uk/assets/s3fs-public/documents/2021_additional_capital_risk_management_disclosures.pdf
FY2020: ACRMD 31 December 2020, p.42 (Key metrics, Part 2: Santander UK plc Group) - https://www.santander.co.uk/assets/s3fs-public/documents/santander_uk_acrmd_2020_0.pdf
TRANSCRIPTION NOTES:
- ENTITY: every ACRMD prints the key-metrics table TWICE, once per Part. Part 1 covers the Santander UK Group Holdings plc group (the resolution entity) and Part 2 covers Santander UK plc Group, the ring-fenced bank, which is this workbook's basis. Only Part 2 is used. The two are close but not equal - in the FY2025 edition Part 1 shows CET1 capital 10,711 / RWEA 68,335 / O-SII buffer blank against Part 2's 10,601 / 67,231 / 1.00% - so reading the first matching table in the file would give a wrong entity that looks entirely plausible.
- FIVE COLUMNS PER EDITION. Each annual ACRMD's KM1 prints 31 December, 30 September, 30 June, 31 March and the PRIOR 31 December. Only the edition's own year-end column is carried here; the three intra-year quarters and the prior-year comparative are not.
- THREE TEMPLATE REGIMES, NOT MERGED. FY2025-FY2022 use the UK KM1 template (rows 1-20 plus the UK-prefixed rows). FY2021 uses the earlier EU/EBA KM1 template: rows numbered 1-17, a fully loaded ECL twin of every capital row, unnumbered buffer and LCR rows, no SREP block at all and no NSFR block at all. FY2020 prints that same row set completely UNNUMBERED and titles it just "Key metrics" rather than "Key metrics (KM1)". The numbers mean different things between the regimes - the earlier template's row 3 is Tier 1 capital where the UK template's row 3 is Total capital, and its row 7 is Total RWA where the UK template's row 7 is the Total capital ratio - so the two blocks are kept separate rather than folded onto one numbering. FY2020 and FY2021 share a block because their row labels are word-for-word identical; the numbers shown there are the FY2021 edition's, and the leverage rows, whose captions DO differ ("UK CRR leverage ratio" in FY2021, "Basel III leverage ratio" in FY2020), are given separate rows rather than merged.
- UNIT CHANGE INSIDE ONE ROW. Row 13, the leverage exposure measure, is printed in £m by the FY2025 and FY2024 editions (247,722 and 238,445) but in £bn by the FY2023 and FY2022 editions (242.9 and 244.0) - in both cases under a column header that reads "£m". The £bn reading is confirmed by each edition's own Key Movements paragraph ("UK leverage exposure broadly stable at £242.9bn (Dec-22: £244.0bn)"). The row is therefore split into two caption blocks, one per unit, and neither is restated into the other. The header mismatch is the source's, recorded not corrected.
- PRECISION DRIFT IS THE BANK'S. The FY2022 and FY2023 editions print capital ratios and LCR/NSFR to two decimal places (15.41%, 156.75%, 136.80%); the FY2024 and FY2025 editions print them to one or none (14.9%, 154%, 137%). Each cell keeps its own edition's precision.
- DASHES ARE CARRIED AS DASHES. Rows UK 8a, UK 9a and 10 are printed "-" in the 31 December column of PART 2 of every UK-template edition and carry that dash here, as do Countercyclical buffer requirement, Bank G-SIB and/or D-SIB additional requirements and Systemic Risk Buffer requirement in the FY2021/FY2020 block. All six ACRMDs were re-read at source on 2026-09-18. No zero is recorded where the bank printed a dash, and no cell is left empty where the bank printed something.
- ROW UK 10a IS A FIGURE, NOT A DASH - AND PART 1 OF THE SAME DOCUMENT WOULD HAVE SAID OTHERWISE. Santander UK plc Group (the RFB, Part 2) carries an O-SII buffer of 1.00% in every UK-template edition. The SAME documents also print a KM1 table in PART 1, for Santander UK Group Holdings plc, where UK 10a IS a dash. Reading the wrong half of the document would therefore have replaced a published 1.00% with a dash on four cells. Every figure on this sheet comes from Part 2, and the two tables are never mixed.</t>
        </is>
      </c>
    </row>
    <row r="90" ht="409" customHeight="1">
      <c r="A90" s="8" t="inlineStr">
        <is>
          <t>(continued)
- THE O-SII AND SYSTEMIC RISK BUFFERS SWAPPED OVER DURING 2020, and the FY2020 column catches it. In the FY2020 edition's Part 2 the Systemic Risk Buffer requirement is 1.00% at 31 March, 30 June and 30 September 2020 and a DASH at 31 December 2020, while the O-SII Buffer is a dash at those three quarter ends and 1.00% at 31 December. FY2020 accordingly carries a dash on the SRB row and 1.00% on the O-SII row: that is the year-end position, not a transcription slip. The Countercyclical buffer requirement is likewise a dash at 31 December 2020, having been 0.02% at 31 March 2020 and 0.99% at 31 December 2019.
- TWO CROSS-EDITION DISAGREEMENTS, RECORDED AND NOT RECONCILED. (1) Row UK 11a (Overall capital requirements) for FY2023: the FY2023 edition's own column prints 17.85%, while the FY2024 edition's 31 December 2023 comparative prints 17.58%. 17.58% is what the same edition's own components add to (4.11% total SREP + 8% Pillar 1 + 5.47% combined buffer), so the FY2023 edition's 17.85% looks like an error the next edition corrected - but the figure shown here is the one from the edition in which FY2023 is the reporting year, per the map's rule 1. (2) Row 12 (CET1 available after meeting the total SREP own funds requirements) for FY2022: the FY2022 edition prints 2.24% and the FY2023 edition's comparative prints 2.23%. 2.24% is shown. Every other row agrees digit for digit across adjacent editions, checked row by row for all five boundaries.
- A SOURCE TYPO NOT CARRIED HERE because it is in a column this sheet does not use: the FY2022 edition prints its 31 March 2022 LCR as "176,12%" (comma for decimal point).
- FY2021 AND FY2020 HAVE NO NSFR ROWS AT ALL, and that is a property of the template of the day rather than an omission: the UK NSFR regime took effect on 1 January 2022. Likewise, the earlier template has no SREP block, so rows UK 7a-7d simply do not exist for those two years.
- THE 1 JANUARY 2022 LEVERAGE BASIS BREAK is visible here as the change of caption between the two blocks. The FY2021 and FY2020 rows are the total exposure measure INCLUDING claims on central banks (293.8bn and 299.9bn); the FY2022-FY2025 rows EXCLUDE them. The Leverage Ratio sheet carries both bases for FY2021 and FY2020 - its excluding-central-banks figures for those two years come from a differently-labelled table, not from this KM1 - and the two are never blended into one series.
ENTITY NOTE: Santander UK Plc (FRN 106054, company number 02294747) is the PRA-authorised ring-fenced bank (RFB) - not to be confused with 'Santander Financial Services plc' (FRN 146003, a separate, smaller PRA-authorised entity) or with its own intermediate holding company 'Santander UK Group Holdings plc' (the resolution entity, which publishes its own separate Annual Report/Pillar 3). This workbook uses Santander UK Plc's own consolidated ('RFB Group') basis throughout, consistent with how this workbook series always prefers the ring-fenced/regulated banking entity's own consolidation level over a wider holding company - matching Barclays' use of 'Barclays Bank UK Group' rather than 'Barclays PLC'.</t>
        </is>
      </c>
    </row>
  </sheetData>
  <mergeCells count="2">
    <mergeCell ref="A90:G90"/>
    <mergeCell ref="A88:G88"/>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6"/>
  <sheetViews>
    <sheetView workbookViewId="0">
      <selection activeCell="A1" sqref="A1"/>
    </sheetView>
  </sheetViews>
  <sheetFormatPr baseColWidth="8" defaultRowHeight="15"/>
  <cols>
    <col width="44"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Santander UK Plc — CET1 Capital</t>
        </is>
      </c>
    </row>
    <row r="2">
      <c r="A2" s="2" t="inlineStr">
        <is>
          <t>RFB Group consolidated basis, £m</t>
        </is>
      </c>
    </row>
    <row r="3">
      <c r="A3" s="4" t="inlineStr">
        <is>
          <t>Metric</t>
        </is>
      </c>
      <c r="B3" s="4" t="inlineStr">
        <is>
          <t>FY2025</t>
        </is>
      </c>
      <c r="C3" s="4" t="inlineStr">
        <is>
          <t>FY2024</t>
        </is>
      </c>
      <c r="D3" s="4" t="inlineStr">
        <is>
          <t>FY2023</t>
        </is>
      </c>
      <c r="E3" s="4" t="inlineStr">
        <is>
          <t>FY2022</t>
        </is>
      </c>
      <c r="F3" s="4" t="inlineStr">
        <is>
          <t>FY2021</t>
        </is>
      </c>
      <c r="G3" s="4" t="inlineStr">
        <is>
          <t>FY2020</t>
        </is>
      </c>
    </row>
    <row r="4">
      <c r="A4" s="6" t="inlineStr">
        <is>
          <t>Common Equity Tier 1 (CET1) capital</t>
        </is>
      </c>
      <c r="B4" s="6" t="n">
        <v>10601</v>
      </c>
      <c r="C4" s="6" t="n">
        <v>9791</v>
      </c>
      <c r="D4" s="6" t="n">
        <v>10443</v>
      </c>
      <c r="E4" s="6" t="n">
        <v>10799</v>
      </c>
      <c r="F4" s="6" t="n">
        <v>10820</v>
      </c>
      <c r="G4" s="6" t="n">
        <v>11057</v>
      </c>
    </row>
    <row r="6" ht="117" customHeight="1">
      <c r="A6" s="8" t="inlineStr">
        <is>
          <t>Sources - Santander UK Plc's own consolidated ('RFB Group') basis, from the Additional Capital and Risk Management Disclosures (ACRMD, Santander UK's Pillar 3 equivalent document):
FY2025 &amp; FY2024: Santander UK Group Holdings plc and Santander UK plc - Additional Capital and Risk Management Disclosures, 31 December 2025, p.47-48 (Key metrics (KM1), RFB Group) - https://www.santander.co.uk/assets/s3fs-public/documents/2025SantanderUKACRMD.pdf
FY2023 &amp; FY2022: Santander UK Group Holdings plc and Santander UK plc - Additional Capital and Risk Management Disclosures, 31 December 2023, p.47-48 (Key metrics (KM1), RFB Group) - https://www.santander.co.uk/assets/s3fs-public/documents/santander_uk_acrmd_2023.pdf
FY2021: Santander UK Group Holdings plc and Santander UK plc - Additional Capital and Risk Management Disclosures, 31 December 2021, p.42 (Key metrics (KM1), RFB Group) - https://www.santander.co.uk/assets/s3fs-public/documents/2021_additional_capital_risk_management_disclosures.pdf
FY2020: Santander UK plc - Additional Capital and Risk Management Disclosures, 31 December 2020, p.42 (Key metrics, Part 2: Santander UK plc Group) - https://www.santander.co.uk/assets/s3fs-public/documents/santander_uk_acrmd_2020_0.pdf</t>
        </is>
      </c>
    </row>
  </sheetData>
  <mergeCells count="1">
    <mergeCell ref="A6:G6"/>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G6"/>
  <sheetViews>
    <sheetView workbookViewId="0">
      <selection activeCell="A1" sqref="A1"/>
    </sheetView>
  </sheetViews>
  <sheetFormatPr baseColWidth="8" defaultRowHeight="15"/>
  <cols>
    <col width="44"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Santander UK Plc — CET1 Ratio</t>
        </is>
      </c>
    </row>
    <row r="2">
      <c r="A2" s="2" t="inlineStr">
        <is>
          <t>RFB Group consolidated basis, % of RWA</t>
        </is>
      </c>
    </row>
    <row r="3">
      <c r="A3" s="4" t="inlineStr">
        <is>
          <t>Metric</t>
        </is>
      </c>
      <c r="B3" s="4" t="inlineStr">
        <is>
          <t>FY2025</t>
        </is>
      </c>
      <c r="C3" s="4" t="inlineStr">
        <is>
          <t>FY2024</t>
        </is>
      </c>
      <c r="D3" s="4" t="inlineStr">
        <is>
          <t>FY2023</t>
        </is>
      </c>
      <c r="E3" s="4" t="inlineStr">
        <is>
          <t>FY2022</t>
        </is>
      </c>
      <c r="F3" s="4" t="inlineStr">
        <is>
          <t>FY2021</t>
        </is>
      </c>
      <c r="G3" s="4" t="inlineStr">
        <is>
          <t>FY2020</t>
        </is>
      </c>
    </row>
    <row r="4">
      <c r="A4" s="6" t="inlineStr">
        <is>
          <t>Common Equity Tier 1 (CET1) ratio</t>
        </is>
      </c>
      <c r="B4" s="6" t="inlineStr">
        <is>
          <t>15.8%</t>
        </is>
      </c>
      <c r="C4" s="6" t="inlineStr">
        <is>
          <t>14.9%</t>
        </is>
      </c>
      <c r="D4" s="6" t="inlineStr">
        <is>
          <t>15.39%</t>
        </is>
      </c>
      <c r="E4" s="6" t="inlineStr">
        <is>
          <t>15.41%</t>
        </is>
      </c>
      <c r="F4" s="6" t="inlineStr">
        <is>
          <t>16.1%</t>
        </is>
      </c>
      <c r="G4" s="6" t="inlineStr">
        <is>
          <t>15.4%</t>
        </is>
      </c>
    </row>
    <row r="6" ht="117" customHeight="1">
      <c r="A6" s="8" t="inlineStr">
        <is>
          <t>Sources - Santander UK Plc's own consolidated ('RFB Group') basis, from the Additional Capital and Risk Management Disclosures (ACRMD, Santander UK's Pillar 3 equivalent document):
FY2025 &amp; FY2024: Santander UK Group Holdings plc and Santander UK plc - Additional Capital and Risk Management Disclosures, 31 December 2025, p.47-48 (Key metrics (KM1), RFB Group) - https://www.santander.co.uk/assets/s3fs-public/documents/2025SantanderUKACRMD.pdf
FY2023 &amp; FY2022: Santander UK Group Holdings plc and Santander UK plc - Additional Capital and Risk Management Disclosures, 31 December 2023, p.47-48 (Key metrics (KM1), RFB Group) - https://www.santander.co.uk/assets/s3fs-public/documents/santander_uk_acrmd_2023.pdf
FY2021: Santander UK Group Holdings plc and Santander UK plc - Additional Capital and Risk Management Disclosures, 31 December 2021, p.42 (Key metrics (KM1), RFB Group) - https://www.santander.co.uk/assets/s3fs-public/documents/2021_additional_capital_risk_management_disclosures.pdf
FY2020: Santander UK plc - Additional Capital and Risk Management Disclosures, 31 December 2020, p.42 (Key metrics, Part 2: Santander UK plc Group) - https://www.santander.co.uk/assets/s3fs-public/documents/santander_uk_acrmd_2020_0.pdf</t>
        </is>
      </c>
    </row>
  </sheetData>
  <mergeCells count="1">
    <mergeCell ref="A6:G6"/>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G6"/>
  <sheetViews>
    <sheetView workbookViewId="0">
      <selection activeCell="A1" sqref="A1"/>
    </sheetView>
  </sheetViews>
  <sheetFormatPr baseColWidth="8" defaultRowHeight="15"/>
  <cols>
    <col width="44"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Santander UK Plc — Tier 1 Capital</t>
        </is>
      </c>
    </row>
    <row r="2">
      <c r="A2" s="2" t="inlineStr">
        <is>
          <t>RFB Group consolidated basis, £m</t>
        </is>
      </c>
    </row>
    <row r="3">
      <c r="A3" s="4" t="inlineStr">
        <is>
          <t>Metric</t>
        </is>
      </c>
      <c r="B3" s="4" t="inlineStr">
        <is>
          <t>FY2025</t>
        </is>
      </c>
      <c r="C3" s="4" t="inlineStr">
        <is>
          <t>FY2024</t>
        </is>
      </c>
      <c r="D3" s="4" t="inlineStr">
        <is>
          <t>FY2023</t>
        </is>
      </c>
      <c r="E3" s="4" t="inlineStr">
        <is>
          <t>FY2022</t>
        </is>
      </c>
      <c r="F3" s="4" t="inlineStr">
        <is>
          <t>FY2021</t>
        </is>
      </c>
      <c r="G3" s="4" t="inlineStr">
        <is>
          <t>FY2020</t>
        </is>
      </c>
    </row>
    <row r="4">
      <c r="A4" s="6" t="inlineStr">
        <is>
          <t>Tier 1 capital</t>
        </is>
      </c>
      <c r="B4" s="6" t="n">
        <v>12461</v>
      </c>
      <c r="C4" s="6" t="n">
        <v>11651</v>
      </c>
      <c r="D4" s="6" t="n">
        <v>12399</v>
      </c>
      <c r="E4" s="6" t="n">
        <v>12755</v>
      </c>
      <c r="F4" s="6" t="n">
        <v>12939</v>
      </c>
      <c r="G4" s="6" t="n">
        <v>13338</v>
      </c>
    </row>
    <row r="6" ht="117" customHeight="1">
      <c r="A6" s="8" t="inlineStr">
        <is>
          <t>Sources - Santander UK Plc's own consolidated ('RFB Group') basis, from the Additional Capital and Risk Management Disclosures (ACRMD, Santander UK's Pillar 3 equivalent document):
FY2025 &amp; FY2024: Santander UK Group Holdings plc and Santander UK plc - Additional Capital and Risk Management Disclosures, 31 December 2025, p.47-48 (Key metrics (KM1), RFB Group) - https://www.santander.co.uk/assets/s3fs-public/documents/2025SantanderUKACRMD.pdf
FY2023 &amp; FY2022: Santander UK Group Holdings plc and Santander UK plc - Additional Capital and Risk Management Disclosures, 31 December 2023, p.47-48 (Key metrics (KM1), RFB Group) - https://www.santander.co.uk/assets/s3fs-public/documents/santander_uk_acrmd_2023.pdf
FY2021: Santander UK Group Holdings plc and Santander UK plc - Additional Capital and Risk Management Disclosures, 31 December 2021, p.42 (Key metrics (KM1), RFB Group) - https://www.santander.co.uk/assets/s3fs-public/documents/2021_additional_capital_risk_management_disclosures.pdf
FY2020: Santander UK plc - Additional Capital and Risk Management Disclosures, 31 December 2020, p.42 (Key metrics, Part 2: Santander UK plc Group) - https://www.santander.co.uk/assets/s3fs-public/documents/santander_uk_acrmd_2020_0.pdf</t>
        </is>
      </c>
    </row>
  </sheetData>
  <mergeCells count="1">
    <mergeCell ref="A6:G6"/>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G6"/>
  <sheetViews>
    <sheetView workbookViewId="0">
      <selection activeCell="A1" sqref="A1"/>
    </sheetView>
  </sheetViews>
  <sheetFormatPr baseColWidth="8" defaultRowHeight="15"/>
  <cols>
    <col width="44"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Santander UK Plc — Tier 1 Ratio</t>
        </is>
      </c>
    </row>
    <row r="2">
      <c r="A2" s="2" t="inlineStr">
        <is>
          <t>RFB Group consolidated basis, % of RWA</t>
        </is>
      </c>
    </row>
    <row r="3">
      <c r="A3" s="4" t="inlineStr">
        <is>
          <t>Metric</t>
        </is>
      </c>
      <c r="B3" s="4" t="inlineStr">
        <is>
          <t>FY2025</t>
        </is>
      </c>
      <c r="C3" s="4" t="inlineStr">
        <is>
          <t>FY2024</t>
        </is>
      </c>
      <c r="D3" s="4" t="inlineStr">
        <is>
          <t>FY2023</t>
        </is>
      </c>
      <c r="E3" s="4" t="inlineStr">
        <is>
          <t>FY2022</t>
        </is>
      </c>
      <c r="F3" s="4" t="inlineStr">
        <is>
          <t>FY2021</t>
        </is>
      </c>
      <c r="G3" s="4" t="inlineStr">
        <is>
          <t>FY2020</t>
        </is>
      </c>
    </row>
    <row r="4">
      <c r="A4" s="6" t="inlineStr">
        <is>
          <t>Tier 1 ratio</t>
        </is>
      </c>
      <c r="B4" s="6" t="inlineStr">
        <is>
          <t>18.5%</t>
        </is>
      </c>
      <c r="C4" s="6" t="inlineStr">
        <is>
          <t>17.8%</t>
        </is>
      </c>
      <c r="D4" s="6" t="inlineStr">
        <is>
          <t>18.28%</t>
        </is>
      </c>
      <c r="E4" s="6" t="inlineStr">
        <is>
          <t>18.20%</t>
        </is>
      </c>
      <c r="F4" s="6" t="inlineStr">
        <is>
          <t>19.2%</t>
        </is>
      </c>
      <c r="G4" s="6" t="inlineStr">
        <is>
          <t>18.6%</t>
        </is>
      </c>
    </row>
    <row r="6" ht="117" customHeight="1">
      <c r="A6" s="8" t="inlineStr">
        <is>
          <t>Sources - Santander UK Plc's own consolidated ('RFB Group') basis, from the Additional Capital and Risk Management Disclosures (ACRMD, Santander UK's Pillar 3 equivalent document):
FY2025 &amp; FY2024: Santander UK Group Holdings plc and Santander UK plc - Additional Capital and Risk Management Disclosures, 31 December 2025, p.47-48 (Key metrics (KM1), RFB Group) - https://www.santander.co.uk/assets/s3fs-public/documents/2025SantanderUKACRMD.pdf
FY2023 &amp; FY2022: Santander UK Group Holdings plc and Santander UK plc - Additional Capital and Risk Management Disclosures, 31 December 2023, p.47-48 (Key metrics (KM1), RFB Group) - https://www.santander.co.uk/assets/s3fs-public/documents/santander_uk_acrmd_2023.pdf
FY2021: Santander UK Group Holdings plc and Santander UK plc - Additional Capital and Risk Management Disclosures, 31 December 2021, p.42 (Key metrics (KM1), RFB Group) - https://www.santander.co.uk/assets/s3fs-public/documents/2021_additional_capital_risk_management_disclosures.pdf
FY2020: Santander UK plc - Additional Capital and Risk Management Disclosures, 31 December 2020, p.42 (Key metrics, Part 2: Santander UK plc Group) - https://www.santander.co.uk/assets/s3fs-public/documents/santander_uk_acrmd_2020_0.pdf</t>
        </is>
      </c>
    </row>
  </sheetData>
  <mergeCells count="1">
    <mergeCell ref="A6:G6"/>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G6"/>
  <sheetViews>
    <sheetView workbookViewId="0">
      <selection activeCell="A1" sqref="A1"/>
    </sheetView>
  </sheetViews>
  <sheetFormatPr baseColWidth="8" defaultRowHeight="15"/>
  <cols>
    <col width="44"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Santander UK Plc — Total Capital</t>
        </is>
      </c>
    </row>
    <row r="2">
      <c r="A2" s="2" t="inlineStr">
        <is>
          <t>RFB Group consolidated basis, £m</t>
        </is>
      </c>
    </row>
    <row r="3">
      <c r="A3" s="4" t="inlineStr">
        <is>
          <t>Metric</t>
        </is>
      </c>
      <c r="B3" s="4" t="inlineStr">
        <is>
          <t>FY2025</t>
        </is>
      </c>
      <c r="C3" s="4" t="inlineStr">
        <is>
          <t>FY2024</t>
        </is>
      </c>
      <c r="D3" s="4" t="inlineStr">
        <is>
          <t>FY2023</t>
        </is>
      </c>
      <c r="E3" s="4" t="inlineStr">
        <is>
          <t>FY2022</t>
        </is>
      </c>
      <c r="F3" s="4" t="inlineStr">
        <is>
          <t>FY2021</t>
        </is>
      </c>
      <c r="G3" s="4" t="inlineStr">
        <is>
          <t>FY2020</t>
        </is>
      </c>
    </row>
    <row r="4">
      <c r="A4" s="6" t="inlineStr">
        <is>
          <t>Total capital</t>
        </is>
      </c>
      <c r="B4" s="6" t="n">
        <v>14315</v>
      </c>
      <c r="C4" s="6" t="n">
        <v>13744</v>
      </c>
      <c r="D4" s="6" t="n">
        <v>14571</v>
      </c>
      <c r="E4" s="6" t="n">
        <v>14303</v>
      </c>
      <c r="F4" s="6" t="n">
        <v>14755</v>
      </c>
      <c r="G4" s="6" t="n">
        <v>15247</v>
      </c>
    </row>
    <row r="6" ht="117" customHeight="1">
      <c r="A6" s="8" t="inlineStr">
        <is>
          <t>Sources - Santander UK Plc's own consolidated ('RFB Group') basis, from the Additional Capital and Risk Management Disclosures (ACRMD, Santander UK's Pillar 3 equivalent document):
FY2025 &amp; FY2024: Santander UK Group Holdings plc and Santander UK plc - Additional Capital and Risk Management Disclosures, 31 December 2025, p.47-48 (Key metrics (KM1), RFB Group) - https://www.santander.co.uk/assets/s3fs-public/documents/2025SantanderUKACRMD.pdf
FY2023 &amp; FY2022: Santander UK Group Holdings plc and Santander UK plc - Additional Capital and Risk Management Disclosures, 31 December 2023, p.47-48 (Key metrics (KM1), RFB Group) - https://www.santander.co.uk/assets/s3fs-public/documents/santander_uk_acrmd_2023.pdf
FY2021: Santander UK Group Holdings plc and Santander UK plc - Additional Capital and Risk Management Disclosures, 31 December 2021, p.42 (Key metrics (KM1), RFB Group) - https://www.santander.co.uk/assets/s3fs-public/documents/2021_additional_capital_risk_management_disclosures.pdf
FY2020: Santander UK plc - Additional Capital and Risk Management Disclosures, 31 December 2020, p.42 (Key metrics, Part 2: Santander UK plc Group) - https://www.santander.co.uk/assets/s3fs-public/documents/santander_uk_acrmd_2020_0.pdf</t>
        </is>
      </c>
    </row>
  </sheetData>
  <mergeCells count="1">
    <mergeCell ref="A6:G6"/>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G6"/>
  <sheetViews>
    <sheetView workbookViewId="0">
      <selection activeCell="A1" sqref="A1"/>
    </sheetView>
  </sheetViews>
  <sheetFormatPr baseColWidth="8" defaultRowHeight="15"/>
  <cols>
    <col width="44"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Santander UK Plc — Total Capital Ratio</t>
        </is>
      </c>
    </row>
    <row r="2">
      <c r="A2" s="2" t="inlineStr">
        <is>
          <t>RFB Group consolidated basis, % of RWA</t>
        </is>
      </c>
    </row>
    <row r="3">
      <c r="A3" s="4" t="inlineStr">
        <is>
          <t>Metric</t>
        </is>
      </c>
      <c r="B3" s="4" t="inlineStr">
        <is>
          <t>FY2025</t>
        </is>
      </c>
      <c r="C3" s="4" t="inlineStr">
        <is>
          <t>FY2024</t>
        </is>
      </c>
      <c r="D3" s="4" t="inlineStr">
        <is>
          <t>FY2023</t>
        </is>
      </c>
      <c r="E3" s="4" t="inlineStr">
        <is>
          <t>FY2022</t>
        </is>
      </c>
      <c r="F3" s="4" t="inlineStr">
        <is>
          <t>FY2021</t>
        </is>
      </c>
      <c r="G3" s="4" t="inlineStr">
        <is>
          <t>FY2020</t>
        </is>
      </c>
    </row>
    <row r="4">
      <c r="A4" s="6" t="inlineStr">
        <is>
          <t>Total capital ratio</t>
        </is>
      </c>
      <c r="B4" s="6" t="inlineStr">
        <is>
          <t>21.3%</t>
        </is>
      </c>
      <c r="C4" s="6" t="inlineStr">
        <is>
          <t>21.0%</t>
        </is>
      </c>
      <c r="D4" s="6" t="inlineStr">
        <is>
          <t>21.48%</t>
        </is>
      </c>
      <c r="E4" s="6" t="inlineStr">
        <is>
          <t>20.41%</t>
        </is>
      </c>
      <c r="F4" s="6" t="inlineStr">
        <is>
          <t>21.9%</t>
        </is>
      </c>
      <c r="G4" s="6" t="inlineStr">
        <is>
          <t>21.2%</t>
        </is>
      </c>
    </row>
    <row r="6" ht="117" customHeight="1">
      <c r="A6" s="8" t="inlineStr">
        <is>
          <t>Sources - Santander UK Plc's own consolidated ('RFB Group') basis, from the Additional Capital and Risk Management Disclosures (ACRMD, Santander UK's Pillar 3 equivalent document):
FY2025 &amp; FY2024: Santander UK Group Holdings plc and Santander UK plc - Additional Capital and Risk Management Disclosures, 31 December 2025, p.47-48 (Key metrics (KM1), RFB Group) - https://www.santander.co.uk/assets/s3fs-public/documents/2025SantanderUKACRMD.pdf
FY2023 &amp; FY2022: Santander UK Group Holdings plc and Santander UK plc - Additional Capital and Risk Management Disclosures, 31 December 2023, p.47-48 (Key metrics (KM1), RFB Group) - https://www.santander.co.uk/assets/s3fs-public/documents/santander_uk_acrmd_2023.pdf
FY2021: Santander UK Group Holdings plc and Santander UK plc - Additional Capital and Risk Management Disclosures, 31 December 2021, p.42 (Key metrics (KM1), RFB Group) - https://www.santander.co.uk/assets/s3fs-public/documents/2021_additional_capital_risk_management_disclosures.pdf
FY2020: Santander UK plc - Additional Capital and Risk Management Disclosures, 31 December 2020, p.42 (Key metrics, Part 2: Santander UK plc Group) - https://www.santander.co.uk/assets/s3fs-public/documents/santander_uk_acrmd_2020_0.pdf</t>
        </is>
      </c>
    </row>
  </sheetData>
  <mergeCells count="1">
    <mergeCell ref="A6:G6"/>
  </mergeCell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G6"/>
  <sheetViews>
    <sheetView workbookViewId="0">
      <selection activeCell="A1" sqref="A1"/>
    </sheetView>
  </sheetViews>
  <sheetFormatPr baseColWidth="8" defaultRowHeight="15"/>
  <cols>
    <col width="44"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Santander UK Plc — Total RWAs</t>
        </is>
      </c>
    </row>
    <row r="2">
      <c r="A2" s="2" t="inlineStr">
        <is>
          <t>RFB Group consolidated basis, £m</t>
        </is>
      </c>
    </row>
    <row r="3">
      <c r="A3" s="4" t="inlineStr">
        <is>
          <t>Metric</t>
        </is>
      </c>
      <c r="B3" s="4" t="inlineStr">
        <is>
          <t>FY2025</t>
        </is>
      </c>
      <c r="C3" s="4" t="inlineStr">
        <is>
          <t>FY2024</t>
        </is>
      </c>
      <c r="D3" s="4" t="inlineStr">
        <is>
          <t>FY2023</t>
        </is>
      </c>
      <c r="E3" s="4" t="inlineStr">
        <is>
          <t>FY2022</t>
        </is>
      </c>
      <c r="F3" s="4" t="inlineStr">
        <is>
          <t>FY2021</t>
        </is>
      </c>
      <c r="G3" s="4" t="inlineStr">
        <is>
          <t>FY2020</t>
        </is>
      </c>
    </row>
    <row r="4">
      <c r="A4" s="6" t="inlineStr">
        <is>
          <t>Total risk-weighted exposure amount</t>
        </is>
      </c>
      <c r="B4" s="6" t="n">
        <v>67231</v>
      </c>
      <c r="C4" s="6" t="n">
        <v>65528</v>
      </c>
      <c r="D4" s="6" t="n">
        <v>67839</v>
      </c>
      <c r="E4" s="6" t="n">
        <v>70089</v>
      </c>
      <c r="F4" s="6" t="n">
        <v>67148</v>
      </c>
      <c r="G4" s="6" t="n">
        <v>71860</v>
      </c>
    </row>
    <row r="6" ht="117" customHeight="1">
      <c r="A6" s="8" t="inlineStr">
        <is>
          <t>Sources - Santander UK Plc's own consolidated ('RFB Group') basis, from the Additional Capital and Risk Management Disclosures (ACRMD, Santander UK's Pillar 3 equivalent document):
FY2025 &amp; FY2024: Santander UK Group Holdings plc and Santander UK plc - Additional Capital and Risk Management Disclosures, 31 December 2025, p.47-48 (Key metrics (KM1), RFB Group) - https://www.santander.co.uk/assets/s3fs-public/documents/2025SantanderUKACRMD.pdf
FY2023 &amp; FY2022: Santander UK Group Holdings plc and Santander UK plc - Additional Capital and Risk Management Disclosures, 31 December 2023, p.47-48 (Key metrics (KM1), RFB Group) - https://www.santander.co.uk/assets/s3fs-public/documents/santander_uk_acrmd_2023.pdf
FY2021: Santander UK Group Holdings plc and Santander UK plc - Additional Capital and Risk Management Disclosures, 31 December 2021, p.42 (Key metrics (KM1), RFB Group) - https://www.santander.co.uk/assets/s3fs-public/documents/2021_additional_capital_risk_management_disclosures.pdf
FY2020: Santander UK plc - Additional Capital and Risk Management Disclosures, 31 December 2020, p.42 (Key metrics, Part 2: Santander UK plc Group) - https://www.santander.co.uk/assets/s3fs-public/documents/santander_uk_acrmd_2020_0.pdf</t>
        </is>
      </c>
    </row>
  </sheetData>
  <mergeCells count="1">
    <mergeCell ref="A6:G6"/>
  </mergeCell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G13"/>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64"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Santander UK Plc — RWA Breakdown</t>
        </is>
      </c>
    </row>
    <row r="2">
      <c r="A2" s="2" t="inlineStr">
        <is>
          <t>Santander UK Plc Group (consolidated 'RFB Group' basis), £m. Category rows sum exactly to each year's own OV1 Total, a small rounding difference (OV1 is disclosed to £0.1bn precision) from the exact Total RWAs metric sourced from the KM1 table elsewhere in this workbook - FY2022 has a slightly larger 0.2bn gap that its own source document attributes to rounding, and FY2020 has a 0.1bn gap from an 'Equity positions under the simple risk weight approach' OV1 line not separately categorised here (see source note).</t>
        </is>
      </c>
    </row>
    <row r="3">
      <c r="A3" s="4" t="inlineStr">
        <is>
          <t>Line item</t>
        </is>
      </c>
      <c r="B3" s="4" t="inlineStr">
        <is>
          <t>FY2025 (£m)</t>
        </is>
      </c>
      <c r="C3" s="4" t="inlineStr">
        <is>
          <t>FY2024 (£m)</t>
        </is>
      </c>
      <c r="D3" s="4" t="inlineStr">
        <is>
          <t>FY2023 (£m)</t>
        </is>
      </c>
      <c r="E3" s="4" t="inlineStr">
        <is>
          <t>FY2022 (£m)</t>
        </is>
      </c>
      <c r="F3" s="4" t="inlineStr">
        <is>
          <t>FY2021 (£m)</t>
        </is>
      </c>
      <c r="G3" s="4" t="inlineStr">
        <is>
          <t>FY2020 (£m)</t>
        </is>
      </c>
    </row>
    <row r="4">
      <c r="A4" s="5" t="inlineStr">
        <is>
          <t>RWA by risk category (Pillar 3 UK OV1 template; FY2021 and FY2020 use an older CRR-era structure with a separate CVA line - see source note)</t>
        </is>
      </c>
      <c r="B4" s="6" t="n"/>
      <c r="C4" s="6" t="n"/>
      <c r="D4" s="6" t="n"/>
      <c r="E4" s="6" t="n"/>
      <c r="F4" s="6" t="n"/>
      <c r="G4" s="6" t="n"/>
    </row>
    <row r="5">
      <c r="A5" s="6" t="inlineStr">
        <is>
          <t>Credit risk (excluding counterparty credit risk)</t>
        </is>
      </c>
      <c r="B5" s="6" t="n">
        <v>55700</v>
      </c>
      <c r="C5" s="6" t="n">
        <v>54700</v>
      </c>
      <c r="D5" s="6" t="n">
        <v>57900</v>
      </c>
      <c r="E5" s="6" t="n">
        <v>61700</v>
      </c>
      <c r="F5" s="6" t="n">
        <v>58500</v>
      </c>
      <c r="G5" s="6" t="n">
        <v>62800</v>
      </c>
    </row>
    <row r="6">
      <c r="A6" s="6" t="inlineStr">
        <is>
          <t>Counterparty credit risk</t>
        </is>
      </c>
      <c r="B6" s="6" t="n">
        <v>600</v>
      </c>
      <c r="C6" s="6" t="n">
        <v>400</v>
      </c>
      <c r="D6" s="6" t="n">
        <v>600</v>
      </c>
      <c r="E6" s="6" t="n">
        <v>400</v>
      </c>
      <c r="F6" s="6" t="n">
        <v>600</v>
      </c>
      <c r="G6" s="6" t="n">
        <v>800</v>
      </c>
    </row>
    <row r="7">
      <c r="A7" s="6" t="inlineStr">
        <is>
          <t>Credit valuation adjustment (CVA)</t>
        </is>
      </c>
      <c r="B7" s="6" t="n"/>
      <c r="C7" s="6" t="n"/>
      <c r="D7" s="6" t="n"/>
      <c r="E7" s="6" t="n"/>
      <c r="F7" s="6" t="n">
        <v>400</v>
      </c>
      <c r="G7" s="6" t="n">
        <v>300</v>
      </c>
    </row>
    <row r="8">
      <c r="A8" s="6" t="inlineStr">
        <is>
          <t>Securitisation exposures in the non-trading book</t>
        </is>
      </c>
      <c r="B8" s="6" t="n">
        <v>3100</v>
      </c>
      <c r="C8" s="6" t="n">
        <v>2500</v>
      </c>
      <c r="D8" s="6" t="n">
        <v>1200</v>
      </c>
      <c r="E8" s="6" t="n">
        <v>400</v>
      </c>
      <c r="F8" s="6" t="n">
        <v>800</v>
      </c>
      <c r="G8" s="6" t="n">
        <v>900</v>
      </c>
    </row>
    <row r="9">
      <c r="A9" s="6" t="inlineStr">
        <is>
          <t>Position, foreign exchange and commodities risk (market risk)</t>
        </is>
      </c>
      <c r="B9" s="6" t="n">
        <v>200</v>
      </c>
      <c r="C9" s="6" t="n">
        <v>200</v>
      </c>
      <c r="D9" s="6" t="n">
        <v>400</v>
      </c>
      <c r="E9" s="6" t="n">
        <v>300</v>
      </c>
      <c r="F9" s="6" t="n">
        <v>200</v>
      </c>
      <c r="G9" s="6" t="n">
        <v>200</v>
      </c>
    </row>
    <row r="10">
      <c r="A10" s="6" t="inlineStr">
        <is>
          <t>Operational risk</t>
        </is>
      </c>
      <c r="B10" s="6" t="n">
        <v>7700</v>
      </c>
      <c r="C10" s="6" t="n">
        <v>7800</v>
      </c>
      <c r="D10" s="6" t="n">
        <v>7700</v>
      </c>
      <c r="E10" s="6" t="n">
        <v>7100</v>
      </c>
      <c r="F10" s="6" t="n">
        <v>6600</v>
      </c>
      <c r="G10" s="6" t="n">
        <v>6800</v>
      </c>
    </row>
    <row r="11">
      <c r="A11" s="5" t="inlineStr">
        <is>
          <t>Total RWAs</t>
        </is>
      </c>
      <c r="B11" s="5" t="n">
        <v>67300</v>
      </c>
      <c r="C11" s="5" t="n">
        <v>65600</v>
      </c>
      <c r="D11" s="5" t="n">
        <v>67800</v>
      </c>
      <c r="E11" s="5" t="n">
        <v>70100</v>
      </c>
      <c r="F11" s="5" t="n">
        <v>67100</v>
      </c>
      <c r="G11" s="5" t="n">
        <v>71900</v>
      </c>
    </row>
    <row r="13" ht="312" customHeight="1">
      <c r="A13" s="8" t="inlineStr">
        <is>
          <t>Sources - Santander UK Plc consolidated ('RFB Group') basis, Part 2 of the ACRMD document, UK OV1: Overview of risk-weighted exposure amounts:
FY2025: Santander UK Group Holdings plc and Santander UK plc ACRMD, 31 December 2025, p.58 (UK OV1, Part 2: Santander UK plc Group) - https://www.santander.co.uk/assets/s3fs-public/documents/2025SantanderUKACRMD.pdf
FY2024: Santander UK Group Holdings plc and Santander UK plc ACRMD, 31 December 2024, p.59 (UK OV1, Part 2: Santander UK plc Group) - https://www.santander.co.uk/assets/s3fs-public/documents/ACRMD%20FINAL_Dec%2024.pdf
FY2023: Santander UK Group Holdings plc and Santander UK plc ACRMD, 31 December 2023, p.59 (UK OV1, Part 2: Santander UK plc Group) - https://www.santander.co.uk/assets/s3fs-public/documents/santander_uk_acrmd_2023.pdf
FY2022: Santander UK plc Additional Capital and Risk Management Disclosures, 31 December 2022, p.66 (UK OV1, Part 2: December 2022 Additional Capital and Risk Management Disclosures for Santander UK plc Group) - https://www.santander.co.uk/assets/s3fs-public/documents/santander_uk_additional_capital_and_risk_management_disclosures_2022.pdf. This file uses a different naming convention (santander_uk_additional_capital_and_risk_management_disclosures_2022.pdf) than the adjacent years' ACRMD files, which is why an earlier session's search missed it; located via the Wayback Machine's CDX index of the site's documents folder, and confirmed still live at its original URL as of this session. Its own Total RWAs row (70.1bn) reconciles to the KM1-sourced Total risk-weighted exposure amount used in the Total RWAs metric sheet elsewhere in this workbook (70,089 -&gt; 70.1bn at OV1's £0.1bn precision).
FY2021: Santander UK Group Holdings plc and Santander UK plc ACRMD, 31 December 2021, p.45 (Overview of RWA (OV1), Part 2: Santander UK plc Group) - https://www.santander.co.uk/assets/s3fs-public/documents/2021_additional_capital_risk_management_disclosures.pdf
FY2020: Santander UK plc ACRMD, 31 December 2020, p.45 (Overview of RWA (OV1), Part 2: December 2020 Additional Capital and Risk Management Disclosures for Santander UK plc Group) - https://www.santander.co.uk/assets/s3fs-public/documents/santander_uk_acrmd_2020_0.pdf. Its own Total row (71.9bn) reconciles closely to the KM1-sourced Total risk-weighted exposure amount used in the Total RWAs metric sheet elsewhere in this workbook (71,860 -&gt; 71.9bn at OV1's £0.1bn precision); the six categories shown here sum to 71.8bn, a 0.1bn gap the source table attributes to a separate 'Equity positions under the simple risk weight approach' line (£0.1bn) not large enough to warrant its own row.
FY2021 and FY2020's tables use an older CRR-era category structure with Credit Valuation Adjustment (CVA) reported as its own top-level line rather than folded into Counterparty credit risk (as it is from FY2022 onward) - shown here as its own row for those two years only, blank otherwise.
ENTITY NOTE: Santander UK Plc (FRN 106054, company number 02294747) is the PRA-authorised ring-fenced bank (RFB) - not to be confused with 'Santander Financial Services plc' (FRN 146003, a separate, smaller PRA-authorised entity) or with its own intermediate holding company 'Santander UK Group Holdings plc' (the resolution entity, which publishes its own separate Annual Report/Pillar 3). This workbook uses Santander UK Plc's own consolidated ('RFB Group') basis throughout, consistent with how this workbook series always prefers the ring-fenced/regulated banking entity's own consolidation level over a wider holding company - matching Barclays' use of 'Barclays Bank UK Group' rather than 'Barclays PLC'.</t>
        </is>
      </c>
    </row>
  </sheetData>
  <mergeCells count="1">
    <mergeCell ref="A13:G13"/>
  </mergeCell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G9"/>
  <sheetViews>
    <sheetView workbookViewId="0">
      <selection activeCell="A1" sqref="A1"/>
    </sheetView>
  </sheetViews>
  <sheetFormatPr baseColWidth="8" defaultRowHeight="15"/>
  <cols>
    <col width="44"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Santander UK Plc — Leverage Ratio</t>
        </is>
      </c>
    </row>
    <row r="2">
      <c r="A2" s="2" t="inlineStr">
        <is>
          <t>RFB Group consolidated basis, £m / %</t>
        </is>
      </c>
    </row>
    <row r="3">
      <c r="A3" s="4" t="inlineStr">
        <is>
          <t>Metric</t>
        </is>
      </c>
      <c r="B3" s="4" t="inlineStr">
        <is>
          <t>FY2025</t>
        </is>
      </c>
      <c r="C3" s="4" t="inlineStr">
        <is>
          <t>FY2024</t>
        </is>
      </c>
      <c r="D3" s="4" t="inlineStr">
        <is>
          <t>FY2023</t>
        </is>
      </c>
      <c r="E3" s="4" t="inlineStr">
        <is>
          <t>FY2022</t>
        </is>
      </c>
      <c r="F3" s="4" t="inlineStr">
        <is>
          <t>FY2021</t>
        </is>
      </c>
      <c r="G3" s="4" t="inlineStr">
        <is>
          <t>FY2020</t>
        </is>
      </c>
    </row>
    <row r="4">
      <c r="A4" s="6" t="inlineStr">
        <is>
          <t>Total exposure measure excluding claims on central banks</t>
        </is>
      </c>
      <c r="B4" s="6" t="n">
        <v>247722</v>
      </c>
      <c r="C4" s="6" t="n">
        <v>238445</v>
      </c>
      <c r="D4" s="6" t="n">
        <v>242900</v>
      </c>
      <c r="E4" s="6" t="n">
        <v>244000</v>
      </c>
      <c r="F4" s="6" t="n">
        <v>242100</v>
      </c>
      <c r="G4" s="6" t="n">
        <v>254600</v>
      </c>
    </row>
    <row r="5">
      <c r="A5" s="6" t="inlineStr">
        <is>
          <t>Leverage ratio excluding claims on central banks (%)</t>
        </is>
      </c>
      <c r="B5" s="6" t="inlineStr">
        <is>
          <t>5.0%</t>
        </is>
      </c>
      <c r="C5" s="6" t="inlineStr">
        <is>
          <t>4.9%</t>
        </is>
      </c>
      <c r="D5" s="6" t="inlineStr">
        <is>
          <t>5.1%</t>
        </is>
      </c>
      <c r="E5" s="6" t="inlineStr">
        <is>
          <t>5.2%</t>
        </is>
      </c>
      <c r="F5" s="6" t="inlineStr">
        <is>
          <t>5.3%</t>
        </is>
      </c>
      <c r="G5" s="6" t="inlineStr">
        <is>
          <t>5.1%</t>
        </is>
      </c>
    </row>
    <row r="6">
      <c r="A6" s="6" t="inlineStr">
        <is>
          <t>Leverage ratio including claims on central banks (%)</t>
        </is>
      </c>
      <c r="B6" s="6" t="inlineStr">
        <is>
          <t>4.5%</t>
        </is>
      </c>
      <c r="C6" s="6" t="inlineStr">
        <is>
          <t>4.3%</t>
        </is>
      </c>
      <c r="D6" s="6" t="inlineStr">
        <is>
          <t>4.4%</t>
        </is>
      </c>
      <c r="E6" s="6" t="inlineStr">
        <is>
          <t>4.4%</t>
        </is>
      </c>
      <c r="F6" s="6" t="inlineStr">
        <is>
          <t>4.3%</t>
        </is>
      </c>
      <c r="G6" s="6" t="inlineStr">
        <is>
          <t>4.3%</t>
        </is>
      </c>
    </row>
    <row r="7" ht="39" customHeight="1">
      <c r="A7" s="7" t="inlineStr">
        <is>
          <t>Note: FY2021 and FY2020's exposure measure/ratio ('UK1' basis, excluding claims on central banks per FPC recommendation) and the 'UK CRR' basis (including them; FY2021 293,800/4.3%, FY2020 299,900/4.3%) come from a differently-labelled table than FY2022 onward (which use the standardised 'UK KM1' template naming) - shown here on a consistent excluding/including basis for comparability.</t>
        </is>
      </c>
    </row>
    <row r="9" ht="117" customHeight="1">
      <c r="A9" s="8" t="inlineStr">
        <is>
          <t>Sources - Santander UK Plc's own consolidated ('RFB Group') basis, from the Additional Capital and Risk Management Disclosures (ACRMD, Santander UK's Pillar 3 equivalent document):
FY2025 &amp; FY2024: Santander UK Group Holdings plc and Santander UK plc - Additional Capital and Risk Management Disclosures, 31 December 2025, p.47-48 (Key metrics (KM1), RFB Group) - https://www.santander.co.uk/assets/s3fs-public/documents/2025SantanderUKACRMD.pdf
FY2023 &amp; FY2022: Santander UK Group Holdings plc and Santander UK plc - Additional Capital and Risk Management Disclosures, 31 December 2023, p.47-48 (Key metrics (KM1), RFB Group) - https://www.santander.co.uk/assets/s3fs-public/documents/santander_uk_acrmd_2023.pdf
FY2021: Santander UK Group Holdings plc and Santander UK plc - Additional Capital and Risk Management Disclosures, 31 December 2021, p.42 (Key metrics (KM1), RFB Group) - https://www.santander.co.uk/assets/s3fs-public/documents/2021_additional_capital_risk_management_disclosures.pdf
FY2020: Santander UK plc - Additional Capital and Risk Management Disclosures, 31 December 2020, p.42 (Key metrics, Part 2: Santander UK plc Group) - https://www.santander.co.uk/assets/s3fs-public/documents/santander_uk_acrmd_2020_0.pdf</t>
        </is>
      </c>
    </row>
  </sheetData>
  <mergeCells count="2">
    <mergeCell ref="A7:G7"/>
    <mergeCell ref="A9:G9"/>
  </mergeCell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G9"/>
  <sheetViews>
    <sheetView workbookViewId="0">
      <selection activeCell="A1" sqref="A1"/>
    </sheetView>
  </sheetViews>
  <sheetFormatPr baseColWidth="8" defaultRowHeight="15"/>
  <cols>
    <col width="44"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Santander UK Plc — LCR</t>
        </is>
      </c>
    </row>
    <row r="2">
      <c r="A2" s="2" t="inlineStr">
        <is>
          <t>RFB Group consolidated basis, £m / %</t>
        </is>
      </c>
    </row>
    <row r="3">
      <c r="A3" s="4" t="inlineStr">
        <is>
          <t>Metric</t>
        </is>
      </c>
      <c r="B3" s="4" t="inlineStr">
        <is>
          <t>FY2025</t>
        </is>
      </c>
      <c r="C3" s="4" t="inlineStr">
        <is>
          <t>FY2024</t>
        </is>
      </c>
      <c r="D3" s="4" t="inlineStr">
        <is>
          <t>FY2023</t>
        </is>
      </c>
      <c r="E3" s="4" t="inlineStr">
        <is>
          <t>FY2022</t>
        </is>
      </c>
      <c r="F3" s="4" t="inlineStr">
        <is>
          <t>FY2021</t>
        </is>
      </c>
      <c r="G3" s="4" t="inlineStr">
        <is>
          <t>FY2020</t>
        </is>
      </c>
    </row>
    <row r="4">
      <c r="A4" s="6" t="inlineStr">
        <is>
          <t>Total high-quality liquid assets (HQLA), weighted value (average)</t>
        </is>
      </c>
      <c r="B4" s="6" t="n">
        <v>46888</v>
      </c>
      <c r="C4" s="6" t="n">
        <v>43681</v>
      </c>
      <c r="D4" s="6" t="n">
        <v>47824</v>
      </c>
      <c r="E4" s="6" t="n">
        <v>46160</v>
      </c>
      <c r="F4" s="6" t="n">
        <v>51266</v>
      </c>
      <c r="G4" s="6" t="n">
        <v>51232</v>
      </c>
    </row>
    <row r="5">
      <c r="A5" s="6" t="inlineStr">
        <is>
          <t>Total net cash outflows, adjusted value</t>
        </is>
      </c>
      <c r="B5" s="6" t="n">
        <v>28951</v>
      </c>
      <c r="C5" s="6" t="n">
        <v>28323</v>
      </c>
      <c r="D5" s="6" t="n">
        <v>29985</v>
      </c>
      <c r="E5" s="6" t="n">
        <v>29448</v>
      </c>
      <c r="F5" s="6" t="n">
        <v>30439</v>
      </c>
      <c r="G5" s="6" t="n">
        <v>33766</v>
      </c>
    </row>
    <row r="6">
      <c r="A6" s="6" t="inlineStr">
        <is>
          <t>Liquidity Coverage Ratio (%)</t>
        </is>
      </c>
      <c r="B6" s="6" t="inlineStr">
        <is>
          <t>162%</t>
        </is>
      </c>
      <c r="C6" s="6" t="inlineStr">
        <is>
          <t>154%</t>
        </is>
      </c>
      <c r="D6" s="6" t="inlineStr">
        <is>
          <t>159.49%</t>
        </is>
      </c>
      <c r="E6" s="6" t="inlineStr">
        <is>
          <t>156.75%</t>
        </is>
      </c>
      <c r="F6" s="6" t="inlineStr">
        <is>
          <t>168.4%</t>
        </is>
      </c>
      <c r="G6" s="6" t="inlineStr">
        <is>
          <t>151.7%</t>
        </is>
      </c>
    </row>
    <row r="7" ht="30" customHeight="1">
      <c r="A7" s="7" t="inlineStr">
        <is>
          <t>Note: LCR is a 12-month simple average of month-end observations.</t>
        </is>
      </c>
    </row>
    <row r="9" ht="117" customHeight="1">
      <c r="A9" s="8" t="inlineStr">
        <is>
          <t>Sources - Santander UK Plc's own consolidated ('RFB Group') basis, from the Additional Capital and Risk Management Disclosures (ACRMD, Santander UK's Pillar 3 equivalent document):
FY2025 &amp; FY2024: Santander UK Group Holdings plc and Santander UK plc - Additional Capital and Risk Management Disclosures, 31 December 2025, p.47-48 (Key metrics (KM1), RFB Group) - https://www.santander.co.uk/assets/s3fs-public/documents/2025SantanderUKACRMD.pdf
FY2023 &amp; FY2022: Santander UK Group Holdings plc and Santander UK plc - Additional Capital and Risk Management Disclosures, 31 December 2023, p.47-48 (Key metrics (KM1), RFB Group) - https://www.santander.co.uk/assets/s3fs-public/documents/santander_uk_acrmd_2023.pdf
FY2021: Santander UK Group Holdings plc and Santander UK plc - Additional Capital and Risk Management Disclosures, 31 December 2021, p.42 (Key metrics (KM1), RFB Group) - https://www.santander.co.uk/assets/s3fs-public/documents/2021_additional_capital_risk_management_disclosures.pdf
FY2020: Santander UK plc - Additional Capital and Risk Management Disclosures, 31 December 2020, p.42 (Key metrics, Part 2: Santander UK plc Group) - https://www.santander.co.uk/assets/s3fs-public/documents/santander_uk_acrmd_2020_0.pdf</t>
        </is>
      </c>
    </row>
  </sheetData>
  <mergeCells count="2">
    <mergeCell ref="A7:G7"/>
    <mergeCell ref="A9:G9"/>
  </mergeCells>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G10"/>
  <sheetViews>
    <sheetView workbookViewId="0">
      <selection activeCell="A1" sqref="A1"/>
    </sheetView>
  </sheetViews>
  <sheetFormatPr baseColWidth="8" defaultRowHeight="15"/>
  <cols>
    <col width="44"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Santander UK Plc — NSFR</t>
        </is>
      </c>
    </row>
    <row r="2">
      <c r="A2" s="2" t="inlineStr">
        <is>
          <t>RFB Group consolidated basis, £m / %</t>
        </is>
      </c>
    </row>
    <row r="3">
      <c r="A3" s="4" t="inlineStr">
        <is>
          <t>Metric</t>
        </is>
      </c>
      <c r="B3" s="4" t="inlineStr">
        <is>
          <t>FY2025</t>
        </is>
      </c>
      <c r="C3" s="4" t="inlineStr">
        <is>
          <t>FY2024</t>
        </is>
      </c>
      <c r="D3" s="4" t="inlineStr">
        <is>
          <t>FY2023</t>
        </is>
      </c>
      <c r="E3" s="4" t="inlineStr">
        <is>
          <t>FY2022</t>
        </is>
      </c>
      <c r="F3" s="4" t="inlineStr">
        <is>
          <t>FY2021</t>
        </is>
      </c>
      <c r="G3" s="4" t="inlineStr">
        <is>
          <t>FY2020</t>
        </is>
      </c>
    </row>
    <row r="4">
      <c r="A4" s="6" t="inlineStr">
        <is>
          <t>Total available stable funding</t>
        </is>
      </c>
      <c r="B4" s="6" t="n">
        <v>211913</v>
      </c>
      <c r="C4" s="6" t="n">
        <v>208000</v>
      </c>
      <c r="D4" s="6" t="n">
        <v>218975</v>
      </c>
      <c r="E4" s="6" t="n">
        <v>233408</v>
      </c>
      <c r="F4" s="6" t="n"/>
      <c r="G4" s="6" t="n"/>
    </row>
    <row r="5">
      <c r="A5" s="6" t="inlineStr">
        <is>
          <t>Total required stable funding</t>
        </is>
      </c>
      <c r="B5" s="6" t="n">
        <v>156768</v>
      </c>
      <c r="C5" s="6" t="n">
        <v>151457</v>
      </c>
      <c r="D5" s="6" t="n">
        <v>158693</v>
      </c>
      <c r="E5" s="6" t="n">
        <v>170615</v>
      </c>
      <c r="F5" s="6" t="n"/>
      <c r="G5" s="6" t="n"/>
    </row>
    <row r="6">
      <c r="A6" s="6" t="inlineStr">
        <is>
          <t>NSFR ratio (%)</t>
        </is>
      </c>
      <c r="B6" s="6" t="inlineStr">
        <is>
          <t>135%</t>
        </is>
      </c>
      <c r="C6" s="6" t="inlineStr">
        <is>
          <t>137%</t>
        </is>
      </c>
      <c r="D6" s="6" t="inlineStr">
        <is>
          <t>137.99%</t>
        </is>
      </c>
      <c r="E6" s="6" t="inlineStr">
        <is>
          <t>136.80%</t>
        </is>
      </c>
      <c r="F6" s="6" t="inlineStr">
        <is>
          <t>Not published – FY2021 ACRMD KM1 has no NSFR rows (UK NSFR from 1 Jan 2022); Annual Report 2021 p.112 gives RFB DoLSub year-end 136%, on the row below</t>
        </is>
      </c>
      <c r="G6" s="6" t="inlineStr">
        <is>
          <t>Not published – FY2020 ACRMD prints no NSFR; Annual Report 2020 says the NSFR is 'due to be implemented on 1 January 2022', no figure</t>
        </is>
      </c>
    </row>
    <row r="7">
      <c r="A7" s="6" t="inlineStr">
        <is>
          <t>NSFR ratio, RFB DoLSub year-end (Annual Report, different basis)</t>
        </is>
      </c>
      <c r="B7" s="6" t="n"/>
      <c r="C7" s="6" t="n"/>
      <c r="D7" s="6" t="n"/>
      <c r="E7" s="6" t="inlineStr">
        <is>
          <t>135%</t>
        </is>
      </c>
      <c r="F7" s="6" t="inlineStr">
        <is>
          <t>136%</t>
        </is>
      </c>
      <c r="G7" s="6" t="n"/>
    </row>
    <row r="8" ht="39" customHeight="1">
      <c r="A8" s="7" t="inlineStr">
        <is>
          <t>Note: The NSFR ratio row is the KM1 basis (RFB Group). The UK NSFR regime took effect from 1 January 2022, so the FY2021 ACRMD KM1 and the FY2020 ACRMD print no NSFR. The Annual Reports separately print a year-end NSFR for the RFB DoLSub (domestic liquidity sub-group), a different perimeter and basis: 136% at 31 December 2021 and 135% at 31 December 2022. They sit on their own row and are not merged into the KM1 row (FY2022 KM1 prints 136.80%).</t>
        </is>
      </c>
    </row>
    <row r="10" ht="169" customHeight="1">
      <c r="A10" s="8" t="inlineStr">
        <is>
          <t>Sources - Santander UK Plc's own consolidated ('RFB Group') basis, from the Additional Capital and Risk Management Disclosures (ACRMD, Santander UK's Pillar 3 equivalent document):
FY2025 &amp; FY2024: Santander UK Group Holdings plc and Santander UK plc - Additional Capital and Risk Management Disclosures, 31 December 2025, p.47-48 (Key metrics (KM1), RFB Group) - https://www.santander.co.uk/assets/s3fs-public/documents/2025SantanderUKACRMD.pdf
FY2023 &amp; FY2022: Santander UK Group Holdings plc and Santander UK plc - Additional Capital and Risk Management Disclosures, 31 December 2023, p.47-48 (Key metrics (KM1), RFB Group) - https://www.santander.co.uk/assets/s3fs-public/documents/santander_uk_acrmd_2023.pdf
FY2021: Santander UK Group Holdings plc and Santander UK plc - Additional Capital and Risk Management Disclosures, 31 December 2021, p.42 (Key metrics (KM1), RFB Group) - https://www.santander.co.uk/assets/s3fs-public/documents/2021_additional_capital_risk_management_disclosures.pdf
FY2020: Santander UK plc - Additional Capital and Risk Management Disclosures, 31 December 2020, p.42 (Key metrics, Part 2: Santander UK plc Group) - https://www.santander.co.uk/assets/s3fs-public/documents/santander_uk_acrmd_2020_0.pdf
RFB DoLSub row: FY2022 - Santander UK plc Annual Report 2022, printed p.99 (Liquidity risk review, 'Net Stable Funding Ratio (NSFR)' table, 2022 135%) - https://www.santander.co.uk/assets/s3fs-public/documents/santander_uk_plc_annual_report_2022.pdf
FY2021 - Santander UK plc Annual Report 2021, printed p.112 (PDF p.114), 'At 31 December 2021, the RFB DolSub NSFR was 136%.' - https://www.santander.co.uk/assets/s3fs-public/documents/santander_uk_plc_2021_annual_report.pdf</t>
        </is>
      </c>
    </row>
  </sheetData>
  <mergeCells count="2">
    <mergeCell ref="A8:G8"/>
    <mergeCell ref="A10:G10"/>
  </mergeCells>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G7"/>
  <sheetViews>
    <sheetView workbookViewId="0">
      <selection activeCell="A1" sqref="A1"/>
    </sheetView>
  </sheetViews>
  <sheetFormatPr baseColWidth="8" defaultRowHeight="15"/>
  <cols>
    <col width="44"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Santander UK Plc — MREL Ratio</t>
        </is>
      </c>
    </row>
    <row r="2">
      <c r="A2" s="2" t="inlineStr">
        <is>
          <t>RFB Group consolidated basis</t>
        </is>
      </c>
    </row>
    <row r="3">
      <c r="A3" s="4" t="inlineStr">
        <is>
          <t>Metric</t>
        </is>
      </c>
      <c r="B3" s="4" t="inlineStr">
        <is>
          <t>FY2025</t>
        </is>
      </c>
      <c r="C3" s="4" t="inlineStr">
        <is>
          <t>FY2024</t>
        </is>
      </c>
      <c r="D3" s="4" t="inlineStr">
        <is>
          <t>FY2023</t>
        </is>
      </c>
      <c r="E3" s="4" t="inlineStr">
        <is>
          <t>FY2022</t>
        </is>
      </c>
      <c r="F3" s="4" t="inlineStr">
        <is>
          <t>FY2021</t>
        </is>
      </c>
      <c r="G3" s="4" t="inlineStr">
        <is>
          <t>FY2020</t>
        </is>
      </c>
    </row>
    <row r="4">
      <c r="A4" s="6" t="inlineStr">
        <is>
          <t>MREL ratio</t>
        </is>
      </c>
      <c r="B4" s="6" t="inlineStr">
        <is>
          <t>Not disclosed at this level</t>
        </is>
      </c>
      <c r="C4" s="6" t="inlineStr">
        <is>
          <t>Not disclosed at this level</t>
        </is>
      </c>
      <c r="D4" s="6" t="inlineStr">
        <is>
          <t>Not disclosed at this level</t>
        </is>
      </c>
      <c r="E4" s="6" t="inlineStr">
        <is>
          <t>Not disclosed at this level</t>
        </is>
      </c>
      <c r="F4" s="6" t="inlineStr">
        <is>
          <t>Not disclosed at this level</t>
        </is>
      </c>
      <c r="G4" s="6" t="inlineStr">
        <is>
          <t>Not disclosed at this level</t>
        </is>
      </c>
    </row>
    <row r="5" ht="39" customHeight="1">
      <c r="A5" s="7" t="inlineStr">
        <is>
          <t>Note: MREL (Minimum Requirement for own funds and Eligible Liabilities) is disclosed at the resolution-entity level - 'Santander UK Group Holdings plc' (the intermediate holding company) - not at Santander UK Plc's own 'RFB Group' level shown throughout the rest of this workbook. As at 31 December 2025, Santander UK Group Holdings plc's Total Own Funds and Eligible Liabilities were 36.1% of RWA / 9.8% of UK leverage exposure measure (ACRMD 2025, p.6 (Key metrics - MREL (KM2))).</t>
        </is>
      </c>
    </row>
    <row r="7" ht="117" customHeight="1">
      <c r="A7" s="8" t="inlineStr">
        <is>
          <t>Sources - Santander UK Plc's own consolidated ('RFB Group') basis, from the Additional Capital and Risk Management Disclosures (ACRMD, Santander UK's Pillar 3 equivalent document):
FY2025 &amp; FY2024: Santander UK Group Holdings plc and Santander UK plc - Additional Capital and Risk Management Disclosures, 31 December 2025, p.47-48 (Key metrics (KM1), RFB Group) - https://www.santander.co.uk/assets/s3fs-public/documents/2025SantanderUKACRMD.pdf
FY2023 &amp; FY2022: Santander UK Group Holdings plc and Santander UK plc - Additional Capital and Risk Management Disclosures, 31 December 2023, p.47-48 (Key metrics (KM1), RFB Group) - https://www.santander.co.uk/assets/s3fs-public/documents/santander_uk_acrmd_2023.pdf
FY2021: Santander UK Group Holdings plc and Santander UK plc - Additional Capital and Risk Management Disclosures, 31 December 2021, p.42 (Key metrics (KM1), RFB Group) - https://www.santander.co.uk/assets/s3fs-public/documents/2021_additional_capital_risk_management_disclosures.pdf
FY2020: Santander UK plc - Additional Capital and Risk Management Disclosures, 31 December 2020, p.42 (Key metrics, Part 2: Santander UK plc Group) - https://www.santander.co.uk/assets/s3fs-public/documents/santander_uk_acrmd_2020_0.pdf</t>
        </is>
      </c>
    </row>
  </sheetData>
  <mergeCells count="2">
    <mergeCell ref="A7:G7"/>
    <mergeCell ref="A5:G5"/>
  </mergeCells>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E25"/>
  <sheetViews>
    <sheetView workbookViewId="0">
      <pane xSplit="3" ySplit="4" topLeftCell="D5" activePane="bottomRight" state="frozen"/>
      <selection pane="topRight"/>
      <selection pane="bottomLeft"/>
      <selection pane="bottomRight" activeCell="A1" sqref="A1"/>
    </sheetView>
  </sheetViews>
  <sheetFormatPr baseColWidth="8" defaultRowHeight="15"/>
  <cols>
    <col width="32" customWidth="1" min="1" max="1"/>
    <col width="18" customWidth="1" min="2" max="2"/>
    <col width="34" customWidth="1" min="3" max="3"/>
    <col width="15" customWidth="1" min="4" max="4"/>
    <col width="15" customWidth="1" min="5" max="5"/>
  </cols>
  <sheetData>
    <row r="1">
      <c r="A1" s="1" t="inlineStr">
        <is>
          <t>Santander UK Plc — Interim Pillar 3</t>
        </is>
      </c>
    </row>
    <row r="2">
      <c r="A2" s="2" t="inlineStr">
        <is>
          <t>Santander UK plc Group (RFB Group) UK KM1 key metrics at 31 March 2026 and 30 June 2026; annual year-end values remain on the standard metric sheets.</t>
        </is>
      </c>
    </row>
    <row r="3"/>
    <row r="4">
      <c r="A4" s="4" t="inlineStr">
        <is>
          <t>Metric</t>
        </is>
      </c>
      <c r="B4" s="4" t="inlineStr">
        <is>
          <t>Unit</t>
        </is>
      </c>
      <c r="C4" s="4" t="inlineStr">
        <is>
          <t>Basis</t>
        </is>
      </c>
      <c r="D4" s="4" t="inlineStr">
        <is>
          <t>30 June 2026</t>
        </is>
      </c>
      <c r="E4" s="4" t="inlineStr">
        <is>
          <t>31 March 2026</t>
        </is>
      </c>
    </row>
    <row r="5">
      <c r="A5" s="6" t="inlineStr">
        <is>
          <t>1  Common Equity Tier 1 (CET1) capital</t>
        </is>
      </c>
      <c r="B5" s="6" t="inlineStr">
        <is>
          <t>£m</t>
        </is>
      </c>
      <c r="C5" s="6" t="inlineStr">
        <is>
          <t>Santander UK plc Group (consolidated RFB Group), as published in Part 2</t>
        </is>
      </c>
      <c r="D5" s="9" t="n">
        <v>11370</v>
      </c>
      <c r="E5" s="9" t="n">
        <v>10692</v>
      </c>
    </row>
    <row r="6">
      <c r="A6" s="6" t="inlineStr">
        <is>
          <t>2  Tier 1 capital</t>
        </is>
      </c>
      <c r="B6" s="6" t="inlineStr">
        <is>
          <t>£m</t>
        </is>
      </c>
      <c r="C6" s="6" t="inlineStr">
        <is>
          <t>Santander UK plc Group (consolidated RFB Group), as published in Part 2</t>
        </is>
      </c>
      <c r="D6" s="9" t="n">
        <v>13430</v>
      </c>
      <c r="E6" s="9" t="n">
        <v>12752</v>
      </c>
    </row>
    <row r="7">
      <c r="A7" s="6" t="inlineStr">
        <is>
          <t>3  Total capital</t>
        </is>
      </c>
      <c r="B7" s="6" t="inlineStr">
        <is>
          <t>£m</t>
        </is>
      </c>
      <c r="C7" s="6" t="inlineStr">
        <is>
          <t>Santander UK plc Group (consolidated RFB Group), as published in Part 2</t>
        </is>
      </c>
      <c r="D7" s="9" t="n">
        <v>15800</v>
      </c>
      <c r="E7" s="9" t="n">
        <v>15115</v>
      </c>
    </row>
    <row r="8">
      <c r="A8" s="6" t="inlineStr">
        <is>
          <t>4  Total risk-weighted exposure amount</t>
        </is>
      </c>
      <c r="B8" s="6" t="inlineStr">
        <is>
          <t>£m</t>
        </is>
      </c>
      <c r="C8" s="6" t="inlineStr">
        <is>
          <t>Santander UK plc Group (consolidated RFB Group), as published in Part 2</t>
        </is>
      </c>
      <c r="D8" s="9" t="n">
        <v>79849</v>
      </c>
      <c r="E8" s="9" t="n">
        <v>67736</v>
      </c>
    </row>
    <row r="9">
      <c r="A9" s="6" t="inlineStr">
        <is>
          <t>5  Common Equity Tier 1 ratio (%)</t>
        </is>
      </c>
      <c r="B9" s="6" t="inlineStr">
        <is>
          <t>%</t>
        </is>
      </c>
      <c r="C9" s="6" t="inlineStr">
        <is>
          <t>Santander UK plc Group (consolidated RFB Group), as published in Part 2</t>
        </is>
      </c>
      <c r="D9" s="9" t="inlineStr">
        <is>
          <t>14.2%</t>
        </is>
      </c>
      <c r="E9" s="9" t="inlineStr">
        <is>
          <t>15.8%</t>
        </is>
      </c>
    </row>
    <row r="10">
      <c r="A10" s="6" t="inlineStr">
        <is>
          <t>6  Tier 1 ratio (%)</t>
        </is>
      </c>
      <c r="B10" s="6" t="inlineStr">
        <is>
          <t>%</t>
        </is>
      </c>
      <c r="C10" s="6" t="inlineStr">
        <is>
          <t>Santander UK plc Group (consolidated RFB Group), as published in Part 2</t>
        </is>
      </c>
      <c r="D10" s="9" t="inlineStr">
        <is>
          <t>16.8%</t>
        </is>
      </c>
      <c r="E10" s="9" t="inlineStr">
        <is>
          <t>18.8%</t>
        </is>
      </c>
    </row>
    <row r="11">
      <c r="A11" s="6" t="inlineStr">
        <is>
          <t>7  Total capital ratio (%)</t>
        </is>
      </c>
      <c r="B11" s="6" t="inlineStr">
        <is>
          <t>%</t>
        </is>
      </c>
      <c r="C11" s="6" t="inlineStr">
        <is>
          <t>Santander UK plc Group (consolidated RFB Group), as published in Part 2</t>
        </is>
      </c>
      <c r="D11" s="9" t="inlineStr">
        <is>
          <t>19.8%</t>
        </is>
      </c>
      <c r="E11" s="9" t="inlineStr">
        <is>
          <t>22.3%</t>
        </is>
      </c>
    </row>
    <row r="12">
      <c r="A12" s="6" t="inlineStr">
        <is>
          <t>13  Total exposure measure excluding claims on central banks</t>
        </is>
      </c>
      <c r="B12" s="6" t="inlineStr">
        <is>
          <t>£m</t>
        </is>
      </c>
      <c r="C12" s="6" t="inlineStr">
        <is>
          <t>Santander UK plc Group (consolidated RFB Group), as published in Part 2</t>
        </is>
      </c>
      <c r="D12" s="9" t="n">
        <v>278858</v>
      </c>
      <c r="E12" s="9" t="n">
        <v>246039</v>
      </c>
    </row>
    <row r="13">
      <c r="A13" s="6" t="inlineStr">
        <is>
          <t>14  Leverage ratio excluding claims on central banks (%)</t>
        </is>
      </c>
      <c r="B13" s="6" t="inlineStr">
        <is>
          <t>%</t>
        </is>
      </c>
      <c r="C13" s="6" t="inlineStr">
        <is>
          <t>Santander UK plc Group (consolidated RFB Group), as published in Part 2</t>
        </is>
      </c>
      <c r="D13" s="9" t="inlineStr">
        <is>
          <t>4.8%</t>
        </is>
      </c>
      <c r="E13" s="9" t="inlineStr">
        <is>
          <t>5.2%</t>
        </is>
      </c>
    </row>
    <row r="14">
      <c r="A14" s="6" t="inlineStr">
        <is>
          <t>14b  Leverage ratio including claims on central banks (%)</t>
        </is>
      </c>
      <c r="B14" s="6" t="inlineStr">
        <is>
          <t>%</t>
        </is>
      </c>
      <c r="C14" s="6" t="inlineStr">
        <is>
          <t>Santander UK plc Group (consolidated RFB Group), as published in Part 2</t>
        </is>
      </c>
      <c r="D14" s="9" t="inlineStr">
        <is>
          <t>4.2%</t>
        </is>
      </c>
      <c r="E14" s="9" t="inlineStr">
        <is>
          <t>4.6%</t>
        </is>
      </c>
    </row>
    <row r="15">
      <c r="A15" s="6" t="inlineStr">
        <is>
          <t>17  Liquidity coverage ratio (%)</t>
        </is>
      </c>
      <c r="B15" s="6" t="inlineStr">
        <is>
          <t>%</t>
        </is>
      </c>
      <c r="C15" s="6" t="inlineStr">
        <is>
          <t>Santander UK plc Group (consolidated RFB Group), as published in Part 2</t>
        </is>
      </c>
      <c r="D15" s="9" t="inlineStr">
        <is>
          <t>163%</t>
        </is>
      </c>
      <c r="E15" s="9" t="inlineStr">
        <is>
          <t>158%</t>
        </is>
      </c>
    </row>
    <row r="16">
      <c r="A16" s="6" t="inlineStr">
        <is>
          <t>20  NSFR ratio (%)</t>
        </is>
      </c>
      <c r="B16" s="6" t="inlineStr">
        <is>
          <t>%</t>
        </is>
      </c>
      <c r="C16" s="6" t="inlineStr">
        <is>
          <t>Santander UK plc Group (consolidated RFB Group), as published in Part 2</t>
        </is>
      </c>
      <c r="D16" s="9" t="inlineStr">
        <is>
          <t>137%</t>
        </is>
      </c>
      <c r="E16" s="9" t="inlineStr">
        <is>
          <t>136%</t>
        </is>
      </c>
    </row>
    <row r="19">
      <c r="A19" s="2" t="inlineStr">
        <is>
          <t>Source register</t>
        </is>
      </c>
    </row>
    <row r="20">
      <c r="A20" s="4" t="inlineStr">
        <is>
          <t>Period</t>
        </is>
      </c>
      <c r="B20" s="4" t="inlineStr">
        <is>
          <t>Disclosure type</t>
        </is>
      </c>
      <c r="C20" s="4" t="inlineStr">
        <is>
          <t>Source document</t>
        </is>
      </c>
      <c r="D20" s="4" t="inlineStr">
        <is>
          <t>Page / table</t>
        </is>
      </c>
    </row>
    <row r="21">
      <c r="A21" s="6" t="inlineStr">
        <is>
          <t>30 June 2026</t>
        </is>
      </c>
      <c r="B21" s="6" t="inlineStr">
        <is>
          <t>H1 2026</t>
        </is>
      </c>
      <c r="C21" s="9" t="inlineStr">
        <is>
          <t>https://assets.santandermedia.com/adobe/assets/urn:aaid:aem:94435843-ac08-4d49-8c4b-0c86bb0f4271/original/as/Santander%20UK%202026%20Half%20Yearly%20ACRMD.pdf</t>
        </is>
      </c>
      <c r="D21" s="6" t="inlineStr">
        <is>
          <t>p.33, Key metrics (KM1), Part 2: Santander UK plc Group</t>
        </is>
      </c>
    </row>
    <row r="22">
      <c r="A22" s="6" t="inlineStr">
        <is>
          <t>31 March 2026</t>
        </is>
      </c>
      <c r="B22" s="6" t="inlineStr">
        <is>
          <t>Q1 2026</t>
        </is>
      </c>
      <c r="C22" s="9" t="inlineStr">
        <is>
          <t>https://assets.santandermedia.com/adobe/assets/urn:aaid:aem:f00ce81d-d424-4cf6-8b64-9e3df1ff0aa3/original/as/Q1-26SantanderUKACRMD_1.pdf</t>
        </is>
      </c>
      <c r="D22" s="6" t="inlineStr">
        <is>
          <t>p.13, Key metrics (KM1), Part 2: Santander UK plc Group</t>
        </is>
      </c>
    </row>
    <row r="24" ht="351" customHeight="1">
      <c r="A24" s="8" t="inlineStr">
        <is>
          <t>Note: WHY THIS SHEET EXISTS, AND WHY THERE IS NO FY2026 ANNUAL COLUMN IN THIS WORKBOOK. Santander UK Plc has a 31 DECEMBER year-end, so the FY2026 reporting date (31 December 2026) had not been reached when this workbook was built (18 September 2026) and no FY2026 Annual Report or annual ACRMD exists. What the bank HAS published for 2026 is its quarterly Additional Capital and Risk Management Disclosures: the Q1 2026 edition (at 31 March 2026) and the 2026 Half Yearly edition (at 30 June 2026). Those are a first-quarter and a half-year reporting date, not year-end ones, so they are recorded here with their dates stated rather than placed in an annual column - a 30 June measurement and a 31 December measurement are not the same thing. The 30 September 2026 quarter had not ended, so no Q3 2026 edition exists yet; that is an absence in the publication calendar, not a document that could not be obtained.
ENTITY - READ THIS BEFORE COMPARING ANY FIGURE HERE WITH A PUBLISHED SANTANDER NUMBER. Each ACRMD edition prints the KM1 template TWICE, for two different entities. Part 1 covers SANTANDER UK GROUP HOLDINGS PLC, the intermediate holding company and resolution entity. Part 2 covers SANTANDER UK PLC GROUP (the consolidated 'RFB Group'), which is the basis used throughout the rest of this workbook. EVERY FIGURE ON THIS SHEET IS FROM PART 2. The two tables differ materially and Part 1 comes first in the document, so a reader checking against 'the KM1 table' must scroll to Part 2: at 30 June 2026 Part 1 reports CET1 of £11,481m and RWEAs of £81,073m, against Part 2's £11,370m and £79,849m.
PROVENANCE. Each period is taken from the edition in which that date is the REPORTING date, not from the other edition's comparative column. The two editions agree digit-for-digit on 31 March 2026 (Part 2: CET1 £10,692m, tier 1 £12,752m, total capital £15,115m, RWEAs £67,736m, 15.8% / 18.8% / 22.3%, leverage exposure £246,039m, 5.2%, LCR 158%, NSFR 136%).
RESTATEMENT CHECK. Both 2026 editions reprint 31 December 2025 as a Part 2 comparative and print it identically to the FY2025 figures already held on this workbook's annual metric sheets: CET1 £10,601m, tier 1 £12,461m, total capital £14,315m, RWEAs £67,231m, ratios 15.8% / 18.5% / 21.3%, leverage exposure £247,722m, leverage ratio 5.0% excluding and 4.5% including claims on central banks, LCR 162%, NSFR 135%. No restatement of any previously held figure was found, so no annual figure was changed.
THE RWEA JUMP AT 30 JUNE 2026 IS REAL, NOT A TRANSCRIPTION ERROR. Part 2 RWEAs rise from £67,736m at 31 March 2026 to £79,849m at 30 June 2026, with the leverage exposure measure rising from £246,039m to £278,858m and the CET1 ratio falling from 15.8% to 14.2% - a step change, not a trend. See the acquisition note carried on the Cash Flow Statement sheet regarding Santander's acquisition of TSB Bank plc, which was announced on 21 July 2025 and had not completed as at the FY2025 reporting date. The figures are reproduced exactly as the bank printed them; this note records the discontinuity so that a reader does not read it as an error or as organic growth.</t>
        </is>
      </c>
    </row>
    <row r="25" ht="65" customHeight="1">
      <c r="A25" s="8" t="inlineStr">
        <is>
          <t>(continued)
MREL IS ABSENT HERE BY DESIGN, AND THAT IS AN AFFIRMATIVE FINDING RATHER THAN A GAP. Both 2026 editions do publish a KM2 MREL table, but it appears ONCE in each document and only in Part 1, for the Santander UK Group Holdings plc group - the resolution entity. Part 2's own contents list for the Santander UK plc Group runs KM1, LIQ1, LIQB, OV1 and the two CR8 RWEA flow statements, and contains no KM2. This is the same conclusion the MREL Ratio sheet already records for the annual years, now confirmed against the 2026 editions.</t>
        </is>
      </c>
    </row>
  </sheetData>
  <mergeCells count="2">
    <mergeCell ref="A25:E25"/>
    <mergeCell ref="A24:E24"/>
  </mergeCells>
  <hyperlinks>
    <hyperlink xmlns:r="http://schemas.openxmlformats.org/officeDocument/2006/relationships" ref="D5" r:id="rId1"/>
    <hyperlink xmlns:r="http://schemas.openxmlformats.org/officeDocument/2006/relationships" ref="E5" r:id="rId2"/>
    <hyperlink xmlns:r="http://schemas.openxmlformats.org/officeDocument/2006/relationships" ref="D6" r:id="rId3"/>
    <hyperlink xmlns:r="http://schemas.openxmlformats.org/officeDocument/2006/relationships" ref="E6" r:id="rId4"/>
    <hyperlink xmlns:r="http://schemas.openxmlformats.org/officeDocument/2006/relationships" ref="D7" r:id="rId5"/>
    <hyperlink xmlns:r="http://schemas.openxmlformats.org/officeDocument/2006/relationships" ref="E7" r:id="rId6"/>
    <hyperlink xmlns:r="http://schemas.openxmlformats.org/officeDocument/2006/relationships" ref="D8" r:id="rId7"/>
    <hyperlink xmlns:r="http://schemas.openxmlformats.org/officeDocument/2006/relationships" ref="E8" r:id="rId8"/>
    <hyperlink xmlns:r="http://schemas.openxmlformats.org/officeDocument/2006/relationships" ref="D9" r:id="rId9"/>
    <hyperlink xmlns:r="http://schemas.openxmlformats.org/officeDocument/2006/relationships" ref="E9" r:id="rId10"/>
    <hyperlink xmlns:r="http://schemas.openxmlformats.org/officeDocument/2006/relationships" ref="D10" r:id="rId11"/>
    <hyperlink xmlns:r="http://schemas.openxmlformats.org/officeDocument/2006/relationships" ref="E10" r:id="rId12"/>
    <hyperlink xmlns:r="http://schemas.openxmlformats.org/officeDocument/2006/relationships" ref="D11" r:id="rId13"/>
    <hyperlink xmlns:r="http://schemas.openxmlformats.org/officeDocument/2006/relationships" ref="E11" r:id="rId14"/>
    <hyperlink xmlns:r="http://schemas.openxmlformats.org/officeDocument/2006/relationships" ref="D12" r:id="rId15"/>
    <hyperlink xmlns:r="http://schemas.openxmlformats.org/officeDocument/2006/relationships" ref="E12" r:id="rId16"/>
    <hyperlink xmlns:r="http://schemas.openxmlformats.org/officeDocument/2006/relationships" ref="D13" r:id="rId17"/>
    <hyperlink xmlns:r="http://schemas.openxmlformats.org/officeDocument/2006/relationships" ref="E13" r:id="rId18"/>
    <hyperlink xmlns:r="http://schemas.openxmlformats.org/officeDocument/2006/relationships" ref="D14" r:id="rId19"/>
    <hyperlink xmlns:r="http://schemas.openxmlformats.org/officeDocument/2006/relationships" ref="E14" r:id="rId20"/>
    <hyperlink xmlns:r="http://schemas.openxmlformats.org/officeDocument/2006/relationships" ref="D15" r:id="rId21"/>
    <hyperlink xmlns:r="http://schemas.openxmlformats.org/officeDocument/2006/relationships" ref="E15" r:id="rId22"/>
    <hyperlink xmlns:r="http://schemas.openxmlformats.org/officeDocument/2006/relationships" ref="D16" r:id="rId23"/>
    <hyperlink xmlns:r="http://schemas.openxmlformats.org/officeDocument/2006/relationships" ref="E16" r:id="rId24"/>
    <hyperlink xmlns:r="http://schemas.openxmlformats.org/officeDocument/2006/relationships" ref="C21" r:id="rId25"/>
    <hyperlink xmlns:r="http://schemas.openxmlformats.org/officeDocument/2006/relationships" ref="C22" r:id="rId26"/>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2026-10-26T09:36:15Z</dcterms:created>
  <dcterms:modified xmlns:dcterms="http://purl.org/dc/terms/" xmlns:xsi="http://www.w3.org/2001/XMLSchema-instance" xsi:type="dcterms:W3CDTF">2026-10-26T09:36:16Z</dcterms:modified>
</cp:coreProperties>
</file>