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 xmlns:r="http://schemas.openxmlformats.org/officeDocument/2006/relationships" name="Interim Pillar 3" sheetId="21" state="visible" r:id="rId2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3"/>
    </font>
    <font>
      <i val="1"/>
      <color rgb="00666666"/>
      <sz val="9"/>
    </font>
    <font>
      <b val="1"/>
      <color rgb="00FFFFFF"/>
    </font>
    <font>
      <b val="1"/>
    </font>
    <font>
      <i val="1"/>
      <color rgb="00444444"/>
      <sz val="9"/>
    </font>
    <font>
      <name val="Calibri"/>
      <family val="2"/>
      <color theme="10"/>
      <sz val="12"/>
      <scheme val="minor"/>
    </font>
  </fonts>
  <fills count="3">
    <fill>
      <patternFill/>
    </fill>
    <fill>
      <patternFill patternType="gray125"/>
    </fill>
    <fill>
      <patternFill patternType="solid">
        <fgColor rgb="00DB0011"/>
        <bgColor rgb="00DB0011"/>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2">
    <xf numFmtId="0" fontId="0" fillId="0" borderId="0"/>
    <xf numFmtId="0" fontId="6"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HSBC UK Bank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'Overview'!K6</f>
            </strRef>
          </tx>
          <spPr>
            <a:ln xmlns:a="http://schemas.openxmlformats.org/drawingml/2006/main">
              <a:prstDash val="solid"/>
            </a:ln>
          </spPr>
          <cat>
            <numRef>
              <f>'Overview'!$L$5:$R$5</f>
            </numRef>
          </cat>
          <val>
            <numRef>
              <f>'Overview'!$L$6:$R$6</f>
            </numRef>
          </val>
        </ser>
        <ser>
          <idx val="1"/>
          <order val="1"/>
          <tx>
            <strRef>
              <f>'Overview'!K7</f>
            </strRef>
          </tx>
          <spPr>
            <a:ln xmlns:a="http://schemas.openxmlformats.org/drawingml/2006/main">
              <a:prstDash val="solid"/>
            </a:ln>
          </spPr>
          <cat>
            <numRef>
              <f>'Overview'!$L$5:$R$5</f>
            </numRef>
          </cat>
          <val>
            <numRef>
              <f>'Overview'!$L$7:$R$7</f>
            </numRef>
          </val>
        </ser>
        <ser>
          <idx val="2"/>
          <order val="2"/>
          <tx>
            <strRef>
              <f>'Overview'!K8</f>
            </strRef>
          </tx>
          <spPr>
            <a:ln xmlns:a="http://schemas.openxmlformats.org/drawingml/2006/main">
              <a:prstDash val="solid"/>
            </a:ln>
          </spPr>
          <cat>
            <numRef>
              <f>'Overview'!$L$5:$R$5</f>
            </numRef>
          </cat>
          <val>
            <numRef>
              <f>'Overview'!$L$8:$R$8</f>
            </numRef>
          </val>
        </ser>
        <ser>
          <idx val="3"/>
          <order val="3"/>
          <tx>
            <strRef>
              <f>'Overview'!K9</f>
            </strRef>
          </tx>
          <spPr>
            <a:ln xmlns:a="http://schemas.openxmlformats.org/drawingml/2006/main">
              <a:prstDash val="solid"/>
            </a:ln>
          </spPr>
          <cat>
            <numRef>
              <f>'Overview'!$L$5:$R$5</f>
            </numRef>
          </cat>
          <val>
            <numRef>
              <f>'Overview'!$L$9:$R$9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HSBC UK Bank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'Overview'!U13</f>
            </strRef>
          </tx>
          <spPr>
            <a:ln xmlns:a="http://schemas.openxmlformats.org/drawingml/2006/main">
              <a:prstDash val="solid"/>
            </a:ln>
          </spPr>
          <cat>
            <numRef>
              <f>'Overview'!$V$12:$AB$12</f>
            </numRef>
          </cat>
          <val>
            <numRef>
              <f>'Overview'!$V$13:$AB$13</f>
            </numRef>
          </val>
        </ser>
        <ser>
          <idx val="1"/>
          <order val="1"/>
          <tx>
            <strRef>
              <f>'Overview'!U14</f>
            </strRef>
          </tx>
          <spPr>
            <a:ln xmlns:a="http://schemas.openxmlformats.org/drawingml/2006/main">
              <a:prstDash val="solid"/>
            </a:ln>
          </spPr>
          <cat>
            <numRef>
              <f>'Overview'!$V$12:$AB$12</f>
            </numRef>
          </cat>
          <val>
            <numRef>
              <f>'Overview'!$V$14:$AB$14</f>
            </numRef>
          </val>
        </ser>
        <ser>
          <idx val="2"/>
          <order val="2"/>
          <tx>
            <strRef>
              <f>'Overview'!U15</f>
            </strRef>
          </tx>
          <spPr>
            <a:ln xmlns:a="http://schemas.openxmlformats.org/drawingml/2006/main">
              <a:prstDash val="solid"/>
            </a:ln>
          </spPr>
          <cat>
            <numRef>
              <f>'Overview'!$V$12:$AB$12</f>
            </numRef>
          </cat>
          <val>
            <numRef>
              <f>'Overview'!$V$15:$AB$15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HSBC UK Bank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'Overview'!AE19</f>
            </strRef>
          </tx>
          <spPr>
            <a:ln xmlns:a="http://schemas.openxmlformats.org/drawingml/2006/main">
              <a:prstDash val="solid"/>
            </a:ln>
          </spPr>
          <cat>
            <numRef>
              <f>'Overview'!$AF$18:$AL$18</f>
            </numRef>
          </cat>
          <val>
            <numRef>
              <f>'Overview'!$AF$19:$AL$19</f>
            </numRef>
          </val>
        </ser>
        <ser>
          <idx val="1"/>
          <order val="1"/>
          <tx>
            <strRef>
              <f>'Overview'!AE20</f>
            </strRef>
          </tx>
          <spPr>
            <a:ln xmlns:a="http://schemas.openxmlformats.org/drawingml/2006/main">
              <a:prstDash val="solid"/>
            </a:ln>
          </spPr>
          <cat>
            <numRef>
              <f>'Overview'!$AF$18:$AL$18</f>
            </numRef>
          </cat>
          <val>
            <numRef>
              <f>'Overview'!$AF$20:$AL$20</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HSBC UK Bank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'Overview'!AO24</f>
            </strRef>
          </tx>
          <spPr>
            <a:ln xmlns:a="http://schemas.openxmlformats.org/drawingml/2006/main">
              <a:prstDash val="solid"/>
            </a:ln>
          </spPr>
          <cat>
            <numRef>
              <f>'Overview'!$AP$23:$AV$23</f>
            </numRef>
          </cat>
          <val>
            <numRef>
              <f>'Overview'!$AP$24:$AV$24</f>
            </numRef>
          </val>
        </ser>
        <ser>
          <idx val="1"/>
          <order val="1"/>
          <tx>
            <strRef>
              <f>'Overview'!AO25</f>
            </strRef>
          </tx>
          <spPr>
            <a:ln xmlns:a="http://schemas.openxmlformats.org/drawingml/2006/main">
              <a:prstDash val="solid"/>
            </a:ln>
          </spPr>
          <cat>
            <numRef>
              <f>'Overview'!$AP$23:$AV$23</f>
            </numRef>
          </cat>
          <val>
            <numRef>
              <f>'Overview'!$AP$25:$AV$25</f>
            </numRef>
          </val>
        </ser>
        <ser>
          <idx val="2"/>
          <order val="2"/>
          <tx>
            <strRef>
              <f>'Overview'!AO26</f>
            </strRef>
          </tx>
          <spPr>
            <a:ln xmlns:a="http://schemas.openxmlformats.org/drawingml/2006/main">
              <a:prstDash val="solid"/>
            </a:ln>
          </spPr>
          <cat>
            <numRef>
              <f>'Overview'!$AP$23:$AV$23</f>
            </numRef>
          </cat>
          <val>
            <numRef>
              <f>'Overview'!$AP$26:$AV$26</f>
            </numRef>
          </val>
        </ser>
        <ser>
          <idx val="3"/>
          <order val="3"/>
          <tx>
            <strRef>
              <f>'Overview'!AO27</f>
            </strRef>
          </tx>
          <spPr>
            <a:ln xmlns:a="http://schemas.openxmlformats.org/drawingml/2006/main">
              <a:prstDash val="solid"/>
            </a:ln>
          </spPr>
          <cat>
            <numRef>
              <f>'Overview'!$AP$23:$AV$23</f>
            </numRef>
          </cat>
          <val>
            <numRef>
              <f>'Overview'!$AP$27:$AV$27</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HSBC UK Bank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'Overview'!AY6</f>
            </strRef>
          </tx>
          <spPr>
            <a:ln xmlns:a="http://schemas.openxmlformats.org/drawingml/2006/main">
              <a:prstDash val="solid"/>
            </a:ln>
          </spPr>
          <marker>
            <symbol val="none"/>
            <spPr>
              <a:ln xmlns:a="http://schemas.openxmlformats.org/drawingml/2006/main">
                <a:prstDash val="solid"/>
              </a:ln>
            </spPr>
          </marker>
          <cat>
            <numRef>
              <f>'Overview'!$AZ$5:$BF$5</f>
            </numRef>
          </cat>
          <val>
            <numRef>
              <f>'Overview'!$AZ$6:$BF$6</f>
            </numRef>
          </val>
          <smooth val="0"/>
        </ser>
        <ser>
          <idx val="1"/>
          <order val="1"/>
          <tx>
            <strRef>
              <f>'Overview'!AY7</f>
            </strRef>
          </tx>
          <spPr>
            <a:ln xmlns:a="http://schemas.openxmlformats.org/drawingml/2006/main">
              <a:prstDash val="solid"/>
            </a:ln>
          </spPr>
          <marker>
            <symbol val="none"/>
            <spPr>
              <a:ln xmlns:a="http://schemas.openxmlformats.org/drawingml/2006/main">
                <a:prstDash val="solid"/>
              </a:ln>
            </spPr>
          </marker>
          <cat>
            <numRef>
              <f>'Overview'!$AZ$5:$BF$5</f>
            </numRef>
          </cat>
          <val>
            <numRef>
              <f>'Overview'!$AZ$7:$BF$7</f>
            </numRef>
          </val>
          <smooth val="0"/>
        </ser>
        <ser>
          <idx val="2"/>
          <order val="2"/>
          <tx>
            <strRef>
              <f>'Overview'!AY8</f>
            </strRef>
          </tx>
          <spPr>
            <a:ln xmlns:a="http://schemas.openxmlformats.org/drawingml/2006/main">
              <a:prstDash val="solid"/>
            </a:ln>
          </spPr>
          <marker>
            <symbol val="none"/>
            <spPr>
              <a:ln xmlns:a="http://schemas.openxmlformats.org/drawingml/2006/main">
                <a:prstDash val="solid"/>
              </a:ln>
            </spPr>
          </marker>
          <cat>
            <numRef>
              <f>'Overview'!$AZ$5:$BF$5</f>
            </numRef>
          </cat>
          <val>
            <numRef>
              <f>'Overview'!$AZ$8:$BF$8</f>
            </numRef>
          </val>
          <smooth val="0"/>
        </ser>
        <ser>
          <idx val="3"/>
          <order val="3"/>
          <tx>
            <strRef>
              <f>'Overview'!AY9</f>
            </strRef>
          </tx>
          <spPr>
            <a:ln xmlns:a="http://schemas.openxmlformats.org/drawingml/2006/main">
              <a:prstDash val="solid"/>
            </a:ln>
          </spPr>
          <marker>
            <symbol val="none"/>
            <spPr>
              <a:ln xmlns:a="http://schemas.openxmlformats.org/drawingml/2006/main">
                <a:prstDash val="solid"/>
              </a:ln>
            </spPr>
          </marker>
          <cat>
            <numRef>
              <f>'Overview'!$AZ$5:$BF$5</f>
            </numRef>
          </cat>
          <val>
            <numRef>
              <f>'Overview'!$AZ$9:$BF$9</f>
            </numRef>
          </val>
          <smooth val="0"/>
        </ser>
        <ser>
          <idx val="4"/>
          <order val="4"/>
          <tx>
            <strRef>
              <f>'Overview'!AY10</f>
            </strRef>
          </tx>
          <spPr>
            <a:ln xmlns:a="http://schemas.openxmlformats.org/drawingml/2006/main">
              <a:prstDash val="solid"/>
            </a:ln>
          </spPr>
          <marker>
            <symbol val="none"/>
            <spPr>
              <a:ln xmlns:a="http://schemas.openxmlformats.org/drawingml/2006/main">
                <a:prstDash val="solid"/>
              </a:ln>
            </spPr>
          </marker>
          <cat>
            <numRef>
              <f>'Overview'!$AZ$5:$BF$5</f>
            </numRef>
          </cat>
          <val>
            <numRef>
              <f>'Overview'!$AZ$10:$BF$10</f>
            </numRef>
          </val>
          <smooth val="0"/>
        </ser>
        <ser>
          <idx val="5"/>
          <order val="5"/>
          <tx>
            <strRef>
              <f>'Overview'!AY11</f>
            </strRef>
          </tx>
          <spPr>
            <a:ln xmlns:a="http://schemas.openxmlformats.org/drawingml/2006/main">
              <a:prstDash val="solid"/>
            </a:ln>
          </spPr>
          <marker>
            <symbol val="none"/>
            <spPr>
              <a:ln xmlns:a="http://schemas.openxmlformats.org/drawingml/2006/main">
                <a:prstDash val="solid"/>
              </a:ln>
            </spPr>
          </marker>
          <cat>
            <numRef>
              <f>'Overview'!$AZ$5:$BF$5</f>
            </numRef>
          </cat>
          <val>
            <numRef>
              <f>'Overview'!$AZ$11:$BF$11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40</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62</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84</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106</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128</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1.xml.rels><Relationships xmlns="http://schemas.openxmlformats.org/package/2006/relationships"><Relationship Type="http://schemas.openxmlformats.org/officeDocument/2006/relationships/hyperlink" Target="https://www.hsbc.com/-/files/hsbc/investors/hsbc-results/2026/interim/pdfs/hsbc-uk-bank-plc/260810-hsbc-uk-bank-plc-pillar-3-disclosures-at-30-june-2026.pdf" TargetMode="External" Id="rId1"/><Relationship Type="http://schemas.openxmlformats.org/officeDocument/2006/relationships/hyperlink" Target="https://www.hsbc.com/-/files/hsbc/investors/hsbc-results/2026/1q/pdfs/hsbc-uk-bank-plc/260508-hbuk-pillar-3-disclosures-at-31-march-2026.pdf" TargetMode="External" Id="rId2"/><Relationship Type="http://schemas.openxmlformats.org/officeDocument/2006/relationships/hyperlink" Target="https://www.hsbc.com/-/files/hsbc/investors/hsbc-results/2025/3q/pdfs/hsbc-uk-bank-plc-ring-fenced-bank/251106-hsbc-uk-bank-plc-pillar-3-disclosures-at-30-september-2025.pdf" TargetMode="External" Id="rId3"/><Relationship Type="http://schemas.openxmlformats.org/officeDocument/2006/relationships/hyperlink" Target="https://www.hsbc.com/-/files/hsbc/investors/hsbc-results/2025/interim/pdfs/hsbc-uk-bank-plc/250806-pillar-3-disclosures-at-30-june-2025.pdf" TargetMode="External" Id="rId4"/><Relationship Type="http://schemas.openxmlformats.org/officeDocument/2006/relationships/hyperlink" Target="https://www.hsbc.com/-/files/hsbc/investors/hsbc-results/2025/1q/pdfs/hsbc-uk-bank-plc/250507-hbuk-pillar-3-disclosures-at-31-march-2025.pdf" TargetMode="External" Id="rId5"/><Relationship Type="http://schemas.openxmlformats.org/officeDocument/2006/relationships/hyperlink" Target="https://www.hsbc.com/-/files/hsbc/investors/hsbc-results/2024/3q/pdfs/hsbc-uk-bank-plc-ring-fenced-bank/241105-hsbc-uk-bank-plc-pillar-3-disclosures-at-30-september-2024.pdf" TargetMode="External" Id="rId6"/><Relationship Type="http://schemas.openxmlformats.org/officeDocument/2006/relationships/hyperlink" Target="https://www.hsbc.com/-/files/hsbc/investors/hsbc-results/2024/interim/pdfs/hsbc-uk-bank-plc/240806-pillar-3-disclosures-at-30-june-2024.pdf" TargetMode="External" Id="rId7"/><Relationship Type="http://schemas.openxmlformats.org/officeDocument/2006/relationships/hyperlink" Target="https://www.hsbc.com/-/files/hsbc/investors/hsbc-results/2024/interim/pdfs/hsbc-uk-bank-plc/240806-pillar-3-disclosures-at-30-june-2024.pdf" TargetMode="External" Id="rId8"/><Relationship Type="http://schemas.openxmlformats.org/officeDocument/2006/relationships/hyperlink" Target="https://www.hsbc.com/-/files/hsbc/investors/hsbc-results/2023/3q/pdfs/hsbc-bank-plc/231106-hsbc-uk-bank-plc-pillar-3-disclosures-at-30-september-2023.pdf" TargetMode="External" Id="rId9"/><Relationship Type="http://schemas.openxmlformats.org/officeDocument/2006/relationships/hyperlink" Target="https://www.hsbc.com/-/files/hsbc/investors/hsbc-results/2023/3q/pdfs/hsbc-bank-plc/231106-hsbc-uk-bank-plc-pillar-3-disclosures-at-30-september-2023.pdf" TargetMode="External" Id="rId10"/><Relationship Type="http://schemas.openxmlformats.org/officeDocument/2006/relationships/hyperlink" Target="https://www.hsbc.com/-/files/hsbc/investors/hsbc-results/2023/3q/pdfs/hsbc-bank-plc/231106-hsbc-uk-bank-plc-pillar-3-disclosures-at-30-september-2023.pdf" TargetMode="External" Id="rId11"/><Relationship Type="http://schemas.openxmlformats.org/officeDocument/2006/relationships/hyperlink" Target="https://www.hsbc.com/-/files/hsbc/investors/hsbc-results/2022/3q/pdfs/hsbc-uk-bank-plc/221102-pillar-3-disclosures-at-30-september-2022.pdf" TargetMode="External" Id="rId12"/><Relationship Type="http://schemas.openxmlformats.org/officeDocument/2006/relationships/hyperlink" Target="https://www.hsbc.com/-/files/hsbc/investors/hsbc-results/2022/3q/pdfs/hsbc-uk-bank-plc/221102-pillar-3-disclosures-at-30-september-2022.pdf" TargetMode="External" Id="rId13"/><Relationship Type="http://schemas.openxmlformats.org/officeDocument/2006/relationships/hyperlink" Target="https://www.hsbc.com/-/files/hsbc/investors/hsbc-results/2022/3q/pdfs/hsbc-uk-bank-plc/221102-pillar-3-disclosures-at-30-september-2022.pdf" TargetMode="External" Id="rId14"/><Relationship Type="http://schemas.openxmlformats.org/officeDocument/2006/relationships/hyperlink" Target="https://www.hsbc.com/-/files/hsbc/investors/hsbc-results/2022/3q/pdfs/hsbc-uk-bank-plc/221102-pillar-3-disclosures-at-30-september-2022.pdf" TargetMode="External" Id="rId15"/><Relationship Type="http://schemas.openxmlformats.org/officeDocument/2006/relationships/hyperlink" Target="https://www.hsbc.com/-/files/hsbc/investors/hsbc-results/2026/interim/pdfs/hsbc-uk-bank-plc/260810-hsbc-uk-bank-plc-pillar-3-disclosures-at-30-june-2026.pdf" TargetMode="External" Id="rId16"/><Relationship Type="http://schemas.openxmlformats.org/officeDocument/2006/relationships/hyperlink" Target="https://www.hsbc.com/-/files/hsbc/investors/hsbc-results/2026/1q/pdfs/hsbc-uk-bank-plc/260508-hbuk-pillar-3-disclosures-at-31-march-2026.pdf" TargetMode="External" Id="rId17"/><Relationship Type="http://schemas.openxmlformats.org/officeDocument/2006/relationships/hyperlink" Target="https://www.hsbc.com/-/files/hsbc/investors/hsbc-results/2025/3q/pdfs/hsbc-uk-bank-plc-ring-fenced-bank/251106-hsbc-uk-bank-plc-pillar-3-disclosures-at-30-september-2025.pdf" TargetMode="External" Id="rId18"/><Relationship Type="http://schemas.openxmlformats.org/officeDocument/2006/relationships/hyperlink" Target="https://www.hsbc.com/-/files/hsbc/investors/hsbc-results/2025/interim/pdfs/hsbc-uk-bank-plc/250806-pillar-3-disclosures-at-30-june-2025.pdf" TargetMode="External" Id="rId19"/><Relationship Type="http://schemas.openxmlformats.org/officeDocument/2006/relationships/hyperlink" Target="https://www.hsbc.com/-/files/hsbc/investors/hsbc-results/2025/1q/pdfs/hsbc-uk-bank-plc/250507-hbuk-pillar-3-disclosures-at-31-march-2025.pdf" TargetMode="External" Id="rId20"/><Relationship Type="http://schemas.openxmlformats.org/officeDocument/2006/relationships/hyperlink" Target="https://www.hsbc.com/-/files/hsbc/investors/hsbc-results/2024/3q/pdfs/hsbc-uk-bank-plc-ring-fenced-bank/241105-hsbc-uk-bank-plc-pillar-3-disclosures-at-30-september-2024.pdf" TargetMode="External" Id="rId21"/><Relationship Type="http://schemas.openxmlformats.org/officeDocument/2006/relationships/hyperlink" Target="https://www.hsbc.com/-/files/hsbc/investors/hsbc-results/2024/interim/pdfs/hsbc-uk-bank-plc/240806-pillar-3-disclosures-at-30-june-2024.pdf" TargetMode="External" Id="rId22"/><Relationship Type="http://schemas.openxmlformats.org/officeDocument/2006/relationships/hyperlink" Target="https://www.hsbc.com/-/files/hsbc/investors/hsbc-results/2024/interim/pdfs/hsbc-uk-bank-plc/240806-pillar-3-disclosures-at-30-june-2024.pdf" TargetMode="External" Id="rId23"/><Relationship Type="http://schemas.openxmlformats.org/officeDocument/2006/relationships/hyperlink" Target="https://www.hsbc.com/-/files/hsbc/investors/hsbc-results/2023/3q/pdfs/hsbc-bank-plc/231106-hsbc-uk-bank-plc-pillar-3-disclosures-at-30-september-2023.pdf" TargetMode="External" Id="rId24"/><Relationship Type="http://schemas.openxmlformats.org/officeDocument/2006/relationships/hyperlink" Target="https://www.hsbc.com/-/files/hsbc/investors/hsbc-results/2023/3q/pdfs/hsbc-bank-plc/231106-hsbc-uk-bank-plc-pillar-3-disclosures-at-30-september-2023.pdf" TargetMode="External" Id="rId25"/><Relationship Type="http://schemas.openxmlformats.org/officeDocument/2006/relationships/hyperlink" Target="https://www.hsbc.com/-/files/hsbc/investors/hsbc-results/2023/3q/pdfs/hsbc-bank-plc/231106-hsbc-uk-bank-plc-pillar-3-disclosures-at-30-september-2023.pdf" TargetMode="External" Id="rId26"/><Relationship Type="http://schemas.openxmlformats.org/officeDocument/2006/relationships/hyperlink" Target="https://www.hsbc.com/-/files/hsbc/investors/hsbc-results/2022/3q/pdfs/hsbc-uk-bank-plc/221102-pillar-3-disclosures-at-30-september-2022.pdf" TargetMode="External" Id="rId27"/><Relationship Type="http://schemas.openxmlformats.org/officeDocument/2006/relationships/hyperlink" Target="https://www.hsbc.com/-/files/hsbc/investors/hsbc-results/2022/3q/pdfs/hsbc-uk-bank-plc/221102-pillar-3-disclosures-at-30-september-2022.pdf" TargetMode="External" Id="rId28"/><Relationship Type="http://schemas.openxmlformats.org/officeDocument/2006/relationships/hyperlink" Target="https://www.hsbc.com/-/files/hsbc/investors/hsbc-results/2022/3q/pdfs/hsbc-uk-bank-plc/221102-pillar-3-disclosures-at-30-september-2022.pdf" TargetMode="External" Id="rId29"/><Relationship Type="http://schemas.openxmlformats.org/officeDocument/2006/relationships/hyperlink" Target="https://www.hsbc.com/-/files/hsbc/investors/hsbc-results/2022/3q/pdfs/hsbc-uk-bank-plc/221102-pillar-3-disclosures-at-30-september-2022.pdf" TargetMode="External" Id="rId30"/><Relationship Type="http://schemas.openxmlformats.org/officeDocument/2006/relationships/hyperlink" Target="https://www.hsbc.com/-/files/hsbc/investors/hsbc-results/2026/interim/pdfs/hsbc-uk-bank-plc/260810-hsbc-uk-bank-plc-pillar-3-disclosures-at-30-june-2026.pdf" TargetMode="External" Id="rId31"/><Relationship Type="http://schemas.openxmlformats.org/officeDocument/2006/relationships/hyperlink" Target="https://www.hsbc.com/-/files/hsbc/investors/hsbc-results/2026/1q/pdfs/hsbc-uk-bank-plc/260508-hbuk-pillar-3-disclosures-at-31-march-2026.pdf" TargetMode="External" Id="rId32"/><Relationship Type="http://schemas.openxmlformats.org/officeDocument/2006/relationships/hyperlink" Target="https://www.hsbc.com/-/files/hsbc/investors/hsbc-results/2025/3q/pdfs/hsbc-uk-bank-plc-ring-fenced-bank/251106-hsbc-uk-bank-plc-pillar-3-disclosures-at-30-september-2025.pdf" TargetMode="External" Id="rId33"/><Relationship Type="http://schemas.openxmlformats.org/officeDocument/2006/relationships/hyperlink" Target="https://www.hsbc.com/-/files/hsbc/investors/hsbc-results/2025/interim/pdfs/hsbc-uk-bank-plc/250806-pillar-3-disclosures-at-30-june-2025.pdf" TargetMode="External" Id="rId34"/><Relationship Type="http://schemas.openxmlformats.org/officeDocument/2006/relationships/hyperlink" Target="https://www.hsbc.com/-/files/hsbc/investors/hsbc-results/2025/1q/pdfs/hsbc-uk-bank-plc/250507-hbuk-pillar-3-disclosures-at-31-march-2025.pdf" TargetMode="External" Id="rId35"/><Relationship Type="http://schemas.openxmlformats.org/officeDocument/2006/relationships/hyperlink" Target="https://www.hsbc.com/-/files/hsbc/investors/hsbc-results/2024/3q/pdfs/hsbc-uk-bank-plc-ring-fenced-bank/241105-hsbc-uk-bank-plc-pillar-3-disclosures-at-30-september-2024.pdf" TargetMode="External" Id="rId36"/><Relationship Type="http://schemas.openxmlformats.org/officeDocument/2006/relationships/hyperlink" Target="https://www.hsbc.com/-/files/hsbc/investors/hsbc-results/2024/interim/pdfs/hsbc-uk-bank-plc/240806-pillar-3-disclosures-at-30-june-2024.pdf" TargetMode="External" Id="rId37"/><Relationship Type="http://schemas.openxmlformats.org/officeDocument/2006/relationships/hyperlink" Target="https://www.hsbc.com/-/files/hsbc/investors/hsbc-results/2024/interim/pdfs/hsbc-uk-bank-plc/240806-pillar-3-disclosures-at-30-june-2024.pdf" TargetMode="External" Id="rId38"/><Relationship Type="http://schemas.openxmlformats.org/officeDocument/2006/relationships/hyperlink" Target="https://www.hsbc.com/-/files/hsbc/investors/hsbc-results/2023/3q/pdfs/hsbc-bank-plc/231106-hsbc-uk-bank-plc-pillar-3-disclosures-at-30-september-2023.pdf" TargetMode="External" Id="rId39"/><Relationship Type="http://schemas.openxmlformats.org/officeDocument/2006/relationships/hyperlink" Target="https://www.hsbc.com/-/files/hsbc/investors/hsbc-results/2023/3q/pdfs/hsbc-bank-plc/231106-hsbc-uk-bank-plc-pillar-3-disclosures-at-30-september-2023.pdf" TargetMode="External" Id="rId40"/><Relationship Type="http://schemas.openxmlformats.org/officeDocument/2006/relationships/hyperlink" Target="https://www.hsbc.com/-/files/hsbc/investors/hsbc-results/2023/3q/pdfs/hsbc-bank-plc/231106-hsbc-uk-bank-plc-pillar-3-disclosures-at-30-september-2023.pdf" TargetMode="External" Id="rId41"/><Relationship Type="http://schemas.openxmlformats.org/officeDocument/2006/relationships/hyperlink" Target="https://www.hsbc.com/-/files/hsbc/investors/hsbc-results/2022/3q/pdfs/hsbc-uk-bank-plc/221102-pillar-3-disclosures-at-30-september-2022.pdf" TargetMode="External" Id="rId42"/><Relationship Type="http://schemas.openxmlformats.org/officeDocument/2006/relationships/hyperlink" Target="https://www.hsbc.com/-/files/hsbc/investors/hsbc-results/2022/3q/pdfs/hsbc-uk-bank-plc/221102-pillar-3-disclosures-at-30-september-2022.pdf" TargetMode="External" Id="rId43"/><Relationship Type="http://schemas.openxmlformats.org/officeDocument/2006/relationships/hyperlink" Target="https://www.hsbc.com/-/files/hsbc/investors/hsbc-results/2022/3q/pdfs/hsbc-uk-bank-plc/221102-pillar-3-disclosures-at-30-september-2022.pdf" TargetMode="External" Id="rId44"/><Relationship Type="http://schemas.openxmlformats.org/officeDocument/2006/relationships/hyperlink" Target="https://www.hsbc.com/-/files/hsbc/investors/hsbc-results/2022/3q/pdfs/hsbc-uk-bank-plc/221102-pillar-3-disclosures-at-30-september-2022.pdf" TargetMode="External" Id="rId45"/><Relationship Type="http://schemas.openxmlformats.org/officeDocument/2006/relationships/hyperlink" Target="https://www.hsbc.com/-/files/hsbc/investors/hsbc-results/2026/interim/pdfs/hsbc-uk-bank-plc/260810-hsbc-uk-bank-plc-pillar-3-disclosures-at-30-june-2026.pdf" TargetMode="External" Id="rId46"/><Relationship Type="http://schemas.openxmlformats.org/officeDocument/2006/relationships/hyperlink" Target="https://www.hsbc.com/-/files/hsbc/investors/hsbc-results/2026/1q/pdfs/hsbc-uk-bank-plc/260508-hbuk-pillar-3-disclosures-at-31-march-2026.pdf" TargetMode="External" Id="rId47"/><Relationship Type="http://schemas.openxmlformats.org/officeDocument/2006/relationships/hyperlink" Target="https://www.hsbc.com/-/files/hsbc/investors/hsbc-results/2025/3q/pdfs/hsbc-uk-bank-plc-ring-fenced-bank/251106-hsbc-uk-bank-plc-pillar-3-disclosures-at-30-september-2025.pdf" TargetMode="External" Id="rId48"/><Relationship Type="http://schemas.openxmlformats.org/officeDocument/2006/relationships/hyperlink" Target="https://www.hsbc.com/-/files/hsbc/investors/hsbc-results/2025/interim/pdfs/hsbc-uk-bank-plc/250806-pillar-3-disclosures-at-30-june-2025.pdf" TargetMode="External" Id="rId49"/><Relationship Type="http://schemas.openxmlformats.org/officeDocument/2006/relationships/hyperlink" Target="https://www.hsbc.com/-/files/hsbc/investors/hsbc-results/2025/1q/pdfs/hsbc-uk-bank-plc/250507-hbuk-pillar-3-disclosures-at-31-march-2025.pdf" TargetMode="External" Id="rId50"/><Relationship Type="http://schemas.openxmlformats.org/officeDocument/2006/relationships/hyperlink" Target="https://www.hsbc.com/-/files/hsbc/investors/hsbc-results/2024/3q/pdfs/hsbc-uk-bank-plc-ring-fenced-bank/241105-hsbc-uk-bank-plc-pillar-3-disclosures-at-30-september-2024.pdf" TargetMode="External" Id="rId51"/><Relationship Type="http://schemas.openxmlformats.org/officeDocument/2006/relationships/hyperlink" Target="https://www.hsbc.com/-/files/hsbc/investors/hsbc-results/2024/interim/pdfs/hsbc-uk-bank-plc/240806-pillar-3-disclosures-at-30-june-2024.pdf" TargetMode="External" Id="rId52"/><Relationship Type="http://schemas.openxmlformats.org/officeDocument/2006/relationships/hyperlink" Target="https://www.hsbc.com/-/files/hsbc/investors/hsbc-results/2024/interim/pdfs/hsbc-uk-bank-plc/240806-pillar-3-disclosures-at-30-june-2024.pdf" TargetMode="External" Id="rId53"/><Relationship Type="http://schemas.openxmlformats.org/officeDocument/2006/relationships/hyperlink" Target="https://www.hsbc.com/-/files/hsbc/investors/hsbc-results/2023/3q/pdfs/hsbc-bank-plc/231106-hsbc-uk-bank-plc-pillar-3-disclosures-at-30-september-2023.pdf" TargetMode="External" Id="rId54"/><Relationship Type="http://schemas.openxmlformats.org/officeDocument/2006/relationships/hyperlink" Target="https://www.hsbc.com/-/files/hsbc/investors/hsbc-results/2023/3q/pdfs/hsbc-bank-plc/231106-hsbc-uk-bank-plc-pillar-3-disclosures-at-30-september-2023.pdf" TargetMode="External" Id="rId55"/><Relationship Type="http://schemas.openxmlformats.org/officeDocument/2006/relationships/hyperlink" Target="https://www.hsbc.com/-/files/hsbc/investors/hsbc-results/2023/3q/pdfs/hsbc-bank-plc/231106-hsbc-uk-bank-plc-pillar-3-disclosures-at-30-september-2023.pdf" TargetMode="External" Id="rId56"/><Relationship Type="http://schemas.openxmlformats.org/officeDocument/2006/relationships/hyperlink" Target="https://www.hsbc.com/-/files/hsbc/investors/hsbc-results/2022/3q/pdfs/hsbc-uk-bank-plc/221102-pillar-3-disclosures-at-30-september-2022.pdf" TargetMode="External" Id="rId57"/><Relationship Type="http://schemas.openxmlformats.org/officeDocument/2006/relationships/hyperlink" Target="https://www.hsbc.com/-/files/hsbc/investors/hsbc-results/2022/3q/pdfs/hsbc-uk-bank-plc/221102-pillar-3-disclosures-at-30-september-2022.pdf" TargetMode="External" Id="rId58"/><Relationship Type="http://schemas.openxmlformats.org/officeDocument/2006/relationships/hyperlink" Target="https://www.hsbc.com/-/files/hsbc/investors/hsbc-results/2022/3q/pdfs/hsbc-uk-bank-plc/221102-pillar-3-disclosures-at-30-september-2022.pdf" TargetMode="External" Id="rId59"/><Relationship Type="http://schemas.openxmlformats.org/officeDocument/2006/relationships/hyperlink" Target="https://www.hsbc.com/-/files/hsbc/investors/hsbc-results/2022/3q/pdfs/hsbc-uk-bank-plc/221102-pillar-3-disclosures-at-30-september-2022.pdf" TargetMode="External" Id="rId60"/><Relationship Type="http://schemas.openxmlformats.org/officeDocument/2006/relationships/hyperlink" Target="https://www.hsbc.com/-/files/hsbc/investors/hsbc-results/2026/interim/pdfs/hsbc-uk-bank-plc/260810-hsbc-uk-bank-plc-pillar-3-disclosures-at-30-june-2026.pdf" TargetMode="External" Id="rId61"/><Relationship Type="http://schemas.openxmlformats.org/officeDocument/2006/relationships/hyperlink" Target="https://www.hsbc.com/-/files/hsbc/investors/hsbc-results/2026/1q/pdfs/hsbc-uk-bank-plc/260508-hbuk-pillar-3-disclosures-at-31-march-2026.pdf" TargetMode="External" Id="rId62"/><Relationship Type="http://schemas.openxmlformats.org/officeDocument/2006/relationships/hyperlink" Target="https://www.hsbc.com/-/files/hsbc/investors/hsbc-results/2025/3q/pdfs/hsbc-uk-bank-plc-ring-fenced-bank/251106-hsbc-uk-bank-plc-pillar-3-disclosures-at-30-september-2025.pdf" TargetMode="External" Id="rId63"/><Relationship Type="http://schemas.openxmlformats.org/officeDocument/2006/relationships/hyperlink" Target="https://www.hsbc.com/-/files/hsbc/investors/hsbc-results/2025/interim/pdfs/hsbc-uk-bank-plc/250806-pillar-3-disclosures-at-30-june-2025.pdf" TargetMode="External" Id="rId64"/><Relationship Type="http://schemas.openxmlformats.org/officeDocument/2006/relationships/hyperlink" Target="https://www.hsbc.com/-/files/hsbc/investors/hsbc-results/2025/1q/pdfs/hsbc-uk-bank-plc/250507-hbuk-pillar-3-disclosures-at-31-march-2025.pdf" TargetMode="External" Id="rId65"/><Relationship Type="http://schemas.openxmlformats.org/officeDocument/2006/relationships/hyperlink" Target="https://www.hsbc.com/-/files/hsbc/investors/hsbc-results/2024/3q/pdfs/hsbc-uk-bank-plc-ring-fenced-bank/241105-hsbc-uk-bank-plc-pillar-3-disclosures-at-30-september-2024.pdf" TargetMode="External" Id="rId66"/><Relationship Type="http://schemas.openxmlformats.org/officeDocument/2006/relationships/hyperlink" Target="https://www.hsbc.com/-/files/hsbc/investors/hsbc-results/2024/interim/pdfs/hsbc-uk-bank-plc/240806-pillar-3-disclosures-at-30-june-2024.pdf" TargetMode="External" Id="rId67"/><Relationship Type="http://schemas.openxmlformats.org/officeDocument/2006/relationships/hyperlink" Target="https://www.hsbc.com/-/files/hsbc/investors/hsbc-results/2024/interim/pdfs/hsbc-uk-bank-plc/240806-pillar-3-disclosures-at-30-june-2024.pdf" TargetMode="External" Id="rId68"/><Relationship Type="http://schemas.openxmlformats.org/officeDocument/2006/relationships/hyperlink" Target="https://www.hsbc.com/-/files/hsbc/investors/hsbc-results/2023/3q/pdfs/hsbc-bank-plc/231106-hsbc-uk-bank-plc-pillar-3-disclosures-at-30-september-2023.pdf" TargetMode="External" Id="rId69"/><Relationship Type="http://schemas.openxmlformats.org/officeDocument/2006/relationships/hyperlink" Target="https://www.hsbc.com/-/files/hsbc/investors/hsbc-results/2023/3q/pdfs/hsbc-bank-plc/231106-hsbc-uk-bank-plc-pillar-3-disclosures-at-30-september-2023.pdf" TargetMode="External" Id="rId70"/><Relationship Type="http://schemas.openxmlformats.org/officeDocument/2006/relationships/hyperlink" Target="https://www.hsbc.com/-/files/hsbc/investors/hsbc-results/2023/3q/pdfs/hsbc-bank-plc/231106-hsbc-uk-bank-plc-pillar-3-disclosures-at-30-september-2023.pdf" TargetMode="External" Id="rId71"/><Relationship Type="http://schemas.openxmlformats.org/officeDocument/2006/relationships/hyperlink" Target="https://www.hsbc.com/-/files/hsbc/investors/hsbc-results/2022/3q/pdfs/hsbc-uk-bank-plc/221102-pillar-3-disclosures-at-30-september-2022.pdf" TargetMode="External" Id="rId72"/><Relationship Type="http://schemas.openxmlformats.org/officeDocument/2006/relationships/hyperlink" Target="https://www.hsbc.com/-/files/hsbc/investors/hsbc-results/2022/3q/pdfs/hsbc-uk-bank-plc/221102-pillar-3-disclosures-at-30-september-2022.pdf" TargetMode="External" Id="rId73"/><Relationship Type="http://schemas.openxmlformats.org/officeDocument/2006/relationships/hyperlink" Target="https://www.hsbc.com/-/files/hsbc/investors/hsbc-results/2022/3q/pdfs/hsbc-uk-bank-plc/221102-pillar-3-disclosures-at-30-september-2022.pdf" TargetMode="External" Id="rId74"/><Relationship Type="http://schemas.openxmlformats.org/officeDocument/2006/relationships/hyperlink" Target="https://www.hsbc.com/-/files/hsbc/investors/hsbc-results/2022/3q/pdfs/hsbc-uk-bank-plc/221102-pillar-3-disclosures-at-30-september-2022.pdf" TargetMode="External" Id="rId75"/><Relationship Type="http://schemas.openxmlformats.org/officeDocument/2006/relationships/hyperlink" Target="https://www.hsbc.com/-/files/hsbc/investors/hsbc-results/2026/interim/pdfs/hsbc-uk-bank-plc/260810-hsbc-uk-bank-plc-pillar-3-disclosures-at-30-june-2026.pdf" TargetMode="External" Id="rId76"/><Relationship Type="http://schemas.openxmlformats.org/officeDocument/2006/relationships/hyperlink" Target="https://www.hsbc.com/-/files/hsbc/investors/hsbc-results/2026/1q/pdfs/hsbc-uk-bank-plc/260508-hbuk-pillar-3-disclosures-at-31-march-2026.pdf" TargetMode="External" Id="rId77"/><Relationship Type="http://schemas.openxmlformats.org/officeDocument/2006/relationships/hyperlink" Target="https://www.hsbc.com/-/files/hsbc/investors/hsbc-results/2025/3q/pdfs/hsbc-uk-bank-plc-ring-fenced-bank/251106-hsbc-uk-bank-plc-pillar-3-disclosures-at-30-september-2025.pdf" TargetMode="External" Id="rId78"/><Relationship Type="http://schemas.openxmlformats.org/officeDocument/2006/relationships/hyperlink" Target="https://www.hsbc.com/-/files/hsbc/investors/hsbc-results/2025/interim/pdfs/hsbc-uk-bank-plc/250806-pillar-3-disclosures-at-30-june-2025.pdf" TargetMode="External" Id="rId79"/><Relationship Type="http://schemas.openxmlformats.org/officeDocument/2006/relationships/hyperlink" Target="https://www.hsbc.com/-/files/hsbc/investors/hsbc-results/2025/1q/pdfs/hsbc-uk-bank-plc/250507-hbuk-pillar-3-disclosures-at-31-march-2025.pdf" TargetMode="External" Id="rId80"/><Relationship Type="http://schemas.openxmlformats.org/officeDocument/2006/relationships/hyperlink" Target="https://www.hsbc.com/-/files/hsbc/investors/hsbc-results/2024/3q/pdfs/hsbc-uk-bank-plc-ring-fenced-bank/241105-hsbc-uk-bank-plc-pillar-3-disclosures-at-30-september-2024.pdf" TargetMode="External" Id="rId81"/><Relationship Type="http://schemas.openxmlformats.org/officeDocument/2006/relationships/hyperlink" Target="https://www.hsbc.com/-/files/hsbc/investors/hsbc-results/2024/interim/pdfs/hsbc-uk-bank-plc/240806-pillar-3-disclosures-at-30-june-2024.pdf" TargetMode="External" Id="rId82"/><Relationship Type="http://schemas.openxmlformats.org/officeDocument/2006/relationships/hyperlink" Target="https://www.hsbc.com/-/files/hsbc/investors/hsbc-results/2024/interim/pdfs/hsbc-uk-bank-plc/240806-pillar-3-disclosures-at-30-june-2024.pdf" TargetMode="External" Id="rId83"/><Relationship Type="http://schemas.openxmlformats.org/officeDocument/2006/relationships/hyperlink" Target="https://www.hsbc.com/-/files/hsbc/investors/hsbc-results/2023/3q/pdfs/hsbc-bank-plc/231106-hsbc-uk-bank-plc-pillar-3-disclosures-at-30-september-2023.pdf" TargetMode="External" Id="rId84"/><Relationship Type="http://schemas.openxmlformats.org/officeDocument/2006/relationships/hyperlink" Target="https://www.hsbc.com/-/files/hsbc/investors/hsbc-results/2023/3q/pdfs/hsbc-bank-plc/231106-hsbc-uk-bank-plc-pillar-3-disclosures-at-30-september-2023.pdf" TargetMode="External" Id="rId85"/><Relationship Type="http://schemas.openxmlformats.org/officeDocument/2006/relationships/hyperlink" Target="https://www.hsbc.com/-/files/hsbc/investors/hsbc-results/2023/3q/pdfs/hsbc-bank-plc/231106-hsbc-uk-bank-plc-pillar-3-disclosures-at-30-september-2023.pdf" TargetMode="External" Id="rId86"/><Relationship Type="http://schemas.openxmlformats.org/officeDocument/2006/relationships/hyperlink" Target="https://www.hsbc.com/-/files/hsbc/investors/hsbc-results/2022/3q/pdfs/hsbc-uk-bank-plc/221102-pillar-3-disclosures-at-30-september-2022.pdf" TargetMode="External" Id="rId87"/><Relationship Type="http://schemas.openxmlformats.org/officeDocument/2006/relationships/hyperlink" Target="https://www.hsbc.com/-/files/hsbc/investors/hsbc-results/2022/3q/pdfs/hsbc-uk-bank-plc/221102-pillar-3-disclosures-at-30-september-2022.pdf" TargetMode="External" Id="rId88"/><Relationship Type="http://schemas.openxmlformats.org/officeDocument/2006/relationships/hyperlink" Target="https://www.hsbc.com/-/files/hsbc/investors/hsbc-results/2022/3q/pdfs/hsbc-uk-bank-plc/221102-pillar-3-disclosures-at-30-september-2022.pdf" TargetMode="External" Id="rId89"/><Relationship Type="http://schemas.openxmlformats.org/officeDocument/2006/relationships/hyperlink" Target="https://www.hsbc.com/-/files/hsbc/investors/hsbc-results/2022/3q/pdfs/hsbc-uk-bank-plc/221102-pillar-3-disclosures-at-30-september-2022.pdf" TargetMode="External" Id="rId90"/><Relationship Type="http://schemas.openxmlformats.org/officeDocument/2006/relationships/hyperlink" Target="https://www.hsbc.com/-/files/hsbc/investors/hsbc-results/2026/interim/pdfs/hsbc-uk-bank-plc/260810-hsbc-uk-bank-plc-pillar-3-disclosures-at-30-june-2026.pdf" TargetMode="External" Id="rId91"/><Relationship Type="http://schemas.openxmlformats.org/officeDocument/2006/relationships/hyperlink" Target="https://www.hsbc.com/-/files/hsbc/investors/hsbc-results/2026/1q/pdfs/hsbc-uk-bank-plc/260508-hbuk-pillar-3-disclosures-at-31-march-2026.pdf" TargetMode="External" Id="rId92"/><Relationship Type="http://schemas.openxmlformats.org/officeDocument/2006/relationships/hyperlink" Target="https://www.hsbc.com/-/files/hsbc/investors/hsbc-results/2025/3q/pdfs/hsbc-uk-bank-plc-ring-fenced-bank/251106-hsbc-uk-bank-plc-pillar-3-disclosures-at-30-september-2025.pdf" TargetMode="External" Id="rId93"/><Relationship Type="http://schemas.openxmlformats.org/officeDocument/2006/relationships/hyperlink" Target="https://www.hsbc.com/-/files/hsbc/investors/hsbc-results/2025/interim/pdfs/hsbc-uk-bank-plc/250806-pillar-3-disclosures-at-30-june-2025.pdf" TargetMode="External" Id="rId94"/><Relationship Type="http://schemas.openxmlformats.org/officeDocument/2006/relationships/hyperlink" Target="https://www.hsbc.com/-/files/hsbc/investors/hsbc-results/2025/1q/pdfs/hsbc-uk-bank-plc/250507-hbuk-pillar-3-disclosures-at-31-march-2025.pdf" TargetMode="External" Id="rId95"/><Relationship Type="http://schemas.openxmlformats.org/officeDocument/2006/relationships/hyperlink" Target="https://www.hsbc.com/-/files/hsbc/investors/hsbc-results/2024/3q/pdfs/hsbc-uk-bank-plc-ring-fenced-bank/241105-hsbc-uk-bank-plc-pillar-3-disclosures-at-30-september-2024.pdf" TargetMode="External" Id="rId96"/><Relationship Type="http://schemas.openxmlformats.org/officeDocument/2006/relationships/hyperlink" Target="https://www.hsbc.com/-/files/hsbc/investors/hsbc-results/2024/interim/pdfs/hsbc-uk-bank-plc/240806-pillar-3-disclosures-at-30-june-2024.pdf" TargetMode="External" Id="rId97"/><Relationship Type="http://schemas.openxmlformats.org/officeDocument/2006/relationships/hyperlink" Target="https://www.hsbc.com/-/files/hsbc/investors/hsbc-results/2024/interim/pdfs/hsbc-uk-bank-plc/240806-pillar-3-disclosures-at-30-june-2024.pdf" TargetMode="External" Id="rId98"/><Relationship Type="http://schemas.openxmlformats.org/officeDocument/2006/relationships/hyperlink" Target="https://www.hsbc.com/-/files/hsbc/investors/hsbc-results/2023/3q/pdfs/hsbc-bank-plc/231106-hsbc-uk-bank-plc-pillar-3-disclosures-at-30-september-2023.pdf" TargetMode="External" Id="rId99"/><Relationship Type="http://schemas.openxmlformats.org/officeDocument/2006/relationships/hyperlink" Target="https://www.hsbc.com/-/files/hsbc/investors/hsbc-results/2023/3q/pdfs/hsbc-bank-plc/231106-hsbc-uk-bank-plc-pillar-3-disclosures-at-30-september-2023.pdf" TargetMode="External" Id="rId100"/><Relationship Type="http://schemas.openxmlformats.org/officeDocument/2006/relationships/hyperlink" Target="https://www.hsbc.com/-/files/hsbc/investors/hsbc-results/2023/3q/pdfs/hsbc-bank-plc/231106-hsbc-uk-bank-plc-pillar-3-disclosures-at-30-september-2023.pdf" TargetMode="External" Id="rId101"/><Relationship Type="http://schemas.openxmlformats.org/officeDocument/2006/relationships/hyperlink" Target="https://www.hsbc.com/-/files/hsbc/investors/hsbc-results/2022/3q/pdfs/hsbc-uk-bank-plc/221102-pillar-3-disclosures-at-30-september-2022.pdf" TargetMode="External" Id="rId102"/><Relationship Type="http://schemas.openxmlformats.org/officeDocument/2006/relationships/hyperlink" Target="https://www.hsbc.com/-/files/hsbc/investors/hsbc-results/2022/3q/pdfs/hsbc-uk-bank-plc/221102-pillar-3-disclosures-at-30-september-2022.pdf" TargetMode="External" Id="rId103"/><Relationship Type="http://schemas.openxmlformats.org/officeDocument/2006/relationships/hyperlink" Target="https://www.hsbc.com/-/files/hsbc/investors/hsbc-results/2022/3q/pdfs/hsbc-uk-bank-plc/221102-pillar-3-disclosures-at-30-september-2022.pdf" TargetMode="External" Id="rId104"/><Relationship Type="http://schemas.openxmlformats.org/officeDocument/2006/relationships/hyperlink" Target="https://www.hsbc.com/-/files/hsbc/investors/hsbc-results/2022/3q/pdfs/hsbc-uk-bank-plc/221102-pillar-3-disclosures-at-30-september-2022.pdf" TargetMode="External" Id="rId105"/><Relationship Type="http://schemas.openxmlformats.org/officeDocument/2006/relationships/hyperlink" Target="https://www.hsbc.com/-/files/hsbc/investors/hsbc-results/2026/interim/pdfs/hsbc-uk-bank-plc/260810-hsbc-uk-bank-plc-pillar-3-disclosures-at-30-june-2026.pdf" TargetMode="External" Id="rId106"/><Relationship Type="http://schemas.openxmlformats.org/officeDocument/2006/relationships/hyperlink" Target="https://www.hsbc.com/-/files/hsbc/investors/hsbc-results/2026/1q/pdfs/hsbc-uk-bank-plc/260508-hbuk-pillar-3-disclosures-at-31-march-2026.pdf" TargetMode="External" Id="rId107"/><Relationship Type="http://schemas.openxmlformats.org/officeDocument/2006/relationships/hyperlink" Target="https://www.hsbc.com/-/files/hsbc/investors/hsbc-results/2025/3q/pdfs/hsbc-uk-bank-plc-ring-fenced-bank/251106-hsbc-uk-bank-plc-pillar-3-disclosures-at-30-september-2025.pdf" TargetMode="External" Id="rId108"/><Relationship Type="http://schemas.openxmlformats.org/officeDocument/2006/relationships/hyperlink" Target="https://www.hsbc.com/-/files/hsbc/investors/hsbc-results/2025/interim/pdfs/hsbc-uk-bank-plc/250806-pillar-3-disclosures-at-30-june-2025.pdf" TargetMode="External" Id="rId109"/><Relationship Type="http://schemas.openxmlformats.org/officeDocument/2006/relationships/hyperlink" Target="https://www.hsbc.com/-/files/hsbc/investors/hsbc-results/2025/1q/pdfs/hsbc-uk-bank-plc/250507-hbuk-pillar-3-disclosures-at-31-march-2025.pdf" TargetMode="External" Id="rId110"/><Relationship Type="http://schemas.openxmlformats.org/officeDocument/2006/relationships/hyperlink" Target="https://www.hsbc.com/-/files/hsbc/investors/hsbc-results/2024/3q/pdfs/hsbc-uk-bank-plc-ring-fenced-bank/241105-hsbc-uk-bank-plc-pillar-3-disclosures-at-30-september-2024.pdf" TargetMode="External" Id="rId111"/><Relationship Type="http://schemas.openxmlformats.org/officeDocument/2006/relationships/hyperlink" Target="https://www.hsbc.com/-/files/hsbc/investors/hsbc-results/2024/interim/pdfs/hsbc-uk-bank-plc/240806-pillar-3-disclosures-at-30-june-2024.pdf" TargetMode="External" Id="rId112"/><Relationship Type="http://schemas.openxmlformats.org/officeDocument/2006/relationships/hyperlink" Target="https://www.hsbc.com/-/files/hsbc/investors/hsbc-results/2024/interim/pdfs/hsbc-uk-bank-plc/240806-pillar-3-disclosures-at-30-june-2024.pdf" TargetMode="External" Id="rId113"/><Relationship Type="http://schemas.openxmlformats.org/officeDocument/2006/relationships/hyperlink" Target="https://www.hsbc.com/-/files/hsbc/investors/hsbc-results/2023/3q/pdfs/hsbc-bank-plc/231106-hsbc-uk-bank-plc-pillar-3-disclosures-at-30-september-2023.pdf" TargetMode="External" Id="rId114"/><Relationship Type="http://schemas.openxmlformats.org/officeDocument/2006/relationships/hyperlink" Target="https://www.hsbc.com/-/files/hsbc/investors/hsbc-results/2023/3q/pdfs/hsbc-bank-plc/231106-hsbc-uk-bank-plc-pillar-3-disclosures-at-30-september-2023.pdf" TargetMode="External" Id="rId115"/><Relationship Type="http://schemas.openxmlformats.org/officeDocument/2006/relationships/hyperlink" Target="https://www.hsbc.com/-/files/hsbc/investors/hsbc-results/2023/3q/pdfs/hsbc-bank-plc/231106-hsbc-uk-bank-plc-pillar-3-disclosures-at-30-september-2023.pdf" TargetMode="External" Id="rId116"/><Relationship Type="http://schemas.openxmlformats.org/officeDocument/2006/relationships/hyperlink" Target="https://www.hsbc.com/-/files/hsbc/investors/hsbc-results/2022/3q/pdfs/hsbc-uk-bank-plc/221102-pillar-3-disclosures-at-30-september-2022.pdf" TargetMode="External" Id="rId117"/><Relationship Type="http://schemas.openxmlformats.org/officeDocument/2006/relationships/hyperlink" Target="https://www.hsbc.com/-/files/hsbc/investors/hsbc-results/2022/3q/pdfs/hsbc-uk-bank-plc/221102-pillar-3-disclosures-at-30-september-2022.pdf" TargetMode="External" Id="rId118"/><Relationship Type="http://schemas.openxmlformats.org/officeDocument/2006/relationships/hyperlink" Target="https://www.hsbc.com/-/files/hsbc/investors/hsbc-results/2022/3q/pdfs/hsbc-uk-bank-plc/221102-pillar-3-disclosures-at-30-september-2022.pdf" TargetMode="External" Id="rId119"/><Relationship Type="http://schemas.openxmlformats.org/officeDocument/2006/relationships/hyperlink" Target="https://www.hsbc.com/-/files/hsbc/investors/hsbc-results/2022/3q/pdfs/hsbc-uk-bank-plc/221102-pillar-3-disclosures-at-30-september-2022.pdf" TargetMode="External" Id="rId120"/><Relationship Type="http://schemas.openxmlformats.org/officeDocument/2006/relationships/hyperlink" Target="https://www.hsbc.com/-/files/hsbc/investors/hsbc-results/2026/interim/pdfs/hsbc-uk-bank-plc/260810-hsbc-uk-bank-plc-pillar-3-disclosures-at-30-june-2026.pdf" TargetMode="External" Id="rId121"/><Relationship Type="http://schemas.openxmlformats.org/officeDocument/2006/relationships/hyperlink" Target="https://www.hsbc.com/-/files/hsbc/investors/hsbc-results/2026/1q/pdfs/hsbc-uk-bank-plc/260508-hbuk-pillar-3-disclosures-at-31-march-2026.pdf" TargetMode="External" Id="rId122"/><Relationship Type="http://schemas.openxmlformats.org/officeDocument/2006/relationships/hyperlink" Target="https://www.hsbc.com/-/files/hsbc/investors/hsbc-results/2025/3q/pdfs/hsbc-uk-bank-plc-ring-fenced-bank/251106-hsbc-uk-bank-plc-pillar-3-disclosures-at-30-september-2025.pdf" TargetMode="External" Id="rId123"/><Relationship Type="http://schemas.openxmlformats.org/officeDocument/2006/relationships/hyperlink" Target="https://www.hsbc.com/-/files/hsbc/investors/hsbc-results/2025/interim/pdfs/hsbc-uk-bank-plc/250806-pillar-3-disclosures-at-30-june-2025.pdf" TargetMode="External" Id="rId124"/><Relationship Type="http://schemas.openxmlformats.org/officeDocument/2006/relationships/hyperlink" Target="https://www.hsbc.com/-/files/hsbc/investors/hsbc-results/2025/1q/pdfs/hsbc-uk-bank-plc/250507-hbuk-pillar-3-disclosures-at-31-march-2025.pdf" TargetMode="External" Id="rId125"/><Relationship Type="http://schemas.openxmlformats.org/officeDocument/2006/relationships/hyperlink" Target="https://www.hsbc.com/-/files/hsbc/investors/hsbc-results/2024/3q/pdfs/hsbc-uk-bank-plc-ring-fenced-bank/241105-hsbc-uk-bank-plc-pillar-3-disclosures-at-30-september-2024.pdf" TargetMode="External" Id="rId126"/><Relationship Type="http://schemas.openxmlformats.org/officeDocument/2006/relationships/hyperlink" Target="https://www.hsbc.com/-/files/hsbc/investors/hsbc-results/2024/interim/pdfs/hsbc-uk-bank-plc/240806-pillar-3-disclosures-at-30-june-2024.pdf" TargetMode="External" Id="rId127"/><Relationship Type="http://schemas.openxmlformats.org/officeDocument/2006/relationships/hyperlink" Target="https://www.hsbc.com/-/files/hsbc/investors/hsbc-results/2024/interim/pdfs/hsbc-uk-bank-plc/240806-pillar-3-disclosures-at-30-june-2024.pdf" TargetMode="External" Id="rId128"/><Relationship Type="http://schemas.openxmlformats.org/officeDocument/2006/relationships/hyperlink" Target="https://www.hsbc.com/-/files/hsbc/investors/hsbc-results/2023/3q/pdfs/hsbc-bank-plc/231106-hsbc-uk-bank-plc-pillar-3-disclosures-at-30-september-2023.pdf" TargetMode="External" Id="rId129"/><Relationship Type="http://schemas.openxmlformats.org/officeDocument/2006/relationships/hyperlink" Target="https://www.hsbc.com/-/files/hsbc/investors/hsbc-results/2023/3q/pdfs/hsbc-bank-plc/231106-hsbc-uk-bank-plc-pillar-3-disclosures-at-30-september-2023.pdf" TargetMode="External" Id="rId130"/><Relationship Type="http://schemas.openxmlformats.org/officeDocument/2006/relationships/hyperlink" Target="https://www.hsbc.com/-/files/hsbc/investors/hsbc-results/2023/3q/pdfs/hsbc-bank-plc/231106-hsbc-uk-bank-plc-pillar-3-disclosures-at-30-september-2023.pdf" TargetMode="External" Id="rId131"/><Relationship Type="http://schemas.openxmlformats.org/officeDocument/2006/relationships/hyperlink" Target="https://www.hsbc.com/-/files/hsbc/investors/hsbc-results/2022/3q/pdfs/hsbc-uk-bank-plc/221102-pillar-3-disclosures-at-30-september-2022.pdf" TargetMode="External" Id="rId132"/><Relationship Type="http://schemas.openxmlformats.org/officeDocument/2006/relationships/hyperlink" Target="https://www.hsbc.com/-/files/hsbc/investors/hsbc-results/2022/3q/pdfs/hsbc-uk-bank-plc/221102-pillar-3-disclosures-at-30-september-2022.pdf" TargetMode="External" Id="rId133"/><Relationship Type="http://schemas.openxmlformats.org/officeDocument/2006/relationships/hyperlink" Target="https://www.hsbc.com/-/files/hsbc/investors/hsbc-results/2022/3q/pdfs/hsbc-uk-bank-plc/221102-pillar-3-disclosures-at-30-september-2022.pdf" TargetMode="External" Id="rId134"/><Relationship Type="http://schemas.openxmlformats.org/officeDocument/2006/relationships/hyperlink" Target="https://www.hsbc.com/-/files/hsbc/investors/hsbc-results/2026/interim/pdfs/hsbc-uk-bank-plc/260810-hsbc-uk-bank-plc-pillar-3-disclosures-at-30-june-2026.pdf" TargetMode="External" Id="rId135"/><Relationship Type="http://schemas.openxmlformats.org/officeDocument/2006/relationships/hyperlink" Target="https://www.hsbc.com/-/files/hsbc/investors/hsbc-results/2026/1q/pdfs/hsbc-uk-bank-plc/260508-hbuk-pillar-3-disclosures-at-31-march-2026.pdf" TargetMode="External" Id="rId136"/><Relationship Type="http://schemas.openxmlformats.org/officeDocument/2006/relationships/hyperlink" Target="https://www.hsbc.com/-/files/hsbc/investors/hsbc-results/2025/3q/pdfs/hsbc-uk-bank-plc-ring-fenced-bank/251106-hsbc-uk-bank-plc-pillar-3-disclosures-at-30-september-2025.pdf" TargetMode="External" Id="rId137"/><Relationship Type="http://schemas.openxmlformats.org/officeDocument/2006/relationships/hyperlink" Target="https://www.hsbc.com/-/files/hsbc/investors/hsbc-results/2025/interim/pdfs/hsbc-uk-bank-plc/250806-pillar-3-disclosures-at-30-june-2025.pdf" TargetMode="External" Id="rId138"/><Relationship Type="http://schemas.openxmlformats.org/officeDocument/2006/relationships/hyperlink" Target="https://www.hsbc.com/-/files/hsbc/investors/hsbc-results/2025/1q/pdfs/hsbc-uk-bank-plc/250507-hbuk-pillar-3-disclosures-at-31-march-2025.pdf" TargetMode="External" Id="rId139"/><Relationship Type="http://schemas.openxmlformats.org/officeDocument/2006/relationships/hyperlink" Target="https://www.hsbc.com/-/files/hsbc/investors/hsbc-results/2024/3q/pdfs/hsbc-uk-bank-plc-ring-fenced-bank/241105-hsbc-uk-bank-plc-pillar-3-disclosures-at-30-september-2024.pdf" TargetMode="External" Id="rId140"/><Relationship Type="http://schemas.openxmlformats.org/officeDocument/2006/relationships/hyperlink" Target="https://www.hsbc.com/-/files/hsbc/investors/hsbc-results/2024/interim/pdfs/hsbc-uk-bank-plc/240806-pillar-3-disclosures-at-30-june-2024.pdf" TargetMode="External" Id="rId141"/><Relationship Type="http://schemas.openxmlformats.org/officeDocument/2006/relationships/hyperlink" Target="https://www.hsbc.com/-/files/hsbc/investors/hsbc-results/2024/interim/pdfs/hsbc-uk-bank-plc/240806-pillar-3-disclosures-at-30-june-2024.pdf" TargetMode="External" Id="rId142"/><Relationship Type="http://schemas.openxmlformats.org/officeDocument/2006/relationships/hyperlink" Target="https://www.hsbc.com/-/files/hsbc/investors/hsbc-results/2023/3q/pdfs/hsbc-bank-plc/231106-hsbc-uk-bank-plc-pillar-3-disclosures-at-30-september-2023.pdf" TargetMode="External" Id="rId143"/><Relationship Type="http://schemas.openxmlformats.org/officeDocument/2006/relationships/hyperlink" Target="https://www.hsbc.com/-/files/hsbc/investors/hsbc-results/2023/3q/pdfs/hsbc-bank-plc/231106-hsbc-uk-bank-plc-pillar-3-disclosures-at-30-september-2023.pdf" TargetMode="External" Id="rId144"/><Relationship Type="http://schemas.openxmlformats.org/officeDocument/2006/relationships/hyperlink" Target="https://www.hsbc.com/-/files/hsbc/investors/hsbc-results/2023/3q/pdfs/hsbc-bank-plc/231106-hsbc-uk-bank-plc-pillar-3-disclosures-at-30-september-2023.pdf" TargetMode="External" Id="rId145"/><Relationship Type="http://schemas.openxmlformats.org/officeDocument/2006/relationships/hyperlink" Target="https://www.hsbc.com/-/files/hsbc/investors/hsbc-results/2022/3q/pdfs/hsbc-uk-bank-plc/221102-pillar-3-disclosures-at-30-september-2022.pdf" TargetMode="External" Id="rId146"/><Relationship Type="http://schemas.openxmlformats.org/officeDocument/2006/relationships/hyperlink" Target="https://www.hsbc.com/-/files/hsbc/investors/hsbc-results/2022/3q/pdfs/hsbc-uk-bank-plc/221102-pillar-3-disclosures-at-30-september-2022.pdf" TargetMode="External" Id="rId147"/><Relationship Type="http://schemas.openxmlformats.org/officeDocument/2006/relationships/hyperlink" Target="https://www.hsbc.com/-/files/hsbc/investors/hsbc-results/2022/3q/pdfs/hsbc-uk-bank-plc/221102-pillar-3-disclosures-at-30-september-2022.pdf" TargetMode="External" Id="rId148"/><Relationship Type="http://schemas.openxmlformats.org/officeDocument/2006/relationships/hyperlink" Target="https://www.hsbc.com/-/files/hsbc/investors/hsbc-results/2026/interim/pdfs/hsbc-uk-bank-plc/260810-hsbc-uk-bank-plc-pillar-3-disclosures-at-30-june-2026.pdf" TargetMode="External" Id="rId149"/><Relationship Type="http://schemas.openxmlformats.org/officeDocument/2006/relationships/hyperlink" Target="https://www.hsbc.com/-/files/hsbc/investors/hsbc-results/2026/1q/pdfs/hsbc-uk-bank-plc/260508-hbuk-pillar-3-disclosures-at-31-march-2026.pdf" TargetMode="External" Id="rId150"/><Relationship Type="http://schemas.openxmlformats.org/officeDocument/2006/relationships/hyperlink" Target="https://www.hsbc.com/-/files/hsbc/investors/hsbc-results/2025/3q/pdfs/hsbc-uk-bank-plc-ring-fenced-bank/251106-hsbc-uk-bank-plc-pillar-3-disclosures-at-30-september-2025.pdf" TargetMode="External" Id="rId151"/><Relationship Type="http://schemas.openxmlformats.org/officeDocument/2006/relationships/hyperlink" Target="https://www.hsbc.com/-/files/hsbc/investors/hsbc-results/2025/interim/pdfs/hsbc-uk-bank-plc/250806-pillar-3-disclosures-at-30-june-2025.pdf" TargetMode="External" Id="rId152"/><Relationship Type="http://schemas.openxmlformats.org/officeDocument/2006/relationships/hyperlink" Target="https://www.hsbc.com/-/files/hsbc/investors/hsbc-results/2025/1q/pdfs/hsbc-uk-bank-plc/250507-hbuk-pillar-3-disclosures-at-31-march-2025.pdf" TargetMode="External" Id="rId153"/><Relationship Type="http://schemas.openxmlformats.org/officeDocument/2006/relationships/hyperlink" Target="https://www.hsbc.com/-/files/hsbc/investors/hsbc-results/2024/3q/pdfs/hsbc-uk-bank-plc-ring-fenced-bank/241105-hsbc-uk-bank-plc-pillar-3-disclosures-at-30-september-2024.pdf" TargetMode="External" Id="rId154"/><Relationship Type="http://schemas.openxmlformats.org/officeDocument/2006/relationships/hyperlink" Target="https://www.hsbc.com/-/files/hsbc/investors/hsbc-results/2024/interim/pdfs/hsbc-uk-bank-plc/240806-pillar-3-disclosures-at-30-june-2024.pdf" TargetMode="External" Id="rId155"/><Relationship Type="http://schemas.openxmlformats.org/officeDocument/2006/relationships/hyperlink" Target="https://www.hsbc.com/-/files/hsbc/investors/hsbc-results/2024/interim/pdfs/hsbc-uk-bank-plc/240806-pillar-3-disclosures-at-30-june-2024.pdf" TargetMode="External" Id="rId156"/><Relationship Type="http://schemas.openxmlformats.org/officeDocument/2006/relationships/hyperlink" Target="https://www.hsbc.com/-/files/hsbc/investors/hsbc-results/2023/3q/pdfs/hsbc-bank-plc/231106-hsbc-uk-bank-plc-pillar-3-disclosures-at-30-september-2023.pdf" TargetMode="External" Id="rId157"/><Relationship Type="http://schemas.openxmlformats.org/officeDocument/2006/relationships/hyperlink" Target="https://www.hsbc.com/-/files/hsbc/investors/hsbc-results/2023/3q/pdfs/hsbc-bank-plc/231106-hsbc-uk-bank-plc-pillar-3-disclosures-at-30-september-2023.pdf" TargetMode="External" Id="rId158"/><Relationship Type="http://schemas.openxmlformats.org/officeDocument/2006/relationships/hyperlink" Target="https://www.hsbc.com/-/files/hsbc/investors/hsbc-results/2023/3q/pdfs/hsbc-bank-plc/231106-hsbc-uk-bank-plc-pillar-3-disclosures-at-30-september-2023.pdf" TargetMode="External" Id="rId159"/><Relationship Type="http://schemas.openxmlformats.org/officeDocument/2006/relationships/hyperlink" Target="https://www.hsbc.com/-/files/hsbc/investors/hsbc-results/2022/3q/pdfs/hsbc-uk-bank-plc/221102-pillar-3-disclosures-at-30-september-2022.pdf" TargetMode="External" Id="rId160"/><Relationship Type="http://schemas.openxmlformats.org/officeDocument/2006/relationships/hyperlink" Target="https://www.hsbc.com/-/files/hsbc/investors/hsbc-results/2022/3q/pdfs/hsbc-uk-bank-plc/221102-pillar-3-disclosures-at-30-september-2022.pdf" TargetMode="External" Id="rId161"/><Relationship Type="http://schemas.openxmlformats.org/officeDocument/2006/relationships/hyperlink" Target="https://www.hsbc.com/-/files/hsbc/investors/hsbc-results/2022/3q/pdfs/hsbc-uk-bank-plc/221102-pillar-3-disclosures-at-30-september-2022.pdf" TargetMode="External" Id="rId162"/><Relationship Type="http://schemas.openxmlformats.org/officeDocument/2006/relationships/hyperlink" Target="https://www.hsbc.com/-/files/hsbc/investors/hsbc-results/2022/3q/pdfs/hsbc-uk-bank-plc/221102-pillar-3-disclosures-at-30-september-2022.pdf" TargetMode="External" Id="rId163"/></Relationships>
</file>

<file path=xl/worksheets/sheet1.xml><?xml version="1.0" encoding="utf-8"?>
<worksheet xmlns="http://schemas.openxmlformats.org/spreadsheetml/2006/main">
  <sheetPr>
    <outlinePr summaryBelow="1" summaryRight="1"/>
    <pageSetUpPr/>
  </sheetPr>
  <dimension ref="A1:BF38"/>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s>
  <sheetData>
    <row r="1">
      <c r="A1" s="1" t="inlineStr">
        <is>
          <t>HSBC UK Bank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L5" t="inlineStr">
        <is>
          <t>FY2019</t>
        </is>
      </c>
      <c r="M5" t="inlineStr">
        <is>
          <t>FY2020</t>
        </is>
      </c>
      <c r="N5" t="inlineStr">
        <is>
          <t>FY2021</t>
        </is>
      </c>
      <c r="O5" t="inlineStr">
        <is>
          <t>FY2022</t>
        </is>
      </c>
      <c r="P5" t="inlineStr">
        <is>
          <t>FY2023</t>
        </is>
      </c>
      <c r="Q5" t="inlineStr">
        <is>
          <t>FY2024</t>
        </is>
      </c>
      <c r="R5" t="inlineStr">
        <is>
          <t>FY2025</t>
        </is>
      </c>
      <c r="AZ5" t="inlineStr">
        <is>
          <t>FY2019</t>
        </is>
      </c>
      <c r="BA5" t="inlineStr">
        <is>
          <t>FY2020</t>
        </is>
      </c>
      <c r="BB5" t="inlineStr">
        <is>
          <t>FY2021</t>
        </is>
      </c>
      <c r="BC5" t="inlineStr">
        <is>
          <t>FY2022</t>
        </is>
      </c>
      <c r="BD5" t="inlineStr">
        <is>
          <t>FY2023</t>
        </is>
      </c>
      <c r="BE5" t="inlineStr">
        <is>
          <t>FY2024</t>
        </is>
      </c>
      <c r="BF5" t="inlineStr">
        <is>
          <t>FY2025</t>
        </is>
      </c>
    </row>
    <row r="6">
      <c r="A6" s="5" t="inlineStr">
        <is>
          <t>Total assets</t>
        </is>
      </c>
      <c r="B6" s="5" t="n">
        <v>355930</v>
      </c>
      <c r="C6" s="5" t="n">
        <v>340877</v>
      </c>
      <c r="D6" s="5" t="n">
        <v>332876</v>
      </c>
      <c r="E6" s="5" t="n">
        <v>342441</v>
      </c>
      <c r="F6" s="5" t="n">
        <v>346063</v>
      </c>
      <c r="G6" s="5" t="n">
        <v>304864</v>
      </c>
      <c r="H6" s="5" t="n">
        <v>257102</v>
      </c>
      <c r="K6" t="inlineStr">
        <is>
          <t>Total assets</t>
        </is>
      </c>
      <c r="L6" t="n">
        <v>257102</v>
      </c>
      <c r="M6" t="n">
        <v>304864</v>
      </c>
      <c r="N6" t="n">
        <v>346063</v>
      </c>
      <c r="O6" t="n">
        <v>342441</v>
      </c>
      <c r="P6" t="n">
        <v>332876</v>
      </c>
      <c r="Q6" t="n">
        <v>340877</v>
      </c>
      <c r="R6" t="n">
        <v>355930</v>
      </c>
      <c r="AY6" t="inlineStr">
        <is>
          <t>CET1 Ratio</t>
        </is>
      </c>
      <c r="AZ6" t="n">
        <v>13</v>
      </c>
      <c r="BA6" t="n">
        <v>15.2</v>
      </c>
      <c r="BB6" t="n">
        <v>15.3</v>
      </c>
      <c r="BC6" t="n">
        <v>13.5</v>
      </c>
      <c r="BD6" t="n">
        <v>14</v>
      </c>
      <c r="BE6" t="n">
        <v>13.6</v>
      </c>
      <c r="BF6" t="n">
        <v>13.2</v>
      </c>
    </row>
    <row r="7">
      <c r="A7" s="5" t="inlineStr">
        <is>
          <t>Loans and advances to customers</t>
        </is>
      </c>
      <c r="B7" s="5" t="n">
        <v>231223</v>
      </c>
      <c r="C7" s="5" t="n">
        <v>217604</v>
      </c>
      <c r="D7" s="5" t="n">
        <v>211887</v>
      </c>
      <c r="E7" s="5" t="n">
        <v>204143</v>
      </c>
      <c r="F7" s="5" t="n">
        <v>195526</v>
      </c>
      <c r="G7" s="5" t="n">
        <v>191233</v>
      </c>
      <c r="H7" s="5" t="n">
        <v>183056</v>
      </c>
      <c r="K7" t="inlineStr">
        <is>
          <t>Loans and advances to customers</t>
        </is>
      </c>
      <c r="L7" t="n">
        <v>183056</v>
      </c>
      <c r="M7" t="n">
        <v>191233</v>
      </c>
      <c r="N7" t="n">
        <v>195526</v>
      </c>
      <c r="O7" t="n">
        <v>204143</v>
      </c>
      <c r="P7" t="n">
        <v>211887</v>
      </c>
      <c r="Q7" t="n">
        <v>217604</v>
      </c>
      <c r="R7" t="n">
        <v>231223</v>
      </c>
      <c r="AY7" t="inlineStr">
        <is>
          <t>Tier 1 Ratio</t>
        </is>
      </c>
      <c r="AZ7" t="n">
        <v>15.7</v>
      </c>
      <c r="BA7" t="n">
        <v>17.8</v>
      </c>
      <c r="BB7" t="n">
        <v>18</v>
      </c>
      <c r="BC7" t="n">
        <v>16</v>
      </c>
      <c r="BD7" t="n">
        <v>16.2</v>
      </c>
      <c r="BE7" t="n">
        <v>15.7</v>
      </c>
      <c r="BF7" t="n">
        <v>15.5</v>
      </c>
    </row>
    <row r="8">
      <c r="A8" s="5" t="inlineStr">
        <is>
          <t>Total liabilities</t>
        </is>
      </c>
      <c r="B8" s="5" t="n">
        <v>327669</v>
      </c>
      <c r="C8" s="5" t="n">
        <v>314906</v>
      </c>
      <c r="D8" s="5" t="n">
        <v>306806</v>
      </c>
      <c r="E8" s="5" t="n">
        <v>320215</v>
      </c>
      <c r="F8" s="5" t="n">
        <v>322258</v>
      </c>
      <c r="G8" s="5" t="n">
        <v>282006</v>
      </c>
      <c r="H8" s="5" t="n">
        <v>234851</v>
      </c>
      <c r="K8" t="inlineStr">
        <is>
          <t>Total liabilities</t>
        </is>
      </c>
      <c r="L8" t="n">
        <v>234851</v>
      </c>
      <c r="M8" t="n">
        <v>282006</v>
      </c>
      <c r="N8" t="n">
        <v>322258</v>
      </c>
      <c r="O8" t="n">
        <v>320215</v>
      </c>
      <c r="P8" t="n">
        <v>306806</v>
      </c>
      <c r="Q8" t="n">
        <v>314906</v>
      </c>
      <c r="R8" t="n">
        <v>327669</v>
      </c>
      <c r="AY8" t="inlineStr">
        <is>
          <t>Total Capital Ratio</t>
        </is>
      </c>
      <c r="AZ8" t="n">
        <v>19.2</v>
      </c>
      <c r="BA8" t="n">
        <v>21.3</v>
      </c>
      <c r="BB8" t="n">
        <v>21.6</v>
      </c>
      <c r="BC8" t="n">
        <v>19.3</v>
      </c>
      <c r="BD8" t="n">
        <v>19.5</v>
      </c>
      <c r="BE8" t="n">
        <v>18.6</v>
      </c>
      <c r="BF8" t="n">
        <v>18.6</v>
      </c>
    </row>
    <row r="9">
      <c r="A9" s="5" t="inlineStr">
        <is>
          <t>Total equity</t>
        </is>
      </c>
      <c r="B9" s="5" t="n">
        <v>28261</v>
      </c>
      <c r="C9" s="5" t="n">
        <v>25971</v>
      </c>
      <c r="D9" s="5" t="n">
        <v>26070</v>
      </c>
      <c r="E9" s="5" t="n">
        <v>22226</v>
      </c>
      <c r="F9" s="5" t="n">
        <v>23805</v>
      </c>
      <c r="G9" s="5" t="n">
        <v>22858</v>
      </c>
      <c r="H9" s="5" t="n">
        <v>22251</v>
      </c>
      <c r="K9" t="inlineStr">
        <is>
          <t>Total equity</t>
        </is>
      </c>
      <c r="L9" t="n">
        <v>22251</v>
      </c>
      <c r="M9" t="n">
        <v>22858</v>
      </c>
      <c r="N9" t="n">
        <v>23805</v>
      </c>
      <c r="O9" t="n">
        <v>22226</v>
      </c>
      <c r="P9" t="n">
        <v>26070</v>
      </c>
      <c r="Q9" t="n">
        <v>25971</v>
      </c>
      <c r="R9" t="n">
        <v>28261</v>
      </c>
      <c r="AY9" t="inlineStr">
        <is>
          <t>Leverage Ratio</t>
        </is>
      </c>
      <c r="AZ9" t="n">
        <v>5</v>
      </c>
      <c r="BA9" t="n">
        <v>4.8</v>
      </c>
      <c r="BB9" t="n">
        <v>4.2</v>
      </c>
      <c r="BC9" t="n">
        <v>5.9</v>
      </c>
      <c r="BD9" t="n">
        <v>6.1</v>
      </c>
      <c r="BE9" t="n">
        <v>5.8</v>
      </c>
      <c r="BF9" t="n">
        <v>5.6</v>
      </c>
    </row>
    <row r="10">
      <c r="AY10" t="inlineStr">
        <is>
          <t>LCR</t>
        </is>
      </c>
      <c r="BC10" t="n">
        <v>226</v>
      </c>
      <c r="BD10" t="n">
        <v>201</v>
      </c>
      <c r="BE10" t="n">
        <v>190</v>
      </c>
      <c r="BF10" t="n">
        <v>175</v>
      </c>
    </row>
    <row r="11">
      <c r="A11" s="3" t="inlineStr">
        <is>
          <t>Profit &amp; Loss Summary (£m)</t>
        </is>
      </c>
      <c r="AY11" t="inlineStr">
        <is>
          <t>NSFR</t>
        </is>
      </c>
      <c r="BC11" t="n">
        <v>164</v>
      </c>
      <c r="BD11" t="n">
        <v>158</v>
      </c>
      <c r="BE11" t="n">
        <v>154</v>
      </c>
      <c r="BF11" t="n">
        <v>146</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V12" t="inlineStr">
        <is>
          <t>FY2019</t>
        </is>
      </c>
      <c r="W12" t="inlineStr">
        <is>
          <t>FY2020</t>
        </is>
      </c>
      <c r="X12" t="inlineStr">
        <is>
          <t>FY2021</t>
        </is>
      </c>
      <c r="Y12" t="inlineStr">
        <is>
          <t>FY2022</t>
        </is>
      </c>
      <c r="Z12" t="inlineStr">
        <is>
          <t>FY2023</t>
        </is>
      </c>
      <c r="AA12" t="inlineStr">
        <is>
          <t>FY2024</t>
        </is>
      </c>
      <c r="AB12" t="inlineStr">
        <is>
          <t>FY2025</t>
        </is>
      </c>
    </row>
    <row r="13">
      <c r="A13" s="5" t="inlineStr">
        <is>
          <t>Net interest income</t>
        </is>
      </c>
      <c r="B13" s="5" t="n">
        <v>8650</v>
      </c>
      <c r="C13" s="5" t="n">
        <v>8084</v>
      </c>
      <c r="D13" s="5" t="n">
        <v>7787</v>
      </c>
      <c r="E13" s="5" t="n">
        <v>6203</v>
      </c>
      <c r="F13" s="5" t="n">
        <v>4650</v>
      </c>
      <c r="G13" s="5" t="n">
        <v>4551</v>
      </c>
      <c r="H13" s="5" t="n">
        <v>4752</v>
      </c>
      <c r="U13" t="inlineStr">
        <is>
          <t>Net interest income</t>
        </is>
      </c>
      <c r="V13" t="n">
        <v>4752</v>
      </c>
      <c r="W13" t="n">
        <v>4551</v>
      </c>
      <c r="X13" t="n">
        <v>4650</v>
      </c>
      <c r="Y13" t="n">
        <v>6203</v>
      </c>
      <c r="Z13" t="n">
        <v>7787</v>
      </c>
      <c r="AA13" t="n">
        <v>8084</v>
      </c>
      <c r="AB13" t="n">
        <v>8650</v>
      </c>
    </row>
    <row r="14">
      <c r="A14" s="5" t="inlineStr">
        <is>
          <t>Total operating expenses</t>
        </is>
      </c>
      <c r="B14" s="5" t="n">
        <v>-4310</v>
      </c>
      <c r="C14" s="5" t="n">
        <v>-4017</v>
      </c>
      <c r="D14" s="5" t="n">
        <v>-3707</v>
      </c>
      <c r="E14" s="5" t="n">
        <v>-3832</v>
      </c>
      <c r="F14" s="5" t="n">
        <v>-3759</v>
      </c>
      <c r="G14" s="5" t="n">
        <v>-3753</v>
      </c>
      <c r="H14" s="5" t="n">
        <v>-4861</v>
      </c>
      <c r="U14" t="inlineStr">
        <is>
          <t>Total operating expenses</t>
        </is>
      </c>
      <c r="V14" t="n">
        <v>-4861</v>
      </c>
      <c r="W14" t="n">
        <v>-3753</v>
      </c>
      <c r="X14" t="n">
        <v>-3759</v>
      </c>
      <c r="Y14" t="n">
        <v>-3832</v>
      </c>
      <c r="Z14" t="n">
        <v>-3707</v>
      </c>
      <c r="AA14" t="n">
        <v>-4017</v>
      </c>
      <c r="AB14" t="n">
        <v>-4310</v>
      </c>
    </row>
    <row r="15">
      <c r="A15" s="5" t="inlineStr">
        <is>
          <t>Profit for the year</t>
        </is>
      </c>
      <c r="B15" s="5" t="n">
        <v>4102</v>
      </c>
      <c r="C15" s="5" t="n">
        <v>4139</v>
      </c>
      <c r="D15" s="5" t="n">
        <v>5254</v>
      </c>
      <c r="E15" s="5" t="n">
        <v>2876</v>
      </c>
      <c r="F15" s="5" t="n">
        <v>2368</v>
      </c>
      <c r="G15" s="5" t="n">
        <v>80</v>
      </c>
      <c r="H15" s="5" t="n">
        <v>516</v>
      </c>
      <c r="U15" t="inlineStr">
        <is>
          <t>Profit for the year</t>
        </is>
      </c>
      <c r="V15" t="n">
        <v>516</v>
      </c>
      <c r="W15" t="n">
        <v>80</v>
      </c>
      <c r="X15" t="n">
        <v>2368</v>
      </c>
      <c r="Y15" t="n">
        <v>2876</v>
      </c>
      <c r="Z15" t="n">
        <v>5254</v>
      </c>
      <c r="AA15" t="n">
        <v>4139</v>
      </c>
      <c r="AB15" t="n">
        <v>4102</v>
      </c>
    </row>
    <row r="17">
      <c r="A17" s="3" t="inlineStr">
        <is>
          <t>Statement of Changes in Equity Summary (£m)</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AF18" t="inlineStr">
        <is>
          <t>FY2019</t>
        </is>
      </c>
      <c r="AG18" t="inlineStr">
        <is>
          <t>FY2020</t>
        </is>
      </c>
      <c r="AH18" t="inlineStr">
        <is>
          <t>FY2021</t>
        </is>
      </c>
      <c r="AI18" t="inlineStr">
        <is>
          <t>FY2022</t>
        </is>
      </c>
      <c r="AJ18" t="inlineStr">
        <is>
          <t>FY2023</t>
        </is>
      </c>
      <c r="AK18" t="inlineStr">
        <is>
          <t>FY2024</t>
        </is>
      </c>
      <c r="AL18" t="inlineStr">
        <is>
          <t>FY2025</t>
        </is>
      </c>
    </row>
    <row r="19">
      <c r="A19" s="5" t="inlineStr">
        <is>
          <t>Total comprehensive income for the year</t>
        </is>
      </c>
      <c r="B19" s="5" t="n">
        <v>4830</v>
      </c>
      <c r="C19" s="5" t="n">
        <v>3455</v>
      </c>
      <c r="D19" s="5" t="n">
        <v>6231</v>
      </c>
      <c r="E19" s="5" t="n">
        <v>317</v>
      </c>
      <c r="F19" s="5" t="n">
        <v>1677</v>
      </c>
      <c r="G19" s="5" t="n">
        <v>783</v>
      </c>
      <c r="H19" s="5" t="n">
        <v>340</v>
      </c>
      <c r="AE19" t="inlineStr">
        <is>
          <t>Total comprehensive income for the year</t>
        </is>
      </c>
      <c r="AF19" t="n">
        <v>340</v>
      </c>
      <c r="AG19" t="n">
        <v>783</v>
      </c>
      <c r="AH19" t="n">
        <v>1677</v>
      </c>
      <c r="AI19" t="n">
        <v>317</v>
      </c>
      <c r="AJ19" t="n">
        <v>6231</v>
      </c>
      <c r="AK19" t="n">
        <v>3455</v>
      </c>
      <c r="AL19" t="n">
        <v>4830</v>
      </c>
    </row>
    <row r="20">
      <c r="A20" s="5" t="inlineStr">
        <is>
          <t>Dividends to shareholders</t>
        </is>
      </c>
      <c r="B20" s="5" t="n">
        <v>-3028</v>
      </c>
      <c r="C20" s="5" t="n">
        <v>-3569</v>
      </c>
      <c r="D20" s="5" t="n">
        <v>-2416</v>
      </c>
      <c r="E20" s="5" t="n">
        <v>-1934</v>
      </c>
      <c r="F20" s="5" t="n">
        <v>-752</v>
      </c>
      <c r="G20" s="5" t="n">
        <v>-226</v>
      </c>
      <c r="H20" s="5" t="n">
        <v>-455</v>
      </c>
      <c r="AE20" t="inlineStr">
        <is>
          <t>Dividends to shareholders</t>
        </is>
      </c>
      <c r="AF20" t="n">
        <v>-455</v>
      </c>
      <c r="AG20" t="n">
        <v>-226</v>
      </c>
      <c r="AH20" t="n">
        <v>-752</v>
      </c>
      <c r="AI20" t="n">
        <v>-1934</v>
      </c>
      <c r="AJ20" t="n">
        <v>-2416</v>
      </c>
      <c r="AK20" t="n">
        <v>-3569</v>
      </c>
      <c r="AL20" t="n">
        <v>-3028</v>
      </c>
    </row>
    <row r="22">
      <c r="A22" s="3" t="inlineStr">
        <is>
          <t>Cash Flow Summary (£m)</t>
        </is>
      </c>
    </row>
    <row r="23">
      <c r="A23" s="4" t="inlineStr">
        <is>
          <t>Line item</t>
        </is>
      </c>
      <c r="B23" s="4" t="inlineStr">
        <is>
          <t>FY2025</t>
        </is>
      </c>
      <c r="C23" s="4" t="inlineStr">
        <is>
          <t>FY2024</t>
        </is>
      </c>
      <c r="D23" s="4" t="inlineStr">
        <is>
          <t>FY2023</t>
        </is>
      </c>
      <c r="E23" s="4" t="inlineStr">
        <is>
          <t>FY2022</t>
        </is>
      </c>
      <c r="F23" s="4" t="inlineStr">
        <is>
          <t>FY2021</t>
        </is>
      </c>
      <c r="G23" s="4" t="inlineStr">
        <is>
          <t>FY2020</t>
        </is>
      </c>
      <c r="H23" s="4" t="inlineStr">
        <is>
          <t>FY2019</t>
        </is>
      </c>
      <c r="AP23" t="inlineStr">
        <is>
          <t>FY2019</t>
        </is>
      </c>
      <c r="AQ23" t="inlineStr">
        <is>
          <t>FY2020</t>
        </is>
      </c>
      <c r="AR23" t="inlineStr">
        <is>
          <t>FY2021</t>
        </is>
      </c>
      <c r="AS23" t="inlineStr">
        <is>
          <t>FY2022</t>
        </is>
      </c>
      <c r="AT23" t="inlineStr">
        <is>
          <t>FY2023</t>
        </is>
      </c>
      <c r="AU23" t="inlineStr">
        <is>
          <t>FY2024</t>
        </is>
      </c>
      <c r="AV23" t="inlineStr">
        <is>
          <t>FY2025</t>
        </is>
      </c>
    </row>
    <row r="24">
      <c r="A24" s="5" t="inlineStr">
        <is>
          <t>Net cash from operating activities</t>
        </is>
      </c>
      <c r="B24" s="5" t="n">
        <v>-2275</v>
      </c>
      <c r="C24" s="5" t="n">
        <v>3764</v>
      </c>
      <c r="D24" s="5" t="n">
        <v>-20027</v>
      </c>
      <c r="E24" s="5" t="n">
        <v>-9692</v>
      </c>
      <c r="F24" s="5" t="n">
        <v>30439</v>
      </c>
      <c r="G24" s="5" t="n">
        <v>38576</v>
      </c>
      <c r="H24" s="5" t="n">
        <v>7309</v>
      </c>
      <c r="AO24" t="inlineStr">
        <is>
          <t>Net cash from operating activities</t>
        </is>
      </c>
      <c r="AP24" t="n">
        <v>7309</v>
      </c>
      <c r="AQ24" t="n">
        <v>38576</v>
      </c>
      <c r="AR24" t="n">
        <v>30439</v>
      </c>
      <c r="AS24" t="n">
        <v>-9692</v>
      </c>
      <c r="AT24" t="n">
        <v>-20027</v>
      </c>
      <c r="AU24" t="n">
        <v>3764</v>
      </c>
      <c r="AV24" t="n">
        <v>-2275</v>
      </c>
    </row>
    <row r="25">
      <c r="A25" s="5" t="inlineStr">
        <is>
          <t>Net cash from investing activities</t>
        </is>
      </c>
      <c r="B25" s="5" t="n">
        <v>-4044</v>
      </c>
      <c r="C25" s="5" t="n">
        <v>-11185</v>
      </c>
      <c r="D25" s="5" t="n">
        <v>-6698</v>
      </c>
      <c r="E25" s="5" t="n">
        <v>-2238</v>
      </c>
      <c r="F25" s="5" t="n">
        <v>4132</v>
      </c>
      <c r="G25" s="5" t="n">
        <v>843</v>
      </c>
      <c r="H25" s="5" t="n">
        <v>-7059</v>
      </c>
      <c r="AO25" t="inlineStr">
        <is>
          <t>Net cash from investing activities</t>
        </is>
      </c>
      <c r="AP25" t="n">
        <v>-7059</v>
      </c>
      <c r="AQ25" t="n">
        <v>843</v>
      </c>
      <c r="AR25" t="n">
        <v>4132</v>
      </c>
      <c r="AS25" t="n">
        <v>-2238</v>
      </c>
      <c r="AT25" t="n">
        <v>-6698</v>
      </c>
      <c r="AU25" t="n">
        <v>-11185</v>
      </c>
      <c r="AV25" t="n">
        <v>-4044</v>
      </c>
    </row>
    <row r="26">
      <c r="A26" s="5" t="inlineStr">
        <is>
          <t>Net cash from financing activities</t>
        </is>
      </c>
      <c r="B26" s="5" t="n">
        <v>-1793</v>
      </c>
      <c r="C26" s="5" t="n">
        <v>-2504</v>
      </c>
      <c r="D26" s="5" t="n">
        <v>-166</v>
      </c>
      <c r="E26" s="5" t="n">
        <v>-1934</v>
      </c>
      <c r="F26" s="5" t="n">
        <v>2147</v>
      </c>
      <c r="G26" s="5" t="n">
        <v>-226</v>
      </c>
      <c r="H26" s="5" t="n">
        <v>4164</v>
      </c>
      <c r="AO26" t="inlineStr">
        <is>
          <t>Net cash from financing activities</t>
        </is>
      </c>
      <c r="AP26" t="n">
        <v>4164</v>
      </c>
      <c r="AQ26" t="n">
        <v>-226</v>
      </c>
      <c r="AR26" t="n">
        <v>2147</v>
      </c>
      <c r="AS26" t="n">
        <v>-1934</v>
      </c>
      <c r="AT26" t="n">
        <v>-166</v>
      </c>
      <c r="AU26" t="n">
        <v>-2504</v>
      </c>
      <c r="AV26" t="n">
        <v>-1793</v>
      </c>
    </row>
    <row r="27">
      <c r="A27" s="5" t="inlineStr">
        <is>
          <t>Cash and cash equivalents at 31 Dec</t>
        </is>
      </c>
      <c r="B27" s="5" t="n">
        <v>55299</v>
      </c>
      <c r="C27" s="5" t="n">
        <v>63366</v>
      </c>
      <c r="D27" s="5" t="n">
        <v>73381</v>
      </c>
      <c r="E27" s="5" t="n">
        <v>100319</v>
      </c>
      <c r="F27" s="5" t="n">
        <v>114134</v>
      </c>
      <c r="G27" s="5" t="n">
        <v>77422</v>
      </c>
      <c r="H27" s="5" t="n">
        <v>38086</v>
      </c>
      <c r="AO27" t="inlineStr">
        <is>
          <t>Cash and cash equivalents at 31 Dec</t>
        </is>
      </c>
      <c r="AP27" t="n">
        <v>38086</v>
      </c>
      <c r="AQ27" t="n">
        <v>77422</v>
      </c>
      <c r="AR27" t="n">
        <v>114134</v>
      </c>
      <c r="AS27" t="n">
        <v>100319</v>
      </c>
      <c r="AT27" t="n">
        <v>73381</v>
      </c>
      <c r="AU27" t="n">
        <v>63366</v>
      </c>
      <c r="AV27" t="n">
        <v>55299</v>
      </c>
    </row>
    <row r="29">
      <c r="A29" s="3" t="inlineStr">
        <is>
          <t>Pillar 3 Key Metrics</t>
        </is>
      </c>
    </row>
    <row r="30">
      <c r="A30" s="4" t="inlineStr">
        <is>
          <t>Line item</t>
        </is>
      </c>
      <c r="B30" s="4" t="inlineStr">
        <is>
          <t>FY2025</t>
        </is>
      </c>
      <c r="C30" s="4" t="inlineStr">
        <is>
          <t>FY2024</t>
        </is>
      </c>
      <c r="D30" s="4" t="inlineStr">
        <is>
          <t>FY2023</t>
        </is>
      </c>
      <c r="E30" s="4" t="inlineStr">
        <is>
          <t>FY2022</t>
        </is>
      </c>
      <c r="F30" s="4" t="inlineStr">
        <is>
          <t>FY2021</t>
        </is>
      </c>
      <c r="G30" s="4" t="inlineStr">
        <is>
          <t>FY2020</t>
        </is>
      </c>
      <c r="H30" s="4" t="inlineStr">
        <is>
          <t>FY2019</t>
        </is>
      </c>
    </row>
    <row r="31">
      <c r="A31" s="6" t="inlineStr">
        <is>
          <t>CET1 Ratio</t>
        </is>
      </c>
      <c r="B31" s="6" t="inlineStr">
        <is>
          <t>13.2%</t>
        </is>
      </c>
      <c r="C31" s="6" t="inlineStr">
        <is>
          <t>13.6%</t>
        </is>
      </c>
      <c r="D31" s="6" t="inlineStr">
        <is>
          <t>14.0%</t>
        </is>
      </c>
      <c r="E31" s="6" t="inlineStr">
        <is>
          <t>13.5%</t>
        </is>
      </c>
      <c r="F31" s="6" t="inlineStr">
        <is>
          <t>15.3%</t>
        </is>
      </c>
      <c r="G31" s="6" t="inlineStr">
        <is>
          <t>15.2%</t>
        </is>
      </c>
      <c r="H31" s="6" t="inlineStr">
        <is>
          <t>13.0%</t>
        </is>
      </c>
    </row>
    <row r="32">
      <c r="A32" s="6" t="inlineStr">
        <is>
          <t>Tier 1 Ratio</t>
        </is>
      </c>
      <c r="B32" s="6" t="inlineStr">
        <is>
          <t>15.5%</t>
        </is>
      </c>
      <c r="C32" s="6" t="inlineStr">
        <is>
          <t>15.7%</t>
        </is>
      </c>
      <c r="D32" s="6" t="inlineStr">
        <is>
          <t>16.2%</t>
        </is>
      </c>
      <c r="E32" s="6" t="inlineStr">
        <is>
          <t>16.0%</t>
        </is>
      </c>
      <c r="F32" s="6" t="inlineStr">
        <is>
          <t>18.0%</t>
        </is>
      </c>
      <c r="G32" s="6" t="inlineStr">
        <is>
          <t>17.8%</t>
        </is>
      </c>
      <c r="H32" s="6" t="inlineStr">
        <is>
          <t>15.7%</t>
        </is>
      </c>
    </row>
    <row r="33">
      <c r="A33" s="6" t="inlineStr">
        <is>
          <t>Total Capital Ratio</t>
        </is>
      </c>
      <c r="B33" s="6" t="inlineStr">
        <is>
          <t>18.6%</t>
        </is>
      </c>
      <c r="C33" s="6" t="inlineStr">
        <is>
          <t>18.6%</t>
        </is>
      </c>
      <c r="D33" s="6" t="inlineStr">
        <is>
          <t>19.5%</t>
        </is>
      </c>
      <c r="E33" s="6" t="inlineStr">
        <is>
          <t>19.3%</t>
        </is>
      </c>
      <c r="F33" s="6" t="inlineStr">
        <is>
          <t>21.6%</t>
        </is>
      </c>
      <c r="G33" s="6" t="inlineStr">
        <is>
          <t>21.3%</t>
        </is>
      </c>
      <c r="H33" s="6" t="inlineStr">
        <is>
          <t>19.2%</t>
        </is>
      </c>
    </row>
    <row r="34">
      <c r="A34" s="6" t="inlineStr">
        <is>
          <t>Leverage Ratio</t>
        </is>
      </c>
      <c r="B34" s="6" t="inlineStr">
        <is>
          <t>5.6%</t>
        </is>
      </c>
      <c r="C34" s="6" t="inlineStr">
        <is>
          <t>5.8%</t>
        </is>
      </c>
      <c r="D34" s="6" t="inlineStr">
        <is>
          <t>6.1%</t>
        </is>
      </c>
      <c r="E34" s="6" t="inlineStr">
        <is>
          <t>5.9%</t>
        </is>
      </c>
      <c r="F34" s="6" t="inlineStr">
        <is>
          <t>4.2%</t>
        </is>
      </c>
      <c r="G34" s="6" t="inlineStr">
        <is>
          <t>4.8%</t>
        </is>
      </c>
      <c r="H34" s="6" t="inlineStr">
        <is>
          <t>5.0%</t>
        </is>
      </c>
    </row>
    <row r="35">
      <c r="A35" s="6" t="inlineStr">
        <is>
          <t>LCR</t>
        </is>
      </c>
      <c r="B35" s="6" t="inlineStr">
        <is>
          <t>175%</t>
        </is>
      </c>
      <c r="C35" s="6" t="inlineStr">
        <is>
          <t>190%</t>
        </is>
      </c>
      <c r="D35" s="6" t="inlineStr">
        <is>
          <t>201%</t>
        </is>
      </c>
      <c r="E35" s="6" t="inlineStr">
        <is>
          <t>226%</t>
        </is>
      </c>
      <c r="F35" s="6" t="n"/>
      <c r="G35" s="6" t="n"/>
      <c r="H35" s="6" t="n"/>
    </row>
    <row r="36">
      <c r="A36" s="6" t="inlineStr">
        <is>
          <t>NSFR</t>
        </is>
      </c>
      <c r="B36" s="6" t="inlineStr">
        <is>
          <t>146%</t>
        </is>
      </c>
      <c r="C36" s="6" t="inlineStr">
        <is>
          <t>154%</t>
        </is>
      </c>
      <c r="D36" s="6" t="inlineStr">
        <is>
          <t>158%</t>
        </is>
      </c>
      <c r="E36" s="6" t="inlineStr">
        <is>
          <t>164%</t>
        </is>
      </c>
      <c r="F36" s="6" t="n"/>
      <c r="G36" s="6" t="n"/>
      <c r="H36" s="6" t="n"/>
    </row>
    <row r="38" ht="39" customHeight="1">
      <c r="A38" s="7" t="inlineStr">
        <is>
          <t>Note: Figures are duplicated from the detail sheets for at-a-glance trend viewing; see each sheet's own source citation for the underlying document/page. MREL is not shown here (not disclosed at this entity level - see that sheet). The Leverage Ratio's FY2019/FY2020/FY2021 figures are on a different basis than FY2022-FY2025 - see the Leverage Ratio sheet's note. FY2019 was a period of unusually low profitability (Profit for the year £516m, then £80m in FY2020) driven by elevated expected credit loss charges and Covid-19-era provisioning, not a data error - see the Profit &amp; Loss sheet.</t>
        </is>
      </c>
    </row>
  </sheetData>
  <mergeCells count="1">
    <mergeCell ref="A38:H3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4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HSBC UK Bank plc — Consolidated Balance Sheet</t>
        </is>
      </c>
    </row>
    <row r="2">
      <c r="A2" s="2" t="inlineStr">
        <is>
          <t>HSBC UK Bank plc consolidated, £m. Called up share capital is nil/negligible throughout (rounds to £0m). See source note at bottom.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row>
    <row r="4">
      <c r="A4" s="5" t="inlineStr">
        <is>
          <t>Assets</t>
        </is>
      </c>
      <c r="B4" s="6" t="n"/>
      <c r="C4" s="6" t="n"/>
      <c r="D4" s="6" t="n"/>
      <c r="E4" s="6" t="n"/>
      <c r="F4" s="6" t="n"/>
      <c r="G4" s="6" t="n"/>
      <c r="H4" s="6" t="n"/>
    </row>
    <row r="5">
      <c r="A5" s="6" t="inlineStr">
        <is>
          <t>Cash and balances at central banks</t>
        </is>
      </c>
      <c r="B5" s="6" t="n">
        <v>40369</v>
      </c>
      <c r="C5" s="6" t="n">
        <v>52276</v>
      </c>
      <c r="D5" s="6" t="n">
        <v>65719</v>
      </c>
      <c r="E5" s="6" t="n">
        <v>94407</v>
      </c>
      <c r="F5" s="6" t="n">
        <v>112478</v>
      </c>
      <c r="G5" s="6" t="n">
        <v>76429</v>
      </c>
      <c r="H5" s="6" t="n">
        <v>37030</v>
      </c>
    </row>
    <row r="6">
      <c r="A6" s="6" t="inlineStr">
        <is>
          <t>Items in the course of collection from other banks</t>
        </is>
      </c>
      <c r="B6" s="6" t="n"/>
      <c r="C6" s="6" t="n"/>
      <c r="D6" s="6" t="n">
        <v>284</v>
      </c>
      <c r="E6" s="6" t="n">
        <v>353</v>
      </c>
      <c r="F6" s="6" t="n">
        <v>299</v>
      </c>
      <c r="G6" s="6" t="n">
        <v>253</v>
      </c>
      <c r="H6" s="6" t="n">
        <v>504</v>
      </c>
    </row>
    <row r="7">
      <c r="A7" s="6" t="inlineStr">
        <is>
          <t>Financial assets mandatorily measured at fair value through profit or loss</t>
        </is>
      </c>
      <c r="B7" s="6" t="n">
        <v>175</v>
      </c>
      <c r="C7" s="6" t="n">
        <v>174</v>
      </c>
      <c r="D7" s="6" t="n">
        <v>135</v>
      </c>
      <c r="E7" s="6" t="n">
        <v>108</v>
      </c>
      <c r="F7" s="6" t="n">
        <v>79</v>
      </c>
      <c r="G7" s="6" t="n">
        <v>26</v>
      </c>
      <c r="H7" s="6" t="n">
        <v>66</v>
      </c>
    </row>
    <row r="8">
      <c r="A8" s="6" t="inlineStr">
        <is>
          <t>Derivatives</t>
        </is>
      </c>
      <c r="B8" s="6" t="n">
        <v>167</v>
      </c>
      <c r="C8" s="6" t="n">
        <v>298</v>
      </c>
      <c r="D8" s="6" t="n">
        <v>178</v>
      </c>
      <c r="E8" s="6" t="n">
        <v>546</v>
      </c>
      <c r="F8" s="6" t="n">
        <v>64</v>
      </c>
      <c r="G8" s="6" t="n">
        <v>155</v>
      </c>
      <c r="H8" s="6" t="n">
        <v>121</v>
      </c>
    </row>
    <row r="9">
      <c r="A9" s="6" t="inlineStr">
        <is>
          <t>Loans and advances to banks</t>
        </is>
      </c>
      <c r="B9" s="6" t="n">
        <v>6636</v>
      </c>
      <c r="C9" s="6" t="n">
        <v>7263</v>
      </c>
      <c r="D9" s="6" t="n">
        <v>7980</v>
      </c>
      <c r="E9" s="6" t="n">
        <v>6357</v>
      </c>
      <c r="F9" s="6" t="n">
        <v>1914</v>
      </c>
      <c r="G9" s="6" t="n">
        <v>1514</v>
      </c>
      <c r="H9" s="6" t="n">
        <v>1389</v>
      </c>
    </row>
    <row r="10">
      <c r="A10" s="6" t="inlineStr">
        <is>
          <t>Loans and advances to customers</t>
        </is>
      </c>
      <c r="B10" s="6" t="n">
        <v>231223</v>
      </c>
      <c r="C10" s="6" t="n">
        <v>217604</v>
      </c>
      <c r="D10" s="6" t="n">
        <v>211887</v>
      </c>
      <c r="E10" s="6" t="n">
        <v>204143</v>
      </c>
      <c r="F10" s="6" t="n">
        <v>195526</v>
      </c>
      <c r="G10" s="6" t="n">
        <v>191233</v>
      </c>
      <c r="H10" s="6" t="n">
        <v>183056</v>
      </c>
    </row>
    <row r="11">
      <c r="A11" s="6" t="inlineStr">
        <is>
          <t>Reverse repurchase agreements - non-trading</t>
        </is>
      </c>
      <c r="B11" s="6" t="n">
        <v>21560</v>
      </c>
      <c r="C11" s="6" t="n">
        <v>11776</v>
      </c>
      <c r="D11" s="6" t="n">
        <v>7686</v>
      </c>
      <c r="E11" s="6" t="n">
        <v>7406</v>
      </c>
      <c r="F11" s="6" t="n">
        <v>7988</v>
      </c>
      <c r="G11" s="6" t="n">
        <v>2485</v>
      </c>
      <c r="H11" s="6" t="n">
        <v>3014</v>
      </c>
    </row>
    <row r="12">
      <c r="A12" s="6" t="inlineStr">
        <is>
          <t>Financial investments</t>
        </is>
      </c>
      <c r="B12" s="6" t="n">
        <v>41638</v>
      </c>
      <c r="C12" s="6" t="n">
        <v>37801</v>
      </c>
      <c r="D12" s="6" t="n">
        <v>26315</v>
      </c>
      <c r="E12" s="6" t="n">
        <v>16092</v>
      </c>
      <c r="F12" s="6" t="n">
        <v>14377</v>
      </c>
      <c r="G12" s="6" t="n">
        <v>19309</v>
      </c>
      <c r="H12" s="6" t="n">
        <v>19737</v>
      </c>
    </row>
    <row r="13">
      <c r="A13" s="6" t="inlineStr">
        <is>
          <t>Prepayments, accrued income and other assets</t>
        </is>
      </c>
      <c r="B13" s="6" t="n">
        <v>9736</v>
      </c>
      <c r="C13" s="6" t="n">
        <v>9303</v>
      </c>
      <c r="D13" s="6" t="n">
        <v>8321</v>
      </c>
      <c r="E13" s="6" t="n">
        <v>8762</v>
      </c>
      <c r="F13" s="6" t="n">
        <v>9136</v>
      </c>
      <c r="G13" s="6" t="n">
        <v>9310</v>
      </c>
      <c r="H13" s="6" t="n">
        <v>8203</v>
      </c>
    </row>
    <row r="14">
      <c r="A14" s="6" t="inlineStr">
        <is>
          <t>Current tax assets</t>
        </is>
      </c>
      <c r="B14" s="6" t="n">
        <v>3</v>
      </c>
      <c r="C14" s="6" t="n"/>
      <c r="D14" s="6" t="n"/>
      <c r="E14" s="6" t="n"/>
      <c r="F14" s="6" t="n"/>
      <c r="G14" s="6" t="n">
        <v>49</v>
      </c>
      <c r="H14" s="6" t="n"/>
    </row>
    <row r="15">
      <c r="A15" s="6" t="inlineStr">
        <is>
          <t>Interests in joint ventures</t>
        </is>
      </c>
      <c r="B15" s="6" t="n">
        <v>10</v>
      </c>
      <c r="C15" s="6" t="n">
        <v>9</v>
      </c>
      <c r="D15" s="6" t="n">
        <v>8</v>
      </c>
      <c r="E15" s="6" t="n">
        <v>9</v>
      </c>
      <c r="F15" s="6" t="n">
        <v>9</v>
      </c>
      <c r="G15" s="6" t="n">
        <v>8</v>
      </c>
      <c r="H15" s="6" t="n">
        <v>9</v>
      </c>
    </row>
    <row r="16">
      <c r="A16" s="6" t="inlineStr">
        <is>
          <t>Goodwill and intangible assets</t>
        </is>
      </c>
      <c r="B16" s="6" t="n">
        <v>4413</v>
      </c>
      <c r="C16" s="6" t="n">
        <v>4373</v>
      </c>
      <c r="D16" s="6" t="n">
        <v>4363</v>
      </c>
      <c r="E16" s="6" t="n">
        <v>4258</v>
      </c>
      <c r="F16" s="6" t="n">
        <v>4193</v>
      </c>
      <c r="G16" s="6" t="n">
        <v>4093</v>
      </c>
      <c r="H16" s="6" t="n">
        <v>3973</v>
      </c>
    </row>
    <row r="17">
      <c r="A17" s="5" t="inlineStr">
        <is>
          <t>Total assets</t>
        </is>
      </c>
      <c r="B17" s="5" t="n">
        <v>355930</v>
      </c>
      <c r="C17" s="5" t="n">
        <v>340877</v>
      </c>
      <c r="D17" s="5" t="n">
        <v>332876</v>
      </c>
      <c r="E17" s="5" t="n">
        <v>342441</v>
      </c>
      <c r="F17" s="5" t="n">
        <v>346063</v>
      </c>
      <c r="G17" s="5" t="n">
        <v>304864</v>
      </c>
      <c r="H17" s="5" t="n">
        <v>257102</v>
      </c>
    </row>
    <row r="18">
      <c r="A18" s="5" t="inlineStr">
        <is>
          <t>Liabilities</t>
        </is>
      </c>
      <c r="B18" s="6" t="n"/>
      <c r="C18" s="6" t="n"/>
      <c r="D18" s="6" t="n"/>
      <c r="E18" s="6" t="n"/>
      <c r="F18" s="6" t="n"/>
      <c r="G18" s="6" t="n"/>
      <c r="H18" s="6" t="n"/>
    </row>
    <row r="19">
      <c r="A19" s="6" t="inlineStr">
        <is>
          <t>Deposits by banks</t>
        </is>
      </c>
      <c r="B19" s="6" t="n">
        <v>7709</v>
      </c>
      <c r="C19" s="6" t="n">
        <v>11144</v>
      </c>
      <c r="D19" s="6" t="n">
        <v>10843</v>
      </c>
      <c r="E19" s="6" t="n">
        <v>10721</v>
      </c>
      <c r="F19" s="6" t="n">
        <v>11180</v>
      </c>
      <c r="G19" s="6" t="n">
        <v>540</v>
      </c>
      <c r="H19" s="6" t="n">
        <v>529</v>
      </c>
    </row>
    <row r="20">
      <c r="A20" s="6" t="inlineStr">
        <is>
          <t>Customer accounts</t>
        </is>
      </c>
      <c r="B20" s="6" t="n">
        <v>288756</v>
      </c>
      <c r="C20" s="6" t="n">
        <v>280366</v>
      </c>
      <c r="D20" s="6" t="n">
        <v>268345</v>
      </c>
      <c r="E20" s="6" t="n">
        <v>281095</v>
      </c>
      <c r="F20" s="6" t="n">
        <v>281870</v>
      </c>
      <c r="G20" s="6" t="n">
        <v>259341</v>
      </c>
      <c r="H20" s="6" t="n">
        <v>216214</v>
      </c>
    </row>
    <row r="21">
      <c r="A21" s="6" t="inlineStr">
        <is>
          <t>Repurchase agreements - non-trading</t>
        </is>
      </c>
      <c r="B21" s="6" t="n">
        <v>6276</v>
      </c>
      <c r="C21" s="6" t="n">
        <v>420</v>
      </c>
      <c r="D21" s="6" t="n">
        <v>4652</v>
      </c>
      <c r="E21" s="6" t="n">
        <v>9333</v>
      </c>
      <c r="F21" s="6" t="n">
        <v>10438</v>
      </c>
      <c r="G21" s="6" t="n">
        <v>6150</v>
      </c>
      <c r="H21" s="6" t="n">
        <v>98</v>
      </c>
    </row>
    <row r="22">
      <c r="A22" s="6" t="inlineStr">
        <is>
          <t>Items in the course of transmission to other banks</t>
        </is>
      </c>
      <c r="B22" s="6" t="n"/>
      <c r="C22" s="6" t="n"/>
      <c r="D22" s="6" t="n">
        <v>411</v>
      </c>
      <c r="E22" s="6" t="n">
        <v>308</v>
      </c>
      <c r="F22" s="6" t="n">
        <v>151</v>
      </c>
      <c r="G22" s="6" t="n">
        <v>132</v>
      </c>
      <c r="H22" s="6" t="n">
        <v>343</v>
      </c>
    </row>
    <row r="23">
      <c r="A23" s="6" t="inlineStr">
        <is>
          <t>Derivatives</t>
        </is>
      </c>
      <c r="B23" s="6" t="n">
        <v>162</v>
      </c>
      <c r="C23" s="6" t="n">
        <v>107</v>
      </c>
      <c r="D23" s="6" t="n">
        <v>108</v>
      </c>
      <c r="E23" s="6" t="n">
        <v>304</v>
      </c>
      <c r="F23" s="6" t="n">
        <v>292</v>
      </c>
      <c r="G23" s="6" t="n">
        <v>365</v>
      </c>
      <c r="H23" s="6" t="n">
        <v>201</v>
      </c>
    </row>
    <row r="24">
      <c r="A24" s="6" t="inlineStr">
        <is>
          <t>Debt securities in issue</t>
        </is>
      </c>
      <c r="B24" s="6" t="n">
        <v>3019</v>
      </c>
      <c r="C24" s="6" t="n">
        <v>2044</v>
      </c>
      <c r="D24" s="6" t="n">
        <v>1988</v>
      </c>
      <c r="E24" s="6" t="n">
        <v>1299</v>
      </c>
      <c r="F24" s="6" t="n">
        <v>900</v>
      </c>
      <c r="G24" s="6" t="n">
        <v>866</v>
      </c>
      <c r="H24" s="6" t="n">
        <v>3142</v>
      </c>
    </row>
    <row r="25">
      <c r="A25" s="6" t="inlineStr">
        <is>
          <t>Accruals, deferred income and other liabilities</t>
        </is>
      </c>
      <c r="B25" s="6" t="n">
        <v>3524</v>
      </c>
      <c r="C25" s="6" t="n">
        <v>3476</v>
      </c>
      <c r="D25" s="6" t="n">
        <v>4124</v>
      </c>
      <c r="E25" s="6" t="n">
        <v>3543</v>
      </c>
      <c r="F25" s="6" t="n">
        <v>1674</v>
      </c>
      <c r="G25" s="6" t="n">
        <v>1941</v>
      </c>
      <c r="H25" s="6" t="n">
        <v>1834</v>
      </c>
    </row>
    <row r="26">
      <c r="A26" s="6" t="inlineStr">
        <is>
          <t>Current tax liabilities</t>
        </is>
      </c>
      <c r="B26" s="6" t="n">
        <v>218</v>
      </c>
      <c r="C26" s="6" t="n">
        <v>449</v>
      </c>
      <c r="D26" s="6" t="n">
        <v>276</v>
      </c>
      <c r="E26" s="6" t="n">
        <v>173</v>
      </c>
      <c r="F26" s="6" t="n">
        <v>802</v>
      </c>
      <c r="G26" s="6" t="n"/>
      <c r="H26" s="6" t="n">
        <v>409</v>
      </c>
    </row>
    <row r="27">
      <c r="A27" s="6" t="inlineStr">
        <is>
          <t>Provisions</t>
        </is>
      </c>
      <c r="B27" s="6" t="n">
        <v>264</v>
      </c>
      <c r="C27" s="6" t="n">
        <v>265</v>
      </c>
      <c r="D27" s="6" t="n">
        <v>350</v>
      </c>
      <c r="E27" s="6" t="n">
        <v>424</v>
      </c>
      <c r="F27" s="6" t="n">
        <v>495</v>
      </c>
      <c r="G27" s="6" t="n">
        <v>979</v>
      </c>
      <c r="H27" s="6" t="n">
        <v>1325</v>
      </c>
    </row>
    <row r="28">
      <c r="A28" s="6" t="inlineStr">
        <is>
          <t>Deferred tax liabilities</t>
        </is>
      </c>
      <c r="B28" s="6" t="n">
        <v>1318</v>
      </c>
      <c r="C28" s="6" t="n">
        <v>949</v>
      </c>
      <c r="D28" s="6" t="n">
        <v>1111</v>
      </c>
      <c r="E28" s="6" t="n">
        <v>666</v>
      </c>
      <c r="F28" s="6" t="n">
        <v>1969</v>
      </c>
      <c r="G28" s="6" t="n">
        <v>1677</v>
      </c>
      <c r="H28" s="6" t="n">
        <v>1223</v>
      </c>
    </row>
    <row r="29">
      <c r="A29" s="6" t="inlineStr">
        <is>
          <t>Subordinated liabilities</t>
        </is>
      </c>
      <c r="B29" s="6" t="n">
        <v>16423</v>
      </c>
      <c r="C29" s="6" t="n">
        <v>15686</v>
      </c>
      <c r="D29" s="6" t="n">
        <v>14598</v>
      </c>
      <c r="E29" s="6" t="n">
        <v>12349</v>
      </c>
      <c r="F29" s="6" t="n">
        <v>12487</v>
      </c>
      <c r="G29" s="6" t="n">
        <v>10015</v>
      </c>
      <c r="H29" s="6" t="n">
        <v>9533</v>
      </c>
    </row>
    <row r="30">
      <c r="A30" s="5" t="inlineStr">
        <is>
          <t>Total liabilities</t>
        </is>
      </c>
      <c r="B30" s="5" t="n">
        <v>327669</v>
      </c>
      <c r="C30" s="5" t="n">
        <v>314906</v>
      </c>
      <c r="D30" s="5" t="n">
        <v>306806</v>
      </c>
      <c r="E30" s="5" t="n">
        <v>320215</v>
      </c>
      <c r="F30" s="5" t="n">
        <v>322258</v>
      </c>
      <c r="G30" s="5" t="n">
        <v>282006</v>
      </c>
      <c r="H30" s="5" t="n">
        <v>234851</v>
      </c>
    </row>
    <row r="31">
      <c r="A31" s="5" t="inlineStr">
        <is>
          <t>Equity</t>
        </is>
      </c>
      <c r="B31" s="6" t="n"/>
      <c r="C31" s="6" t="n"/>
      <c r="D31" s="6" t="n"/>
      <c r="E31" s="6" t="n"/>
      <c r="F31" s="6" t="n"/>
      <c r="G31" s="6" t="n"/>
      <c r="H31" s="6" t="n"/>
    </row>
    <row r="32">
      <c r="A32" s="6" t="inlineStr">
        <is>
          <t>Called up share capital</t>
        </is>
      </c>
      <c r="B32" s="6" t="n"/>
      <c r="C32" s="6" t="n"/>
      <c r="D32" s="6" t="n"/>
      <c r="E32" s="6" t="n"/>
      <c r="F32" s="6" t="n"/>
      <c r="G32" s="6" t="n"/>
      <c r="H32" s="6" t="n"/>
    </row>
    <row r="33">
      <c r="A33" s="6" t="inlineStr">
        <is>
          <t>Share premium account</t>
        </is>
      </c>
      <c r="B33" s="6" t="n"/>
      <c r="C33" s="6" t="n"/>
      <c r="D33" s="6" t="n">
        <v>9015</v>
      </c>
      <c r="E33" s="6" t="n">
        <v>9015</v>
      </c>
      <c r="F33" s="6" t="n">
        <v>9015</v>
      </c>
      <c r="G33" s="6" t="n">
        <v>9015</v>
      </c>
      <c r="H33" s="6" t="n">
        <v>9015</v>
      </c>
    </row>
    <row r="34">
      <c r="A34" s="6" t="inlineStr">
        <is>
          <t>Other equity instruments</t>
        </is>
      </c>
      <c r="B34" s="6" t="n">
        <v>2691</v>
      </c>
      <c r="C34" s="6" t="n">
        <v>2196</v>
      </c>
      <c r="D34" s="6" t="n">
        <v>2196</v>
      </c>
      <c r="E34" s="6" t="n">
        <v>2196</v>
      </c>
      <c r="F34" s="6" t="n">
        <v>2196</v>
      </c>
      <c r="G34" s="6" t="n">
        <v>2196</v>
      </c>
      <c r="H34" s="6" t="n">
        <v>2196</v>
      </c>
    </row>
    <row r="35">
      <c r="A35" s="6" t="inlineStr">
        <is>
          <t>Other reserves</t>
        </is>
      </c>
      <c r="B35" s="6" t="n">
        <v>2387</v>
      </c>
      <c r="C35" s="6" t="n">
        <v>1579</v>
      </c>
      <c r="D35" s="6" t="n">
        <v>7226</v>
      </c>
      <c r="E35" s="6" t="n">
        <v>6121</v>
      </c>
      <c r="F35" s="6" t="n">
        <v>7657</v>
      </c>
      <c r="G35" s="6" t="n">
        <v>7838</v>
      </c>
      <c r="H35" s="6" t="n">
        <v>7688</v>
      </c>
    </row>
    <row r="36">
      <c r="A36" s="6" t="inlineStr">
        <is>
          <t>Retained earnings</t>
        </is>
      </c>
      <c r="B36" s="6" t="n">
        <v>23163</v>
      </c>
      <c r="C36" s="6" t="n">
        <v>22136</v>
      </c>
      <c r="D36" s="6" t="n">
        <v>7573</v>
      </c>
      <c r="E36" s="6" t="n">
        <v>4834</v>
      </c>
      <c r="F36" s="6" t="n">
        <v>4877</v>
      </c>
      <c r="G36" s="6" t="n">
        <v>3749</v>
      </c>
      <c r="H36" s="6" t="n">
        <v>3292</v>
      </c>
    </row>
    <row r="37">
      <c r="A37" s="5" t="inlineStr">
        <is>
          <t>Total shareholders' equity</t>
        </is>
      </c>
      <c r="B37" s="5" t="n">
        <v>28241</v>
      </c>
      <c r="C37" s="5" t="n">
        <v>25911</v>
      </c>
      <c r="D37" s="5" t="n">
        <v>26010</v>
      </c>
      <c r="E37" s="5" t="n">
        <v>22166</v>
      </c>
      <c r="F37" s="5" t="n">
        <v>23745</v>
      </c>
      <c r="G37" s="5" t="n">
        <v>22798</v>
      </c>
      <c r="H37" s="5" t="n">
        <v>22191</v>
      </c>
    </row>
    <row r="38">
      <c r="A38" s="6" t="inlineStr">
        <is>
          <t>Non-controlling interests</t>
        </is>
      </c>
      <c r="B38" s="6" t="n">
        <v>20</v>
      </c>
      <c r="C38" s="6" t="n">
        <v>60</v>
      </c>
      <c r="D38" s="6" t="n">
        <v>60</v>
      </c>
      <c r="E38" s="6" t="n">
        <v>60</v>
      </c>
      <c r="F38" s="6" t="n">
        <v>60</v>
      </c>
      <c r="G38" s="6" t="n">
        <v>60</v>
      </c>
      <c r="H38" s="6" t="n">
        <v>60</v>
      </c>
    </row>
    <row r="39">
      <c r="A39" s="5" t="inlineStr">
        <is>
          <t>Total equity</t>
        </is>
      </c>
      <c r="B39" s="5" t="n">
        <v>28261</v>
      </c>
      <c r="C39" s="5" t="n">
        <v>25971</v>
      </c>
      <c r="D39" s="5" t="n">
        <v>26070</v>
      </c>
      <c r="E39" s="5" t="n">
        <v>22226</v>
      </c>
      <c r="F39" s="5" t="n">
        <v>23805</v>
      </c>
      <c r="G39" s="5" t="n">
        <v>22858</v>
      </c>
      <c r="H39" s="5" t="n">
        <v>22251</v>
      </c>
    </row>
    <row r="40">
      <c r="A40" s="5" t="inlineStr">
        <is>
          <t>Total liabilities and equity</t>
        </is>
      </c>
      <c r="B40" s="5" t="n">
        <v>355930</v>
      </c>
      <c r="C40" s="5" t="n">
        <v>340877</v>
      </c>
      <c r="D40" s="5" t="n">
        <v>332876</v>
      </c>
      <c r="E40" s="5" t="n">
        <v>342441</v>
      </c>
      <c r="F40" s="5" t="n">
        <v>346063</v>
      </c>
      <c r="G40" s="5" t="n">
        <v>304864</v>
      </c>
      <c r="H40" s="5" t="n">
        <v>257102</v>
      </c>
    </row>
    <row r="42" ht="390" customHeight="1">
      <c r="A42" s="8" t="inlineStr">
        <is>
          <t>Sources - HSBC UK Bank plc's own Consolidated balance sheet, £m:
FY2025 &amp; FY2024: Annual Report and Accounts 2025, p.78 - https://www.hsbc.com/-/files/hsbc/investors/hsbc-results/2025/annual/pdfs/hsbc-uk-bank-plc/260225-annual-report-and-accounts-2025.pdf
FY2023 &amp; FY2022: Annual Report and Accounts 2023, p.80 - https://www.hsbc.com/-/files/hsbc/investors/hsbc-results/2023/annual/pdfs/hsbc-uk-bank-plc/240221-annual-report-and-accounts-2023.pdf
FY2021: Annual Report and Accounts 2021, p.75 - https://www.hsbc.com/-/files/hsbc/investors/hsbc-results/2021/annual/pdfs/hsbc-uk-bank-plc/220222-annual-report-and-accounts-2021.pdf
FY2020: Annual Report and Accounts 2020, p.82 - https://www.hsbc.com/-/files/hsbc/investors/hsbc-results/2020/annual/pdfs/hsbc-uk-bank-plc/210223-annual-report-and-accounts-2020.pdf
FY2019: Annual Report and Accounts 2019, p.72 - https://www.hsbc.com/-/files/hsbc/investors/hsbc-results/2019/annual/pdfs/hsbc-uk-bank-plc/200218-annual-report-and-accounts-2019.pdf
Presentation note: 'Items in the course of collection from other banks' and 'Items in the course of transmission to other banks' appear as separate lines FY2023/FY2022/FY2021/FY2020/FY2019 - removed from the balance sheet's own presentation from FY2024 onward. 'Current tax assets' only appears FY2025 and FY2020 (nil in other years, per each year's own report). All Total rows reconcile exactly (Total assets = Total liabilities + Total equity for every year).
ENTITY NOTE: figures are HSBC UK Bank plc's own Consolidated statements (the ring-fenced retail/SME banking entity, distinct from HSBC Bank plc and HSBC Innovation Bank - see the entity note on the Cash Flow Statement sheet), £m, each year's own originally-published figures (not later restated comparatives). Sourced from each year's own Annual Report and Accounts:
FY2025 &amp; FY2024: HSBC UK Bank plc Annual Report and Accounts 2025 - https://www.hsbc.com/-/files/hsbc/investors/hsbc-results/2025/annual/pdfs/hsbc-uk-bank-plc/260225-annual-report-and-accounts-2025.pdf
FY2023 &amp; FY2022: HSBC UK Bank plc Annual Report and Accounts 2023 - https://www.hsbc.com/-/files/hsbc/investors/hsbc-results/2023/annual/pdfs/hsbc-uk-bank-plc/240221-annual-report-and-accounts-2023.pdf
FY2021: HSBC UK Bank plc Annual Report and Accounts 2021 - https://www.hsbc.com/-/files/hsbc/investors/hsbc-results/2021/annual/pdfs/hsbc-uk-bank-plc/220222-annual-report-and-accounts-2021.pdf
FY2020: HSBC UK Bank plc Annual Report and Accounts 2020 - https://www.hsbc.com/-/files/hsbc/investors/hsbc-results/2020/annual/pdfs/hsbc-uk-bank-plc/210223-annual-report-and-accounts-2020.pdf
FY2019: HSBC UK Bank plc Annual Report and Accounts 2019 - https://www.hsbc.com/-/files/hsbc/investors/hsbc-results/2019/annual/pdfs/hsbc-uk-bank-plc/200218-annual-report-and-accounts-2019.pdf
ENTITY NOTE: HSBC UK Bank plc (Companies House 09928412, FRN 765112) is the ring-fenced retail/SME banking entity created in 2018 under UK ring-fencing reform - confirmed distinct from HSBC Bank plc (FRN 114216, the legacy non-ring-fenced entity, built separately in WF-012) and HSBC Innovation Bank Limited (FRN 543146, the former Silicon Valley Bank UK, also built in WF-012). All figures below are HSBC UK Bank plc's own entity-level Consolidated statements, sourced directly from HSBC UK Bank plc's own Annual Report and Accounts and Pillar 3 Disclosures on hsbc.com's investor-relations subsidiaries reporting archive.
HISTORICAL FLOOR (HD-019, independently verified - not assumed from GLEIF entity-creation date): HSBC UK Bank plc's legal entity was incorporated 23 December 2015 as a dormant shelf company ('HSBC UK RFB Limited'), but it did not begin real banking operations until the UK ring-fencing transfer on 1 July 2018 (confirmed directly against the entity's own Annual Report and Accounts 2017, which states the company 'made a pre-tax profit of £16,000... representing interest earned on UK treasury gilts' with 'no relevant audit information' and total equity of £15.01m - i.e. a genuine shell, not a trading bank; and against the entity's own Annual Report and Accounts 2018, whose audited financial statements cover only the six months to 31 December 2018, since 'HSBC UK's banking operations commenced on 1 July 2018'). This is the same UK ring-fencing gating event, under the same Financial Services (Banking Reform) Act 2013 regime, found for Barclays Bank UK PLC in HD-001. FY2018 itself is therefore NOT usable as a year column in this workbook: its own audited income statement, statement of comprehensive income, cash flow statement and equity roll-forward all cover only a 6-month stub period (1 July-31 December 2018), not comparable to the full 12-month columns used everywhere else in this workbook. The floor used here is FY2019 - the entity's own first genuine full 12-month audited reporting year - confirmed directly against HSBC UK Bank plc's own Annual Report and Accounts 2019, whose Consolidated income statement is explicitly 'for the year ended 31 December 2019' with the note 'the period from 1 January 2019 to 31 December 2019'. FY2019 and FY2020 Pillar 3 Disclosures documents are no longer live on hsbc.com and were retrieved via Wayback Machine snapshots of their original hsbc.com URLs.</t>
        </is>
      </c>
    </row>
  </sheetData>
  <mergeCells count="1">
    <mergeCell ref="A42:H4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HSBC UK Bank plc — Consolidated Income Statement &amp; Statement of Comprehensive Income</t>
        </is>
      </c>
    </row>
    <row r="2">
      <c r="A2" s="2" t="inlineStr">
        <is>
          <t>HSBC UK Bank plc consolidated, £m. See source note at bottom.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row>
    <row r="4">
      <c r="A4" s="5" t="inlineStr">
        <is>
          <t>Income</t>
        </is>
      </c>
      <c r="B4" s="6" t="n"/>
      <c r="C4" s="6" t="n"/>
      <c r="D4" s="6" t="n"/>
      <c r="E4" s="6" t="n"/>
      <c r="F4" s="6" t="n"/>
      <c r="G4" s="6" t="n"/>
      <c r="H4" s="6" t="n"/>
    </row>
    <row r="5">
      <c r="A5" s="6" t="inlineStr">
        <is>
          <t>Interest income</t>
        </is>
      </c>
      <c r="B5" s="6" t="n">
        <v>14860</v>
      </c>
      <c r="C5" s="6" t="n">
        <v>14789</v>
      </c>
      <c r="D5" s="6" t="n">
        <v>12915</v>
      </c>
      <c r="E5" s="6" t="n">
        <v>7592</v>
      </c>
      <c r="F5" s="6" t="n">
        <v>5072</v>
      </c>
      <c r="G5" s="6" t="n">
        <v>5197</v>
      </c>
      <c r="H5" s="6" t="n">
        <v>5696</v>
      </c>
    </row>
    <row r="6">
      <c r="A6" s="6" t="inlineStr">
        <is>
          <t>Interest expense</t>
        </is>
      </c>
      <c r="B6" s="6" t="n">
        <v>-6210</v>
      </c>
      <c r="C6" s="6" t="n">
        <v>-6705</v>
      </c>
      <c r="D6" s="6" t="n">
        <v>-5128</v>
      </c>
      <c r="E6" s="6" t="n">
        <v>-1389</v>
      </c>
      <c r="F6" s="6" t="n">
        <v>-422</v>
      </c>
      <c r="G6" s="6" t="n">
        <v>-646</v>
      </c>
      <c r="H6" s="6" t="n">
        <v>-944</v>
      </c>
    </row>
    <row r="7">
      <c r="A7" s="5" t="inlineStr">
        <is>
          <t>Net interest income</t>
        </is>
      </c>
      <c r="B7" s="5" t="n">
        <v>8650</v>
      </c>
      <c r="C7" s="5" t="n">
        <v>8084</v>
      </c>
      <c r="D7" s="5" t="n">
        <v>7787</v>
      </c>
      <c r="E7" s="5" t="n">
        <v>6203</v>
      </c>
      <c r="F7" s="5" t="n">
        <v>4650</v>
      </c>
      <c r="G7" s="5" t="n">
        <v>4551</v>
      </c>
      <c r="H7" s="5" t="n">
        <v>4752</v>
      </c>
    </row>
    <row r="8">
      <c r="A8" s="6" t="inlineStr">
        <is>
          <t>Fee income</t>
        </is>
      </c>
      <c r="B8" s="6" t="n">
        <v>1621</v>
      </c>
      <c r="C8" s="6" t="n">
        <v>1605</v>
      </c>
      <c r="D8" s="6" t="n">
        <v>1554</v>
      </c>
      <c r="E8" s="6" t="n">
        <v>1493</v>
      </c>
      <c r="F8" s="6" t="n">
        <v>1329</v>
      </c>
      <c r="G8" s="6" t="n">
        <v>1191</v>
      </c>
      <c r="H8" s="6" t="n">
        <v>1456</v>
      </c>
    </row>
    <row r="9">
      <c r="A9" s="6" t="inlineStr">
        <is>
          <t>Fee expense</t>
        </is>
      </c>
      <c r="B9" s="6" t="n">
        <v>-335</v>
      </c>
      <c r="C9" s="6" t="n">
        <v>-297</v>
      </c>
      <c r="D9" s="6" t="n">
        <v>-270</v>
      </c>
      <c r="E9" s="6" t="n">
        <v>-248</v>
      </c>
      <c r="F9" s="6" t="n">
        <v>-249</v>
      </c>
      <c r="G9" s="6" t="n">
        <v>-175</v>
      </c>
      <c r="H9" s="6" t="n">
        <v>-226</v>
      </c>
    </row>
    <row r="10">
      <c r="A10" s="5" t="inlineStr">
        <is>
          <t>Net fee income</t>
        </is>
      </c>
      <c r="B10" s="5" t="n">
        <v>1286</v>
      </c>
      <c r="C10" s="5" t="n">
        <v>1308</v>
      </c>
      <c r="D10" s="5" t="n">
        <v>1284</v>
      </c>
      <c r="E10" s="5" t="n">
        <v>1245</v>
      </c>
      <c r="F10" s="5" t="n">
        <v>1080</v>
      </c>
      <c r="G10" s="5" t="n">
        <v>1016</v>
      </c>
      <c r="H10" s="5" t="n">
        <v>1230</v>
      </c>
    </row>
    <row r="11">
      <c r="A11" s="6" t="inlineStr">
        <is>
          <t>Net income from financial instruments held for trading or managed on a fair value basis</t>
        </is>
      </c>
      <c r="B11" s="6" t="n">
        <v>430</v>
      </c>
      <c r="C11" s="6" t="n">
        <v>454</v>
      </c>
      <c r="D11" s="6" t="n">
        <v>414</v>
      </c>
      <c r="E11" s="6" t="n">
        <v>384</v>
      </c>
      <c r="F11" s="6" t="n">
        <v>318</v>
      </c>
      <c r="G11" s="6" t="n">
        <v>357</v>
      </c>
      <c r="H11" s="6" t="n">
        <v>400</v>
      </c>
    </row>
    <row r="12">
      <c r="A12" s="6" t="inlineStr">
        <is>
          <t>Changes in fair value of other financial instruments mandatorily measured at FVTPL</t>
        </is>
      </c>
      <c r="B12" s="6" t="n"/>
      <c r="C12" s="6" t="n"/>
      <c r="D12" s="6" t="n"/>
      <c r="E12" s="6" t="n"/>
      <c r="F12" s="6" t="n">
        <v>15</v>
      </c>
      <c r="G12" s="6" t="n">
        <v>-1</v>
      </c>
      <c r="H12" s="6" t="n">
        <v>2</v>
      </c>
    </row>
    <row r="13">
      <c r="A13" s="6" t="inlineStr">
        <is>
          <t>Gains less losses from financial investments</t>
        </is>
      </c>
      <c r="B13" s="6" t="n"/>
      <c r="C13" s="6" t="n"/>
      <c r="D13" s="6" t="n"/>
      <c r="E13" s="6" t="n"/>
      <c r="F13" s="6" t="n">
        <v>101</v>
      </c>
      <c r="G13" s="6" t="n">
        <v>73</v>
      </c>
      <c r="H13" s="6" t="n">
        <v>48</v>
      </c>
    </row>
    <row r="14">
      <c r="A14" s="6" t="inlineStr">
        <is>
          <t>Gain on acquisition of subsidiary (SVB UK)</t>
        </is>
      </c>
      <c r="B14" s="6" t="n"/>
      <c r="C14" s="6" t="n"/>
      <c r="D14" s="6" t="n">
        <v>1307</v>
      </c>
      <c r="E14" s="6" t="n"/>
      <c r="F14" s="6" t="n"/>
      <c r="G14" s="6" t="n"/>
      <c r="H14" s="6" t="n"/>
    </row>
    <row r="15">
      <c r="A15" s="6" t="inlineStr">
        <is>
          <t>Other operating income</t>
        </is>
      </c>
      <c r="B15" s="6" t="n">
        <v>102</v>
      </c>
      <c r="C15" s="6" t="n">
        <v>133</v>
      </c>
      <c r="D15" s="6" t="n">
        <v>15</v>
      </c>
      <c r="E15" s="6" t="n">
        <v>120</v>
      </c>
      <c r="F15" s="6" t="n">
        <v>86</v>
      </c>
      <c r="G15" s="6" t="n">
        <v>35</v>
      </c>
      <c r="H15" s="6" t="n">
        <v>52</v>
      </c>
    </row>
    <row r="16">
      <c r="A16" s="5" t="inlineStr">
        <is>
          <t>Net operating income before change in expected credit losses</t>
        </is>
      </c>
      <c r="B16" s="5" t="n">
        <v>10468</v>
      </c>
      <c r="C16" s="5" t="n">
        <v>9979</v>
      </c>
      <c r="D16" s="5" t="n">
        <v>10807</v>
      </c>
      <c r="E16" s="5" t="n">
        <v>7952</v>
      </c>
      <c r="F16" s="5" t="n">
        <v>6250</v>
      </c>
      <c r="G16" s="5" t="n">
        <v>6031</v>
      </c>
      <c r="H16" s="5" t="n">
        <v>6484</v>
      </c>
    </row>
    <row r="17">
      <c r="A17" s="6" t="inlineStr">
        <is>
          <t>Change in expected credit losses and other credit impairment charges</t>
        </is>
      </c>
      <c r="B17" s="6" t="n">
        <v>-539</v>
      </c>
      <c r="C17" s="6" t="n">
        <v>-315</v>
      </c>
      <c r="D17" s="6" t="n">
        <v>-421</v>
      </c>
      <c r="E17" s="6" t="n">
        <v>-482</v>
      </c>
      <c r="F17" s="6" t="n">
        <v>989</v>
      </c>
      <c r="G17" s="6" t="n">
        <v>-2115</v>
      </c>
      <c r="H17" s="6" t="n">
        <v>-613</v>
      </c>
    </row>
    <row r="18">
      <c r="A18" s="5" t="inlineStr">
        <is>
          <t>Net operating income</t>
        </is>
      </c>
      <c r="B18" s="5" t="n">
        <v>9929</v>
      </c>
      <c r="C18" s="5" t="n">
        <v>9664</v>
      </c>
      <c r="D18" s="5" t="n">
        <v>10386</v>
      </c>
      <c r="E18" s="5" t="n">
        <v>7470</v>
      </c>
      <c r="F18" s="5" t="n">
        <v>7239</v>
      </c>
      <c r="G18" s="5" t="n">
        <v>3916</v>
      </c>
      <c r="H18" s="5" t="n">
        <v>5871</v>
      </c>
    </row>
    <row r="19">
      <c r="A19" s="5" t="inlineStr">
        <is>
          <t>Operating expenses</t>
        </is>
      </c>
      <c r="B19" s="6" t="n"/>
      <c r="C19" s="6" t="n"/>
      <c r="D19" s="6" t="n"/>
      <c r="E19" s="6" t="n"/>
      <c r="F19" s="6" t="n"/>
      <c r="G19" s="6" t="n"/>
      <c r="H19" s="6" t="n"/>
    </row>
    <row r="20">
      <c r="A20" s="6" t="inlineStr">
        <is>
          <t>Employee compensation and benefits</t>
        </is>
      </c>
      <c r="B20" s="6" t="n">
        <v>-1205</v>
      </c>
      <c r="C20" s="6" t="n">
        <v>-1128</v>
      </c>
      <c r="D20" s="6" t="n">
        <v>-1007</v>
      </c>
      <c r="E20" s="6" t="n">
        <v>-1079</v>
      </c>
      <c r="F20" s="6" t="n">
        <v>-1022</v>
      </c>
      <c r="G20" s="6" t="n">
        <v>-985</v>
      </c>
      <c r="H20" s="6" t="n">
        <v>-934</v>
      </c>
    </row>
    <row r="21">
      <c r="A21" s="6" t="inlineStr">
        <is>
          <t>General and administrative expenses</t>
        </is>
      </c>
      <c r="B21" s="6" t="n">
        <v>-2610</v>
      </c>
      <c r="C21" s="6" t="n">
        <v>-2442</v>
      </c>
      <c r="D21" s="6" t="n">
        <v>-2265</v>
      </c>
      <c r="E21" s="6" t="n">
        <v>-2271</v>
      </c>
      <c r="F21" s="6" t="n">
        <v>-2316</v>
      </c>
      <c r="G21" s="6" t="n">
        <v>-2404</v>
      </c>
      <c r="H21" s="6" t="n">
        <v>-3601</v>
      </c>
    </row>
    <row r="22">
      <c r="A22" s="6" t="inlineStr">
        <is>
          <t>Depreciation and impairment of PP&amp;E and right-of-use assets</t>
        </is>
      </c>
      <c r="B22" s="6" t="n">
        <v>-105</v>
      </c>
      <c r="C22" s="6" t="n">
        <v>-99</v>
      </c>
      <c r="D22" s="6" t="n">
        <v>-116</v>
      </c>
      <c r="E22" s="6" t="n">
        <v>-164</v>
      </c>
      <c r="F22" s="6" t="n">
        <v>-174</v>
      </c>
      <c r="G22" s="6" t="n">
        <v>-181</v>
      </c>
      <c r="H22" s="6" t="n">
        <v>-170</v>
      </c>
    </row>
    <row r="23">
      <c r="A23" s="6" t="inlineStr">
        <is>
          <t>Amortisation and impairment of intangible assets</t>
        </is>
      </c>
      <c r="B23" s="6" t="n">
        <v>-390</v>
      </c>
      <c r="C23" s="6" t="n">
        <v>-348</v>
      </c>
      <c r="D23" s="6" t="n">
        <v>-319</v>
      </c>
      <c r="E23" s="6" t="n">
        <v>-318</v>
      </c>
      <c r="F23" s="6" t="n">
        <v>-247</v>
      </c>
      <c r="G23" s="6" t="n">
        <v>-183</v>
      </c>
      <c r="H23" s="6" t="n">
        <v>-156</v>
      </c>
    </row>
    <row r="24">
      <c r="A24" s="5" t="inlineStr">
        <is>
          <t>Total operating expenses</t>
        </is>
      </c>
      <c r="B24" s="5" t="n">
        <v>-4310</v>
      </c>
      <c r="C24" s="5" t="n">
        <v>-4017</v>
      </c>
      <c r="D24" s="5" t="n">
        <v>-3707</v>
      </c>
      <c r="E24" s="5" t="n">
        <v>-3832</v>
      </c>
      <c r="F24" s="5" t="n">
        <v>-3759</v>
      </c>
      <c r="G24" s="5" t="n">
        <v>-3753</v>
      </c>
      <c r="H24" s="5" t="n">
        <v>-4861</v>
      </c>
    </row>
    <row r="25">
      <c r="A25" s="5" t="inlineStr">
        <is>
          <t>Profit before tax</t>
        </is>
      </c>
      <c r="B25" s="5" t="n">
        <v>5619</v>
      </c>
      <c r="C25" s="5" t="n">
        <v>5647</v>
      </c>
      <c r="D25" s="5" t="n">
        <v>6679</v>
      </c>
      <c r="E25" s="5" t="n">
        <v>3638</v>
      </c>
      <c r="F25" s="5" t="n">
        <v>3480</v>
      </c>
      <c r="G25" s="5" t="n">
        <v>163</v>
      </c>
      <c r="H25" s="5" t="n">
        <v>1010</v>
      </c>
    </row>
    <row r="26">
      <c r="A26" s="6" t="inlineStr">
        <is>
          <t>Tax expense</t>
        </is>
      </c>
      <c r="B26" s="6" t="n">
        <v>-1517</v>
      </c>
      <c r="C26" s="6" t="n">
        <v>-1508</v>
      </c>
      <c r="D26" s="6" t="n">
        <v>-1425</v>
      </c>
      <c r="E26" s="6" t="n">
        <v>-762</v>
      </c>
      <c r="F26" s="6" t="n">
        <v>-1112</v>
      </c>
      <c r="G26" s="6" t="n">
        <v>-83</v>
      </c>
      <c r="H26" s="6" t="n">
        <v>-494</v>
      </c>
    </row>
    <row r="27">
      <c r="A27" s="5" t="inlineStr">
        <is>
          <t>Profit for the year</t>
        </is>
      </c>
      <c r="B27" s="5" t="n">
        <v>4102</v>
      </c>
      <c r="C27" s="5" t="n">
        <v>4139</v>
      </c>
      <c r="D27" s="5" t="n">
        <v>5254</v>
      </c>
      <c r="E27" s="5" t="n">
        <v>2876</v>
      </c>
      <c r="F27" s="5" t="n">
        <v>2368</v>
      </c>
      <c r="G27" s="5" t="n">
        <v>80</v>
      </c>
      <c r="H27" s="5" t="n">
        <v>516</v>
      </c>
    </row>
    <row r="28">
      <c r="A28" s="5" t="inlineStr">
        <is>
          <t>Other comprehensive income</t>
        </is>
      </c>
      <c r="B28" s="6" t="n"/>
      <c r="C28" s="6" t="n"/>
      <c r="D28" s="6" t="n"/>
      <c r="E28" s="6" t="n"/>
      <c r="F28" s="6" t="n"/>
      <c r="G28" s="6" t="n"/>
      <c r="H28" s="6" t="n"/>
    </row>
    <row r="29">
      <c r="A29" s="6" t="inlineStr">
        <is>
          <t>Debt instruments at fair value through OCI</t>
        </is>
      </c>
      <c r="B29" s="6" t="n">
        <v>73</v>
      </c>
      <c r="C29" s="6" t="n">
        <v>-35</v>
      </c>
      <c r="D29" s="6" t="n">
        <v>66</v>
      </c>
      <c r="E29" s="6" t="n">
        <v>-300</v>
      </c>
      <c r="F29" s="6" t="n">
        <v>-89</v>
      </c>
      <c r="G29" s="6" t="n">
        <v>142</v>
      </c>
      <c r="H29" s="6" t="n">
        <v>-4</v>
      </c>
    </row>
    <row r="30">
      <c r="A30" s="6" t="inlineStr">
        <is>
          <t>Cash flow hedges</t>
        </is>
      </c>
      <c r="B30" s="6" t="n">
        <v>734</v>
      </c>
      <c r="C30" s="6" t="n">
        <v>-365</v>
      </c>
      <c r="D30" s="6" t="n">
        <v>1031</v>
      </c>
      <c r="E30" s="6" t="n">
        <v>-1234</v>
      </c>
      <c r="F30" s="6" t="n">
        <v>-91</v>
      </c>
      <c r="G30" s="6" t="n">
        <v>13</v>
      </c>
      <c r="H30" s="6" t="n">
        <v>34</v>
      </c>
    </row>
    <row r="31">
      <c r="A31" s="6" t="inlineStr">
        <is>
          <t>Remeasurement of defined benefit asset/liability</t>
        </is>
      </c>
      <c r="B31" s="6" t="n">
        <v>-80</v>
      </c>
      <c r="C31" s="6" t="n">
        <v>-285</v>
      </c>
      <c r="D31" s="6" t="n">
        <v>-128</v>
      </c>
      <c r="E31" s="6" t="n">
        <v>-1023</v>
      </c>
      <c r="F31" s="6" t="n">
        <v>-510</v>
      </c>
      <c r="G31" s="6" t="n">
        <v>553</v>
      </c>
      <c r="H31" s="6" t="n">
        <v>-207</v>
      </c>
    </row>
    <row r="32">
      <c r="A32" s="6" t="inlineStr">
        <is>
          <t>Exchange differences</t>
        </is>
      </c>
      <c r="B32" s="6" t="n">
        <v>1</v>
      </c>
      <c r="C32" s="6" t="n">
        <v>1</v>
      </c>
      <c r="D32" s="6" t="n">
        <v>8</v>
      </c>
      <c r="E32" s="6" t="n">
        <v>-2</v>
      </c>
      <c r="F32" s="6" t="n">
        <v>-1</v>
      </c>
      <c r="G32" s="6" t="n">
        <v>-5</v>
      </c>
      <c r="H32" s="6" t="n">
        <v>1</v>
      </c>
    </row>
    <row r="33">
      <c r="A33" s="5" t="inlineStr">
        <is>
          <t>Other comprehensive income/(expense) for the year, net of tax</t>
        </is>
      </c>
      <c r="B33" s="5" t="n">
        <v>728</v>
      </c>
      <c r="C33" s="5" t="n">
        <v>-684</v>
      </c>
      <c r="D33" s="5" t="n">
        <v>977</v>
      </c>
      <c r="E33" s="5" t="n">
        <v>-2559</v>
      </c>
      <c r="F33" s="5" t="n">
        <v>-691</v>
      </c>
      <c r="G33" s="5" t="n">
        <v>703</v>
      </c>
      <c r="H33" s="5" t="n">
        <v>-176</v>
      </c>
    </row>
    <row r="34">
      <c r="A34" s="5" t="inlineStr">
        <is>
          <t>Total comprehensive income for the year</t>
        </is>
      </c>
      <c r="B34" s="5" t="n">
        <v>4830</v>
      </c>
      <c r="C34" s="5" t="n">
        <v>3455</v>
      </c>
      <c r="D34" s="5" t="n">
        <v>6231</v>
      </c>
      <c r="E34" s="5" t="n">
        <v>317</v>
      </c>
      <c r="F34" s="5" t="n">
        <v>1677</v>
      </c>
      <c r="G34" s="5" t="n">
        <v>783</v>
      </c>
      <c r="H34" s="5" t="n">
        <v>340</v>
      </c>
    </row>
    <row r="36" ht="390" customHeight="1">
      <c r="A36" s="8" t="inlineStr">
        <is>
          <t>Sources - HSBC UK Bank plc's own Consolidated income statement / statement of comprehensive income, £m:
FY2025 &amp; FY2024: Annual Report and Accounts 2025, p.76-77 - https://www.hsbc.com/-/files/hsbc/investors/hsbc-results/2025/annual/pdfs/hsbc-uk-bank-plc/260225-annual-report-and-accounts-2025.pdf
FY2023 &amp; FY2022: Annual Report and Accounts 2023, p.78 - https://www.hsbc.com/-/files/hsbc/investors/hsbc-results/2023/annual/pdfs/hsbc-uk-bank-plc/240221-annual-report-and-accounts-2023.pdf
FY2021: Annual Report and Accounts 2021, p.73 - https://www.hsbc.com/-/files/hsbc/investors/hsbc-results/2021/annual/pdfs/hsbc-uk-bank-plc/220222-annual-report-and-accounts-2021.pdf
FY2020: Annual Report and Accounts 2020, p.80-81 - https://www.hsbc.com/-/files/hsbc/investors/hsbc-results/2020/annual/pdfs/hsbc-uk-bank-plc/210223-annual-report-and-accounts-2020.pdf
FY2019: Annual Report and Accounts 2019, p.70-71 - https://www.hsbc.com/-/files/hsbc/investors/hsbc-results/2019/annual/pdfs/hsbc-uk-bank-plc/200218-annual-report-and-accounts-2019.pdf
Presentation note: FY2023's 'Gain on acquisition of subsidiary' (£1,307m, provisional gain on the acquisition of Silicon Valley Bank UK, March 2023) is unique to that year. FY2021's, FY2020's and FY2019's 'Changes in fair value of other financial instruments mandatorily measured at FVTPL' and 'Gains less losses from financial investments' lines were folded into other income lines from FY2022 onward and don't appear as separate lines in later years. OCI detail is disclosed in-table for all 7 years; Total comprehensive income for the year is comparable across all years and ties exactly to Profit for the year + OCI total.
ENTITY NOTE: figures are HSBC UK Bank plc's own Consolidated statements (the ring-fenced retail/SME banking entity, distinct from HSBC Bank plc and HSBC Innovation Bank - see the entity note on the Cash Flow Statement sheet), £m, each year's own originally-published figures (not later restated comparatives). Sourced from each year's own Annual Report and Accounts:
FY2025 &amp; FY2024: HSBC UK Bank plc Annual Report and Accounts 2025 - https://www.hsbc.com/-/files/hsbc/investors/hsbc-results/2025/annual/pdfs/hsbc-uk-bank-plc/260225-annual-report-and-accounts-2025.pdf
FY2023 &amp; FY2022: HSBC UK Bank plc Annual Report and Accounts 2023 - https://www.hsbc.com/-/files/hsbc/investors/hsbc-results/2023/annual/pdfs/hsbc-uk-bank-plc/240221-annual-report-and-accounts-2023.pdf
FY2021: HSBC UK Bank plc Annual Report and Accounts 2021 - https://www.hsbc.com/-/files/hsbc/investors/hsbc-results/2021/annual/pdfs/hsbc-uk-bank-plc/220222-annual-report-and-accounts-2021.pdf
FY2020: HSBC UK Bank plc Annual Report and Accounts 2020 - https://www.hsbc.com/-/files/hsbc/investors/hsbc-results/2020/annual/pdfs/hsbc-uk-bank-plc/210223-annual-report-and-accounts-2020.pdf
FY2019: HSBC UK Bank plc Annual Report and Accounts 2019 - https://www.hsbc.com/-/files/hsbc/investors/hsbc-results/2019/annual/pdfs/hsbc-uk-bank-plc/200218-annual-report-and-accounts-2019.pdf
ENTITY NOTE: HSBC UK Bank plc (Companies House 09928412, FRN 765112) is the ring-fenced retail/SME banking entity created in 2018 under UK ring-fencing reform - confirmed distinct from HSBC Bank plc (FRN 114216, the legacy non-ring-fenced entity, built separately in WF-012) and HSBC Innovation Bank Limited (FRN 543146, the former Silicon Valley Bank UK, also built in WF-012). All figures below are HSBC UK Bank plc's own entity-level Consolidated statements, sourced directly from HSBC UK Bank plc's own Annual Report and Accounts and Pillar 3 Disclosures on hsbc.com's investor-relations subsidiaries reporting archive.
HISTORICAL FLOOR (HD-019, independently verified - not assumed from GLEIF entity-creation date): HSBC UK Bank plc's legal entity was incorporated 23 December 2015 as a dormant shelf company ('HSBC UK RFB Limited'), but it did not begin real banking operations until the UK ring-fencing transfer on 1 July 2018 (confirmed directly against the entity's own Annual Report and Accounts 2017, which states the company 'made a pre-tax profit of £16,000... representing interest earned on UK treasury gilts' with 'no relevant audit information' and total equity of £15.01m - i.e. a genuine shell, not a trading bank; and against the entity's own Annual Report and Accounts 2018, whose audited financial statements cover only the six months to 31 December 2018, since 'HSBC UK's banking operations commenced on 1 July 2018'). This is the same UK ring-fencing gating event, under the same Financial Services (Banking Reform) Act 2013 regime, found for Barclays Bank UK PLC in HD-001. FY2018 itself is therefore NOT usable as a year column in this workbook: its own audited income statement, statement of comprehensive income, cash flow statement and equity roll-forward all cover only a 6-month stub period (1 July-31 December 2018), not comparable to the full 12-month columns used everywhere else in this workbook. The floor used here is FY2019 - the entity's own first genuine full 12-month audited reporting year - confirmed directly against HSBC UK Bank plc's own Annual Report and Accounts 2019, whose Consolidated income statement is explicitly 'for the year ended 31 December 2019' with the note 'the period from 1 January 2019 to 31 December 2019'. FY2019 and FY2020 Pillar 3 Disclosures documents are no longer live on hsbc.com and were retrieved via Wayback Machine snapshots of their original hsbc.com URLs.</t>
        </is>
      </c>
    </row>
  </sheetData>
  <mergeCells count="1">
    <mergeCell ref="A36:H3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2"/>
  <sheetViews>
    <sheetView workbookViewId="0">
      <pane ySplit="4" topLeftCell="A5" activePane="bottomLeft" state="frozen"/>
      <selection pane="bottomLef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HSBC UK Bank plc — Consolidated Statement of Changes in Equity</t>
        </is>
      </c>
    </row>
    <row r="2">
      <c r="A2" s="2" t="inlineStr">
        <is>
          <t>Chronological roll-forward, oldest to newest, £m. Equity reconciliation ladder confirmed: each year's own closing balance ties exactly to the next year's own opening balance and to that year's own Balance Sheet Total equity - zero plug rows needed anywhere across all 7 years. During Q4 2024, HSBC UK Bank plc converted £5.2bn of its Group reorganisation reserve and £9.0bn of its share premium account into retained earnings via a bonus share issuance and cancellation (Note 23) - a real, disclosed internal restructuring, not an error. See source note at bottom.</t>
        </is>
      </c>
    </row>
    <row r="3">
      <c r="A3" s="4" t="inlineStr">
        <is>
          <t>Movement</t>
        </is>
      </c>
      <c r="B3" s="4" t="inlineStr">
        <is>
          <t>Called up share capital and share premium</t>
        </is>
      </c>
      <c r="C3" s="4" t="inlineStr">
        <is>
          <t>Other equity instruments</t>
        </is>
      </c>
      <c r="D3" s="4" t="inlineStr">
        <is>
          <t>Retained earnings</t>
        </is>
      </c>
      <c r="E3" s="4" t="inlineStr">
        <is>
          <t>Financial assets at FVOCI reserve</t>
        </is>
      </c>
      <c r="F3" s="4" t="inlineStr">
        <is>
          <t>Cash flow hedging reserve</t>
        </is>
      </c>
      <c r="G3" s="4" t="inlineStr">
        <is>
          <t>Group reorganisation reserve</t>
        </is>
      </c>
      <c r="H3" s="4" t="inlineStr">
        <is>
          <t>Total shareholders' equity</t>
        </is>
      </c>
      <c r="I3" s="4" t="inlineStr">
        <is>
          <t>Non-controlling interests</t>
        </is>
      </c>
      <c r="J3" s="4" t="inlineStr">
        <is>
          <t>Total equity</t>
        </is>
      </c>
    </row>
    <row r="4">
      <c r="A4" s="5" t="inlineStr">
        <is>
          <t>At 1 Jan 2019 (FY2019's own opening)</t>
        </is>
      </c>
      <c r="B4" s="5" t="n">
        <v>9015</v>
      </c>
      <c r="C4" s="5" t="n">
        <v>2196</v>
      </c>
      <c r="D4" s="5" t="n">
        <v>3405</v>
      </c>
      <c r="E4" s="5" t="n">
        <v>14</v>
      </c>
      <c r="F4" s="5" t="n">
        <v>-46</v>
      </c>
      <c r="G4" s="5" t="n">
        <v>7689</v>
      </c>
      <c r="H4" s="5" t="n">
        <v>22273</v>
      </c>
      <c r="I4" s="5" t="n">
        <v>60</v>
      </c>
      <c r="J4" s="5" t="n">
        <v>22333</v>
      </c>
    </row>
    <row r="5">
      <c r="A5" s="6" t="inlineStr">
        <is>
          <t>Profit for the year</t>
        </is>
      </c>
      <c r="B5" s="6" t="n"/>
      <c r="C5" s="6" t="n"/>
      <c r="D5" s="6" t="n">
        <v>512</v>
      </c>
      <c r="E5" s="6" t="n"/>
      <c r="F5" s="6" t="n"/>
      <c r="G5" s="6" t="n"/>
      <c r="H5" s="6" t="n">
        <v>512</v>
      </c>
      <c r="I5" s="6" t="n">
        <v>4</v>
      </c>
      <c r="J5" s="6" t="n">
        <v>516</v>
      </c>
    </row>
    <row r="6">
      <c r="A6" s="6" t="inlineStr">
        <is>
          <t>Other comprehensive income (net of tax)</t>
        </is>
      </c>
      <c r="B6" s="6" t="n"/>
      <c r="C6" s="6" t="n"/>
      <c r="D6" s="6" t="n">
        <v>-207</v>
      </c>
      <c r="E6" s="6" t="n">
        <v>-5</v>
      </c>
      <c r="F6" s="6" t="n">
        <v>34</v>
      </c>
      <c r="G6" s="6" t="n">
        <v>2</v>
      </c>
      <c r="H6" s="6" t="n">
        <v>-176</v>
      </c>
      <c r="I6" s="6" t="n"/>
      <c r="J6" s="6" t="n">
        <v>-176</v>
      </c>
    </row>
    <row r="7">
      <c r="A7" s="6" t="inlineStr">
        <is>
          <t>Total comprehensive income for the year</t>
        </is>
      </c>
      <c r="B7" s="6" t="n"/>
      <c r="C7" s="6" t="n"/>
      <c r="D7" s="6" t="n">
        <v>305</v>
      </c>
      <c r="E7" s="6" t="n">
        <v>-5</v>
      </c>
      <c r="F7" s="6" t="n">
        <v>34</v>
      </c>
      <c r="G7" s="6" t="n">
        <v>2</v>
      </c>
      <c r="H7" s="6" t="n">
        <v>336</v>
      </c>
      <c r="I7" s="6" t="n">
        <v>4</v>
      </c>
      <c r="J7" s="6" t="n">
        <v>340</v>
      </c>
    </row>
    <row r="8">
      <c r="A8" s="6" t="inlineStr">
        <is>
          <t>Dividends to shareholders</t>
        </is>
      </c>
      <c r="B8" s="6" t="n"/>
      <c r="C8" s="6" t="n"/>
      <c r="D8" s="6" t="n">
        <v>-451</v>
      </c>
      <c r="E8" s="6" t="n"/>
      <c r="F8" s="6" t="n"/>
      <c r="G8" s="6" t="n"/>
      <c r="H8" s="6" t="n">
        <v>-451</v>
      </c>
      <c r="I8" s="6" t="n">
        <v>-4</v>
      </c>
      <c r="J8" s="6" t="n">
        <v>-455</v>
      </c>
    </row>
    <row r="9">
      <c r="A9" s="6" t="inlineStr">
        <is>
          <t>Other movements (pension asset transfer, share-based payments)</t>
        </is>
      </c>
      <c r="B9" s="6" t="n"/>
      <c r="C9" s="6" t="n"/>
      <c r="D9" s="6" t="n">
        <v>33</v>
      </c>
      <c r="E9" s="6" t="n"/>
      <c r="F9" s="6" t="n"/>
      <c r="G9" s="6" t="n"/>
      <c r="H9" s="6" t="n">
        <v>33</v>
      </c>
      <c r="I9" s="6" t="n"/>
      <c r="J9" s="6" t="n">
        <v>33</v>
      </c>
    </row>
    <row r="10">
      <c r="A10" s="5" t="inlineStr">
        <is>
          <t>At 31 Dec 2019 / 1 Jan 2020</t>
        </is>
      </c>
      <c r="B10" s="5" t="n">
        <v>9015</v>
      </c>
      <c r="C10" s="5" t="n">
        <v>2196</v>
      </c>
      <c r="D10" s="5" t="n">
        <v>3292</v>
      </c>
      <c r="E10" s="5" t="n">
        <v>9</v>
      </c>
      <c r="F10" s="5" t="n">
        <v>-12</v>
      </c>
      <c r="G10" s="5" t="n">
        <v>7691</v>
      </c>
      <c r="H10" s="5" t="n">
        <v>22191</v>
      </c>
      <c r="I10" s="5" t="n">
        <v>60</v>
      </c>
      <c r="J10" s="5" t="n">
        <v>22251</v>
      </c>
    </row>
    <row r="11">
      <c r="A11" s="6" t="inlineStr">
        <is>
          <t>Profit for the year</t>
        </is>
      </c>
      <c r="B11" s="6" t="n"/>
      <c r="C11" s="6" t="n"/>
      <c r="D11" s="6" t="n">
        <v>76</v>
      </c>
      <c r="E11" s="6" t="n"/>
      <c r="F11" s="6" t="n"/>
      <c r="G11" s="6" t="n"/>
      <c r="H11" s="6" t="n">
        <v>76</v>
      </c>
      <c r="I11" s="6" t="n">
        <v>4</v>
      </c>
      <c r="J11" s="6" t="n">
        <v>80</v>
      </c>
    </row>
    <row r="12">
      <c r="A12" s="6" t="inlineStr">
        <is>
          <t>Other comprehensive income (net of tax)</t>
        </is>
      </c>
      <c r="B12" s="6" t="n"/>
      <c r="C12" s="6" t="n"/>
      <c r="D12" s="6" t="n">
        <v>553</v>
      </c>
      <c r="E12" s="6" t="n">
        <v>137</v>
      </c>
      <c r="F12" s="6" t="n">
        <v>13</v>
      </c>
      <c r="G12" s="6" t="n"/>
      <c r="H12" s="6" t="n">
        <v>703</v>
      </c>
      <c r="I12" s="6" t="n"/>
      <c r="J12" s="6" t="n">
        <v>703</v>
      </c>
    </row>
    <row r="13">
      <c r="A13" s="6" t="inlineStr">
        <is>
          <t>Total comprehensive income for the year</t>
        </is>
      </c>
      <c r="B13" s="6" t="n"/>
      <c r="C13" s="6" t="n"/>
      <c r="D13" s="6" t="n">
        <v>629</v>
      </c>
      <c r="E13" s="6" t="n">
        <v>137</v>
      </c>
      <c r="F13" s="6" t="n">
        <v>13</v>
      </c>
      <c r="G13" s="6" t="n"/>
      <c r="H13" s="6" t="n">
        <v>779</v>
      </c>
      <c r="I13" s="6" t="n">
        <v>4</v>
      </c>
      <c r="J13" s="6" t="n">
        <v>783</v>
      </c>
    </row>
    <row r="14">
      <c r="A14" s="6" t="inlineStr">
        <is>
          <t>Dividends to shareholders</t>
        </is>
      </c>
      <c r="B14" s="6" t="n"/>
      <c r="C14" s="6" t="n"/>
      <c r="D14" s="6" t="n">
        <v>-222</v>
      </c>
      <c r="E14" s="6" t="n"/>
      <c r="F14" s="6" t="n"/>
      <c r="G14" s="6" t="n"/>
      <c r="H14" s="6" t="n">
        <v>-222</v>
      </c>
      <c r="I14" s="6" t="n">
        <v>-4</v>
      </c>
      <c r="J14" s="6" t="n">
        <v>-226</v>
      </c>
    </row>
    <row r="15">
      <c r="A15" s="6" t="inlineStr">
        <is>
          <t>Other movements (pension asset transfer, share-based payments)</t>
        </is>
      </c>
      <c r="B15" s="6" t="n"/>
      <c r="C15" s="6" t="n"/>
      <c r="D15" s="6" t="n">
        <v>50</v>
      </c>
      <c r="E15" s="6" t="n"/>
      <c r="F15" s="6" t="n"/>
      <c r="G15" s="6" t="n"/>
      <c r="H15" s="6" t="n">
        <v>50</v>
      </c>
      <c r="I15" s="6" t="n"/>
      <c r="J15" s="6" t="n">
        <v>50</v>
      </c>
    </row>
    <row r="16">
      <c r="A16" s="5" t="inlineStr">
        <is>
          <t>At 1 Jan 2021 (FY2021's own opening)</t>
        </is>
      </c>
      <c r="B16" s="5" t="n">
        <v>9015</v>
      </c>
      <c r="C16" s="5" t="n">
        <v>2196</v>
      </c>
      <c r="D16" s="5" t="n">
        <v>3749</v>
      </c>
      <c r="E16" s="5" t="n">
        <v>146</v>
      </c>
      <c r="F16" s="5" t="n">
        <v>1</v>
      </c>
      <c r="G16" s="5" t="n">
        <v>7691</v>
      </c>
      <c r="H16" s="5" t="n">
        <v>22798</v>
      </c>
      <c r="I16" s="5" t="n">
        <v>60</v>
      </c>
      <c r="J16" s="5" t="n">
        <v>22858</v>
      </c>
    </row>
    <row r="17">
      <c r="A17" s="6" t="inlineStr">
        <is>
          <t>Profit for the year</t>
        </is>
      </c>
      <c r="B17" s="6" t="n"/>
      <c r="C17" s="6" t="n"/>
      <c r="D17" s="6" t="n">
        <v>2363</v>
      </c>
      <c r="E17" s="6" t="n"/>
      <c r="F17" s="6" t="n"/>
      <c r="G17" s="6" t="n"/>
      <c r="H17" s="6" t="n">
        <v>2363</v>
      </c>
      <c r="I17" s="6" t="n">
        <v>5</v>
      </c>
      <c r="J17" s="6" t="n">
        <v>2368</v>
      </c>
    </row>
    <row r="18">
      <c r="A18" s="6" t="inlineStr">
        <is>
          <t>Other comprehensive income (net of tax)</t>
        </is>
      </c>
      <c r="B18" s="6" t="n"/>
      <c r="C18" s="6" t="n"/>
      <c r="D18" s="6" t="n">
        <v>-510</v>
      </c>
      <c r="E18" s="6" t="n">
        <v>-90</v>
      </c>
      <c r="F18" s="6" t="n">
        <v>-91</v>
      </c>
      <c r="G18" s="6" t="n"/>
      <c r="H18" s="6" t="n">
        <v>-691</v>
      </c>
      <c r="I18" s="6" t="n"/>
      <c r="J18" s="6" t="n">
        <v>-691</v>
      </c>
    </row>
    <row r="19">
      <c r="A19" s="6" t="inlineStr">
        <is>
          <t>Total comprehensive income for the year</t>
        </is>
      </c>
      <c r="B19" s="6" t="n"/>
      <c r="C19" s="6" t="n"/>
      <c r="D19" s="6" t="n">
        <v>1853</v>
      </c>
      <c r="E19" s="6" t="n">
        <v>-90</v>
      </c>
      <c r="F19" s="6" t="n">
        <v>-91</v>
      </c>
      <c r="G19" s="6" t="n"/>
      <c r="H19" s="6" t="n">
        <v>1672</v>
      </c>
      <c r="I19" s="6" t="n">
        <v>5</v>
      </c>
      <c r="J19" s="6" t="n">
        <v>1677</v>
      </c>
    </row>
    <row r="20">
      <c r="A20" s="6" t="inlineStr">
        <is>
          <t>Dividends to shareholders</t>
        </is>
      </c>
      <c r="B20" s="6" t="n"/>
      <c r="C20" s="6" t="n"/>
      <c r="D20" s="6" t="n">
        <v>-747</v>
      </c>
      <c r="E20" s="6" t="n"/>
      <c r="F20" s="6" t="n"/>
      <c r="G20" s="6" t="n"/>
      <c r="H20" s="6" t="n">
        <v>-747</v>
      </c>
      <c r="I20" s="6" t="n">
        <v>-5</v>
      </c>
      <c r="J20" s="6" t="n">
        <v>-752</v>
      </c>
    </row>
    <row r="21">
      <c r="A21" s="6" t="inlineStr">
        <is>
          <t>Other movements (pension asset transfers, share-based payments)</t>
        </is>
      </c>
      <c r="B21" s="6" t="n"/>
      <c r="C21" s="6" t="n"/>
      <c r="D21" s="6" t="n">
        <v>22</v>
      </c>
      <c r="E21" s="6" t="n"/>
      <c r="F21" s="6" t="n"/>
      <c r="G21" s="6" t="n"/>
      <c r="H21" s="6" t="n">
        <v>22</v>
      </c>
      <c r="I21" s="6" t="n"/>
      <c r="J21" s="6" t="n">
        <v>22</v>
      </c>
    </row>
    <row r="22">
      <c r="A22" s="5" t="inlineStr">
        <is>
          <t>At 31 Dec 2021 / 1 Jan 2022</t>
        </is>
      </c>
      <c r="B22" s="5" t="n">
        <v>9015</v>
      </c>
      <c r="C22" s="5" t="n">
        <v>2196</v>
      </c>
      <c r="D22" s="5" t="n">
        <v>4877</v>
      </c>
      <c r="E22" s="5" t="n">
        <v>56</v>
      </c>
      <c r="F22" s="5" t="n">
        <v>-90</v>
      </c>
      <c r="G22" s="5" t="n">
        <v>7691</v>
      </c>
      <c r="H22" s="5" t="n">
        <v>23745</v>
      </c>
      <c r="I22" s="5" t="n">
        <v>60</v>
      </c>
      <c r="J22" s="5" t="n">
        <v>23805</v>
      </c>
    </row>
    <row r="23">
      <c r="A23" s="6" t="inlineStr">
        <is>
          <t>Profit for the year</t>
        </is>
      </c>
      <c r="B23" s="6" t="n"/>
      <c r="C23" s="6" t="n"/>
      <c r="D23" s="6" t="n">
        <v>2871</v>
      </c>
      <c r="E23" s="6" t="n"/>
      <c r="F23" s="6" t="n"/>
      <c r="G23" s="6" t="n"/>
      <c r="H23" s="6" t="n">
        <v>2871</v>
      </c>
      <c r="I23" s="6" t="n">
        <v>5</v>
      </c>
      <c r="J23" s="6" t="n">
        <v>2876</v>
      </c>
    </row>
    <row r="24">
      <c r="A24" s="6" t="inlineStr">
        <is>
          <t>Other comprehensive income (net of tax)</t>
        </is>
      </c>
      <c r="B24" s="6" t="n"/>
      <c r="C24" s="6" t="n"/>
      <c r="D24" s="6" t="n">
        <v>-1023</v>
      </c>
      <c r="E24" s="6" t="n">
        <v>-302</v>
      </c>
      <c r="F24" s="6" t="n">
        <v>-1234</v>
      </c>
      <c r="G24" s="6" t="n"/>
      <c r="H24" s="6" t="n">
        <v>-2559</v>
      </c>
      <c r="I24" s="6" t="n"/>
      <c r="J24" s="6" t="n">
        <v>-2559</v>
      </c>
    </row>
    <row r="25">
      <c r="A25" s="6" t="inlineStr">
        <is>
          <t>Total comprehensive income for the year</t>
        </is>
      </c>
      <c r="B25" s="6" t="n"/>
      <c r="C25" s="6" t="n"/>
      <c r="D25" s="6" t="n">
        <v>1848</v>
      </c>
      <c r="E25" s="6" t="n">
        <v>-302</v>
      </c>
      <c r="F25" s="6" t="n">
        <v>-1234</v>
      </c>
      <c r="G25" s="6" t="n"/>
      <c r="H25" s="6" t="n">
        <v>312</v>
      </c>
      <c r="I25" s="6" t="n">
        <v>5</v>
      </c>
      <c r="J25" s="6" t="n">
        <v>317</v>
      </c>
    </row>
    <row r="26">
      <c r="A26" s="6" t="inlineStr">
        <is>
          <t>Dividends to shareholders</t>
        </is>
      </c>
      <c r="B26" s="6" t="n"/>
      <c r="C26" s="6" t="n"/>
      <c r="D26" s="6" t="n">
        <v>-1929</v>
      </c>
      <c r="E26" s="6" t="n"/>
      <c r="F26" s="6" t="n"/>
      <c r="G26" s="6" t="n"/>
      <c r="H26" s="6" t="n">
        <v>-1929</v>
      </c>
      <c r="I26" s="6" t="n">
        <v>-5</v>
      </c>
      <c r="J26" s="6" t="n">
        <v>-1934</v>
      </c>
    </row>
    <row r="27">
      <c r="A27" s="6" t="inlineStr">
        <is>
          <t>Other movements (pension asset transfers, share-based payments)</t>
        </is>
      </c>
      <c r="B27" s="6" t="n"/>
      <c r="C27" s="6" t="n"/>
      <c r="D27" s="6" t="n">
        <v>38</v>
      </c>
      <c r="E27" s="6" t="n"/>
      <c r="F27" s="6" t="n"/>
      <c r="G27" s="6" t="n"/>
      <c r="H27" s="6" t="n">
        <v>38</v>
      </c>
      <c r="I27" s="6" t="n"/>
      <c r="J27" s="6" t="n">
        <v>38</v>
      </c>
    </row>
    <row r="28">
      <c r="A28" s="5" t="inlineStr">
        <is>
          <t>At 31 Dec 2022 / 1 Jan 2023</t>
        </is>
      </c>
      <c r="B28" s="5" t="n">
        <v>9015</v>
      </c>
      <c r="C28" s="5" t="n">
        <v>2196</v>
      </c>
      <c r="D28" s="5" t="n">
        <v>4834</v>
      </c>
      <c r="E28" s="5" t="n">
        <v>-246</v>
      </c>
      <c r="F28" s="5" t="n">
        <v>-1324</v>
      </c>
      <c r="G28" s="5" t="n">
        <v>7691</v>
      </c>
      <c r="H28" s="5" t="n">
        <v>22166</v>
      </c>
      <c r="I28" s="5" t="n">
        <v>60</v>
      </c>
      <c r="J28" s="5" t="n">
        <v>22226</v>
      </c>
    </row>
    <row r="29">
      <c r="A29" s="6" t="inlineStr">
        <is>
          <t>Profit for the year</t>
        </is>
      </c>
      <c r="B29" s="6" t="n"/>
      <c r="C29" s="6" t="n"/>
      <c r="D29" s="6" t="n">
        <v>5249</v>
      </c>
      <c r="E29" s="6" t="n"/>
      <c r="F29" s="6" t="n"/>
      <c r="G29" s="6" t="n"/>
      <c r="H29" s="6" t="n">
        <v>5249</v>
      </c>
      <c r="I29" s="6" t="n">
        <v>5</v>
      </c>
      <c r="J29" s="6" t="n">
        <v>5254</v>
      </c>
    </row>
    <row r="30">
      <c r="A30" s="6" t="inlineStr">
        <is>
          <t>Other comprehensive income (net of tax)</t>
        </is>
      </c>
      <c r="B30" s="6" t="n"/>
      <c r="C30" s="6" t="n"/>
      <c r="D30" s="6" t="n">
        <v>-128</v>
      </c>
      <c r="E30" s="6" t="n">
        <v>74</v>
      </c>
      <c r="F30" s="6" t="n">
        <v>1031</v>
      </c>
      <c r="G30" s="6" t="n"/>
      <c r="H30" s="6" t="n">
        <v>977</v>
      </c>
      <c r="I30" s="6" t="n"/>
      <c r="J30" s="6" t="n">
        <v>977</v>
      </c>
    </row>
    <row r="31">
      <c r="A31" s="6" t="inlineStr">
        <is>
          <t>Total comprehensive income for the year</t>
        </is>
      </c>
      <c r="B31" s="6" t="n"/>
      <c r="C31" s="6" t="n"/>
      <c r="D31" s="6" t="n">
        <v>5121</v>
      </c>
      <c r="E31" s="6" t="n">
        <v>74</v>
      </c>
      <c r="F31" s="6" t="n">
        <v>1031</v>
      </c>
      <c r="G31" s="6" t="n"/>
      <c r="H31" s="6" t="n">
        <v>6226</v>
      </c>
      <c r="I31" s="6" t="n">
        <v>5</v>
      </c>
      <c r="J31" s="6" t="n">
        <v>6231</v>
      </c>
    </row>
    <row r="32">
      <c r="A32" s="6" t="inlineStr">
        <is>
          <t>Dividends to shareholders</t>
        </is>
      </c>
      <c r="B32" s="6" t="n"/>
      <c r="C32" s="6" t="n"/>
      <c r="D32" s="6" t="n">
        <v>-2411</v>
      </c>
      <c r="E32" s="6" t="n"/>
      <c r="F32" s="6" t="n"/>
      <c r="G32" s="6" t="n"/>
      <c r="H32" s="6" t="n">
        <v>-2411</v>
      </c>
      <c r="I32" s="6" t="n">
        <v>-5</v>
      </c>
      <c r="J32" s="6" t="n">
        <v>-2416</v>
      </c>
    </row>
    <row r="33">
      <c r="A33" s="6" t="inlineStr">
        <is>
          <t>Other movements (pension asset transfers, share-based payments)</t>
        </is>
      </c>
      <c r="B33" s="6" t="n"/>
      <c r="C33" s="6" t="n"/>
      <c r="D33" s="6" t="n">
        <v>29</v>
      </c>
      <c r="E33" s="6" t="n"/>
      <c r="F33" s="6" t="n"/>
      <c r="G33" s="6" t="n"/>
      <c r="H33" s="6" t="n">
        <v>29</v>
      </c>
      <c r="I33" s="6" t="n"/>
      <c r="J33" s="6" t="n">
        <v>29</v>
      </c>
    </row>
    <row r="34">
      <c r="A34" s="5" t="inlineStr">
        <is>
          <t>At 31 Dec 2023 / 1 Jan 2024</t>
        </is>
      </c>
      <c r="B34" s="5" t="n">
        <v>9015</v>
      </c>
      <c r="C34" s="5" t="n">
        <v>2196</v>
      </c>
      <c r="D34" s="5" t="n">
        <v>7573</v>
      </c>
      <c r="E34" s="5" t="n">
        <v>-172</v>
      </c>
      <c r="F34" s="5" t="n">
        <v>-293</v>
      </c>
      <c r="G34" s="5" t="n">
        <v>7691</v>
      </c>
      <c r="H34" s="5" t="n">
        <v>26010</v>
      </c>
      <c r="I34" s="5" t="n">
        <v>60</v>
      </c>
      <c r="J34" s="5" t="n">
        <v>26070</v>
      </c>
    </row>
    <row r="35">
      <c r="A35" s="6" t="inlineStr">
        <is>
          <t>Profit for the year</t>
        </is>
      </c>
      <c r="B35" s="6" t="n"/>
      <c r="C35" s="6" t="n"/>
      <c r="D35" s="6" t="n">
        <v>4134</v>
      </c>
      <c r="E35" s="6" t="n"/>
      <c r="F35" s="6" t="n"/>
      <c r="G35" s="6" t="n"/>
      <c r="H35" s="6" t="n">
        <v>4134</v>
      </c>
      <c r="I35" s="6" t="n">
        <v>5</v>
      </c>
      <c r="J35" s="6" t="n">
        <v>4139</v>
      </c>
    </row>
    <row r="36">
      <c r="A36" s="6" t="inlineStr">
        <is>
          <t>Other comprehensive income (net of tax)</t>
        </is>
      </c>
      <c r="B36" s="6" t="n"/>
      <c r="C36" s="6" t="n"/>
      <c r="D36" s="6" t="n">
        <v>-285</v>
      </c>
      <c r="E36" s="6" t="n">
        <v>-34</v>
      </c>
      <c r="F36" s="6" t="n">
        <v>-365</v>
      </c>
      <c r="G36" s="6" t="n"/>
      <c r="H36" s="6" t="n">
        <v>-684</v>
      </c>
      <c r="I36" s="6" t="n"/>
      <c r="J36" s="6" t="n">
        <v>-684</v>
      </c>
    </row>
    <row r="37">
      <c r="A37" s="6" t="inlineStr">
        <is>
          <t>Total comprehensive income for the year</t>
        </is>
      </c>
      <c r="B37" s="6" t="n"/>
      <c r="C37" s="6" t="n"/>
      <c r="D37" s="6" t="n">
        <v>3849</v>
      </c>
      <c r="E37" s="6" t="n">
        <v>-34</v>
      </c>
      <c r="F37" s="6" t="n">
        <v>-365</v>
      </c>
      <c r="G37" s="6" t="n"/>
      <c r="H37" s="6" t="n">
        <v>3450</v>
      </c>
      <c r="I37" s="6" t="n">
        <v>5</v>
      </c>
      <c r="J37" s="6" t="n">
        <v>3455</v>
      </c>
    </row>
    <row r="38">
      <c r="A38" s="6" t="inlineStr">
        <is>
          <t>Dividends to shareholders</t>
        </is>
      </c>
      <c r="B38" s="6" t="n"/>
      <c r="C38" s="6" t="n"/>
      <c r="D38" s="6" t="n">
        <v>-3564</v>
      </c>
      <c r="E38" s="6" t="n"/>
      <c r="F38" s="6" t="n"/>
      <c r="G38" s="6" t="n"/>
      <c r="H38" s="6" t="n">
        <v>-3564</v>
      </c>
      <c r="I38" s="6" t="n">
        <v>-5</v>
      </c>
      <c r="J38" s="6" t="n">
        <v>-3569</v>
      </c>
    </row>
    <row r="39">
      <c r="A39" s="6" t="inlineStr">
        <is>
          <t>Share premium reclassification to retained earnings</t>
        </is>
      </c>
      <c r="B39" s="6" t="n">
        <v>-9015</v>
      </c>
      <c r="C39" s="6" t="n"/>
      <c r="D39" s="6" t="n">
        <v>9015</v>
      </c>
      <c r="E39" s="6" t="n"/>
      <c r="F39" s="6" t="n"/>
      <c r="G39" s="6" t="n"/>
      <c r="H39" s="6" t="n">
        <v>0</v>
      </c>
      <c r="I39" s="6" t="n"/>
      <c r="J39" s="6" t="n">
        <v>0</v>
      </c>
    </row>
    <row r="40">
      <c r="A40" s="6" t="inlineStr">
        <is>
          <t>Capitalisation of Group reorganisation reserve through bonus share issuance</t>
        </is>
      </c>
      <c r="B40" s="6" t="n">
        <v>5248</v>
      </c>
      <c r="C40" s="6" t="n"/>
      <c r="D40" s="6" t="n"/>
      <c r="E40" s="6" t="n"/>
      <c r="F40" s="6" t="n"/>
      <c r="G40" s="6" t="n">
        <v>-5248</v>
      </c>
      <c r="H40" s="6" t="n">
        <v>0</v>
      </c>
      <c r="I40" s="6" t="n"/>
      <c r="J40" s="6" t="n">
        <v>0</v>
      </c>
    </row>
    <row r="41">
      <c r="A41" s="6" t="inlineStr">
        <is>
          <t>Cancellation of bonus shares</t>
        </is>
      </c>
      <c r="B41" s="6" t="n">
        <v>-5248</v>
      </c>
      <c r="C41" s="6" t="n"/>
      <c r="D41" s="6" t="n">
        <v>5248</v>
      </c>
      <c r="E41" s="6" t="n"/>
      <c r="F41" s="6" t="n"/>
      <c r="G41" s="6" t="n"/>
      <c r="H41" s="6" t="n">
        <v>0</v>
      </c>
      <c r="I41" s="6" t="n"/>
      <c r="J41" s="6" t="n">
        <v>0</v>
      </c>
    </row>
    <row r="42">
      <c r="A42" s="6" t="inlineStr">
        <is>
          <t>Other movements (tax credit on share-based payments, pension asset transfers)</t>
        </is>
      </c>
      <c r="B42" s="6" t="n"/>
      <c r="C42" s="6" t="n"/>
      <c r="D42" s="6" t="n">
        <v>15</v>
      </c>
      <c r="E42" s="6" t="n"/>
      <c r="F42" s="6" t="n"/>
      <c r="G42" s="6" t="n"/>
      <c r="H42" s="6" t="n">
        <v>15</v>
      </c>
      <c r="I42" s="6" t="n"/>
      <c r="J42" s="6" t="n">
        <v>15</v>
      </c>
    </row>
    <row r="43">
      <c r="A43" s="5" t="inlineStr">
        <is>
          <t>At 31 Dec 2024 / 1 Jan 2025</t>
        </is>
      </c>
      <c r="B43" s="5" t="n">
        <v>0</v>
      </c>
      <c r="C43" s="5" t="n">
        <v>2196</v>
      </c>
      <c r="D43" s="5" t="n">
        <v>22136</v>
      </c>
      <c r="E43" s="5" t="n">
        <v>-206</v>
      </c>
      <c r="F43" s="5" t="n">
        <v>-658</v>
      </c>
      <c r="G43" s="5" t="n">
        <v>2443</v>
      </c>
      <c r="H43" s="5" t="n">
        <v>25911</v>
      </c>
      <c r="I43" s="5" t="n">
        <v>60</v>
      </c>
      <c r="J43" s="5" t="n">
        <v>25971</v>
      </c>
    </row>
    <row r="44">
      <c r="A44" s="6" t="inlineStr">
        <is>
          <t>Profit for the year</t>
        </is>
      </c>
      <c r="B44" s="6" t="n"/>
      <c r="C44" s="6" t="n"/>
      <c r="D44" s="6" t="n">
        <v>4097</v>
      </c>
      <c r="E44" s="6" t="n"/>
      <c r="F44" s="6" t="n"/>
      <c r="G44" s="6" t="n"/>
      <c r="H44" s="6" t="n">
        <v>4097</v>
      </c>
      <c r="I44" s="6" t="n">
        <v>5</v>
      </c>
      <c r="J44" s="6" t="n">
        <v>4102</v>
      </c>
    </row>
    <row r="45">
      <c r="A45" s="6" t="inlineStr">
        <is>
          <t>Other comprehensive income (net of tax)</t>
        </is>
      </c>
      <c r="B45" s="6" t="n"/>
      <c r="C45" s="6" t="n"/>
      <c r="D45" s="6" t="n">
        <v>-80</v>
      </c>
      <c r="E45" s="6" t="n">
        <v>74</v>
      </c>
      <c r="F45" s="6" t="n">
        <v>734</v>
      </c>
      <c r="G45" s="6" t="n"/>
      <c r="H45" s="6" t="n">
        <v>728</v>
      </c>
      <c r="I45" s="6" t="n"/>
      <c r="J45" s="6" t="n">
        <v>728</v>
      </c>
    </row>
    <row r="46">
      <c r="A46" s="6" t="inlineStr">
        <is>
          <t>Total comprehensive income for the year</t>
        </is>
      </c>
      <c r="B46" s="6" t="n"/>
      <c r="C46" s="6" t="n"/>
      <c r="D46" s="6" t="n">
        <v>4017</v>
      </c>
      <c r="E46" s="6" t="n">
        <v>74</v>
      </c>
      <c r="F46" s="6" t="n">
        <v>734</v>
      </c>
      <c r="G46" s="6" t="n"/>
      <c r="H46" s="6" t="n">
        <v>4825</v>
      </c>
      <c r="I46" s="6" t="n">
        <v>5</v>
      </c>
      <c r="J46" s="6" t="n">
        <v>4830</v>
      </c>
    </row>
    <row r="47">
      <c r="A47" s="6" t="inlineStr">
        <is>
          <t>Issue of other equity instruments</t>
        </is>
      </c>
      <c r="B47" s="6" t="n"/>
      <c r="C47" s="6" t="n">
        <v>495</v>
      </c>
      <c r="D47" s="6" t="n"/>
      <c r="E47" s="6" t="n"/>
      <c r="F47" s="6" t="n"/>
      <c r="G47" s="6" t="n"/>
      <c r="H47" s="6" t="n">
        <v>495</v>
      </c>
      <c r="I47" s="6" t="n"/>
      <c r="J47" s="6" t="n">
        <v>495</v>
      </c>
    </row>
    <row r="48">
      <c r="A48" s="6" t="inlineStr">
        <is>
          <t>Dividends to shareholders</t>
        </is>
      </c>
      <c r="B48" s="6" t="n"/>
      <c r="C48" s="6" t="n"/>
      <c r="D48" s="6" t="n">
        <v>-3023</v>
      </c>
      <c r="E48" s="6" t="n"/>
      <c r="F48" s="6" t="n"/>
      <c r="G48" s="6" t="n"/>
      <c r="H48" s="6" t="n">
        <v>-3023</v>
      </c>
      <c r="I48" s="6" t="n">
        <v>-5</v>
      </c>
      <c r="J48" s="6" t="n">
        <v>-3028</v>
      </c>
    </row>
    <row r="49">
      <c r="A49" s="6" t="inlineStr">
        <is>
          <t>Other movements (tax credit on share-based payments, repayment of other equity instruments to NCI)</t>
        </is>
      </c>
      <c r="B49" s="6" t="n"/>
      <c r="C49" s="6" t="n"/>
      <c r="D49" s="6" t="n">
        <v>33</v>
      </c>
      <c r="E49" s="6" t="n"/>
      <c r="F49" s="6" t="n"/>
      <c r="G49" s="6" t="n"/>
      <c r="H49" s="6" t="n">
        <v>33</v>
      </c>
      <c r="I49" s="6" t="n">
        <v>-40</v>
      </c>
      <c r="J49" s="6" t="n">
        <v>-7</v>
      </c>
    </row>
    <row r="50">
      <c r="A50" s="5" t="inlineStr">
        <is>
          <t>At 31 Dec 2025</t>
        </is>
      </c>
      <c r="B50" s="5" t="n">
        <v>0</v>
      </c>
      <c r="C50" s="5" t="n">
        <v>2691</v>
      </c>
      <c r="D50" s="5" t="n">
        <v>23163</v>
      </c>
      <c r="E50" s="5" t="n">
        <v>-132</v>
      </c>
      <c r="F50" s="5" t="n">
        <v>76</v>
      </c>
      <c r="G50" s="5" t="n">
        <v>2443</v>
      </c>
      <c r="H50" s="5" t="n">
        <v>28241</v>
      </c>
      <c r="I50" s="5" t="n">
        <v>20</v>
      </c>
      <c r="J50" s="5" t="n">
        <v>28261</v>
      </c>
    </row>
    <row r="52" ht="403" customHeight="1">
      <c r="A52" s="8" t="inlineStr">
        <is>
          <t>Sources - HSBC UK Bank plc's own Consolidated statement of changes in equity, £m:
FY2025 &amp; FY2024: Annual Report and Accounts 2025, p.79 - https://www.hsbc.com/-/files/hsbc/investors/hsbc-results/2025/annual/pdfs/hsbc-uk-bank-plc/260225-annual-report-and-accounts-2025.pdf
FY2023 &amp; FY2022: Annual Report and Accounts 2023, p.81 - https://www.hsbc.com/-/files/hsbc/investors/hsbc-results/2023/annual/pdfs/hsbc-uk-bank-plc/240221-annual-report-and-accounts-2023.pdf
FY2021: Annual Report and Accounts 2021, p.77 - https://www.hsbc.com/-/files/hsbc/investors/hsbc-results/2021/annual/pdfs/hsbc-uk-bank-plc/220222-annual-report-and-accounts-2021.pdf
FY2020 &amp; FY2019: Annual Report and Accounts 2020, p.84 - https://www.hsbc.com/-/files/hsbc/investors/hsbc-results/2020/annual/pdfs/hsbc-uk-bank-plc/210223-annual-report-and-accounts-2020.pdf
Presentation note (FY2019/FY2020 only): HSBC UK Bank plc's own equity statement for these two years carries an extra 'Foreign exchange reserve' column not present in the FY2021-2025 vintages (fully run down to nil by 31 December 2019 and not disclosed as a separate column thereafter). It is folded into the 'Group reorganisation reserve' column above rather than given its own column, to keep this sheet's column structure identical across all 7 years - this changes presentation only, not any total: FY2019's own opening Group reorganisation reserve balance of £7,691m plus the then-existing £(2)m Foreign exchange reserve balance is shown as £7,689m at 1 Jan 2019, and the +£2m FY2019 exchange-difference movement (reported in HSBC UK Bank plc's own Foreign exchange reserve column, distinct from the -£1m/-£5m exchange-difference amounts that are reported within the Financial assets at FVOCI reserve column in the original report and are left there unchanged) is folded into the same merged Group reorganisation reserve column, bringing it back to £7,691m at 31 Dec 2019 - which is exactly the Group reorganisation reserve balance already used, unchanged, for FY2020 and FY2021-2025.
ENTITY NOTE: figures are HSBC UK Bank plc's own Consolidated statements (the ring-fenced retail/SME banking entity, distinct from HSBC Bank plc and HSBC Innovation Bank - see the entity note on the Cash Flow Statement sheet), £m, each year's own originally-published figures (not later restated comparatives). Sourced from each year's own Annual Report and Accounts:
FY2025 &amp; FY2024: HSBC UK Bank plc Annual Report and Accounts 2025 - https://www.hsbc.com/-/files/hsbc/investors/hsbc-results/2025/annual/pdfs/hsbc-uk-bank-plc/260225-annual-report-and-accounts-2025.pdf
FY2023 &amp; FY2022: HSBC UK Bank plc Annual Report and Accounts 2023 - https://www.hsbc.com/-/files/hsbc/investors/hsbc-results/2023/annual/pdfs/hsbc-uk-bank-plc/240221-annual-report-and-accounts-2023.pdf
FY2021: HSBC UK Bank plc Annual Report and Accounts 2021 - https://www.hsbc.com/-/files/hsbc/investors/hsbc-results/2021/annual/pdfs/hsbc-uk-bank-plc/220222-annual-report-and-accounts-2021.pdf
FY2020: HSBC UK Bank plc Annual Report and Accounts 2020 - https://www.hsbc.com/-/files/hsbc/investors/hsbc-results/2020/annual/pdfs/hsbc-uk-bank-plc/210223-annual-report-and-accounts-2020.pdf
FY2019: HSBC UK Bank plc Annual Report and Accounts 2019 - https://www.hsbc.com/-/files/hsbc/investors/hsbc-results/2019/annual/pdfs/hsbc-uk-bank-plc/200218-annual-report-and-accounts-2019.pdf
ENTITY NOTE: HSBC UK Bank plc (Companies House 09928412, FRN 765112) is the ring-fenced retail/SME banking entity created in 2018 under UK ring-fencing reform - confirmed distinct from HSBC Bank plc (FRN 114216, the legacy non-ring-fenced entity, built separately in WF-012) and HSBC Innovation Bank Limited (FRN 543146, the former Silicon Valley Bank UK, also built in WF-012). All figures below are HSBC UK Bank plc's own entity-level Consolidated statements, sourced directly from HSBC UK Bank plc's own Annual Report and Accounts and Pillar 3 Disclosures on hsbc.com's investor-relations subsidiaries reporting archive.
HISTORICAL FLOOR (HD-019, independently verified - not assumed from GLEIF entity-creation date): HSBC UK Bank plc's legal entity was incorporated 23 December 2015 as a dormant shelf company ('HSBC UK RFB Limited'), but it did not begin real banking operations until the UK ring-fencing transfer on 1 July 2018 (confirmed directly against the entity's own Annual Report and Accounts 2017, which states the company 'made a pre-tax profit of £16,000... representing interest earned on UK treasury gilts' with 'no relevant audit information' and total equity of £15.01m - i.e. a genuine shell, not a trading bank; and against the entity's own Annual Report and Accounts 2018, whose audited financial statements cover only the six months to 31 December 2018, since 'HSBC UK's banking operations commenced on 1 July 2018'). This is the same UK ring-fencing gating event, under the same Financial Services (Banking Reform) Act 2013 regime, found for Barclays Bank UK PLC in HD-001. FY2018 itself is therefore NOT usable as a year column in this workbook: its own audited income statement, statement of comprehensive income, cash flow statement and equity roll-forward all cover only a 6-month stub period (1 July-31 December 2018), not comparable to the full 12-month columns used everywhere else in this workbook. The floor used here is FY2019 - the entity's own first genuine full 12-month audited reporting year - confirmed directly against HSBC UK Bank plc's own Annual Report and Accounts 2019, whose Consolidated income statement is explicitly 'for the year ended 31 December 2019' with the note 'the period from 1 January 2019 to 31 December 2019'. FY2019 and FY2020 Pillar 3 Disclosures documents are no longer live on hsbc.com and were retrieved via Wayback Machine snapshots of their original hsbc.com URLs.</t>
        </is>
      </c>
    </row>
  </sheetData>
  <mergeCells count="1">
    <mergeCell ref="A52:J5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HSBC UK Bank plc — Consolidated Cash Flow Statement</t>
        </is>
      </c>
    </row>
    <row r="2">
      <c r="A2" s="2" t="inlineStr">
        <is>
          <t>HSBC UK Bank plc consolidated, £m. See source note at bottom.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row>
    <row r="4">
      <c r="A4" s="5" t="inlineStr">
        <is>
          <t>Operating activities</t>
        </is>
      </c>
      <c r="B4" s="6" t="n"/>
      <c r="C4" s="6" t="n"/>
      <c r="D4" s="6" t="n"/>
      <c r="E4" s="6" t="n"/>
      <c r="F4" s="6" t="n"/>
      <c r="G4" s="6" t="n"/>
      <c r="H4" s="6" t="n"/>
    </row>
    <row r="5">
      <c r="A5" s="6" t="inlineStr">
        <is>
          <t>Profit before tax</t>
        </is>
      </c>
      <c r="B5" s="6" t="n">
        <v>5619</v>
      </c>
      <c r="C5" s="6" t="n">
        <v>5647</v>
      </c>
      <c r="D5" s="6" t="n">
        <v>6679</v>
      </c>
      <c r="E5" s="6" t="n">
        <v>3638</v>
      </c>
      <c r="F5" s="6" t="n">
        <v>3480</v>
      </c>
      <c r="G5" s="6" t="n">
        <v>163</v>
      </c>
      <c r="H5" s="6" t="n">
        <v>1010</v>
      </c>
    </row>
    <row r="6">
      <c r="A6" s="6" t="inlineStr">
        <is>
          <t>Depreciation, amortisation and impairment</t>
        </is>
      </c>
      <c r="B6" s="6" t="n">
        <v>495</v>
      </c>
      <c r="C6" s="6" t="n">
        <v>447</v>
      </c>
      <c r="D6" s="6" t="n">
        <v>435</v>
      </c>
      <c r="E6" s="6" t="n">
        <v>482</v>
      </c>
      <c r="F6" s="6" t="n">
        <v>421</v>
      </c>
      <c r="G6" s="6" t="n">
        <v>364</v>
      </c>
      <c r="H6" s="6" t="n">
        <v>326</v>
      </c>
    </row>
    <row r="7">
      <c r="A7" s="6" t="inlineStr">
        <is>
          <t>Net gain from investing activities</t>
        </is>
      </c>
      <c r="B7" s="6" t="n">
        <v>-20</v>
      </c>
      <c r="C7" s="6" t="n">
        <v>-38</v>
      </c>
      <c r="D7" s="6" t="n">
        <v>79</v>
      </c>
      <c r="E7" s="6" t="n">
        <v>-37</v>
      </c>
      <c r="F7" s="6" t="n">
        <v>-101</v>
      </c>
      <c r="G7" s="6" t="n">
        <v>-73</v>
      </c>
      <c r="H7" s="6" t="n">
        <v>-49</v>
      </c>
    </row>
    <row r="8">
      <c r="A8" s="6" t="inlineStr">
        <is>
          <t>Provisional gain on acquisition of SVB UK</t>
        </is>
      </c>
      <c r="B8" s="6" t="n"/>
      <c r="C8" s="6" t="n"/>
      <c r="D8" s="6" t="n">
        <v>-1307</v>
      </c>
      <c r="E8" s="6" t="n"/>
      <c r="F8" s="6" t="n"/>
      <c r="G8" s="6" t="n"/>
      <c r="H8" s="6" t="n"/>
    </row>
    <row r="9">
      <c r="A9" s="6" t="inlineStr">
        <is>
          <t>Change in expected credit losses gross of recoveries and other credit impairment charges</t>
        </is>
      </c>
      <c r="B9" s="6" t="n">
        <v>616</v>
      </c>
      <c r="C9" s="6" t="n">
        <v>386</v>
      </c>
      <c r="D9" s="6" t="n">
        <v>472</v>
      </c>
      <c r="E9" s="6" t="n">
        <v>575</v>
      </c>
      <c r="F9" s="6" t="n">
        <v>-911</v>
      </c>
      <c r="G9" s="6" t="n">
        <v>2180</v>
      </c>
      <c r="H9" s="6" t="n">
        <v>697</v>
      </c>
    </row>
    <row r="10">
      <c r="A10" s="6" t="inlineStr">
        <is>
          <t>Provisions including pensions</t>
        </is>
      </c>
      <c r="B10" s="6" t="n">
        <v>-181</v>
      </c>
      <c r="C10" s="6" t="n">
        <v>-198</v>
      </c>
      <c r="D10" s="6" t="n">
        <v>-233</v>
      </c>
      <c r="E10" s="6" t="n">
        <v>-78</v>
      </c>
      <c r="F10" s="6" t="n">
        <v>123</v>
      </c>
      <c r="G10" s="6" t="n">
        <v>28</v>
      </c>
      <c r="H10" s="6" t="n">
        <v>1248</v>
      </c>
    </row>
    <row r="11">
      <c r="A11" s="6" t="inlineStr">
        <is>
          <t>Share-based payment expense</t>
        </is>
      </c>
      <c r="B11" s="6" t="n">
        <v>30</v>
      </c>
      <c r="C11" s="6" t="n">
        <v>28</v>
      </c>
      <c r="D11" s="6" t="n">
        <v>19</v>
      </c>
      <c r="E11" s="6" t="n">
        <v>17</v>
      </c>
      <c r="F11" s="6" t="n">
        <v>16</v>
      </c>
      <c r="G11" s="6" t="n">
        <v>22</v>
      </c>
      <c r="H11" s="6" t="n">
        <v>17</v>
      </c>
    </row>
    <row r="12">
      <c r="A12" s="6" t="inlineStr">
        <is>
          <t>Other non-cash items included in profit before tax</t>
        </is>
      </c>
      <c r="B12" s="6" t="n">
        <v>-249</v>
      </c>
      <c r="C12" s="6" t="n">
        <v>-249</v>
      </c>
      <c r="D12" s="6" t="n">
        <v>-149</v>
      </c>
      <c r="E12" s="6" t="n">
        <v>-204</v>
      </c>
      <c r="F12" s="6" t="n">
        <v>-30</v>
      </c>
      <c r="G12" s="6" t="n"/>
      <c r="H12" s="6" t="n"/>
    </row>
    <row r="13">
      <c r="A13" s="6" t="inlineStr">
        <is>
          <t>Elimination of exchange differences</t>
        </is>
      </c>
      <c r="B13" s="6" t="n">
        <v>143</v>
      </c>
      <c r="C13" s="6" t="n">
        <v>142</v>
      </c>
      <c r="D13" s="6" t="n">
        <v>332</v>
      </c>
      <c r="E13" s="6" t="n">
        <v>1032</v>
      </c>
      <c r="F13" s="6" t="n">
        <v>-33</v>
      </c>
      <c r="G13" s="6" t="n">
        <v>-85</v>
      </c>
      <c r="H13" s="6" t="n">
        <v>255</v>
      </c>
    </row>
    <row r="14">
      <c r="A14" s="5" t="inlineStr">
        <is>
          <t>Changes in operating assets and liabilities</t>
        </is>
      </c>
      <c r="B14" s="6" t="n"/>
      <c r="C14" s="6" t="n"/>
      <c r="D14" s="6" t="n"/>
      <c r="E14" s="6" t="n"/>
      <c r="F14" s="6" t="n"/>
      <c r="G14" s="6" t="n"/>
      <c r="H14" s="6" t="n"/>
    </row>
    <row r="15">
      <c r="A15" s="6" t="inlineStr">
        <is>
          <t>Change in net trading securities and derivatives</t>
        </is>
      </c>
      <c r="B15" s="6" t="n">
        <v>1208</v>
      </c>
      <c r="C15" s="6" t="n">
        <v>-626</v>
      </c>
      <c r="D15" s="6" t="n">
        <v>1615</v>
      </c>
      <c r="E15" s="6" t="n">
        <v>-2174</v>
      </c>
      <c r="F15" s="6" t="n">
        <v>-97</v>
      </c>
      <c r="G15" s="6" t="n">
        <v>133</v>
      </c>
      <c r="H15" s="6" t="n">
        <v>-161</v>
      </c>
    </row>
    <row r="16">
      <c r="A16" s="6" t="inlineStr">
        <is>
          <t>Change in loans and advances to banks and customers</t>
        </is>
      </c>
      <c r="B16" s="6" t="n">
        <v>-14483</v>
      </c>
      <c r="C16" s="6" t="n">
        <v>-5073</v>
      </c>
      <c r="D16" s="6" t="n">
        <v>-2773</v>
      </c>
      <c r="E16" s="6" t="n">
        <v>-9182</v>
      </c>
      <c r="F16" s="6" t="n">
        <v>-3717</v>
      </c>
      <c r="G16" s="6" t="n">
        <v>-10353</v>
      </c>
      <c r="H16" s="6" t="n">
        <v>-8306</v>
      </c>
    </row>
    <row r="17">
      <c r="A17" s="6" t="inlineStr">
        <is>
          <t>Change in reverse repurchase agreements - non-trading</t>
        </is>
      </c>
      <c r="B17" s="6" t="n">
        <v>-4764</v>
      </c>
      <c r="C17" s="6" t="n">
        <v>-1952</v>
      </c>
      <c r="D17" s="6" t="n">
        <v>-264</v>
      </c>
      <c r="E17" s="6" t="n">
        <v>894</v>
      </c>
      <c r="F17" s="6" t="n">
        <v>-5503</v>
      </c>
      <c r="G17" s="6" t="n">
        <v>529</v>
      </c>
      <c r="H17" s="6" t="n">
        <v>408</v>
      </c>
    </row>
    <row r="18">
      <c r="A18" s="6" t="inlineStr">
        <is>
          <t>Change in financial assets mandatorily measured at fair value</t>
        </is>
      </c>
      <c r="B18" s="6" t="n">
        <v>-1</v>
      </c>
      <c r="C18" s="6" t="n">
        <v>-39</v>
      </c>
      <c r="D18" s="6" t="n">
        <v>-27</v>
      </c>
      <c r="E18" s="6" t="n">
        <v>-29</v>
      </c>
      <c r="F18" s="6" t="n">
        <v>-53</v>
      </c>
      <c r="G18" s="6" t="n">
        <v>40</v>
      </c>
      <c r="H18" s="6" t="n">
        <v>-31</v>
      </c>
    </row>
    <row r="19">
      <c r="A19" s="6" t="inlineStr">
        <is>
          <t>Change in other assets</t>
        </is>
      </c>
      <c r="B19" s="6" t="n">
        <v>-730</v>
      </c>
      <c r="C19" s="6" t="n">
        <v>-748</v>
      </c>
      <c r="D19" s="6" t="n">
        <v>114</v>
      </c>
      <c r="E19" s="6" t="n">
        <v>-2219</v>
      </c>
      <c r="F19" s="6" t="n">
        <v>728</v>
      </c>
      <c r="G19" s="6" t="n">
        <v>-773</v>
      </c>
      <c r="H19" s="6" t="n">
        <v>511</v>
      </c>
    </row>
    <row r="20">
      <c r="A20" s="6" t="inlineStr">
        <is>
          <t>Change in deposits by banks and customer accounts</t>
        </is>
      </c>
      <c r="B20" s="6" t="n">
        <v>4956</v>
      </c>
      <c r="C20" s="6" t="n">
        <v>12322</v>
      </c>
      <c r="D20" s="6" t="n">
        <v>-20028</v>
      </c>
      <c r="E20" s="6" t="n">
        <v>-1234</v>
      </c>
      <c r="F20" s="6" t="n">
        <v>33169</v>
      </c>
      <c r="G20" s="6" t="n">
        <v>43138</v>
      </c>
      <c r="H20" s="6" t="n">
        <v>10879</v>
      </c>
    </row>
    <row r="21">
      <c r="A21" s="6" t="inlineStr">
        <is>
          <t>Change in repurchase agreements - non-trading</t>
        </is>
      </c>
      <c r="B21" s="6" t="n">
        <v>5856</v>
      </c>
      <c r="C21" s="6" t="n">
        <v>-4231</v>
      </c>
      <c r="D21" s="6" t="n">
        <v>-5086</v>
      </c>
      <c r="E21" s="6" t="n">
        <v>-1104</v>
      </c>
      <c r="F21" s="6" t="n">
        <v>4288</v>
      </c>
      <c r="G21" s="6" t="n">
        <v>6052</v>
      </c>
      <c r="H21" s="6" t="n">
        <v>-541</v>
      </c>
    </row>
    <row r="22">
      <c r="A22" s="6" t="inlineStr">
        <is>
          <t>Change in debt securities in issue</t>
        </is>
      </c>
      <c r="B22" s="6" t="n">
        <v>975</v>
      </c>
      <c r="C22" s="6" t="n">
        <v>56</v>
      </c>
      <c r="D22" s="6" t="n">
        <v>689</v>
      </c>
      <c r="E22" s="6" t="n">
        <v>399</v>
      </c>
      <c r="F22" s="6" t="n">
        <v>34</v>
      </c>
      <c r="G22" s="6" t="n">
        <v>-2276</v>
      </c>
      <c r="H22" s="6" t="n">
        <v>3142</v>
      </c>
    </row>
    <row r="23">
      <c r="A23" s="6" t="inlineStr">
        <is>
          <t>Change in other liabilities</t>
        </is>
      </c>
      <c r="B23" s="6" t="n">
        <v>-113</v>
      </c>
      <c r="C23" s="6" t="n">
        <v>-900</v>
      </c>
      <c r="D23" s="6" t="n">
        <v>605</v>
      </c>
      <c r="E23" s="6" t="n">
        <v>1052</v>
      </c>
      <c r="F23" s="6" t="n">
        <v>-1233</v>
      </c>
      <c r="G23" s="6" t="n">
        <v>93</v>
      </c>
      <c r="H23" s="6" t="n">
        <v>-1621</v>
      </c>
    </row>
    <row r="24">
      <c r="A24" s="6" t="inlineStr">
        <is>
          <t>Contributions paid to defined benefit plans</t>
        </is>
      </c>
      <c r="B24" s="6" t="n">
        <v>0</v>
      </c>
      <c r="C24" s="6" t="n">
        <v>-1</v>
      </c>
      <c r="D24" s="6" t="n">
        <v>-17</v>
      </c>
      <c r="E24" s="6" t="n">
        <v>-21</v>
      </c>
      <c r="F24" s="6" t="n">
        <v>-195</v>
      </c>
      <c r="G24" s="6" t="n">
        <v>-202</v>
      </c>
      <c r="H24" s="6" t="n">
        <v>-115</v>
      </c>
    </row>
    <row r="25">
      <c r="A25" s="6" t="inlineStr">
        <is>
          <t>Tax paid</t>
        </is>
      </c>
      <c r="B25" s="6" t="n">
        <v>-1632</v>
      </c>
      <c r="C25" s="6" t="n">
        <v>-1209</v>
      </c>
      <c r="D25" s="6" t="n">
        <v>-1182</v>
      </c>
      <c r="E25" s="6" t="n">
        <v>-1499</v>
      </c>
      <c r="F25" s="6" t="n">
        <v>53</v>
      </c>
      <c r="G25" s="6" t="n">
        <v>-404</v>
      </c>
      <c r="H25" s="6" t="n">
        <v>-360</v>
      </c>
    </row>
    <row r="26">
      <c r="A26" s="5" t="inlineStr">
        <is>
          <t>Net cash from operating activities</t>
        </is>
      </c>
      <c r="B26" s="5" t="n">
        <v>-2275</v>
      </c>
      <c r="C26" s="5" t="n">
        <v>3764</v>
      </c>
      <c r="D26" s="5" t="n">
        <v>-20027</v>
      </c>
      <c r="E26" s="5" t="n">
        <v>-9692</v>
      </c>
      <c r="F26" s="5" t="n">
        <v>30439</v>
      </c>
      <c r="G26" s="5" t="n">
        <v>38576</v>
      </c>
      <c r="H26" s="5" t="n">
        <v>7309</v>
      </c>
    </row>
    <row r="27">
      <c r="A27" s="5" t="inlineStr">
        <is>
          <t>Investing activities</t>
        </is>
      </c>
      <c r="B27" s="6" t="n"/>
      <c r="C27" s="6" t="n"/>
      <c r="D27" s="6" t="n"/>
      <c r="E27" s="6" t="n"/>
      <c r="F27" s="6" t="n"/>
      <c r="G27" s="6" t="n"/>
      <c r="H27" s="6" t="n"/>
    </row>
    <row r="28">
      <c r="A28" s="6" t="inlineStr">
        <is>
          <t>Purchase of financial investments</t>
        </is>
      </c>
      <c r="B28" s="6" t="n">
        <v>-26063</v>
      </c>
      <c r="C28" s="6" t="n">
        <v>-33396</v>
      </c>
      <c r="D28" s="6" t="n">
        <v>-17640</v>
      </c>
      <c r="E28" s="6" t="n">
        <v>-10386</v>
      </c>
      <c r="F28" s="6" t="n">
        <v>-12468</v>
      </c>
      <c r="G28" s="6" t="n">
        <v>-27644</v>
      </c>
      <c r="H28" s="6" t="n">
        <v>-19300</v>
      </c>
    </row>
    <row r="29">
      <c r="A29" s="6" t="inlineStr">
        <is>
          <t>Proceeds from the sale and maturity of financial investments</t>
        </is>
      </c>
      <c r="B29" s="6" t="n">
        <v>22519</v>
      </c>
      <c r="C29" s="6" t="n">
        <v>22617</v>
      </c>
      <c r="D29" s="6" t="n">
        <v>10222</v>
      </c>
      <c r="E29" s="6" t="n">
        <v>8571</v>
      </c>
      <c r="F29" s="6" t="n">
        <v>17000</v>
      </c>
      <c r="G29" s="6" t="n">
        <v>28848</v>
      </c>
      <c r="H29" s="6" t="n">
        <v>12629</v>
      </c>
    </row>
    <row r="30">
      <c r="A30" s="6" t="inlineStr">
        <is>
          <t>Proceeds from sale of property, plant and equipment</t>
        </is>
      </c>
      <c r="B30" s="6" t="n">
        <v>0</v>
      </c>
      <c r="C30" s="6" t="n">
        <v>27</v>
      </c>
      <c r="D30" s="6" t="n">
        <v>67</v>
      </c>
      <c r="E30" s="6" t="n">
        <v>39</v>
      </c>
      <c r="F30" s="6" t="n"/>
      <c r="G30" s="6" t="n"/>
      <c r="H30" s="6" t="n"/>
    </row>
    <row r="31">
      <c r="A31" s="6" t="inlineStr">
        <is>
          <t>Purchase of property, plant and equipment</t>
        </is>
      </c>
      <c r="B31" s="6" t="n">
        <v>-73</v>
      </c>
      <c r="C31" s="6" t="n">
        <v>-71</v>
      </c>
      <c r="D31" s="6" t="n">
        <v>-45</v>
      </c>
      <c r="E31" s="6" t="n">
        <v>-80</v>
      </c>
      <c r="F31" s="6" t="n"/>
      <c r="G31" s="6" t="n"/>
      <c r="H31" s="6" t="n"/>
    </row>
    <row r="32">
      <c r="A32" s="6" t="inlineStr">
        <is>
          <t>Net cash flows from the purchase and sale of property, plant and equipment</t>
        </is>
      </c>
      <c r="B32" s="6" t="n"/>
      <c r="C32" s="6" t="n"/>
      <c r="D32" s="6" t="n"/>
      <c r="E32" s="6" t="n"/>
      <c r="F32" s="6" t="n">
        <v>-53</v>
      </c>
      <c r="G32" s="6" t="n">
        <v>-58</v>
      </c>
      <c r="H32" s="6" t="n">
        <v>-69</v>
      </c>
    </row>
    <row r="33">
      <c r="A33" s="6" t="inlineStr">
        <is>
          <t>Purchase of intangible assets</t>
        </is>
      </c>
      <c r="B33" s="6" t="n">
        <v>-438</v>
      </c>
      <c r="C33" s="6" t="n">
        <v>-363</v>
      </c>
      <c r="D33" s="6" t="n">
        <v>-325</v>
      </c>
      <c r="E33" s="6" t="n">
        <v>-382</v>
      </c>
      <c r="F33" s="6" t="n"/>
      <c r="G33" s="6" t="n"/>
      <c r="H33" s="6" t="n"/>
    </row>
    <row r="34">
      <c r="A34" s="6" t="inlineStr">
        <is>
          <t>Proceeds from sale of intangible assets</t>
        </is>
      </c>
      <c r="B34" s="6" t="n">
        <v>10</v>
      </c>
      <c r="C34" s="6" t="n">
        <v>1</v>
      </c>
      <c r="D34" s="6" t="n"/>
      <c r="E34" s="6" t="n"/>
      <c r="F34" s="6" t="n"/>
      <c r="G34" s="6" t="n"/>
      <c r="H34" s="6" t="n"/>
    </row>
    <row r="35">
      <c r="A35" s="6" t="inlineStr">
        <is>
          <t>Net investment in intangible assets</t>
        </is>
      </c>
      <c r="B35" s="6" t="n"/>
      <c r="C35" s="6" t="n"/>
      <c r="D35" s="6" t="n"/>
      <c r="E35" s="6" t="n"/>
      <c r="F35" s="6" t="n">
        <v>-347</v>
      </c>
      <c r="G35" s="6" t="n">
        <v>-303</v>
      </c>
      <c r="H35" s="6" t="n">
        <v>-319</v>
      </c>
    </row>
    <row r="36">
      <c r="A36" s="6" t="inlineStr">
        <is>
          <t>Net cash flow on acquisition of subsidiaries, businesses and joint venture</t>
        </is>
      </c>
      <c r="B36" s="6" t="n">
        <v>1</v>
      </c>
      <c r="C36" s="6" t="n">
        <v>0</v>
      </c>
      <c r="D36" s="6" t="n"/>
      <c r="E36" s="6" t="n"/>
      <c r="F36" s="6" t="n"/>
      <c r="G36" s="6" t="n"/>
      <c r="H36" s="6" t="n">
        <v>0</v>
      </c>
    </row>
    <row r="37">
      <c r="A37" s="6" t="inlineStr">
        <is>
          <t>Net cash flow from acquisition of SVB UK</t>
        </is>
      </c>
      <c r="B37" s="6" t="n"/>
      <c r="C37" s="6" t="n"/>
      <c r="D37" s="6" t="n">
        <v>1023</v>
      </c>
      <c r="E37" s="6" t="n"/>
      <c r="F37" s="6" t="n"/>
      <c r="G37" s="6" t="n"/>
      <c r="H37" s="6" t="n"/>
    </row>
    <row r="38">
      <c r="A38" s="5" t="inlineStr">
        <is>
          <t>Net cash from investing activities</t>
        </is>
      </c>
      <c r="B38" s="5" t="n">
        <v>-4044</v>
      </c>
      <c r="C38" s="5" t="n">
        <v>-11185</v>
      </c>
      <c r="D38" s="5" t="n">
        <v>-6698</v>
      </c>
      <c r="E38" s="5" t="n">
        <v>-2238</v>
      </c>
      <c r="F38" s="5" t="n">
        <v>4132</v>
      </c>
      <c r="G38" s="5" t="n">
        <v>843</v>
      </c>
      <c r="H38" s="5" t="n">
        <v>-7059</v>
      </c>
    </row>
    <row r="39">
      <c r="A39" s="5" t="inlineStr">
        <is>
          <t>Financing activities</t>
        </is>
      </c>
      <c r="B39" s="6" t="n"/>
      <c r="C39" s="6" t="n"/>
      <c r="D39" s="6" t="n"/>
      <c r="E39" s="6" t="n"/>
      <c r="F39" s="6" t="n"/>
      <c r="G39" s="6" t="n"/>
      <c r="H39" s="6" t="n"/>
    </row>
    <row r="40">
      <c r="A40" s="6" t="inlineStr">
        <is>
          <t>Issue of ordinary share capital and other equity instruments</t>
        </is>
      </c>
      <c r="B40" s="6" t="n">
        <v>495</v>
      </c>
      <c r="C40" s="6" t="n">
        <v>0</v>
      </c>
      <c r="D40" s="6" t="n"/>
      <c r="E40" s="6" t="n"/>
      <c r="F40" s="6" t="n"/>
      <c r="G40" s="6" t="n"/>
      <c r="H40" s="6" t="n">
        <v>0</v>
      </c>
    </row>
    <row r="41">
      <c r="A41" s="6" t="inlineStr">
        <is>
          <t>Subordinated loan capital issued</t>
        </is>
      </c>
      <c r="B41" s="6" t="n">
        <v>3194</v>
      </c>
      <c r="C41" s="6" t="n">
        <v>3259</v>
      </c>
      <c r="D41" s="6" t="n">
        <v>2250</v>
      </c>
      <c r="E41" s="6" t="n"/>
      <c r="F41" s="6" t="n">
        <v>4978</v>
      </c>
      <c r="G41" s="6" t="n">
        <v>0</v>
      </c>
      <c r="H41" s="6" t="n">
        <v>4619</v>
      </c>
    </row>
    <row r="42">
      <c r="A42" s="6" t="inlineStr">
        <is>
          <t>Subordinated loan capital repaid</t>
        </is>
      </c>
      <c r="B42" s="6" t="n">
        <v>-2414</v>
      </c>
      <c r="C42" s="6" t="n">
        <v>-2194</v>
      </c>
      <c r="D42" s="6" t="n"/>
      <c r="E42" s="6" t="n"/>
      <c r="F42" s="6" t="n">
        <v>-2079</v>
      </c>
      <c r="G42" s="6" t="n"/>
      <c r="H42" s="6" t="n"/>
    </row>
    <row r="43">
      <c r="A43" s="6" t="inlineStr">
        <is>
          <t>Dividends paid to shareholders of the parent company and non-controlling interests</t>
        </is>
      </c>
      <c r="B43" s="6" t="n">
        <v>-3028</v>
      </c>
      <c r="C43" s="6" t="n">
        <v>-3569</v>
      </c>
      <c r="D43" s="6" t="n">
        <v>-2416</v>
      </c>
      <c r="E43" s="6" t="n">
        <v>-1934</v>
      </c>
      <c r="F43" s="6" t="n">
        <v>-752</v>
      </c>
      <c r="G43" s="6" t="n">
        <v>-226</v>
      </c>
      <c r="H43" s="6" t="n">
        <v>-455</v>
      </c>
    </row>
    <row r="44">
      <c r="A44" s="6" t="inlineStr">
        <is>
          <t>Repayment of other equity instruments to non-controlling interests</t>
        </is>
      </c>
      <c r="B44" s="6" t="n">
        <v>-40</v>
      </c>
      <c r="C44" s="6" t="n">
        <v>0</v>
      </c>
      <c r="D44" s="6" t="n"/>
      <c r="E44" s="6" t="n"/>
      <c r="F44" s="6" t="n"/>
      <c r="G44" s="6" t="n"/>
      <c r="H44" s="6" t="n"/>
    </row>
    <row r="45">
      <c r="A45" s="5" t="inlineStr">
        <is>
          <t>Net cash from financing activities</t>
        </is>
      </c>
      <c r="B45" s="5" t="n">
        <v>-1793</v>
      </c>
      <c r="C45" s="5" t="n">
        <v>-2504</v>
      </c>
      <c r="D45" s="5" t="n">
        <v>-166</v>
      </c>
      <c r="E45" s="5" t="n">
        <v>-1934</v>
      </c>
      <c r="F45" s="5" t="n">
        <v>2147</v>
      </c>
      <c r="G45" s="5" t="n">
        <v>-226</v>
      </c>
      <c r="H45" s="5" t="n">
        <v>4164</v>
      </c>
    </row>
    <row r="46">
      <c r="A46" s="5" t="inlineStr">
        <is>
          <t>Net increase/(decrease) in cash and cash equivalents</t>
        </is>
      </c>
      <c r="B46" s="5" t="n">
        <v>-8112</v>
      </c>
      <c r="C46" s="5" t="n">
        <v>-9925</v>
      </c>
      <c r="D46" s="5" t="n">
        <v>-26891</v>
      </c>
      <c r="E46" s="5" t="n">
        <v>-13864</v>
      </c>
      <c r="F46" s="5" t="n">
        <v>36718</v>
      </c>
      <c r="G46" s="5" t="n">
        <v>39193</v>
      </c>
      <c r="H46" s="5" t="n">
        <v>4414</v>
      </c>
    </row>
    <row r="47">
      <c r="A47" s="6" t="inlineStr">
        <is>
          <t>Cash and cash equivalents at 1 Jan</t>
        </is>
      </c>
      <c r="B47" s="6" t="n">
        <v>63366</v>
      </c>
      <c r="C47" s="6" t="n">
        <v>73381</v>
      </c>
      <c r="D47" s="6" t="n">
        <v>100319</v>
      </c>
      <c r="E47" s="6" t="n">
        <v>114134</v>
      </c>
      <c r="F47" s="6" t="n">
        <v>77422</v>
      </c>
      <c r="G47" s="6" t="n">
        <v>38086</v>
      </c>
      <c r="H47" s="6" t="n">
        <v>33817</v>
      </c>
    </row>
    <row r="48">
      <c r="A48" s="6" t="inlineStr">
        <is>
          <t>Exchange differences in respect of cash and cash equivalents</t>
        </is>
      </c>
      <c r="B48" s="6" t="n">
        <v>45</v>
      </c>
      <c r="C48" s="6" t="n">
        <v>-90</v>
      </c>
      <c r="D48" s="6" t="n">
        <v>-47</v>
      </c>
      <c r="E48" s="6" t="n">
        <v>49</v>
      </c>
      <c r="F48" s="6" t="n">
        <v>-6</v>
      </c>
      <c r="G48" s="6" t="n">
        <v>143</v>
      </c>
      <c r="H48" s="6" t="n">
        <v>-145</v>
      </c>
    </row>
    <row r="49">
      <c r="A49" s="5" t="inlineStr">
        <is>
          <t>Cash and cash equivalents at 31 Dec</t>
        </is>
      </c>
      <c r="B49" s="5" t="n">
        <v>55299</v>
      </c>
      <c r="C49" s="5" t="n">
        <v>63366</v>
      </c>
      <c r="D49" s="5" t="n">
        <v>73381</v>
      </c>
      <c r="E49" s="5" t="n">
        <v>100319</v>
      </c>
      <c r="F49" s="5" t="n">
        <v>114134</v>
      </c>
      <c r="G49" s="5" t="n">
        <v>77422</v>
      </c>
      <c r="H49" s="5" t="n">
        <v>38086</v>
      </c>
    </row>
    <row r="51" ht="325" customHeight="1">
      <c r="A51" s="8" t="inlineStr">
        <is>
          <t>Sources - all figures are HSBC UK Bank plc's own Consolidated statement of cash flows, £m, from each year's own Annual Report and Accounts:
FY2025 &amp; FY2024: HSBC UK Bank plc Annual Report and Accounts 2025, p.79 (Consolidated statement of cash flows) - https://www.hsbc.com/-/files/hsbc/investors/hsbc-results/2025/annual/pdfs/hsbc-uk-bank-plc/260225-annual-report-and-accounts-2025.pdf
FY2023 &amp; FY2022: HSBC UK Bank plc Annual Report and Accounts 2023, p.81 (Consolidated statement of cash flows) - https://www.hsbc.com/-/files/hsbc/investors/hsbc-results/2023/annual/pdfs/hsbc-uk-bank-plc/240221-annual-report-and-accounts-2023.pdf
FY2021: HSBC UK Bank plc Annual Report and Accounts 2021, p.75 (Consolidated statement of cash flows) - https://www.hsbc.com/-/files/hsbc/investors/hsbc-results/2021/annual/pdfs/hsbc-uk-bank-plc/220222-annual-report-and-accounts-2021.pdf
FY2020: HSBC UK Bank plc Annual Report and Accounts 2020, p.83 (Consolidated statement of cash flows) - https://www.hsbc.com/-/files/hsbc/investors/hsbc-results/2020/annual/pdfs/hsbc-uk-bank-plc/210223-annual-report-and-accounts-2020.pdf
FY2019: HSBC UK Bank plc Annual Report and Accounts 2019, p.73 (Consolidated statement of cash flows) - https://www.hsbc.com/-/files/hsbc/investors/hsbc-results/2019/annual/pdfs/hsbc-uk-bank-plc/200218-annual-report-and-accounts-2019.pdf
CASH FLOW NOTE: figures are £m. Presentation granularity changed across report vintages: FY2025/FY2024 and FY2023/FY2022 both itemise 'Purchase of property, plant and equipment' / 'Proceeds from sale of property, plant and equipment' as separate lines, while FY2021's own report combines them into a single 'Net cash flows from the purchase and sale of property, plant and equipment' line; similarly FY2025/2024 itemise 'Purchase of intangible assets' / 'Proceeds from sale of intangible assets' separately, FY2023/2022 report only a net purchase line, and FY2021 combines both into 'Net investment in intangible assets'. FY2023/FY2022 include two SVB UK-acquisition-specific lines (HSBC UK Bank plc acquired Silicon Valley Bank UK in March 2023) not present in other years. FY2025 introduces two new financing lines ('Issue of ordinary share capital and other equity instruments', 'Repayment of other equity instruments to non-controlling interests') not present in earlier years. FY2020's own report has no Subordinated loan capital issued/repaid line (nil that year) and no 'Issue of ordinary share capital' line (only issued in 2018, a one-off). FY2019's own report has a unique 'Funds received from the shareholder of the parent company' line (£nil in all other years shown here). Blank cells indicate that year's own report did not disclose that specific line; section totals (net cash from operating/investing/financing activities, cash and cash equivalents) are consistent and comparable across all 7 years.
ENTITY NOTE: HSBC UK Bank plc (Companies House 09928412, FRN 765112) is the ring-fenced retail/SME banking entity created in 2018 under UK ring-fencing reform - confirmed distinct from HSBC Bank plc (FRN 114216, the legacy non-ring-fenced entity, built separately in WF-012) and HSBC Innovation Bank Limited (FRN 543146, the former Silicon Valley Bank UK, also built in WF-012). All figures below are HSBC UK Bank plc's own entity-level Consolidated statements, sourced directly from HSBC UK Bank plc's own Annual Report and Accounts and Pillar 3 Disclosures on hsbc.com's investor-relations subsidiaries reporting archive.
HISTORICAL FLOOR (HD-019, independently verified - not assumed from GLEIF entity-creation date): HSBC UK Bank plc's legal entity was incorporated 23 December 2015 as a dormant shelf company ('HSBC UK RFB Limited'), but it did not begin real banking operations until the UK ring-fencing transfer on 1 July 2018 (confirmed directly against the entity's own Annual Report and Accounts 2017, which states the company 'made a pre-tax profit of £16,000... representing interest earned on UK treasury gilts' with 'no relevant audit information' and total equity of £15.01m - i.e. a genuine shell, not a trading bank; and against the entity's own Annual Report and Accounts 2018, whose audited financial statements cover only the six months to 31 December 2018, since 'HSBC UK's banking operations commenced on 1 July 2018'). This is the same UK ring-fencing gating event, under the same Financial Services (Banking Reform) Act 2013 regime, found for Barclays Bank UK PLC in HD-001. FY2018 itself is therefore NOT usable as a year column in this workbook: its own audited income statement, statement of comprehensive income, cash flow statement and equity roll-forward all cover only a 6-month stub period (1 July-31 December 2018), not comparable to the full 12-month columns used everywhere else in this workbook. The floor used here is FY2019 - the entity's own first genuine full 12-month audited reporting year - confirmed directly against HSBC UK Bank plc's own Annual Report and Accounts 2019, whose Consolidated income statement is explicitly 'for the year ended 31 December 2019' with the note 'the period from 1 January 2019 to 31 December 2019'. FY2019 and FY2020 Pillar 3 Disclosures documents are no longer live on hsbc.com and were retrieved via Wayback Machine snapshots of their original hsbc.com URLs.</t>
        </is>
      </c>
    </row>
  </sheetData>
  <mergeCells count="1">
    <mergeCell ref="A51:H5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HSBC UK Bank plc — Asset Quality</t>
        </is>
      </c>
    </row>
    <row r="2">
      <c r="A2" s="2" t="inlineStr">
        <is>
          <t>Loans and advances to customers at amortised cost, by IFRS 9 stage, £m. Net figures tie exactly to the Balance Sheet's own 'Loans and advances to customers' line every year. See source note at bottom.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row>
    <row r="4">
      <c r="A4" s="5" t="inlineStr">
        <is>
          <t>Loans and advances to customers at amortised cost, by IFRS 9 stage</t>
        </is>
      </c>
      <c r="B4" s="6" t="n"/>
      <c r="C4" s="6" t="n"/>
      <c r="D4" s="6" t="n"/>
      <c r="E4" s="6" t="n"/>
      <c r="F4" s="6" t="n"/>
      <c r="G4" s="6" t="n"/>
      <c r="H4" s="6" t="n"/>
    </row>
    <row r="5">
      <c r="A5" s="6" t="inlineStr">
        <is>
          <t>Stage 1 - gross carrying amount</t>
        </is>
      </c>
      <c r="B5" s="6" t="n">
        <v>210641</v>
      </c>
      <c r="C5" s="6" t="n">
        <v>180408</v>
      </c>
      <c r="D5" s="6" t="n">
        <v>167396</v>
      </c>
      <c r="E5" s="6" t="n">
        <v>154818</v>
      </c>
      <c r="F5" s="6" t="n">
        <v>174917</v>
      </c>
      <c r="G5" s="6" t="n">
        <v>162033</v>
      </c>
      <c r="H5" s="6" t="n">
        <v>168351</v>
      </c>
    </row>
    <row r="6">
      <c r="A6" s="6" t="inlineStr">
        <is>
          <t>Stage 2 - gross carrying amount</t>
        </is>
      </c>
      <c r="B6" s="6" t="n">
        <v>18642</v>
      </c>
      <c r="C6" s="6" t="n">
        <v>35152</v>
      </c>
      <c r="D6" s="6" t="n">
        <v>42286</v>
      </c>
      <c r="E6" s="6" t="n">
        <v>46693</v>
      </c>
      <c r="F6" s="6" t="n">
        <v>18436</v>
      </c>
      <c r="G6" s="6" t="n">
        <v>28802</v>
      </c>
      <c r="H6" s="6" t="n">
        <v>13177</v>
      </c>
    </row>
    <row r="7">
      <c r="A7" s="6" t="inlineStr">
        <is>
          <t>Stage 3 - gross carrying amount</t>
        </is>
      </c>
      <c r="B7" s="6" t="n">
        <v>3453</v>
      </c>
      <c r="C7" s="6" t="n">
        <v>3532</v>
      </c>
      <c r="D7" s="6" t="n">
        <v>3909</v>
      </c>
      <c r="E7" s="6" t="n">
        <v>4521</v>
      </c>
      <c r="F7" s="6" t="n">
        <v>4008</v>
      </c>
      <c r="G7" s="6" t="n">
        <v>3555</v>
      </c>
      <c r="H7" s="6" t="n">
        <v>3179</v>
      </c>
    </row>
    <row r="8">
      <c r="A8" s="6" t="inlineStr">
        <is>
          <t>POCI - gross carrying amount</t>
        </is>
      </c>
      <c r="B8" s="6" t="n"/>
      <c r="C8" s="6" t="n"/>
      <c r="D8" s="6" t="n">
        <v>0</v>
      </c>
      <c r="E8" s="6" t="n">
        <v>23</v>
      </c>
      <c r="F8" s="6" t="n">
        <v>20</v>
      </c>
      <c r="G8" s="6" t="n">
        <v>36</v>
      </c>
      <c r="H8" s="6" t="n">
        <v>27</v>
      </c>
    </row>
    <row r="9">
      <c r="A9" s="5" t="inlineStr">
        <is>
          <t>Total gross carrying amount</t>
        </is>
      </c>
      <c r="B9" s="5" t="n">
        <v>232736</v>
      </c>
      <c r="C9" s="5" t="n">
        <v>219092</v>
      </c>
      <c r="D9" s="5" t="n">
        <v>213591</v>
      </c>
      <c r="E9" s="5" t="n">
        <v>206055</v>
      </c>
      <c r="F9" s="5" t="n">
        <v>197381</v>
      </c>
      <c r="G9" s="5" t="n">
        <v>194426</v>
      </c>
      <c r="H9" s="5" t="n">
        <v>184734</v>
      </c>
    </row>
    <row r="10">
      <c r="A10" s="6" t="inlineStr">
        <is>
          <t>Stage 1 - allowance for ECL</t>
        </is>
      </c>
      <c r="B10" s="6" t="n">
        <v>-284</v>
      </c>
      <c r="C10" s="6" t="n">
        <v>-275</v>
      </c>
      <c r="D10" s="6" t="n">
        <v>-286</v>
      </c>
      <c r="E10" s="6" t="n">
        <v>-248</v>
      </c>
      <c r="F10" s="6" t="n">
        <v>-315</v>
      </c>
      <c r="G10" s="6" t="n">
        <v>-467</v>
      </c>
      <c r="H10" s="6" t="n">
        <v>-214</v>
      </c>
    </row>
    <row r="11">
      <c r="A11" s="6" t="inlineStr">
        <is>
          <t>Stage 2 - allowance for ECL</t>
        </is>
      </c>
      <c r="B11" s="6" t="n">
        <v>-477</v>
      </c>
      <c r="C11" s="6" t="n">
        <v>-565</v>
      </c>
      <c r="D11" s="6" t="n">
        <v>-755</v>
      </c>
      <c r="E11" s="6" t="n">
        <v>-941</v>
      </c>
      <c r="F11" s="6" t="n">
        <v>-692</v>
      </c>
      <c r="G11" s="6" t="n">
        <v>-1651</v>
      </c>
      <c r="H11" s="6" t="n">
        <v>-626</v>
      </c>
    </row>
    <row r="12">
      <c r="A12" s="6" t="inlineStr">
        <is>
          <t>Stage 3 - allowance for ECL</t>
        </is>
      </c>
      <c r="B12" s="6" t="n">
        <v>-752</v>
      </c>
      <c r="C12" s="6" t="n">
        <v>-648</v>
      </c>
      <c r="D12" s="6" t="n">
        <v>-663</v>
      </c>
      <c r="E12" s="6" t="n">
        <v>-722</v>
      </c>
      <c r="F12" s="6" t="n">
        <v>-843</v>
      </c>
      <c r="G12" s="6" t="n">
        <v>-1053</v>
      </c>
      <c r="H12" s="6" t="n">
        <v>-838</v>
      </c>
    </row>
    <row r="13">
      <c r="A13" s="6" t="inlineStr">
        <is>
          <t>POCI - allowance for ECL</t>
        </is>
      </c>
      <c r="B13" s="6" t="n"/>
      <c r="C13" s="6" t="n"/>
      <c r="D13" s="6" t="n">
        <v>0</v>
      </c>
      <c r="E13" s="6" t="n">
        <v>-1</v>
      </c>
      <c r="F13" s="6" t="n">
        <v>-5</v>
      </c>
      <c r="G13" s="6" t="n">
        <v>-22</v>
      </c>
      <c r="H13" s="6" t="n">
        <v>0</v>
      </c>
    </row>
    <row r="14">
      <c r="A14" s="5" t="inlineStr">
        <is>
          <t>Total allowance for ECL</t>
        </is>
      </c>
      <c r="B14" s="5" t="n">
        <v>-1513</v>
      </c>
      <c r="C14" s="5" t="n">
        <v>-1488</v>
      </c>
      <c r="D14" s="5" t="n">
        <v>-1704</v>
      </c>
      <c r="E14" s="5" t="n">
        <v>-1912</v>
      </c>
      <c r="F14" s="5" t="n">
        <v>-1855</v>
      </c>
      <c r="G14" s="5" t="n">
        <v>-3193</v>
      </c>
      <c r="H14" s="5" t="n">
        <v>-1678</v>
      </c>
    </row>
    <row r="15">
      <c r="A15" s="5" t="inlineStr">
        <is>
          <t>Net loans and advances to customers</t>
        </is>
      </c>
      <c r="B15" s="5" t="n">
        <v>231223</v>
      </c>
      <c r="C15" s="5" t="n">
        <v>217604</v>
      </c>
      <c r="D15" s="5" t="n">
        <v>211887</v>
      </c>
      <c r="E15" s="5" t="n">
        <v>204143</v>
      </c>
      <c r="F15" s="5" t="n">
        <v>195526</v>
      </c>
      <c r="G15" s="5" t="n">
        <v>191233</v>
      </c>
      <c r="H15" s="5" t="n">
        <v>183056</v>
      </c>
    </row>
    <row r="16">
      <c r="A16" s="5" t="inlineStr">
        <is>
          <t>Derived ratios</t>
        </is>
      </c>
      <c r="B16" s="6" t="n"/>
      <c r="C16" s="6" t="n"/>
      <c r="D16" s="6" t="n"/>
      <c r="E16" s="6" t="n"/>
      <c r="F16" s="6" t="n"/>
      <c r="G16" s="6" t="n"/>
      <c r="H16" s="6" t="n"/>
    </row>
    <row r="17">
      <c r="A17" s="6" t="inlineStr">
        <is>
          <t>Stage 3 as % of total gross carrying amount</t>
        </is>
      </c>
      <c r="B17" s="6" t="inlineStr">
        <is>
          <t>1.5%</t>
        </is>
      </c>
      <c r="C17" s="6" t="inlineStr">
        <is>
          <t>1.6%</t>
        </is>
      </c>
      <c r="D17" s="6" t="inlineStr">
        <is>
          <t>1.8%</t>
        </is>
      </c>
      <c r="E17" s="6" t="inlineStr">
        <is>
          <t>2.2%</t>
        </is>
      </c>
      <c r="F17" s="6" t="inlineStr">
        <is>
          <t>2.0%</t>
        </is>
      </c>
      <c r="G17" s="6" t="inlineStr">
        <is>
          <t>1.8%</t>
        </is>
      </c>
      <c r="H17" s="6" t="inlineStr">
        <is>
          <t>1.7%</t>
        </is>
      </c>
    </row>
    <row r="18">
      <c r="A18" s="6" t="inlineStr">
        <is>
          <t>ECL coverage - overall (total allowance / total gross)</t>
        </is>
      </c>
      <c r="B18" s="6" t="inlineStr">
        <is>
          <t>0.7%</t>
        </is>
      </c>
      <c r="C18" s="6" t="inlineStr">
        <is>
          <t>0.7%</t>
        </is>
      </c>
      <c r="D18" s="6" t="inlineStr">
        <is>
          <t>0.8%</t>
        </is>
      </c>
      <c r="E18" s="6" t="inlineStr">
        <is>
          <t>0.9%</t>
        </is>
      </c>
      <c r="F18" s="6" t="inlineStr">
        <is>
          <t>0.9%</t>
        </is>
      </c>
      <c r="G18" s="6" t="inlineStr">
        <is>
          <t>1.6%</t>
        </is>
      </c>
      <c r="H18" s="6" t="inlineStr">
        <is>
          <t>0.9%</t>
        </is>
      </c>
    </row>
    <row r="19">
      <c r="A19" s="6" t="inlineStr">
        <is>
          <t>ECL coverage - Stage 3 (Stage 3 allowance / Stage 3 gross)</t>
        </is>
      </c>
      <c r="B19" s="6" t="inlineStr">
        <is>
          <t>21.8%</t>
        </is>
      </c>
      <c r="C19" s="6" t="inlineStr">
        <is>
          <t>18.3%</t>
        </is>
      </c>
      <c r="D19" s="6" t="inlineStr">
        <is>
          <t>17.0%</t>
        </is>
      </c>
      <c r="E19" s="6" t="inlineStr">
        <is>
          <t>16.0%</t>
        </is>
      </c>
      <c r="F19" s="6" t="inlineStr">
        <is>
          <t>21.0%</t>
        </is>
      </c>
      <c r="G19" s="6" t="inlineStr">
        <is>
          <t>29.6%</t>
        </is>
      </c>
      <c r="H19" s="6" t="inlineStr">
        <is>
          <t>26.4%</t>
        </is>
      </c>
    </row>
    <row r="21" ht="325" customHeight="1">
      <c r="A21" s="8" t="inlineStr">
        <is>
          <t>Sources - HSBC UK Bank plc's own 'Summary of credit risk by stage distribution and ECL coverage by industry sector' table (Risk review section), £m:
FY2025: Annual Report and Accounts 2025, p.26 - https://www.hsbc.com/-/files/hsbc/investors/hsbc-results/2025/annual/pdfs/hsbc-uk-bank-plc/260225-annual-report-and-accounts-2025.pdf
FY2024: Annual Report and Accounts 2024, p.30 - https://www.hsbc.com/-/files/hsbc/investors/hsbc-results/2024/annual/pdfs/hsbc-uk-bank-plc/250219-annual-report-and-accounts-2024.pdf
FY2023: Annual Report and Accounts 2023, p.29 - https://www.hsbc.com/-/files/hsbc/investors/hsbc-results/2023/annual/pdfs/hsbc-uk-bank-plc/240221-annual-report-and-accounts-2023.pdf
FY2022: Annual Report and Accounts 2023, p.30 (FY2022 comparative column, no separate FY2022-vintage report needed - same table format) - https://www.hsbc.com/-/files/hsbc/investors/hsbc-results/2023/annual/pdfs/hsbc-uk-bank-plc/240221-annual-report-and-accounts-2023.pdf
FY2021: Annual Report and Accounts 2021, p.32 - https://www.hsbc.com/-/files/hsbc/investors/hsbc-results/2021/annual/pdfs/hsbc-uk-bank-plc/220222-annual-report-and-accounts-2021.pdf
FY2020: Annual Report and Accounts 2020, p.34 - https://www.hsbc.com/-/files/hsbc/investors/hsbc-results/2020/annual/pdfs/hsbc-uk-bank-plc/210223-annual-report-and-accounts-2020.pdf
FY2019: Annual Report and Accounts 2019, p.28 (table titled 'Summary of credit risk (excluding debt instruments measured at FVOCI) by stage distribution and ECL coverage by industry sector') - https://www.hsbc.com/-/files/hsbc/investors/hsbc-results/2019/annual/pdfs/hsbc-uk-bank-plc/200218-annual-report-and-accounts-2019.pdf
ECL coverage % figures are the bank's own disclosed coverage percentages from this same table (not self-calculated); 'Stage 3 as % of total gross carrying amount' is the one ratio calculated here from the disclosed gross figures, as it is not itself a column in the source table. POCI (purchased or originated credit-impaired) appears as its own category FY2019-FY2022; nil/not applicable from FY2023 onward.
ENTITY NOTE: figures are HSBC UK Bank plc's own Consolidated statements (the ring-fenced retail/SME banking entity, distinct from HSBC Bank plc and HSBC Innovation Bank - see the entity note on the Cash Flow Statement sheet), £m, each year's own originally-published figures (not later restated comparatives). Sourced from each year's own Annual Report and Accounts:
FY2025 &amp; FY2024: HSBC UK Bank plc Annual Report and Accounts 2025 - https://www.hsbc.com/-/files/hsbc/investors/hsbc-results/2025/annual/pdfs/hsbc-uk-bank-plc/260225-annual-report-and-accounts-2025.pdf
FY2023 &amp; FY2022: HSBC UK Bank plc Annual Report and Accounts 2023 - https://www.hsbc.com/-/files/hsbc/investors/hsbc-results/2023/annual/pdfs/hsbc-uk-bank-plc/240221-annual-report-and-accounts-2023.pdf
FY2021: HSBC UK Bank plc Annual Report and Accounts 2021 - https://www.hsbc.com/-/files/hsbc/investors/hsbc-results/2021/annual/pdfs/hsbc-uk-bank-plc/220222-annual-report-and-accounts-2021.pdf
FY2020: HSBC UK Bank plc Annual Report and Accounts 2020 - https://www.hsbc.com/-/files/hsbc/investors/hsbc-results/2020/annual/pdfs/hsbc-uk-bank-plc/210223-annual-report-and-accounts-2020.pdf
FY2019: HSBC UK Bank plc Annual Report and Accounts 2019 - https://www.hsbc.com/-/files/hsbc/investors/hsbc-results/2019/annual/pdfs/hsbc-uk-bank-plc/200218-annual-report-and-accounts-2019.pdf
ENTITY NOTE: HSBC UK Bank plc (Companies House 09928412, FRN 765112) is the ring-fenced retail/SME banking entity created in 2018 under UK ring-fencing reform - confirmed distinct from HSBC Bank plc (FRN 114216, the legacy non-ring-fenced entity, built separately in WF-012) and HSBC Innovation Bank Limited (FRN 543146, the former Silicon Valley Bank UK, also built in WF-012). All figures below are HSBC UK Bank plc's own entity-level Consolidated statements, sourced directly from HSBC UK Bank plc's own Annual Report and Accounts and Pillar 3 Disclosures on hsbc.com's investor-relations subsidiaries reporting archive.</t>
        </is>
      </c>
    </row>
    <row r="23" ht="200" customHeight="1">
      <c r="A23" s="8" t="inlineStr">
        <is>
          <t>(continued)
HISTORICAL FLOOR (HD-019, independently verified - not assumed from GLEIF entity-creation date): HSBC UK Bank plc's legal entity was incorporated 23 December 2015 as a dormant shelf company ('HSBC UK RFB Limited'), but it did not begin real banking operations until the UK ring-fencing transfer on 1 July 2018 (confirmed directly against the entity's own Annual Report and Accounts 2017, which states the company 'made a pre-tax profit of £16,000... representing interest earned on UK treasury gilts' with 'no relevant audit information' and total equity of £15.01m - i.e. a genuine shell, not a trading bank; and against the entity's own Annual Report and Accounts 2018, whose audited financial statements cover only the six months to 31 December 2018, since 'HSBC UK's banking operations commenced on 1 July 2018'). This is the same UK ring-fencing gating event, under the same Financial Services (Banking Reform) Act 2013 regime, found for Barclays Bank UK PLC in HD-001. FY2018 itself is therefore NOT usable as a year column in this workbook: its own audited income statement, statement of comprehensive income, cash flow statement and equity roll-forward all cover only a 6-month stub period (1 July-31 December 2018), not comparable to the full 12-month columns used everywhere else in this workbook. The floor used here is FY2019 - the entity's own first genuine full 12-month audited reporting year - confirmed directly against HSBC UK Bank plc's own Annual Report and Accounts 2019, whose Consolidated income statement is explicitly 'for the year ended 31 December 2019' with the note 'the period from 1 January 2019 to 31 December 2019'. FY2019 and FY2020 Pillar 3 Disclosures documents are no longer live on hsbc.com and were retrieved via Wayback Machine snapshots of their original hsbc.com URLs.</t>
        </is>
      </c>
    </row>
  </sheetData>
  <mergeCells count="2">
    <mergeCell ref="A23:H23"/>
    <mergeCell ref="A21:H2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HSBC UK Bank plc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Return on equity - average equity basis</t>
        </is>
      </c>
      <c r="B4" s="6" t="inlineStr">
        <is>
          <t>15.15%</t>
        </is>
      </c>
      <c r="C4" s="6" t="inlineStr">
        <is>
          <t>15.94%</t>
        </is>
      </c>
      <c r="D4" s="6" t="inlineStr">
        <is>
          <t>21.81%</t>
        </is>
      </c>
      <c r="E4" s="6" t="inlineStr">
        <is>
          <t>12.53%</t>
        </is>
      </c>
      <c r="F4" s="6" t="inlineStr">
        <is>
          <t>10.18%</t>
        </is>
      </c>
      <c r="G4" s="6" t="inlineStr">
        <is>
          <t>0.36%</t>
        </is>
      </c>
      <c r="H4" s="6" t="n"/>
    </row>
    <row r="5">
      <c r="A5" s="6" t="inlineStr">
        <is>
          <t>Return on equity - year-end equity basis</t>
        </is>
      </c>
      <c r="B5" s="6" t="inlineStr">
        <is>
          <t>14.52%</t>
        </is>
      </c>
      <c r="C5" s="6" t="inlineStr">
        <is>
          <t>15.97%</t>
        </is>
      </c>
      <c r="D5" s="6" t="inlineStr">
        <is>
          <t>20.20%</t>
        </is>
      </c>
      <c r="E5" s="6" t="inlineStr">
        <is>
          <t>12.97%</t>
        </is>
      </c>
      <c r="F5" s="6" t="inlineStr">
        <is>
          <t>9.97%</t>
        </is>
      </c>
      <c r="G5" s="6" t="inlineStr">
        <is>
          <t>0.35%</t>
        </is>
      </c>
      <c r="H5" s="6" t="inlineStr">
        <is>
          <t>2.33%</t>
        </is>
      </c>
    </row>
    <row r="6">
      <c r="A6" s="6" t="inlineStr">
        <is>
          <t>Return on assets - average assets basis</t>
        </is>
      </c>
      <c r="B6" s="6" t="inlineStr">
        <is>
          <t>1.18%</t>
        </is>
      </c>
      <c r="C6" s="6" t="inlineStr">
        <is>
          <t>1.23%</t>
        </is>
      </c>
      <c r="D6" s="6" t="inlineStr">
        <is>
          <t>1.56%</t>
        </is>
      </c>
      <c r="E6" s="6" t="inlineStr">
        <is>
          <t>0.84%</t>
        </is>
      </c>
      <c r="F6" s="6" t="inlineStr">
        <is>
          <t>0.73%</t>
        </is>
      </c>
      <c r="G6" s="6" t="inlineStr">
        <is>
          <t>0.03%</t>
        </is>
      </c>
      <c r="H6" s="6" t="n"/>
    </row>
    <row r="7">
      <c r="A7" s="6" t="inlineStr">
        <is>
          <t>Return on assets - year-end assets basis</t>
        </is>
      </c>
      <c r="B7" s="6" t="inlineStr">
        <is>
          <t>1.15%</t>
        </is>
      </c>
      <c r="C7" s="6" t="inlineStr">
        <is>
          <t>1.21%</t>
        </is>
      </c>
      <c r="D7" s="6" t="inlineStr">
        <is>
          <t>1.58%</t>
        </is>
      </c>
      <c r="E7" s="6" t="inlineStr">
        <is>
          <t>0.84%</t>
        </is>
      </c>
      <c r="F7" s="6" t="inlineStr">
        <is>
          <t>0.68%</t>
        </is>
      </c>
      <c r="G7" s="6" t="inlineStr">
        <is>
          <t>0.03%</t>
        </is>
      </c>
      <c r="H7" s="6" t="inlineStr">
        <is>
          <t>0.20%</t>
        </is>
      </c>
    </row>
    <row r="8">
      <c r="A8" s="6" t="inlineStr">
        <is>
          <t>Return on average ordinary shareholders' equity (as published)</t>
        </is>
      </c>
      <c r="B8" s="6" t="inlineStr">
        <is>
          <t>15.8%</t>
        </is>
      </c>
      <c r="C8" s="6" t="inlineStr">
        <is>
          <t>Not published</t>
        </is>
      </c>
      <c r="D8" s="6" t="inlineStr">
        <is>
          <t>Not published</t>
        </is>
      </c>
      <c r="E8" s="6" t="n"/>
      <c r="F8" s="6" t="n"/>
      <c r="G8" s="6" t="n"/>
      <c r="H8" s="6" t="n"/>
    </row>
    <row r="9">
      <c r="A9" s="6" t="inlineStr">
        <is>
          <t>Return on average tangible equity (as published)</t>
        </is>
      </c>
      <c r="B9" s="6" t="inlineStr">
        <is>
          <t>19.2%</t>
        </is>
      </c>
      <c r="C9" s="6" t="inlineStr">
        <is>
          <t>20.2%</t>
        </is>
      </c>
      <c r="D9" s="6" t="inlineStr">
        <is>
          <t>Not published</t>
        </is>
      </c>
      <c r="E9" s="6" t="n"/>
      <c r="F9" s="6" t="n"/>
      <c r="G9" s="6" t="n"/>
      <c r="H9" s="6" t="n"/>
    </row>
    <row r="10">
      <c r="A10" s="6" t="inlineStr">
        <is>
          <t>Return on equity (as published)</t>
        </is>
      </c>
      <c r="B10" s="6" t="inlineStr">
        <is>
          <t>Not published</t>
        </is>
      </c>
      <c r="C10" s="6" t="inlineStr">
        <is>
          <t>16.5%</t>
        </is>
      </c>
      <c r="D10" s="6" t="inlineStr">
        <is>
          <t>Not published</t>
        </is>
      </c>
      <c r="E10" s="6" t="n"/>
      <c r="F10" s="6" t="n"/>
      <c r="G10" s="6" t="n"/>
      <c r="H10" s="6" t="n"/>
    </row>
    <row r="11" ht="286" customHeight="1">
      <c r="A11"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Return on average ordinary shareholders' equity: “Profit attributable to the ordinary shareholder divided by average ordinary shareholders' equity; the reconciliation excludes preference shares, additional Tier 1 and other equity instruments from average shareholders' equity. Calculated in US dollars under HSBC Group methodology.” Return on average tangible equity: “RoTE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 Return on equity: “RoTE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FY2023, where return on equity is 21.81% on an average basis and 20.20% on a year-end basis.
FY2019 HAS NO AVERAGE-BASIS RATIO, AND THAT IS CORRECT. An average denominator needs an opening balance, and FY2019 is the oldest column this workbook carries, so there is no prior year to open from. The blank is structural, not a missing figure. The year-end basis is shown for FY2019 because it needs only the closing balance.
FIGURES THE BANK PUBLISHED ONLY AS A LATER EDITION'S COMPARATIVE, AND WHY THEY ARE NOT IN THE CELLS ABOVE. FY2023 Return on equity 22.8%; FY2023 Return on average tangible equity 28.4%. Each year's cell carries what that year's OWN annual report printed. A comparative restated in a later edition is a different claim - it may rest on a revised definition, a restated perimeter or a corrected prior figure - so it is recorded here rather than substituted into the year it refers to.</t>
        </is>
      </c>
    </row>
    <row r="13" ht="170" customHeight="1">
      <c r="A13" s="8" t="inlineStr">
        <is>
          <t>Computed by this workbook's own build script from the Profit &amp; Loss and Balance Sheet sheets of this same workbook - the Profit &amp; Loss row “profit for the year” and the Balance Sheet rows “total shareholders' equity” and “total assets”, resolved BY LABEL at build time through the shared resolver scripts/profitability_rows.py, so this sheet cannot drift from the statements it summarises. Those rows are themselves transcribed from HSBC UK Bank plc's Annual Report and Accounts for each year; see the source cells on the Balance Sheet and Profit &amp; Loss sheets for the exact document, page and table behind every input to every percentage above.
The '(as published)' rows are quoted verbatim from HSBC UK Bank plc's own disclosures and are recorded, with the exact document, page and verification state for each, in research/profitability/published_returns.jsonl under ‘HSBC UK BANK PLC’.</t>
        </is>
      </c>
    </row>
  </sheetData>
  <mergeCells count="2">
    <mergeCell ref="A13:H13"/>
    <mergeCell ref="A11:H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6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s>
  <sheetData>
    <row r="1">
      <c r="A1" s="1" t="inlineStr">
        <is>
          <t>HSBC UK Bank plc — KM1 Key Metrics</t>
        </is>
      </c>
    </row>
    <row r="2">
      <c r="A2" s="2" t="inlineStr">
        <is>
          <t>HSBC UK Bank plc's own published UK KM1 template ('Table 1: Key metrics (KM1/IFRS9-FL)'), reproduced in the bank's row order with its own row references, labels and printed precision. Amounts £m, ratios as printed (%). Rows 1-14e are the regulatory consolidation ('the group'); rows 15-20 are the HSBC UK Bank Domestic Liquidity Sub-group. FY2021 and earlier are blank: those editions print a table ALSO titled 'Key metrics (KM1/IFRS9-FL)' which is a different, EBA-numbered template with no LCR or NSFR rows — see the source note.</t>
        </is>
      </c>
    </row>
    <row r="3">
      <c r="A3" s="4" t="inlineStr">
        <is>
          <t>Line item</t>
        </is>
      </c>
      <c r="B3" s="4" t="inlineStr">
        <is>
          <t>FY2025</t>
        </is>
      </c>
      <c r="C3" s="4" t="inlineStr">
        <is>
          <t>FY2024</t>
        </is>
      </c>
      <c r="D3" s="4" t="inlineStr">
        <is>
          <t>FY2023</t>
        </is>
      </c>
      <c r="E3" s="4" t="inlineStr">
        <is>
          <t>FY2022</t>
        </is>
      </c>
    </row>
    <row r="4">
      <c r="A4" s="5" t="inlineStr">
        <is>
          <t>Available capital (£m)</t>
        </is>
      </c>
      <c r="B4" s="6" t="n"/>
      <c r="C4" s="6" t="n"/>
      <c r="D4" s="6" t="n"/>
      <c r="E4" s="6" t="n"/>
    </row>
    <row r="5">
      <c r="A5" s="6" t="inlineStr">
        <is>
          <t>1    Common equity tier 1 ('CET1') capital</t>
        </is>
      </c>
      <c r="B5" s="6" t="n">
        <v>15509</v>
      </c>
      <c r="C5" s="6" t="n">
        <v>15059</v>
      </c>
      <c r="D5" s="6" t="n">
        <v>14224</v>
      </c>
      <c r="E5" s="6" t="n">
        <v>12519</v>
      </c>
    </row>
    <row r="6">
      <c r="A6" s="6" t="inlineStr">
        <is>
          <t xml:space="preserve">     CET1 capital as if IFRS 9 transitional arrangements had not been applied</t>
        </is>
      </c>
      <c r="B6" s="6" t="n">
        <v>15509</v>
      </c>
      <c r="C6" s="6" t="n">
        <v>15048</v>
      </c>
      <c r="D6" s="6" t="n">
        <v>14194</v>
      </c>
      <c r="E6" s="6" t="n">
        <v>12484</v>
      </c>
    </row>
    <row r="7">
      <c r="A7" s="6" t="inlineStr">
        <is>
          <t>2    Tier 1 capital</t>
        </is>
      </c>
      <c r="B7" s="6" t="n">
        <v>18218</v>
      </c>
      <c r="C7" s="6" t="n">
        <v>17307</v>
      </c>
      <c r="D7" s="6" t="n">
        <v>16479</v>
      </c>
      <c r="E7" s="6" t="n">
        <v>14771</v>
      </c>
    </row>
    <row r="8">
      <c r="A8" s="6" t="inlineStr">
        <is>
          <t xml:space="preserve">     Tier 1 capital as if IFRS 9 transitional arrangements had not been applied</t>
        </is>
      </c>
      <c r="B8" s="6" t="n">
        <v>18218</v>
      </c>
      <c r="C8" s="6" t="n">
        <v>17296</v>
      </c>
      <c r="D8" s="6" t="n">
        <v>16449</v>
      </c>
      <c r="E8" s="6" t="n">
        <v>14736</v>
      </c>
    </row>
    <row r="9">
      <c r="A9" s="6" t="inlineStr">
        <is>
          <t>3    Total capital</t>
        </is>
      </c>
      <c r="B9" s="6" t="n">
        <v>21888</v>
      </c>
      <c r="C9" s="6" t="n">
        <v>20500</v>
      </c>
      <c r="D9" s="6" t="n">
        <v>19772</v>
      </c>
      <c r="E9" s="6" t="n">
        <v>17847</v>
      </c>
    </row>
    <row r="10">
      <c r="A10" s="6" t="inlineStr">
        <is>
          <t xml:space="preserve">     Total capital as if IFRS 9 transitional arrangements had not been applied</t>
        </is>
      </c>
      <c r="B10" s="6" t="n">
        <v>21888</v>
      </c>
      <c r="C10" s="6" t="n">
        <v>20489</v>
      </c>
      <c r="D10" s="6" t="n">
        <v>19742</v>
      </c>
      <c r="E10" s="6" t="n">
        <v>17812</v>
      </c>
    </row>
    <row r="11">
      <c r="A11" s="5" t="inlineStr">
        <is>
          <t>Risk-weighted assets (£m)</t>
        </is>
      </c>
      <c r="B11" s="6" t="n"/>
      <c r="C11" s="6" t="n"/>
      <c r="D11" s="6" t="n"/>
      <c r="E11" s="6" t="n"/>
    </row>
    <row r="12">
      <c r="A12" s="6" t="inlineStr">
        <is>
          <t>4    Total RWAs</t>
        </is>
      </c>
      <c r="B12" s="6" t="n">
        <v>117463</v>
      </c>
      <c r="C12" s="6" t="n">
        <v>110423</v>
      </c>
      <c r="D12" s="6" t="n">
        <v>101478</v>
      </c>
      <c r="E12" s="6" t="n">
        <v>92413</v>
      </c>
    </row>
    <row r="13">
      <c r="A13" s="6" t="inlineStr">
        <is>
          <t xml:space="preserve">     Total RWAs as if IFRS 9 transitional arrangements had not been applied</t>
        </is>
      </c>
      <c r="B13" s="6" t="n">
        <v>117463</v>
      </c>
      <c r="C13" s="6" t="n">
        <v>110414</v>
      </c>
      <c r="D13" s="6" t="n">
        <v>101450</v>
      </c>
      <c r="E13" s="6" t="n">
        <v>92384</v>
      </c>
    </row>
    <row r="14">
      <c r="A14" s="5" t="inlineStr">
        <is>
          <t>Capital ratios (%)</t>
        </is>
      </c>
      <c r="B14" s="6" t="n"/>
      <c r="C14" s="6" t="n"/>
      <c r="D14" s="6" t="n"/>
      <c r="E14" s="6" t="n"/>
    </row>
    <row r="15">
      <c r="A15" s="6" t="inlineStr">
        <is>
          <t>5    CET1</t>
        </is>
      </c>
      <c r="B15" s="6" t="inlineStr">
        <is>
          <t>13.2</t>
        </is>
      </c>
      <c r="C15" s="6" t="inlineStr">
        <is>
          <t>13.6</t>
        </is>
      </c>
      <c r="D15" s="6" t="inlineStr">
        <is>
          <t>14.0</t>
        </is>
      </c>
      <c r="E15" s="6" t="inlineStr">
        <is>
          <t>13.5</t>
        </is>
      </c>
    </row>
    <row r="16">
      <c r="A16" s="6" t="inlineStr">
        <is>
          <t xml:space="preserve">     CET1 as if IFRS 9 transitional arrangements had not been applied</t>
        </is>
      </c>
      <c r="B16" s="6" t="inlineStr">
        <is>
          <t>13.2</t>
        </is>
      </c>
      <c r="C16" s="6" t="inlineStr">
        <is>
          <t>13.6</t>
        </is>
      </c>
      <c r="D16" s="6" t="inlineStr">
        <is>
          <t>14.0</t>
        </is>
      </c>
      <c r="E16" s="6" t="inlineStr">
        <is>
          <t>13.5</t>
        </is>
      </c>
    </row>
    <row r="17">
      <c r="A17" s="6" t="inlineStr">
        <is>
          <t>6    Tier 1</t>
        </is>
      </c>
      <c r="B17" s="6" t="inlineStr">
        <is>
          <t>15.5</t>
        </is>
      </c>
      <c r="C17" s="6" t="inlineStr">
        <is>
          <t>15.7</t>
        </is>
      </c>
      <c r="D17" s="6" t="inlineStr">
        <is>
          <t>16.2</t>
        </is>
      </c>
      <c r="E17" s="6" t="inlineStr">
        <is>
          <t>16.0</t>
        </is>
      </c>
    </row>
    <row r="18">
      <c r="A18" s="6" t="inlineStr">
        <is>
          <t xml:space="preserve">     Tier 1 as if IFRS 9 transitional arrangements had not been applied</t>
        </is>
      </c>
      <c r="B18" s="6" t="inlineStr">
        <is>
          <t>15.5</t>
        </is>
      </c>
      <c r="C18" s="6" t="inlineStr">
        <is>
          <t>15.7</t>
        </is>
      </c>
      <c r="D18" s="6" t="inlineStr">
        <is>
          <t>16.2</t>
        </is>
      </c>
      <c r="E18" s="6" t="inlineStr">
        <is>
          <t>16.0</t>
        </is>
      </c>
    </row>
    <row r="19">
      <c r="A19" s="6" t="inlineStr">
        <is>
          <t>7    Total capital</t>
        </is>
      </c>
      <c r="B19" s="6" t="inlineStr">
        <is>
          <t>18.6</t>
        </is>
      </c>
      <c r="C19" s="6" t="inlineStr">
        <is>
          <t>18.6</t>
        </is>
      </c>
      <c r="D19" s="6" t="inlineStr">
        <is>
          <t>19.5</t>
        </is>
      </c>
      <c r="E19" s="6" t="inlineStr">
        <is>
          <t>19.3</t>
        </is>
      </c>
    </row>
    <row r="20">
      <c r="A20" s="6" t="inlineStr">
        <is>
          <t xml:space="preserve">     Total capital as if IFRS 9 transitional arrangements had not been applied</t>
        </is>
      </c>
      <c r="B20" s="6" t="inlineStr">
        <is>
          <t>18.6</t>
        </is>
      </c>
      <c r="C20" s="6" t="inlineStr">
        <is>
          <t>18.6</t>
        </is>
      </c>
      <c r="D20" s="6" t="inlineStr">
        <is>
          <t>19.5</t>
        </is>
      </c>
      <c r="E20" s="6" t="inlineStr">
        <is>
          <t>19.3</t>
        </is>
      </c>
    </row>
    <row r="21">
      <c r="A21" s="5" t="inlineStr">
        <is>
          <t>Additional own funds requirements based on Supervisory Review and Evaluation Process ('SREP') as a percentage of RWAs (%)</t>
        </is>
      </c>
      <c r="B21" s="6" t="n"/>
      <c r="C21" s="6" t="n"/>
      <c r="D21" s="6" t="n"/>
      <c r="E21" s="6" t="n"/>
    </row>
    <row r="22">
      <c r="A22" s="6" t="inlineStr">
        <is>
          <t>UK-7a    Additional CET1 SREP requirements</t>
        </is>
      </c>
      <c r="B22" s="6" t="inlineStr">
        <is>
          <t>2.1</t>
        </is>
      </c>
      <c r="C22" s="6" t="inlineStr">
        <is>
          <t>2.1</t>
        </is>
      </c>
      <c r="D22" s="6" t="inlineStr">
        <is>
          <t>2.2</t>
        </is>
      </c>
      <c r="E22" s="6" t="inlineStr">
        <is>
          <t>2.2</t>
        </is>
      </c>
    </row>
    <row r="23">
      <c r="A23" s="6" t="inlineStr">
        <is>
          <t>UK-7b    Additional additional tier 1 ('AT1') SREP requirements</t>
        </is>
      </c>
      <c r="B23" s="6" t="inlineStr">
        <is>
          <t>0.7</t>
        </is>
      </c>
      <c r="C23" s="6" t="inlineStr">
        <is>
          <t>0.7</t>
        </is>
      </c>
      <c r="D23" s="6" t="inlineStr">
        <is>
          <t>0.7</t>
        </is>
      </c>
      <c r="E23" s="6" t="inlineStr">
        <is>
          <t>0.8</t>
        </is>
      </c>
    </row>
    <row r="24">
      <c r="A24" s="6" t="inlineStr">
        <is>
          <t>UK-7c    Additional tier 2 ('T2') SREP requirements</t>
        </is>
      </c>
      <c r="B24" s="6" t="inlineStr">
        <is>
          <t>1.0</t>
        </is>
      </c>
      <c r="C24" s="6" t="inlineStr">
        <is>
          <t>1.0</t>
        </is>
      </c>
      <c r="D24" s="6" t="inlineStr">
        <is>
          <t>1.0</t>
        </is>
      </c>
      <c r="E24" s="6" t="inlineStr">
        <is>
          <t>1.0</t>
        </is>
      </c>
    </row>
    <row r="25">
      <c r="A25" s="6" t="inlineStr">
        <is>
          <t>UK-7d    Total SREP own funds requirements</t>
        </is>
      </c>
      <c r="B25" s="6" t="inlineStr">
        <is>
          <t>11.8</t>
        </is>
      </c>
      <c r="C25" s="6" t="inlineStr">
        <is>
          <t>11.8</t>
        </is>
      </c>
      <c r="D25" s="6" t="inlineStr">
        <is>
          <t>11.9</t>
        </is>
      </c>
      <c r="E25" s="6" t="inlineStr">
        <is>
          <t>12.0</t>
        </is>
      </c>
    </row>
    <row r="26">
      <c r="A26" s="5" t="inlineStr">
        <is>
          <t>Combined buffer requirement as a percentage of RWAs (%)</t>
        </is>
      </c>
      <c r="B26" s="6" t="n"/>
      <c r="C26" s="6" t="n"/>
      <c r="D26" s="6" t="n"/>
      <c r="E26" s="6" t="n"/>
    </row>
    <row r="27">
      <c r="A27" s="6" t="inlineStr">
        <is>
          <t>8    Capital conservation buffer requirement</t>
        </is>
      </c>
      <c r="B27" s="6" t="inlineStr">
        <is>
          <t>2.5</t>
        </is>
      </c>
      <c r="C27" s="6" t="inlineStr">
        <is>
          <t>2.5</t>
        </is>
      </c>
      <c r="D27" s="6" t="inlineStr">
        <is>
          <t>2.5</t>
        </is>
      </c>
      <c r="E27" s="6" t="inlineStr">
        <is>
          <t>2.5</t>
        </is>
      </c>
    </row>
    <row r="28">
      <c r="A28" s="6" t="inlineStr">
        <is>
          <t>UK-8a    Conservation buffer due to macro-prudential or systemic risk identified at the level of a Member State</t>
        </is>
      </c>
      <c r="B28" s="6" t="n"/>
      <c r="C28" s="6" t="n"/>
      <c r="D28" s="6" t="n"/>
      <c r="E28" s="6" t="n"/>
    </row>
    <row r="29">
      <c r="A29" s="6" t="inlineStr">
        <is>
          <t>9    Institution-specific countercyclical capital buffer</t>
        </is>
      </c>
      <c r="B29" s="6" t="inlineStr">
        <is>
          <t>1.9</t>
        </is>
      </c>
      <c r="C29" s="6" t="inlineStr">
        <is>
          <t>1.9</t>
        </is>
      </c>
      <c r="D29" s="6" t="inlineStr">
        <is>
          <t>1.9</t>
        </is>
      </c>
      <c r="E29" s="6" t="inlineStr">
        <is>
          <t>1.0</t>
        </is>
      </c>
    </row>
    <row r="30">
      <c r="A30" s="6" t="inlineStr">
        <is>
          <t>UK-9a    Systemic risk buffer</t>
        </is>
      </c>
      <c r="B30" s="6" t="n"/>
      <c r="C30" s="6" t="n"/>
      <c r="D30" s="6" t="n"/>
      <c r="E30" s="6" t="n"/>
    </row>
    <row r="31">
      <c r="A31" s="6" t="inlineStr">
        <is>
          <t>10    Global Systemically Important Institution buffer</t>
        </is>
      </c>
      <c r="B31" s="6" t="n"/>
      <c r="C31" s="6" t="n"/>
      <c r="D31" s="6" t="n"/>
      <c r="E31" s="6" t="n"/>
    </row>
    <row r="32">
      <c r="A32" s="6" t="inlineStr">
        <is>
          <t>UK-10a    Other systemically important institution buffer</t>
        </is>
      </c>
      <c r="B32" s="6" t="inlineStr">
        <is>
          <t>1.0</t>
        </is>
      </c>
      <c r="C32" s="6" t="inlineStr">
        <is>
          <t>1.0</t>
        </is>
      </c>
      <c r="D32" s="6" t="inlineStr">
        <is>
          <t>1.0</t>
        </is>
      </c>
      <c r="E32" s="6" t="inlineStr">
        <is>
          <t>1.0</t>
        </is>
      </c>
    </row>
    <row r="33">
      <c r="A33" s="6" t="inlineStr">
        <is>
          <t>11    Combined buffer requirement</t>
        </is>
      </c>
      <c r="B33" s="6" t="inlineStr">
        <is>
          <t>5.4</t>
        </is>
      </c>
      <c r="C33" s="6" t="inlineStr">
        <is>
          <t>5.4</t>
        </is>
      </c>
      <c r="D33" s="6" t="inlineStr">
        <is>
          <t>5.4</t>
        </is>
      </c>
      <c r="E33" s="6" t="inlineStr">
        <is>
          <t>4.5</t>
        </is>
      </c>
    </row>
    <row r="34">
      <c r="A34" s="6" t="inlineStr">
        <is>
          <t>UK-11a    Overall capital requirements</t>
        </is>
      </c>
      <c r="B34" s="6" t="inlineStr">
        <is>
          <t>17.2</t>
        </is>
      </c>
      <c r="C34" s="6" t="inlineStr">
        <is>
          <t>17.2</t>
        </is>
      </c>
      <c r="D34" s="6" t="inlineStr">
        <is>
          <t>17.3</t>
        </is>
      </c>
      <c r="E34" s="6" t="inlineStr">
        <is>
          <t>16.5</t>
        </is>
      </c>
    </row>
    <row r="35">
      <c r="A35" s="6" t="inlineStr">
        <is>
          <t>12    CET1 available after meeting the total SREP own funds requirements</t>
        </is>
      </c>
      <c r="B35" s="6" t="inlineStr">
        <is>
          <t>6.6</t>
        </is>
      </c>
      <c r="C35" s="6" t="inlineStr">
        <is>
          <t>7.0</t>
        </is>
      </c>
      <c r="D35" s="6" t="inlineStr">
        <is>
          <t>7.3</t>
        </is>
      </c>
      <c r="E35" s="6" t="inlineStr">
        <is>
          <t>6.8</t>
        </is>
      </c>
    </row>
    <row r="36">
      <c r="A36" s="5" t="inlineStr">
        <is>
          <t>Leverage ratio</t>
        </is>
      </c>
      <c r="B36" s="6" t="n"/>
      <c r="C36" s="6" t="n"/>
      <c r="D36" s="6" t="n"/>
      <c r="E36" s="6" t="n"/>
    </row>
    <row r="37">
      <c r="A37" s="6" t="inlineStr">
        <is>
          <t>13    Total exposure measure excluding claims on central banks (£m)</t>
        </is>
      </c>
      <c r="B37" s="6" t="n">
        <v>325950</v>
      </c>
      <c r="C37" s="6" t="n">
        <v>297157</v>
      </c>
      <c r="D37" s="6" t="n">
        <v>270907</v>
      </c>
      <c r="E37" s="6" t="n">
        <v>251500</v>
      </c>
    </row>
    <row r="38">
      <c r="A38" s="6" t="inlineStr">
        <is>
          <t>14    Leverage ratio excluding claims on central banks (%)</t>
        </is>
      </c>
      <c r="B38" s="6" t="inlineStr">
        <is>
          <t>5.6</t>
        </is>
      </c>
      <c r="C38" s="6" t="inlineStr">
        <is>
          <t>5.8</t>
        </is>
      </c>
      <c r="D38" s="6" t="inlineStr">
        <is>
          <t>6.1</t>
        </is>
      </c>
      <c r="E38" s="6" t="inlineStr">
        <is>
          <t>5.9</t>
        </is>
      </c>
    </row>
    <row r="39">
      <c r="A39" s="6" t="inlineStr">
        <is>
          <t xml:space="preserve">     Average exposure measure excluding claims on central banks (£m)</t>
        </is>
      </c>
      <c r="B39" s="6" t="n"/>
      <c r="C39" s="6" t="n"/>
      <c r="D39" s="6" t="n">
        <v>267547</v>
      </c>
      <c r="E39" s="6" t="n">
        <v>252024</v>
      </c>
    </row>
    <row r="40">
      <c r="A40" s="5" t="inlineStr">
        <is>
          <t>Additional leverage ratio disclosure requirements — captioned "Additional own funds requirements to address risks of excessive leverage (as a percentage of leverage ratio total exposure amount)" in the FY2022 and FY2023 editions</t>
        </is>
      </c>
      <c r="B40" s="6" t="n"/>
      <c r="C40" s="6" t="n"/>
      <c r="D40" s="6" t="n"/>
      <c r="E40" s="6" t="n"/>
    </row>
    <row r="41">
      <c r="A41" s="6" t="inlineStr">
        <is>
          <t>14a    Fully loaded ECL accounting model leverage ratio excluding claims on central banks (%)</t>
        </is>
      </c>
      <c r="B41" s="6" t="inlineStr">
        <is>
          <t>5.6</t>
        </is>
      </c>
      <c r="C41" s="6" t="inlineStr">
        <is>
          <t>5.8</t>
        </is>
      </c>
      <c r="D41" s="6" t="inlineStr">
        <is>
          <t>6.1</t>
        </is>
      </c>
      <c r="E41" s="6" t="inlineStr">
        <is>
          <t>5.9</t>
        </is>
      </c>
    </row>
    <row r="42">
      <c r="A42" s="6" t="inlineStr">
        <is>
          <t>14b    Leverage ratio including claims on central banks (%)</t>
        </is>
      </c>
      <c r="B42" s="6" t="inlineStr">
        <is>
          <t>4.8</t>
        </is>
      </c>
      <c r="C42" s="6" t="inlineStr">
        <is>
          <t>4.9</t>
        </is>
      </c>
      <c r="D42" s="6" t="inlineStr">
        <is>
          <t>4.8</t>
        </is>
      </c>
      <c r="E42" s="6" t="inlineStr">
        <is>
          <t>4.2</t>
        </is>
      </c>
    </row>
    <row r="43">
      <c r="A43" s="6" t="inlineStr">
        <is>
          <t>14c    Average leverage ratio excluding claims on central banks (%)</t>
        </is>
      </c>
      <c r="B43" s="6" t="inlineStr">
        <is>
          <t>5.8</t>
        </is>
      </c>
      <c r="C43" s="6" t="inlineStr">
        <is>
          <t>6.0</t>
        </is>
      </c>
      <c r="D43" s="6" t="inlineStr">
        <is>
          <t>6.4</t>
        </is>
      </c>
      <c r="E43" s="6" t="inlineStr">
        <is>
          <t>5.9</t>
        </is>
      </c>
    </row>
    <row r="44">
      <c r="A44" s="6" t="inlineStr">
        <is>
          <t>14d    Average leverage ratio including claims on central banks (%)</t>
        </is>
      </c>
      <c r="B44" s="6" t="inlineStr">
        <is>
          <t>5.0</t>
        </is>
      </c>
      <c r="C44" s="6" t="inlineStr">
        <is>
          <t>5.0</t>
        </is>
      </c>
      <c r="D44" s="6" t="inlineStr">
        <is>
          <t>5.1</t>
        </is>
      </c>
      <c r="E44" s="6" t="inlineStr">
        <is>
          <t>4.2</t>
        </is>
      </c>
    </row>
    <row r="45">
      <c r="A45" s="6" t="inlineStr">
        <is>
          <t>14e    Countercyclical leverage ratio buffer (%)</t>
        </is>
      </c>
      <c r="B45" s="6" t="inlineStr">
        <is>
          <t>0.7</t>
        </is>
      </c>
      <c r="C45" s="6" t="inlineStr">
        <is>
          <t>0.7</t>
        </is>
      </c>
      <c r="D45" s="6" t="inlineStr">
        <is>
          <t>0.6</t>
        </is>
      </c>
      <c r="E45" s="6" t="inlineStr">
        <is>
          <t>0.3</t>
        </is>
      </c>
    </row>
    <row r="46">
      <c r="A46" s="6" t="inlineStr">
        <is>
          <t>EU-14d    Leverage ratio buffer requirement (%)</t>
        </is>
      </c>
      <c r="B46" s="6" t="inlineStr">
        <is>
          <t>1.1</t>
        </is>
      </c>
      <c r="C46" s="6" t="inlineStr">
        <is>
          <t>1.1</t>
        </is>
      </c>
      <c r="D46" s="6" t="inlineStr">
        <is>
          <t>1.0</t>
        </is>
      </c>
      <c r="E46" s="6" t="inlineStr">
        <is>
          <t>0.7</t>
        </is>
      </c>
    </row>
    <row r="47">
      <c r="A47" s="6" t="inlineStr">
        <is>
          <t>EU-14e    Overall leverage ratio requirements (%)</t>
        </is>
      </c>
      <c r="B47" s="6" t="inlineStr">
        <is>
          <t>4.4</t>
        </is>
      </c>
      <c r="C47" s="6" t="inlineStr">
        <is>
          <t>4.4</t>
        </is>
      </c>
      <c r="D47" s="6" t="inlineStr">
        <is>
          <t>4.3</t>
        </is>
      </c>
      <c r="E47" s="6" t="inlineStr">
        <is>
          <t>3.9</t>
        </is>
      </c>
    </row>
    <row r="48">
      <c r="A48" s="5" t="inlineStr">
        <is>
          <t>Leverage ratio (under the Capital Requirements Regulation) — pre-1 January 2022 basis, FY2022 edition only; its 31 December 2022 cells are printed BLANK</t>
        </is>
      </c>
      <c r="B48" s="6" t="n"/>
      <c r="C48" s="6" t="n"/>
      <c r="D48" s="6" t="n"/>
      <c r="E48" s="6" t="n"/>
    </row>
    <row r="49">
      <c r="A49" s="6" t="inlineStr">
        <is>
          <t xml:space="preserve">     Total leverage ratio exposure measure (£m)</t>
        </is>
      </c>
      <c r="B49" s="6" t="n"/>
      <c r="C49" s="6" t="n"/>
      <c r="D49" s="6" t="n"/>
      <c r="E49" s="6" t="n"/>
    </row>
    <row r="50">
      <c r="A50" s="6" t="inlineStr">
        <is>
          <t xml:space="preserve">     Leverage ratio (%)</t>
        </is>
      </c>
      <c r="B50" s="6" t="n"/>
      <c r="C50" s="6" t="n"/>
      <c r="D50" s="6" t="n"/>
      <c r="E50" s="6" t="n"/>
    </row>
    <row r="51">
      <c r="A51" s="5" t="inlineStr">
        <is>
          <t>Liquidity coverage ratio ('LCR') — HSBC UK Bank Domestic Liquidity Sub-group basis, NOT the capital consolidation above</t>
        </is>
      </c>
      <c r="B51" s="6" t="n"/>
      <c r="C51" s="6" t="n"/>
      <c r="D51" s="6" t="n"/>
      <c r="E51" s="6" t="n"/>
    </row>
    <row r="52">
      <c r="A52" s="6" t="inlineStr">
        <is>
          <t>15    Total high-quality liquid assets (HQLA) (Weighted value - average) (£m)</t>
        </is>
      </c>
      <c r="B52" s="6" t="n">
        <v>93670</v>
      </c>
      <c r="C52" s="6" t="n">
        <v>91348</v>
      </c>
      <c r="D52" s="6" t="n">
        <v>94765</v>
      </c>
      <c r="E52" s="6" t="n">
        <v>110722</v>
      </c>
    </row>
    <row r="53">
      <c r="A53" s="6" t="inlineStr">
        <is>
          <t>UK-16a    Cash outflows – total weighted value (£m)</t>
        </is>
      </c>
      <c r="B53" s="6" t="n">
        <v>59238</v>
      </c>
      <c r="C53" s="6" t="n">
        <v>53657</v>
      </c>
      <c r="D53" s="6" t="n">
        <v>53058</v>
      </c>
      <c r="E53" s="6" t="n">
        <v>53740</v>
      </c>
    </row>
    <row r="54">
      <c r="A54" s="6" t="inlineStr">
        <is>
          <t>UK-16b    Cash inflows – total weighted value (£m)</t>
        </is>
      </c>
      <c r="B54" s="6" t="n">
        <v>5767</v>
      </c>
      <c r="C54" s="6" t="n">
        <v>5600</v>
      </c>
      <c r="D54" s="6" t="n">
        <v>5823</v>
      </c>
      <c r="E54" s="6" t="n">
        <v>4793</v>
      </c>
    </row>
    <row r="55">
      <c r="A55" s="6" t="inlineStr">
        <is>
          <t>16    Total net cash outflow (£m)</t>
        </is>
      </c>
      <c r="B55" s="6" t="n">
        <v>53471</v>
      </c>
      <c r="C55" s="6" t="n">
        <v>48057</v>
      </c>
      <c r="D55" s="6" t="n">
        <v>47234</v>
      </c>
      <c r="E55" s="6" t="n">
        <v>48946</v>
      </c>
    </row>
    <row r="56">
      <c r="A56" s="6" t="inlineStr">
        <is>
          <t>17    LCR (%)</t>
        </is>
      </c>
      <c r="B56" s="6" t="inlineStr">
        <is>
          <t>175</t>
        </is>
      </c>
      <c r="C56" s="6" t="inlineStr">
        <is>
          <t>190</t>
        </is>
      </c>
      <c r="D56" s="6" t="inlineStr">
        <is>
          <t>201</t>
        </is>
      </c>
      <c r="E56" s="6" t="inlineStr">
        <is>
          <t>226</t>
        </is>
      </c>
    </row>
    <row r="57">
      <c r="A57" s="5" t="inlineStr">
        <is>
          <t>Net stable funding ratio ('NSFR') — HSBC UK Bank Domestic Liquidity Sub-group basis</t>
        </is>
      </c>
      <c r="B57" s="6" t="n"/>
      <c r="C57" s="6" t="n"/>
      <c r="D57" s="6" t="n"/>
      <c r="E57" s="6" t="n"/>
    </row>
    <row r="58">
      <c r="A58" s="6" t="inlineStr">
        <is>
          <t>18    Total available stable funding (£m)</t>
        </is>
      </c>
      <c r="B58" s="6" t="n">
        <v>270620</v>
      </c>
      <c r="C58" s="6" t="n">
        <v>264704</v>
      </c>
      <c r="D58" s="6" t="n">
        <v>264729</v>
      </c>
      <c r="E58" s="6" t="n">
        <v>273802</v>
      </c>
    </row>
    <row r="59">
      <c r="A59" s="6" t="inlineStr">
        <is>
          <t>19    Total required stable funding (£m)</t>
        </is>
      </c>
      <c r="B59" s="6" t="n">
        <v>184732</v>
      </c>
      <c r="C59" s="6" t="n">
        <v>171500</v>
      </c>
      <c r="D59" s="6" t="n">
        <v>167523</v>
      </c>
      <c r="E59" s="6" t="n">
        <v>166551</v>
      </c>
    </row>
    <row r="60">
      <c r="A60" s="6" t="inlineStr">
        <is>
          <t>20    NSFR (%)</t>
        </is>
      </c>
      <c r="B60" s="6" t="inlineStr">
        <is>
          <t>146</t>
        </is>
      </c>
      <c r="C60" s="6" t="inlineStr">
        <is>
          <t>154</t>
        </is>
      </c>
      <c r="D60" s="6" t="inlineStr">
        <is>
          <t>158</t>
        </is>
      </c>
      <c r="E60" s="6" t="inlineStr">
        <is>
          <t>164</t>
        </is>
      </c>
    </row>
    <row r="62" ht="409" customHeight="1">
      <c r="A62" s="8" t="inlineStr">
        <is>
          <t>Sources - HSBC UK Bank plc's OWN entity-level Pillar 3 Disclosures, Table 1 'Key metrics (KM1/IFRS9-FL)'. Each year comes from the 31 December column of the edition in which that year is the reporting year, never from a later edition's comparative. Every PDF was re-downloaded for this ticket and verified by HTTP 200, Content-Type application/pdf and %PDF magic bytes:
FY2025: Pillar 3 Disclosures at 31 December 2025, Table 1, p.4 - https://www.hsbc.com/-/files/hsbc/investors/hsbc-results/2025/annual/pdfs/hsbc-uk-bank-plc/260225-pillar-3-disclosures-at-31-december-2025.pdf
FY2024: Pillar 3 Disclosures at 31 December 2024, Table 1, p.5 - https://www.hsbc.com/-/files/hsbc/investors/hsbc-results/2024/annual/pdfs/hsbc-uk-bank-plc/250219-pillar-3-disclosures-at-31-december-2024.pdf
FY2023: Pillar 3 Disclosures at 31 December 2023, Table 1, p.5 - https://www.hsbc.com/-/files/hsbc/investors/hsbc-results/2023/annual/pdfs/hsbc-uk-bank-plc/240221-pillar-3-disclosures-at-31-december-2023.pdf
FY2022: Pillar 3 Disclosures at 31 December 2022, Table 1, p.5 - https://www.hsbc.com/-/files/hsbc/investors/hsbc-results/2022/annual/pdfs/hsbc-uk-bank-plc/230221-pillar-3-disclosures-at-31-december-2022.pdf
FY2021: no UK KM1 - see below - https://www.hsbc.com/-/files/hsbc/investors/hsbc-results/2021/annual/pdfs/hsbc-uk-bank-plc/220222-pillar-3-disclosures-at-31-december-2021.pdf
FY2020: no UK KM1 - see below - https://web.archive.org/web/20240527084156id_/https://www.hsbc.com/-/files/hsbc/investors/hsbc-results/2020/annual/pdfs/hsbc-uk-bank-plc/210223-pillar-3-disclosures-at-31-december-2020.pdf
FY2019: no UK KM1 - see below - https://web.archive.org/web/20221014171921id_/https://www.hsbc.com/-/files/hsbc/investors/hsbc-results/2019/annual/pdfs/hsbc-uk-bank-plc/200218-pillar-3-disclosures-31-december-2019.pdf
LATEST-EDITION CHECK, 2026-09-16: checked HSBC's own investor-relations subsidiaries reporting page (hsbc.com/investors/results-and-announcements/all-reporting/subsidiaries), not this project's cited URLs and not Wayback. The newest HSBC UK Bank plc documents listed there are the Pillar 3 Disclosures at 31 March 2026 (Q1) and at 30 June 2026 (interim), plus the ring-fenced bank's Interim Report 2026. The newest ANNUAL edition remains the Pillar 3 Disclosures at 31 December 2025 and the Annual Report and Accounts 2025, both published 25 February 2026 - which this workbook already holds. FY2026 is not a complete financial year, so no new year column is added. Checked, none newer.
ENTITY: HSBC publishes SEPARATE Pillar 3 Disclosures for HSBC Holdings plc (the listed group, out of scope), HSBC Bank plc (FRN 114216, the non-ring-fenced entity), HSBC UK Bank plc (this entity, FRN 765112, the ring-fenced bank) and HSBC Innovation Bank Limited (FRN 543146). All four sit on the same hsbc.com downloads page. Every figure on this sheet comes from a document whose own running footer reads 'HSBC UK Bank plc Pillar 3 &lt;year&gt;'.</t>
        </is>
      </c>
    </row>
    <row r="64" ht="409" customHeight="1">
      <c r="A64" s="8" t="inlineStr">
        <is>
          <t>(continued)
WHY FY2021, FY2020 AND FY2019 ARE BLANK - the sharpest trap in this bank, and the reason a title search alone is not a presence test. The FY2020 and FY2021 editions DO print a table titled 'Table 1: Key metrics (KM1/IFRS9-FL)' - and it is NOT this template. What they actually print is the EBA-era IFRS9-FL layout, numbered 1-17 in one continuous run: 1 CET1 capital, 2 CET1 capital as-if, 3 Tier 1 capital, 4 Tier 1 capital as-if, 5 Total regulatory capital, 6 Total capital as-if, 7 Total RWAs, 8 Total RWAs as-if, 9-14 the six capital ratios (transitional and as-if), 15 total leverage ratio exposure measure, 16 leverage ratio, 17 leverage ratio as-if - with an UNNUMBERED four-row buffer block ('Capital conservation buffer requirement', 'Countercyclical buffer requirement', 'Other Systemically Important Institutions (O-SII) buffer requirement', 'Total of bank CET1 specific buffer requirements') and a two-row capital-requirement block ('Total capital requirement (Pillar 1 + Pillar 2A)', 'CET1 available after meeting the bank's minimum capital requirements') spliced in between rows 14 and 15. It differs from the UK KM1 in every way that matters:
  * its own asterisk footnote says the references 'identify the lines prescribed in the European Banking Authority (EBA) templates', where the FY2022 edition onward says 'the relevant PRA template';
  * it has NO LCR rows and NO NSFR rows whatsoever - the entire second half of KM1;
  * it has no UK-7a/UK-7b/UK-7c SREP split;
  * and its row numbers denote different things. Its row 2 is 'CET1 capital as if IFRS 9 transitional arrangements had not been applied'; KM1's row 2 is 'Tier 1 capital'. Its row 7 is 'Total RWAs'; KM1's row 7 is the total capital ratio.
Transcribing those figures into this sheet's rows would assert a row-for-row correspondence HSBC UK never published, so FY2019-FY2021 are left blank instead. This cuts the opposite way from the usual trap: a bank can print the token 'KM1' in a table title without printing the template, just as another bank (Allica) can print the template without ever writing 'KM1'. Nothing is lost - those editions' capital, RWA, ratio and leverage figures are carried on the single-metric sheets in this workbook, sourced from those tables directly. FY2019's edition is a step further back again: its Table 1 is titled 'Comparison of own funds, capital and leverage ratios, with and without the application of transitional arrangements for IFRS 9' and has no buffer block at all. The positive reason for the change is in the FY2022 edition's own footnote 2: the SREP, buffer, leverage and liquidity disclosures 'have been implemented from 1 January 2022, and are based on the PRA's disclosure templates and instructions which came into force at that time'.
This was checked for an image-only table as well (see map rule 13): the FY2019, FY2020 and FY2021 PDFs were searched for a KM1-ish heading with no figures under it, and `pdfimages -list` reports no embedded bitmap anywhere near the Key metrics pages in any of them. Extraction on those documents is rich, not silent - the FY2019 text yields 205 hits for 'capital', 121 for 'ratio' and 18 for 'CET1' - so the absence is a fact about the documents, not about the tool.
BASIS SPLITS WITHIN EACH COLUMN - read this before comparing rows. Rows 1-14e are on HSBC UK Bank plc's regulatory consolidation, which the table preamble calls 'the group'. Rows 15-20 are on the HSBC UK Bank DOMESTIC LIQUIDITY SUB-GROUP ('DoLSub') perimeter - HSBC UK Bank plc, Marks and Spencer Financial Services plc, HSBC Private Bank (UK) Limited, HSBC Innovation Bank Limited (included from 31 March 2023 reporting) and, up to the FY2024 edition, HSBC Trust Company (UK) Limited. This was verified rather than assumed: KM1's FY2025 rows 15, 16 and 17 (93,670 / 53,471 / 175) are identical to rows UK-21, 22 and 23 of the same edition's Table 12 'Quantitative information of LCR (UK LIQ1)', which that edition states is presented 'on a HSBC UK Bank Domestic Liquidity Sub-group basis reflecting the way we manage liquidity within HSBC UK as a single operating entity'. Note this is a DIFFERENT second basis from the one in HSBC Bank plc's KM1, whose rows 15-20 are that entity SOLO.</t>
        </is>
      </c>
    </row>
    <row r="66" ht="409" customHeight="1">
      <c r="A66" s="8" t="inlineStr">
        <is>
          <t>(continued)
COLUMN SELECTION: each annual edition's Table 1 prints five dated columns - 31 Dec, 30 Sep, 30 Jun and 31 Mar of its own year, then the prior 31 Dec. Only the leftmost 31 December column is taken; the three intra-year columns are quarter-ends rather than year-ends, and the last is a comparative.
ROW SET DRIFT (map rule 4 - a row the bank did not print is blank, which is not zero and not a row we failed to find):
  * HSBC UK prints only rows that carry a value, so UK-8a, UK-9a and 10 appear in no edition. They are kept as blank rows here so the sheet matches the template a reader would cross-refer to. UK-10a IS printed in every edition, because the ring-fenced bank carries an O-SII buffer.
  * The unnumbered IFRS9-FL '...as if' rows are printed in all four editions FY2022-FY2025. This differs from HSBC Bank plc, whose FY2025 edition drops them; HSBC UK keeps them in FY2025 with the transitional and end-point figures equal, the IFRS 9 transitional arrangements having ended on 1 January 2025.
  * The unnumbered 'Average exposure measure excluding claims on central banks' row is printed in the FY2022 and FY2023 editions only.
THE 1 JANUARY 2022 LEVERAGE BASIS BREAK, kept as two separate series. In the FY2022 edition rows 13 and 14 print 'N/A' for the 31 Dec 2021 comparative, and the pre-2022 measure appears instead on two unnumbered rows under their own heading 'Leverage ratio (under the Capital Requirements Regulation)'. Those two rows' 31 DECEMBER 2022 CELLS ARE GENUINELY BLANK - not 'N/A', which is what their three quarter-end cells carry. That distinction is invisible in the PDF's text layer (a leading empty cell and a missing cell extract identically), so the page was rendered at 170dpi and read by eye to confirm it. Their only figures (GBP358,237m and 4.2%) sit in the 31 Dec 2021 comparative column, which rule 1 forbids using, and FY2021's own edition has no UK KM1 to take them from - so both rows are blank throughout this sheet.
LABEL DRIFT, recorded not normalised: the FY2022 edition writes row 9 as 'Institution-specific countercyclical capital buffer (%)' where FY2023-FY2025 drop the '(%)'; and the FY2022/FY2023 editions caption the 14a-EU-14e block 'Additional own funds requirements to address risks of excessive leverage (as a percentage of leverage ratio total exposure amount)' where FY2024/FY2025 caption it 'Additional leverage ratio disclosure requirements'. Both variants are named on this sheet. Ratio rows are stored as the digits HSBC UK printed, without a percent sign, because the unit is carried in the section heading rather than on the row.
RESTATEMENTS THE BANK FLAGS ITSELF, recorded not applied (rule 1 - each year keeps its own edition's figure): the FY2025 edition footnotes that 'From 30 June 2025, the regulatory valuation of Tier 2 capital includes the accrued interest. Comparatives have not been restated', and that an enhancement to the counterparty credit calculation effective 2Q25 'has impacted the current period disclosures. Comparatives have not been restated'. The FY2022 edition footnotes that from 30 September 2022 the LCR and NSFR became averages and 'Prior period numbers have been restated for consistency'.
ENTITY NOTE: HSBC UK Bank plc (Companies House 09928412, FRN 765112) is the ring-fenced retail/SME banking entity created in 2018 under UK ring-fencing reform - confirmed distinct from HSBC Bank plc (FRN 114216, the legacy non-ring-fenced entity, built separately in WF-012) and HSBC Innovation Bank Limited (FRN 543146, the former Silicon Valley Bank UK, also built in WF-012). All figures below are HSBC UK Bank plc's own entity-level Consolidated statements, sourced directly from HSBC UK Bank plc's own Annual Report and Accounts and Pillar 3 Disclosures on hsbc.com's investor-relations subsidiaries reporting archive.</t>
        </is>
      </c>
    </row>
    <row r="68" ht="409" customHeight="1">
      <c r="A68" s="8" t="inlineStr">
        <is>
          <t>(continued)
HISTORICAL FLOOR (HD-019, independently verified - not assumed from GLEIF entity-creation date): HSBC UK Bank plc's legal entity was incorporated 23 December 2015 as a dormant shelf company ('HSBC UK RFB Limited'), but it did not begin real banking operations until the UK ring-fencing transfer on 1 July 2018 (confirmed directly against the entity's own Annual Report and Accounts 2017, which states the company 'made a pre-tax profit of £16,000... representing interest earned on UK treasury gilts' with 'no relevant audit information' and total equity of £15.01m - i.e. a genuine shell, not a trading bank; and against the entity's own Annual Report and Accounts 2018, whose audited financial statements cover only the six months to 31 December 2018, since 'HSBC UK's banking operations commenced on 1 July 2018'). This is the same UK ring-fencing gating event, under the same Financial Services (Banking Reform) Act 2013 regime, found for Barclays Bank UK PLC in HD-001. FY2018 itself is therefore NOT usable as a year column in this workbook: its own audited income statement, statement of comprehensive income, cash flow statement and equity roll-forward all cover only a 6-month stub period (1 July-31 December 2018), not comparable to the full 12-month columns used everywhere else in this workbook. The floor used here is FY2019 - the entity's own first genuine full 12-month audited reporting year - confirmed directly against HSBC UK Bank plc's own Annual Report and Accounts 2019, whose Consolidated income statement is explicitly 'for the year ended 31 December 2019' with the note 'the period from 1 January 2019 to 31 December 2019'. FY2019 and FY2020 Pillar 3 Disclosures documents are no longer live on hsbc.com and were retrieved via Wayback Machine snapshots of their original hsbc.com URLs.</t>
        </is>
      </c>
    </row>
  </sheetData>
  <mergeCells count="4">
    <mergeCell ref="A64:E64"/>
    <mergeCell ref="A68:E68"/>
    <mergeCell ref="A62:E62"/>
    <mergeCell ref="A66:E6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HSBC UK Bank plc — CET1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Common equity tier 1 (CET1) capital</t>
        </is>
      </c>
      <c r="B4" s="6" t="n">
        <v>15509</v>
      </c>
      <c r="C4" s="6" t="n">
        <v>15059</v>
      </c>
      <c r="D4" s="6" t="n">
        <v>14224</v>
      </c>
      <c r="E4" s="6" t="n">
        <v>12519</v>
      </c>
      <c r="F4" s="6" t="n">
        <v>12813</v>
      </c>
      <c r="G4" s="6" t="n">
        <v>12963</v>
      </c>
      <c r="H4" s="6" t="n">
        <v>11202</v>
      </c>
    </row>
    <row r="6" ht="286" customHeight="1">
      <c r="A6" s="8" t="inlineStr">
        <is>
          <t>Sources - HSBC UK Bank plc's own entity-level Pillar 3 Disclosures, Table 1 'Key metrics (KM1/IFRS9-FL)' (Table 1 titled 'Comparison of own funds, capital and leverage ratios...(IFRS9-FL)' for FY2019), each year's own originally-published figures at 31 December:
FY2025: HSBC UK Bank plc Pillar 3 Disclosures at 31 December 2025, p.5 - https://www.hsbc.com/-/files/hsbc/investors/hsbc-results/2025/annual/pdfs/hsbc-uk-bank-plc/260225-pillar-3-disclosures-at-31-december-2025.pdf
FY2024: HSBC UK Bank plc Pillar 3 Disclosures at 31 December 2024, p.5 - https://www.hsbc.com/-/files/hsbc/investors/hsbc-results/2024/annual/pdfs/hsbc-uk-bank-plc/250219-pillar-3-disclosures-at-31-december-2024.pdf
FY2023: HSBC UK Bank plc Pillar 3 Disclosures at 31 December 2023, p.5 - https://www.hsbc.com/-/files/hsbc/investors/hsbc-results/2023/annual/pdfs/hsbc-uk-bank-plc/240221-pillar-3-disclosures-at-31-december-2023.pdf
FY2022: HSBC UK Bank plc Pillar 3 Disclosures at 31 December 2022, p.5 - https://www.hsbc.com/-/files/hsbc/investors/hsbc-results/2022/annual/pdfs/hsbc-uk-bank-plc/230221-pillar-3-disclosures-at-31-december-2022.pdf
FY2021: HSBC UK Bank plc Pillar 3 Disclosures at 31 December 2021, p.4 - https://www.hsbc.com/-/files/hsbc/investors/hsbc-results/2021/annual/pdfs/hsbc-uk-bank-plc/220222-pillar-3-disclosures-at-31-december-2021.pdf
FY2020: HSBC UK Bank plc Pillar 3 Disclosures at 31 December 2020, p.4 (Table 1: Key metrics (KM1/IFRS9-FL)) - https://web.archive.org/web/20240527084156id_/https://www.hsbc.com/-/files/hsbc/investors/hsbc-results/2020/annual/pdfs/hsbc-uk-bank-plc/210223-pillar-3-disclosures-at-31-december-2020.pdf (retrieved via Wayback Machine, no longer live on hsbc.com)
FY2019: HSBC UK Bank plc Pillar 3 Disclosures at 31 December 2019, p.3 (Table 1: Comparison of own funds, capital and leverage ratios, with and without the application of transitional arrangements for IFRS 9 (IFRS9-FL)) - https://web.archive.org/web/20221014171921id_/https://www.hsbc.com/-/files/hsbc/investors/hsbc-results/2019/annual/pdfs/hsbc-uk-bank-plc/200218-pillar-3-disclosures-31-december-2019.pdf (retrieved via Wayback Machine, no longer live on hsbc.com)
ENTITY NOTE: HSBC UK Bank plc (Companies House 09928412, FRN 765112) is the ring-fenced retail/SME banking entity created in 2018 under UK ring-fencing reform - confirmed distinct from HSBC Bank plc (FRN 114216, the legacy non-ring-fenced entity, built separately in WF-012) and HSBC Innovation Bank Limited (FRN 543146, the former Silicon Valley Bank UK, also built in WF-012). All figures below are HSBC UK Bank plc's own entity-level Consolidated statements, sourced directly from HSBC UK Bank plc's own Annual Report and Accounts and Pillar 3 Disclosures on hsbc.com's investor-relations subsidiaries reporting archive.</t>
        </is>
      </c>
    </row>
    <row r="8" ht="170" customHeight="1">
      <c r="A8" s="8" t="inlineStr">
        <is>
          <t>(continued)
HISTORICAL FLOOR (HD-019, independently verified - not assumed from GLEIF entity-creation date): HSBC UK Bank plc's legal entity was incorporated 23 December 2015 as a dormant shelf company ('HSBC UK RFB Limited'), but it did not begin real banking operations until the UK ring-fencing transfer on 1 July 2018 (confirmed directly against the entity's own Annual Report and Accounts 2017, which states the company 'made a pre-tax profit of £16,000... representing interest earned on UK treasury gilts' with 'no relevant audit information' and total equity of £15.01m - i.e. a genuine shell, not a trading bank; and against the entity's own Annual Report and Accounts 2018, whose audited financial statements cover only the six months to 31 December 2018, since 'HSBC UK's banking operations commenced on 1 July 2018'). This is the same UK ring-fencing gating event, under the same Financial Services (Banking Reform) Act 2013 regime, found for Barclays Bank UK PLC in HD-001. FY2018 itself is therefore NOT usable as a year column in this workbook: its own audited income statement, statement of comprehensive income, cash flow statement and equity roll-forward all cover only a 6-month stub period (1 July-31 December 2018), not comparable to the full 12-month columns used everywhere else in this workbook. The floor used here is FY2019 - the entity's own first genuine full 12-month audited reporting year - confirmed directly against HSBC UK Bank plc's own Annual Report and Accounts 2019, whose Consolidated income statement is explicitly 'for the year ended 31 December 2019' with the note 'the period from 1 January 2019 to 31 December 2019'. FY2019 and FY2020 Pillar 3 Disclosures documents are no longer live on hsbc.com and were retrieved via Wayback Machine snapshots of their original hsbc.com URLs.</t>
        </is>
      </c>
    </row>
  </sheetData>
  <mergeCells count="2">
    <mergeCell ref="A8:H8"/>
    <mergeCell ref="A6:H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HSBC UK Bank plc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CET1 ratio</t>
        </is>
      </c>
      <c r="B4" s="6" t="inlineStr">
        <is>
          <t>13.2%</t>
        </is>
      </c>
      <c r="C4" s="6" t="inlineStr">
        <is>
          <t>13.6%</t>
        </is>
      </c>
      <c r="D4" s="6" t="inlineStr">
        <is>
          <t>14.0%</t>
        </is>
      </c>
      <c r="E4" s="6" t="inlineStr">
        <is>
          <t>13.5%</t>
        </is>
      </c>
      <c r="F4" s="6" t="inlineStr">
        <is>
          <t>15.3%</t>
        </is>
      </c>
      <c r="G4" s="6" t="inlineStr">
        <is>
          <t>15.2%</t>
        </is>
      </c>
      <c r="H4" s="6" t="inlineStr">
        <is>
          <t>13.0%</t>
        </is>
      </c>
    </row>
    <row r="6" ht="286" customHeight="1">
      <c r="A6" s="8" t="inlineStr">
        <is>
          <t>Sources - HSBC UK Bank plc's own entity-level Pillar 3 Disclosures, Table 1 'Key metrics (KM1/IFRS9-FL)' (Table 1 titled 'Comparison of own funds, capital and leverage ratios...(IFRS9-FL)' for FY2019), each year's own originally-published figures at 31 December:
FY2025: HSBC UK Bank plc Pillar 3 Disclosures at 31 December 2025, p.5 - https://www.hsbc.com/-/files/hsbc/investors/hsbc-results/2025/annual/pdfs/hsbc-uk-bank-plc/260225-pillar-3-disclosures-at-31-december-2025.pdf
FY2024: HSBC UK Bank plc Pillar 3 Disclosures at 31 December 2024, p.5 - https://www.hsbc.com/-/files/hsbc/investors/hsbc-results/2024/annual/pdfs/hsbc-uk-bank-plc/250219-pillar-3-disclosures-at-31-december-2024.pdf
FY2023: HSBC UK Bank plc Pillar 3 Disclosures at 31 December 2023, p.5 - https://www.hsbc.com/-/files/hsbc/investors/hsbc-results/2023/annual/pdfs/hsbc-uk-bank-plc/240221-pillar-3-disclosures-at-31-december-2023.pdf
FY2022: HSBC UK Bank plc Pillar 3 Disclosures at 31 December 2022, p.5 - https://www.hsbc.com/-/files/hsbc/investors/hsbc-results/2022/annual/pdfs/hsbc-uk-bank-plc/230221-pillar-3-disclosures-at-31-december-2022.pdf
FY2021: HSBC UK Bank plc Pillar 3 Disclosures at 31 December 2021, p.4 - https://www.hsbc.com/-/files/hsbc/investors/hsbc-results/2021/annual/pdfs/hsbc-uk-bank-plc/220222-pillar-3-disclosures-at-31-december-2021.pdf
FY2020: HSBC UK Bank plc Pillar 3 Disclosures at 31 December 2020, p.4 (Table 1: Key metrics (KM1/IFRS9-FL)) - https://web.archive.org/web/20240527084156id_/https://www.hsbc.com/-/files/hsbc/investors/hsbc-results/2020/annual/pdfs/hsbc-uk-bank-plc/210223-pillar-3-disclosures-at-31-december-2020.pdf (retrieved via Wayback Machine, no longer live on hsbc.com)
FY2019: HSBC UK Bank plc Pillar 3 Disclosures at 31 December 2019, p.3 (Table 1: Comparison of own funds, capital and leverage ratios, with and without the application of transitional arrangements for IFRS 9 (IFRS9-FL)) - https://web.archive.org/web/20221014171921id_/https://www.hsbc.com/-/files/hsbc/investors/hsbc-results/2019/annual/pdfs/hsbc-uk-bank-plc/200218-pillar-3-disclosures-31-december-2019.pdf (retrieved via Wayback Machine, no longer live on hsbc.com)
ENTITY NOTE: HSBC UK Bank plc (Companies House 09928412, FRN 765112) is the ring-fenced retail/SME banking entity created in 2018 under UK ring-fencing reform - confirmed distinct from HSBC Bank plc (FRN 114216, the legacy non-ring-fenced entity, built separately in WF-012) and HSBC Innovation Bank Limited (FRN 543146, the former Silicon Valley Bank UK, also built in WF-012). All figures below are HSBC UK Bank plc's own entity-level Consolidated statements, sourced directly from HSBC UK Bank plc's own Annual Report and Accounts and Pillar 3 Disclosures on hsbc.com's investor-relations subsidiaries reporting archive.</t>
        </is>
      </c>
    </row>
    <row r="8" ht="170" customHeight="1">
      <c r="A8" s="8" t="inlineStr">
        <is>
          <t>(continued)
HISTORICAL FLOOR (HD-019, independently verified - not assumed from GLEIF entity-creation date): HSBC UK Bank plc's legal entity was incorporated 23 December 2015 as a dormant shelf company ('HSBC UK RFB Limited'), but it did not begin real banking operations until the UK ring-fencing transfer on 1 July 2018 (confirmed directly against the entity's own Annual Report and Accounts 2017, which states the company 'made a pre-tax profit of £16,000... representing interest earned on UK treasury gilts' with 'no relevant audit information' and total equity of £15.01m - i.e. a genuine shell, not a trading bank; and against the entity's own Annual Report and Accounts 2018, whose audited financial statements cover only the six months to 31 December 2018, since 'HSBC UK's banking operations commenced on 1 July 2018'). This is the same UK ring-fencing gating event, under the same Financial Services (Banking Reform) Act 2013 regime, found for Barclays Bank UK PLC in HD-001. FY2018 itself is therefore NOT usable as a year column in this workbook: its own audited income statement, statement of comprehensive income, cash flow statement and equity roll-forward all cover only a 6-month stub period (1 July-31 December 2018), not comparable to the full 12-month columns used everywhere else in this workbook. The floor used here is FY2019 - the entity's own first genuine full 12-month audited reporting year - confirmed directly against HSBC UK Bank plc's own Annual Report and Accounts 2019, whose Consolidated income statement is explicitly 'for the year ended 31 December 2019' with the note 'the period from 1 January 2019 to 31 December 2019'. FY2019 and FY2020 Pillar 3 Disclosures documents are no longer live on hsbc.com and were retrieved via Wayback Machine snapshots of their original hsbc.com URLs.</t>
        </is>
      </c>
    </row>
  </sheetData>
  <mergeCells count="2">
    <mergeCell ref="A8:H8"/>
    <mergeCell ref="A6:H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HSBC UK Bank plc — Tier 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Tier 1 capital</t>
        </is>
      </c>
      <c r="B4" s="6" t="n">
        <v>18218</v>
      </c>
      <c r="C4" s="6" t="n">
        <v>17307</v>
      </c>
      <c r="D4" s="6" t="n">
        <v>16479</v>
      </c>
      <c r="E4" s="6" t="n">
        <v>14771</v>
      </c>
      <c r="F4" s="6" t="n">
        <v>15067</v>
      </c>
      <c r="G4" s="6" t="n">
        <v>15197</v>
      </c>
      <c r="H4" s="6" t="n">
        <v>13453</v>
      </c>
    </row>
    <row r="6" ht="286" customHeight="1">
      <c r="A6" s="8" t="inlineStr">
        <is>
          <t>Sources - HSBC UK Bank plc's own entity-level Pillar 3 Disclosures, Table 1 'Key metrics (KM1/IFRS9-FL)' (Table 1 titled 'Comparison of own funds, capital and leverage ratios...(IFRS9-FL)' for FY2019), each year's own originally-published figures at 31 December:
FY2025: HSBC UK Bank plc Pillar 3 Disclosures at 31 December 2025, p.5 - https://www.hsbc.com/-/files/hsbc/investors/hsbc-results/2025/annual/pdfs/hsbc-uk-bank-plc/260225-pillar-3-disclosures-at-31-december-2025.pdf
FY2024: HSBC UK Bank plc Pillar 3 Disclosures at 31 December 2024, p.5 - https://www.hsbc.com/-/files/hsbc/investors/hsbc-results/2024/annual/pdfs/hsbc-uk-bank-plc/250219-pillar-3-disclosures-at-31-december-2024.pdf
FY2023: HSBC UK Bank plc Pillar 3 Disclosures at 31 December 2023, p.5 - https://www.hsbc.com/-/files/hsbc/investors/hsbc-results/2023/annual/pdfs/hsbc-uk-bank-plc/240221-pillar-3-disclosures-at-31-december-2023.pdf
FY2022: HSBC UK Bank plc Pillar 3 Disclosures at 31 December 2022, p.5 - https://www.hsbc.com/-/files/hsbc/investors/hsbc-results/2022/annual/pdfs/hsbc-uk-bank-plc/230221-pillar-3-disclosures-at-31-december-2022.pdf
FY2021: HSBC UK Bank plc Pillar 3 Disclosures at 31 December 2021, p.4 - https://www.hsbc.com/-/files/hsbc/investors/hsbc-results/2021/annual/pdfs/hsbc-uk-bank-plc/220222-pillar-3-disclosures-at-31-december-2021.pdf
FY2020: HSBC UK Bank plc Pillar 3 Disclosures at 31 December 2020, p.4 (Table 1: Key metrics (KM1/IFRS9-FL)) - https://web.archive.org/web/20240527084156id_/https://www.hsbc.com/-/files/hsbc/investors/hsbc-results/2020/annual/pdfs/hsbc-uk-bank-plc/210223-pillar-3-disclosures-at-31-december-2020.pdf (retrieved via Wayback Machine, no longer live on hsbc.com)
FY2019: HSBC UK Bank plc Pillar 3 Disclosures at 31 December 2019, p.3 (Table 1: Comparison of own funds, capital and leverage ratios, with and without the application of transitional arrangements for IFRS 9 (IFRS9-FL)) - https://web.archive.org/web/20221014171921id_/https://www.hsbc.com/-/files/hsbc/investors/hsbc-results/2019/annual/pdfs/hsbc-uk-bank-plc/200218-pillar-3-disclosures-31-december-2019.pdf (retrieved via Wayback Machine, no longer live on hsbc.com)
ENTITY NOTE: HSBC UK Bank plc (Companies House 09928412, FRN 765112) is the ring-fenced retail/SME banking entity created in 2018 under UK ring-fencing reform - confirmed distinct from HSBC Bank plc (FRN 114216, the legacy non-ring-fenced entity, built separately in WF-012) and HSBC Innovation Bank Limited (FRN 543146, the former Silicon Valley Bank UK, also built in WF-012). All figures below are HSBC UK Bank plc's own entity-level Consolidated statements, sourced directly from HSBC UK Bank plc's own Annual Report and Accounts and Pillar 3 Disclosures on hsbc.com's investor-relations subsidiaries reporting archive.</t>
        </is>
      </c>
    </row>
    <row r="8" ht="170" customHeight="1">
      <c r="A8" s="8" t="inlineStr">
        <is>
          <t>(continued)
HISTORICAL FLOOR (HD-019, independently verified - not assumed from GLEIF entity-creation date): HSBC UK Bank plc's legal entity was incorporated 23 December 2015 as a dormant shelf company ('HSBC UK RFB Limited'), but it did not begin real banking operations until the UK ring-fencing transfer on 1 July 2018 (confirmed directly against the entity's own Annual Report and Accounts 2017, which states the company 'made a pre-tax profit of £16,000... representing interest earned on UK treasury gilts' with 'no relevant audit information' and total equity of £15.01m - i.e. a genuine shell, not a trading bank; and against the entity's own Annual Report and Accounts 2018, whose audited financial statements cover only the six months to 31 December 2018, since 'HSBC UK's banking operations commenced on 1 July 2018'). This is the same UK ring-fencing gating event, under the same Financial Services (Banking Reform) Act 2013 regime, found for Barclays Bank UK PLC in HD-001. FY2018 itself is therefore NOT usable as a year column in this workbook: its own audited income statement, statement of comprehensive income, cash flow statement and equity roll-forward all cover only a 6-month stub period (1 July-31 December 2018), not comparable to the full 12-month columns used everywhere else in this workbook. The floor used here is FY2019 - the entity's own first genuine full 12-month audited reporting year - confirmed directly against HSBC UK Bank plc's own Annual Report and Accounts 2019, whose Consolidated income statement is explicitly 'for the year ended 31 December 2019' with the note 'the period from 1 January 2019 to 31 December 2019'. FY2019 and FY2020 Pillar 3 Disclosures documents are no longer live on hsbc.com and were retrieved via Wayback Machine snapshots of their original hsbc.com URLs.</t>
        </is>
      </c>
    </row>
  </sheetData>
  <mergeCells count="2">
    <mergeCell ref="A8:H8"/>
    <mergeCell ref="A6:H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HSBC UK Bank plc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Tier 1 ratio</t>
        </is>
      </c>
      <c r="B4" s="6" t="inlineStr">
        <is>
          <t>15.5%</t>
        </is>
      </c>
      <c r="C4" s="6" t="inlineStr">
        <is>
          <t>15.7%</t>
        </is>
      </c>
      <c r="D4" s="6" t="inlineStr">
        <is>
          <t>16.2%</t>
        </is>
      </c>
      <c r="E4" s="6" t="inlineStr">
        <is>
          <t>16.0%</t>
        </is>
      </c>
      <c r="F4" s="6" t="inlineStr">
        <is>
          <t>18.0%</t>
        </is>
      </c>
      <c r="G4" s="6" t="inlineStr">
        <is>
          <t>17.8%</t>
        </is>
      </c>
      <c r="H4" s="6" t="inlineStr">
        <is>
          <t>15.7%</t>
        </is>
      </c>
    </row>
    <row r="6" ht="286" customHeight="1">
      <c r="A6" s="8" t="inlineStr">
        <is>
          <t>Sources - HSBC UK Bank plc's own entity-level Pillar 3 Disclosures, Table 1 'Key metrics (KM1/IFRS9-FL)' (Table 1 titled 'Comparison of own funds, capital and leverage ratios...(IFRS9-FL)' for FY2019), each year's own originally-published figures at 31 December:
FY2025: HSBC UK Bank plc Pillar 3 Disclosures at 31 December 2025, p.5 - https://www.hsbc.com/-/files/hsbc/investors/hsbc-results/2025/annual/pdfs/hsbc-uk-bank-plc/260225-pillar-3-disclosures-at-31-december-2025.pdf
FY2024: HSBC UK Bank plc Pillar 3 Disclosures at 31 December 2024, p.5 - https://www.hsbc.com/-/files/hsbc/investors/hsbc-results/2024/annual/pdfs/hsbc-uk-bank-plc/250219-pillar-3-disclosures-at-31-december-2024.pdf
FY2023: HSBC UK Bank plc Pillar 3 Disclosures at 31 December 2023, p.5 - https://www.hsbc.com/-/files/hsbc/investors/hsbc-results/2023/annual/pdfs/hsbc-uk-bank-plc/240221-pillar-3-disclosures-at-31-december-2023.pdf
FY2022: HSBC UK Bank plc Pillar 3 Disclosures at 31 December 2022, p.5 - https://www.hsbc.com/-/files/hsbc/investors/hsbc-results/2022/annual/pdfs/hsbc-uk-bank-plc/230221-pillar-3-disclosures-at-31-december-2022.pdf
FY2021: HSBC UK Bank plc Pillar 3 Disclosures at 31 December 2021, p.4 - https://www.hsbc.com/-/files/hsbc/investors/hsbc-results/2021/annual/pdfs/hsbc-uk-bank-plc/220222-pillar-3-disclosures-at-31-december-2021.pdf
FY2020: HSBC UK Bank plc Pillar 3 Disclosures at 31 December 2020, p.4 (Table 1: Key metrics (KM1/IFRS9-FL)) - https://web.archive.org/web/20240527084156id_/https://www.hsbc.com/-/files/hsbc/investors/hsbc-results/2020/annual/pdfs/hsbc-uk-bank-plc/210223-pillar-3-disclosures-at-31-december-2020.pdf (retrieved via Wayback Machine, no longer live on hsbc.com)
FY2019: HSBC UK Bank plc Pillar 3 Disclosures at 31 December 2019, p.3 (Table 1: Comparison of own funds, capital and leverage ratios, with and without the application of transitional arrangements for IFRS 9 (IFRS9-FL)) - https://web.archive.org/web/20221014171921id_/https://www.hsbc.com/-/files/hsbc/investors/hsbc-results/2019/annual/pdfs/hsbc-uk-bank-plc/200218-pillar-3-disclosures-31-december-2019.pdf (retrieved via Wayback Machine, no longer live on hsbc.com)
ENTITY NOTE: HSBC UK Bank plc (Companies House 09928412, FRN 765112) is the ring-fenced retail/SME banking entity created in 2018 under UK ring-fencing reform - confirmed distinct from HSBC Bank plc (FRN 114216, the legacy non-ring-fenced entity, built separately in WF-012) and HSBC Innovation Bank Limited (FRN 543146, the former Silicon Valley Bank UK, also built in WF-012). All figures below are HSBC UK Bank plc's own entity-level Consolidated statements, sourced directly from HSBC UK Bank plc's own Annual Report and Accounts and Pillar 3 Disclosures on hsbc.com's investor-relations subsidiaries reporting archive.</t>
        </is>
      </c>
    </row>
    <row r="8" ht="170" customHeight="1">
      <c r="A8" s="8" t="inlineStr">
        <is>
          <t>(continued)
HISTORICAL FLOOR (HD-019, independently verified - not assumed from GLEIF entity-creation date): HSBC UK Bank plc's legal entity was incorporated 23 December 2015 as a dormant shelf company ('HSBC UK RFB Limited'), but it did not begin real banking operations until the UK ring-fencing transfer on 1 July 2018 (confirmed directly against the entity's own Annual Report and Accounts 2017, which states the company 'made a pre-tax profit of £16,000... representing interest earned on UK treasury gilts' with 'no relevant audit information' and total equity of £15.01m - i.e. a genuine shell, not a trading bank; and against the entity's own Annual Report and Accounts 2018, whose audited financial statements cover only the six months to 31 December 2018, since 'HSBC UK's banking operations commenced on 1 July 2018'). This is the same UK ring-fencing gating event, under the same Financial Services (Banking Reform) Act 2013 regime, found for Barclays Bank UK PLC in HD-001. FY2018 itself is therefore NOT usable as a year column in this workbook: its own audited income statement, statement of comprehensive income, cash flow statement and equity roll-forward all cover only a 6-month stub period (1 July-31 December 2018), not comparable to the full 12-month columns used everywhere else in this workbook. The floor used here is FY2019 - the entity's own first genuine full 12-month audited reporting year - confirmed directly against HSBC UK Bank plc's own Annual Report and Accounts 2019, whose Consolidated income statement is explicitly 'for the year ended 31 December 2019' with the note 'the period from 1 January 2019 to 31 December 2019'. FY2019 and FY2020 Pillar 3 Disclosures documents are no longer live on hsbc.com and were retrieved via Wayback Machine snapshots of their original hsbc.com URLs.</t>
        </is>
      </c>
    </row>
  </sheetData>
  <mergeCells count="2">
    <mergeCell ref="A8:H8"/>
    <mergeCell ref="A6:H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HSBC UK Bank plc — Total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capital</t>
        </is>
      </c>
      <c r="B4" s="6" t="n">
        <v>21888</v>
      </c>
      <c r="C4" s="6" t="n">
        <v>20500</v>
      </c>
      <c r="D4" s="6" t="n">
        <v>19772</v>
      </c>
      <c r="E4" s="6" t="n">
        <v>17847</v>
      </c>
      <c r="F4" s="6" t="n">
        <v>18067</v>
      </c>
      <c r="G4" s="6" t="n">
        <v>18171</v>
      </c>
      <c r="H4" s="6" t="n">
        <v>16462</v>
      </c>
    </row>
    <row r="6" ht="286" customHeight="1">
      <c r="A6" s="8" t="inlineStr">
        <is>
          <t>Sources - HSBC UK Bank plc's own entity-level Pillar 3 Disclosures, Table 1 'Key metrics (KM1/IFRS9-FL)' (Table 1 titled 'Comparison of own funds, capital and leverage ratios...(IFRS9-FL)' for FY2019), each year's own originally-published figures at 31 December:
FY2025: HSBC UK Bank plc Pillar 3 Disclosures at 31 December 2025, p.5 - https://www.hsbc.com/-/files/hsbc/investors/hsbc-results/2025/annual/pdfs/hsbc-uk-bank-plc/260225-pillar-3-disclosures-at-31-december-2025.pdf
FY2024: HSBC UK Bank plc Pillar 3 Disclosures at 31 December 2024, p.5 - https://www.hsbc.com/-/files/hsbc/investors/hsbc-results/2024/annual/pdfs/hsbc-uk-bank-plc/250219-pillar-3-disclosures-at-31-december-2024.pdf
FY2023: HSBC UK Bank plc Pillar 3 Disclosures at 31 December 2023, p.5 - https://www.hsbc.com/-/files/hsbc/investors/hsbc-results/2023/annual/pdfs/hsbc-uk-bank-plc/240221-pillar-3-disclosures-at-31-december-2023.pdf
FY2022: HSBC UK Bank plc Pillar 3 Disclosures at 31 December 2022, p.5 - https://www.hsbc.com/-/files/hsbc/investors/hsbc-results/2022/annual/pdfs/hsbc-uk-bank-plc/230221-pillar-3-disclosures-at-31-december-2022.pdf
FY2021: HSBC UK Bank plc Pillar 3 Disclosures at 31 December 2021, p.4 - https://www.hsbc.com/-/files/hsbc/investors/hsbc-results/2021/annual/pdfs/hsbc-uk-bank-plc/220222-pillar-3-disclosures-at-31-december-2021.pdf
FY2020: HSBC UK Bank plc Pillar 3 Disclosures at 31 December 2020, p.4 (Table 1: Key metrics (KM1/IFRS9-FL)) - https://web.archive.org/web/20240527084156id_/https://www.hsbc.com/-/files/hsbc/investors/hsbc-results/2020/annual/pdfs/hsbc-uk-bank-plc/210223-pillar-3-disclosures-at-31-december-2020.pdf (retrieved via Wayback Machine, no longer live on hsbc.com)
FY2019: HSBC UK Bank plc Pillar 3 Disclosures at 31 December 2019, p.3 (Table 1: Comparison of own funds, capital and leverage ratios, with and without the application of transitional arrangements for IFRS 9 (IFRS9-FL)) - https://web.archive.org/web/20221014171921id_/https://www.hsbc.com/-/files/hsbc/investors/hsbc-results/2019/annual/pdfs/hsbc-uk-bank-plc/200218-pillar-3-disclosures-31-december-2019.pdf (retrieved via Wayback Machine, no longer live on hsbc.com)
ENTITY NOTE: HSBC UK Bank plc (Companies House 09928412, FRN 765112) is the ring-fenced retail/SME banking entity created in 2018 under UK ring-fencing reform - confirmed distinct from HSBC Bank plc (FRN 114216, the legacy non-ring-fenced entity, built separately in WF-012) and HSBC Innovation Bank Limited (FRN 543146, the former Silicon Valley Bank UK, also built in WF-012). All figures below are HSBC UK Bank plc's own entity-level Consolidated statements, sourced directly from HSBC UK Bank plc's own Annual Report and Accounts and Pillar 3 Disclosures on hsbc.com's investor-relations subsidiaries reporting archive.</t>
        </is>
      </c>
    </row>
    <row r="8" ht="170" customHeight="1">
      <c r="A8" s="8" t="inlineStr">
        <is>
          <t>(continued)
HISTORICAL FLOOR (HD-019, independently verified - not assumed from GLEIF entity-creation date): HSBC UK Bank plc's legal entity was incorporated 23 December 2015 as a dormant shelf company ('HSBC UK RFB Limited'), but it did not begin real banking operations until the UK ring-fencing transfer on 1 July 2018 (confirmed directly against the entity's own Annual Report and Accounts 2017, which states the company 'made a pre-tax profit of £16,000... representing interest earned on UK treasury gilts' with 'no relevant audit information' and total equity of £15.01m - i.e. a genuine shell, not a trading bank; and against the entity's own Annual Report and Accounts 2018, whose audited financial statements cover only the six months to 31 December 2018, since 'HSBC UK's banking operations commenced on 1 July 2018'). This is the same UK ring-fencing gating event, under the same Financial Services (Banking Reform) Act 2013 regime, found for Barclays Bank UK PLC in HD-001. FY2018 itself is therefore NOT usable as a year column in this workbook: its own audited income statement, statement of comprehensive income, cash flow statement and equity roll-forward all cover only a 6-month stub period (1 July-31 December 2018), not comparable to the full 12-month columns used everywhere else in this workbook. The floor used here is FY2019 - the entity's own first genuine full 12-month audited reporting year - confirmed directly against HSBC UK Bank plc's own Annual Report and Accounts 2019, whose Consolidated income statement is explicitly 'for the year ended 31 December 2019' with the note 'the period from 1 January 2019 to 31 December 2019'. FY2019 and FY2020 Pillar 3 Disclosures documents are no longer live on hsbc.com and were retrieved via Wayback Machine snapshots of their original hsbc.com URLs.</t>
        </is>
      </c>
    </row>
  </sheetData>
  <mergeCells count="2">
    <mergeCell ref="A8:H8"/>
    <mergeCell ref="A6:H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HSBC UK Bank plc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capital ratio</t>
        </is>
      </c>
      <c r="B4" s="6" t="inlineStr">
        <is>
          <t>18.6%</t>
        </is>
      </c>
      <c r="C4" s="6" t="inlineStr">
        <is>
          <t>18.6%</t>
        </is>
      </c>
      <c r="D4" s="6" t="inlineStr">
        <is>
          <t>19.5%</t>
        </is>
      </c>
      <c r="E4" s="6" t="inlineStr">
        <is>
          <t>19.3%</t>
        </is>
      </c>
      <c r="F4" s="6" t="inlineStr">
        <is>
          <t>21.6%</t>
        </is>
      </c>
      <c r="G4" s="6" t="inlineStr">
        <is>
          <t>21.3%</t>
        </is>
      </c>
      <c r="H4" s="6" t="inlineStr">
        <is>
          <t>19.2%</t>
        </is>
      </c>
    </row>
    <row r="6" ht="286" customHeight="1">
      <c r="A6" s="8" t="inlineStr">
        <is>
          <t>Sources - HSBC UK Bank plc's own entity-level Pillar 3 Disclosures, Table 1 'Key metrics (KM1/IFRS9-FL)' (Table 1 titled 'Comparison of own funds, capital and leverage ratios...(IFRS9-FL)' for FY2019), each year's own originally-published figures at 31 December:
FY2025: HSBC UK Bank plc Pillar 3 Disclosures at 31 December 2025, p.5 - https://www.hsbc.com/-/files/hsbc/investors/hsbc-results/2025/annual/pdfs/hsbc-uk-bank-plc/260225-pillar-3-disclosures-at-31-december-2025.pdf
FY2024: HSBC UK Bank plc Pillar 3 Disclosures at 31 December 2024, p.5 - https://www.hsbc.com/-/files/hsbc/investors/hsbc-results/2024/annual/pdfs/hsbc-uk-bank-plc/250219-pillar-3-disclosures-at-31-december-2024.pdf
FY2023: HSBC UK Bank plc Pillar 3 Disclosures at 31 December 2023, p.5 - https://www.hsbc.com/-/files/hsbc/investors/hsbc-results/2023/annual/pdfs/hsbc-uk-bank-plc/240221-pillar-3-disclosures-at-31-december-2023.pdf
FY2022: HSBC UK Bank plc Pillar 3 Disclosures at 31 December 2022, p.5 - https://www.hsbc.com/-/files/hsbc/investors/hsbc-results/2022/annual/pdfs/hsbc-uk-bank-plc/230221-pillar-3-disclosures-at-31-december-2022.pdf
FY2021: HSBC UK Bank plc Pillar 3 Disclosures at 31 December 2021, p.4 - https://www.hsbc.com/-/files/hsbc/investors/hsbc-results/2021/annual/pdfs/hsbc-uk-bank-plc/220222-pillar-3-disclosures-at-31-december-2021.pdf
FY2020: HSBC UK Bank plc Pillar 3 Disclosures at 31 December 2020, p.4 (Table 1: Key metrics (KM1/IFRS9-FL)) - https://web.archive.org/web/20240527084156id_/https://www.hsbc.com/-/files/hsbc/investors/hsbc-results/2020/annual/pdfs/hsbc-uk-bank-plc/210223-pillar-3-disclosures-at-31-december-2020.pdf (retrieved via Wayback Machine, no longer live on hsbc.com)
FY2019: HSBC UK Bank plc Pillar 3 Disclosures at 31 December 2019, p.3 (Table 1: Comparison of own funds, capital and leverage ratios, with and without the application of transitional arrangements for IFRS 9 (IFRS9-FL)) - https://web.archive.org/web/20221014171921id_/https://www.hsbc.com/-/files/hsbc/investors/hsbc-results/2019/annual/pdfs/hsbc-uk-bank-plc/200218-pillar-3-disclosures-31-december-2019.pdf (retrieved via Wayback Machine, no longer live on hsbc.com)
ENTITY NOTE: HSBC UK Bank plc (Companies House 09928412, FRN 765112) is the ring-fenced retail/SME banking entity created in 2018 under UK ring-fencing reform - confirmed distinct from HSBC Bank plc (FRN 114216, the legacy non-ring-fenced entity, built separately in WF-012) and HSBC Innovation Bank Limited (FRN 543146, the former Silicon Valley Bank UK, also built in WF-012). All figures below are HSBC UK Bank plc's own entity-level Consolidated statements, sourced directly from HSBC UK Bank plc's own Annual Report and Accounts and Pillar 3 Disclosures on hsbc.com's investor-relations subsidiaries reporting archive.</t>
        </is>
      </c>
    </row>
    <row r="8" ht="170" customHeight="1">
      <c r="A8" s="8" t="inlineStr">
        <is>
          <t>(continued)
HISTORICAL FLOOR (HD-019, independently verified - not assumed from GLEIF entity-creation date): HSBC UK Bank plc's legal entity was incorporated 23 December 2015 as a dormant shelf company ('HSBC UK RFB Limited'), but it did not begin real banking operations until the UK ring-fencing transfer on 1 July 2018 (confirmed directly against the entity's own Annual Report and Accounts 2017, which states the company 'made a pre-tax profit of £16,000... representing interest earned on UK treasury gilts' with 'no relevant audit information' and total equity of £15.01m - i.e. a genuine shell, not a trading bank; and against the entity's own Annual Report and Accounts 2018, whose audited financial statements cover only the six months to 31 December 2018, since 'HSBC UK's banking operations commenced on 1 July 2018'). This is the same UK ring-fencing gating event, under the same Financial Services (Banking Reform) Act 2013 regime, found for Barclays Bank UK PLC in HD-001. FY2018 itself is therefore NOT usable as a year column in this workbook: its own audited income statement, statement of comprehensive income, cash flow statement and equity roll-forward all cover only a 6-month stub period (1 July-31 December 2018), not comparable to the full 12-month columns used everywhere else in this workbook. The floor used here is FY2019 - the entity's own first genuine full 12-month audited reporting year - confirmed directly against HSBC UK Bank plc's own Annual Report and Accounts 2019, whose Consolidated income statement is explicitly 'for the year ended 31 December 2019' with the note 'the period from 1 January 2019 to 31 December 2019'. FY2019 and FY2020 Pillar 3 Disclosures documents are no longer live on hsbc.com and were retrieved via Wayback Machine snapshots of their original hsbc.com URLs.</t>
        </is>
      </c>
    </row>
  </sheetData>
  <mergeCells count="2">
    <mergeCell ref="A8:H8"/>
    <mergeCell ref="A6:H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HSBC UK Bank plc — Total RWAs</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risk-weighted assets</t>
        </is>
      </c>
      <c r="B4" s="6" t="n">
        <v>117463</v>
      </c>
      <c r="C4" s="6" t="n">
        <v>110423</v>
      </c>
      <c r="D4" s="6" t="n">
        <v>101478</v>
      </c>
      <c r="E4" s="6" t="n">
        <v>92413</v>
      </c>
      <c r="F4" s="6" t="n">
        <v>83723</v>
      </c>
      <c r="G4" s="6" t="n">
        <v>85477</v>
      </c>
      <c r="H4" s="6" t="n">
        <v>85881</v>
      </c>
    </row>
    <row r="6" ht="286" customHeight="1">
      <c r="A6" s="8" t="inlineStr">
        <is>
          <t>Sources - HSBC UK Bank plc's own entity-level Pillar 3 Disclosures, Table 1 'Key metrics (KM1/IFRS9-FL)' (Table 1 titled 'Comparison of own funds, capital and leverage ratios...(IFRS9-FL)' for FY2019), each year's own originally-published figures at 31 December:
FY2025: HSBC UK Bank plc Pillar 3 Disclosures at 31 December 2025, p.5 - https://www.hsbc.com/-/files/hsbc/investors/hsbc-results/2025/annual/pdfs/hsbc-uk-bank-plc/260225-pillar-3-disclosures-at-31-december-2025.pdf
FY2024: HSBC UK Bank plc Pillar 3 Disclosures at 31 December 2024, p.5 - https://www.hsbc.com/-/files/hsbc/investors/hsbc-results/2024/annual/pdfs/hsbc-uk-bank-plc/250219-pillar-3-disclosures-at-31-december-2024.pdf
FY2023: HSBC UK Bank plc Pillar 3 Disclosures at 31 December 2023, p.5 - https://www.hsbc.com/-/files/hsbc/investors/hsbc-results/2023/annual/pdfs/hsbc-uk-bank-plc/240221-pillar-3-disclosures-at-31-december-2023.pdf
FY2022: HSBC UK Bank plc Pillar 3 Disclosures at 31 December 2022, p.5 - https://www.hsbc.com/-/files/hsbc/investors/hsbc-results/2022/annual/pdfs/hsbc-uk-bank-plc/230221-pillar-3-disclosures-at-31-december-2022.pdf
FY2021: HSBC UK Bank plc Pillar 3 Disclosures at 31 December 2021, p.4 - https://www.hsbc.com/-/files/hsbc/investors/hsbc-results/2021/annual/pdfs/hsbc-uk-bank-plc/220222-pillar-3-disclosures-at-31-december-2021.pdf
FY2020: HSBC UK Bank plc Pillar 3 Disclosures at 31 December 2020, p.4 (Table 1: Key metrics (KM1/IFRS9-FL)) - https://web.archive.org/web/20240527084156id_/https://www.hsbc.com/-/files/hsbc/investors/hsbc-results/2020/annual/pdfs/hsbc-uk-bank-plc/210223-pillar-3-disclosures-at-31-december-2020.pdf (retrieved via Wayback Machine, no longer live on hsbc.com)
FY2019: HSBC UK Bank plc Pillar 3 Disclosures at 31 December 2019, p.3 (Table 1: Comparison of own funds, capital and leverage ratios, with and without the application of transitional arrangements for IFRS 9 (IFRS9-FL)) - https://web.archive.org/web/20221014171921id_/https://www.hsbc.com/-/files/hsbc/investors/hsbc-results/2019/annual/pdfs/hsbc-uk-bank-plc/200218-pillar-3-disclosures-31-december-2019.pdf (retrieved via Wayback Machine, no longer live on hsbc.com)
ENTITY NOTE: HSBC UK Bank plc (Companies House 09928412, FRN 765112) is the ring-fenced retail/SME banking entity created in 2018 under UK ring-fencing reform - confirmed distinct from HSBC Bank plc (FRN 114216, the legacy non-ring-fenced entity, built separately in WF-012) and HSBC Innovation Bank Limited (FRN 543146, the former Silicon Valley Bank UK, also built in WF-012). All figures below are HSBC UK Bank plc's own entity-level Consolidated statements, sourced directly from HSBC UK Bank plc's own Annual Report and Accounts and Pillar 3 Disclosures on hsbc.com's investor-relations subsidiaries reporting archive.</t>
        </is>
      </c>
    </row>
    <row r="8" ht="170" customHeight="1">
      <c r="A8" s="8" t="inlineStr">
        <is>
          <t>(continued)
HISTORICAL FLOOR (HD-019, independently verified - not assumed from GLEIF entity-creation date): HSBC UK Bank plc's legal entity was incorporated 23 December 2015 as a dormant shelf company ('HSBC UK RFB Limited'), but it did not begin real banking operations until the UK ring-fencing transfer on 1 July 2018 (confirmed directly against the entity's own Annual Report and Accounts 2017, which states the company 'made a pre-tax profit of £16,000... representing interest earned on UK treasury gilts' with 'no relevant audit information' and total equity of £15.01m - i.e. a genuine shell, not a trading bank; and against the entity's own Annual Report and Accounts 2018, whose audited financial statements cover only the six months to 31 December 2018, since 'HSBC UK's banking operations commenced on 1 July 2018'). This is the same UK ring-fencing gating event, under the same Financial Services (Banking Reform) Act 2013 regime, found for Barclays Bank UK PLC in HD-001. FY2018 itself is therefore NOT usable as a year column in this workbook: its own audited income statement, statement of comprehensive income, cash flow statement and equity roll-forward all cover only a 6-month stub period (1 July-31 December 2018), not comparable to the full 12-month columns used everywhere else in this workbook. The floor used here is FY2019 - the entity's own first genuine full 12-month audited reporting year - confirmed directly against HSBC UK Bank plc's own Annual Report and Accounts 2019, whose Consolidated income statement is explicitly 'for the year ended 31 December 2019' with the note 'the period from 1 January 2019 to 31 December 2019'. FY2019 and FY2020 Pillar 3 Disclosures documents are no longer live on hsbc.com and were retrieved via Wayback Machine snapshots of their original hsbc.com URLs.</t>
        </is>
      </c>
    </row>
  </sheetData>
  <mergeCells count="2">
    <mergeCell ref="A8:H8"/>
    <mergeCell ref="A6:H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HSBC UK Bank plc — RWA Breakdown</t>
        </is>
      </c>
    </row>
    <row r="2">
      <c r="A2" s="2" t="inlineStr">
        <is>
          <t>Pillar 3 UK OV1 template, £m. Ties exactly to the Total RWAs sheet for all 7 years. See source note at bottom.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row>
    <row r="4">
      <c r="A4" s="5" t="inlineStr">
        <is>
          <t>Credit risk (excluding counterparty credit risk)</t>
        </is>
      </c>
      <c r="B4" s="6" t="n"/>
      <c r="C4" s="6" t="n"/>
      <c r="D4" s="6" t="n"/>
      <c r="E4" s="6" t="n"/>
      <c r="F4" s="6" t="n"/>
      <c r="G4" s="6" t="n"/>
      <c r="H4" s="6" t="n"/>
    </row>
    <row r="5">
      <c r="A5" s="6" t="inlineStr">
        <is>
          <t>Standardised approach</t>
        </is>
      </c>
      <c r="B5" s="6" t="n">
        <v>12796</v>
      </c>
      <c r="C5" s="6" t="n">
        <v>11067</v>
      </c>
      <c r="D5" s="6" t="n">
        <v>10918</v>
      </c>
      <c r="E5" s="6" t="n">
        <v>3990</v>
      </c>
      <c r="F5" s="6" t="n">
        <v>1715</v>
      </c>
      <c r="G5" s="6" t="n">
        <v>1461</v>
      </c>
      <c r="H5" s="6" t="n">
        <v>1376</v>
      </c>
    </row>
    <row r="6">
      <c r="A6" s="6" t="inlineStr">
        <is>
          <t>Foundation IRB approach</t>
        </is>
      </c>
      <c r="B6" s="6" t="n">
        <v>45233</v>
      </c>
      <c r="C6" s="6" t="n">
        <v>45143</v>
      </c>
      <c r="D6" s="6" t="n">
        <v>40034</v>
      </c>
      <c r="E6" s="6" t="n">
        <v>41270</v>
      </c>
      <c r="F6" s="6" t="n">
        <v>41811</v>
      </c>
      <c r="G6" s="6" t="n">
        <v>43389</v>
      </c>
      <c r="H6" s="6" t="n">
        <v>5665</v>
      </c>
    </row>
    <row r="7">
      <c r="A7" s="6" t="inlineStr">
        <is>
          <t>Slotting approach</t>
        </is>
      </c>
      <c r="B7" s="6" t="n">
        <v>6074</v>
      </c>
      <c r="C7" s="6" t="n">
        <v>5012</v>
      </c>
      <c r="D7" s="6" t="n">
        <v>5146</v>
      </c>
      <c r="E7" s="6" t="n">
        <v>5469</v>
      </c>
      <c r="F7" s="6" t="n"/>
      <c r="G7" s="6" t="n"/>
      <c r="H7" s="6" t="n"/>
    </row>
    <row r="8">
      <c r="A8" s="6" t="inlineStr">
        <is>
          <t>Advanced IRB approach</t>
        </is>
      </c>
      <c r="B8" s="6" t="n">
        <v>34602</v>
      </c>
      <c r="C8" s="6" t="n">
        <v>32297</v>
      </c>
      <c r="D8" s="6" t="n">
        <v>30680</v>
      </c>
      <c r="E8" s="6" t="n">
        <v>29361</v>
      </c>
      <c r="F8" s="6" t="n">
        <v>27904</v>
      </c>
      <c r="G8" s="6" t="n">
        <v>28437</v>
      </c>
      <c r="H8" s="6" t="n">
        <v>67179</v>
      </c>
    </row>
    <row r="9">
      <c r="A9" s="5" t="inlineStr">
        <is>
          <t>Credit risk (excluding counterparty credit risk) - total</t>
        </is>
      </c>
      <c r="B9" s="5" t="n">
        <v>98705</v>
      </c>
      <c r="C9" s="5" t="n">
        <v>93519</v>
      </c>
      <c r="D9" s="5" t="n">
        <v>86778</v>
      </c>
      <c r="E9" s="5" t="n">
        <v>80090</v>
      </c>
      <c r="F9" s="5" t="n">
        <v>71430</v>
      </c>
      <c r="G9" s="5" t="n">
        <v>73287</v>
      </c>
      <c r="H9" s="5" t="n">
        <v>74220</v>
      </c>
    </row>
    <row r="10">
      <c r="A10" s="5" t="inlineStr">
        <is>
          <t>Other risk categories</t>
        </is>
      </c>
      <c r="B10" s="6" t="n"/>
      <c r="C10" s="6" t="n"/>
      <c r="D10" s="6" t="n"/>
      <c r="E10" s="6" t="n"/>
      <c r="F10" s="6" t="n"/>
      <c r="G10" s="6" t="n"/>
      <c r="H10" s="6" t="n"/>
    </row>
    <row r="11">
      <c r="A11" s="6" t="inlineStr">
        <is>
          <t>Counterparty credit risk</t>
        </is>
      </c>
      <c r="B11" s="6" t="n">
        <v>255</v>
      </c>
      <c r="C11" s="6" t="n">
        <v>243</v>
      </c>
      <c r="D11" s="6" t="n">
        <v>236</v>
      </c>
      <c r="E11" s="6" t="n">
        <v>204</v>
      </c>
      <c r="F11" s="6" t="n">
        <v>129</v>
      </c>
      <c r="G11" s="6" t="n">
        <v>122</v>
      </c>
      <c r="H11" s="6" t="n">
        <v>198</v>
      </c>
    </row>
    <row r="12">
      <c r="A12" s="6" t="inlineStr">
        <is>
          <t>Securitisation exposures in the non-trading book</t>
        </is>
      </c>
      <c r="B12" s="6" t="n">
        <v>1592</v>
      </c>
      <c r="C12" s="6" t="n">
        <v>899</v>
      </c>
      <c r="D12" s="6" t="n">
        <v>725</v>
      </c>
      <c r="E12" s="6" t="n">
        <v>650</v>
      </c>
      <c r="F12" s="6" t="n">
        <v>859</v>
      </c>
      <c r="G12" s="6" t="n">
        <v>904</v>
      </c>
      <c r="H12" s="6" t="n">
        <v>596</v>
      </c>
    </row>
    <row r="13">
      <c r="A13" s="6" t="inlineStr">
        <is>
          <t>Position, foreign exchange and commodities risks (Market risk)</t>
        </is>
      </c>
      <c r="B13" s="6" t="n">
        <v>97</v>
      </c>
      <c r="C13" s="6" t="n">
        <v>173</v>
      </c>
      <c r="D13" s="6" t="n">
        <v>132</v>
      </c>
      <c r="E13" s="6" t="n">
        <v>101</v>
      </c>
      <c r="F13" s="6" t="n">
        <v>170</v>
      </c>
      <c r="G13" s="6" t="n">
        <v>156</v>
      </c>
      <c r="H13" s="6" t="n">
        <v>27</v>
      </c>
    </row>
    <row r="14">
      <c r="A14" s="6" t="inlineStr">
        <is>
          <t>Operational risk</t>
        </is>
      </c>
      <c r="B14" s="6" t="n">
        <v>16814</v>
      </c>
      <c r="C14" s="6" t="n">
        <v>15589</v>
      </c>
      <c r="D14" s="6" t="n">
        <v>13607</v>
      </c>
      <c r="E14" s="6" t="n">
        <v>11368</v>
      </c>
      <c r="F14" s="6" t="n">
        <v>10607</v>
      </c>
      <c r="G14" s="6" t="n">
        <v>10509</v>
      </c>
      <c r="H14" s="6" t="n">
        <v>10303</v>
      </c>
    </row>
    <row r="15">
      <c r="A15" s="6" t="inlineStr">
        <is>
          <t>Amounts below thresholds for deduction (FY2021 only: additive to Total; FY2022-FY2025: memo, already included within Credit risk above)</t>
        </is>
      </c>
      <c r="B15" s="6" t="n">
        <v>457</v>
      </c>
      <c r="C15" s="6" t="n">
        <v>574</v>
      </c>
      <c r="D15" s="6" t="n">
        <v>652</v>
      </c>
      <c r="E15" s="6" t="n">
        <v>724</v>
      </c>
      <c r="F15" s="6" t="n">
        <v>528</v>
      </c>
      <c r="G15" s="6" t="n">
        <v>499</v>
      </c>
      <c r="H15" s="6" t="n">
        <v>537</v>
      </c>
    </row>
    <row r="16">
      <c r="A16" s="5" t="inlineStr">
        <is>
          <t>Total RWAs</t>
        </is>
      </c>
      <c r="B16" s="5" t="n">
        <v>117463</v>
      </c>
      <c r="C16" s="5" t="n">
        <v>110423</v>
      </c>
      <c r="D16" s="5" t="n">
        <v>101478</v>
      </c>
      <c r="E16" s="5" t="n">
        <v>92413</v>
      </c>
      <c r="F16" s="5" t="n">
        <v>83723</v>
      </c>
      <c r="G16" s="5" t="n">
        <v>85477</v>
      </c>
      <c r="H16" s="5" t="n">
        <v>85881</v>
      </c>
    </row>
    <row r="18" ht="364" customHeight="1">
      <c r="A18" s="8" t="inlineStr">
        <is>
          <t>Sources - HSBC UK Bank plc's own entity-level Pillar 3 Disclosures, Table 'Overview of risk-weighted exposure amounts (OV1)' (Table 12 in the FY2019/FY2020 vintages):
FY2025 &amp; FY2024: Pillar 3 Disclosures at 31 December 2025, p.15 - https://www.hsbc.com/-/files/hsbc/investors/hsbc-results/2025/annual/pdfs/hsbc-uk-bank-plc/260225-pillar-3-disclosures-at-31-december-2025.pdf
FY2023: Pillar 3 Disclosures at 31 December 2023, p.17 - https://www.hsbc.com/-/files/hsbc/investors/hsbc-results/2023/annual/pdfs/hsbc-uk-bank-plc/240221-pillar-3-disclosures-at-31-december-2023.pdf
FY2022: Pillar 3 Disclosures at 31 December 2022, p.16 - https://www.hsbc.com/-/files/hsbc/investors/hsbc-results/2022/annual/pdfs/hsbc-uk-bank-plc/230221-pillar-3-disclosures-at-31-december-2022.pdf
FY2021: Pillar 3 Disclosures at 31 December 2021, p.15 - https://www.hsbc.com/-/files/hsbc/investors/hsbc-results/2021/annual/pdfs/hsbc-uk-bank-plc/220222-pillar-3-disclosures-at-31-december-2021.pdf
FY2020: Pillar 3 Disclosures at 31 December 2020, p.16 (Table 12) - https://web.archive.org/web/20240527084156id_/https://www.hsbc.com/-/files/hsbc/investors/hsbc-results/2020/annual/pdfs/hsbc-uk-bank-plc/210223-pillar-3-disclosures-at-31-december-2020.pdf (retrieved via Wayback Machine, no longer live on hsbc.com)
FY2019: Pillar 3 Disclosures at 31 December 2019, p.14 (Table 12) - https://web.archive.org/web/20221014171921id_/https://www.hsbc.com/-/files/hsbc/investors/hsbc-results/2019/annual/pdfs/hsbc-uk-bank-plc/200218-pillar-3-disclosures-31-december-2019.pdf (retrieved via Wayback Machine, no longer live on hsbc.com)
Template note: FY2021's, FY2020's and FY2019's OV1 tables use an older presentation (no separate 'slotting approach' row - folded within foundation/advanced IRB, no separate SEC-ERBA row, includes a 'Settlement risk' row showing nil throughout, and a 'Floor adjustment' row showing nil throughout, both omitted here since always zero) and, unlike FY2022-FY2025 where 'Amounts below thresholds for deduction' is a memo already embedded within Credit risk row 2, FY2021's/FY2020's/FY2019's own disclosures keep it as a genuinely separate, additive row before the Total - reproduced as disclosed in each year's own format rather than forced onto a single template. FY2019's own foundation-IRB/advanced-IRB split is markedly different from later years' (almost all on advanced IRB, £67,179m vs only £5,665m foundation IRB - the opposite emphasis to FY2021-2025) - reproduced exactly as originally disclosed, not a transcription error. All 7 years' category breakdowns sum exactly to that year's own disclosed Total RWAs figure, cross-checked before finalizing.
ENTITY NOTE: HSBC UK Bank plc (Companies House 09928412, FRN 765112) is the ring-fenced retail/SME banking entity created in 2018 under UK ring-fencing reform - confirmed distinct from HSBC Bank plc (FRN 114216, the legacy non-ring-fenced entity, built separately in WF-012) and HSBC Innovation Bank Limited (FRN 543146, the former Silicon Valley Bank UK, also built in WF-012). All figures below are HSBC UK Bank plc's own entity-level Consolidated statements, sourced directly from HSBC UK Bank plc's own Annual Report and Accounts and Pillar 3 Disclosures on hsbc.com's investor-relations subsidiaries reporting archive.
HISTORICAL FLOOR (HD-019, independently verified - not assumed from GLEIF entity-creation date): HSBC UK Bank plc's legal entity was incorporated 23 December 2015 as a dormant shelf company ('HSBC UK RFB Limited'), but it did not begin real banking operations until the UK ring-fencing transfer on 1 July 2018 (confirmed directly against the entity's own Annual Report and Accounts 2017, which states the company 'made a pre-tax profit of £16,000... representing interest earned on UK treasury gilts' with 'no relevant audit information' and total equity of £15.01m - i.e. a genuine shell, not a trading bank; and against the entity's own Annual Report and Accounts 2018, whose audited financial statements cover only the six months to 31 December 2018, since 'HSBC UK's banking operations commenced on 1 July 2018'). This is the same UK ring-fencing gating event, under the same Financial Services (Banking Reform) Act 2013 regime, found for Barclays Bank UK PLC in HD-001. FY2018 itself is therefore NOT usable as a year column in this workbook: its own audited income statement, statement of comprehensive income, cash flow statement and equity roll-forward all cover only a 6-month stub period (1 July-31 December 2018), not comparable to the full 12-month columns used everywhere else in this workbook. The floor used here is FY2019 - the entity's own first genuine full 12-month audited reporting year - confirmed directly against HSBC UK Bank plc's own Annual Report and Accounts 2019, whose Consolidated income statement is explicitly 'for the year ended 31 December 2019' with the note 'the period from 1 January 2019 to 31 December 2019'. FY2019 and FY2020 Pillar 3 Disclosures documents are no longer live on hsbc.com and were retrieved via Wayback Machine snapshots of their original hsbc.com URLs.</t>
        </is>
      </c>
    </row>
  </sheetData>
  <mergeCells count="1">
    <mergeCell ref="A18:H18"/>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HSBC UK Bank plc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Leverage ratio - FY2022 onward excluding claims on central banks (CRR II end-point basis); FY2019-FY2021 a single pre-template ratio; see note</t>
        </is>
      </c>
      <c r="B4" s="6" t="inlineStr">
        <is>
          <t>5.6%</t>
        </is>
      </c>
      <c r="C4" s="6" t="inlineStr">
        <is>
          <t>5.8%</t>
        </is>
      </c>
      <c r="D4" s="6" t="inlineStr">
        <is>
          <t>6.1%</t>
        </is>
      </c>
      <c r="E4" s="6" t="inlineStr">
        <is>
          <t>5.9%</t>
        </is>
      </c>
      <c r="F4" s="6" t="inlineStr">
        <is>
          <t>4.2%</t>
        </is>
      </c>
      <c r="G4" s="6" t="inlineStr">
        <is>
          <t>4.8%</t>
        </is>
      </c>
      <c r="H4" s="6" t="inlineStr">
        <is>
          <t>5.0%</t>
        </is>
      </c>
    </row>
    <row r="5" ht="39" customHeight="1">
      <c r="A5" s="7" t="inlineStr">
        <is>
          <t>Note: A genuine basis change: FY2022-FY2025 are disclosed 'excluding claims on central banks' under the CRR II end-point basis (the new PRA disclosure template effective 1 January 2022), while FY2021's, FY2020's and FY2019's own reports pre-date that template and disclose a single leverage ratio (total exposure £358,237m/£317,196m/£268,271m respectively) that includes claims on central banks - a narrower/different exposure measure. FY2019-FY2021 are left on their own originally-disclosed basis rather than forced onto the newer definition.</t>
        </is>
      </c>
    </row>
    <row r="7" ht="286" customHeight="1">
      <c r="A7" s="8" t="inlineStr">
        <is>
          <t>Sources - HSBC UK Bank plc's own entity-level Pillar 3 Disclosures, Table 1 'Key metrics (KM1/IFRS9-FL)' (Table 1 titled 'Comparison of own funds, capital and leverage ratios...(IFRS9-FL)' for FY2019), each year's own originally-published figures at 31 December:
FY2025: HSBC UK Bank plc Pillar 3 Disclosures at 31 December 2025, p.5 - https://www.hsbc.com/-/files/hsbc/investors/hsbc-results/2025/annual/pdfs/hsbc-uk-bank-plc/260225-pillar-3-disclosures-at-31-december-2025.pdf
FY2024: HSBC UK Bank plc Pillar 3 Disclosures at 31 December 2024, p.5 - https://www.hsbc.com/-/files/hsbc/investors/hsbc-results/2024/annual/pdfs/hsbc-uk-bank-plc/250219-pillar-3-disclosures-at-31-december-2024.pdf
FY2023: HSBC UK Bank plc Pillar 3 Disclosures at 31 December 2023, p.5 - https://www.hsbc.com/-/files/hsbc/investors/hsbc-results/2023/annual/pdfs/hsbc-uk-bank-plc/240221-pillar-3-disclosures-at-31-december-2023.pdf
FY2022: HSBC UK Bank plc Pillar 3 Disclosures at 31 December 2022, p.5 - https://www.hsbc.com/-/files/hsbc/investors/hsbc-results/2022/annual/pdfs/hsbc-uk-bank-plc/230221-pillar-3-disclosures-at-31-december-2022.pdf
FY2021: HSBC UK Bank plc Pillar 3 Disclosures at 31 December 2021, p.4 - https://www.hsbc.com/-/files/hsbc/investors/hsbc-results/2021/annual/pdfs/hsbc-uk-bank-plc/220222-pillar-3-disclosures-at-31-december-2021.pdf
FY2020: HSBC UK Bank plc Pillar 3 Disclosures at 31 December 2020, p.4 (Table 1: Key metrics (KM1/IFRS9-FL)) - https://web.archive.org/web/20240527084156id_/https://www.hsbc.com/-/files/hsbc/investors/hsbc-results/2020/annual/pdfs/hsbc-uk-bank-plc/210223-pillar-3-disclosures-at-31-december-2020.pdf (retrieved via Wayback Machine, no longer live on hsbc.com)
FY2019: HSBC UK Bank plc Pillar 3 Disclosures at 31 December 2019, p.3 (Table 1: Comparison of own funds, capital and leverage ratios, with and without the application of transitional arrangements for IFRS 9 (IFRS9-FL)) - https://web.archive.org/web/20221014171921id_/https://www.hsbc.com/-/files/hsbc/investors/hsbc-results/2019/annual/pdfs/hsbc-uk-bank-plc/200218-pillar-3-disclosures-31-december-2019.pdf (retrieved via Wayback Machine, no longer live on hsbc.com)
ENTITY NOTE: HSBC UK Bank plc (Companies House 09928412, FRN 765112) is the ring-fenced retail/SME banking entity created in 2018 under UK ring-fencing reform - confirmed distinct from HSBC Bank plc (FRN 114216, the legacy non-ring-fenced entity, built separately in WF-012) and HSBC Innovation Bank Limited (FRN 543146, the former Silicon Valley Bank UK, also built in WF-012). All figures below are HSBC UK Bank plc's own entity-level Consolidated statements, sourced directly from HSBC UK Bank plc's own Annual Report and Accounts and Pillar 3 Disclosures on hsbc.com's investor-relations subsidiaries reporting archive.</t>
        </is>
      </c>
    </row>
    <row r="9" ht="170" customHeight="1">
      <c r="A9" s="8" t="inlineStr">
        <is>
          <t>(continued)
HISTORICAL FLOOR (HD-019, independently verified - not assumed from GLEIF entity-creation date): HSBC UK Bank plc's legal entity was incorporated 23 December 2015 as a dormant shelf company ('HSBC UK RFB Limited'), but it did not begin real banking operations until the UK ring-fencing transfer on 1 July 2018 (confirmed directly against the entity's own Annual Report and Accounts 2017, which states the company 'made a pre-tax profit of £16,000... representing interest earned on UK treasury gilts' with 'no relevant audit information' and total equity of £15.01m - i.e. a genuine shell, not a trading bank; and against the entity's own Annual Report and Accounts 2018, whose audited financial statements cover only the six months to 31 December 2018, since 'HSBC UK's banking operations commenced on 1 July 2018'). This is the same UK ring-fencing gating event, under the same Financial Services (Banking Reform) Act 2013 regime, found for Barclays Bank UK PLC in HD-001. FY2018 itself is therefore NOT usable as a year column in this workbook: its own audited income statement, statement of comprehensive income, cash flow statement and equity roll-forward all cover only a 6-month stub period (1 July-31 December 2018), not comparable to the full 12-month columns used everywhere else in this workbook. The floor used here is FY2019 - the entity's own first genuine full 12-month audited reporting year - confirmed directly against HSBC UK Bank plc's own Annual Report and Accounts 2019, whose Consolidated income statement is explicitly 'for the year ended 31 December 2019' with the note 'the period from 1 January 2019 to 31 December 2019'. FY2019 and FY2020 Pillar 3 Disclosures documents are no longer live on hsbc.com and were retrieved via Wayback Machine snapshots of their original hsbc.com URLs.</t>
        </is>
      </c>
    </row>
  </sheetData>
  <mergeCells count="3">
    <mergeCell ref="A7:H7"/>
    <mergeCell ref="A9:H9"/>
    <mergeCell ref="A5:H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s>
  <sheetData>
    <row r="1">
      <c r="A1" s="1" t="inlineStr">
        <is>
          <t>HSBC UK Bank plc — LCR</t>
        </is>
      </c>
    </row>
    <row r="2">
      <c r="A2" s="2" t="inlineStr">
        <is>
          <t>%, 12-month average</t>
        </is>
      </c>
    </row>
    <row r="3">
      <c r="A3" s="4" t="inlineStr">
        <is>
          <t>Metric</t>
        </is>
      </c>
      <c r="B3" s="4" t="inlineStr">
        <is>
          <t>FY2025</t>
        </is>
      </c>
      <c r="C3" s="4" t="inlineStr">
        <is>
          <t>FY2024</t>
        </is>
      </c>
      <c r="D3" s="4" t="inlineStr">
        <is>
          <t>FY2023</t>
        </is>
      </c>
      <c r="E3" s="4" t="inlineStr">
        <is>
          <t>FY2022</t>
        </is>
      </c>
    </row>
    <row r="4">
      <c r="A4" s="6" t="inlineStr">
        <is>
          <t>Liquidity coverage ratio</t>
        </is>
      </c>
      <c r="B4" s="6" t="inlineStr">
        <is>
          <t>175%</t>
        </is>
      </c>
      <c r="C4" s="6" t="inlineStr">
        <is>
          <t>190%</t>
        </is>
      </c>
      <c r="D4" s="6" t="inlineStr">
        <is>
          <t>201%</t>
        </is>
      </c>
      <c r="E4" s="6" t="inlineStr">
        <is>
          <t>226%</t>
        </is>
      </c>
    </row>
    <row r="5" ht="52" customHeight="1">
      <c r="A5" s="7" t="inlineStr">
        <is>
          <t>Note: Not disclosed for FY2019-FY2021: HSBC UK Bank plc's own FY2019/FY2020/FY2021 Pillar 3 Disclosures pre-date the PRA's entity-level LCR quantitative-disclosure requirement (effective 1 January 2022, per the FY2022 Pillar 3 Disclosures' own footnote) - each of those years' own reports only describes the LCR qualitatively, with no numeric value given. Confirmed genuinely absent, not an access gap. Reported on a 12-month rolling average basis (this project's standard convention).</t>
        </is>
      </c>
    </row>
    <row r="7" ht="325" customHeight="1">
      <c r="A7" s="8" t="inlineStr">
        <is>
          <t>Sources - HSBC UK Bank plc's own entity-level Pillar 3 Disclosures, Table 1 'Key metrics (KM1/IFRS9-FL)' (Table 1 titled 'Comparison of own funds, capital and leverage ratios...(IFRS9-FL)' for FY2019), each year's own originally-published figures at 31 December:
FY2025: HSBC UK Bank plc Pillar 3 Disclosures at 31 December 2025, p.5 - https://www.hsbc.com/-/files/hsbc/investors/hsbc-results/2025/annual/pdfs/hsbc-uk-bank-plc/260225-pillar-3-disclosures-at-31-december-2025.pdf
FY2024: HSBC UK Bank plc Pillar 3 Disclosures at 31 December 2024, p.5 - https://www.hsbc.com/-/files/hsbc/investors/hsbc-results/2024/annual/pdfs/hsbc-uk-bank-plc/250219-pillar-3-disclosures-at-31-december-2024.pdf
FY2023: HSBC UK Bank plc Pillar 3 Disclosures at 31 December 2023, p.5 - https://www.hsbc.com/-/files/hsbc/investors/hsbc-results/2023/annual/pdfs/hsbc-uk-bank-plc/240221-pillar-3-disclosures-at-31-december-2023.pdf
FY2022: HSBC UK Bank plc Pillar 3 Disclosures at 31 December 2022, p.5 - https://www.hsbc.com/-/files/hsbc/investors/hsbc-results/2022/annual/pdfs/hsbc-uk-bank-plc/230221-pillar-3-disclosures-at-31-december-2022.pdf
FY2021: HSBC UK Bank plc Pillar 3 Disclosures at 31 December 2021, p.4 - https://www.hsbc.com/-/files/hsbc/investors/hsbc-results/2021/annual/pdfs/hsbc-uk-bank-plc/220222-pillar-3-disclosures-at-31-december-2021.pdf
FY2020: HSBC UK Bank plc Pillar 3 Disclosures at 31 December 2020, p.4 (Table 1: Key metrics (KM1/IFRS9-FL)) - https://web.archive.org/web/20240527084156id_/https://www.hsbc.com/-/files/hsbc/investors/hsbc-results/2020/annual/pdfs/hsbc-uk-bank-plc/210223-pillar-3-disclosures-at-31-december-2020.pdf (retrieved via Wayback Machine, no longer live on hsbc.com)
FY2019: HSBC UK Bank plc Pillar 3 Disclosures at 31 December 2019, p.3 (Table 1: Comparison of own funds, capital and leverage ratios, with and without the application of transitional arrangements for IFRS 9 (IFRS9-FL)) - https://web.archive.org/web/20221014171921id_/https://www.hsbc.com/-/files/hsbc/investors/hsbc-results/2019/annual/pdfs/hsbc-uk-bank-plc/200218-pillar-3-disclosures-31-december-2019.pdf (retrieved via Wayback Machine, no longer live on hsbc.com)
ENTITY NOTE: HSBC UK Bank plc (Companies House 09928412, FRN 765112) is the ring-fenced retail/SME banking entity created in 2018 under UK ring-fencing reform - confirmed distinct from HSBC Bank plc (FRN 114216, the legacy non-ring-fenced entity, built separately in WF-012) and HSBC Innovation Bank Limited (FRN 543146, the former Silicon Valley Bank UK, also built in WF-012). All figures below are HSBC UK Bank plc's own entity-level Consolidated statements, sourced directly from HSBC UK Bank plc's own Annual Report and Accounts and Pillar 3 Disclosures on hsbc.com's investor-relations subsidiaries reporting archive.</t>
        </is>
      </c>
    </row>
    <row r="9" ht="182" customHeight="1">
      <c r="A9" s="8" t="inlineStr">
        <is>
          <t>(continued)
HISTORICAL FLOOR (HD-019, independently verified - not assumed from GLEIF entity-creation date): HSBC UK Bank plc's legal entity was incorporated 23 December 2015 as a dormant shelf company ('HSBC UK RFB Limited'), but it did not begin real banking operations until the UK ring-fencing transfer on 1 July 2018 (confirmed directly against the entity's own Annual Report and Accounts 2017, which states the company 'made a pre-tax profit of £16,000... representing interest earned on UK treasury gilts' with 'no relevant audit information' and total equity of £15.01m - i.e. a genuine shell, not a trading bank; and against the entity's own Annual Report and Accounts 2018, whose audited financial statements cover only the six months to 31 December 2018, since 'HSBC UK's banking operations commenced on 1 July 2018'). This is the same UK ring-fencing gating event, under the same Financial Services (Banking Reform) Act 2013 regime, found for Barclays Bank UK PLC in HD-001. FY2018 itself is therefore NOT usable as a year column in this workbook: its own audited income statement, statement of comprehensive income, cash flow statement and equity roll-forward all cover only a 6-month stub period (1 July-31 December 2018), not comparable to the full 12-month columns used everywhere else in this workbook. The floor used here is FY2019 - the entity's own first genuine full 12-month audited reporting year - confirmed directly against HSBC UK Bank plc's own Annual Report and Accounts 2019, whose Consolidated income statement is explicitly 'for the year ended 31 December 2019' with the note 'the period from 1 January 2019 to 31 December 2019'. FY2019 and FY2020 Pillar 3 Disclosures documents are no longer live on hsbc.com and were retrieved via Wayback Machine snapshots of their original hsbc.com URLs.</t>
        </is>
      </c>
    </row>
  </sheetData>
  <mergeCells count="3">
    <mergeCell ref="A5:E5"/>
    <mergeCell ref="A9:E9"/>
    <mergeCell ref="A7:E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s>
  <sheetData>
    <row r="1">
      <c r="A1" s="1" t="inlineStr">
        <is>
          <t>HSBC UK Bank plc — NSFR</t>
        </is>
      </c>
    </row>
    <row r="2">
      <c r="A2" s="2" t="inlineStr">
        <is>
          <t>%, average of preceding 4 quarters</t>
        </is>
      </c>
    </row>
    <row r="3">
      <c r="A3" s="4" t="inlineStr">
        <is>
          <t>Metric</t>
        </is>
      </c>
      <c r="B3" s="4" t="inlineStr">
        <is>
          <t>FY2025</t>
        </is>
      </c>
      <c r="C3" s="4" t="inlineStr">
        <is>
          <t>FY2024</t>
        </is>
      </c>
      <c r="D3" s="4" t="inlineStr">
        <is>
          <t>FY2023</t>
        </is>
      </c>
      <c r="E3" s="4" t="inlineStr">
        <is>
          <t>FY2022</t>
        </is>
      </c>
    </row>
    <row r="4">
      <c r="A4" s="6" t="inlineStr">
        <is>
          <t>Net stable funding ratio</t>
        </is>
      </c>
      <c r="B4" s="6" t="inlineStr">
        <is>
          <t>146%</t>
        </is>
      </c>
      <c r="C4" s="6" t="inlineStr">
        <is>
          <t>154%</t>
        </is>
      </c>
      <c r="D4" s="6" t="inlineStr">
        <is>
          <t>158%</t>
        </is>
      </c>
      <c r="E4" s="6" t="inlineStr">
        <is>
          <t>164%</t>
        </is>
      </c>
    </row>
    <row r="5" ht="30" customHeight="1">
      <c r="A5" s="7" t="inlineStr">
        <is>
          <t>Note: Not disclosed for FY2019-FY2021 - same reason as the LCR sheet (pre-dates the PRA's entity-level NSFR quantitative-disclosure requirement, effective 1 January 2022).</t>
        </is>
      </c>
    </row>
    <row r="7" ht="325" customHeight="1">
      <c r="A7" s="8" t="inlineStr">
        <is>
          <t>Sources - HSBC UK Bank plc's own entity-level Pillar 3 Disclosures, Table 1 'Key metrics (KM1/IFRS9-FL)' (Table 1 titled 'Comparison of own funds, capital and leverage ratios...(IFRS9-FL)' for FY2019), each year's own originally-published figures at 31 December:
FY2025: HSBC UK Bank plc Pillar 3 Disclosures at 31 December 2025, p.5 - https://www.hsbc.com/-/files/hsbc/investors/hsbc-results/2025/annual/pdfs/hsbc-uk-bank-plc/260225-pillar-3-disclosures-at-31-december-2025.pdf
FY2024: HSBC UK Bank plc Pillar 3 Disclosures at 31 December 2024, p.5 - https://www.hsbc.com/-/files/hsbc/investors/hsbc-results/2024/annual/pdfs/hsbc-uk-bank-plc/250219-pillar-3-disclosures-at-31-december-2024.pdf
FY2023: HSBC UK Bank plc Pillar 3 Disclosures at 31 December 2023, p.5 - https://www.hsbc.com/-/files/hsbc/investors/hsbc-results/2023/annual/pdfs/hsbc-uk-bank-plc/240221-pillar-3-disclosures-at-31-december-2023.pdf
FY2022: HSBC UK Bank plc Pillar 3 Disclosures at 31 December 2022, p.5 - https://www.hsbc.com/-/files/hsbc/investors/hsbc-results/2022/annual/pdfs/hsbc-uk-bank-plc/230221-pillar-3-disclosures-at-31-december-2022.pdf
FY2021: HSBC UK Bank plc Pillar 3 Disclosures at 31 December 2021, p.4 - https://www.hsbc.com/-/files/hsbc/investors/hsbc-results/2021/annual/pdfs/hsbc-uk-bank-plc/220222-pillar-3-disclosures-at-31-december-2021.pdf
FY2020: HSBC UK Bank plc Pillar 3 Disclosures at 31 December 2020, p.4 (Table 1: Key metrics (KM1/IFRS9-FL)) - https://web.archive.org/web/20240527084156id_/https://www.hsbc.com/-/files/hsbc/investors/hsbc-results/2020/annual/pdfs/hsbc-uk-bank-plc/210223-pillar-3-disclosures-at-31-december-2020.pdf (retrieved via Wayback Machine, no longer live on hsbc.com)
FY2019: HSBC UK Bank plc Pillar 3 Disclosures at 31 December 2019, p.3 (Table 1: Comparison of own funds, capital and leverage ratios, with and without the application of transitional arrangements for IFRS 9 (IFRS9-FL)) - https://web.archive.org/web/20221014171921id_/https://www.hsbc.com/-/files/hsbc/investors/hsbc-results/2019/annual/pdfs/hsbc-uk-bank-plc/200218-pillar-3-disclosures-31-december-2019.pdf (retrieved via Wayback Machine, no longer live on hsbc.com)
ENTITY NOTE: HSBC UK Bank plc (Companies House 09928412, FRN 765112) is the ring-fenced retail/SME banking entity created in 2018 under UK ring-fencing reform - confirmed distinct from HSBC Bank plc (FRN 114216, the legacy non-ring-fenced entity, built separately in WF-012) and HSBC Innovation Bank Limited (FRN 543146, the former Silicon Valley Bank UK, also built in WF-012). All figures below are HSBC UK Bank plc's own entity-level Consolidated statements, sourced directly from HSBC UK Bank plc's own Annual Report and Accounts and Pillar 3 Disclosures on hsbc.com's investor-relations subsidiaries reporting archive.</t>
        </is>
      </c>
    </row>
    <row r="9" ht="182" customHeight="1">
      <c r="A9" s="8" t="inlineStr">
        <is>
          <t>(continued)
HISTORICAL FLOOR (HD-019, independently verified - not assumed from GLEIF entity-creation date): HSBC UK Bank plc's legal entity was incorporated 23 December 2015 as a dormant shelf company ('HSBC UK RFB Limited'), but it did not begin real banking operations until the UK ring-fencing transfer on 1 July 2018 (confirmed directly against the entity's own Annual Report and Accounts 2017, which states the company 'made a pre-tax profit of £16,000... representing interest earned on UK treasury gilts' with 'no relevant audit information' and total equity of £15.01m - i.e. a genuine shell, not a trading bank; and against the entity's own Annual Report and Accounts 2018, whose audited financial statements cover only the six months to 31 December 2018, since 'HSBC UK's banking operations commenced on 1 July 2018'). This is the same UK ring-fencing gating event, under the same Financial Services (Banking Reform) Act 2013 regime, found for Barclays Bank UK PLC in HD-001. FY2018 itself is therefore NOT usable as a year column in this workbook: its own audited income statement, statement of comprehensive income, cash flow statement and equity roll-forward all cover only a 6-month stub period (1 July-31 December 2018), not comparable to the full 12-month columns used everywhere else in this workbook. The floor used here is FY2019 - the entity's own first genuine full 12-month audited reporting year - confirmed directly against HSBC UK Bank plc's own Annual Report and Accounts 2019, whose Consolidated income statement is explicitly 'for the year ended 31 December 2019' with the note 'the period from 1 January 2019 to 31 December 2019'. FY2019 and FY2020 Pillar 3 Disclosures documents are no longer live on hsbc.com and were retrieved via Wayback Machine snapshots of their original hsbc.com URLs.</t>
        </is>
      </c>
    </row>
  </sheetData>
  <mergeCells count="3">
    <mergeCell ref="A5:E5"/>
    <mergeCell ref="A9:E9"/>
    <mergeCell ref="A7:E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HSBC UK Bank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MREL Ratio</t>
        </is>
      </c>
      <c r="B4" s="6" t="inlineStr">
        <is>
          <t>Not applicable – FY2025 Pillar 3 disclosure index (PDF p.70): Art. 437a own funds and eligible liabilities disclosures 'not applicable to HSBC UK'</t>
        </is>
      </c>
      <c r="C4" s="6" t="inlineStr">
        <is>
          <t>Not applicable – FY2024 Pillar 3 disclosure index (PDF p.72): Art. 437a own funds and eligible liabilities disclosures 'not applicable to HSBC UK'</t>
        </is>
      </c>
      <c r="D4" s="6" t="inlineStr">
        <is>
          <t>Not applicable – FY2023 Pillar 3 disclosure index (PDF p.72): Art. 437a own funds and eligible liabilities disclosures 'not applicable to HSBC UK'</t>
        </is>
      </c>
      <c r="E4" s="6" t="inlineStr">
        <is>
          <t>Not published – FY2022 Pillar 3 and Annual Report read 2026-09-19: AR lists MREL-eligible loans from HSBC Holdings but no MREL ratio or requirement; no KM2/TLAC table</t>
        </is>
      </c>
      <c r="F4" s="6" t="inlineStr">
        <is>
          <t>Not published – FY2021 Pillar 3 and Annual Report read 2026-09-19: AR lists MREL-eligible loans from HSBC Holdings but no MREL ratio or requirement; no KM2/TLAC table</t>
        </is>
      </c>
      <c r="G4" s="6" t="inlineStr">
        <is>
          <t>Not published – FY2020 Pillar 3 and Annual Report read 2026-09-19: AR lists MREL-eligible loans from HSBC Holdings but no MREL ratio or requirement; no KM2/TLAC table</t>
        </is>
      </c>
      <c r="H4" s="6" t="inlineStr">
        <is>
          <t>Not published – FY2019 Pillar 3 and Annual Report read 2026-09-19: AR lists MREL-eligible loans from HSBC Holdings but no MREL ratio or requirement; no KM2/TLAC table</t>
        </is>
      </c>
    </row>
    <row r="5" ht="78" customHeight="1">
      <c r="A5" s="7" t="inlineStr">
        <is>
          <t>Note: No MREL figure or mention appears anywhere in any of HSBC UK Bank plc's own Pillar 3 Disclosures FY2019-FY2025 - HSBC UK Bank plc is not itself a resolution entity under the Bank of England's Single Point of Entry resolution strategy for the HSBC group (that role sits with HSBC Holdings plc at the top of the group), so no entity-level MREL requirement or ratio applies here - the same pattern as HSBC Bank plc's relationship to the wider group (see that workbook). GA-020 correction (2026-09-19): 'no MREL mention anywhere' overstated it. The FY2019/FY2020 Pillar 3 regulatory-developments text names MREL, and every Annual Report FY2019-FY2025 lists 'MREL eligible Subordinated Loans' from HSBC Holdings in its subordinated-liabilities note (FY2019 AR: '£6.5bn of eligible debt issued to meet our MREL'). No MREL ratio, requirement or eligible-liabilities total is printed in any of those documents. The FY2023-FY2025 Pillar 3 disclosure indices (PDF p.72/72/70) state that Art. 437a own funds and eligible liabilities disclosures are 'not applicable to HSBC UK'.</t>
        </is>
      </c>
    </row>
    <row r="7" ht="286" customHeight="1">
      <c r="A7" s="8" t="inlineStr">
        <is>
          <t>Sources - HSBC UK Bank plc's own entity-level Pillar 3 Disclosures, Table 1 'Key metrics (KM1/IFRS9-FL)' (Table 1 titled 'Comparison of own funds, capital and leverage ratios...(IFRS9-FL)' for FY2019), each year's own originally-published figures at 31 December:
FY2025: HSBC UK Bank plc Pillar 3 Disclosures at 31 December 2025, p.5 - https://www.hsbc.com/-/files/hsbc/investors/hsbc-results/2025/annual/pdfs/hsbc-uk-bank-plc/260225-pillar-3-disclosures-at-31-december-2025.pdf
FY2024: HSBC UK Bank plc Pillar 3 Disclosures at 31 December 2024, p.5 - https://www.hsbc.com/-/files/hsbc/investors/hsbc-results/2024/annual/pdfs/hsbc-uk-bank-plc/250219-pillar-3-disclosures-at-31-december-2024.pdf
FY2023: HSBC UK Bank plc Pillar 3 Disclosures at 31 December 2023, p.5 - https://www.hsbc.com/-/files/hsbc/investors/hsbc-results/2023/annual/pdfs/hsbc-uk-bank-plc/240221-pillar-3-disclosures-at-31-december-2023.pdf
FY2022: HSBC UK Bank plc Pillar 3 Disclosures at 31 December 2022, p.5 - https://www.hsbc.com/-/files/hsbc/investors/hsbc-results/2022/annual/pdfs/hsbc-uk-bank-plc/230221-pillar-3-disclosures-at-31-december-2022.pdf
FY2021: HSBC UK Bank plc Pillar 3 Disclosures at 31 December 2021, p.4 - https://www.hsbc.com/-/files/hsbc/investors/hsbc-results/2021/annual/pdfs/hsbc-uk-bank-plc/220222-pillar-3-disclosures-at-31-december-2021.pdf
FY2020: HSBC UK Bank plc Pillar 3 Disclosures at 31 December 2020, p.4 (Table 1: Key metrics (KM1/IFRS9-FL)) - https://web.archive.org/web/20240527084156id_/https://www.hsbc.com/-/files/hsbc/investors/hsbc-results/2020/annual/pdfs/hsbc-uk-bank-plc/210223-pillar-3-disclosures-at-31-december-2020.pdf (retrieved via Wayback Machine, no longer live on hsbc.com)
FY2019: HSBC UK Bank plc Pillar 3 Disclosures at 31 December 2019, p.3 (Table 1: Comparison of own funds, capital and leverage ratios, with and without the application of transitional arrangements for IFRS 9 (IFRS9-FL)) - https://web.archive.org/web/20221014171921id_/https://www.hsbc.com/-/files/hsbc/investors/hsbc-results/2019/annual/pdfs/hsbc-uk-bank-plc/200218-pillar-3-disclosures-31-december-2019.pdf (retrieved via Wayback Machine, no longer live on hsbc.com)
ENTITY NOTE: HSBC UK Bank plc (Companies House 09928412, FRN 765112) is the ring-fenced retail/SME banking entity created in 2018 under UK ring-fencing reform - confirmed distinct from HSBC Bank plc (FRN 114216, the legacy non-ring-fenced entity, built separately in WF-012) and HSBC Innovation Bank Limited (FRN 543146, the former Silicon Valley Bank UK, also built in WF-012). All figures below are HSBC UK Bank plc's own entity-level Consolidated statements, sourced directly from HSBC UK Bank plc's own Annual Report and Accounts and Pillar 3 Disclosures on hsbc.com's investor-relations subsidiaries reporting archive.</t>
        </is>
      </c>
    </row>
    <row r="9" ht="150" customHeight="1">
      <c r="A9" s="8" t="inlineStr">
        <is>
          <t>(continued)
HISTORICAL FLOOR (HD-019, independently verified - not assumed from GLEIF entity-creation date): HSBC UK Bank plc's legal entity was incorporated 23 December 2015 as a dormant shelf company ('HSBC UK RFB Limited'), but it did not begin real banking operations until the UK ring-fencing transfer on 1 July 2018 (confirmed directly against the entity's own Annual Report and Accounts 2017, which states the company 'made a pre-tax profit of £16,000... representing interest earned on UK treasury gilts' with 'no relevant audit information' and total equity of £15.01m - i.e. a genuine shell, not a trading bank; and against the entity's own Annual Report and Accounts 2018, whose audited financial statements cover only the six months to 31 December 2018, since 'HSBC UK's banking operations commenced on 1 July 2018'). This is the same UK ring-fencing gating event, under the same Financial Services (Banking Reform) Act 2013 regime, found for Barclays Bank UK PLC in HD-001. FY2018 itself is therefore NOT usable as a year column in this workbook: its own audited income statement, statement of comprehensive income, cash flow statement and equity roll-forward all cover only a 6-month stub period (1 July-31 December 2018), not comparable to the full 12-month columns used everywhere else in this workbook. The floor used here is FY2019 - the entity's own first genuine full 12-month audited reporting year - confirmed directly against HSBC UK Bank plc's own Annual Report and Accounts 2019, whose Consolidated income statement is explicitly 'for the year ended 31 December 2019' with the note 'the period from 1 January 2019 to 31 December 2019'. FY2019 and FY2020 Pillar 3 Disclosures documents are no longer live on hsbc.com and were retrieved via Wayback Machine snapshots of their original hsbc.com URLs.</t>
        </is>
      </c>
    </row>
  </sheetData>
  <mergeCells count="3">
    <mergeCell ref="A7:H7"/>
    <mergeCell ref="A9:H9"/>
    <mergeCell ref="A5:H5"/>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35"/>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2" customWidth="1" min="1" max="1"/>
    <col width="18" customWidth="1" min="2" max="2"/>
    <col width="34"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c r="A1" s="1" t="inlineStr">
        <is>
          <t>HSBC UK Bank plc — Interim Pillar 3</t>
        </is>
      </c>
    </row>
    <row r="2">
      <c r="A2" s="2" t="inlineStr">
        <is>
          <t>Additional entity-level Q1/H1/Q3 observations, 30 June 2021 to 30 June 2026; annual values remain on the standard metric sheets.</t>
        </is>
      </c>
    </row>
    <row r="3"/>
    <row r="4">
      <c r="A4" s="4" t="inlineStr">
        <is>
          <t>Metric</t>
        </is>
      </c>
      <c r="B4" s="4" t="inlineStr">
        <is>
          <t>Unit</t>
        </is>
      </c>
      <c r="C4" s="4" t="inlineStr">
        <is>
          <t>Basis</t>
        </is>
      </c>
      <c r="D4" s="4" t="inlineStr">
        <is>
          <t>2026 H1</t>
        </is>
      </c>
      <c r="E4" s="4" t="inlineStr">
        <is>
          <t>2026 Q1</t>
        </is>
      </c>
      <c r="F4" s="4" t="inlineStr">
        <is>
          <t>2025 Q3</t>
        </is>
      </c>
      <c r="G4" s="4" t="inlineStr">
        <is>
          <t>2025 H1</t>
        </is>
      </c>
      <c r="H4" s="4" t="inlineStr">
        <is>
          <t>2025 Q1</t>
        </is>
      </c>
      <c r="I4" s="4" t="inlineStr">
        <is>
          <t>2024 Q3</t>
        </is>
      </c>
      <c r="J4" s="4" t="inlineStr">
        <is>
          <t>2024 H1</t>
        </is>
      </c>
      <c r="K4" s="4" t="inlineStr">
        <is>
          <t>2024 Q1</t>
        </is>
      </c>
      <c r="L4" s="4" t="inlineStr">
        <is>
          <t>2023 Q3</t>
        </is>
      </c>
      <c r="M4" s="4" t="inlineStr">
        <is>
          <t>2023 H1</t>
        </is>
      </c>
      <c r="N4" s="4" t="inlineStr">
        <is>
          <t>2023 Q1</t>
        </is>
      </c>
      <c r="O4" s="4" t="inlineStr">
        <is>
          <t>2022 Q3</t>
        </is>
      </c>
      <c r="P4" s="4" t="inlineStr">
        <is>
          <t>2022 H1</t>
        </is>
      </c>
      <c r="Q4" s="4" t="inlineStr">
        <is>
          <t>2022 Q1</t>
        </is>
      </c>
      <c r="R4" s="4" t="inlineStr">
        <is>
          <t>2021 H1</t>
        </is>
      </c>
    </row>
    <row r="5">
      <c r="A5" s="6" t="inlineStr">
        <is>
          <t>CET1 Capital</t>
        </is>
      </c>
      <c r="B5" s="6" t="inlineStr">
        <is>
          <t>£m</t>
        </is>
      </c>
      <c r="C5" s="6" t="inlineStr">
        <is>
          <t>HSBC UK Bank plc consolidated entity-level</t>
        </is>
      </c>
      <c r="D5" s="9" t="n">
        <v>16395</v>
      </c>
      <c r="E5" s="9" t="n">
        <v>16054</v>
      </c>
      <c r="F5" s="9" t="n">
        <v>15626</v>
      </c>
      <c r="G5" s="9" t="n">
        <v>15255</v>
      </c>
      <c r="H5" s="9" t="n">
        <v>15211</v>
      </c>
      <c r="I5" s="9" t="n">
        <v>14966</v>
      </c>
      <c r="J5" s="9" t="n">
        <v>14550</v>
      </c>
      <c r="K5" s="9" t="n">
        <v>14611</v>
      </c>
      <c r="L5" s="9" t="n">
        <v>14818</v>
      </c>
      <c r="M5" s="9" t="n">
        <v>14382</v>
      </c>
      <c r="N5" s="9" t="n">
        <v>14317</v>
      </c>
      <c r="O5" s="9" t="n">
        <v>12338</v>
      </c>
      <c r="P5" s="9" t="n">
        <v>12346</v>
      </c>
      <c r="Q5" s="9" t="n">
        <v>12244</v>
      </c>
      <c r="R5" s="9" t="n">
        <v>13219</v>
      </c>
    </row>
    <row r="6">
      <c r="A6" s="6" t="inlineStr">
        <is>
          <t>Tier 1 Capital</t>
        </is>
      </c>
      <c r="B6" s="6" t="inlineStr">
        <is>
          <t>£m</t>
        </is>
      </c>
      <c r="C6" s="6" t="inlineStr">
        <is>
          <t>HSBC UK Bank plc consolidated entity-level</t>
        </is>
      </c>
      <c r="D6" s="9" t="n">
        <v>19343</v>
      </c>
      <c r="E6" s="9" t="n">
        <v>18761</v>
      </c>
      <c r="F6" s="9" t="n">
        <v>18334</v>
      </c>
      <c r="G6" s="9" t="n">
        <v>17963</v>
      </c>
      <c r="H6" s="9" t="n">
        <v>17423</v>
      </c>
      <c r="I6" s="9" t="n">
        <v>17220</v>
      </c>
      <c r="J6" s="9" t="n">
        <v>16802</v>
      </c>
      <c r="K6" s="9" t="n">
        <v>16864</v>
      </c>
      <c r="L6" s="9" t="n">
        <v>17072</v>
      </c>
      <c r="M6" s="9" t="n">
        <v>16632</v>
      </c>
      <c r="N6" s="9" t="n">
        <v>16567</v>
      </c>
      <c r="O6" s="9" t="n">
        <v>14586</v>
      </c>
      <c r="P6" s="9" t="n">
        <v>14599</v>
      </c>
      <c r="Q6" s="9" t="n">
        <v>14490</v>
      </c>
      <c r="R6" s="9" t="n">
        <v>15467</v>
      </c>
    </row>
    <row r="7">
      <c r="A7" s="6" t="inlineStr">
        <is>
          <t>Total Capital</t>
        </is>
      </c>
      <c r="B7" s="6" t="inlineStr">
        <is>
          <t>£m</t>
        </is>
      </c>
      <c r="C7" s="6" t="inlineStr">
        <is>
          <t>HSBC UK Bank plc consolidated entity-level</t>
        </is>
      </c>
      <c r="D7" s="9" t="n">
        <v>23284</v>
      </c>
      <c r="E7" s="9" t="n">
        <v>22717</v>
      </c>
      <c r="F7" s="9" t="n">
        <v>21978</v>
      </c>
      <c r="G7" s="9" t="n">
        <v>21632</v>
      </c>
      <c r="H7" s="9" t="n">
        <v>20598</v>
      </c>
      <c r="I7" s="9" t="n">
        <v>20375</v>
      </c>
      <c r="J7" s="9" t="n">
        <v>19990</v>
      </c>
      <c r="K7" s="9" t="n">
        <v>20053</v>
      </c>
      <c r="L7" s="9" t="n">
        <v>20140</v>
      </c>
      <c r="M7" s="9" t="n">
        <v>19671</v>
      </c>
      <c r="N7" s="9" t="n">
        <v>19625</v>
      </c>
      <c r="O7" s="9" t="n">
        <v>17721</v>
      </c>
      <c r="P7" s="9" t="n">
        <v>17668</v>
      </c>
      <c r="Q7" s="9" t="n">
        <v>17509</v>
      </c>
      <c r="R7" s="9" t="n">
        <v>18454</v>
      </c>
    </row>
    <row r="8">
      <c r="A8" s="6" t="inlineStr">
        <is>
          <t>Total RWAs</t>
        </is>
      </c>
      <c r="B8" s="6" t="inlineStr">
        <is>
          <t>£m</t>
        </is>
      </c>
      <c r="C8" s="6" t="inlineStr">
        <is>
          <t>HSBC UK Bank plc consolidated entity-level</t>
        </is>
      </c>
      <c r="D8" s="9" t="n">
        <v>124338</v>
      </c>
      <c r="E8" s="9" t="n">
        <v>120226</v>
      </c>
      <c r="F8" s="9" t="n">
        <v>117852</v>
      </c>
      <c r="G8" s="9" t="n">
        <v>115402</v>
      </c>
      <c r="H8" s="9" t="n">
        <v>112221</v>
      </c>
      <c r="I8" s="9" t="n">
        <v>105494</v>
      </c>
      <c r="J8" s="9" t="n">
        <v>104352</v>
      </c>
      <c r="K8" s="9" t="n">
        <v>102218</v>
      </c>
      <c r="L8" s="9" t="n">
        <v>100563</v>
      </c>
      <c r="M8" s="9" t="n">
        <v>99098</v>
      </c>
      <c r="N8" s="9" t="n">
        <v>99930</v>
      </c>
      <c r="O8" s="9" t="n">
        <v>91917</v>
      </c>
      <c r="P8" s="9" t="n">
        <v>90209</v>
      </c>
      <c r="Q8" s="9" t="n">
        <v>89803</v>
      </c>
      <c r="R8" s="9" t="n">
        <v>84555</v>
      </c>
    </row>
    <row r="9">
      <c r="A9" s="6" t="inlineStr">
        <is>
          <t>CET1 Ratio</t>
        </is>
      </c>
      <c r="B9" s="6" t="inlineStr">
        <is>
          <t>%</t>
        </is>
      </c>
      <c r="C9" s="6" t="inlineStr">
        <is>
          <t>HSBC UK Bank plc consolidated entity-level</t>
        </is>
      </c>
      <c r="D9" s="9" t="inlineStr">
        <is>
          <t>13.2%</t>
        </is>
      </c>
      <c r="E9" s="9" t="inlineStr">
        <is>
          <t>13.4%</t>
        </is>
      </c>
      <c r="F9" s="9" t="inlineStr">
        <is>
          <t>13.3%</t>
        </is>
      </c>
      <c r="G9" s="9" t="inlineStr">
        <is>
          <t>13.2%</t>
        </is>
      </c>
      <c r="H9" s="9" t="inlineStr">
        <is>
          <t>13.6%</t>
        </is>
      </c>
      <c r="I9" s="9" t="inlineStr">
        <is>
          <t>14.2%</t>
        </is>
      </c>
      <c r="J9" s="9" t="inlineStr">
        <is>
          <t>13.9%</t>
        </is>
      </c>
      <c r="K9" s="9" t="inlineStr">
        <is>
          <t>14.3%</t>
        </is>
      </c>
      <c r="L9" s="9" t="inlineStr">
        <is>
          <t>14.7%</t>
        </is>
      </c>
      <c r="M9" s="9" t="inlineStr">
        <is>
          <t>14.5%</t>
        </is>
      </c>
      <c r="N9" s="9" t="inlineStr">
        <is>
          <t>14.3%</t>
        </is>
      </c>
      <c r="O9" s="9" t="inlineStr">
        <is>
          <t>13.4%</t>
        </is>
      </c>
      <c r="P9" s="9" t="inlineStr">
        <is>
          <t>13.7%</t>
        </is>
      </c>
      <c r="Q9" s="9" t="inlineStr">
        <is>
          <t>13.6%</t>
        </is>
      </c>
      <c r="R9" s="9" t="inlineStr">
        <is>
          <t>15.6%</t>
        </is>
      </c>
    </row>
    <row r="10">
      <c r="A10" s="6" t="inlineStr">
        <is>
          <t>Tier 1 Ratio</t>
        </is>
      </c>
      <c r="B10" s="6" t="inlineStr">
        <is>
          <t>%</t>
        </is>
      </c>
      <c r="C10" s="6" t="inlineStr">
        <is>
          <t>HSBC UK Bank plc consolidated entity-level</t>
        </is>
      </c>
      <c r="D10" s="9" t="inlineStr">
        <is>
          <t>15.6%</t>
        </is>
      </c>
      <c r="E10" s="9" t="inlineStr">
        <is>
          <t>15.6%</t>
        </is>
      </c>
      <c r="F10" s="9" t="inlineStr">
        <is>
          <t>15.6%</t>
        </is>
      </c>
      <c r="G10" s="9" t="inlineStr">
        <is>
          <t>15.6%</t>
        </is>
      </c>
      <c r="H10" s="9" t="inlineStr">
        <is>
          <t>15.5%</t>
        </is>
      </c>
      <c r="I10" s="9" t="inlineStr">
        <is>
          <t>16.3%</t>
        </is>
      </c>
      <c r="J10" s="9" t="inlineStr">
        <is>
          <t>16.1%</t>
        </is>
      </c>
      <c r="K10" s="9" t="inlineStr">
        <is>
          <t>16.5%</t>
        </is>
      </c>
      <c r="L10" s="9" t="inlineStr">
        <is>
          <t>17.0%</t>
        </is>
      </c>
      <c r="M10" s="9" t="inlineStr">
        <is>
          <t>16.8%</t>
        </is>
      </c>
      <c r="N10" s="9" t="inlineStr">
        <is>
          <t>16.6%</t>
        </is>
      </c>
      <c r="O10" s="9" t="inlineStr">
        <is>
          <t>15.9%</t>
        </is>
      </c>
      <c r="P10" s="9" t="inlineStr">
        <is>
          <t>16.2%</t>
        </is>
      </c>
      <c r="Q10" s="9" t="inlineStr">
        <is>
          <t>16.1%</t>
        </is>
      </c>
      <c r="R10" s="9" t="inlineStr">
        <is>
          <t>18.3%</t>
        </is>
      </c>
    </row>
    <row r="11">
      <c r="A11" s="6" t="inlineStr">
        <is>
          <t>Total Capital Ratio</t>
        </is>
      </c>
      <c r="B11" s="6" t="inlineStr">
        <is>
          <t>%</t>
        </is>
      </c>
      <c r="C11" s="6" t="inlineStr">
        <is>
          <t>HSBC UK Bank plc consolidated entity-level</t>
        </is>
      </c>
      <c r="D11" s="9" t="inlineStr">
        <is>
          <t>18.7%</t>
        </is>
      </c>
      <c r="E11" s="9" t="inlineStr">
        <is>
          <t>18.9%</t>
        </is>
      </c>
      <c r="F11" s="9" t="inlineStr">
        <is>
          <t>18.6%</t>
        </is>
      </c>
      <c r="G11" s="9" t="inlineStr">
        <is>
          <t>18.7%</t>
        </is>
      </c>
      <c r="H11" s="9" t="inlineStr">
        <is>
          <t>18.4%</t>
        </is>
      </c>
      <c r="I11" s="9" t="inlineStr">
        <is>
          <t>19.3%</t>
        </is>
      </c>
      <c r="J11" s="9" t="inlineStr">
        <is>
          <t>19.2%</t>
        </is>
      </c>
      <c r="K11" s="9" t="inlineStr">
        <is>
          <t>19.6%</t>
        </is>
      </c>
      <c r="L11" s="9" t="inlineStr">
        <is>
          <t>20.0%</t>
        </is>
      </c>
      <c r="M11" s="9" t="inlineStr">
        <is>
          <t>19.9%</t>
        </is>
      </c>
      <c r="N11" s="9" t="inlineStr">
        <is>
          <t>19.6%</t>
        </is>
      </c>
      <c r="O11" s="9" t="inlineStr">
        <is>
          <t>19.3%</t>
        </is>
      </c>
      <c r="P11" s="9" t="inlineStr">
        <is>
          <t>19.6%</t>
        </is>
      </c>
      <c r="Q11" s="9" t="inlineStr">
        <is>
          <t>19.5%</t>
        </is>
      </c>
      <c r="R11" s="9" t="inlineStr">
        <is>
          <t>21.8%</t>
        </is>
      </c>
    </row>
    <row r="12">
      <c r="A12" s="6" t="inlineStr">
        <is>
          <t>Leverage Ratio</t>
        </is>
      </c>
      <c r="B12" s="6" t="inlineStr">
        <is>
          <t>%</t>
        </is>
      </c>
      <c r="C12" s="6" t="inlineStr">
        <is>
          <t>HSBC UK Bank plc consolidated entity-level</t>
        </is>
      </c>
      <c r="D12" s="9" t="inlineStr">
        <is>
          <t>5.6%</t>
        </is>
      </c>
      <c r="E12" s="9" t="inlineStr">
        <is>
          <t>5.6%</t>
        </is>
      </c>
      <c r="F12" s="9" t="inlineStr">
        <is>
          <t>5.7%</t>
        </is>
      </c>
      <c r="G12" s="9" t="inlineStr">
        <is>
          <t>5.7%</t>
        </is>
      </c>
      <c r="H12" s="9" t="inlineStr">
        <is>
          <t>5.8%</t>
        </is>
      </c>
      <c r="I12" s="9" t="inlineStr">
        <is>
          <t>5.8%</t>
        </is>
      </c>
      <c r="J12" s="9" t="inlineStr">
        <is>
          <t>5.9%</t>
        </is>
      </c>
      <c r="K12" s="9" t="inlineStr">
        <is>
          <t>6.1%</t>
        </is>
      </c>
      <c r="L12" s="9" t="inlineStr">
        <is>
          <t>6.4%</t>
        </is>
      </c>
      <c r="M12" s="9" t="inlineStr">
        <is>
          <t>6.3%</t>
        </is>
      </c>
      <c r="N12" s="9" t="inlineStr">
        <is>
          <t>6.3%</t>
        </is>
      </c>
      <c r="O12" s="9" t="inlineStr">
        <is>
          <t>5.6%</t>
        </is>
      </c>
      <c r="P12" s="9" t="inlineStr">
        <is>
          <t>5.8%</t>
        </is>
      </c>
      <c r="Q12" s="9" t="inlineStr">
        <is>
          <t>5.8%</t>
        </is>
      </c>
      <c r="R12" s="9" t="inlineStr">
        <is>
          <t>4.6%</t>
        </is>
      </c>
    </row>
    <row r="13">
      <c r="A13" s="6" t="inlineStr">
        <is>
          <t>LCR</t>
        </is>
      </c>
      <c r="B13" s="6" t="inlineStr">
        <is>
          <t>%</t>
        </is>
      </c>
      <c r="C13" s="6" t="inlineStr">
        <is>
          <t>HSBC UK Bank plc consolidated entity-level</t>
        </is>
      </c>
      <c r="D13" s="9" t="inlineStr">
        <is>
          <t>160%</t>
        </is>
      </c>
      <c r="E13" s="9" t="inlineStr">
        <is>
          <t>168%</t>
        </is>
      </c>
      <c r="F13" s="9" t="inlineStr">
        <is>
          <t>181%</t>
        </is>
      </c>
      <c r="G13" s="9" t="inlineStr">
        <is>
          <t>186%</t>
        </is>
      </c>
      <c r="H13" s="9" t="inlineStr">
        <is>
          <t>189%</t>
        </is>
      </c>
      <c r="I13" s="9" t="inlineStr">
        <is>
          <t>192%</t>
        </is>
      </c>
      <c r="J13" s="9" t="inlineStr">
        <is>
          <t>193%</t>
        </is>
      </c>
      <c r="K13" s="9" t="inlineStr">
        <is>
          <t>196%</t>
        </is>
      </c>
      <c r="L13" s="9" t="inlineStr">
        <is>
          <t>206%</t>
        </is>
      </c>
      <c r="M13" s="9" t="inlineStr">
        <is>
          <t>213%</t>
        </is>
      </c>
      <c r="N13" s="9" t="inlineStr">
        <is>
          <t>220%</t>
        </is>
      </c>
      <c r="O13" s="9" t="inlineStr">
        <is>
          <t>232%</t>
        </is>
      </c>
      <c r="P13" s="9" t="inlineStr">
        <is>
          <t>232%</t>
        </is>
      </c>
      <c r="Q13" s="9" t="inlineStr">
        <is>
          <t>230%</t>
        </is>
      </c>
      <c r="R13" s="6" t="n"/>
    </row>
    <row r="14">
      <c r="A14" s="6" t="inlineStr">
        <is>
          <t>NSFR</t>
        </is>
      </c>
      <c r="B14" s="6" t="inlineStr">
        <is>
          <t>%</t>
        </is>
      </c>
      <c r="C14" s="6" t="inlineStr">
        <is>
          <t>HSBC UK Bank plc consolidated entity-level</t>
        </is>
      </c>
      <c r="D14" s="9" t="inlineStr">
        <is>
          <t>143%</t>
        </is>
      </c>
      <c r="E14" s="9" t="inlineStr">
        <is>
          <t>144%</t>
        </is>
      </c>
      <c r="F14" s="9" t="inlineStr">
        <is>
          <t>148%</t>
        </is>
      </c>
      <c r="G14" s="9" t="inlineStr">
        <is>
          <t>151%</t>
        </is>
      </c>
      <c r="H14" s="9" t="inlineStr">
        <is>
          <t>154%</t>
        </is>
      </c>
      <c r="I14" s="9" t="inlineStr">
        <is>
          <t>155%</t>
        </is>
      </c>
      <c r="J14" s="9" t="inlineStr">
        <is>
          <t>155%</t>
        </is>
      </c>
      <c r="K14" s="9" t="inlineStr">
        <is>
          <t>156%</t>
        </is>
      </c>
      <c r="L14" s="9" t="inlineStr">
        <is>
          <t>160%</t>
        </is>
      </c>
      <c r="M14" s="9" t="inlineStr">
        <is>
          <t>162%</t>
        </is>
      </c>
      <c r="N14" s="9" t="inlineStr">
        <is>
          <t>163%</t>
        </is>
      </c>
      <c r="O14" s="9" t="inlineStr">
        <is>
          <t>165%</t>
        </is>
      </c>
      <c r="P14" s="9" t="inlineStr">
        <is>
          <t>166%</t>
        </is>
      </c>
      <c r="Q14" s="9" t="inlineStr">
        <is>
          <t>167%</t>
        </is>
      </c>
      <c r="R14" s="6" t="n"/>
    </row>
    <row r="17">
      <c r="A17" s="2" t="inlineStr">
        <is>
          <t>Source register</t>
        </is>
      </c>
    </row>
    <row r="18">
      <c r="A18" s="4" t="inlineStr">
        <is>
          <t>Period</t>
        </is>
      </c>
      <c r="B18" s="4" t="inlineStr">
        <is>
          <t>Disclosure type</t>
        </is>
      </c>
      <c r="C18" s="4" t="inlineStr">
        <is>
          <t>Source document</t>
        </is>
      </c>
      <c r="D18" s="4" t="inlineStr">
        <is>
          <t>Page / table</t>
        </is>
      </c>
    </row>
    <row r="19">
      <c r="A19" s="6" t="inlineStr">
        <is>
          <t>2026 H1</t>
        </is>
      </c>
      <c r="B19" s="6" t="inlineStr">
        <is>
          <t>H1</t>
        </is>
      </c>
      <c r="C19" s="9" t="inlineStr">
        <is>
          <t>https://www.hsbc.com/-/files/hsbc/investors/hsbc-results/2026/interim/pdfs/hsbc-uk-bank-plc/260810-hsbc-uk-bank-plc-pillar-3-disclosures-at-30-june-2026.pdf</t>
        </is>
      </c>
      <c r="D19" s="6" t="inlineStr">
        <is>
          <t>p.5, Table 1</t>
        </is>
      </c>
    </row>
    <row r="20">
      <c r="A20" s="6" t="inlineStr">
        <is>
          <t>2026 Q1</t>
        </is>
      </c>
      <c r="B20" s="6" t="inlineStr">
        <is>
          <t>Q1</t>
        </is>
      </c>
      <c r="C20" s="9" t="inlineStr">
        <is>
          <t>https://www.hsbc.com/-/files/hsbc/investors/hsbc-results/2026/1q/pdfs/hsbc-uk-bank-plc/260508-hbuk-pillar-3-disclosures-at-31-march-2026.pdf</t>
        </is>
      </c>
      <c r="D20" s="6" t="inlineStr">
        <is>
          <t>p.3, Table 1</t>
        </is>
      </c>
    </row>
    <row r="21">
      <c r="A21" s="6" t="inlineStr">
        <is>
          <t>2025 Q3</t>
        </is>
      </c>
      <c r="B21" s="6" t="inlineStr">
        <is>
          <t>Q3</t>
        </is>
      </c>
      <c r="C21" s="9" t="inlineStr">
        <is>
          <t>https://www.hsbc.com/-/files/hsbc/investors/hsbc-results/2025/3q/pdfs/hsbc-uk-bank-plc-ring-fenced-bank/251106-hsbc-uk-bank-plc-pillar-3-disclosures-at-30-september-2025.pdf</t>
        </is>
      </c>
      <c r="D21" s="6" t="inlineStr">
        <is>
          <t>Table 1</t>
        </is>
      </c>
    </row>
    <row r="22">
      <c r="A22" s="6" t="inlineStr">
        <is>
          <t>2025 H1</t>
        </is>
      </c>
      <c r="B22" s="6" t="inlineStr">
        <is>
          <t>H1</t>
        </is>
      </c>
      <c r="C22" s="9" t="inlineStr">
        <is>
          <t>https://www.hsbc.com/-/files/hsbc/investors/hsbc-results/2025/interim/pdfs/hsbc-uk-bank-plc/250806-pillar-3-disclosures-at-30-june-2025.pdf</t>
        </is>
      </c>
      <c r="D22" s="6" t="inlineStr">
        <is>
          <t>Table 1</t>
        </is>
      </c>
    </row>
    <row r="23">
      <c r="A23" s="6" t="inlineStr">
        <is>
          <t>2025 Q1</t>
        </is>
      </c>
      <c r="B23" s="6" t="inlineStr">
        <is>
          <t>Q1</t>
        </is>
      </c>
      <c r="C23" s="9" t="inlineStr">
        <is>
          <t>https://www.hsbc.com/-/files/hsbc/investors/hsbc-results/2025/1q/pdfs/hsbc-uk-bank-plc/250507-hbuk-pillar-3-disclosures-at-31-march-2025.pdf</t>
        </is>
      </c>
      <c r="D23" s="6" t="inlineStr">
        <is>
          <t>Table 1</t>
        </is>
      </c>
    </row>
    <row r="24">
      <c r="A24" s="6" t="inlineStr">
        <is>
          <t>2024 Q3</t>
        </is>
      </c>
      <c r="B24" s="6" t="inlineStr">
        <is>
          <t>Q3</t>
        </is>
      </c>
      <c r="C24" s="9" t="inlineStr">
        <is>
          <t>https://www.hsbc.com/-/files/hsbc/investors/hsbc-results/2024/3q/pdfs/hsbc-uk-bank-plc-ring-fenced-bank/241105-hsbc-uk-bank-plc-pillar-3-disclosures-at-30-september-2024.pdf</t>
        </is>
      </c>
      <c r="D24" s="6" t="inlineStr">
        <is>
          <t>p.3, Table 1</t>
        </is>
      </c>
    </row>
    <row r="25">
      <c r="A25" s="6" t="inlineStr">
        <is>
          <t>2024 H1</t>
        </is>
      </c>
      <c r="B25" s="6" t="inlineStr">
        <is>
          <t>H1</t>
        </is>
      </c>
      <c r="C25" s="9" t="inlineStr">
        <is>
          <t>https://www.hsbc.com/-/files/hsbc/investors/hsbc-results/2024/interim/pdfs/hsbc-uk-bank-plc/240806-pillar-3-disclosures-at-30-june-2024.pdf</t>
        </is>
      </c>
      <c r="D25" s="6" t="inlineStr">
        <is>
          <t>p.4, Table 1</t>
        </is>
      </c>
    </row>
    <row r="26">
      <c r="A26" s="6" t="inlineStr">
        <is>
          <t>2024 Q1</t>
        </is>
      </c>
      <c r="B26" s="6" t="inlineStr">
        <is>
          <t>Q1</t>
        </is>
      </c>
      <c r="C26" s="9" t="inlineStr">
        <is>
          <t>https://www.hsbc.com/-/files/hsbc/investors/hsbc-results/2024/interim/pdfs/hsbc-uk-bank-plc/240806-pillar-3-disclosures-at-30-june-2024.pdf</t>
        </is>
      </c>
      <c r="D26" s="6" t="inlineStr">
        <is>
          <t>p.4, Table 1 comparative</t>
        </is>
      </c>
    </row>
    <row r="27">
      <c r="A27" s="6" t="inlineStr">
        <is>
          <t>2023 Q3</t>
        </is>
      </c>
      <c r="B27" s="6" t="inlineStr">
        <is>
          <t>Q3</t>
        </is>
      </c>
      <c r="C27" s="9" t="inlineStr">
        <is>
          <t>https://www.hsbc.com/-/files/hsbc/investors/hsbc-results/2023/3q/pdfs/hsbc-bank-plc/231106-hsbc-uk-bank-plc-pillar-3-disclosures-at-30-september-2023.pdf</t>
        </is>
      </c>
      <c r="D27" s="6" t="inlineStr">
        <is>
          <t>p.3, Table 1</t>
        </is>
      </c>
    </row>
    <row r="28">
      <c r="A28" s="6" t="inlineStr">
        <is>
          <t>2023 H1</t>
        </is>
      </c>
      <c r="B28" s="6" t="inlineStr">
        <is>
          <t>H1</t>
        </is>
      </c>
      <c r="C28" s="9" t="inlineStr">
        <is>
          <t>https://www.hsbc.com/-/files/hsbc/investors/hsbc-results/2023/3q/pdfs/hsbc-bank-plc/231106-hsbc-uk-bank-plc-pillar-3-disclosures-at-30-september-2023.pdf</t>
        </is>
      </c>
      <c r="D28" s="6" t="inlineStr">
        <is>
          <t>p.3, Table 1 comparative</t>
        </is>
      </c>
    </row>
    <row r="29">
      <c r="A29" s="6" t="inlineStr">
        <is>
          <t>2023 Q1</t>
        </is>
      </c>
      <c r="B29" s="6" t="inlineStr">
        <is>
          <t>Q1</t>
        </is>
      </c>
      <c r="C29" s="9" t="inlineStr">
        <is>
          <t>https://www.hsbc.com/-/files/hsbc/investors/hsbc-results/2023/3q/pdfs/hsbc-bank-plc/231106-hsbc-uk-bank-plc-pillar-3-disclosures-at-30-september-2023.pdf</t>
        </is>
      </c>
      <c r="D29" s="6" t="inlineStr">
        <is>
          <t>p.3, Table 1 comparative</t>
        </is>
      </c>
    </row>
    <row r="30">
      <c r="A30" s="6" t="inlineStr">
        <is>
          <t>2022 Q3</t>
        </is>
      </c>
      <c r="B30" s="6" t="inlineStr">
        <is>
          <t>Q3</t>
        </is>
      </c>
      <c r="C30" s="9" t="inlineStr">
        <is>
          <t>https://www.hsbc.com/-/files/hsbc/investors/hsbc-results/2022/3q/pdfs/hsbc-uk-bank-plc/221102-pillar-3-disclosures-at-30-september-2022.pdf</t>
        </is>
      </c>
      <c r="D30" s="6" t="inlineStr">
        <is>
          <t>p.3, Table 1</t>
        </is>
      </c>
    </row>
    <row r="31">
      <c r="A31" s="6" t="inlineStr">
        <is>
          <t>2022 H1</t>
        </is>
      </c>
      <c r="B31" s="6" t="inlineStr">
        <is>
          <t>H1</t>
        </is>
      </c>
      <c r="C31" s="9" t="inlineStr">
        <is>
          <t>https://www.hsbc.com/-/files/hsbc/investors/hsbc-results/2022/3q/pdfs/hsbc-uk-bank-plc/221102-pillar-3-disclosures-at-30-september-2022.pdf</t>
        </is>
      </c>
      <c r="D31" s="6" t="inlineStr">
        <is>
          <t>p.3, Table 1 comparative</t>
        </is>
      </c>
    </row>
    <row r="32">
      <c r="A32" s="6" t="inlineStr">
        <is>
          <t>2022 Q1</t>
        </is>
      </c>
      <c r="B32" s="6" t="inlineStr">
        <is>
          <t>Q1</t>
        </is>
      </c>
      <c r="C32" s="9" t="inlineStr">
        <is>
          <t>https://www.hsbc.com/-/files/hsbc/investors/hsbc-results/2022/3q/pdfs/hsbc-uk-bank-plc/221102-pillar-3-disclosures-at-30-september-2022.pdf</t>
        </is>
      </c>
      <c r="D32" s="6" t="inlineStr">
        <is>
          <t>p.3, Table 1 comparative</t>
        </is>
      </c>
    </row>
    <row r="33">
      <c r="A33" s="6" t="inlineStr">
        <is>
          <t>2021 H1</t>
        </is>
      </c>
      <c r="B33" s="6" t="inlineStr">
        <is>
          <t>H1</t>
        </is>
      </c>
      <c r="C33" s="9" t="inlineStr">
        <is>
          <t>https://www.hsbc.com/-/files/hsbc/investors/hsbc-results/2022/3q/pdfs/hsbc-uk-bank-plc/221102-pillar-3-disclosures-at-30-september-2022.pdf</t>
        </is>
      </c>
      <c r="D33" s="6" t="inlineStr">
        <is>
          <t>p.3, Table 1 comparative</t>
        </is>
      </c>
    </row>
    <row r="35" ht="117" customHeight="1">
      <c r="A35" s="8" t="inlineStr">
        <is>
          <t>Note: Scope note: 2022–2026 Q1/H1/Q3 observations are taken from HSBC UK Bank plc's own entity-level Pillar 3 Table 1 disclosures or their comparative columns. The only 2021 interim observation found was 30 June 2021; LCR and NSFR were not disclosed for that period. MREL was not disclosed in the entity-level reports. Blank values are source gaps, not calculated estimates. HSBC UK Bank plc is distinct from HSBC Bank plc and HSBC Group.
2026 observations (added 18 September 2026): 31 March 2026 comes from the Pillar 3 Disclosures at 31 March 2026 (published 8 May 2026) and 30 June 2026 from the Pillar 3 Disclosures at 30 June 2026 (published 10 August 2026) — each period taken from the edition in which it is the reporting date. There is NO FY2026 annual column anywhere in this workbook and there cannot be one: HSBC UK Bank plc has a 31 December year-end, so the FY2026 reporting date (31 December 2026) had not been reached as at the date this workbook was built. These two 2026 observations are half-year and first-quarter reporting dates and are deliberately kept on this sheet rather than placed in an annual column. The 30 September 2026 quarter had likewise not ended, so no Q3 2026 disclosure exists yet.
Restatement check: the 31 March 2026 and 30 June 2026 editions both reprint 31 December 2025 as a comparative and print it identically to the FY2025 figures already held on the annual metric sheets (CET1 £15,509m, tier 1 £18,218m, total capital £21,888m, RWAs £117,463m, ratios 13.2%/15.5%/18.6%, leverage 5.6%, LCR 175%, NSFR 146%), and both reprint the 2025 Q1/H1/Q3 columns identically to the figures already on this sheet. No restatement of any previously held figure was found. The 30 June 2026 edition does footnote (footnote 2) that the leverage exposure calculation for securities collateral posted to central banks was enhanced in 2Q26 with comparatives not restated, but that affects KM1 row 14b (leverage ratio INCLUDING claims on central banks), which this sheet does not carry; the row 14 basis used here (EXCLUDING claims on central banks) is unaffected.</t>
        </is>
      </c>
    </row>
  </sheetData>
  <mergeCells count="1">
    <mergeCell ref="A35:R35"/>
  </mergeCells>
  <hyperlinks>
    <hyperlink xmlns:r="http://schemas.openxmlformats.org/officeDocument/2006/relationships" ref="D5" r:id="rId1"/>
    <hyperlink xmlns:r="http://schemas.openxmlformats.org/officeDocument/2006/relationships" ref="E5" r:id="rId2"/>
    <hyperlink xmlns:r="http://schemas.openxmlformats.org/officeDocument/2006/relationships" ref="F5" r:id="rId3"/>
    <hyperlink xmlns:r="http://schemas.openxmlformats.org/officeDocument/2006/relationships" ref="G5" r:id="rId4"/>
    <hyperlink xmlns:r="http://schemas.openxmlformats.org/officeDocument/2006/relationships" ref="H5" r:id="rId5"/>
    <hyperlink xmlns:r="http://schemas.openxmlformats.org/officeDocument/2006/relationships" ref="I5" r:id="rId6"/>
    <hyperlink xmlns:r="http://schemas.openxmlformats.org/officeDocument/2006/relationships" ref="J5" r:id="rId7"/>
    <hyperlink xmlns:r="http://schemas.openxmlformats.org/officeDocument/2006/relationships" ref="K5" r:id="rId8"/>
    <hyperlink xmlns:r="http://schemas.openxmlformats.org/officeDocument/2006/relationships" ref="L5" r:id="rId9"/>
    <hyperlink xmlns:r="http://schemas.openxmlformats.org/officeDocument/2006/relationships" ref="M5" r:id="rId10"/>
    <hyperlink xmlns:r="http://schemas.openxmlformats.org/officeDocument/2006/relationships" ref="N5" r:id="rId11"/>
    <hyperlink xmlns:r="http://schemas.openxmlformats.org/officeDocument/2006/relationships" ref="O5" r:id="rId12"/>
    <hyperlink xmlns:r="http://schemas.openxmlformats.org/officeDocument/2006/relationships" ref="P5" r:id="rId13"/>
    <hyperlink xmlns:r="http://schemas.openxmlformats.org/officeDocument/2006/relationships" ref="Q5" r:id="rId14"/>
    <hyperlink xmlns:r="http://schemas.openxmlformats.org/officeDocument/2006/relationships" ref="R5" r:id="rId15"/>
    <hyperlink xmlns:r="http://schemas.openxmlformats.org/officeDocument/2006/relationships" ref="D6" r:id="rId16"/>
    <hyperlink xmlns:r="http://schemas.openxmlformats.org/officeDocument/2006/relationships" ref="E6" r:id="rId17"/>
    <hyperlink xmlns:r="http://schemas.openxmlformats.org/officeDocument/2006/relationships" ref="F6" r:id="rId18"/>
    <hyperlink xmlns:r="http://schemas.openxmlformats.org/officeDocument/2006/relationships" ref="G6" r:id="rId19"/>
    <hyperlink xmlns:r="http://schemas.openxmlformats.org/officeDocument/2006/relationships" ref="H6" r:id="rId20"/>
    <hyperlink xmlns:r="http://schemas.openxmlformats.org/officeDocument/2006/relationships" ref="I6" r:id="rId21"/>
    <hyperlink xmlns:r="http://schemas.openxmlformats.org/officeDocument/2006/relationships" ref="J6" r:id="rId22"/>
    <hyperlink xmlns:r="http://schemas.openxmlformats.org/officeDocument/2006/relationships" ref="K6" r:id="rId23"/>
    <hyperlink xmlns:r="http://schemas.openxmlformats.org/officeDocument/2006/relationships" ref="L6" r:id="rId24"/>
    <hyperlink xmlns:r="http://schemas.openxmlformats.org/officeDocument/2006/relationships" ref="M6" r:id="rId25"/>
    <hyperlink xmlns:r="http://schemas.openxmlformats.org/officeDocument/2006/relationships" ref="N6" r:id="rId26"/>
    <hyperlink xmlns:r="http://schemas.openxmlformats.org/officeDocument/2006/relationships" ref="O6" r:id="rId27"/>
    <hyperlink xmlns:r="http://schemas.openxmlformats.org/officeDocument/2006/relationships" ref="P6" r:id="rId28"/>
    <hyperlink xmlns:r="http://schemas.openxmlformats.org/officeDocument/2006/relationships" ref="Q6" r:id="rId29"/>
    <hyperlink xmlns:r="http://schemas.openxmlformats.org/officeDocument/2006/relationships" ref="R6" r:id="rId30"/>
    <hyperlink xmlns:r="http://schemas.openxmlformats.org/officeDocument/2006/relationships" ref="D7" r:id="rId31"/>
    <hyperlink xmlns:r="http://schemas.openxmlformats.org/officeDocument/2006/relationships" ref="E7" r:id="rId32"/>
    <hyperlink xmlns:r="http://schemas.openxmlformats.org/officeDocument/2006/relationships" ref="F7" r:id="rId33"/>
    <hyperlink xmlns:r="http://schemas.openxmlformats.org/officeDocument/2006/relationships" ref="G7" r:id="rId34"/>
    <hyperlink xmlns:r="http://schemas.openxmlformats.org/officeDocument/2006/relationships" ref="H7" r:id="rId35"/>
    <hyperlink xmlns:r="http://schemas.openxmlformats.org/officeDocument/2006/relationships" ref="I7" r:id="rId36"/>
    <hyperlink xmlns:r="http://schemas.openxmlformats.org/officeDocument/2006/relationships" ref="J7" r:id="rId37"/>
    <hyperlink xmlns:r="http://schemas.openxmlformats.org/officeDocument/2006/relationships" ref="K7" r:id="rId38"/>
    <hyperlink xmlns:r="http://schemas.openxmlformats.org/officeDocument/2006/relationships" ref="L7" r:id="rId39"/>
    <hyperlink xmlns:r="http://schemas.openxmlformats.org/officeDocument/2006/relationships" ref="M7" r:id="rId40"/>
    <hyperlink xmlns:r="http://schemas.openxmlformats.org/officeDocument/2006/relationships" ref="N7" r:id="rId41"/>
    <hyperlink xmlns:r="http://schemas.openxmlformats.org/officeDocument/2006/relationships" ref="O7" r:id="rId42"/>
    <hyperlink xmlns:r="http://schemas.openxmlformats.org/officeDocument/2006/relationships" ref="P7" r:id="rId43"/>
    <hyperlink xmlns:r="http://schemas.openxmlformats.org/officeDocument/2006/relationships" ref="Q7" r:id="rId44"/>
    <hyperlink xmlns:r="http://schemas.openxmlformats.org/officeDocument/2006/relationships" ref="R7" r:id="rId45"/>
    <hyperlink xmlns:r="http://schemas.openxmlformats.org/officeDocument/2006/relationships" ref="D8" r:id="rId46"/>
    <hyperlink xmlns:r="http://schemas.openxmlformats.org/officeDocument/2006/relationships" ref="E8" r:id="rId47"/>
    <hyperlink xmlns:r="http://schemas.openxmlformats.org/officeDocument/2006/relationships" ref="F8" r:id="rId48"/>
    <hyperlink xmlns:r="http://schemas.openxmlformats.org/officeDocument/2006/relationships" ref="G8" r:id="rId49"/>
    <hyperlink xmlns:r="http://schemas.openxmlformats.org/officeDocument/2006/relationships" ref="H8" r:id="rId50"/>
    <hyperlink xmlns:r="http://schemas.openxmlformats.org/officeDocument/2006/relationships" ref="I8" r:id="rId51"/>
    <hyperlink xmlns:r="http://schemas.openxmlformats.org/officeDocument/2006/relationships" ref="J8" r:id="rId52"/>
    <hyperlink xmlns:r="http://schemas.openxmlformats.org/officeDocument/2006/relationships" ref="K8" r:id="rId53"/>
    <hyperlink xmlns:r="http://schemas.openxmlformats.org/officeDocument/2006/relationships" ref="L8" r:id="rId54"/>
    <hyperlink xmlns:r="http://schemas.openxmlformats.org/officeDocument/2006/relationships" ref="M8" r:id="rId55"/>
    <hyperlink xmlns:r="http://schemas.openxmlformats.org/officeDocument/2006/relationships" ref="N8" r:id="rId56"/>
    <hyperlink xmlns:r="http://schemas.openxmlformats.org/officeDocument/2006/relationships" ref="O8" r:id="rId57"/>
    <hyperlink xmlns:r="http://schemas.openxmlformats.org/officeDocument/2006/relationships" ref="P8" r:id="rId58"/>
    <hyperlink xmlns:r="http://schemas.openxmlformats.org/officeDocument/2006/relationships" ref="Q8" r:id="rId59"/>
    <hyperlink xmlns:r="http://schemas.openxmlformats.org/officeDocument/2006/relationships" ref="R8" r:id="rId60"/>
    <hyperlink xmlns:r="http://schemas.openxmlformats.org/officeDocument/2006/relationships" ref="D9" r:id="rId61"/>
    <hyperlink xmlns:r="http://schemas.openxmlformats.org/officeDocument/2006/relationships" ref="E9" r:id="rId62"/>
    <hyperlink xmlns:r="http://schemas.openxmlformats.org/officeDocument/2006/relationships" ref="F9" r:id="rId63"/>
    <hyperlink xmlns:r="http://schemas.openxmlformats.org/officeDocument/2006/relationships" ref="G9" r:id="rId64"/>
    <hyperlink xmlns:r="http://schemas.openxmlformats.org/officeDocument/2006/relationships" ref="H9" r:id="rId65"/>
    <hyperlink xmlns:r="http://schemas.openxmlformats.org/officeDocument/2006/relationships" ref="I9" r:id="rId66"/>
    <hyperlink xmlns:r="http://schemas.openxmlformats.org/officeDocument/2006/relationships" ref="J9" r:id="rId67"/>
    <hyperlink xmlns:r="http://schemas.openxmlformats.org/officeDocument/2006/relationships" ref="K9" r:id="rId68"/>
    <hyperlink xmlns:r="http://schemas.openxmlformats.org/officeDocument/2006/relationships" ref="L9" r:id="rId69"/>
    <hyperlink xmlns:r="http://schemas.openxmlformats.org/officeDocument/2006/relationships" ref="M9" r:id="rId70"/>
    <hyperlink xmlns:r="http://schemas.openxmlformats.org/officeDocument/2006/relationships" ref="N9" r:id="rId71"/>
    <hyperlink xmlns:r="http://schemas.openxmlformats.org/officeDocument/2006/relationships" ref="O9" r:id="rId72"/>
    <hyperlink xmlns:r="http://schemas.openxmlformats.org/officeDocument/2006/relationships" ref="P9" r:id="rId73"/>
    <hyperlink xmlns:r="http://schemas.openxmlformats.org/officeDocument/2006/relationships" ref="Q9" r:id="rId74"/>
    <hyperlink xmlns:r="http://schemas.openxmlformats.org/officeDocument/2006/relationships" ref="R9" r:id="rId75"/>
    <hyperlink xmlns:r="http://schemas.openxmlformats.org/officeDocument/2006/relationships" ref="D10" r:id="rId76"/>
    <hyperlink xmlns:r="http://schemas.openxmlformats.org/officeDocument/2006/relationships" ref="E10" r:id="rId77"/>
    <hyperlink xmlns:r="http://schemas.openxmlformats.org/officeDocument/2006/relationships" ref="F10" r:id="rId78"/>
    <hyperlink xmlns:r="http://schemas.openxmlformats.org/officeDocument/2006/relationships" ref="G10" r:id="rId79"/>
    <hyperlink xmlns:r="http://schemas.openxmlformats.org/officeDocument/2006/relationships" ref="H10" r:id="rId80"/>
    <hyperlink xmlns:r="http://schemas.openxmlformats.org/officeDocument/2006/relationships" ref="I10" r:id="rId81"/>
    <hyperlink xmlns:r="http://schemas.openxmlformats.org/officeDocument/2006/relationships" ref="J10" r:id="rId82"/>
    <hyperlink xmlns:r="http://schemas.openxmlformats.org/officeDocument/2006/relationships" ref="K10" r:id="rId83"/>
    <hyperlink xmlns:r="http://schemas.openxmlformats.org/officeDocument/2006/relationships" ref="L10" r:id="rId84"/>
    <hyperlink xmlns:r="http://schemas.openxmlformats.org/officeDocument/2006/relationships" ref="M10" r:id="rId85"/>
    <hyperlink xmlns:r="http://schemas.openxmlformats.org/officeDocument/2006/relationships" ref="N10" r:id="rId86"/>
    <hyperlink xmlns:r="http://schemas.openxmlformats.org/officeDocument/2006/relationships" ref="O10" r:id="rId87"/>
    <hyperlink xmlns:r="http://schemas.openxmlformats.org/officeDocument/2006/relationships" ref="P10" r:id="rId88"/>
    <hyperlink xmlns:r="http://schemas.openxmlformats.org/officeDocument/2006/relationships" ref="Q10" r:id="rId89"/>
    <hyperlink xmlns:r="http://schemas.openxmlformats.org/officeDocument/2006/relationships" ref="R10" r:id="rId90"/>
    <hyperlink xmlns:r="http://schemas.openxmlformats.org/officeDocument/2006/relationships" ref="D11" r:id="rId91"/>
    <hyperlink xmlns:r="http://schemas.openxmlformats.org/officeDocument/2006/relationships" ref="E11" r:id="rId92"/>
    <hyperlink xmlns:r="http://schemas.openxmlformats.org/officeDocument/2006/relationships" ref="F11" r:id="rId93"/>
    <hyperlink xmlns:r="http://schemas.openxmlformats.org/officeDocument/2006/relationships" ref="G11" r:id="rId94"/>
    <hyperlink xmlns:r="http://schemas.openxmlformats.org/officeDocument/2006/relationships" ref="H11" r:id="rId95"/>
    <hyperlink xmlns:r="http://schemas.openxmlformats.org/officeDocument/2006/relationships" ref="I11" r:id="rId96"/>
    <hyperlink xmlns:r="http://schemas.openxmlformats.org/officeDocument/2006/relationships" ref="J11" r:id="rId97"/>
    <hyperlink xmlns:r="http://schemas.openxmlformats.org/officeDocument/2006/relationships" ref="K11" r:id="rId98"/>
    <hyperlink xmlns:r="http://schemas.openxmlformats.org/officeDocument/2006/relationships" ref="L11" r:id="rId99"/>
    <hyperlink xmlns:r="http://schemas.openxmlformats.org/officeDocument/2006/relationships" ref="M11" r:id="rId100"/>
    <hyperlink xmlns:r="http://schemas.openxmlformats.org/officeDocument/2006/relationships" ref="N11" r:id="rId101"/>
    <hyperlink xmlns:r="http://schemas.openxmlformats.org/officeDocument/2006/relationships" ref="O11" r:id="rId102"/>
    <hyperlink xmlns:r="http://schemas.openxmlformats.org/officeDocument/2006/relationships" ref="P11" r:id="rId103"/>
    <hyperlink xmlns:r="http://schemas.openxmlformats.org/officeDocument/2006/relationships" ref="Q11" r:id="rId104"/>
    <hyperlink xmlns:r="http://schemas.openxmlformats.org/officeDocument/2006/relationships" ref="R11" r:id="rId105"/>
    <hyperlink xmlns:r="http://schemas.openxmlformats.org/officeDocument/2006/relationships" ref="D12" r:id="rId106"/>
    <hyperlink xmlns:r="http://schemas.openxmlformats.org/officeDocument/2006/relationships" ref="E12" r:id="rId107"/>
    <hyperlink xmlns:r="http://schemas.openxmlformats.org/officeDocument/2006/relationships" ref="F12" r:id="rId108"/>
    <hyperlink xmlns:r="http://schemas.openxmlformats.org/officeDocument/2006/relationships" ref="G12" r:id="rId109"/>
    <hyperlink xmlns:r="http://schemas.openxmlformats.org/officeDocument/2006/relationships" ref="H12" r:id="rId110"/>
    <hyperlink xmlns:r="http://schemas.openxmlformats.org/officeDocument/2006/relationships" ref="I12" r:id="rId111"/>
    <hyperlink xmlns:r="http://schemas.openxmlformats.org/officeDocument/2006/relationships" ref="J12" r:id="rId112"/>
    <hyperlink xmlns:r="http://schemas.openxmlformats.org/officeDocument/2006/relationships" ref="K12" r:id="rId113"/>
    <hyperlink xmlns:r="http://schemas.openxmlformats.org/officeDocument/2006/relationships" ref="L12" r:id="rId114"/>
    <hyperlink xmlns:r="http://schemas.openxmlformats.org/officeDocument/2006/relationships" ref="M12" r:id="rId115"/>
    <hyperlink xmlns:r="http://schemas.openxmlformats.org/officeDocument/2006/relationships" ref="N12" r:id="rId116"/>
    <hyperlink xmlns:r="http://schemas.openxmlformats.org/officeDocument/2006/relationships" ref="O12" r:id="rId117"/>
    <hyperlink xmlns:r="http://schemas.openxmlformats.org/officeDocument/2006/relationships" ref="P12" r:id="rId118"/>
    <hyperlink xmlns:r="http://schemas.openxmlformats.org/officeDocument/2006/relationships" ref="Q12" r:id="rId119"/>
    <hyperlink xmlns:r="http://schemas.openxmlformats.org/officeDocument/2006/relationships" ref="R12" r:id="rId120"/>
    <hyperlink xmlns:r="http://schemas.openxmlformats.org/officeDocument/2006/relationships" ref="D13" r:id="rId121"/>
    <hyperlink xmlns:r="http://schemas.openxmlformats.org/officeDocument/2006/relationships" ref="E13" r:id="rId122"/>
    <hyperlink xmlns:r="http://schemas.openxmlformats.org/officeDocument/2006/relationships" ref="F13" r:id="rId123"/>
    <hyperlink xmlns:r="http://schemas.openxmlformats.org/officeDocument/2006/relationships" ref="G13" r:id="rId124"/>
    <hyperlink xmlns:r="http://schemas.openxmlformats.org/officeDocument/2006/relationships" ref="H13" r:id="rId125"/>
    <hyperlink xmlns:r="http://schemas.openxmlformats.org/officeDocument/2006/relationships" ref="I13" r:id="rId126"/>
    <hyperlink xmlns:r="http://schemas.openxmlformats.org/officeDocument/2006/relationships" ref="J13" r:id="rId127"/>
    <hyperlink xmlns:r="http://schemas.openxmlformats.org/officeDocument/2006/relationships" ref="K13" r:id="rId128"/>
    <hyperlink xmlns:r="http://schemas.openxmlformats.org/officeDocument/2006/relationships" ref="L13" r:id="rId129"/>
    <hyperlink xmlns:r="http://schemas.openxmlformats.org/officeDocument/2006/relationships" ref="M13" r:id="rId130"/>
    <hyperlink xmlns:r="http://schemas.openxmlformats.org/officeDocument/2006/relationships" ref="N13" r:id="rId131"/>
    <hyperlink xmlns:r="http://schemas.openxmlformats.org/officeDocument/2006/relationships" ref="O13" r:id="rId132"/>
    <hyperlink xmlns:r="http://schemas.openxmlformats.org/officeDocument/2006/relationships" ref="P13" r:id="rId133"/>
    <hyperlink xmlns:r="http://schemas.openxmlformats.org/officeDocument/2006/relationships" ref="Q13" r:id="rId134"/>
    <hyperlink xmlns:r="http://schemas.openxmlformats.org/officeDocument/2006/relationships" ref="D14" r:id="rId135"/>
    <hyperlink xmlns:r="http://schemas.openxmlformats.org/officeDocument/2006/relationships" ref="E14" r:id="rId136"/>
    <hyperlink xmlns:r="http://schemas.openxmlformats.org/officeDocument/2006/relationships" ref="F14" r:id="rId137"/>
    <hyperlink xmlns:r="http://schemas.openxmlformats.org/officeDocument/2006/relationships" ref="G14" r:id="rId138"/>
    <hyperlink xmlns:r="http://schemas.openxmlformats.org/officeDocument/2006/relationships" ref="H14" r:id="rId139"/>
    <hyperlink xmlns:r="http://schemas.openxmlformats.org/officeDocument/2006/relationships" ref="I14" r:id="rId140"/>
    <hyperlink xmlns:r="http://schemas.openxmlformats.org/officeDocument/2006/relationships" ref="J14" r:id="rId141"/>
    <hyperlink xmlns:r="http://schemas.openxmlformats.org/officeDocument/2006/relationships" ref="K14" r:id="rId142"/>
    <hyperlink xmlns:r="http://schemas.openxmlformats.org/officeDocument/2006/relationships" ref="L14" r:id="rId143"/>
    <hyperlink xmlns:r="http://schemas.openxmlformats.org/officeDocument/2006/relationships" ref="M14" r:id="rId144"/>
    <hyperlink xmlns:r="http://schemas.openxmlformats.org/officeDocument/2006/relationships" ref="N14" r:id="rId145"/>
    <hyperlink xmlns:r="http://schemas.openxmlformats.org/officeDocument/2006/relationships" ref="O14" r:id="rId146"/>
    <hyperlink xmlns:r="http://schemas.openxmlformats.org/officeDocument/2006/relationships" ref="P14" r:id="rId147"/>
    <hyperlink xmlns:r="http://schemas.openxmlformats.org/officeDocument/2006/relationships" ref="Q14" r:id="rId148"/>
    <hyperlink xmlns:r="http://schemas.openxmlformats.org/officeDocument/2006/relationships" ref="C19" r:id="rId149"/>
    <hyperlink xmlns:r="http://schemas.openxmlformats.org/officeDocument/2006/relationships" ref="C20" r:id="rId150"/>
    <hyperlink xmlns:r="http://schemas.openxmlformats.org/officeDocument/2006/relationships" ref="C21" r:id="rId151"/>
    <hyperlink xmlns:r="http://schemas.openxmlformats.org/officeDocument/2006/relationships" ref="C22" r:id="rId152"/>
    <hyperlink xmlns:r="http://schemas.openxmlformats.org/officeDocument/2006/relationships" ref="C23" r:id="rId153"/>
    <hyperlink xmlns:r="http://schemas.openxmlformats.org/officeDocument/2006/relationships" ref="C24" r:id="rId154"/>
    <hyperlink xmlns:r="http://schemas.openxmlformats.org/officeDocument/2006/relationships" ref="C25" r:id="rId155"/>
    <hyperlink xmlns:r="http://schemas.openxmlformats.org/officeDocument/2006/relationships" ref="C26" r:id="rId156"/>
    <hyperlink xmlns:r="http://schemas.openxmlformats.org/officeDocument/2006/relationships" ref="C27" r:id="rId157"/>
    <hyperlink xmlns:r="http://schemas.openxmlformats.org/officeDocument/2006/relationships" ref="C28" r:id="rId158"/>
    <hyperlink xmlns:r="http://schemas.openxmlformats.org/officeDocument/2006/relationships" ref="C29" r:id="rId159"/>
    <hyperlink xmlns:r="http://schemas.openxmlformats.org/officeDocument/2006/relationships" ref="C30" r:id="rId160"/>
    <hyperlink xmlns:r="http://schemas.openxmlformats.org/officeDocument/2006/relationships" ref="C31" r:id="rId161"/>
    <hyperlink xmlns:r="http://schemas.openxmlformats.org/officeDocument/2006/relationships" ref="C32" r:id="rId162"/>
    <hyperlink xmlns:r="http://schemas.openxmlformats.org/officeDocument/2006/relationships" ref="C33" r:id="rId16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2026-10-26T09:36:06Z</dcterms:created>
  <dcterms:modified xmlns:dcterms="http://purl.org/dc/terms/" xmlns:xsi="http://www.w3.org/2001/XMLSchema-instance" xsi:type="dcterms:W3CDTF">2026-10-26T09:36:06Z</dcterms:modified>
</cp:coreProperties>
</file>