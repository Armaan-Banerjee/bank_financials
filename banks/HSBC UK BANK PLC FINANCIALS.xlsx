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DB0011"/>
        <bgColor rgb="00DB00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UK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UK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UK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UK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'Overview'!AO24</f>
            </strRef>
          </tx>
          <spPr>
            <a:ln xmlns:a="http://schemas.openxmlformats.org/drawingml/2006/main">
              <a:prstDash val="solid"/>
            </a:ln>
          </spPr>
          <cat>
            <numRef>
              <f>'Overview'!$AP$23:$AV$23</f>
            </numRef>
          </cat>
          <val>
            <numRef>
              <f>'Overview'!$AP$24:$AV$24</f>
            </numRef>
          </val>
        </ser>
        <ser>
          <idx val="1"/>
          <order val="1"/>
          <tx>
            <strRef>
              <f>'Overview'!AO25</f>
            </strRef>
          </tx>
          <spPr>
            <a:ln xmlns:a="http://schemas.openxmlformats.org/drawingml/2006/main">
              <a:prstDash val="solid"/>
            </a:ln>
          </spPr>
          <cat>
            <numRef>
              <f>'Overview'!$AP$23:$AV$23</f>
            </numRef>
          </cat>
          <val>
            <numRef>
              <f>'Overview'!$AP$25:$AV$25</f>
            </numRef>
          </val>
        </ser>
        <ser>
          <idx val="2"/>
          <order val="2"/>
          <tx>
            <strRef>
              <f>'Overview'!AO26</f>
            </strRef>
          </tx>
          <spPr>
            <a:ln xmlns:a="http://schemas.openxmlformats.org/drawingml/2006/main">
              <a:prstDash val="solid"/>
            </a:ln>
          </spPr>
          <cat>
            <numRef>
              <f>'Overview'!$AP$23:$AV$23</f>
            </numRef>
          </cat>
          <val>
            <numRef>
              <f>'Overview'!$AP$26:$AV$26</f>
            </numRef>
          </val>
        </ser>
        <ser>
          <idx val="3"/>
          <order val="3"/>
          <tx>
            <strRef>
              <f>'Overview'!AO27</f>
            </strRef>
          </tx>
          <spPr>
            <a:ln xmlns:a="http://schemas.openxmlformats.org/drawingml/2006/main">
              <a:prstDash val="solid"/>
            </a:ln>
          </spPr>
          <cat>
            <numRef>
              <f>'Overview'!$AP$23:$AV$23</f>
            </numRef>
          </cat>
          <val>
            <numRef>
              <f>'Overview'!$AP$27:$AV$27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UK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hsbc.com/-/files/hsbc/investors/hsbc-results/2025/3q/pdfs/hsbc-uk-bank-plc-ring-fenced-bank/251106-hsbc-uk-bank-plc-pillar-3-disclosures-at-30-september-2025.pdf" TargetMode="External" Id="rId1"/><Relationship Type="http://schemas.openxmlformats.org/officeDocument/2006/relationships/hyperlink" Target="https://www.hsbc.com/-/files/hsbc/investors/hsbc-results/2025/interim/pdfs/hsbc-uk-bank-plc/250806-pillar-3-disclosures-at-30-june-2025.pdf" TargetMode="External" Id="rId2"/><Relationship Type="http://schemas.openxmlformats.org/officeDocument/2006/relationships/hyperlink" Target="https://www.hsbc.com/-/files/hsbc/investors/hsbc-results/2025/1q/pdfs/hsbc-uk-bank-plc/250507-hbuk-pillar-3-disclosures-at-31-march-2025.pdf" TargetMode="External" Id="rId3"/><Relationship Type="http://schemas.openxmlformats.org/officeDocument/2006/relationships/hyperlink" Target="https://www.hsbc.com/-/files/hsbc/investors/hsbc-results/2024/3q/pdfs/hsbc-uk-bank-plc-ring-fenced-bank/241105-hsbc-uk-bank-plc-pillar-3-disclosures-at-30-september-2024.pdf" TargetMode="External" Id="rId4"/><Relationship Type="http://schemas.openxmlformats.org/officeDocument/2006/relationships/hyperlink" Target="https://www.hsbc.com/-/files/hsbc/investors/hsbc-results/2024/interim/pdfs/hsbc-uk-bank-plc/240806-pillar-3-disclosures-at-30-june-2024.pdf" TargetMode="External" Id="rId5"/><Relationship Type="http://schemas.openxmlformats.org/officeDocument/2006/relationships/hyperlink" Target="https://www.hsbc.com/-/files/hsbc/investors/hsbc-results/2024/interim/pdfs/hsbc-uk-bank-plc/240806-pillar-3-disclosures-at-30-june-2024.pdf" TargetMode="External" Id="rId6"/><Relationship Type="http://schemas.openxmlformats.org/officeDocument/2006/relationships/hyperlink" Target="https://www.hsbc.com/-/files/hsbc/investors/hsbc-results/2023/3q/pdfs/hsbc-bank-plc/231106-hsbc-uk-bank-plc-pillar-3-disclosures-at-30-september-2023.pdf" TargetMode="External" Id="rId7"/><Relationship Type="http://schemas.openxmlformats.org/officeDocument/2006/relationships/hyperlink" Target="https://www.hsbc.com/-/files/hsbc/investors/hsbc-results/2023/3q/pdfs/hsbc-bank-plc/231106-hsbc-uk-bank-plc-pillar-3-disclosures-at-30-september-2023.pdf" TargetMode="External" Id="rId8"/><Relationship Type="http://schemas.openxmlformats.org/officeDocument/2006/relationships/hyperlink" Target="https://www.hsbc.com/-/files/hsbc/investors/hsbc-results/2023/3q/pdfs/hsbc-bank-plc/231106-hsbc-uk-bank-plc-pillar-3-disclosures-at-30-september-2023.pdf" TargetMode="External" Id="rId9"/><Relationship Type="http://schemas.openxmlformats.org/officeDocument/2006/relationships/hyperlink" Target="https://www.hsbc.com/-/files/hsbc/investors/hsbc-results/2022/3q/pdfs/hsbc-uk-bank-plc/221102-pillar-3-disclosures-at-30-september-2022.pdf" TargetMode="External" Id="rId10"/><Relationship Type="http://schemas.openxmlformats.org/officeDocument/2006/relationships/hyperlink" Target="https://www.hsbc.com/-/files/hsbc/investors/hsbc-results/2022/3q/pdfs/hsbc-uk-bank-plc/221102-pillar-3-disclosures-at-30-september-2022.pdf" TargetMode="External" Id="rId11"/><Relationship Type="http://schemas.openxmlformats.org/officeDocument/2006/relationships/hyperlink" Target="https://www.hsbc.com/-/files/hsbc/investors/hsbc-results/2022/3q/pdfs/hsbc-uk-bank-plc/221102-pillar-3-disclosures-at-30-september-2022.pdf" TargetMode="External" Id="rId12"/><Relationship Type="http://schemas.openxmlformats.org/officeDocument/2006/relationships/hyperlink" Target="https://www.hsbc.com/-/files/hsbc/investors/hsbc-results/2022/3q/pdfs/hsbc-uk-bank-plc/221102-pillar-3-disclosures-at-30-september-2022.pdf" TargetMode="External" Id="rId13"/><Relationship Type="http://schemas.openxmlformats.org/officeDocument/2006/relationships/hyperlink" Target="https://www.hsbc.com/-/files/hsbc/investors/hsbc-results/2025/3q/pdfs/hsbc-uk-bank-plc-ring-fenced-bank/251106-hsbc-uk-bank-plc-pillar-3-disclosures-at-30-september-2025.pdf" TargetMode="External" Id="rId14"/><Relationship Type="http://schemas.openxmlformats.org/officeDocument/2006/relationships/hyperlink" Target="https://www.hsbc.com/-/files/hsbc/investors/hsbc-results/2025/interim/pdfs/hsbc-uk-bank-plc/250806-pillar-3-disclosures-at-30-june-2025.pdf" TargetMode="External" Id="rId15"/><Relationship Type="http://schemas.openxmlformats.org/officeDocument/2006/relationships/hyperlink" Target="https://www.hsbc.com/-/files/hsbc/investors/hsbc-results/2025/1q/pdfs/hsbc-uk-bank-plc/250507-hbuk-pillar-3-disclosures-at-31-march-2025.pdf" TargetMode="External" Id="rId16"/><Relationship Type="http://schemas.openxmlformats.org/officeDocument/2006/relationships/hyperlink" Target="https://www.hsbc.com/-/files/hsbc/investors/hsbc-results/2024/3q/pdfs/hsbc-uk-bank-plc-ring-fenced-bank/241105-hsbc-uk-bank-plc-pillar-3-disclosures-at-30-september-2024.pdf" TargetMode="External" Id="rId17"/><Relationship Type="http://schemas.openxmlformats.org/officeDocument/2006/relationships/hyperlink" Target="https://www.hsbc.com/-/files/hsbc/investors/hsbc-results/2024/interim/pdfs/hsbc-uk-bank-plc/240806-pillar-3-disclosures-at-30-june-2024.pdf" TargetMode="External" Id="rId18"/><Relationship Type="http://schemas.openxmlformats.org/officeDocument/2006/relationships/hyperlink" Target="https://www.hsbc.com/-/files/hsbc/investors/hsbc-results/2024/interim/pdfs/hsbc-uk-bank-plc/240806-pillar-3-disclosures-at-30-june-2024.pdf" TargetMode="External" Id="rId19"/><Relationship Type="http://schemas.openxmlformats.org/officeDocument/2006/relationships/hyperlink" Target="https://www.hsbc.com/-/files/hsbc/investors/hsbc-results/2023/3q/pdfs/hsbc-bank-plc/231106-hsbc-uk-bank-plc-pillar-3-disclosures-at-30-september-2023.pdf" TargetMode="External" Id="rId20"/><Relationship Type="http://schemas.openxmlformats.org/officeDocument/2006/relationships/hyperlink" Target="https://www.hsbc.com/-/files/hsbc/investors/hsbc-results/2023/3q/pdfs/hsbc-bank-plc/231106-hsbc-uk-bank-plc-pillar-3-disclosures-at-30-september-2023.pdf" TargetMode="External" Id="rId21"/><Relationship Type="http://schemas.openxmlformats.org/officeDocument/2006/relationships/hyperlink" Target="https://www.hsbc.com/-/files/hsbc/investors/hsbc-results/2023/3q/pdfs/hsbc-bank-plc/231106-hsbc-uk-bank-plc-pillar-3-disclosures-at-30-september-2023.pdf" TargetMode="External" Id="rId22"/><Relationship Type="http://schemas.openxmlformats.org/officeDocument/2006/relationships/hyperlink" Target="https://www.hsbc.com/-/files/hsbc/investors/hsbc-results/2022/3q/pdfs/hsbc-uk-bank-plc/221102-pillar-3-disclosures-at-30-september-2022.pdf" TargetMode="External" Id="rId23"/><Relationship Type="http://schemas.openxmlformats.org/officeDocument/2006/relationships/hyperlink" Target="https://www.hsbc.com/-/files/hsbc/investors/hsbc-results/2022/3q/pdfs/hsbc-uk-bank-plc/221102-pillar-3-disclosures-at-30-september-2022.pdf" TargetMode="External" Id="rId24"/><Relationship Type="http://schemas.openxmlformats.org/officeDocument/2006/relationships/hyperlink" Target="https://www.hsbc.com/-/files/hsbc/investors/hsbc-results/2022/3q/pdfs/hsbc-uk-bank-plc/221102-pillar-3-disclosures-at-30-september-2022.pdf" TargetMode="External" Id="rId25"/><Relationship Type="http://schemas.openxmlformats.org/officeDocument/2006/relationships/hyperlink" Target="https://www.hsbc.com/-/files/hsbc/investors/hsbc-results/2022/3q/pdfs/hsbc-uk-bank-plc/221102-pillar-3-disclosures-at-30-september-2022.pdf" TargetMode="External" Id="rId26"/><Relationship Type="http://schemas.openxmlformats.org/officeDocument/2006/relationships/hyperlink" Target="https://www.hsbc.com/-/files/hsbc/investors/hsbc-results/2025/3q/pdfs/hsbc-uk-bank-plc-ring-fenced-bank/251106-hsbc-uk-bank-plc-pillar-3-disclosures-at-30-september-2025.pdf" TargetMode="External" Id="rId27"/><Relationship Type="http://schemas.openxmlformats.org/officeDocument/2006/relationships/hyperlink" Target="https://www.hsbc.com/-/files/hsbc/investors/hsbc-results/2025/interim/pdfs/hsbc-uk-bank-plc/250806-pillar-3-disclosures-at-30-june-2025.pdf" TargetMode="External" Id="rId28"/><Relationship Type="http://schemas.openxmlformats.org/officeDocument/2006/relationships/hyperlink" Target="https://www.hsbc.com/-/files/hsbc/investors/hsbc-results/2025/1q/pdfs/hsbc-uk-bank-plc/250507-hbuk-pillar-3-disclosures-at-31-march-2025.pdf" TargetMode="External" Id="rId29"/><Relationship Type="http://schemas.openxmlformats.org/officeDocument/2006/relationships/hyperlink" Target="https://www.hsbc.com/-/files/hsbc/investors/hsbc-results/2024/3q/pdfs/hsbc-uk-bank-plc-ring-fenced-bank/241105-hsbc-uk-bank-plc-pillar-3-disclosures-at-30-september-2024.pdf" TargetMode="External" Id="rId30"/><Relationship Type="http://schemas.openxmlformats.org/officeDocument/2006/relationships/hyperlink" Target="https://www.hsbc.com/-/files/hsbc/investors/hsbc-results/2024/interim/pdfs/hsbc-uk-bank-plc/240806-pillar-3-disclosures-at-30-june-2024.pdf" TargetMode="External" Id="rId31"/><Relationship Type="http://schemas.openxmlformats.org/officeDocument/2006/relationships/hyperlink" Target="https://www.hsbc.com/-/files/hsbc/investors/hsbc-results/2024/interim/pdfs/hsbc-uk-bank-plc/240806-pillar-3-disclosures-at-30-june-2024.pdf" TargetMode="External" Id="rId32"/><Relationship Type="http://schemas.openxmlformats.org/officeDocument/2006/relationships/hyperlink" Target="https://www.hsbc.com/-/files/hsbc/investors/hsbc-results/2023/3q/pdfs/hsbc-bank-plc/231106-hsbc-uk-bank-plc-pillar-3-disclosures-at-30-september-2023.pdf" TargetMode="External" Id="rId33"/><Relationship Type="http://schemas.openxmlformats.org/officeDocument/2006/relationships/hyperlink" Target="https://www.hsbc.com/-/files/hsbc/investors/hsbc-results/2023/3q/pdfs/hsbc-bank-plc/231106-hsbc-uk-bank-plc-pillar-3-disclosures-at-30-september-2023.pdf" TargetMode="External" Id="rId34"/><Relationship Type="http://schemas.openxmlformats.org/officeDocument/2006/relationships/hyperlink" Target="https://www.hsbc.com/-/files/hsbc/investors/hsbc-results/2023/3q/pdfs/hsbc-bank-plc/231106-hsbc-uk-bank-plc-pillar-3-disclosures-at-30-september-2023.pdf" TargetMode="External" Id="rId35"/><Relationship Type="http://schemas.openxmlformats.org/officeDocument/2006/relationships/hyperlink" Target="https://www.hsbc.com/-/files/hsbc/investors/hsbc-results/2022/3q/pdfs/hsbc-uk-bank-plc/221102-pillar-3-disclosures-at-30-september-2022.pdf" TargetMode="External" Id="rId36"/><Relationship Type="http://schemas.openxmlformats.org/officeDocument/2006/relationships/hyperlink" Target="https://www.hsbc.com/-/files/hsbc/investors/hsbc-results/2022/3q/pdfs/hsbc-uk-bank-plc/221102-pillar-3-disclosures-at-30-september-2022.pdf" TargetMode="External" Id="rId37"/><Relationship Type="http://schemas.openxmlformats.org/officeDocument/2006/relationships/hyperlink" Target="https://www.hsbc.com/-/files/hsbc/investors/hsbc-results/2022/3q/pdfs/hsbc-uk-bank-plc/221102-pillar-3-disclosures-at-30-september-2022.pdf" TargetMode="External" Id="rId38"/><Relationship Type="http://schemas.openxmlformats.org/officeDocument/2006/relationships/hyperlink" Target="https://www.hsbc.com/-/files/hsbc/investors/hsbc-results/2022/3q/pdfs/hsbc-uk-bank-plc/221102-pillar-3-disclosures-at-30-september-2022.pdf" TargetMode="External" Id="rId39"/><Relationship Type="http://schemas.openxmlformats.org/officeDocument/2006/relationships/hyperlink" Target="https://www.hsbc.com/-/files/hsbc/investors/hsbc-results/2025/3q/pdfs/hsbc-uk-bank-plc-ring-fenced-bank/251106-hsbc-uk-bank-plc-pillar-3-disclosures-at-30-september-2025.pdf" TargetMode="External" Id="rId40"/><Relationship Type="http://schemas.openxmlformats.org/officeDocument/2006/relationships/hyperlink" Target="https://www.hsbc.com/-/files/hsbc/investors/hsbc-results/2025/interim/pdfs/hsbc-uk-bank-plc/250806-pillar-3-disclosures-at-30-june-2025.pdf" TargetMode="External" Id="rId41"/><Relationship Type="http://schemas.openxmlformats.org/officeDocument/2006/relationships/hyperlink" Target="https://www.hsbc.com/-/files/hsbc/investors/hsbc-results/2025/1q/pdfs/hsbc-uk-bank-plc/250507-hbuk-pillar-3-disclosures-at-31-march-2025.pdf" TargetMode="External" Id="rId42"/><Relationship Type="http://schemas.openxmlformats.org/officeDocument/2006/relationships/hyperlink" Target="https://www.hsbc.com/-/files/hsbc/investors/hsbc-results/2024/3q/pdfs/hsbc-uk-bank-plc-ring-fenced-bank/241105-hsbc-uk-bank-plc-pillar-3-disclosures-at-30-september-2024.pdf" TargetMode="External" Id="rId43"/><Relationship Type="http://schemas.openxmlformats.org/officeDocument/2006/relationships/hyperlink" Target="https://www.hsbc.com/-/files/hsbc/investors/hsbc-results/2024/interim/pdfs/hsbc-uk-bank-plc/240806-pillar-3-disclosures-at-30-june-2024.pdf" TargetMode="External" Id="rId44"/><Relationship Type="http://schemas.openxmlformats.org/officeDocument/2006/relationships/hyperlink" Target="https://www.hsbc.com/-/files/hsbc/investors/hsbc-results/2024/interim/pdfs/hsbc-uk-bank-plc/240806-pillar-3-disclosures-at-30-june-2024.pdf" TargetMode="External" Id="rId45"/><Relationship Type="http://schemas.openxmlformats.org/officeDocument/2006/relationships/hyperlink" Target="https://www.hsbc.com/-/files/hsbc/investors/hsbc-results/2023/3q/pdfs/hsbc-bank-plc/231106-hsbc-uk-bank-plc-pillar-3-disclosures-at-30-september-2023.pdf" TargetMode="External" Id="rId46"/><Relationship Type="http://schemas.openxmlformats.org/officeDocument/2006/relationships/hyperlink" Target="https://www.hsbc.com/-/files/hsbc/investors/hsbc-results/2023/3q/pdfs/hsbc-bank-plc/231106-hsbc-uk-bank-plc-pillar-3-disclosures-at-30-september-2023.pdf" TargetMode="External" Id="rId47"/><Relationship Type="http://schemas.openxmlformats.org/officeDocument/2006/relationships/hyperlink" Target="https://www.hsbc.com/-/files/hsbc/investors/hsbc-results/2023/3q/pdfs/hsbc-bank-plc/231106-hsbc-uk-bank-plc-pillar-3-disclosures-at-30-september-2023.pdf" TargetMode="External" Id="rId48"/><Relationship Type="http://schemas.openxmlformats.org/officeDocument/2006/relationships/hyperlink" Target="https://www.hsbc.com/-/files/hsbc/investors/hsbc-results/2022/3q/pdfs/hsbc-uk-bank-plc/221102-pillar-3-disclosures-at-30-september-2022.pdf" TargetMode="External" Id="rId49"/><Relationship Type="http://schemas.openxmlformats.org/officeDocument/2006/relationships/hyperlink" Target="https://www.hsbc.com/-/files/hsbc/investors/hsbc-results/2022/3q/pdfs/hsbc-uk-bank-plc/221102-pillar-3-disclosures-at-30-september-2022.pdf" TargetMode="External" Id="rId50"/><Relationship Type="http://schemas.openxmlformats.org/officeDocument/2006/relationships/hyperlink" Target="https://www.hsbc.com/-/files/hsbc/investors/hsbc-results/2022/3q/pdfs/hsbc-uk-bank-plc/221102-pillar-3-disclosures-at-30-september-2022.pdf" TargetMode="External" Id="rId51"/><Relationship Type="http://schemas.openxmlformats.org/officeDocument/2006/relationships/hyperlink" Target="https://www.hsbc.com/-/files/hsbc/investors/hsbc-results/2022/3q/pdfs/hsbc-uk-bank-plc/221102-pillar-3-disclosures-at-30-september-2022.pdf" TargetMode="External" Id="rId52"/><Relationship Type="http://schemas.openxmlformats.org/officeDocument/2006/relationships/hyperlink" Target="https://www.hsbc.com/-/files/hsbc/investors/hsbc-results/2025/3q/pdfs/hsbc-uk-bank-plc-ring-fenced-bank/251106-hsbc-uk-bank-plc-pillar-3-disclosures-at-30-september-2025.pdf" TargetMode="External" Id="rId53"/><Relationship Type="http://schemas.openxmlformats.org/officeDocument/2006/relationships/hyperlink" Target="https://www.hsbc.com/-/files/hsbc/investors/hsbc-results/2025/interim/pdfs/hsbc-uk-bank-plc/250806-pillar-3-disclosures-at-30-june-2025.pdf" TargetMode="External" Id="rId54"/><Relationship Type="http://schemas.openxmlformats.org/officeDocument/2006/relationships/hyperlink" Target="https://www.hsbc.com/-/files/hsbc/investors/hsbc-results/2025/1q/pdfs/hsbc-uk-bank-plc/250507-hbuk-pillar-3-disclosures-at-31-march-2025.pdf" TargetMode="External" Id="rId55"/><Relationship Type="http://schemas.openxmlformats.org/officeDocument/2006/relationships/hyperlink" Target="https://www.hsbc.com/-/files/hsbc/investors/hsbc-results/2024/3q/pdfs/hsbc-uk-bank-plc-ring-fenced-bank/241105-hsbc-uk-bank-plc-pillar-3-disclosures-at-30-september-2024.pdf" TargetMode="External" Id="rId56"/><Relationship Type="http://schemas.openxmlformats.org/officeDocument/2006/relationships/hyperlink" Target="https://www.hsbc.com/-/files/hsbc/investors/hsbc-results/2024/interim/pdfs/hsbc-uk-bank-plc/240806-pillar-3-disclosures-at-30-june-2024.pdf" TargetMode="External" Id="rId57"/><Relationship Type="http://schemas.openxmlformats.org/officeDocument/2006/relationships/hyperlink" Target="https://www.hsbc.com/-/files/hsbc/investors/hsbc-results/2024/interim/pdfs/hsbc-uk-bank-plc/240806-pillar-3-disclosures-at-30-june-2024.pdf" TargetMode="External" Id="rId58"/><Relationship Type="http://schemas.openxmlformats.org/officeDocument/2006/relationships/hyperlink" Target="https://www.hsbc.com/-/files/hsbc/investors/hsbc-results/2023/3q/pdfs/hsbc-bank-plc/231106-hsbc-uk-bank-plc-pillar-3-disclosures-at-30-september-2023.pdf" TargetMode="External" Id="rId59"/><Relationship Type="http://schemas.openxmlformats.org/officeDocument/2006/relationships/hyperlink" Target="https://www.hsbc.com/-/files/hsbc/investors/hsbc-results/2023/3q/pdfs/hsbc-bank-plc/231106-hsbc-uk-bank-plc-pillar-3-disclosures-at-30-september-2023.pdf" TargetMode="External" Id="rId60"/><Relationship Type="http://schemas.openxmlformats.org/officeDocument/2006/relationships/hyperlink" Target="https://www.hsbc.com/-/files/hsbc/investors/hsbc-results/2023/3q/pdfs/hsbc-bank-plc/231106-hsbc-uk-bank-plc-pillar-3-disclosures-at-30-september-2023.pdf" TargetMode="External" Id="rId61"/><Relationship Type="http://schemas.openxmlformats.org/officeDocument/2006/relationships/hyperlink" Target="https://www.hsbc.com/-/files/hsbc/investors/hsbc-results/2022/3q/pdfs/hsbc-uk-bank-plc/221102-pillar-3-disclosures-at-30-september-2022.pdf" TargetMode="External" Id="rId62"/><Relationship Type="http://schemas.openxmlformats.org/officeDocument/2006/relationships/hyperlink" Target="https://www.hsbc.com/-/files/hsbc/investors/hsbc-results/2022/3q/pdfs/hsbc-uk-bank-plc/221102-pillar-3-disclosures-at-30-september-2022.pdf" TargetMode="External" Id="rId63"/><Relationship Type="http://schemas.openxmlformats.org/officeDocument/2006/relationships/hyperlink" Target="https://www.hsbc.com/-/files/hsbc/investors/hsbc-results/2022/3q/pdfs/hsbc-uk-bank-plc/221102-pillar-3-disclosures-at-30-september-2022.pdf" TargetMode="External" Id="rId64"/><Relationship Type="http://schemas.openxmlformats.org/officeDocument/2006/relationships/hyperlink" Target="https://www.hsbc.com/-/files/hsbc/investors/hsbc-results/2022/3q/pdfs/hsbc-uk-bank-plc/221102-pillar-3-disclosures-at-30-september-2022.pdf" TargetMode="External" Id="rId65"/><Relationship Type="http://schemas.openxmlformats.org/officeDocument/2006/relationships/hyperlink" Target="https://www.hsbc.com/-/files/hsbc/investors/hsbc-results/2025/3q/pdfs/hsbc-uk-bank-plc-ring-fenced-bank/251106-hsbc-uk-bank-plc-pillar-3-disclosures-at-30-september-2025.pdf" TargetMode="External" Id="rId66"/><Relationship Type="http://schemas.openxmlformats.org/officeDocument/2006/relationships/hyperlink" Target="https://www.hsbc.com/-/files/hsbc/investors/hsbc-results/2025/interim/pdfs/hsbc-uk-bank-plc/250806-pillar-3-disclosures-at-30-june-2025.pdf" TargetMode="External" Id="rId67"/><Relationship Type="http://schemas.openxmlformats.org/officeDocument/2006/relationships/hyperlink" Target="https://www.hsbc.com/-/files/hsbc/investors/hsbc-results/2025/1q/pdfs/hsbc-uk-bank-plc/250507-hbuk-pillar-3-disclosures-at-31-march-2025.pdf" TargetMode="External" Id="rId68"/><Relationship Type="http://schemas.openxmlformats.org/officeDocument/2006/relationships/hyperlink" Target="https://www.hsbc.com/-/files/hsbc/investors/hsbc-results/2024/3q/pdfs/hsbc-uk-bank-plc-ring-fenced-bank/241105-hsbc-uk-bank-plc-pillar-3-disclosures-at-30-september-2024.pdf" TargetMode="External" Id="rId69"/><Relationship Type="http://schemas.openxmlformats.org/officeDocument/2006/relationships/hyperlink" Target="https://www.hsbc.com/-/files/hsbc/investors/hsbc-results/2024/interim/pdfs/hsbc-uk-bank-plc/240806-pillar-3-disclosures-at-30-june-2024.pdf" TargetMode="External" Id="rId70"/><Relationship Type="http://schemas.openxmlformats.org/officeDocument/2006/relationships/hyperlink" Target="https://www.hsbc.com/-/files/hsbc/investors/hsbc-results/2024/interim/pdfs/hsbc-uk-bank-plc/240806-pillar-3-disclosures-at-30-june-2024.pdf" TargetMode="External" Id="rId71"/><Relationship Type="http://schemas.openxmlformats.org/officeDocument/2006/relationships/hyperlink" Target="https://www.hsbc.com/-/files/hsbc/investors/hsbc-results/2023/3q/pdfs/hsbc-bank-plc/231106-hsbc-uk-bank-plc-pillar-3-disclosures-at-30-september-2023.pdf" TargetMode="External" Id="rId72"/><Relationship Type="http://schemas.openxmlformats.org/officeDocument/2006/relationships/hyperlink" Target="https://www.hsbc.com/-/files/hsbc/investors/hsbc-results/2023/3q/pdfs/hsbc-bank-plc/231106-hsbc-uk-bank-plc-pillar-3-disclosures-at-30-september-2023.pdf" TargetMode="External" Id="rId73"/><Relationship Type="http://schemas.openxmlformats.org/officeDocument/2006/relationships/hyperlink" Target="https://www.hsbc.com/-/files/hsbc/investors/hsbc-results/2023/3q/pdfs/hsbc-bank-plc/231106-hsbc-uk-bank-plc-pillar-3-disclosures-at-30-september-2023.pdf" TargetMode="External" Id="rId74"/><Relationship Type="http://schemas.openxmlformats.org/officeDocument/2006/relationships/hyperlink" Target="https://www.hsbc.com/-/files/hsbc/investors/hsbc-results/2022/3q/pdfs/hsbc-uk-bank-plc/221102-pillar-3-disclosures-at-30-september-2022.pdf" TargetMode="External" Id="rId75"/><Relationship Type="http://schemas.openxmlformats.org/officeDocument/2006/relationships/hyperlink" Target="https://www.hsbc.com/-/files/hsbc/investors/hsbc-results/2022/3q/pdfs/hsbc-uk-bank-plc/221102-pillar-3-disclosures-at-30-september-2022.pdf" TargetMode="External" Id="rId76"/><Relationship Type="http://schemas.openxmlformats.org/officeDocument/2006/relationships/hyperlink" Target="https://www.hsbc.com/-/files/hsbc/investors/hsbc-results/2022/3q/pdfs/hsbc-uk-bank-plc/221102-pillar-3-disclosures-at-30-september-2022.pdf" TargetMode="External" Id="rId77"/><Relationship Type="http://schemas.openxmlformats.org/officeDocument/2006/relationships/hyperlink" Target="https://www.hsbc.com/-/files/hsbc/investors/hsbc-results/2022/3q/pdfs/hsbc-uk-bank-plc/221102-pillar-3-disclosures-at-30-september-2022.pdf" TargetMode="External" Id="rId78"/><Relationship Type="http://schemas.openxmlformats.org/officeDocument/2006/relationships/hyperlink" Target="https://www.hsbc.com/-/files/hsbc/investors/hsbc-results/2025/3q/pdfs/hsbc-uk-bank-plc-ring-fenced-bank/251106-hsbc-uk-bank-plc-pillar-3-disclosures-at-30-september-2025.pdf" TargetMode="External" Id="rId79"/><Relationship Type="http://schemas.openxmlformats.org/officeDocument/2006/relationships/hyperlink" Target="https://www.hsbc.com/-/files/hsbc/investors/hsbc-results/2025/interim/pdfs/hsbc-uk-bank-plc/250806-pillar-3-disclosures-at-30-june-2025.pdf" TargetMode="External" Id="rId80"/><Relationship Type="http://schemas.openxmlformats.org/officeDocument/2006/relationships/hyperlink" Target="https://www.hsbc.com/-/files/hsbc/investors/hsbc-results/2025/1q/pdfs/hsbc-uk-bank-plc/250507-hbuk-pillar-3-disclosures-at-31-march-2025.pdf" TargetMode="External" Id="rId81"/><Relationship Type="http://schemas.openxmlformats.org/officeDocument/2006/relationships/hyperlink" Target="https://www.hsbc.com/-/files/hsbc/investors/hsbc-results/2024/3q/pdfs/hsbc-uk-bank-plc-ring-fenced-bank/241105-hsbc-uk-bank-plc-pillar-3-disclosures-at-30-september-2024.pdf" TargetMode="External" Id="rId82"/><Relationship Type="http://schemas.openxmlformats.org/officeDocument/2006/relationships/hyperlink" Target="https://www.hsbc.com/-/files/hsbc/investors/hsbc-results/2024/interim/pdfs/hsbc-uk-bank-plc/240806-pillar-3-disclosures-at-30-june-2024.pdf" TargetMode="External" Id="rId83"/><Relationship Type="http://schemas.openxmlformats.org/officeDocument/2006/relationships/hyperlink" Target="https://www.hsbc.com/-/files/hsbc/investors/hsbc-results/2024/interim/pdfs/hsbc-uk-bank-plc/240806-pillar-3-disclosures-at-30-june-2024.pdf" TargetMode="External" Id="rId84"/><Relationship Type="http://schemas.openxmlformats.org/officeDocument/2006/relationships/hyperlink" Target="https://www.hsbc.com/-/files/hsbc/investors/hsbc-results/2023/3q/pdfs/hsbc-bank-plc/231106-hsbc-uk-bank-plc-pillar-3-disclosures-at-30-september-2023.pdf" TargetMode="External" Id="rId85"/><Relationship Type="http://schemas.openxmlformats.org/officeDocument/2006/relationships/hyperlink" Target="https://www.hsbc.com/-/files/hsbc/investors/hsbc-results/2023/3q/pdfs/hsbc-bank-plc/231106-hsbc-uk-bank-plc-pillar-3-disclosures-at-30-september-2023.pdf" TargetMode="External" Id="rId86"/><Relationship Type="http://schemas.openxmlformats.org/officeDocument/2006/relationships/hyperlink" Target="https://www.hsbc.com/-/files/hsbc/investors/hsbc-results/2023/3q/pdfs/hsbc-bank-plc/231106-hsbc-uk-bank-plc-pillar-3-disclosures-at-30-september-2023.pdf" TargetMode="External" Id="rId87"/><Relationship Type="http://schemas.openxmlformats.org/officeDocument/2006/relationships/hyperlink" Target="https://www.hsbc.com/-/files/hsbc/investors/hsbc-results/2022/3q/pdfs/hsbc-uk-bank-plc/221102-pillar-3-disclosures-at-30-september-2022.pdf" TargetMode="External" Id="rId88"/><Relationship Type="http://schemas.openxmlformats.org/officeDocument/2006/relationships/hyperlink" Target="https://www.hsbc.com/-/files/hsbc/investors/hsbc-results/2022/3q/pdfs/hsbc-uk-bank-plc/221102-pillar-3-disclosures-at-30-september-2022.pdf" TargetMode="External" Id="rId89"/><Relationship Type="http://schemas.openxmlformats.org/officeDocument/2006/relationships/hyperlink" Target="https://www.hsbc.com/-/files/hsbc/investors/hsbc-results/2022/3q/pdfs/hsbc-uk-bank-plc/221102-pillar-3-disclosures-at-30-september-2022.pdf" TargetMode="External" Id="rId90"/><Relationship Type="http://schemas.openxmlformats.org/officeDocument/2006/relationships/hyperlink" Target="https://www.hsbc.com/-/files/hsbc/investors/hsbc-results/2022/3q/pdfs/hsbc-uk-bank-plc/221102-pillar-3-disclosures-at-30-september-2022.pdf" TargetMode="External" Id="rId91"/><Relationship Type="http://schemas.openxmlformats.org/officeDocument/2006/relationships/hyperlink" Target="https://www.hsbc.com/-/files/hsbc/investors/hsbc-results/2025/3q/pdfs/hsbc-uk-bank-plc-ring-fenced-bank/251106-hsbc-uk-bank-plc-pillar-3-disclosures-at-30-september-2025.pdf" TargetMode="External" Id="rId92"/><Relationship Type="http://schemas.openxmlformats.org/officeDocument/2006/relationships/hyperlink" Target="https://www.hsbc.com/-/files/hsbc/investors/hsbc-results/2025/interim/pdfs/hsbc-uk-bank-plc/250806-pillar-3-disclosures-at-30-june-2025.pdf" TargetMode="External" Id="rId93"/><Relationship Type="http://schemas.openxmlformats.org/officeDocument/2006/relationships/hyperlink" Target="https://www.hsbc.com/-/files/hsbc/investors/hsbc-results/2025/1q/pdfs/hsbc-uk-bank-plc/250507-hbuk-pillar-3-disclosures-at-31-march-2025.pdf" TargetMode="External" Id="rId94"/><Relationship Type="http://schemas.openxmlformats.org/officeDocument/2006/relationships/hyperlink" Target="https://www.hsbc.com/-/files/hsbc/investors/hsbc-results/2024/3q/pdfs/hsbc-uk-bank-plc-ring-fenced-bank/241105-hsbc-uk-bank-plc-pillar-3-disclosures-at-30-september-2024.pdf" TargetMode="External" Id="rId95"/><Relationship Type="http://schemas.openxmlformats.org/officeDocument/2006/relationships/hyperlink" Target="https://www.hsbc.com/-/files/hsbc/investors/hsbc-results/2024/interim/pdfs/hsbc-uk-bank-plc/240806-pillar-3-disclosures-at-30-june-2024.pdf" TargetMode="External" Id="rId96"/><Relationship Type="http://schemas.openxmlformats.org/officeDocument/2006/relationships/hyperlink" Target="https://www.hsbc.com/-/files/hsbc/investors/hsbc-results/2024/interim/pdfs/hsbc-uk-bank-plc/240806-pillar-3-disclosures-at-30-june-2024.pdf" TargetMode="External" Id="rId97"/><Relationship Type="http://schemas.openxmlformats.org/officeDocument/2006/relationships/hyperlink" Target="https://www.hsbc.com/-/files/hsbc/investors/hsbc-results/2023/3q/pdfs/hsbc-bank-plc/231106-hsbc-uk-bank-plc-pillar-3-disclosures-at-30-september-2023.pdf" TargetMode="External" Id="rId98"/><Relationship Type="http://schemas.openxmlformats.org/officeDocument/2006/relationships/hyperlink" Target="https://www.hsbc.com/-/files/hsbc/investors/hsbc-results/2023/3q/pdfs/hsbc-bank-plc/231106-hsbc-uk-bank-plc-pillar-3-disclosures-at-30-september-2023.pdf" TargetMode="External" Id="rId99"/><Relationship Type="http://schemas.openxmlformats.org/officeDocument/2006/relationships/hyperlink" Target="https://www.hsbc.com/-/files/hsbc/investors/hsbc-results/2023/3q/pdfs/hsbc-bank-plc/231106-hsbc-uk-bank-plc-pillar-3-disclosures-at-30-september-2023.pdf" TargetMode="External" Id="rId100"/><Relationship Type="http://schemas.openxmlformats.org/officeDocument/2006/relationships/hyperlink" Target="https://www.hsbc.com/-/files/hsbc/investors/hsbc-results/2022/3q/pdfs/hsbc-uk-bank-plc/221102-pillar-3-disclosures-at-30-september-2022.pdf" TargetMode="External" Id="rId101"/><Relationship Type="http://schemas.openxmlformats.org/officeDocument/2006/relationships/hyperlink" Target="https://www.hsbc.com/-/files/hsbc/investors/hsbc-results/2022/3q/pdfs/hsbc-uk-bank-plc/221102-pillar-3-disclosures-at-30-september-2022.pdf" TargetMode="External" Id="rId102"/><Relationship Type="http://schemas.openxmlformats.org/officeDocument/2006/relationships/hyperlink" Target="https://www.hsbc.com/-/files/hsbc/investors/hsbc-results/2022/3q/pdfs/hsbc-uk-bank-plc/221102-pillar-3-disclosures-at-30-september-2022.pdf" TargetMode="External" Id="rId103"/><Relationship Type="http://schemas.openxmlformats.org/officeDocument/2006/relationships/hyperlink" Target="https://www.hsbc.com/-/files/hsbc/investors/hsbc-results/2022/3q/pdfs/hsbc-uk-bank-plc/221102-pillar-3-disclosures-at-30-september-2022.pdf" TargetMode="External" Id="rId104"/><Relationship Type="http://schemas.openxmlformats.org/officeDocument/2006/relationships/hyperlink" Target="https://www.hsbc.com/-/files/hsbc/investors/hsbc-results/2025/3q/pdfs/hsbc-uk-bank-plc-ring-fenced-bank/251106-hsbc-uk-bank-plc-pillar-3-disclosures-at-30-september-2025.pdf" TargetMode="External" Id="rId105"/><Relationship Type="http://schemas.openxmlformats.org/officeDocument/2006/relationships/hyperlink" Target="https://www.hsbc.com/-/files/hsbc/investors/hsbc-results/2025/interim/pdfs/hsbc-uk-bank-plc/250806-pillar-3-disclosures-at-30-june-2025.pdf" TargetMode="External" Id="rId106"/><Relationship Type="http://schemas.openxmlformats.org/officeDocument/2006/relationships/hyperlink" Target="https://www.hsbc.com/-/files/hsbc/investors/hsbc-results/2025/1q/pdfs/hsbc-uk-bank-plc/250507-hbuk-pillar-3-disclosures-at-31-march-2025.pdf" TargetMode="External" Id="rId107"/><Relationship Type="http://schemas.openxmlformats.org/officeDocument/2006/relationships/hyperlink" Target="https://www.hsbc.com/-/files/hsbc/investors/hsbc-results/2024/3q/pdfs/hsbc-uk-bank-plc-ring-fenced-bank/241105-hsbc-uk-bank-plc-pillar-3-disclosures-at-30-september-2024.pdf" TargetMode="External" Id="rId108"/><Relationship Type="http://schemas.openxmlformats.org/officeDocument/2006/relationships/hyperlink" Target="https://www.hsbc.com/-/files/hsbc/investors/hsbc-results/2024/interim/pdfs/hsbc-uk-bank-plc/240806-pillar-3-disclosures-at-30-june-2024.pdf" TargetMode="External" Id="rId109"/><Relationship Type="http://schemas.openxmlformats.org/officeDocument/2006/relationships/hyperlink" Target="https://www.hsbc.com/-/files/hsbc/investors/hsbc-results/2024/interim/pdfs/hsbc-uk-bank-plc/240806-pillar-3-disclosures-at-30-june-2024.pdf" TargetMode="External" Id="rId110"/><Relationship Type="http://schemas.openxmlformats.org/officeDocument/2006/relationships/hyperlink" Target="https://www.hsbc.com/-/files/hsbc/investors/hsbc-results/2023/3q/pdfs/hsbc-bank-plc/231106-hsbc-uk-bank-plc-pillar-3-disclosures-at-30-september-2023.pdf" TargetMode="External" Id="rId111"/><Relationship Type="http://schemas.openxmlformats.org/officeDocument/2006/relationships/hyperlink" Target="https://www.hsbc.com/-/files/hsbc/investors/hsbc-results/2023/3q/pdfs/hsbc-bank-plc/231106-hsbc-uk-bank-plc-pillar-3-disclosures-at-30-september-2023.pdf" TargetMode="External" Id="rId112"/><Relationship Type="http://schemas.openxmlformats.org/officeDocument/2006/relationships/hyperlink" Target="https://www.hsbc.com/-/files/hsbc/investors/hsbc-results/2023/3q/pdfs/hsbc-bank-plc/231106-hsbc-uk-bank-plc-pillar-3-disclosures-at-30-september-2023.pdf" TargetMode="External" Id="rId113"/><Relationship Type="http://schemas.openxmlformats.org/officeDocument/2006/relationships/hyperlink" Target="https://www.hsbc.com/-/files/hsbc/investors/hsbc-results/2022/3q/pdfs/hsbc-uk-bank-plc/221102-pillar-3-disclosures-at-30-september-2022.pdf" TargetMode="External" Id="rId114"/><Relationship Type="http://schemas.openxmlformats.org/officeDocument/2006/relationships/hyperlink" Target="https://www.hsbc.com/-/files/hsbc/investors/hsbc-results/2022/3q/pdfs/hsbc-uk-bank-plc/221102-pillar-3-disclosures-at-30-september-2022.pdf" TargetMode="External" Id="rId115"/><Relationship Type="http://schemas.openxmlformats.org/officeDocument/2006/relationships/hyperlink" Target="https://www.hsbc.com/-/files/hsbc/investors/hsbc-results/2022/3q/pdfs/hsbc-uk-bank-plc/221102-pillar-3-disclosures-at-30-september-2022.pdf" TargetMode="External" Id="rId116"/><Relationship Type="http://schemas.openxmlformats.org/officeDocument/2006/relationships/hyperlink" Target="https://www.hsbc.com/-/files/hsbc/investors/hsbc-results/2025/3q/pdfs/hsbc-uk-bank-plc-ring-fenced-bank/251106-hsbc-uk-bank-plc-pillar-3-disclosures-at-30-september-2025.pdf" TargetMode="External" Id="rId117"/><Relationship Type="http://schemas.openxmlformats.org/officeDocument/2006/relationships/hyperlink" Target="https://www.hsbc.com/-/files/hsbc/investors/hsbc-results/2025/interim/pdfs/hsbc-uk-bank-plc/250806-pillar-3-disclosures-at-30-june-2025.pdf" TargetMode="External" Id="rId118"/><Relationship Type="http://schemas.openxmlformats.org/officeDocument/2006/relationships/hyperlink" Target="https://www.hsbc.com/-/files/hsbc/investors/hsbc-results/2025/1q/pdfs/hsbc-uk-bank-plc/250507-hbuk-pillar-3-disclosures-at-31-march-2025.pdf" TargetMode="External" Id="rId119"/><Relationship Type="http://schemas.openxmlformats.org/officeDocument/2006/relationships/hyperlink" Target="https://www.hsbc.com/-/files/hsbc/investors/hsbc-results/2024/3q/pdfs/hsbc-uk-bank-plc-ring-fenced-bank/241105-hsbc-uk-bank-plc-pillar-3-disclosures-at-30-september-2024.pdf" TargetMode="External" Id="rId120"/><Relationship Type="http://schemas.openxmlformats.org/officeDocument/2006/relationships/hyperlink" Target="https://www.hsbc.com/-/files/hsbc/investors/hsbc-results/2024/interim/pdfs/hsbc-uk-bank-plc/240806-pillar-3-disclosures-at-30-june-2024.pdf" TargetMode="External" Id="rId121"/><Relationship Type="http://schemas.openxmlformats.org/officeDocument/2006/relationships/hyperlink" Target="https://www.hsbc.com/-/files/hsbc/investors/hsbc-results/2024/interim/pdfs/hsbc-uk-bank-plc/240806-pillar-3-disclosures-at-30-june-2024.pdf" TargetMode="External" Id="rId122"/><Relationship Type="http://schemas.openxmlformats.org/officeDocument/2006/relationships/hyperlink" Target="https://www.hsbc.com/-/files/hsbc/investors/hsbc-results/2023/3q/pdfs/hsbc-bank-plc/231106-hsbc-uk-bank-plc-pillar-3-disclosures-at-30-september-2023.pdf" TargetMode="External" Id="rId123"/><Relationship Type="http://schemas.openxmlformats.org/officeDocument/2006/relationships/hyperlink" Target="https://www.hsbc.com/-/files/hsbc/investors/hsbc-results/2023/3q/pdfs/hsbc-bank-plc/231106-hsbc-uk-bank-plc-pillar-3-disclosures-at-30-september-2023.pdf" TargetMode="External" Id="rId124"/><Relationship Type="http://schemas.openxmlformats.org/officeDocument/2006/relationships/hyperlink" Target="https://www.hsbc.com/-/files/hsbc/investors/hsbc-results/2023/3q/pdfs/hsbc-bank-plc/231106-hsbc-uk-bank-plc-pillar-3-disclosures-at-30-september-2023.pdf" TargetMode="External" Id="rId125"/><Relationship Type="http://schemas.openxmlformats.org/officeDocument/2006/relationships/hyperlink" Target="https://www.hsbc.com/-/files/hsbc/investors/hsbc-results/2022/3q/pdfs/hsbc-uk-bank-plc/221102-pillar-3-disclosures-at-30-september-2022.pdf" TargetMode="External" Id="rId126"/><Relationship Type="http://schemas.openxmlformats.org/officeDocument/2006/relationships/hyperlink" Target="https://www.hsbc.com/-/files/hsbc/investors/hsbc-results/2022/3q/pdfs/hsbc-uk-bank-plc/221102-pillar-3-disclosures-at-30-september-2022.pdf" TargetMode="External" Id="rId127"/><Relationship Type="http://schemas.openxmlformats.org/officeDocument/2006/relationships/hyperlink" Target="https://www.hsbc.com/-/files/hsbc/investors/hsbc-results/2022/3q/pdfs/hsbc-uk-bank-plc/221102-pillar-3-disclosures-at-30-september-2022.pdf" TargetMode="External" Id="rId128"/><Relationship Type="http://schemas.openxmlformats.org/officeDocument/2006/relationships/hyperlink" Target="https://www.hsbc.com/-/files/hsbc/investors/hsbc-results/2025/3q/pdfs/hsbc-uk-bank-plc-ring-fenced-bank/251106-hsbc-uk-bank-plc-pillar-3-disclosures-at-30-september-2025.pdf" TargetMode="External" Id="rId129"/><Relationship Type="http://schemas.openxmlformats.org/officeDocument/2006/relationships/hyperlink" Target="https://www.hsbc.com/-/files/hsbc/investors/hsbc-results/2025/interim/pdfs/hsbc-uk-bank-plc/250806-pillar-3-disclosures-at-30-june-2025.pdf" TargetMode="External" Id="rId130"/><Relationship Type="http://schemas.openxmlformats.org/officeDocument/2006/relationships/hyperlink" Target="https://www.hsbc.com/-/files/hsbc/investors/hsbc-results/2025/1q/pdfs/hsbc-uk-bank-plc/250507-hbuk-pillar-3-disclosures-at-31-march-2025.pdf" TargetMode="External" Id="rId131"/><Relationship Type="http://schemas.openxmlformats.org/officeDocument/2006/relationships/hyperlink" Target="https://www.hsbc.com/-/files/hsbc/investors/hsbc-results/2024/3q/pdfs/hsbc-uk-bank-plc-ring-fenced-bank/241105-hsbc-uk-bank-plc-pillar-3-disclosures-at-30-september-2024.pdf" TargetMode="External" Id="rId132"/><Relationship Type="http://schemas.openxmlformats.org/officeDocument/2006/relationships/hyperlink" Target="https://www.hsbc.com/-/files/hsbc/investors/hsbc-results/2024/interim/pdfs/hsbc-uk-bank-plc/240806-pillar-3-disclosures-at-30-june-2024.pdf" TargetMode="External" Id="rId133"/><Relationship Type="http://schemas.openxmlformats.org/officeDocument/2006/relationships/hyperlink" Target="https://www.hsbc.com/-/files/hsbc/investors/hsbc-results/2024/interim/pdfs/hsbc-uk-bank-plc/240806-pillar-3-disclosures-at-30-june-2024.pdf" TargetMode="External" Id="rId134"/><Relationship Type="http://schemas.openxmlformats.org/officeDocument/2006/relationships/hyperlink" Target="https://www.hsbc.com/-/files/hsbc/investors/hsbc-results/2023/3q/pdfs/hsbc-bank-plc/231106-hsbc-uk-bank-plc-pillar-3-disclosures-at-30-september-2023.pdf" TargetMode="External" Id="rId135"/><Relationship Type="http://schemas.openxmlformats.org/officeDocument/2006/relationships/hyperlink" Target="https://www.hsbc.com/-/files/hsbc/investors/hsbc-results/2023/3q/pdfs/hsbc-bank-plc/231106-hsbc-uk-bank-plc-pillar-3-disclosures-at-30-september-2023.pdf" TargetMode="External" Id="rId136"/><Relationship Type="http://schemas.openxmlformats.org/officeDocument/2006/relationships/hyperlink" Target="https://www.hsbc.com/-/files/hsbc/investors/hsbc-results/2023/3q/pdfs/hsbc-bank-plc/231106-hsbc-uk-bank-plc-pillar-3-disclosures-at-30-september-2023.pdf" TargetMode="External" Id="rId137"/><Relationship Type="http://schemas.openxmlformats.org/officeDocument/2006/relationships/hyperlink" Target="https://www.hsbc.com/-/files/hsbc/investors/hsbc-results/2022/3q/pdfs/hsbc-uk-bank-plc/221102-pillar-3-disclosures-at-30-september-2022.pdf" TargetMode="External" Id="rId138"/><Relationship Type="http://schemas.openxmlformats.org/officeDocument/2006/relationships/hyperlink" Target="https://www.hsbc.com/-/files/hsbc/investors/hsbc-results/2022/3q/pdfs/hsbc-uk-bank-plc/221102-pillar-3-disclosures-at-30-september-2022.pdf" TargetMode="External" Id="rId139"/><Relationship Type="http://schemas.openxmlformats.org/officeDocument/2006/relationships/hyperlink" Target="https://www.hsbc.com/-/files/hsbc/investors/hsbc-results/2022/3q/pdfs/hsbc-uk-bank-plc/221102-pillar-3-disclosures-at-30-september-2022.pdf" TargetMode="External" Id="rId140"/><Relationship Type="http://schemas.openxmlformats.org/officeDocument/2006/relationships/hyperlink" Target="https://www.hsbc.com/-/files/hsbc/investors/hsbc-results/2022/3q/pdfs/hsbc-uk-bank-plc/221102-pillar-3-disclosures-at-30-september-2022.pdf" TargetMode="External" Id="rId141"/></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HSBC UK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355930</v>
      </c>
      <c r="C6" s="5" t="n">
        <v>340877</v>
      </c>
      <c r="D6" s="5" t="n">
        <v>332876</v>
      </c>
      <c r="E6" s="5" t="n">
        <v>342441</v>
      </c>
      <c r="F6" s="5" t="n">
        <v>346063</v>
      </c>
      <c r="G6" s="5" t="n">
        <v>304864</v>
      </c>
      <c r="H6" s="5" t="n">
        <v>257102</v>
      </c>
      <c r="K6" t="inlineStr">
        <is>
          <t>Total assets</t>
        </is>
      </c>
      <c r="L6" t="n">
        <v>257102</v>
      </c>
      <c r="M6" t="n">
        <v>304864</v>
      </c>
      <c r="N6" t="n">
        <v>346063</v>
      </c>
      <c r="O6" t="n">
        <v>342441</v>
      </c>
      <c r="P6" t="n">
        <v>332876</v>
      </c>
      <c r="Q6" t="n">
        <v>340877</v>
      </c>
      <c r="R6" t="n">
        <v>355930</v>
      </c>
      <c r="AY6" t="inlineStr">
        <is>
          <t>CET1 Ratio</t>
        </is>
      </c>
      <c r="AZ6" t="n">
        <v>13</v>
      </c>
      <c r="BA6" t="n">
        <v>15.2</v>
      </c>
      <c r="BB6" t="n">
        <v>15.3</v>
      </c>
      <c r="BC6" t="n">
        <v>13.5</v>
      </c>
      <c r="BD6" t="n">
        <v>14</v>
      </c>
      <c r="BE6" t="n">
        <v>13.6</v>
      </c>
      <c r="BF6" t="n">
        <v>13.2</v>
      </c>
    </row>
    <row r="7">
      <c r="A7" s="5" t="inlineStr">
        <is>
          <t>Loans and advances to customers</t>
        </is>
      </c>
      <c r="B7" s="5" t="n">
        <v>231223</v>
      </c>
      <c r="C7" s="5" t="n">
        <v>217604</v>
      </c>
      <c r="D7" s="5" t="n">
        <v>211887</v>
      </c>
      <c r="E7" s="5" t="n">
        <v>204143</v>
      </c>
      <c r="F7" s="5" t="n">
        <v>195526</v>
      </c>
      <c r="G7" s="5" t="n">
        <v>191233</v>
      </c>
      <c r="H7" s="5" t="n">
        <v>183056</v>
      </c>
      <c r="K7" t="inlineStr">
        <is>
          <t>Loans and advances to customers</t>
        </is>
      </c>
      <c r="L7" t="n">
        <v>183056</v>
      </c>
      <c r="M7" t="n">
        <v>191233</v>
      </c>
      <c r="N7" t="n">
        <v>195526</v>
      </c>
      <c r="O7" t="n">
        <v>204143</v>
      </c>
      <c r="P7" t="n">
        <v>211887</v>
      </c>
      <c r="Q7" t="n">
        <v>217604</v>
      </c>
      <c r="R7" t="n">
        <v>231223</v>
      </c>
      <c r="AY7" t="inlineStr">
        <is>
          <t>Tier 1 Ratio</t>
        </is>
      </c>
      <c r="AZ7" t="n">
        <v>15.7</v>
      </c>
      <c r="BA7" t="n">
        <v>17.8</v>
      </c>
      <c r="BB7" t="n">
        <v>18</v>
      </c>
      <c r="BC7" t="n">
        <v>16</v>
      </c>
      <c r="BD7" t="n">
        <v>16.2</v>
      </c>
      <c r="BE7" t="n">
        <v>15.7</v>
      </c>
      <c r="BF7" t="n">
        <v>15.5</v>
      </c>
    </row>
    <row r="8">
      <c r="A8" s="5" t="inlineStr">
        <is>
          <t>Total liabilities</t>
        </is>
      </c>
      <c r="B8" s="5" t="n">
        <v>327669</v>
      </c>
      <c r="C8" s="5" t="n">
        <v>314906</v>
      </c>
      <c r="D8" s="5" t="n">
        <v>306806</v>
      </c>
      <c r="E8" s="5" t="n">
        <v>320215</v>
      </c>
      <c r="F8" s="5" t="n">
        <v>322258</v>
      </c>
      <c r="G8" s="5" t="n">
        <v>282006</v>
      </c>
      <c r="H8" s="5" t="n">
        <v>234851</v>
      </c>
      <c r="K8" t="inlineStr">
        <is>
          <t>Total liabilities</t>
        </is>
      </c>
      <c r="L8" t="n">
        <v>234851</v>
      </c>
      <c r="M8" t="n">
        <v>282006</v>
      </c>
      <c r="N8" t="n">
        <v>322258</v>
      </c>
      <c r="O8" t="n">
        <v>320215</v>
      </c>
      <c r="P8" t="n">
        <v>306806</v>
      </c>
      <c r="Q8" t="n">
        <v>314906</v>
      </c>
      <c r="R8" t="n">
        <v>327669</v>
      </c>
      <c r="AY8" t="inlineStr">
        <is>
          <t>Total Capital Ratio</t>
        </is>
      </c>
      <c r="AZ8" t="n">
        <v>19.2</v>
      </c>
      <c r="BA8" t="n">
        <v>21.3</v>
      </c>
      <c r="BB8" t="n">
        <v>21.6</v>
      </c>
      <c r="BC8" t="n">
        <v>19.3</v>
      </c>
      <c r="BD8" t="n">
        <v>19.5</v>
      </c>
      <c r="BE8" t="n">
        <v>18.6</v>
      </c>
      <c r="BF8" t="n">
        <v>18.6</v>
      </c>
    </row>
    <row r="9">
      <c r="A9" s="5" t="inlineStr">
        <is>
          <t>Total equity</t>
        </is>
      </c>
      <c r="B9" s="5" t="n">
        <v>28261</v>
      </c>
      <c r="C9" s="5" t="n">
        <v>25971</v>
      </c>
      <c r="D9" s="5" t="n">
        <v>26070</v>
      </c>
      <c r="E9" s="5" t="n">
        <v>22226</v>
      </c>
      <c r="F9" s="5" t="n">
        <v>23805</v>
      </c>
      <c r="G9" s="5" t="n">
        <v>22858</v>
      </c>
      <c r="H9" s="5" t="n">
        <v>22251</v>
      </c>
      <c r="K9" t="inlineStr">
        <is>
          <t>Total equity</t>
        </is>
      </c>
      <c r="L9" t="n">
        <v>22251</v>
      </c>
      <c r="M9" t="n">
        <v>22858</v>
      </c>
      <c r="N9" t="n">
        <v>23805</v>
      </c>
      <c r="O9" t="n">
        <v>22226</v>
      </c>
      <c r="P9" t="n">
        <v>26070</v>
      </c>
      <c r="Q9" t="n">
        <v>25971</v>
      </c>
      <c r="R9" t="n">
        <v>28261</v>
      </c>
      <c r="AY9" t="inlineStr">
        <is>
          <t>Leverage Ratio</t>
        </is>
      </c>
      <c r="AZ9" t="n">
        <v>5</v>
      </c>
      <c r="BA9" t="n">
        <v>4.8</v>
      </c>
      <c r="BB9" t="n">
        <v>4.2</v>
      </c>
      <c r="BC9" t="n">
        <v>5.9</v>
      </c>
      <c r="BD9" t="n">
        <v>6.1</v>
      </c>
      <c r="BE9" t="n">
        <v>5.8</v>
      </c>
      <c r="BF9" t="n">
        <v>5.6</v>
      </c>
    </row>
    <row r="10">
      <c r="AY10" t="inlineStr">
        <is>
          <t>LCR</t>
        </is>
      </c>
      <c r="BC10" t="n">
        <v>226</v>
      </c>
      <c r="BD10" t="n">
        <v>201</v>
      </c>
      <c r="BE10" t="n">
        <v>190</v>
      </c>
      <c r="BF10" t="n">
        <v>175</v>
      </c>
    </row>
    <row r="11">
      <c r="A11" s="3" t="inlineStr">
        <is>
          <t>Profit &amp; Loss Summary (£m)</t>
        </is>
      </c>
      <c r="AY11" t="inlineStr">
        <is>
          <t>NSFR</t>
        </is>
      </c>
      <c r="BC11" t="n">
        <v>164</v>
      </c>
      <c r="BD11" t="n">
        <v>158</v>
      </c>
      <c r="BE11" t="n">
        <v>154</v>
      </c>
      <c r="BF11" t="n">
        <v>146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8650</v>
      </c>
      <c r="C13" s="5" t="n">
        <v>8084</v>
      </c>
      <c r="D13" s="5" t="n">
        <v>7787</v>
      </c>
      <c r="E13" s="5" t="n">
        <v>6203</v>
      </c>
      <c r="F13" s="5" t="n">
        <v>4650</v>
      </c>
      <c r="G13" s="5" t="n">
        <v>4551</v>
      </c>
      <c r="H13" s="5" t="n">
        <v>4752</v>
      </c>
      <c r="U13" t="inlineStr">
        <is>
          <t>Net interest income</t>
        </is>
      </c>
      <c r="V13" t="n">
        <v>4752</v>
      </c>
      <c r="W13" t="n">
        <v>4551</v>
      </c>
      <c r="X13" t="n">
        <v>4650</v>
      </c>
      <c r="Y13" t="n">
        <v>6203</v>
      </c>
      <c r="Z13" t="n">
        <v>7787</v>
      </c>
      <c r="AA13" t="n">
        <v>8084</v>
      </c>
      <c r="AB13" t="n">
        <v>8650</v>
      </c>
    </row>
    <row r="14">
      <c r="A14" s="5" t="inlineStr">
        <is>
          <t>Total operating expenses</t>
        </is>
      </c>
      <c r="B14" s="5" t="n">
        <v>-4310</v>
      </c>
      <c r="C14" s="5" t="n">
        <v>-4017</v>
      </c>
      <c r="D14" s="5" t="n">
        <v>-3707</v>
      </c>
      <c r="E14" s="5" t="n">
        <v>-3832</v>
      </c>
      <c r="F14" s="5" t="n">
        <v>-3759</v>
      </c>
      <c r="G14" s="5" t="n">
        <v>-3753</v>
      </c>
      <c r="H14" s="5" t="n">
        <v>-4861</v>
      </c>
      <c r="U14" t="inlineStr">
        <is>
          <t>Total operating expenses</t>
        </is>
      </c>
      <c r="V14" t="n">
        <v>-4861</v>
      </c>
      <c r="W14" t="n">
        <v>-3753</v>
      </c>
      <c r="X14" t="n">
        <v>-3759</v>
      </c>
      <c r="Y14" t="n">
        <v>-3832</v>
      </c>
      <c r="Z14" t="n">
        <v>-3707</v>
      </c>
      <c r="AA14" t="n">
        <v>-4017</v>
      </c>
      <c r="AB14" t="n">
        <v>-4310</v>
      </c>
    </row>
    <row r="15">
      <c r="A15" s="5" t="inlineStr">
        <is>
          <t>Profit for the year</t>
        </is>
      </c>
      <c r="B15" s="5" t="n">
        <v>4102</v>
      </c>
      <c r="C15" s="5" t="n">
        <v>4139</v>
      </c>
      <c r="D15" s="5" t="n">
        <v>5254</v>
      </c>
      <c r="E15" s="5" t="n">
        <v>2876</v>
      </c>
      <c r="F15" s="5" t="n">
        <v>2368</v>
      </c>
      <c r="G15" s="5" t="n">
        <v>80</v>
      </c>
      <c r="H15" s="5" t="n">
        <v>516</v>
      </c>
      <c r="U15" t="inlineStr">
        <is>
          <t>Profit for the year</t>
        </is>
      </c>
      <c r="V15" t="n">
        <v>516</v>
      </c>
      <c r="W15" t="n">
        <v>80</v>
      </c>
      <c r="X15" t="n">
        <v>2368</v>
      </c>
      <c r="Y15" t="n">
        <v>2876</v>
      </c>
      <c r="Z15" t="n">
        <v>5254</v>
      </c>
      <c r="AA15" t="n">
        <v>4139</v>
      </c>
      <c r="AB15" t="n">
        <v>4102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4830</v>
      </c>
      <c r="C19" s="5" t="n">
        <v>3455</v>
      </c>
      <c r="D19" s="5" t="n">
        <v>6231</v>
      </c>
      <c r="E19" s="5" t="n">
        <v>317</v>
      </c>
      <c r="F19" s="5" t="n">
        <v>1677</v>
      </c>
      <c r="G19" s="5" t="n">
        <v>783</v>
      </c>
      <c r="H19" s="5" t="n">
        <v>340</v>
      </c>
      <c r="AE19" t="inlineStr">
        <is>
          <t>Total comprehensive income for the year</t>
        </is>
      </c>
      <c r="AF19" t="n">
        <v>340</v>
      </c>
      <c r="AG19" t="n">
        <v>783</v>
      </c>
      <c r="AH19" t="n">
        <v>1677</v>
      </c>
      <c r="AI19" t="n">
        <v>317</v>
      </c>
      <c r="AJ19" t="n">
        <v>6231</v>
      </c>
      <c r="AK19" t="n">
        <v>3455</v>
      </c>
      <c r="AL19" t="n">
        <v>4830</v>
      </c>
    </row>
    <row r="20">
      <c r="A20" s="5" t="inlineStr">
        <is>
          <t>Dividends to shareholders</t>
        </is>
      </c>
      <c r="B20" s="5" t="n">
        <v>-3028</v>
      </c>
      <c r="C20" s="5" t="n">
        <v>-3569</v>
      </c>
      <c r="D20" s="5" t="n">
        <v>-2416</v>
      </c>
      <c r="E20" s="5" t="n">
        <v>-1934</v>
      </c>
      <c r="F20" s="5" t="n">
        <v>-752</v>
      </c>
      <c r="G20" s="5" t="n">
        <v>-226</v>
      </c>
      <c r="H20" s="5" t="n">
        <v>-455</v>
      </c>
      <c r="AE20" t="inlineStr">
        <is>
          <t>Dividends to shareholders</t>
        </is>
      </c>
      <c r="AF20" t="n">
        <v>-455</v>
      </c>
      <c r="AG20" t="n">
        <v>-226</v>
      </c>
      <c r="AH20" t="n">
        <v>-752</v>
      </c>
      <c r="AI20" t="n">
        <v>-1934</v>
      </c>
      <c r="AJ20" t="n">
        <v>-2416</v>
      </c>
      <c r="AK20" t="n">
        <v>-3569</v>
      </c>
      <c r="AL20" t="n">
        <v>-3028</v>
      </c>
    </row>
    <row r="22">
      <c r="A22" s="3" t="inlineStr">
        <is>
          <t>Cash Flow Summary (£m)</t>
        </is>
      </c>
    </row>
    <row r="23">
      <c r="A23" s="4" t="inlineStr">
        <is>
          <t>Line item</t>
        </is>
      </c>
      <c r="B23" s="4" t="inlineStr">
        <is>
          <t>FY2025</t>
        </is>
      </c>
      <c r="C23" s="4" t="inlineStr">
        <is>
          <t>FY2024</t>
        </is>
      </c>
      <c r="D23" s="4" t="inlineStr">
        <is>
          <t>FY2023</t>
        </is>
      </c>
      <c r="E23" s="4" t="inlineStr">
        <is>
          <t>FY2022</t>
        </is>
      </c>
      <c r="F23" s="4" t="inlineStr">
        <is>
          <t>FY2021</t>
        </is>
      </c>
      <c r="G23" s="4" t="inlineStr">
        <is>
          <t>FY2020</t>
        </is>
      </c>
      <c r="H23" s="4" t="inlineStr">
        <is>
          <t>FY2019</t>
        </is>
      </c>
      <c r="AP23" t="inlineStr">
        <is>
          <t>FY2019</t>
        </is>
      </c>
      <c r="AQ23" t="inlineStr">
        <is>
          <t>FY2020</t>
        </is>
      </c>
      <c r="AR23" t="inlineStr">
        <is>
          <t>FY2021</t>
        </is>
      </c>
      <c r="AS23" t="inlineStr">
        <is>
          <t>FY2022</t>
        </is>
      </c>
      <c r="AT23" t="inlineStr">
        <is>
          <t>FY2023</t>
        </is>
      </c>
      <c r="AU23" t="inlineStr">
        <is>
          <t>FY2024</t>
        </is>
      </c>
      <c r="AV23" t="inlineStr">
        <is>
          <t>FY2025</t>
        </is>
      </c>
    </row>
    <row r="24">
      <c r="A24" s="5" t="inlineStr">
        <is>
          <t>Net cash from operating activities</t>
        </is>
      </c>
      <c r="B24" s="5" t="n">
        <v>-2275</v>
      </c>
      <c r="C24" s="5" t="n">
        <v>3764</v>
      </c>
      <c r="D24" s="5" t="n">
        <v>-20027</v>
      </c>
      <c r="E24" s="5" t="n">
        <v>-9692</v>
      </c>
      <c r="F24" s="5" t="n">
        <v>30439</v>
      </c>
      <c r="G24" s="5" t="n">
        <v>38576</v>
      </c>
      <c r="H24" s="5" t="n">
        <v>7309</v>
      </c>
      <c r="AO24" t="inlineStr">
        <is>
          <t>Net cash from operating activities</t>
        </is>
      </c>
      <c r="AP24" t="n">
        <v>7309</v>
      </c>
      <c r="AQ24" t="n">
        <v>38576</v>
      </c>
      <c r="AR24" t="n">
        <v>30439</v>
      </c>
      <c r="AS24" t="n">
        <v>-9692</v>
      </c>
      <c r="AT24" t="n">
        <v>-20027</v>
      </c>
      <c r="AU24" t="n">
        <v>3764</v>
      </c>
      <c r="AV24" t="n">
        <v>-2275</v>
      </c>
    </row>
    <row r="25">
      <c r="A25" s="5" t="inlineStr">
        <is>
          <t>Net cash from investing activities</t>
        </is>
      </c>
      <c r="B25" s="5" t="n">
        <v>-4044</v>
      </c>
      <c r="C25" s="5" t="n">
        <v>-11185</v>
      </c>
      <c r="D25" s="5" t="n">
        <v>-6698</v>
      </c>
      <c r="E25" s="5" t="n">
        <v>-2238</v>
      </c>
      <c r="F25" s="5" t="n">
        <v>4132</v>
      </c>
      <c r="G25" s="5" t="n">
        <v>843</v>
      </c>
      <c r="H25" s="5" t="n">
        <v>-7059</v>
      </c>
      <c r="AO25" t="inlineStr">
        <is>
          <t>Net cash from investing activities</t>
        </is>
      </c>
      <c r="AP25" t="n">
        <v>-7059</v>
      </c>
      <c r="AQ25" t="n">
        <v>843</v>
      </c>
      <c r="AR25" t="n">
        <v>4132</v>
      </c>
      <c r="AS25" t="n">
        <v>-2238</v>
      </c>
      <c r="AT25" t="n">
        <v>-6698</v>
      </c>
      <c r="AU25" t="n">
        <v>-11185</v>
      </c>
      <c r="AV25" t="n">
        <v>-4044</v>
      </c>
    </row>
    <row r="26">
      <c r="A26" s="5" t="inlineStr">
        <is>
          <t>Net cash from financing activities</t>
        </is>
      </c>
      <c r="B26" s="5" t="n">
        <v>-1793</v>
      </c>
      <c r="C26" s="5" t="n">
        <v>-2504</v>
      </c>
      <c r="D26" s="5" t="n">
        <v>-166</v>
      </c>
      <c r="E26" s="5" t="n">
        <v>-1934</v>
      </c>
      <c r="F26" s="5" t="n">
        <v>2147</v>
      </c>
      <c r="G26" s="5" t="n">
        <v>-226</v>
      </c>
      <c r="H26" s="5" t="n">
        <v>4164</v>
      </c>
      <c r="AO26" t="inlineStr">
        <is>
          <t>Net cash from financing activities</t>
        </is>
      </c>
      <c r="AP26" t="n">
        <v>4164</v>
      </c>
      <c r="AQ26" t="n">
        <v>-226</v>
      </c>
      <c r="AR26" t="n">
        <v>2147</v>
      </c>
      <c r="AS26" t="n">
        <v>-1934</v>
      </c>
      <c r="AT26" t="n">
        <v>-166</v>
      </c>
      <c r="AU26" t="n">
        <v>-2504</v>
      </c>
      <c r="AV26" t="n">
        <v>-1793</v>
      </c>
    </row>
    <row r="27">
      <c r="A27" s="5" t="inlineStr">
        <is>
          <t>Cash and cash equivalents at 31 Dec</t>
        </is>
      </c>
      <c r="B27" s="5" t="n">
        <v>55299</v>
      </c>
      <c r="C27" s="5" t="n">
        <v>63366</v>
      </c>
      <c r="D27" s="5" t="n">
        <v>73381</v>
      </c>
      <c r="E27" s="5" t="n">
        <v>100319</v>
      </c>
      <c r="F27" s="5" t="n">
        <v>114134</v>
      </c>
      <c r="G27" s="5" t="n">
        <v>77422</v>
      </c>
      <c r="H27" s="5" t="n">
        <v>38086</v>
      </c>
      <c r="AO27" t="inlineStr">
        <is>
          <t>Cash and cash equivalents at 31 Dec</t>
        </is>
      </c>
      <c r="AP27" t="n">
        <v>38086</v>
      </c>
      <c r="AQ27" t="n">
        <v>77422</v>
      </c>
      <c r="AR27" t="n">
        <v>114134</v>
      </c>
      <c r="AS27" t="n">
        <v>100319</v>
      </c>
      <c r="AT27" t="n">
        <v>73381</v>
      </c>
      <c r="AU27" t="n">
        <v>63366</v>
      </c>
      <c r="AV27" t="n">
        <v>55299</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c r="G30" s="4" t="inlineStr">
        <is>
          <t>FY2020</t>
        </is>
      </c>
      <c r="H30" s="4" t="inlineStr">
        <is>
          <t>FY2019</t>
        </is>
      </c>
    </row>
    <row r="31">
      <c r="A31" s="6" t="inlineStr">
        <is>
          <t>CET1 Ratio</t>
        </is>
      </c>
      <c r="B31" s="6" t="inlineStr">
        <is>
          <t>13.2%</t>
        </is>
      </c>
      <c r="C31" s="6" t="inlineStr">
        <is>
          <t>13.6%</t>
        </is>
      </c>
      <c r="D31" s="6" t="inlineStr">
        <is>
          <t>14.0%</t>
        </is>
      </c>
      <c r="E31" s="6" t="inlineStr">
        <is>
          <t>13.5%</t>
        </is>
      </c>
      <c r="F31" s="6" t="inlineStr">
        <is>
          <t>15.3%</t>
        </is>
      </c>
      <c r="G31" s="6" t="inlineStr">
        <is>
          <t>15.2%</t>
        </is>
      </c>
      <c r="H31" s="6" t="inlineStr">
        <is>
          <t>13.0%</t>
        </is>
      </c>
    </row>
    <row r="32">
      <c r="A32" s="6" t="inlineStr">
        <is>
          <t>Tier 1 Ratio</t>
        </is>
      </c>
      <c r="B32" s="6" t="inlineStr">
        <is>
          <t>15.5%</t>
        </is>
      </c>
      <c r="C32" s="6" t="inlineStr">
        <is>
          <t>15.7%</t>
        </is>
      </c>
      <c r="D32" s="6" t="inlineStr">
        <is>
          <t>16.2%</t>
        </is>
      </c>
      <c r="E32" s="6" t="inlineStr">
        <is>
          <t>16.0%</t>
        </is>
      </c>
      <c r="F32" s="6" t="inlineStr">
        <is>
          <t>18.0%</t>
        </is>
      </c>
      <c r="G32" s="6" t="inlineStr">
        <is>
          <t>17.8%</t>
        </is>
      </c>
      <c r="H32" s="6" t="inlineStr">
        <is>
          <t>15.7%</t>
        </is>
      </c>
    </row>
    <row r="33">
      <c r="A33" s="6" t="inlineStr">
        <is>
          <t>Total Capital Ratio</t>
        </is>
      </c>
      <c r="B33" s="6" t="inlineStr">
        <is>
          <t>18.6%</t>
        </is>
      </c>
      <c r="C33" s="6" t="inlineStr">
        <is>
          <t>18.6%</t>
        </is>
      </c>
      <c r="D33" s="6" t="inlineStr">
        <is>
          <t>19.5%</t>
        </is>
      </c>
      <c r="E33" s="6" t="inlineStr">
        <is>
          <t>19.3%</t>
        </is>
      </c>
      <c r="F33" s="6" t="inlineStr">
        <is>
          <t>21.6%</t>
        </is>
      </c>
      <c r="G33" s="6" t="inlineStr">
        <is>
          <t>21.3%</t>
        </is>
      </c>
      <c r="H33" s="6" t="inlineStr">
        <is>
          <t>19.2%</t>
        </is>
      </c>
    </row>
    <row r="34">
      <c r="A34" s="6" t="inlineStr">
        <is>
          <t>Leverage Ratio</t>
        </is>
      </c>
      <c r="B34" s="6" t="inlineStr">
        <is>
          <t>5.6%</t>
        </is>
      </c>
      <c r="C34" s="6" t="inlineStr">
        <is>
          <t>5.8%</t>
        </is>
      </c>
      <c r="D34" s="6" t="inlineStr">
        <is>
          <t>6.1%</t>
        </is>
      </c>
      <c r="E34" s="6" t="inlineStr">
        <is>
          <t>5.9%</t>
        </is>
      </c>
      <c r="F34" s="6" t="inlineStr">
        <is>
          <t>4.2%</t>
        </is>
      </c>
      <c r="G34" s="6" t="inlineStr">
        <is>
          <t>4.8%</t>
        </is>
      </c>
      <c r="H34" s="6" t="inlineStr">
        <is>
          <t>5.0%</t>
        </is>
      </c>
    </row>
    <row r="35">
      <c r="A35" s="6" t="inlineStr">
        <is>
          <t>LCR</t>
        </is>
      </c>
      <c r="B35" s="6" t="inlineStr">
        <is>
          <t>175%</t>
        </is>
      </c>
      <c r="C35" s="6" t="inlineStr">
        <is>
          <t>190%</t>
        </is>
      </c>
      <c r="D35" s="6" t="inlineStr">
        <is>
          <t>201%</t>
        </is>
      </c>
      <c r="E35" s="6" t="inlineStr">
        <is>
          <t>226%</t>
        </is>
      </c>
      <c r="F35" s="6" t="n"/>
      <c r="G35" s="6" t="n"/>
      <c r="H35" s="6" t="n"/>
    </row>
    <row r="36">
      <c r="A36" s="6" t="inlineStr">
        <is>
          <t>NSFR</t>
        </is>
      </c>
      <c r="B36" s="6" t="inlineStr">
        <is>
          <t>146%</t>
        </is>
      </c>
      <c r="C36" s="6" t="inlineStr">
        <is>
          <t>154%</t>
        </is>
      </c>
      <c r="D36" s="6" t="inlineStr">
        <is>
          <t>158%</t>
        </is>
      </c>
      <c r="E36" s="6" t="inlineStr">
        <is>
          <t>164%</t>
        </is>
      </c>
      <c r="F36" s="6" t="n"/>
      <c r="G36" s="6" t="n"/>
      <c r="H36" s="6" t="n"/>
    </row>
    <row r="38" ht="45" customHeight="1">
      <c r="A38" s="7" t="inlineStr">
        <is>
          <t>Note: Figures are duplicated from the detail sheets for at-a-glance trend viewing; see each sheet's own source citation for the underlying document/page. MREL is not shown here (not disclosed at this entity level - see that sheet). The Leverage Ratio's FY2019/FY2020/FY2021 figures are on a different basis than FY2022-FY2025 - see the Leverage Ratio sheet's note. FY2019 was a period of unusually low profitability (Profit for the year £516m, then £80m in FY2020) driven by elevated expected credit loss charges and Covid-19-era provisioning, not a data error - see the Profit &amp; Loss sheet.</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Balance Sheet</t>
        </is>
      </c>
    </row>
    <row r="2">
      <c r="A2" s="2" t="inlineStr">
        <is>
          <t>HSBC UK Bank plc consolidated, £m. Called up share capital is nil/negligible throughout (rounds to £0m).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and balances at central banks</t>
        </is>
      </c>
      <c r="B5" s="6" t="n">
        <v>40369</v>
      </c>
      <c r="C5" s="6" t="n">
        <v>52276</v>
      </c>
      <c r="D5" s="6" t="n">
        <v>65719</v>
      </c>
      <c r="E5" s="6" t="n">
        <v>94407</v>
      </c>
      <c r="F5" s="6" t="n">
        <v>112478</v>
      </c>
      <c r="G5" s="6" t="n">
        <v>76429</v>
      </c>
      <c r="H5" s="6" t="n">
        <v>37030</v>
      </c>
    </row>
    <row r="6">
      <c r="A6" s="6" t="inlineStr">
        <is>
          <t>Items in the course of collection from other banks</t>
        </is>
      </c>
      <c r="B6" s="6" t="n"/>
      <c r="C6" s="6" t="n"/>
      <c r="D6" s="6" t="n">
        <v>284</v>
      </c>
      <c r="E6" s="6" t="n">
        <v>353</v>
      </c>
      <c r="F6" s="6" t="n">
        <v>299</v>
      </c>
      <c r="G6" s="6" t="n">
        <v>253</v>
      </c>
      <c r="H6" s="6" t="n">
        <v>504</v>
      </c>
    </row>
    <row r="7">
      <c r="A7" s="6" t="inlineStr">
        <is>
          <t>Financial assets mandatorily measured at fair value through profit or loss</t>
        </is>
      </c>
      <c r="B7" s="6" t="n">
        <v>175</v>
      </c>
      <c r="C7" s="6" t="n">
        <v>174</v>
      </c>
      <c r="D7" s="6" t="n">
        <v>135</v>
      </c>
      <c r="E7" s="6" t="n">
        <v>108</v>
      </c>
      <c r="F7" s="6" t="n">
        <v>79</v>
      </c>
      <c r="G7" s="6" t="n">
        <v>26</v>
      </c>
      <c r="H7" s="6" t="n">
        <v>66</v>
      </c>
    </row>
    <row r="8">
      <c r="A8" s="6" t="inlineStr">
        <is>
          <t>Derivatives</t>
        </is>
      </c>
      <c r="B8" s="6" t="n">
        <v>167</v>
      </c>
      <c r="C8" s="6" t="n">
        <v>298</v>
      </c>
      <c r="D8" s="6" t="n">
        <v>178</v>
      </c>
      <c r="E8" s="6" t="n">
        <v>546</v>
      </c>
      <c r="F8" s="6" t="n">
        <v>64</v>
      </c>
      <c r="G8" s="6" t="n">
        <v>155</v>
      </c>
      <c r="H8" s="6" t="n">
        <v>121</v>
      </c>
    </row>
    <row r="9">
      <c r="A9" s="6" t="inlineStr">
        <is>
          <t>Loans and advances to banks</t>
        </is>
      </c>
      <c r="B9" s="6" t="n">
        <v>6636</v>
      </c>
      <c r="C9" s="6" t="n">
        <v>7263</v>
      </c>
      <c r="D9" s="6" t="n">
        <v>7980</v>
      </c>
      <c r="E9" s="6" t="n">
        <v>6357</v>
      </c>
      <c r="F9" s="6" t="n">
        <v>1914</v>
      </c>
      <c r="G9" s="6" t="n">
        <v>1514</v>
      </c>
      <c r="H9" s="6" t="n">
        <v>1389</v>
      </c>
    </row>
    <row r="10">
      <c r="A10" s="6" t="inlineStr">
        <is>
          <t>Loans and advances to customers</t>
        </is>
      </c>
      <c r="B10" s="6" t="n">
        <v>231223</v>
      </c>
      <c r="C10" s="6" t="n">
        <v>217604</v>
      </c>
      <c r="D10" s="6" t="n">
        <v>211887</v>
      </c>
      <c r="E10" s="6" t="n">
        <v>204143</v>
      </c>
      <c r="F10" s="6" t="n">
        <v>195526</v>
      </c>
      <c r="G10" s="6" t="n">
        <v>191233</v>
      </c>
      <c r="H10" s="6" t="n">
        <v>183056</v>
      </c>
    </row>
    <row r="11">
      <c r="A11" s="6" t="inlineStr">
        <is>
          <t>Reverse repurchase agreements - non-trading</t>
        </is>
      </c>
      <c r="B11" s="6" t="n">
        <v>21560</v>
      </c>
      <c r="C11" s="6" t="n">
        <v>11776</v>
      </c>
      <c r="D11" s="6" t="n">
        <v>7686</v>
      </c>
      <c r="E11" s="6" t="n">
        <v>7406</v>
      </c>
      <c r="F11" s="6" t="n">
        <v>7988</v>
      </c>
      <c r="G11" s="6" t="n">
        <v>2485</v>
      </c>
      <c r="H11" s="6" t="n">
        <v>3014</v>
      </c>
    </row>
    <row r="12">
      <c r="A12" s="6" t="inlineStr">
        <is>
          <t>Financial investments</t>
        </is>
      </c>
      <c r="B12" s="6" t="n">
        <v>41638</v>
      </c>
      <c r="C12" s="6" t="n">
        <v>37801</v>
      </c>
      <c r="D12" s="6" t="n">
        <v>26315</v>
      </c>
      <c r="E12" s="6" t="n">
        <v>16092</v>
      </c>
      <c r="F12" s="6" t="n">
        <v>14377</v>
      </c>
      <c r="G12" s="6" t="n">
        <v>19309</v>
      </c>
      <c r="H12" s="6" t="n">
        <v>19737</v>
      </c>
    </row>
    <row r="13">
      <c r="A13" s="6" t="inlineStr">
        <is>
          <t>Prepayments, accrued income and other assets</t>
        </is>
      </c>
      <c r="B13" s="6" t="n">
        <v>9736</v>
      </c>
      <c r="C13" s="6" t="n">
        <v>9303</v>
      </c>
      <c r="D13" s="6" t="n">
        <v>8321</v>
      </c>
      <c r="E13" s="6" t="n">
        <v>8762</v>
      </c>
      <c r="F13" s="6" t="n">
        <v>9136</v>
      </c>
      <c r="G13" s="6" t="n">
        <v>9310</v>
      </c>
      <c r="H13" s="6" t="n">
        <v>8203</v>
      </c>
    </row>
    <row r="14">
      <c r="A14" s="6" t="inlineStr">
        <is>
          <t>Current tax assets</t>
        </is>
      </c>
      <c r="B14" s="6" t="n">
        <v>3</v>
      </c>
      <c r="C14" s="6" t="n"/>
      <c r="D14" s="6" t="n"/>
      <c r="E14" s="6" t="n"/>
      <c r="F14" s="6" t="n"/>
      <c r="G14" s="6" t="n">
        <v>49</v>
      </c>
      <c r="H14" s="6" t="n"/>
    </row>
    <row r="15">
      <c r="A15" s="6" t="inlineStr">
        <is>
          <t>Interests in joint ventures</t>
        </is>
      </c>
      <c r="B15" s="6" t="n">
        <v>10</v>
      </c>
      <c r="C15" s="6" t="n">
        <v>9</v>
      </c>
      <c r="D15" s="6" t="n">
        <v>8</v>
      </c>
      <c r="E15" s="6" t="n">
        <v>9</v>
      </c>
      <c r="F15" s="6" t="n">
        <v>9</v>
      </c>
      <c r="G15" s="6" t="n">
        <v>8</v>
      </c>
      <c r="H15" s="6" t="n">
        <v>9</v>
      </c>
    </row>
    <row r="16">
      <c r="A16" s="6" t="inlineStr">
        <is>
          <t>Goodwill and intangible assets</t>
        </is>
      </c>
      <c r="B16" s="6" t="n">
        <v>4413</v>
      </c>
      <c r="C16" s="6" t="n">
        <v>4373</v>
      </c>
      <c r="D16" s="6" t="n">
        <v>4363</v>
      </c>
      <c r="E16" s="6" t="n">
        <v>4258</v>
      </c>
      <c r="F16" s="6" t="n">
        <v>4193</v>
      </c>
      <c r="G16" s="6" t="n">
        <v>4093</v>
      </c>
      <c r="H16" s="6" t="n">
        <v>3973</v>
      </c>
    </row>
    <row r="17">
      <c r="A17" s="5" t="inlineStr">
        <is>
          <t>Total assets</t>
        </is>
      </c>
      <c r="B17" s="5" t="n">
        <v>355930</v>
      </c>
      <c r="C17" s="5" t="n">
        <v>340877</v>
      </c>
      <c r="D17" s="5" t="n">
        <v>332876</v>
      </c>
      <c r="E17" s="5" t="n">
        <v>342441</v>
      </c>
      <c r="F17" s="5" t="n">
        <v>346063</v>
      </c>
      <c r="G17" s="5" t="n">
        <v>304864</v>
      </c>
      <c r="H17" s="5" t="n">
        <v>257102</v>
      </c>
    </row>
    <row r="18">
      <c r="A18" s="5" t="inlineStr">
        <is>
          <t>Liabilities</t>
        </is>
      </c>
      <c r="B18" s="6" t="n"/>
      <c r="C18" s="6" t="n"/>
      <c r="D18" s="6" t="n"/>
      <c r="E18" s="6" t="n"/>
      <c r="F18" s="6" t="n"/>
      <c r="G18" s="6" t="n"/>
      <c r="H18" s="6" t="n"/>
    </row>
    <row r="19">
      <c r="A19" s="6" t="inlineStr">
        <is>
          <t>Deposits by banks</t>
        </is>
      </c>
      <c r="B19" s="6" t="n">
        <v>7709</v>
      </c>
      <c r="C19" s="6" t="n">
        <v>11144</v>
      </c>
      <c r="D19" s="6" t="n">
        <v>10843</v>
      </c>
      <c r="E19" s="6" t="n">
        <v>10721</v>
      </c>
      <c r="F19" s="6" t="n">
        <v>11180</v>
      </c>
      <c r="G19" s="6" t="n">
        <v>540</v>
      </c>
      <c r="H19" s="6" t="n">
        <v>529</v>
      </c>
    </row>
    <row r="20">
      <c r="A20" s="6" t="inlineStr">
        <is>
          <t>Customer accounts</t>
        </is>
      </c>
      <c r="B20" s="6" t="n">
        <v>288756</v>
      </c>
      <c r="C20" s="6" t="n">
        <v>280366</v>
      </c>
      <c r="D20" s="6" t="n">
        <v>268345</v>
      </c>
      <c r="E20" s="6" t="n">
        <v>281095</v>
      </c>
      <c r="F20" s="6" t="n">
        <v>281870</v>
      </c>
      <c r="G20" s="6" t="n">
        <v>259341</v>
      </c>
      <c r="H20" s="6" t="n">
        <v>216214</v>
      </c>
    </row>
    <row r="21">
      <c r="A21" s="6" t="inlineStr">
        <is>
          <t>Repurchase agreements - non-trading</t>
        </is>
      </c>
      <c r="B21" s="6" t="n">
        <v>6276</v>
      </c>
      <c r="C21" s="6" t="n">
        <v>420</v>
      </c>
      <c r="D21" s="6" t="n">
        <v>4652</v>
      </c>
      <c r="E21" s="6" t="n">
        <v>9333</v>
      </c>
      <c r="F21" s="6" t="n">
        <v>10438</v>
      </c>
      <c r="G21" s="6" t="n">
        <v>6150</v>
      </c>
      <c r="H21" s="6" t="n">
        <v>98</v>
      </c>
    </row>
    <row r="22">
      <c r="A22" s="6" t="inlineStr">
        <is>
          <t>Items in the course of transmission to other banks</t>
        </is>
      </c>
      <c r="B22" s="6" t="n"/>
      <c r="C22" s="6" t="n"/>
      <c r="D22" s="6" t="n">
        <v>411</v>
      </c>
      <c r="E22" s="6" t="n">
        <v>308</v>
      </c>
      <c r="F22" s="6" t="n">
        <v>151</v>
      </c>
      <c r="G22" s="6" t="n">
        <v>132</v>
      </c>
      <c r="H22" s="6" t="n">
        <v>343</v>
      </c>
    </row>
    <row r="23">
      <c r="A23" s="6" t="inlineStr">
        <is>
          <t>Derivatives</t>
        </is>
      </c>
      <c r="B23" s="6" t="n">
        <v>162</v>
      </c>
      <c r="C23" s="6" t="n">
        <v>107</v>
      </c>
      <c r="D23" s="6" t="n">
        <v>108</v>
      </c>
      <c r="E23" s="6" t="n">
        <v>304</v>
      </c>
      <c r="F23" s="6" t="n">
        <v>292</v>
      </c>
      <c r="G23" s="6" t="n">
        <v>365</v>
      </c>
      <c r="H23" s="6" t="n">
        <v>201</v>
      </c>
    </row>
    <row r="24">
      <c r="A24" s="6" t="inlineStr">
        <is>
          <t>Debt securities in issue</t>
        </is>
      </c>
      <c r="B24" s="6" t="n">
        <v>3019</v>
      </c>
      <c r="C24" s="6" t="n">
        <v>2044</v>
      </c>
      <c r="D24" s="6" t="n">
        <v>1988</v>
      </c>
      <c r="E24" s="6" t="n">
        <v>1299</v>
      </c>
      <c r="F24" s="6" t="n">
        <v>900</v>
      </c>
      <c r="G24" s="6" t="n">
        <v>866</v>
      </c>
      <c r="H24" s="6" t="n">
        <v>3142</v>
      </c>
    </row>
    <row r="25">
      <c r="A25" s="6" t="inlineStr">
        <is>
          <t>Accruals, deferred income and other liabilities</t>
        </is>
      </c>
      <c r="B25" s="6" t="n">
        <v>3524</v>
      </c>
      <c r="C25" s="6" t="n">
        <v>3476</v>
      </c>
      <c r="D25" s="6" t="n">
        <v>4124</v>
      </c>
      <c r="E25" s="6" t="n">
        <v>3543</v>
      </c>
      <c r="F25" s="6" t="n">
        <v>1674</v>
      </c>
      <c r="G25" s="6" t="n">
        <v>1941</v>
      </c>
      <c r="H25" s="6" t="n">
        <v>1834</v>
      </c>
    </row>
    <row r="26">
      <c r="A26" s="6" t="inlineStr">
        <is>
          <t>Current tax liabilities</t>
        </is>
      </c>
      <c r="B26" s="6" t="n">
        <v>218</v>
      </c>
      <c r="C26" s="6" t="n">
        <v>449</v>
      </c>
      <c r="D26" s="6" t="n">
        <v>276</v>
      </c>
      <c r="E26" s="6" t="n">
        <v>173</v>
      </c>
      <c r="F26" s="6" t="n">
        <v>802</v>
      </c>
      <c r="G26" s="6" t="n"/>
      <c r="H26" s="6" t="n">
        <v>409</v>
      </c>
    </row>
    <row r="27">
      <c r="A27" s="6" t="inlineStr">
        <is>
          <t>Provisions</t>
        </is>
      </c>
      <c r="B27" s="6" t="n">
        <v>264</v>
      </c>
      <c r="C27" s="6" t="n">
        <v>265</v>
      </c>
      <c r="D27" s="6" t="n">
        <v>350</v>
      </c>
      <c r="E27" s="6" t="n">
        <v>424</v>
      </c>
      <c r="F27" s="6" t="n">
        <v>495</v>
      </c>
      <c r="G27" s="6" t="n">
        <v>979</v>
      </c>
      <c r="H27" s="6" t="n">
        <v>1325</v>
      </c>
    </row>
    <row r="28">
      <c r="A28" s="6" t="inlineStr">
        <is>
          <t>Deferred tax liabilities</t>
        </is>
      </c>
      <c r="B28" s="6" t="n">
        <v>1318</v>
      </c>
      <c r="C28" s="6" t="n">
        <v>949</v>
      </c>
      <c r="D28" s="6" t="n">
        <v>1111</v>
      </c>
      <c r="E28" s="6" t="n">
        <v>666</v>
      </c>
      <c r="F28" s="6" t="n">
        <v>1969</v>
      </c>
      <c r="G28" s="6" t="n">
        <v>1677</v>
      </c>
      <c r="H28" s="6" t="n">
        <v>1223</v>
      </c>
    </row>
    <row r="29">
      <c r="A29" s="6" t="inlineStr">
        <is>
          <t>Subordinated liabilities</t>
        </is>
      </c>
      <c r="B29" s="6" t="n">
        <v>16423</v>
      </c>
      <c r="C29" s="6" t="n">
        <v>15686</v>
      </c>
      <c r="D29" s="6" t="n">
        <v>14598</v>
      </c>
      <c r="E29" s="6" t="n">
        <v>12349</v>
      </c>
      <c r="F29" s="6" t="n">
        <v>12487</v>
      </c>
      <c r="G29" s="6" t="n">
        <v>10015</v>
      </c>
      <c r="H29" s="6" t="n">
        <v>9533</v>
      </c>
    </row>
    <row r="30">
      <c r="A30" s="5" t="inlineStr">
        <is>
          <t>Total liabilities</t>
        </is>
      </c>
      <c r="B30" s="5" t="n">
        <v>327669</v>
      </c>
      <c r="C30" s="5" t="n">
        <v>314906</v>
      </c>
      <c r="D30" s="5" t="n">
        <v>306806</v>
      </c>
      <c r="E30" s="5" t="n">
        <v>320215</v>
      </c>
      <c r="F30" s="5" t="n">
        <v>322258</v>
      </c>
      <c r="G30" s="5" t="n">
        <v>282006</v>
      </c>
      <c r="H30" s="5" t="n">
        <v>234851</v>
      </c>
    </row>
    <row r="31">
      <c r="A31" s="5" t="inlineStr">
        <is>
          <t>Equity</t>
        </is>
      </c>
      <c r="B31" s="6" t="n"/>
      <c r="C31" s="6" t="n"/>
      <c r="D31" s="6" t="n"/>
      <c r="E31" s="6" t="n"/>
      <c r="F31" s="6" t="n"/>
      <c r="G31" s="6" t="n"/>
      <c r="H31" s="6" t="n"/>
    </row>
    <row r="32">
      <c r="A32" s="6" t="inlineStr">
        <is>
          <t>Called up share capital</t>
        </is>
      </c>
      <c r="B32" s="6" t="n"/>
      <c r="C32" s="6" t="n"/>
      <c r="D32" s="6" t="n"/>
      <c r="E32" s="6" t="n"/>
      <c r="F32" s="6" t="n"/>
      <c r="G32" s="6" t="n"/>
      <c r="H32" s="6" t="n"/>
    </row>
    <row r="33">
      <c r="A33" s="6" t="inlineStr">
        <is>
          <t>Share premium account</t>
        </is>
      </c>
      <c r="B33" s="6" t="n"/>
      <c r="C33" s="6" t="n"/>
      <c r="D33" s="6" t="n">
        <v>9015</v>
      </c>
      <c r="E33" s="6" t="n">
        <v>9015</v>
      </c>
      <c r="F33" s="6" t="n">
        <v>9015</v>
      </c>
      <c r="G33" s="6" t="n">
        <v>9015</v>
      </c>
      <c r="H33" s="6" t="n">
        <v>9015</v>
      </c>
    </row>
    <row r="34">
      <c r="A34" s="6" t="inlineStr">
        <is>
          <t>Other equity instruments</t>
        </is>
      </c>
      <c r="B34" s="6" t="n">
        <v>2691</v>
      </c>
      <c r="C34" s="6" t="n">
        <v>2196</v>
      </c>
      <c r="D34" s="6" t="n">
        <v>2196</v>
      </c>
      <c r="E34" s="6" t="n">
        <v>2196</v>
      </c>
      <c r="F34" s="6" t="n">
        <v>2196</v>
      </c>
      <c r="G34" s="6" t="n">
        <v>2196</v>
      </c>
      <c r="H34" s="6" t="n">
        <v>2196</v>
      </c>
    </row>
    <row r="35">
      <c r="A35" s="6" t="inlineStr">
        <is>
          <t>Other reserves</t>
        </is>
      </c>
      <c r="B35" s="6" t="n">
        <v>2387</v>
      </c>
      <c r="C35" s="6" t="n">
        <v>1579</v>
      </c>
      <c r="D35" s="6" t="n">
        <v>7226</v>
      </c>
      <c r="E35" s="6" t="n">
        <v>6121</v>
      </c>
      <c r="F35" s="6" t="n">
        <v>7657</v>
      </c>
      <c r="G35" s="6" t="n">
        <v>7838</v>
      </c>
      <c r="H35" s="6" t="n">
        <v>7688</v>
      </c>
    </row>
    <row r="36">
      <c r="A36" s="6" t="inlineStr">
        <is>
          <t>Retained earnings</t>
        </is>
      </c>
      <c r="B36" s="6" t="n">
        <v>23163</v>
      </c>
      <c r="C36" s="6" t="n">
        <v>22136</v>
      </c>
      <c r="D36" s="6" t="n">
        <v>7573</v>
      </c>
      <c r="E36" s="6" t="n">
        <v>4834</v>
      </c>
      <c r="F36" s="6" t="n">
        <v>4877</v>
      </c>
      <c r="G36" s="6" t="n">
        <v>3749</v>
      </c>
      <c r="H36" s="6" t="n">
        <v>3292</v>
      </c>
    </row>
    <row r="37">
      <c r="A37" s="5" t="inlineStr">
        <is>
          <t>Total shareholders' equity</t>
        </is>
      </c>
      <c r="B37" s="5" t="n">
        <v>28241</v>
      </c>
      <c r="C37" s="5" t="n">
        <v>25911</v>
      </c>
      <c r="D37" s="5" t="n">
        <v>26010</v>
      </c>
      <c r="E37" s="5" t="n">
        <v>22166</v>
      </c>
      <c r="F37" s="5" t="n">
        <v>23745</v>
      </c>
      <c r="G37" s="5" t="n">
        <v>22798</v>
      </c>
      <c r="H37" s="5" t="n">
        <v>22191</v>
      </c>
    </row>
    <row r="38">
      <c r="A38" s="6" t="inlineStr">
        <is>
          <t>Non-controlling interests</t>
        </is>
      </c>
      <c r="B38" s="6" t="n">
        <v>20</v>
      </c>
      <c r="C38" s="6" t="n">
        <v>60</v>
      </c>
      <c r="D38" s="6" t="n">
        <v>60</v>
      </c>
      <c r="E38" s="6" t="n">
        <v>60</v>
      </c>
      <c r="F38" s="6" t="n">
        <v>60</v>
      </c>
      <c r="G38" s="6" t="n">
        <v>60</v>
      </c>
      <c r="H38" s="6" t="n">
        <v>60</v>
      </c>
    </row>
    <row r="39">
      <c r="A39" s="5" t="inlineStr">
        <is>
          <t>Total equity</t>
        </is>
      </c>
      <c r="B39" s="5" t="n">
        <v>28261</v>
      </c>
      <c r="C39" s="5" t="n">
        <v>25971</v>
      </c>
      <c r="D39" s="5" t="n">
        <v>26070</v>
      </c>
      <c r="E39" s="5" t="n">
        <v>22226</v>
      </c>
      <c r="F39" s="5" t="n">
        <v>23805</v>
      </c>
      <c r="G39" s="5" t="n">
        <v>22858</v>
      </c>
      <c r="H39" s="5" t="n">
        <v>22251</v>
      </c>
    </row>
    <row r="40">
      <c r="A40" s="5" t="inlineStr">
        <is>
          <t>Total liabilities and equity</t>
        </is>
      </c>
      <c r="B40" s="5" t="n">
        <v>355930</v>
      </c>
      <c r="C40" s="5" t="n">
        <v>340877</v>
      </c>
      <c r="D40" s="5" t="n">
        <v>332876</v>
      </c>
      <c r="E40" s="5" t="n">
        <v>342441</v>
      </c>
      <c r="F40" s="5" t="n">
        <v>346063</v>
      </c>
      <c r="G40" s="5" t="n">
        <v>304864</v>
      </c>
      <c r="H40" s="5" t="n">
        <v>257102</v>
      </c>
    </row>
    <row r="42" ht="200" customHeight="1">
      <c r="A42" s="8" t="inlineStr">
        <is>
          <t>Sources - HSBC UK Bank plc's own Consolidated balance sheet, £m:
FY2025 &amp; FY2024: Annual Report and Accounts 2025, p.78 - https://www.hsbc.com/-/files/hsbc/investors/hsbc-results/2025/annual/pdfs/hsbc-uk-bank-plc/260225-annual-report-and-accounts-2025.pdf
FY2023 &amp; FY2022: Annual Report and Accounts 2023, p.80 - https://www.hsbc.com/-/files/hsbc/investors/hsbc-results/2023/annual/pdfs/hsbc-uk-bank-plc/240221-annual-report-and-accounts-2023.pdf
FY2021: Annual Report and Accounts 2021, p.75 - https://www.hsbc.com/-/files/hsbc/investors/hsbc-results/2021/annual/pdfs/hsbc-uk-bank-plc/220222-annual-report-and-accounts-2021.pdf
FY2020: Annual Report and Accounts 2020, p.82 - https://www.hsbc.com/-/files/hsbc/investors/hsbc-results/2020/annual/pdfs/hsbc-uk-bank-plc/210223-annual-report-and-accounts-2020.pdf
FY2019: Annual Report and Accounts 2019, p.72 - https://www.hsbc.com/-/files/hsbc/investors/hsbc-results/2019/annual/pdfs/hsbc-uk-bank-plc/200218-annual-report-and-accounts-2019.pdf
Presentation note: 'Items in the course of collection from other banks' and 'Items in the course of transmission to other banks' appear as separate lines FY2023/FY2022/FY2021/FY2020/FY2019 - removed from the balance sheet's own presentation from FY2024 onward. 'Current tax assets' only appears FY2025 and FY2020 (nil in other years, per each year's own report). All Total rows reconcile exactly (Total assets = Total liabilities + Total equity for every year).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42:H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Income Statement &amp; Statement of Comprehensive Income</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income</t>
        </is>
      </c>
      <c r="B5" s="6" t="n">
        <v>14860</v>
      </c>
      <c r="C5" s="6" t="n">
        <v>14789</v>
      </c>
      <c r="D5" s="6" t="n">
        <v>12915</v>
      </c>
      <c r="E5" s="6" t="n">
        <v>7592</v>
      </c>
      <c r="F5" s="6" t="n">
        <v>5072</v>
      </c>
      <c r="G5" s="6" t="n">
        <v>5197</v>
      </c>
      <c r="H5" s="6" t="n">
        <v>5696</v>
      </c>
    </row>
    <row r="6">
      <c r="A6" s="6" t="inlineStr">
        <is>
          <t>Interest expense</t>
        </is>
      </c>
      <c r="B6" s="6" t="n">
        <v>-6210</v>
      </c>
      <c r="C6" s="6" t="n">
        <v>-6705</v>
      </c>
      <c r="D6" s="6" t="n">
        <v>-5128</v>
      </c>
      <c r="E6" s="6" t="n">
        <v>-1389</v>
      </c>
      <c r="F6" s="6" t="n">
        <v>-422</v>
      </c>
      <c r="G6" s="6" t="n">
        <v>-646</v>
      </c>
      <c r="H6" s="6" t="n">
        <v>-944</v>
      </c>
    </row>
    <row r="7">
      <c r="A7" s="5" t="inlineStr">
        <is>
          <t>Net interest income</t>
        </is>
      </c>
      <c r="B7" s="5" t="n">
        <v>8650</v>
      </c>
      <c r="C7" s="5" t="n">
        <v>8084</v>
      </c>
      <c r="D7" s="5" t="n">
        <v>7787</v>
      </c>
      <c r="E7" s="5" t="n">
        <v>6203</v>
      </c>
      <c r="F7" s="5" t="n">
        <v>4650</v>
      </c>
      <c r="G7" s="5" t="n">
        <v>4551</v>
      </c>
      <c r="H7" s="5" t="n">
        <v>4752</v>
      </c>
    </row>
    <row r="8">
      <c r="A8" s="6" t="inlineStr">
        <is>
          <t>Fee income</t>
        </is>
      </c>
      <c r="B8" s="6" t="n">
        <v>1621</v>
      </c>
      <c r="C8" s="6" t="n">
        <v>1605</v>
      </c>
      <c r="D8" s="6" t="n">
        <v>1554</v>
      </c>
      <c r="E8" s="6" t="n">
        <v>1493</v>
      </c>
      <c r="F8" s="6" t="n">
        <v>1329</v>
      </c>
      <c r="G8" s="6" t="n">
        <v>1191</v>
      </c>
      <c r="H8" s="6" t="n">
        <v>1456</v>
      </c>
    </row>
    <row r="9">
      <c r="A9" s="6" t="inlineStr">
        <is>
          <t>Fee expense</t>
        </is>
      </c>
      <c r="B9" s="6" t="n">
        <v>-335</v>
      </c>
      <c r="C9" s="6" t="n">
        <v>-297</v>
      </c>
      <c r="D9" s="6" t="n">
        <v>-270</v>
      </c>
      <c r="E9" s="6" t="n">
        <v>-248</v>
      </c>
      <c r="F9" s="6" t="n">
        <v>-249</v>
      </c>
      <c r="G9" s="6" t="n">
        <v>-175</v>
      </c>
      <c r="H9" s="6" t="n">
        <v>-226</v>
      </c>
    </row>
    <row r="10">
      <c r="A10" s="5" t="inlineStr">
        <is>
          <t>Net fee income</t>
        </is>
      </c>
      <c r="B10" s="5" t="n">
        <v>1286</v>
      </c>
      <c r="C10" s="5" t="n">
        <v>1308</v>
      </c>
      <c r="D10" s="5" t="n">
        <v>1284</v>
      </c>
      <c r="E10" s="5" t="n">
        <v>1245</v>
      </c>
      <c r="F10" s="5" t="n">
        <v>1080</v>
      </c>
      <c r="G10" s="5" t="n">
        <v>1016</v>
      </c>
      <c r="H10" s="5" t="n">
        <v>1230</v>
      </c>
    </row>
    <row r="11">
      <c r="A11" s="6" t="inlineStr">
        <is>
          <t>Net income from financial instruments held for trading or managed on a fair value basis</t>
        </is>
      </c>
      <c r="B11" s="6" t="n">
        <v>430</v>
      </c>
      <c r="C11" s="6" t="n">
        <v>454</v>
      </c>
      <c r="D11" s="6" t="n">
        <v>414</v>
      </c>
      <c r="E11" s="6" t="n">
        <v>384</v>
      </c>
      <c r="F11" s="6" t="n">
        <v>318</v>
      </c>
      <c r="G11" s="6" t="n">
        <v>357</v>
      </c>
      <c r="H11" s="6" t="n">
        <v>400</v>
      </c>
    </row>
    <row r="12">
      <c r="A12" s="6" t="inlineStr">
        <is>
          <t>Changes in fair value of other financial instruments mandatorily measured at FVTPL</t>
        </is>
      </c>
      <c r="B12" s="6" t="n"/>
      <c r="C12" s="6" t="n"/>
      <c r="D12" s="6" t="n"/>
      <c r="E12" s="6" t="n"/>
      <c r="F12" s="6" t="n">
        <v>15</v>
      </c>
      <c r="G12" s="6" t="n">
        <v>-1</v>
      </c>
      <c r="H12" s="6" t="n">
        <v>2</v>
      </c>
    </row>
    <row r="13">
      <c r="A13" s="6" t="inlineStr">
        <is>
          <t>Gains less losses from financial investments</t>
        </is>
      </c>
      <c r="B13" s="6" t="n"/>
      <c r="C13" s="6" t="n"/>
      <c r="D13" s="6" t="n"/>
      <c r="E13" s="6" t="n"/>
      <c r="F13" s="6" t="n">
        <v>101</v>
      </c>
      <c r="G13" s="6" t="n">
        <v>73</v>
      </c>
      <c r="H13" s="6" t="n">
        <v>48</v>
      </c>
    </row>
    <row r="14">
      <c r="A14" s="6" t="inlineStr">
        <is>
          <t>Gain on acquisition of subsidiary (SVB UK)</t>
        </is>
      </c>
      <c r="B14" s="6" t="n"/>
      <c r="C14" s="6" t="n"/>
      <c r="D14" s="6" t="n">
        <v>1307</v>
      </c>
      <c r="E14" s="6" t="n"/>
      <c r="F14" s="6" t="n"/>
      <c r="G14" s="6" t="n"/>
      <c r="H14" s="6" t="n"/>
    </row>
    <row r="15">
      <c r="A15" s="6" t="inlineStr">
        <is>
          <t>Other operating income</t>
        </is>
      </c>
      <c r="B15" s="6" t="n">
        <v>102</v>
      </c>
      <c r="C15" s="6" t="n">
        <v>133</v>
      </c>
      <c r="D15" s="6" t="n">
        <v>15</v>
      </c>
      <c r="E15" s="6" t="n">
        <v>120</v>
      </c>
      <c r="F15" s="6" t="n">
        <v>86</v>
      </c>
      <c r="G15" s="6" t="n">
        <v>35</v>
      </c>
      <c r="H15" s="6" t="n">
        <v>52</v>
      </c>
    </row>
    <row r="16">
      <c r="A16" s="5" t="inlineStr">
        <is>
          <t>Net operating income before change in expected credit losses</t>
        </is>
      </c>
      <c r="B16" s="5" t="n">
        <v>10468</v>
      </c>
      <c r="C16" s="5" t="n">
        <v>9979</v>
      </c>
      <c r="D16" s="5" t="n">
        <v>10807</v>
      </c>
      <c r="E16" s="5" t="n">
        <v>7952</v>
      </c>
      <c r="F16" s="5" t="n">
        <v>6250</v>
      </c>
      <c r="G16" s="5" t="n">
        <v>6031</v>
      </c>
      <c r="H16" s="5" t="n">
        <v>6484</v>
      </c>
    </row>
    <row r="17">
      <c r="A17" s="6" t="inlineStr">
        <is>
          <t>Change in expected credit losses and other credit impairment charges</t>
        </is>
      </c>
      <c r="B17" s="6" t="n">
        <v>-539</v>
      </c>
      <c r="C17" s="6" t="n">
        <v>-315</v>
      </c>
      <c r="D17" s="6" t="n">
        <v>-421</v>
      </c>
      <c r="E17" s="6" t="n">
        <v>-482</v>
      </c>
      <c r="F17" s="6" t="n">
        <v>989</v>
      </c>
      <c r="G17" s="6" t="n">
        <v>-2115</v>
      </c>
      <c r="H17" s="6" t="n">
        <v>-613</v>
      </c>
    </row>
    <row r="18">
      <c r="A18" s="5" t="inlineStr">
        <is>
          <t>Net operating income</t>
        </is>
      </c>
      <c r="B18" s="5" t="n">
        <v>9929</v>
      </c>
      <c r="C18" s="5" t="n">
        <v>9664</v>
      </c>
      <c r="D18" s="5" t="n">
        <v>10386</v>
      </c>
      <c r="E18" s="5" t="n">
        <v>7470</v>
      </c>
      <c r="F18" s="5" t="n">
        <v>7239</v>
      </c>
      <c r="G18" s="5" t="n">
        <v>3916</v>
      </c>
      <c r="H18" s="5" t="n">
        <v>5871</v>
      </c>
    </row>
    <row r="19">
      <c r="A19" s="5" t="inlineStr">
        <is>
          <t>Operating expenses</t>
        </is>
      </c>
      <c r="B19" s="6" t="n"/>
      <c r="C19" s="6" t="n"/>
      <c r="D19" s="6" t="n"/>
      <c r="E19" s="6" t="n"/>
      <c r="F19" s="6" t="n"/>
      <c r="G19" s="6" t="n"/>
      <c r="H19" s="6" t="n"/>
    </row>
    <row r="20">
      <c r="A20" s="6" t="inlineStr">
        <is>
          <t>Employee compensation and benefits</t>
        </is>
      </c>
      <c r="B20" s="6" t="n">
        <v>-1205</v>
      </c>
      <c r="C20" s="6" t="n">
        <v>-1128</v>
      </c>
      <c r="D20" s="6" t="n">
        <v>-1007</v>
      </c>
      <c r="E20" s="6" t="n">
        <v>-1079</v>
      </c>
      <c r="F20" s="6" t="n">
        <v>-1022</v>
      </c>
      <c r="G20" s="6" t="n">
        <v>-985</v>
      </c>
      <c r="H20" s="6" t="n">
        <v>-934</v>
      </c>
    </row>
    <row r="21">
      <c r="A21" s="6" t="inlineStr">
        <is>
          <t>General and administrative expenses</t>
        </is>
      </c>
      <c r="B21" s="6" t="n">
        <v>-2610</v>
      </c>
      <c r="C21" s="6" t="n">
        <v>-2442</v>
      </c>
      <c r="D21" s="6" t="n">
        <v>-2265</v>
      </c>
      <c r="E21" s="6" t="n">
        <v>-2271</v>
      </c>
      <c r="F21" s="6" t="n">
        <v>-2316</v>
      </c>
      <c r="G21" s="6" t="n">
        <v>-2404</v>
      </c>
      <c r="H21" s="6" t="n">
        <v>-3601</v>
      </c>
    </row>
    <row r="22">
      <c r="A22" s="6" t="inlineStr">
        <is>
          <t>Depreciation and impairment of PP&amp;E and right-of-use assets</t>
        </is>
      </c>
      <c r="B22" s="6" t="n">
        <v>-105</v>
      </c>
      <c r="C22" s="6" t="n">
        <v>-99</v>
      </c>
      <c r="D22" s="6" t="n">
        <v>-116</v>
      </c>
      <c r="E22" s="6" t="n">
        <v>-164</v>
      </c>
      <c r="F22" s="6" t="n">
        <v>-174</v>
      </c>
      <c r="G22" s="6" t="n">
        <v>-181</v>
      </c>
      <c r="H22" s="6" t="n">
        <v>-170</v>
      </c>
    </row>
    <row r="23">
      <c r="A23" s="6" t="inlineStr">
        <is>
          <t>Amortisation and impairment of intangible assets</t>
        </is>
      </c>
      <c r="B23" s="6" t="n">
        <v>-390</v>
      </c>
      <c r="C23" s="6" t="n">
        <v>-348</v>
      </c>
      <c r="D23" s="6" t="n">
        <v>-319</v>
      </c>
      <c r="E23" s="6" t="n">
        <v>-318</v>
      </c>
      <c r="F23" s="6" t="n">
        <v>-247</v>
      </c>
      <c r="G23" s="6" t="n">
        <v>-183</v>
      </c>
      <c r="H23" s="6" t="n">
        <v>-156</v>
      </c>
    </row>
    <row r="24">
      <c r="A24" s="5" t="inlineStr">
        <is>
          <t>Total operating expenses</t>
        </is>
      </c>
      <c r="B24" s="5" t="n">
        <v>-4310</v>
      </c>
      <c r="C24" s="5" t="n">
        <v>-4017</v>
      </c>
      <c r="D24" s="5" t="n">
        <v>-3707</v>
      </c>
      <c r="E24" s="5" t="n">
        <v>-3832</v>
      </c>
      <c r="F24" s="5" t="n">
        <v>-3759</v>
      </c>
      <c r="G24" s="5" t="n">
        <v>-3753</v>
      </c>
      <c r="H24" s="5" t="n">
        <v>-4861</v>
      </c>
    </row>
    <row r="25">
      <c r="A25" s="5" t="inlineStr">
        <is>
          <t>Profit before tax</t>
        </is>
      </c>
      <c r="B25" s="5" t="n">
        <v>5619</v>
      </c>
      <c r="C25" s="5" t="n">
        <v>5647</v>
      </c>
      <c r="D25" s="5" t="n">
        <v>6679</v>
      </c>
      <c r="E25" s="5" t="n">
        <v>3638</v>
      </c>
      <c r="F25" s="5" t="n">
        <v>3480</v>
      </c>
      <c r="G25" s="5" t="n">
        <v>163</v>
      </c>
      <c r="H25" s="5" t="n">
        <v>1010</v>
      </c>
    </row>
    <row r="26">
      <c r="A26" s="6" t="inlineStr">
        <is>
          <t>Tax expense</t>
        </is>
      </c>
      <c r="B26" s="6" t="n">
        <v>-1517</v>
      </c>
      <c r="C26" s="6" t="n">
        <v>-1508</v>
      </c>
      <c r="D26" s="6" t="n">
        <v>-1425</v>
      </c>
      <c r="E26" s="6" t="n">
        <v>-762</v>
      </c>
      <c r="F26" s="6" t="n">
        <v>-1112</v>
      </c>
      <c r="G26" s="6" t="n">
        <v>-83</v>
      </c>
      <c r="H26" s="6" t="n">
        <v>-494</v>
      </c>
    </row>
    <row r="27">
      <c r="A27" s="5" t="inlineStr">
        <is>
          <t>Profit for the year</t>
        </is>
      </c>
      <c r="B27" s="5" t="n">
        <v>4102</v>
      </c>
      <c r="C27" s="5" t="n">
        <v>4139</v>
      </c>
      <c r="D27" s="5" t="n">
        <v>5254</v>
      </c>
      <c r="E27" s="5" t="n">
        <v>2876</v>
      </c>
      <c r="F27" s="5" t="n">
        <v>2368</v>
      </c>
      <c r="G27" s="5" t="n">
        <v>80</v>
      </c>
      <c r="H27" s="5" t="n">
        <v>516</v>
      </c>
    </row>
    <row r="28">
      <c r="A28" s="5" t="inlineStr">
        <is>
          <t>Other comprehensive income</t>
        </is>
      </c>
      <c r="B28" s="6" t="n"/>
      <c r="C28" s="6" t="n"/>
      <c r="D28" s="6" t="n"/>
      <c r="E28" s="6" t="n"/>
      <c r="F28" s="6" t="n"/>
      <c r="G28" s="6" t="n"/>
      <c r="H28" s="6" t="n"/>
    </row>
    <row r="29">
      <c r="A29" s="6" t="inlineStr">
        <is>
          <t>Debt instruments at fair value through OCI</t>
        </is>
      </c>
      <c r="B29" s="6" t="n">
        <v>73</v>
      </c>
      <c r="C29" s="6" t="n">
        <v>-35</v>
      </c>
      <c r="D29" s="6" t="n">
        <v>66</v>
      </c>
      <c r="E29" s="6" t="n">
        <v>-300</v>
      </c>
      <c r="F29" s="6" t="n">
        <v>-89</v>
      </c>
      <c r="G29" s="6" t="n">
        <v>142</v>
      </c>
      <c r="H29" s="6" t="n">
        <v>-4</v>
      </c>
    </row>
    <row r="30">
      <c r="A30" s="6" t="inlineStr">
        <is>
          <t>Cash flow hedges</t>
        </is>
      </c>
      <c r="B30" s="6" t="n">
        <v>734</v>
      </c>
      <c r="C30" s="6" t="n">
        <v>-365</v>
      </c>
      <c r="D30" s="6" t="n">
        <v>1031</v>
      </c>
      <c r="E30" s="6" t="n">
        <v>-1234</v>
      </c>
      <c r="F30" s="6" t="n">
        <v>-91</v>
      </c>
      <c r="G30" s="6" t="n">
        <v>13</v>
      </c>
      <c r="H30" s="6" t="n">
        <v>34</v>
      </c>
    </row>
    <row r="31">
      <c r="A31" s="6" t="inlineStr">
        <is>
          <t>Remeasurement of defined benefit asset/liability</t>
        </is>
      </c>
      <c r="B31" s="6" t="n">
        <v>-80</v>
      </c>
      <c r="C31" s="6" t="n">
        <v>-285</v>
      </c>
      <c r="D31" s="6" t="n">
        <v>-128</v>
      </c>
      <c r="E31" s="6" t="n">
        <v>-1023</v>
      </c>
      <c r="F31" s="6" t="n">
        <v>-510</v>
      </c>
      <c r="G31" s="6" t="n">
        <v>553</v>
      </c>
      <c r="H31" s="6" t="n">
        <v>-207</v>
      </c>
    </row>
    <row r="32">
      <c r="A32" s="6" t="inlineStr">
        <is>
          <t>Exchange differences</t>
        </is>
      </c>
      <c r="B32" s="6" t="n">
        <v>1</v>
      </c>
      <c r="C32" s="6" t="n">
        <v>1</v>
      </c>
      <c r="D32" s="6" t="n">
        <v>8</v>
      </c>
      <c r="E32" s="6" t="n">
        <v>-2</v>
      </c>
      <c r="F32" s="6" t="n">
        <v>-1</v>
      </c>
      <c r="G32" s="6" t="n">
        <v>-5</v>
      </c>
      <c r="H32" s="6" t="n">
        <v>1</v>
      </c>
    </row>
    <row r="33">
      <c r="A33" s="5" t="inlineStr">
        <is>
          <t>Other comprehensive income/(expense) for the year, net of tax</t>
        </is>
      </c>
      <c r="B33" s="5" t="n">
        <v>728</v>
      </c>
      <c r="C33" s="5" t="n">
        <v>-684</v>
      </c>
      <c r="D33" s="5" t="n">
        <v>977</v>
      </c>
      <c r="E33" s="5" t="n">
        <v>-2559</v>
      </c>
      <c r="F33" s="5" t="n">
        <v>-691</v>
      </c>
      <c r="G33" s="5" t="n">
        <v>703</v>
      </c>
      <c r="H33" s="5" t="n">
        <v>-176</v>
      </c>
    </row>
    <row r="34">
      <c r="A34" s="5" t="inlineStr">
        <is>
          <t>Total comprehensive income for the year</t>
        </is>
      </c>
      <c r="B34" s="5" t="n">
        <v>4830</v>
      </c>
      <c r="C34" s="5" t="n">
        <v>3455</v>
      </c>
      <c r="D34" s="5" t="n">
        <v>6231</v>
      </c>
      <c r="E34" s="5" t="n">
        <v>317</v>
      </c>
      <c r="F34" s="5" t="n">
        <v>1677</v>
      </c>
      <c r="G34" s="5" t="n">
        <v>783</v>
      </c>
      <c r="H34" s="5" t="n">
        <v>340</v>
      </c>
    </row>
    <row r="36" ht="210" customHeight="1">
      <c r="A36" s="8" t="inlineStr">
        <is>
          <t>Sources - HSBC UK Bank plc's own Consolidated income statement / statement of comprehensive income, £m:
FY2025 &amp; FY2024: Annual Report and Accounts 2025, p.76-77 - https://www.hsbc.com/-/files/hsbc/investors/hsbc-results/2025/annual/pdfs/hsbc-uk-bank-plc/260225-annual-report-and-accounts-2025.pdf
FY2023 &amp; FY2022: Annual Report and Accounts 2023, p.78 - https://www.hsbc.com/-/files/hsbc/investors/hsbc-results/2023/annual/pdfs/hsbc-uk-bank-plc/240221-annual-report-and-accounts-2023.pdf
FY2021: Annual Report and Accounts 2021, p.73 - https://www.hsbc.com/-/files/hsbc/investors/hsbc-results/2021/annual/pdfs/hsbc-uk-bank-plc/220222-annual-report-and-accounts-2021.pdf
FY2020: Annual Report and Accounts 2020, p.80-81 - https://www.hsbc.com/-/files/hsbc/investors/hsbc-results/2020/annual/pdfs/hsbc-uk-bank-plc/210223-annual-report-and-accounts-2020.pdf
FY2019: Annual Report and Accounts 2019, p.70-71 - https://www.hsbc.com/-/files/hsbc/investors/hsbc-results/2019/annual/pdfs/hsbc-uk-bank-plc/200218-annual-report-and-accounts-2019.pdf
Presentation note: FY2023's 'Gain on acquisition of subsidiary' (£1,307m, provisional gain on the acquisition of Silicon Valley Bank UK, March 2023) is unique to that year. FY2021's, FY2020's and FY2019's 'Changes in fair value of other financial instruments mandatorily measured at FVTPL' and 'Gains less losses from financial investments' lines were folded into other income lines from FY2022 onward and don't appear as separate lines in later years. OCI detail is disclosed in-table for all 7 years; Total comprehensive income for the year is comparable across all years and ties exactly to Profit for the year + OCI total.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36:H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HSBC UK Bank plc — Consolidated Statement of Changes in Equity</t>
        </is>
      </c>
    </row>
    <row r="2">
      <c r="A2" s="2" t="inlineStr">
        <is>
          <t>Chronological roll-forward, oldest to newest, £m. Equity reconciliation ladder confirmed: each year's own closing balance ties exactly to the next year's own opening balance and to that year's own Balance Sheet Total equity - zero plug rows needed anywhere across all 7 years. During Q4 2024, HSBC UK Bank plc converted £5.2bn of its Group reorganisation reserve and £9.0bn of its share premium account into retained earnings via a bonus share issuance and cancellation (Note 23) - a real, disclosed internal restructuring, not an error. See source note at bottom.</t>
        </is>
      </c>
    </row>
    <row r="3">
      <c r="A3" s="4" t="inlineStr">
        <is>
          <t>Movement</t>
        </is>
      </c>
      <c r="B3" s="4" t="inlineStr">
        <is>
          <t>Called up share capital and share premium</t>
        </is>
      </c>
      <c r="C3" s="4" t="inlineStr">
        <is>
          <t>Other equity instruments</t>
        </is>
      </c>
      <c r="D3" s="4" t="inlineStr">
        <is>
          <t>Retained earnings</t>
        </is>
      </c>
      <c r="E3" s="4" t="inlineStr">
        <is>
          <t>Financial assets at FVOCI reserve</t>
        </is>
      </c>
      <c r="F3" s="4" t="inlineStr">
        <is>
          <t>Cash flow hedging reserve</t>
        </is>
      </c>
      <c r="G3" s="4" t="inlineStr">
        <is>
          <t>Group reorganisation reserve</t>
        </is>
      </c>
      <c r="H3" s="4" t="inlineStr">
        <is>
          <t>Total shareholders' equity</t>
        </is>
      </c>
      <c r="I3" s="4" t="inlineStr">
        <is>
          <t>Non-controlling interests</t>
        </is>
      </c>
      <c r="J3" s="4" t="inlineStr">
        <is>
          <t>Total equity</t>
        </is>
      </c>
    </row>
    <row r="4">
      <c r="A4" s="5" t="inlineStr">
        <is>
          <t>At 1 Jan 2019 (FY2019's own opening)</t>
        </is>
      </c>
      <c r="B4" s="5" t="n">
        <v>9015</v>
      </c>
      <c r="C4" s="5" t="n">
        <v>2196</v>
      </c>
      <c r="D4" s="5" t="n">
        <v>3405</v>
      </c>
      <c r="E4" s="5" t="n">
        <v>14</v>
      </c>
      <c r="F4" s="5" t="n">
        <v>-46</v>
      </c>
      <c r="G4" s="5" t="n">
        <v>7689</v>
      </c>
      <c r="H4" s="5" t="n">
        <v>22273</v>
      </c>
      <c r="I4" s="5" t="n">
        <v>60</v>
      </c>
      <c r="J4" s="5" t="n">
        <v>22333</v>
      </c>
    </row>
    <row r="5">
      <c r="A5" s="6" t="inlineStr">
        <is>
          <t>Profit for the year</t>
        </is>
      </c>
      <c r="B5" s="6" t="n"/>
      <c r="C5" s="6" t="n"/>
      <c r="D5" s="6" t="n">
        <v>512</v>
      </c>
      <c r="E5" s="6" t="n"/>
      <c r="F5" s="6" t="n"/>
      <c r="G5" s="6" t="n"/>
      <c r="H5" s="6" t="n">
        <v>512</v>
      </c>
      <c r="I5" s="6" t="n">
        <v>4</v>
      </c>
      <c r="J5" s="6" t="n">
        <v>516</v>
      </c>
    </row>
    <row r="6">
      <c r="A6" s="6" t="inlineStr">
        <is>
          <t>Other comprehensive income (net of tax)</t>
        </is>
      </c>
      <c r="B6" s="6" t="n"/>
      <c r="C6" s="6" t="n"/>
      <c r="D6" s="6" t="n">
        <v>-207</v>
      </c>
      <c r="E6" s="6" t="n">
        <v>-5</v>
      </c>
      <c r="F6" s="6" t="n">
        <v>34</v>
      </c>
      <c r="G6" s="6" t="n">
        <v>2</v>
      </c>
      <c r="H6" s="6" t="n">
        <v>-176</v>
      </c>
      <c r="I6" s="6" t="n"/>
      <c r="J6" s="6" t="n">
        <v>-176</v>
      </c>
    </row>
    <row r="7">
      <c r="A7" s="6" t="inlineStr">
        <is>
          <t>Total comprehensive income for the year</t>
        </is>
      </c>
      <c r="B7" s="6" t="n"/>
      <c r="C7" s="6" t="n"/>
      <c r="D7" s="6" t="n">
        <v>305</v>
      </c>
      <c r="E7" s="6" t="n">
        <v>-5</v>
      </c>
      <c r="F7" s="6" t="n">
        <v>34</v>
      </c>
      <c r="G7" s="6" t="n">
        <v>2</v>
      </c>
      <c r="H7" s="6" t="n">
        <v>336</v>
      </c>
      <c r="I7" s="6" t="n">
        <v>4</v>
      </c>
      <c r="J7" s="6" t="n">
        <v>340</v>
      </c>
    </row>
    <row r="8">
      <c r="A8" s="6" t="inlineStr">
        <is>
          <t>Dividends to shareholders</t>
        </is>
      </c>
      <c r="B8" s="6" t="n"/>
      <c r="C8" s="6" t="n"/>
      <c r="D8" s="6" t="n">
        <v>-451</v>
      </c>
      <c r="E8" s="6" t="n"/>
      <c r="F8" s="6" t="n"/>
      <c r="G8" s="6" t="n"/>
      <c r="H8" s="6" t="n">
        <v>-451</v>
      </c>
      <c r="I8" s="6" t="n">
        <v>-4</v>
      </c>
      <c r="J8" s="6" t="n">
        <v>-455</v>
      </c>
    </row>
    <row r="9">
      <c r="A9" s="6" t="inlineStr">
        <is>
          <t>Other movements (pension asset transfer, share-based payments)</t>
        </is>
      </c>
      <c r="B9" s="6" t="n"/>
      <c r="C9" s="6" t="n"/>
      <c r="D9" s="6" t="n">
        <v>33</v>
      </c>
      <c r="E9" s="6" t="n"/>
      <c r="F9" s="6" t="n"/>
      <c r="G9" s="6" t="n"/>
      <c r="H9" s="6" t="n">
        <v>33</v>
      </c>
      <c r="I9" s="6" t="n"/>
      <c r="J9" s="6" t="n">
        <v>33</v>
      </c>
    </row>
    <row r="10">
      <c r="A10" s="5" t="inlineStr">
        <is>
          <t>At 31 Dec 2019 / 1 Jan 2020</t>
        </is>
      </c>
      <c r="B10" s="5" t="n">
        <v>9015</v>
      </c>
      <c r="C10" s="5" t="n">
        <v>2196</v>
      </c>
      <c r="D10" s="5" t="n">
        <v>3292</v>
      </c>
      <c r="E10" s="5" t="n">
        <v>9</v>
      </c>
      <c r="F10" s="5" t="n">
        <v>-12</v>
      </c>
      <c r="G10" s="5" t="n">
        <v>7691</v>
      </c>
      <c r="H10" s="5" t="n">
        <v>22191</v>
      </c>
      <c r="I10" s="5" t="n">
        <v>60</v>
      </c>
      <c r="J10" s="5" t="n">
        <v>22251</v>
      </c>
    </row>
    <row r="11">
      <c r="A11" s="6" t="inlineStr">
        <is>
          <t>Profit for the year</t>
        </is>
      </c>
      <c r="B11" s="6" t="n"/>
      <c r="C11" s="6" t="n"/>
      <c r="D11" s="6" t="n">
        <v>76</v>
      </c>
      <c r="E11" s="6" t="n"/>
      <c r="F11" s="6" t="n"/>
      <c r="G11" s="6" t="n"/>
      <c r="H11" s="6" t="n">
        <v>76</v>
      </c>
      <c r="I11" s="6" t="n">
        <v>4</v>
      </c>
      <c r="J11" s="6" t="n">
        <v>80</v>
      </c>
    </row>
    <row r="12">
      <c r="A12" s="6" t="inlineStr">
        <is>
          <t>Other comprehensive income (net of tax)</t>
        </is>
      </c>
      <c r="B12" s="6" t="n"/>
      <c r="C12" s="6" t="n"/>
      <c r="D12" s="6" t="n">
        <v>553</v>
      </c>
      <c r="E12" s="6" t="n">
        <v>137</v>
      </c>
      <c r="F12" s="6" t="n">
        <v>13</v>
      </c>
      <c r="G12" s="6" t="n"/>
      <c r="H12" s="6" t="n">
        <v>703</v>
      </c>
      <c r="I12" s="6" t="n"/>
      <c r="J12" s="6" t="n">
        <v>703</v>
      </c>
    </row>
    <row r="13">
      <c r="A13" s="6" t="inlineStr">
        <is>
          <t>Total comprehensive income for the year</t>
        </is>
      </c>
      <c r="B13" s="6" t="n"/>
      <c r="C13" s="6" t="n"/>
      <c r="D13" s="6" t="n">
        <v>629</v>
      </c>
      <c r="E13" s="6" t="n">
        <v>137</v>
      </c>
      <c r="F13" s="6" t="n">
        <v>13</v>
      </c>
      <c r="G13" s="6" t="n"/>
      <c r="H13" s="6" t="n">
        <v>779</v>
      </c>
      <c r="I13" s="6" t="n">
        <v>4</v>
      </c>
      <c r="J13" s="6" t="n">
        <v>783</v>
      </c>
    </row>
    <row r="14">
      <c r="A14" s="6" t="inlineStr">
        <is>
          <t>Dividends to shareholders</t>
        </is>
      </c>
      <c r="B14" s="6" t="n"/>
      <c r="C14" s="6" t="n"/>
      <c r="D14" s="6" t="n">
        <v>-222</v>
      </c>
      <c r="E14" s="6" t="n"/>
      <c r="F14" s="6" t="n"/>
      <c r="G14" s="6" t="n"/>
      <c r="H14" s="6" t="n">
        <v>-222</v>
      </c>
      <c r="I14" s="6" t="n">
        <v>-4</v>
      </c>
      <c r="J14" s="6" t="n">
        <v>-226</v>
      </c>
    </row>
    <row r="15">
      <c r="A15" s="6" t="inlineStr">
        <is>
          <t>Other movements (pension asset transfer, share-based payments)</t>
        </is>
      </c>
      <c r="B15" s="6" t="n"/>
      <c r="C15" s="6" t="n"/>
      <c r="D15" s="6" t="n">
        <v>50</v>
      </c>
      <c r="E15" s="6" t="n"/>
      <c r="F15" s="6" t="n"/>
      <c r="G15" s="6" t="n"/>
      <c r="H15" s="6" t="n">
        <v>50</v>
      </c>
      <c r="I15" s="6" t="n"/>
      <c r="J15" s="6" t="n">
        <v>50</v>
      </c>
    </row>
    <row r="16">
      <c r="A16" s="5" t="inlineStr">
        <is>
          <t>At 1 Jan 2021 (FY2021's own opening)</t>
        </is>
      </c>
      <c r="B16" s="5" t="n">
        <v>9015</v>
      </c>
      <c r="C16" s="5" t="n">
        <v>2196</v>
      </c>
      <c r="D16" s="5" t="n">
        <v>3749</v>
      </c>
      <c r="E16" s="5" t="n">
        <v>146</v>
      </c>
      <c r="F16" s="5" t="n">
        <v>1</v>
      </c>
      <c r="G16" s="5" t="n">
        <v>7691</v>
      </c>
      <c r="H16" s="5" t="n">
        <v>22798</v>
      </c>
      <c r="I16" s="5" t="n">
        <v>60</v>
      </c>
      <c r="J16" s="5" t="n">
        <v>22858</v>
      </c>
    </row>
    <row r="17">
      <c r="A17" s="6" t="inlineStr">
        <is>
          <t>Profit for the year</t>
        </is>
      </c>
      <c r="B17" s="6" t="n"/>
      <c r="C17" s="6" t="n"/>
      <c r="D17" s="6" t="n">
        <v>2363</v>
      </c>
      <c r="E17" s="6" t="n"/>
      <c r="F17" s="6" t="n"/>
      <c r="G17" s="6" t="n"/>
      <c r="H17" s="6" t="n">
        <v>2363</v>
      </c>
      <c r="I17" s="6" t="n">
        <v>5</v>
      </c>
      <c r="J17" s="6" t="n">
        <v>2368</v>
      </c>
    </row>
    <row r="18">
      <c r="A18" s="6" t="inlineStr">
        <is>
          <t>Other comprehensive income (net of tax)</t>
        </is>
      </c>
      <c r="B18" s="6" t="n"/>
      <c r="C18" s="6" t="n"/>
      <c r="D18" s="6" t="n">
        <v>-510</v>
      </c>
      <c r="E18" s="6" t="n">
        <v>-90</v>
      </c>
      <c r="F18" s="6" t="n">
        <v>-91</v>
      </c>
      <c r="G18" s="6" t="n"/>
      <c r="H18" s="6" t="n">
        <v>-691</v>
      </c>
      <c r="I18" s="6" t="n"/>
      <c r="J18" s="6" t="n">
        <v>-691</v>
      </c>
    </row>
    <row r="19">
      <c r="A19" s="6" t="inlineStr">
        <is>
          <t>Total comprehensive income for the year</t>
        </is>
      </c>
      <c r="B19" s="6" t="n"/>
      <c r="C19" s="6" t="n"/>
      <c r="D19" s="6" t="n">
        <v>1853</v>
      </c>
      <c r="E19" s="6" t="n">
        <v>-90</v>
      </c>
      <c r="F19" s="6" t="n">
        <v>-91</v>
      </c>
      <c r="G19" s="6" t="n"/>
      <c r="H19" s="6" t="n">
        <v>1672</v>
      </c>
      <c r="I19" s="6" t="n">
        <v>5</v>
      </c>
      <c r="J19" s="6" t="n">
        <v>1677</v>
      </c>
    </row>
    <row r="20">
      <c r="A20" s="6" t="inlineStr">
        <is>
          <t>Dividends to shareholders</t>
        </is>
      </c>
      <c r="B20" s="6" t="n"/>
      <c r="C20" s="6" t="n"/>
      <c r="D20" s="6" t="n">
        <v>-747</v>
      </c>
      <c r="E20" s="6" t="n"/>
      <c r="F20" s="6" t="n"/>
      <c r="G20" s="6" t="n"/>
      <c r="H20" s="6" t="n">
        <v>-747</v>
      </c>
      <c r="I20" s="6" t="n">
        <v>-5</v>
      </c>
      <c r="J20" s="6" t="n">
        <v>-752</v>
      </c>
    </row>
    <row r="21">
      <c r="A21" s="6" t="inlineStr">
        <is>
          <t>Other movements (pension asset transfers, share-based payments)</t>
        </is>
      </c>
      <c r="B21" s="6" t="n"/>
      <c r="C21" s="6" t="n"/>
      <c r="D21" s="6" t="n">
        <v>22</v>
      </c>
      <c r="E21" s="6" t="n"/>
      <c r="F21" s="6" t="n"/>
      <c r="G21" s="6" t="n"/>
      <c r="H21" s="6" t="n">
        <v>22</v>
      </c>
      <c r="I21" s="6" t="n"/>
      <c r="J21" s="6" t="n">
        <v>22</v>
      </c>
    </row>
    <row r="22">
      <c r="A22" s="5" t="inlineStr">
        <is>
          <t>At 31 Dec 2021 / 1 Jan 2022</t>
        </is>
      </c>
      <c r="B22" s="5" t="n">
        <v>9015</v>
      </c>
      <c r="C22" s="5" t="n">
        <v>2196</v>
      </c>
      <c r="D22" s="5" t="n">
        <v>4877</v>
      </c>
      <c r="E22" s="5" t="n">
        <v>56</v>
      </c>
      <c r="F22" s="5" t="n">
        <v>-90</v>
      </c>
      <c r="G22" s="5" t="n">
        <v>7691</v>
      </c>
      <c r="H22" s="5" t="n">
        <v>23745</v>
      </c>
      <c r="I22" s="5" t="n">
        <v>60</v>
      </c>
      <c r="J22" s="5" t="n">
        <v>23805</v>
      </c>
    </row>
    <row r="23">
      <c r="A23" s="6" t="inlineStr">
        <is>
          <t>Profit for the year</t>
        </is>
      </c>
      <c r="B23" s="6" t="n"/>
      <c r="C23" s="6" t="n"/>
      <c r="D23" s="6" t="n">
        <v>2871</v>
      </c>
      <c r="E23" s="6" t="n"/>
      <c r="F23" s="6" t="n"/>
      <c r="G23" s="6" t="n"/>
      <c r="H23" s="6" t="n">
        <v>2871</v>
      </c>
      <c r="I23" s="6" t="n">
        <v>5</v>
      </c>
      <c r="J23" s="6" t="n">
        <v>2876</v>
      </c>
    </row>
    <row r="24">
      <c r="A24" s="6" t="inlineStr">
        <is>
          <t>Other comprehensive income (net of tax)</t>
        </is>
      </c>
      <c r="B24" s="6" t="n"/>
      <c r="C24" s="6" t="n"/>
      <c r="D24" s="6" t="n">
        <v>-1023</v>
      </c>
      <c r="E24" s="6" t="n">
        <v>-302</v>
      </c>
      <c r="F24" s="6" t="n">
        <v>-1234</v>
      </c>
      <c r="G24" s="6" t="n"/>
      <c r="H24" s="6" t="n">
        <v>-2559</v>
      </c>
      <c r="I24" s="6" t="n"/>
      <c r="J24" s="6" t="n">
        <v>-2559</v>
      </c>
    </row>
    <row r="25">
      <c r="A25" s="6" t="inlineStr">
        <is>
          <t>Total comprehensive income for the year</t>
        </is>
      </c>
      <c r="B25" s="6" t="n"/>
      <c r="C25" s="6" t="n"/>
      <c r="D25" s="6" t="n">
        <v>1848</v>
      </c>
      <c r="E25" s="6" t="n">
        <v>-302</v>
      </c>
      <c r="F25" s="6" t="n">
        <v>-1234</v>
      </c>
      <c r="G25" s="6" t="n"/>
      <c r="H25" s="6" t="n">
        <v>312</v>
      </c>
      <c r="I25" s="6" t="n">
        <v>5</v>
      </c>
      <c r="J25" s="6" t="n">
        <v>317</v>
      </c>
    </row>
    <row r="26">
      <c r="A26" s="6" t="inlineStr">
        <is>
          <t>Dividends to shareholders</t>
        </is>
      </c>
      <c r="B26" s="6" t="n"/>
      <c r="C26" s="6" t="n"/>
      <c r="D26" s="6" t="n">
        <v>-1929</v>
      </c>
      <c r="E26" s="6" t="n"/>
      <c r="F26" s="6" t="n"/>
      <c r="G26" s="6" t="n"/>
      <c r="H26" s="6" t="n">
        <v>-1929</v>
      </c>
      <c r="I26" s="6" t="n">
        <v>-5</v>
      </c>
      <c r="J26" s="6" t="n">
        <v>-1934</v>
      </c>
    </row>
    <row r="27">
      <c r="A27" s="6" t="inlineStr">
        <is>
          <t>Other movements (pension asset transfers, share-based payments)</t>
        </is>
      </c>
      <c r="B27" s="6" t="n"/>
      <c r="C27" s="6" t="n"/>
      <c r="D27" s="6" t="n">
        <v>38</v>
      </c>
      <c r="E27" s="6" t="n"/>
      <c r="F27" s="6" t="n"/>
      <c r="G27" s="6" t="n"/>
      <c r="H27" s="6" t="n">
        <v>38</v>
      </c>
      <c r="I27" s="6" t="n"/>
      <c r="J27" s="6" t="n">
        <v>38</v>
      </c>
    </row>
    <row r="28">
      <c r="A28" s="5" t="inlineStr">
        <is>
          <t>At 31 Dec 2022 / 1 Jan 2023</t>
        </is>
      </c>
      <c r="B28" s="5" t="n">
        <v>9015</v>
      </c>
      <c r="C28" s="5" t="n">
        <v>2196</v>
      </c>
      <c r="D28" s="5" t="n">
        <v>4834</v>
      </c>
      <c r="E28" s="5" t="n">
        <v>-246</v>
      </c>
      <c r="F28" s="5" t="n">
        <v>-1324</v>
      </c>
      <c r="G28" s="5" t="n">
        <v>7691</v>
      </c>
      <c r="H28" s="5" t="n">
        <v>22166</v>
      </c>
      <c r="I28" s="5" t="n">
        <v>60</v>
      </c>
      <c r="J28" s="5" t="n">
        <v>22226</v>
      </c>
    </row>
    <row r="29">
      <c r="A29" s="6" t="inlineStr">
        <is>
          <t>Profit for the year</t>
        </is>
      </c>
      <c r="B29" s="6" t="n"/>
      <c r="C29" s="6" t="n"/>
      <c r="D29" s="6" t="n">
        <v>5249</v>
      </c>
      <c r="E29" s="6" t="n"/>
      <c r="F29" s="6" t="n"/>
      <c r="G29" s="6" t="n"/>
      <c r="H29" s="6" t="n">
        <v>5249</v>
      </c>
      <c r="I29" s="6" t="n">
        <v>5</v>
      </c>
      <c r="J29" s="6" t="n">
        <v>5254</v>
      </c>
    </row>
    <row r="30">
      <c r="A30" s="6" t="inlineStr">
        <is>
          <t>Other comprehensive income (net of tax)</t>
        </is>
      </c>
      <c r="B30" s="6" t="n"/>
      <c r="C30" s="6" t="n"/>
      <c r="D30" s="6" t="n">
        <v>-128</v>
      </c>
      <c r="E30" s="6" t="n">
        <v>74</v>
      </c>
      <c r="F30" s="6" t="n">
        <v>1031</v>
      </c>
      <c r="G30" s="6" t="n"/>
      <c r="H30" s="6" t="n">
        <v>977</v>
      </c>
      <c r="I30" s="6" t="n"/>
      <c r="J30" s="6" t="n">
        <v>977</v>
      </c>
    </row>
    <row r="31">
      <c r="A31" s="6" t="inlineStr">
        <is>
          <t>Total comprehensive income for the year</t>
        </is>
      </c>
      <c r="B31" s="6" t="n"/>
      <c r="C31" s="6" t="n"/>
      <c r="D31" s="6" t="n">
        <v>5121</v>
      </c>
      <c r="E31" s="6" t="n">
        <v>74</v>
      </c>
      <c r="F31" s="6" t="n">
        <v>1031</v>
      </c>
      <c r="G31" s="6" t="n"/>
      <c r="H31" s="6" t="n">
        <v>6226</v>
      </c>
      <c r="I31" s="6" t="n">
        <v>5</v>
      </c>
      <c r="J31" s="6" t="n">
        <v>6231</v>
      </c>
    </row>
    <row r="32">
      <c r="A32" s="6" t="inlineStr">
        <is>
          <t>Dividends to shareholders</t>
        </is>
      </c>
      <c r="B32" s="6" t="n"/>
      <c r="C32" s="6" t="n"/>
      <c r="D32" s="6" t="n">
        <v>-2411</v>
      </c>
      <c r="E32" s="6" t="n"/>
      <c r="F32" s="6" t="n"/>
      <c r="G32" s="6" t="n"/>
      <c r="H32" s="6" t="n">
        <v>-2411</v>
      </c>
      <c r="I32" s="6" t="n">
        <v>-5</v>
      </c>
      <c r="J32" s="6" t="n">
        <v>-2416</v>
      </c>
    </row>
    <row r="33">
      <c r="A33" s="6" t="inlineStr">
        <is>
          <t>Other movements (pension asset transfers, share-based payments)</t>
        </is>
      </c>
      <c r="B33" s="6" t="n"/>
      <c r="C33" s="6" t="n"/>
      <c r="D33" s="6" t="n">
        <v>29</v>
      </c>
      <c r="E33" s="6" t="n"/>
      <c r="F33" s="6" t="n"/>
      <c r="G33" s="6" t="n"/>
      <c r="H33" s="6" t="n">
        <v>29</v>
      </c>
      <c r="I33" s="6" t="n"/>
      <c r="J33" s="6" t="n">
        <v>29</v>
      </c>
    </row>
    <row r="34">
      <c r="A34" s="5" t="inlineStr">
        <is>
          <t>At 31 Dec 2023 / 1 Jan 2024</t>
        </is>
      </c>
      <c r="B34" s="5" t="n">
        <v>9015</v>
      </c>
      <c r="C34" s="5" t="n">
        <v>2196</v>
      </c>
      <c r="D34" s="5" t="n">
        <v>7573</v>
      </c>
      <c r="E34" s="5" t="n">
        <v>-172</v>
      </c>
      <c r="F34" s="5" t="n">
        <v>-293</v>
      </c>
      <c r="G34" s="5" t="n">
        <v>7691</v>
      </c>
      <c r="H34" s="5" t="n">
        <v>26010</v>
      </c>
      <c r="I34" s="5" t="n">
        <v>60</v>
      </c>
      <c r="J34" s="5" t="n">
        <v>26070</v>
      </c>
    </row>
    <row r="35">
      <c r="A35" s="6" t="inlineStr">
        <is>
          <t>Profit for the year</t>
        </is>
      </c>
      <c r="B35" s="6" t="n"/>
      <c r="C35" s="6" t="n"/>
      <c r="D35" s="6" t="n">
        <v>4134</v>
      </c>
      <c r="E35" s="6" t="n"/>
      <c r="F35" s="6" t="n"/>
      <c r="G35" s="6" t="n"/>
      <c r="H35" s="6" t="n">
        <v>4134</v>
      </c>
      <c r="I35" s="6" t="n">
        <v>5</v>
      </c>
      <c r="J35" s="6" t="n">
        <v>4139</v>
      </c>
    </row>
    <row r="36">
      <c r="A36" s="6" t="inlineStr">
        <is>
          <t>Other comprehensive income (net of tax)</t>
        </is>
      </c>
      <c r="B36" s="6" t="n"/>
      <c r="C36" s="6" t="n"/>
      <c r="D36" s="6" t="n">
        <v>-285</v>
      </c>
      <c r="E36" s="6" t="n">
        <v>-34</v>
      </c>
      <c r="F36" s="6" t="n">
        <v>-365</v>
      </c>
      <c r="G36" s="6" t="n"/>
      <c r="H36" s="6" t="n">
        <v>-684</v>
      </c>
      <c r="I36" s="6" t="n"/>
      <c r="J36" s="6" t="n">
        <v>-684</v>
      </c>
    </row>
    <row r="37">
      <c r="A37" s="6" t="inlineStr">
        <is>
          <t>Total comprehensive income for the year</t>
        </is>
      </c>
      <c r="B37" s="6" t="n"/>
      <c r="C37" s="6" t="n"/>
      <c r="D37" s="6" t="n">
        <v>3849</v>
      </c>
      <c r="E37" s="6" t="n">
        <v>-34</v>
      </c>
      <c r="F37" s="6" t="n">
        <v>-365</v>
      </c>
      <c r="G37" s="6" t="n"/>
      <c r="H37" s="6" t="n">
        <v>3450</v>
      </c>
      <c r="I37" s="6" t="n">
        <v>5</v>
      </c>
      <c r="J37" s="6" t="n">
        <v>3455</v>
      </c>
    </row>
    <row r="38">
      <c r="A38" s="6" t="inlineStr">
        <is>
          <t>Dividends to shareholders</t>
        </is>
      </c>
      <c r="B38" s="6" t="n"/>
      <c r="C38" s="6" t="n"/>
      <c r="D38" s="6" t="n">
        <v>-3564</v>
      </c>
      <c r="E38" s="6" t="n"/>
      <c r="F38" s="6" t="n"/>
      <c r="G38" s="6" t="n"/>
      <c r="H38" s="6" t="n">
        <v>-3564</v>
      </c>
      <c r="I38" s="6" t="n">
        <v>-5</v>
      </c>
      <c r="J38" s="6" t="n">
        <v>-3569</v>
      </c>
    </row>
    <row r="39">
      <c r="A39" s="6" t="inlineStr">
        <is>
          <t>Share premium reclassification to retained earnings</t>
        </is>
      </c>
      <c r="B39" s="6" t="n">
        <v>-9015</v>
      </c>
      <c r="C39" s="6" t="n"/>
      <c r="D39" s="6" t="n">
        <v>9015</v>
      </c>
      <c r="E39" s="6" t="n"/>
      <c r="F39" s="6" t="n"/>
      <c r="G39" s="6" t="n"/>
      <c r="H39" s="6" t="n">
        <v>0</v>
      </c>
      <c r="I39" s="6" t="n"/>
      <c r="J39" s="6" t="n">
        <v>0</v>
      </c>
    </row>
    <row r="40">
      <c r="A40" s="6" t="inlineStr">
        <is>
          <t>Capitalisation of Group reorganisation reserve through bonus share issuance</t>
        </is>
      </c>
      <c r="B40" s="6" t="n">
        <v>5248</v>
      </c>
      <c r="C40" s="6" t="n"/>
      <c r="D40" s="6" t="n"/>
      <c r="E40" s="6" t="n"/>
      <c r="F40" s="6" t="n"/>
      <c r="G40" s="6" t="n">
        <v>-5248</v>
      </c>
      <c r="H40" s="6" t="n">
        <v>0</v>
      </c>
      <c r="I40" s="6" t="n"/>
      <c r="J40" s="6" t="n">
        <v>0</v>
      </c>
    </row>
    <row r="41">
      <c r="A41" s="6" t="inlineStr">
        <is>
          <t>Cancellation of bonus shares</t>
        </is>
      </c>
      <c r="B41" s="6" t="n">
        <v>-5248</v>
      </c>
      <c r="C41" s="6" t="n"/>
      <c r="D41" s="6" t="n">
        <v>5248</v>
      </c>
      <c r="E41" s="6" t="n"/>
      <c r="F41" s="6" t="n"/>
      <c r="G41" s="6" t="n"/>
      <c r="H41" s="6" t="n">
        <v>0</v>
      </c>
      <c r="I41" s="6" t="n"/>
      <c r="J41" s="6" t="n">
        <v>0</v>
      </c>
    </row>
    <row r="42">
      <c r="A42" s="6" t="inlineStr">
        <is>
          <t>Other movements (tax credit on share-based payments, pension asset transfers)</t>
        </is>
      </c>
      <c r="B42" s="6" t="n"/>
      <c r="C42" s="6" t="n"/>
      <c r="D42" s="6" t="n">
        <v>15</v>
      </c>
      <c r="E42" s="6" t="n"/>
      <c r="F42" s="6" t="n"/>
      <c r="G42" s="6" t="n"/>
      <c r="H42" s="6" t="n">
        <v>15</v>
      </c>
      <c r="I42" s="6" t="n"/>
      <c r="J42" s="6" t="n">
        <v>15</v>
      </c>
    </row>
    <row r="43">
      <c r="A43" s="5" t="inlineStr">
        <is>
          <t>At 31 Dec 2024 / 1 Jan 2025</t>
        </is>
      </c>
      <c r="B43" s="5" t="n">
        <v>0</v>
      </c>
      <c r="C43" s="5" t="n">
        <v>2196</v>
      </c>
      <c r="D43" s="5" t="n">
        <v>22136</v>
      </c>
      <c r="E43" s="5" t="n">
        <v>-206</v>
      </c>
      <c r="F43" s="5" t="n">
        <v>-658</v>
      </c>
      <c r="G43" s="5" t="n">
        <v>2443</v>
      </c>
      <c r="H43" s="5" t="n">
        <v>25911</v>
      </c>
      <c r="I43" s="5" t="n">
        <v>60</v>
      </c>
      <c r="J43" s="5" t="n">
        <v>25971</v>
      </c>
    </row>
    <row r="44">
      <c r="A44" s="6" t="inlineStr">
        <is>
          <t>Profit for the year</t>
        </is>
      </c>
      <c r="B44" s="6" t="n"/>
      <c r="C44" s="6" t="n"/>
      <c r="D44" s="6" t="n">
        <v>4097</v>
      </c>
      <c r="E44" s="6" t="n"/>
      <c r="F44" s="6" t="n"/>
      <c r="G44" s="6" t="n"/>
      <c r="H44" s="6" t="n">
        <v>4097</v>
      </c>
      <c r="I44" s="6" t="n">
        <v>5</v>
      </c>
      <c r="J44" s="6" t="n">
        <v>4102</v>
      </c>
    </row>
    <row r="45">
      <c r="A45" s="6" t="inlineStr">
        <is>
          <t>Other comprehensive income (net of tax)</t>
        </is>
      </c>
      <c r="B45" s="6" t="n"/>
      <c r="C45" s="6" t="n"/>
      <c r="D45" s="6" t="n">
        <v>-80</v>
      </c>
      <c r="E45" s="6" t="n">
        <v>74</v>
      </c>
      <c r="F45" s="6" t="n">
        <v>734</v>
      </c>
      <c r="G45" s="6" t="n"/>
      <c r="H45" s="6" t="n">
        <v>728</v>
      </c>
      <c r="I45" s="6" t="n"/>
      <c r="J45" s="6" t="n">
        <v>728</v>
      </c>
    </row>
    <row r="46">
      <c r="A46" s="6" t="inlineStr">
        <is>
          <t>Total comprehensive income for the year</t>
        </is>
      </c>
      <c r="B46" s="6" t="n"/>
      <c r="C46" s="6" t="n"/>
      <c r="D46" s="6" t="n">
        <v>4017</v>
      </c>
      <c r="E46" s="6" t="n">
        <v>74</v>
      </c>
      <c r="F46" s="6" t="n">
        <v>734</v>
      </c>
      <c r="G46" s="6" t="n"/>
      <c r="H46" s="6" t="n">
        <v>4825</v>
      </c>
      <c r="I46" s="6" t="n">
        <v>5</v>
      </c>
      <c r="J46" s="6" t="n">
        <v>4830</v>
      </c>
    </row>
    <row r="47">
      <c r="A47" s="6" t="inlineStr">
        <is>
          <t>Issue of other equity instruments</t>
        </is>
      </c>
      <c r="B47" s="6" t="n"/>
      <c r="C47" s="6" t="n">
        <v>495</v>
      </c>
      <c r="D47" s="6" t="n"/>
      <c r="E47" s="6" t="n"/>
      <c r="F47" s="6" t="n"/>
      <c r="G47" s="6" t="n"/>
      <c r="H47" s="6" t="n">
        <v>495</v>
      </c>
      <c r="I47" s="6" t="n"/>
      <c r="J47" s="6" t="n">
        <v>495</v>
      </c>
    </row>
    <row r="48">
      <c r="A48" s="6" t="inlineStr">
        <is>
          <t>Dividends to shareholders</t>
        </is>
      </c>
      <c r="B48" s="6" t="n"/>
      <c r="C48" s="6" t="n"/>
      <c r="D48" s="6" t="n">
        <v>-3023</v>
      </c>
      <c r="E48" s="6" t="n"/>
      <c r="F48" s="6" t="n"/>
      <c r="G48" s="6" t="n"/>
      <c r="H48" s="6" t="n">
        <v>-3023</v>
      </c>
      <c r="I48" s="6" t="n">
        <v>-5</v>
      </c>
      <c r="J48" s="6" t="n">
        <v>-3028</v>
      </c>
    </row>
    <row r="49">
      <c r="A49" s="6" t="inlineStr">
        <is>
          <t>Other movements (tax credit on share-based payments, repayment of other equity instruments to NCI)</t>
        </is>
      </c>
      <c r="B49" s="6" t="n"/>
      <c r="C49" s="6" t="n"/>
      <c r="D49" s="6" t="n">
        <v>33</v>
      </c>
      <c r="E49" s="6" t="n"/>
      <c r="F49" s="6" t="n"/>
      <c r="G49" s="6" t="n"/>
      <c r="H49" s="6" t="n">
        <v>33</v>
      </c>
      <c r="I49" s="6" t="n">
        <v>-40</v>
      </c>
      <c r="J49" s="6" t="n">
        <v>-7</v>
      </c>
    </row>
    <row r="50">
      <c r="A50" s="5" t="inlineStr">
        <is>
          <t>At 31 Dec 2025</t>
        </is>
      </c>
      <c r="B50" s="5" t="n">
        <v>0</v>
      </c>
      <c r="C50" s="5" t="n">
        <v>2691</v>
      </c>
      <c r="D50" s="5" t="n">
        <v>23163</v>
      </c>
      <c r="E50" s="5" t="n">
        <v>-132</v>
      </c>
      <c r="F50" s="5" t="n">
        <v>76</v>
      </c>
      <c r="G50" s="5" t="n">
        <v>2443</v>
      </c>
      <c r="H50" s="5" t="n">
        <v>28241</v>
      </c>
      <c r="I50" s="5" t="n">
        <v>20</v>
      </c>
      <c r="J50" s="5" t="n">
        <v>28261</v>
      </c>
    </row>
    <row r="52" ht="180" customHeight="1">
      <c r="A52" s="8" t="inlineStr">
        <is>
          <t>Sources - HSBC UK Bank plc's own Consolidated statement of changes in equity, £m:
FY2025 &amp; FY2024: Annual Report and Accounts 2025, p.79 - https://www.hsbc.com/-/files/hsbc/investors/hsbc-results/2025/annual/pdfs/hsbc-uk-bank-plc/260225-annual-report-and-accounts-2025.pdf
FY2023 &amp; FY2022: Annual Report and Accounts 2023, p.81 - https://www.hsbc.com/-/files/hsbc/investors/hsbc-results/2023/annual/pdfs/hsbc-uk-bank-plc/240221-annual-report-and-accounts-2023.pdf
FY2021: Annual Report and Accounts 2021, p.77 - https://www.hsbc.com/-/files/hsbc/investors/hsbc-results/2021/annual/pdfs/hsbc-uk-bank-plc/220222-annual-report-and-accounts-2021.pdf
FY2020 &amp; FY2019: Annual Report and Accounts 2020, p.84 - https://www.hsbc.com/-/files/hsbc/investors/hsbc-results/2020/annual/pdfs/hsbc-uk-bank-plc/210223-annual-report-and-accounts-2020.pdf
Presentation note (FY2019/FY2020 only): HSBC UK Bank plc's own equity statement for these two years carries an extra 'Foreign exchange reserve' column not present in the FY2021-2025 vintages (fully run down to nil by 31 December 2019 and not disclosed as a separate column thereafter). It is folded into the 'Group reorganisation reserve' column above rather than given its own column, to keep this sheet's column structure identical across all 7 years - this changes presentation only, not any total: FY2019's own opening Group reorganisation reserve balance of £7,691m plus the then-existing £(2)m Foreign exchange reserve balance is shown as £7,689m at 1 Jan 2019, and the +£2m FY2019 exchange-difference movement (reported in HSBC UK Bank plc's own Foreign exchange reserve column, distinct from the -£1m/-£5m exchange-difference amounts that are reported within the Financial assets at FVOCI reserve column in the original report and are left there unchanged) is folded into the same merged Group reorganisation reserve column, bringing it back to £7,691m at 31 Dec 2019 - which is exactly the Group reorganisation reserve balance already used, unchanged, for FY2020 and FY2021-2025.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2:J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Cash Flow Statement</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t>
        </is>
      </c>
      <c r="B5" s="6" t="n">
        <v>5619</v>
      </c>
      <c r="C5" s="6" t="n">
        <v>5647</v>
      </c>
      <c r="D5" s="6" t="n">
        <v>6679</v>
      </c>
      <c r="E5" s="6" t="n">
        <v>3638</v>
      </c>
      <c r="F5" s="6" t="n">
        <v>3480</v>
      </c>
      <c r="G5" s="6" t="n">
        <v>163</v>
      </c>
      <c r="H5" s="6" t="n">
        <v>1010</v>
      </c>
    </row>
    <row r="6">
      <c r="A6" s="6" t="inlineStr">
        <is>
          <t>Depreciation, amortisation and impairment</t>
        </is>
      </c>
      <c r="B6" s="6" t="n">
        <v>495</v>
      </c>
      <c r="C6" s="6" t="n">
        <v>447</v>
      </c>
      <c r="D6" s="6" t="n">
        <v>435</v>
      </c>
      <c r="E6" s="6" t="n">
        <v>482</v>
      </c>
      <c r="F6" s="6" t="n">
        <v>421</v>
      </c>
      <c r="G6" s="6" t="n">
        <v>364</v>
      </c>
      <c r="H6" s="6" t="n">
        <v>326</v>
      </c>
    </row>
    <row r="7">
      <c r="A7" s="6" t="inlineStr">
        <is>
          <t>Net gain from investing activities</t>
        </is>
      </c>
      <c r="B7" s="6" t="n">
        <v>-20</v>
      </c>
      <c r="C7" s="6" t="n">
        <v>-38</v>
      </c>
      <c r="D7" s="6" t="n">
        <v>79</v>
      </c>
      <c r="E7" s="6" t="n">
        <v>-37</v>
      </c>
      <c r="F7" s="6" t="n">
        <v>-101</v>
      </c>
      <c r="G7" s="6" t="n">
        <v>-73</v>
      </c>
      <c r="H7" s="6" t="n">
        <v>-49</v>
      </c>
    </row>
    <row r="8">
      <c r="A8" s="6" t="inlineStr">
        <is>
          <t>Provisional gain on acquisition of SVB UK</t>
        </is>
      </c>
      <c r="B8" s="6" t="n"/>
      <c r="C8" s="6" t="n"/>
      <c r="D8" s="6" t="n">
        <v>-1307</v>
      </c>
      <c r="E8" s="6" t="n"/>
      <c r="F8" s="6" t="n"/>
      <c r="G8" s="6" t="n"/>
      <c r="H8" s="6" t="n"/>
    </row>
    <row r="9">
      <c r="A9" s="6" t="inlineStr">
        <is>
          <t>Change in expected credit losses gross of recoveries and other credit impairment charges</t>
        </is>
      </c>
      <c r="B9" s="6" t="n">
        <v>616</v>
      </c>
      <c r="C9" s="6" t="n">
        <v>386</v>
      </c>
      <c r="D9" s="6" t="n">
        <v>472</v>
      </c>
      <c r="E9" s="6" t="n">
        <v>575</v>
      </c>
      <c r="F9" s="6" t="n">
        <v>-911</v>
      </c>
      <c r="G9" s="6" t="n">
        <v>2180</v>
      </c>
      <c r="H9" s="6" t="n">
        <v>697</v>
      </c>
    </row>
    <row r="10">
      <c r="A10" s="6" t="inlineStr">
        <is>
          <t>Provisions including pensions</t>
        </is>
      </c>
      <c r="B10" s="6" t="n">
        <v>-181</v>
      </c>
      <c r="C10" s="6" t="n">
        <v>-198</v>
      </c>
      <c r="D10" s="6" t="n">
        <v>-233</v>
      </c>
      <c r="E10" s="6" t="n">
        <v>-78</v>
      </c>
      <c r="F10" s="6" t="n">
        <v>123</v>
      </c>
      <c r="G10" s="6" t="n">
        <v>28</v>
      </c>
      <c r="H10" s="6" t="n">
        <v>1248</v>
      </c>
    </row>
    <row r="11">
      <c r="A11" s="6" t="inlineStr">
        <is>
          <t>Share-based payment expense</t>
        </is>
      </c>
      <c r="B11" s="6" t="n">
        <v>30</v>
      </c>
      <c r="C11" s="6" t="n">
        <v>28</v>
      </c>
      <c r="D11" s="6" t="n">
        <v>19</v>
      </c>
      <c r="E11" s="6" t="n">
        <v>17</v>
      </c>
      <c r="F11" s="6" t="n">
        <v>16</v>
      </c>
      <c r="G11" s="6" t="n">
        <v>22</v>
      </c>
      <c r="H11" s="6" t="n">
        <v>17</v>
      </c>
    </row>
    <row r="12">
      <c r="A12" s="6" t="inlineStr">
        <is>
          <t>Other non-cash items included in profit before tax</t>
        </is>
      </c>
      <c r="B12" s="6" t="n">
        <v>-249</v>
      </c>
      <c r="C12" s="6" t="n">
        <v>-249</v>
      </c>
      <c r="D12" s="6" t="n">
        <v>-149</v>
      </c>
      <c r="E12" s="6" t="n">
        <v>-204</v>
      </c>
      <c r="F12" s="6" t="n">
        <v>-30</v>
      </c>
      <c r="G12" s="6" t="n"/>
      <c r="H12" s="6" t="n"/>
    </row>
    <row r="13">
      <c r="A13" s="6" t="inlineStr">
        <is>
          <t>Elimination of exchange differences</t>
        </is>
      </c>
      <c r="B13" s="6" t="n">
        <v>143</v>
      </c>
      <c r="C13" s="6" t="n">
        <v>142</v>
      </c>
      <c r="D13" s="6" t="n">
        <v>332</v>
      </c>
      <c r="E13" s="6" t="n">
        <v>1032</v>
      </c>
      <c r="F13" s="6" t="n">
        <v>-33</v>
      </c>
      <c r="G13" s="6" t="n">
        <v>-85</v>
      </c>
      <c r="H13" s="6" t="n">
        <v>255</v>
      </c>
    </row>
    <row r="14">
      <c r="A14" s="5" t="inlineStr">
        <is>
          <t>Changes in operating assets and liabilities</t>
        </is>
      </c>
      <c r="B14" s="6" t="n"/>
      <c r="C14" s="6" t="n"/>
      <c r="D14" s="6" t="n"/>
      <c r="E14" s="6" t="n"/>
      <c r="F14" s="6" t="n"/>
      <c r="G14" s="6" t="n"/>
      <c r="H14" s="6" t="n"/>
    </row>
    <row r="15">
      <c r="A15" s="6" t="inlineStr">
        <is>
          <t>Change in net trading securities and derivatives</t>
        </is>
      </c>
      <c r="B15" s="6" t="n">
        <v>1208</v>
      </c>
      <c r="C15" s="6" t="n">
        <v>-626</v>
      </c>
      <c r="D15" s="6" t="n">
        <v>1615</v>
      </c>
      <c r="E15" s="6" t="n">
        <v>-2174</v>
      </c>
      <c r="F15" s="6" t="n">
        <v>-97</v>
      </c>
      <c r="G15" s="6" t="n">
        <v>133</v>
      </c>
      <c r="H15" s="6" t="n">
        <v>-161</v>
      </c>
    </row>
    <row r="16">
      <c r="A16" s="6" t="inlineStr">
        <is>
          <t>Change in loans and advances to banks and customers</t>
        </is>
      </c>
      <c r="B16" s="6" t="n">
        <v>-14483</v>
      </c>
      <c r="C16" s="6" t="n">
        <v>-5073</v>
      </c>
      <c r="D16" s="6" t="n">
        <v>-2773</v>
      </c>
      <c r="E16" s="6" t="n">
        <v>-9182</v>
      </c>
      <c r="F16" s="6" t="n">
        <v>-3717</v>
      </c>
      <c r="G16" s="6" t="n">
        <v>-10353</v>
      </c>
      <c r="H16" s="6" t="n">
        <v>-8306</v>
      </c>
    </row>
    <row r="17">
      <c r="A17" s="6" t="inlineStr">
        <is>
          <t>Change in reverse repurchase agreements - non-trading</t>
        </is>
      </c>
      <c r="B17" s="6" t="n">
        <v>-4764</v>
      </c>
      <c r="C17" s="6" t="n">
        <v>-1952</v>
      </c>
      <c r="D17" s="6" t="n">
        <v>-264</v>
      </c>
      <c r="E17" s="6" t="n">
        <v>894</v>
      </c>
      <c r="F17" s="6" t="n">
        <v>-5503</v>
      </c>
      <c r="G17" s="6" t="n">
        <v>529</v>
      </c>
      <c r="H17" s="6" t="n">
        <v>408</v>
      </c>
    </row>
    <row r="18">
      <c r="A18" s="6" t="inlineStr">
        <is>
          <t>Change in financial assets mandatorily measured at fair value</t>
        </is>
      </c>
      <c r="B18" s="6" t="n">
        <v>-1</v>
      </c>
      <c r="C18" s="6" t="n">
        <v>-39</v>
      </c>
      <c r="D18" s="6" t="n">
        <v>-27</v>
      </c>
      <c r="E18" s="6" t="n">
        <v>-29</v>
      </c>
      <c r="F18" s="6" t="n">
        <v>-53</v>
      </c>
      <c r="G18" s="6" t="n">
        <v>40</v>
      </c>
      <c r="H18" s="6" t="n">
        <v>-31</v>
      </c>
    </row>
    <row r="19">
      <c r="A19" s="6" t="inlineStr">
        <is>
          <t>Change in other assets</t>
        </is>
      </c>
      <c r="B19" s="6" t="n">
        <v>-730</v>
      </c>
      <c r="C19" s="6" t="n">
        <v>-748</v>
      </c>
      <c r="D19" s="6" t="n">
        <v>114</v>
      </c>
      <c r="E19" s="6" t="n">
        <v>-2219</v>
      </c>
      <c r="F19" s="6" t="n">
        <v>728</v>
      </c>
      <c r="G19" s="6" t="n">
        <v>-773</v>
      </c>
      <c r="H19" s="6" t="n">
        <v>511</v>
      </c>
    </row>
    <row r="20">
      <c r="A20" s="6" t="inlineStr">
        <is>
          <t>Change in deposits by banks and customer accounts</t>
        </is>
      </c>
      <c r="B20" s="6" t="n">
        <v>4956</v>
      </c>
      <c r="C20" s="6" t="n">
        <v>12322</v>
      </c>
      <c r="D20" s="6" t="n">
        <v>-20028</v>
      </c>
      <c r="E20" s="6" t="n">
        <v>-1234</v>
      </c>
      <c r="F20" s="6" t="n">
        <v>33169</v>
      </c>
      <c r="G20" s="6" t="n">
        <v>43138</v>
      </c>
      <c r="H20" s="6" t="n">
        <v>10879</v>
      </c>
    </row>
    <row r="21">
      <c r="A21" s="6" t="inlineStr">
        <is>
          <t>Change in repurchase agreements - non-trading</t>
        </is>
      </c>
      <c r="B21" s="6" t="n">
        <v>5856</v>
      </c>
      <c r="C21" s="6" t="n">
        <v>-4231</v>
      </c>
      <c r="D21" s="6" t="n">
        <v>-5086</v>
      </c>
      <c r="E21" s="6" t="n">
        <v>-1104</v>
      </c>
      <c r="F21" s="6" t="n">
        <v>4288</v>
      </c>
      <c r="G21" s="6" t="n">
        <v>6052</v>
      </c>
      <c r="H21" s="6" t="n">
        <v>-541</v>
      </c>
    </row>
    <row r="22">
      <c r="A22" s="6" t="inlineStr">
        <is>
          <t>Change in debt securities in issue</t>
        </is>
      </c>
      <c r="B22" s="6" t="n">
        <v>975</v>
      </c>
      <c r="C22" s="6" t="n">
        <v>56</v>
      </c>
      <c r="D22" s="6" t="n">
        <v>689</v>
      </c>
      <c r="E22" s="6" t="n">
        <v>399</v>
      </c>
      <c r="F22" s="6" t="n">
        <v>34</v>
      </c>
      <c r="G22" s="6" t="n">
        <v>-2276</v>
      </c>
      <c r="H22" s="6" t="n">
        <v>3142</v>
      </c>
    </row>
    <row r="23">
      <c r="A23" s="6" t="inlineStr">
        <is>
          <t>Change in other liabilities</t>
        </is>
      </c>
      <c r="B23" s="6" t="n">
        <v>-113</v>
      </c>
      <c r="C23" s="6" t="n">
        <v>-900</v>
      </c>
      <c r="D23" s="6" t="n">
        <v>605</v>
      </c>
      <c r="E23" s="6" t="n">
        <v>1052</v>
      </c>
      <c r="F23" s="6" t="n">
        <v>-1233</v>
      </c>
      <c r="G23" s="6" t="n">
        <v>93</v>
      </c>
      <c r="H23" s="6" t="n">
        <v>-1621</v>
      </c>
    </row>
    <row r="24">
      <c r="A24" s="6" t="inlineStr">
        <is>
          <t>Contributions paid to defined benefit plans</t>
        </is>
      </c>
      <c r="B24" s="6" t="n">
        <v>0</v>
      </c>
      <c r="C24" s="6" t="n">
        <v>-1</v>
      </c>
      <c r="D24" s="6" t="n">
        <v>-17</v>
      </c>
      <c r="E24" s="6" t="n">
        <v>-21</v>
      </c>
      <c r="F24" s="6" t="n">
        <v>-195</v>
      </c>
      <c r="G24" s="6" t="n">
        <v>-202</v>
      </c>
      <c r="H24" s="6" t="n">
        <v>-115</v>
      </c>
    </row>
    <row r="25">
      <c r="A25" s="6" t="inlineStr">
        <is>
          <t>Tax paid</t>
        </is>
      </c>
      <c r="B25" s="6" t="n">
        <v>-1632</v>
      </c>
      <c r="C25" s="6" t="n">
        <v>-1209</v>
      </c>
      <c r="D25" s="6" t="n">
        <v>-1182</v>
      </c>
      <c r="E25" s="6" t="n">
        <v>-1499</v>
      </c>
      <c r="F25" s="6" t="n">
        <v>53</v>
      </c>
      <c r="G25" s="6" t="n">
        <v>-404</v>
      </c>
      <c r="H25" s="6" t="n">
        <v>-360</v>
      </c>
    </row>
    <row r="26">
      <c r="A26" s="5" t="inlineStr">
        <is>
          <t>Net cash from operating activities</t>
        </is>
      </c>
      <c r="B26" s="5" t="n">
        <v>-2275</v>
      </c>
      <c r="C26" s="5" t="n">
        <v>3764</v>
      </c>
      <c r="D26" s="5" t="n">
        <v>-20027</v>
      </c>
      <c r="E26" s="5" t="n">
        <v>-9692</v>
      </c>
      <c r="F26" s="5" t="n">
        <v>30439</v>
      </c>
      <c r="G26" s="5" t="n">
        <v>38576</v>
      </c>
      <c r="H26" s="5" t="n">
        <v>7309</v>
      </c>
    </row>
    <row r="27">
      <c r="A27" s="5" t="inlineStr">
        <is>
          <t>Investing activities</t>
        </is>
      </c>
      <c r="B27" s="6" t="n"/>
      <c r="C27" s="6" t="n"/>
      <c r="D27" s="6" t="n"/>
      <c r="E27" s="6" t="n"/>
      <c r="F27" s="6" t="n"/>
      <c r="G27" s="6" t="n"/>
      <c r="H27" s="6" t="n"/>
    </row>
    <row r="28">
      <c r="A28" s="6" t="inlineStr">
        <is>
          <t>Purchase of financial investments</t>
        </is>
      </c>
      <c r="B28" s="6" t="n">
        <v>-26063</v>
      </c>
      <c r="C28" s="6" t="n">
        <v>-33396</v>
      </c>
      <c r="D28" s="6" t="n">
        <v>-17640</v>
      </c>
      <c r="E28" s="6" t="n">
        <v>-10386</v>
      </c>
      <c r="F28" s="6" t="n">
        <v>-12468</v>
      </c>
      <c r="G28" s="6" t="n">
        <v>-27644</v>
      </c>
      <c r="H28" s="6" t="n">
        <v>-19300</v>
      </c>
    </row>
    <row r="29">
      <c r="A29" s="6" t="inlineStr">
        <is>
          <t>Proceeds from the sale and maturity of financial investments</t>
        </is>
      </c>
      <c r="B29" s="6" t="n">
        <v>22519</v>
      </c>
      <c r="C29" s="6" t="n">
        <v>22617</v>
      </c>
      <c r="D29" s="6" t="n">
        <v>10222</v>
      </c>
      <c r="E29" s="6" t="n">
        <v>8571</v>
      </c>
      <c r="F29" s="6" t="n">
        <v>17000</v>
      </c>
      <c r="G29" s="6" t="n">
        <v>28848</v>
      </c>
      <c r="H29" s="6" t="n">
        <v>12629</v>
      </c>
    </row>
    <row r="30">
      <c r="A30" s="6" t="inlineStr">
        <is>
          <t>Proceeds from sale of property, plant and equipment</t>
        </is>
      </c>
      <c r="B30" s="6" t="n">
        <v>0</v>
      </c>
      <c r="C30" s="6" t="n">
        <v>27</v>
      </c>
      <c r="D30" s="6" t="n">
        <v>67</v>
      </c>
      <c r="E30" s="6" t="n">
        <v>39</v>
      </c>
      <c r="F30" s="6" t="n"/>
      <c r="G30" s="6" t="n"/>
      <c r="H30" s="6" t="n"/>
    </row>
    <row r="31">
      <c r="A31" s="6" t="inlineStr">
        <is>
          <t>Purchase of property, plant and equipment</t>
        </is>
      </c>
      <c r="B31" s="6" t="n">
        <v>-73</v>
      </c>
      <c r="C31" s="6" t="n">
        <v>-71</v>
      </c>
      <c r="D31" s="6" t="n">
        <v>-45</v>
      </c>
      <c r="E31" s="6" t="n">
        <v>-80</v>
      </c>
      <c r="F31" s="6" t="n"/>
      <c r="G31" s="6" t="n"/>
      <c r="H31" s="6" t="n"/>
    </row>
    <row r="32">
      <c r="A32" s="6" t="inlineStr">
        <is>
          <t>Net cash flows from the purchase and sale of property, plant and equipment</t>
        </is>
      </c>
      <c r="B32" s="6" t="n"/>
      <c r="C32" s="6" t="n"/>
      <c r="D32" s="6" t="n"/>
      <c r="E32" s="6" t="n"/>
      <c r="F32" s="6" t="n">
        <v>-53</v>
      </c>
      <c r="G32" s="6" t="n">
        <v>-58</v>
      </c>
      <c r="H32" s="6" t="n">
        <v>-69</v>
      </c>
    </row>
    <row r="33">
      <c r="A33" s="6" t="inlineStr">
        <is>
          <t>Purchase of intangible assets</t>
        </is>
      </c>
      <c r="B33" s="6" t="n">
        <v>-438</v>
      </c>
      <c r="C33" s="6" t="n">
        <v>-363</v>
      </c>
      <c r="D33" s="6" t="n">
        <v>-325</v>
      </c>
      <c r="E33" s="6" t="n">
        <v>-382</v>
      </c>
      <c r="F33" s="6" t="n"/>
      <c r="G33" s="6" t="n"/>
      <c r="H33" s="6" t="n"/>
    </row>
    <row r="34">
      <c r="A34" s="6" t="inlineStr">
        <is>
          <t>Proceeds from sale of intangible assets</t>
        </is>
      </c>
      <c r="B34" s="6" t="n">
        <v>10</v>
      </c>
      <c r="C34" s="6" t="n">
        <v>1</v>
      </c>
      <c r="D34" s="6" t="n"/>
      <c r="E34" s="6" t="n"/>
      <c r="F34" s="6" t="n"/>
      <c r="G34" s="6" t="n"/>
      <c r="H34" s="6" t="n"/>
    </row>
    <row r="35">
      <c r="A35" s="6" t="inlineStr">
        <is>
          <t>Net investment in intangible assets</t>
        </is>
      </c>
      <c r="B35" s="6" t="n"/>
      <c r="C35" s="6" t="n"/>
      <c r="D35" s="6" t="n"/>
      <c r="E35" s="6" t="n"/>
      <c r="F35" s="6" t="n">
        <v>-347</v>
      </c>
      <c r="G35" s="6" t="n">
        <v>-303</v>
      </c>
      <c r="H35" s="6" t="n">
        <v>-319</v>
      </c>
    </row>
    <row r="36">
      <c r="A36" s="6" t="inlineStr">
        <is>
          <t>Net cash flow on acquisition of subsidiaries, businesses and joint venture</t>
        </is>
      </c>
      <c r="B36" s="6" t="n">
        <v>1</v>
      </c>
      <c r="C36" s="6" t="n">
        <v>0</v>
      </c>
      <c r="D36" s="6" t="n"/>
      <c r="E36" s="6" t="n"/>
      <c r="F36" s="6" t="n"/>
      <c r="G36" s="6" t="n"/>
      <c r="H36" s="6" t="n">
        <v>0</v>
      </c>
    </row>
    <row r="37">
      <c r="A37" s="6" t="inlineStr">
        <is>
          <t>Net cash flow from acquisition of SVB UK</t>
        </is>
      </c>
      <c r="B37" s="6" t="n"/>
      <c r="C37" s="6" t="n"/>
      <c r="D37" s="6" t="n">
        <v>1023</v>
      </c>
      <c r="E37" s="6" t="n"/>
      <c r="F37" s="6" t="n"/>
      <c r="G37" s="6" t="n"/>
      <c r="H37" s="6" t="n"/>
    </row>
    <row r="38">
      <c r="A38" s="5" t="inlineStr">
        <is>
          <t>Net cash from investing activities</t>
        </is>
      </c>
      <c r="B38" s="5" t="n">
        <v>-4044</v>
      </c>
      <c r="C38" s="5" t="n">
        <v>-11185</v>
      </c>
      <c r="D38" s="5" t="n">
        <v>-6698</v>
      </c>
      <c r="E38" s="5" t="n">
        <v>-2238</v>
      </c>
      <c r="F38" s="5" t="n">
        <v>4132</v>
      </c>
      <c r="G38" s="5" t="n">
        <v>843</v>
      </c>
      <c r="H38" s="5" t="n">
        <v>-7059</v>
      </c>
    </row>
    <row r="39">
      <c r="A39" s="5" t="inlineStr">
        <is>
          <t>Financing activities</t>
        </is>
      </c>
      <c r="B39" s="6" t="n"/>
      <c r="C39" s="6" t="n"/>
      <c r="D39" s="6" t="n"/>
      <c r="E39" s="6" t="n"/>
      <c r="F39" s="6" t="n"/>
      <c r="G39" s="6" t="n"/>
      <c r="H39" s="6" t="n"/>
    </row>
    <row r="40">
      <c r="A40" s="6" t="inlineStr">
        <is>
          <t>Issue of ordinary share capital and other equity instruments</t>
        </is>
      </c>
      <c r="B40" s="6" t="n">
        <v>495</v>
      </c>
      <c r="C40" s="6" t="n">
        <v>0</v>
      </c>
      <c r="D40" s="6" t="n"/>
      <c r="E40" s="6" t="n"/>
      <c r="F40" s="6" t="n"/>
      <c r="G40" s="6" t="n"/>
      <c r="H40" s="6" t="n">
        <v>0</v>
      </c>
    </row>
    <row r="41">
      <c r="A41" s="6" t="inlineStr">
        <is>
          <t>Subordinated loan capital issued</t>
        </is>
      </c>
      <c r="B41" s="6" t="n">
        <v>3194</v>
      </c>
      <c r="C41" s="6" t="n">
        <v>3259</v>
      </c>
      <c r="D41" s="6" t="n">
        <v>2250</v>
      </c>
      <c r="E41" s="6" t="n"/>
      <c r="F41" s="6" t="n">
        <v>4978</v>
      </c>
      <c r="G41" s="6" t="n">
        <v>0</v>
      </c>
      <c r="H41" s="6" t="n">
        <v>4619</v>
      </c>
    </row>
    <row r="42">
      <c r="A42" s="6" t="inlineStr">
        <is>
          <t>Subordinated loan capital repaid</t>
        </is>
      </c>
      <c r="B42" s="6" t="n">
        <v>-2414</v>
      </c>
      <c r="C42" s="6" t="n">
        <v>-2194</v>
      </c>
      <c r="D42" s="6" t="n"/>
      <c r="E42" s="6" t="n"/>
      <c r="F42" s="6" t="n">
        <v>-2079</v>
      </c>
      <c r="G42" s="6" t="n"/>
      <c r="H42" s="6" t="n"/>
    </row>
    <row r="43">
      <c r="A43" s="6" t="inlineStr">
        <is>
          <t>Dividends paid to shareholders of the parent company and non-controlling interests</t>
        </is>
      </c>
      <c r="B43" s="6" t="n">
        <v>-3028</v>
      </c>
      <c r="C43" s="6" t="n">
        <v>-3569</v>
      </c>
      <c r="D43" s="6" t="n">
        <v>-2416</v>
      </c>
      <c r="E43" s="6" t="n">
        <v>-1934</v>
      </c>
      <c r="F43" s="6" t="n">
        <v>-752</v>
      </c>
      <c r="G43" s="6" t="n">
        <v>-226</v>
      </c>
      <c r="H43" s="6" t="n">
        <v>-455</v>
      </c>
    </row>
    <row r="44">
      <c r="A44" s="6" t="inlineStr">
        <is>
          <t>Repayment of other equity instruments to non-controlling interests</t>
        </is>
      </c>
      <c r="B44" s="6" t="n">
        <v>-40</v>
      </c>
      <c r="C44" s="6" t="n">
        <v>0</v>
      </c>
      <c r="D44" s="6" t="n"/>
      <c r="E44" s="6" t="n"/>
      <c r="F44" s="6" t="n"/>
      <c r="G44" s="6" t="n"/>
      <c r="H44" s="6" t="n"/>
    </row>
    <row r="45">
      <c r="A45" s="5" t="inlineStr">
        <is>
          <t>Net cash from financing activities</t>
        </is>
      </c>
      <c r="B45" s="5" t="n">
        <v>-1793</v>
      </c>
      <c r="C45" s="5" t="n">
        <v>-2504</v>
      </c>
      <c r="D45" s="5" t="n">
        <v>-166</v>
      </c>
      <c r="E45" s="5" t="n">
        <v>-1934</v>
      </c>
      <c r="F45" s="5" t="n">
        <v>2147</v>
      </c>
      <c r="G45" s="5" t="n">
        <v>-226</v>
      </c>
      <c r="H45" s="5" t="n">
        <v>4164</v>
      </c>
    </row>
    <row r="46">
      <c r="A46" s="5" t="inlineStr">
        <is>
          <t>Net increase/(decrease) in cash and cash equivalents</t>
        </is>
      </c>
      <c r="B46" s="5" t="n">
        <v>-8112</v>
      </c>
      <c r="C46" s="5" t="n">
        <v>-9925</v>
      </c>
      <c r="D46" s="5" t="n">
        <v>-26891</v>
      </c>
      <c r="E46" s="5" t="n">
        <v>-13864</v>
      </c>
      <c r="F46" s="5" t="n">
        <v>36718</v>
      </c>
      <c r="G46" s="5" t="n">
        <v>39193</v>
      </c>
      <c r="H46" s="5" t="n">
        <v>4414</v>
      </c>
    </row>
    <row r="47">
      <c r="A47" s="6" t="inlineStr">
        <is>
          <t>Cash and cash equivalents at 1 Jan</t>
        </is>
      </c>
      <c r="B47" s="6" t="n">
        <v>63366</v>
      </c>
      <c r="C47" s="6" t="n">
        <v>73381</v>
      </c>
      <c r="D47" s="6" t="n">
        <v>100319</v>
      </c>
      <c r="E47" s="6" t="n">
        <v>114134</v>
      </c>
      <c r="F47" s="6" t="n">
        <v>77422</v>
      </c>
      <c r="G47" s="6" t="n">
        <v>38086</v>
      </c>
      <c r="H47" s="6" t="n">
        <v>33817</v>
      </c>
    </row>
    <row r="48">
      <c r="A48" s="6" t="inlineStr">
        <is>
          <t>Exchange differences in respect of cash and cash equivalents</t>
        </is>
      </c>
      <c r="B48" s="6" t="n">
        <v>45</v>
      </c>
      <c r="C48" s="6" t="n">
        <v>-90</v>
      </c>
      <c r="D48" s="6" t="n">
        <v>-47</v>
      </c>
      <c r="E48" s="6" t="n">
        <v>49</v>
      </c>
      <c r="F48" s="6" t="n">
        <v>-6</v>
      </c>
      <c r="G48" s="6" t="n">
        <v>143</v>
      </c>
      <c r="H48" s="6" t="n">
        <v>-145</v>
      </c>
    </row>
    <row r="49">
      <c r="A49" s="5" t="inlineStr">
        <is>
          <t>Cash and cash equivalents at 31 Dec</t>
        </is>
      </c>
      <c r="B49" s="5" t="n">
        <v>55299</v>
      </c>
      <c r="C49" s="5" t="n">
        <v>63366</v>
      </c>
      <c r="D49" s="5" t="n">
        <v>73381</v>
      </c>
      <c r="E49" s="5" t="n">
        <v>100319</v>
      </c>
      <c r="F49" s="5" t="n">
        <v>114134</v>
      </c>
      <c r="G49" s="5" t="n">
        <v>77422</v>
      </c>
      <c r="H49" s="5" t="n">
        <v>38086</v>
      </c>
    </row>
    <row r="51" ht="260" customHeight="1">
      <c r="A51" s="8" t="inlineStr">
        <is>
          <t>Sources - all figures are HSBC UK Bank plc's own Consolidated statement of cash flows, £m, from each year's own Annual Report and Accounts:
FY2025 &amp; FY2024: HSBC UK Bank plc Annual Report and Accounts 2025, p.79 (Consolidated statement of cash flows) - https://www.hsbc.com/-/files/hsbc/investors/hsbc-results/2025/annual/pdfs/hsbc-uk-bank-plc/260225-annual-report-and-accounts-2025.pdf
FY2023 &amp; FY2022: HSBC UK Bank plc Annual Report and Accounts 2023, p.81 (Consolidated statement of cash flows) - https://www.hsbc.com/-/files/hsbc/investors/hsbc-results/2023/annual/pdfs/hsbc-uk-bank-plc/240221-annual-report-and-accounts-2023.pdf
FY2021: HSBC UK Bank plc Annual Report and Accounts 2021, p.75 (Consolidated statement of cash flows) - https://www.hsbc.com/-/files/hsbc/investors/hsbc-results/2021/annual/pdfs/hsbc-uk-bank-plc/220222-annual-report-and-accounts-2021.pdf
FY2020: HSBC UK Bank plc Annual Report and Accounts 2020, p.83 (Consolidated statement of cash flows) - https://www.hsbc.com/-/files/hsbc/investors/hsbc-results/2020/annual/pdfs/hsbc-uk-bank-plc/210223-annual-report-and-accounts-2020.pdf
FY2019: HSBC UK Bank plc Annual Report and Accounts 2019, p.73 (Consolidated statement of cash flows) - https://www.hsbc.com/-/files/hsbc/investors/hsbc-results/2019/annual/pdfs/hsbc-uk-bank-plc/200218-annual-report-and-accounts-2019.pdf
CASH FLOW NOTE: figures are £m. Presentation granularity changed across report vintages: FY2025/FY2024 and FY2023/FY2022 both itemise 'Purchase of property, plant and equipment' / 'Proceeds from sale of property, plant and equipment' as separate lines, while FY2021's own report combines them into a single 'Net cash flows from the purchase and sale of property, plant and equipment' line; similarly FY2025/2024 itemise 'Purchase of intangible assets' / 'Proceeds from sale of intangible assets' separately, FY2023/2022 report only a net purchase line, and FY2021 combines both into 'Net investment in intangible assets'. FY2023/FY2022 include two SVB UK-acquisition-specific lines (HSBC UK Bank plc acquired Silicon Valley Bank UK in March 2023) not present in other years. FY2025 introduces two new financing lines ('Issue of ordinary share capital and other equity instruments', 'Repayment of other equity instruments to non-controlling interests') not present in earlier years. FY2020's own report has no Subordinated loan capital issued/repaid line (nil that year) and no 'Issue of ordinary share capital' line (only issued in 2018, a one-off). FY2019's own report has a unique 'Funds received from the shareholder of the parent company' line (£nil in all other years shown here). Blank cells indicate that year's own report did not disclose that specific line; section totals (net cash from operating/investing/financing activities, cash and cash equivalents) are consistent and comparable across all 7 years.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1:H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Asset Quality</t>
        </is>
      </c>
    </row>
    <row r="2">
      <c r="A2" s="2" t="inlineStr">
        <is>
          <t>Loans and advances to customers at amortised cost, by IFRS 9 stage, £m. Net figures tie exactly to the Balance Sheet's own 'Loans and advances to customers' line every year.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to customers at amortised cost, by IFRS 9 stage</t>
        </is>
      </c>
      <c r="B4" s="6" t="n"/>
      <c r="C4" s="6" t="n"/>
      <c r="D4" s="6" t="n"/>
      <c r="E4" s="6" t="n"/>
      <c r="F4" s="6" t="n"/>
      <c r="G4" s="6" t="n"/>
      <c r="H4" s="6" t="n"/>
    </row>
    <row r="5">
      <c r="A5" s="6" t="inlineStr">
        <is>
          <t>Stage 1 - gross carrying amount</t>
        </is>
      </c>
      <c r="B5" s="6" t="n">
        <v>210641</v>
      </c>
      <c r="C5" s="6" t="n">
        <v>180408</v>
      </c>
      <c r="D5" s="6" t="n">
        <v>167396</v>
      </c>
      <c r="E5" s="6" t="n">
        <v>154818</v>
      </c>
      <c r="F5" s="6" t="n">
        <v>174917</v>
      </c>
      <c r="G5" s="6" t="n">
        <v>162033</v>
      </c>
      <c r="H5" s="6" t="n">
        <v>168351</v>
      </c>
    </row>
    <row r="6">
      <c r="A6" s="6" t="inlineStr">
        <is>
          <t>Stage 2 - gross carrying amount</t>
        </is>
      </c>
      <c r="B6" s="6" t="n">
        <v>18642</v>
      </c>
      <c r="C6" s="6" t="n">
        <v>35152</v>
      </c>
      <c r="D6" s="6" t="n">
        <v>42286</v>
      </c>
      <c r="E6" s="6" t="n">
        <v>46693</v>
      </c>
      <c r="F6" s="6" t="n">
        <v>18436</v>
      </c>
      <c r="G6" s="6" t="n">
        <v>28802</v>
      </c>
      <c r="H6" s="6" t="n">
        <v>13177</v>
      </c>
    </row>
    <row r="7">
      <c r="A7" s="6" t="inlineStr">
        <is>
          <t>Stage 3 - gross carrying amount</t>
        </is>
      </c>
      <c r="B7" s="6" t="n">
        <v>3453</v>
      </c>
      <c r="C7" s="6" t="n">
        <v>3532</v>
      </c>
      <c r="D7" s="6" t="n">
        <v>3909</v>
      </c>
      <c r="E7" s="6" t="n">
        <v>4521</v>
      </c>
      <c r="F7" s="6" t="n">
        <v>4008</v>
      </c>
      <c r="G7" s="6" t="n">
        <v>3555</v>
      </c>
      <c r="H7" s="6" t="n">
        <v>3179</v>
      </c>
    </row>
    <row r="8">
      <c r="A8" s="6" t="inlineStr">
        <is>
          <t>POCI - gross carrying amount</t>
        </is>
      </c>
      <c r="B8" s="6" t="n"/>
      <c r="C8" s="6" t="n"/>
      <c r="D8" s="6" t="n">
        <v>0</v>
      </c>
      <c r="E8" s="6" t="n">
        <v>23</v>
      </c>
      <c r="F8" s="6" t="n">
        <v>20</v>
      </c>
      <c r="G8" s="6" t="n">
        <v>36</v>
      </c>
      <c r="H8" s="6" t="n">
        <v>27</v>
      </c>
    </row>
    <row r="9">
      <c r="A9" s="5" t="inlineStr">
        <is>
          <t>Total gross carrying amount</t>
        </is>
      </c>
      <c r="B9" s="5" t="n">
        <v>232736</v>
      </c>
      <c r="C9" s="5" t="n">
        <v>219092</v>
      </c>
      <c r="D9" s="5" t="n">
        <v>213591</v>
      </c>
      <c r="E9" s="5" t="n">
        <v>206055</v>
      </c>
      <c r="F9" s="5" t="n">
        <v>197381</v>
      </c>
      <c r="G9" s="5" t="n">
        <v>194426</v>
      </c>
      <c r="H9" s="5" t="n">
        <v>184734</v>
      </c>
    </row>
    <row r="10">
      <c r="A10" s="6" t="inlineStr">
        <is>
          <t>Stage 1 - allowance for ECL</t>
        </is>
      </c>
      <c r="B10" s="6" t="n">
        <v>-284</v>
      </c>
      <c r="C10" s="6" t="n">
        <v>-275</v>
      </c>
      <c r="D10" s="6" t="n">
        <v>-286</v>
      </c>
      <c r="E10" s="6" t="n">
        <v>-248</v>
      </c>
      <c r="F10" s="6" t="n">
        <v>-315</v>
      </c>
      <c r="G10" s="6" t="n">
        <v>-467</v>
      </c>
      <c r="H10" s="6" t="n">
        <v>-214</v>
      </c>
    </row>
    <row r="11">
      <c r="A11" s="6" t="inlineStr">
        <is>
          <t>Stage 2 - allowance for ECL</t>
        </is>
      </c>
      <c r="B11" s="6" t="n">
        <v>-477</v>
      </c>
      <c r="C11" s="6" t="n">
        <v>-565</v>
      </c>
      <c r="D11" s="6" t="n">
        <v>-755</v>
      </c>
      <c r="E11" s="6" t="n">
        <v>-941</v>
      </c>
      <c r="F11" s="6" t="n">
        <v>-692</v>
      </c>
      <c r="G11" s="6" t="n">
        <v>-1651</v>
      </c>
      <c r="H11" s="6" t="n">
        <v>-626</v>
      </c>
    </row>
    <row r="12">
      <c r="A12" s="6" t="inlineStr">
        <is>
          <t>Stage 3 - allowance for ECL</t>
        </is>
      </c>
      <c r="B12" s="6" t="n">
        <v>-752</v>
      </c>
      <c r="C12" s="6" t="n">
        <v>-648</v>
      </c>
      <c r="D12" s="6" t="n">
        <v>-663</v>
      </c>
      <c r="E12" s="6" t="n">
        <v>-722</v>
      </c>
      <c r="F12" s="6" t="n">
        <v>-843</v>
      </c>
      <c r="G12" s="6" t="n">
        <v>-1053</v>
      </c>
      <c r="H12" s="6" t="n">
        <v>-838</v>
      </c>
    </row>
    <row r="13">
      <c r="A13" s="6" t="inlineStr">
        <is>
          <t>POCI - allowance for ECL</t>
        </is>
      </c>
      <c r="B13" s="6" t="n"/>
      <c r="C13" s="6" t="n"/>
      <c r="D13" s="6" t="n">
        <v>0</v>
      </c>
      <c r="E13" s="6" t="n">
        <v>-1</v>
      </c>
      <c r="F13" s="6" t="n">
        <v>-5</v>
      </c>
      <c r="G13" s="6" t="n">
        <v>-22</v>
      </c>
      <c r="H13" s="6" t="n">
        <v>0</v>
      </c>
    </row>
    <row r="14">
      <c r="A14" s="5" t="inlineStr">
        <is>
          <t>Total allowance for ECL</t>
        </is>
      </c>
      <c r="B14" s="5" t="n">
        <v>-1513</v>
      </c>
      <c r="C14" s="5" t="n">
        <v>-1488</v>
      </c>
      <c r="D14" s="5" t="n">
        <v>-1704</v>
      </c>
      <c r="E14" s="5" t="n">
        <v>-1912</v>
      </c>
      <c r="F14" s="5" t="n">
        <v>-1855</v>
      </c>
      <c r="G14" s="5" t="n">
        <v>-3193</v>
      </c>
      <c r="H14" s="5" t="n">
        <v>-1678</v>
      </c>
    </row>
    <row r="15">
      <c r="A15" s="5" t="inlineStr">
        <is>
          <t>Net loans and advances to customers</t>
        </is>
      </c>
      <c r="B15" s="5" t="n">
        <v>231223</v>
      </c>
      <c r="C15" s="5" t="n">
        <v>217604</v>
      </c>
      <c r="D15" s="5" t="n">
        <v>211887</v>
      </c>
      <c r="E15" s="5" t="n">
        <v>204143</v>
      </c>
      <c r="F15" s="5" t="n">
        <v>195526</v>
      </c>
      <c r="G15" s="5" t="n">
        <v>191233</v>
      </c>
      <c r="H15" s="5" t="n">
        <v>183056</v>
      </c>
    </row>
    <row r="16">
      <c r="A16" s="5" t="inlineStr">
        <is>
          <t>Derived ratios</t>
        </is>
      </c>
      <c r="B16" s="6" t="n"/>
      <c r="C16" s="6" t="n"/>
      <c r="D16" s="6" t="n"/>
      <c r="E16" s="6" t="n"/>
      <c r="F16" s="6" t="n"/>
      <c r="G16" s="6" t="n"/>
      <c r="H16" s="6" t="n"/>
    </row>
    <row r="17">
      <c r="A17" s="6" t="inlineStr">
        <is>
          <t>Stage 3 as % of total gross carrying amount</t>
        </is>
      </c>
      <c r="B17" s="6" t="inlineStr">
        <is>
          <t>1.5%</t>
        </is>
      </c>
      <c r="C17" s="6" t="inlineStr">
        <is>
          <t>1.6%</t>
        </is>
      </c>
      <c r="D17" s="6" t="inlineStr">
        <is>
          <t>1.8%</t>
        </is>
      </c>
      <c r="E17" s="6" t="inlineStr">
        <is>
          <t>2.2%</t>
        </is>
      </c>
      <c r="F17" s="6" t="inlineStr">
        <is>
          <t>2.0%</t>
        </is>
      </c>
      <c r="G17" s="6" t="inlineStr">
        <is>
          <t>1.8%</t>
        </is>
      </c>
      <c r="H17" s="6" t="inlineStr">
        <is>
          <t>1.7%</t>
        </is>
      </c>
    </row>
    <row r="18">
      <c r="A18" s="6" t="inlineStr">
        <is>
          <t>ECL coverage - overall (total allowance / total gross)</t>
        </is>
      </c>
      <c r="B18" s="6" t="inlineStr">
        <is>
          <t>0.7%</t>
        </is>
      </c>
      <c r="C18" s="6" t="inlineStr">
        <is>
          <t>0.7%</t>
        </is>
      </c>
      <c r="D18" s="6" t="inlineStr">
        <is>
          <t>0.8%</t>
        </is>
      </c>
      <c r="E18" s="6" t="inlineStr">
        <is>
          <t>0.9%</t>
        </is>
      </c>
      <c r="F18" s="6" t="inlineStr">
        <is>
          <t>0.9%</t>
        </is>
      </c>
      <c r="G18" s="6" t="inlineStr">
        <is>
          <t>1.6%</t>
        </is>
      </c>
      <c r="H18" s="6" t="inlineStr">
        <is>
          <t>0.9%</t>
        </is>
      </c>
    </row>
    <row r="19">
      <c r="A19" s="6" t="inlineStr">
        <is>
          <t>ECL coverage - Stage 3 (Stage 3 allowance / Stage 3 gross)</t>
        </is>
      </c>
      <c r="B19" s="6" t="inlineStr">
        <is>
          <t>21.8%</t>
        </is>
      </c>
      <c r="C19" s="6" t="inlineStr">
        <is>
          <t>18.3%</t>
        </is>
      </c>
      <c r="D19" s="6" t="inlineStr">
        <is>
          <t>17.0%</t>
        </is>
      </c>
      <c r="E19" s="6" t="inlineStr">
        <is>
          <t>16.0%</t>
        </is>
      </c>
      <c r="F19" s="6" t="inlineStr">
        <is>
          <t>21.0%</t>
        </is>
      </c>
      <c r="G19" s="6" t="inlineStr">
        <is>
          <t>29.6%</t>
        </is>
      </c>
      <c r="H19" s="6" t="inlineStr">
        <is>
          <t>26.4%</t>
        </is>
      </c>
    </row>
    <row r="21" ht="200" customHeight="1">
      <c r="A21" s="8" t="inlineStr">
        <is>
          <t>Sources - HSBC UK Bank plc's own 'Summary of credit risk by stage distribution and ECL coverage by industry sector' table (Risk review section), £m:
FY2025: Annual Report and Accounts 2025, p.26 - https://www.hsbc.com/-/files/hsbc/investors/hsbc-results/2025/annual/pdfs/hsbc-uk-bank-plc/260225-annual-report-and-accounts-2025.pdf
FY2024: Annual Report and Accounts 2024, p.30 - https://www.hsbc.com/-/files/hsbc/investors/hsbc-results/2024/annual/pdfs/hsbc-uk-bank-plc/250219-annual-report-and-accounts-2024.pdf
FY2023: Annual Report and Accounts 2023, p.29 - https://www.hsbc.com/-/files/hsbc/investors/hsbc-results/2023/annual/pdfs/hsbc-uk-bank-plc/240221-annual-report-and-accounts-2023.pdf
FY2022: Annual Report and Accounts 2023, p.30 (FY2022 comparative column, no separate FY2022-vintage report needed - same table format) - https://www.hsbc.com/-/files/hsbc/investors/hsbc-results/2023/annual/pdfs/hsbc-uk-bank-plc/240221-annual-report-and-accounts-2023.pdf
FY2021: Annual Report and Accounts 2021, p.32 - https://www.hsbc.com/-/files/hsbc/investors/hsbc-results/2021/annual/pdfs/hsbc-uk-bank-plc/220222-annual-report-and-accounts-2021.pdf
FY2020: Annual Report and Accounts 2020, p.34 - https://www.hsbc.com/-/files/hsbc/investors/hsbc-results/2020/annual/pdfs/hsbc-uk-bank-plc/210223-annual-report-and-accounts-2020.pdf
FY2019: Annual Report and Accounts 2019, p.28 (table titled 'Summary of credit risk (excluding debt instruments measured at FVOCI) by stage distribution and ECL coverage by industry sector') - https://www.hsbc.com/-/files/hsbc/investors/hsbc-results/2019/annual/pdfs/hsbc-uk-bank-plc/200218-annual-report-and-accounts-2019.pdf
ECL coverage % figures are the bank's own disclosed coverage percentages from this same table (not self-calculated); 'Stage 3 as % of total gross carrying amount' is the one ratio calculated here from the disclosed gross figures, as it is not itself a column in the source table. POCI (purchased or originated credit-impaired) appears as its own category FY2019-FY2022; nil/not applicable from FY2023 onward.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15509</v>
      </c>
      <c r="C4" s="6" t="n">
        <v>15059</v>
      </c>
      <c r="D4" s="6" t="n">
        <v>14224</v>
      </c>
      <c r="E4" s="6" t="n">
        <v>12519</v>
      </c>
      <c r="F4" s="6" t="n">
        <v>12813</v>
      </c>
      <c r="G4" s="6" t="n">
        <v>12963</v>
      </c>
      <c r="H4" s="6" t="n">
        <v>11202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13.2%</t>
        </is>
      </c>
      <c r="C4" s="6" t="inlineStr">
        <is>
          <t>13.6%</t>
        </is>
      </c>
      <c r="D4" s="6" t="inlineStr">
        <is>
          <t>14.0%</t>
        </is>
      </c>
      <c r="E4" s="6" t="inlineStr">
        <is>
          <t>13.5%</t>
        </is>
      </c>
      <c r="F4" s="6" t="inlineStr">
        <is>
          <t>15.3%</t>
        </is>
      </c>
      <c r="G4" s="6" t="inlineStr">
        <is>
          <t>15.2%</t>
        </is>
      </c>
      <c r="H4" s="6" t="inlineStr">
        <is>
          <t>13.0%</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18218</v>
      </c>
      <c r="C4" s="6" t="n">
        <v>17307</v>
      </c>
      <c r="D4" s="6" t="n">
        <v>16479</v>
      </c>
      <c r="E4" s="6" t="n">
        <v>14771</v>
      </c>
      <c r="F4" s="6" t="n">
        <v>15067</v>
      </c>
      <c r="G4" s="6" t="n">
        <v>15197</v>
      </c>
      <c r="H4" s="6" t="n">
        <v>13453</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15.5%</t>
        </is>
      </c>
      <c r="C4" s="6" t="inlineStr">
        <is>
          <t>15.7%</t>
        </is>
      </c>
      <c r="D4" s="6" t="inlineStr">
        <is>
          <t>16.2%</t>
        </is>
      </c>
      <c r="E4" s="6" t="inlineStr">
        <is>
          <t>16.0%</t>
        </is>
      </c>
      <c r="F4" s="6" t="inlineStr">
        <is>
          <t>18.0%</t>
        </is>
      </c>
      <c r="G4" s="6" t="inlineStr">
        <is>
          <t>17.8%</t>
        </is>
      </c>
      <c r="H4" s="6" t="inlineStr">
        <is>
          <t>15.7%</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21888</v>
      </c>
      <c r="C4" s="6" t="n">
        <v>20500</v>
      </c>
      <c r="D4" s="6" t="n">
        <v>19772</v>
      </c>
      <c r="E4" s="6" t="n">
        <v>17847</v>
      </c>
      <c r="F4" s="6" t="n">
        <v>18067</v>
      </c>
      <c r="G4" s="6" t="n">
        <v>18171</v>
      </c>
      <c r="H4" s="6" t="n">
        <v>16462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18.6%</t>
        </is>
      </c>
      <c r="C4" s="6" t="inlineStr">
        <is>
          <t>18.6%</t>
        </is>
      </c>
      <c r="D4" s="6" t="inlineStr">
        <is>
          <t>19.5%</t>
        </is>
      </c>
      <c r="E4" s="6" t="inlineStr">
        <is>
          <t>19.3%</t>
        </is>
      </c>
      <c r="F4" s="6" t="inlineStr">
        <is>
          <t>21.6%</t>
        </is>
      </c>
      <c r="G4" s="6" t="inlineStr">
        <is>
          <t>21.3%</t>
        </is>
      </c>
      <c r="H4" s="6" t="inlineStr">
        <is>
          <t>19.2%</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117463</v>
      </c>
      <c r="C4" s="6" t="n">
        <v>110423</v>
      </c>
      <c r="D4" s="6" t="n">
        <v>101478</v>
      </c>
      <c r="E4" s="6" t="n">
        <v>92413</v>
      </c>
      <c r="F4" s="6" t="n">
        <v>83723</v>
      </c>
      <c r="G4" s="6" t="n">
        <v>85477</v>
      </c>
      <c r="H4" s="6" t="n">
        <v>85881</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RWA Breakdown</t>
        </is>
      </c>
    </row>
    <row r="2">
      <c r="A2" s="2" t="inlineStr">
        <is>
          <t>Pillar 3 UK OV1 template, £m. Ties exactly to the Total RWAs sheet for all 7 years.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Credit risk (excluding counterparty credit risk)</t>
        </is>
      </c>
      <c r="B4" s="6" t="n"/>
      <c r="C4" s="6" t="n"/>
      <c r="D4" s="6" t="n"/>
      <c r="E4" s="6" t="n"/>
      <c r="F4" s="6" t="n"/>
      <c r="G4" s="6" t="n"/>
      <c r="H4" s="6" t="n"/>
    </row>
    <row r="5">
      <c r="A5" s="6" t="inlineStr">
        <is>
          <t>Standardised approach</t>
        </is>
      </c>
      <c r="B5" s="6" t="n">
        <v>12796</v>
      </c>
      <c r="C5" s="6" t="n">
        <v>11067</v>
      </c>
      <c r="D5" s="6" t="n">
        <v>10918</v>
      </c>
      <c r="E5" s="6" t="n">
        <v>3990</v>
      </c>
      <c r="F5" s="6" t="n">
        <v>1715</v>
      </c>
      <c r="G5" s="6" t="n">
        <v>1461</v>
      </c>
      <c r="H5" s="6" t="n">
        <v>1376</v>
      </c>
    </row>
    <row r="6">
      <c r="A6" s="6" t="inlineStr">
        <is>
          <t>Foundation IRB approach</t>
        </is>
      </c>
      <c r="B6" s="6" t="n">
        <v>45233</v>
      </c>
      <c r="C6" s="6" t="n">
        <v>45143</v>
      </c>
      <c r="D6" s="6" t="n">
        <v>40034</v>
      </c>
      <c r="E6" s="6" t="n">
        <v>41270</v>
      </c>
      <c r="F6" s="6" t="n">
        <v>41811</v>
      </c>
      <c r="G6" s="6" t="n">
        <v>43389</v>
      </c>
      <c r="H6" s="6" t="n">
        <v>5665</v>
      </c>
    </row>
    <row r="7">
      <c r="A7" s="6" t="inlineStr">
        <is>
          <t>Slotting approach</t>
        </is>
      </c>
      <c r="B7" s="6" t="n">
        <v>6074</v>
      </c>
      <c r="C7" s="6" t="n">
        <v>5012</v>
      </c>
      <c r="D7" s="6" t="n">
        <v>5146</v>
      </c>
      <c r="E7" s="6" t="n">
        <v>5469</v>
      </c>
      <c r="F7" s="6" t="n"/>
      <c r="G7" s="6" t="n"/>
      <c r="H7" s="6" t="n"/>
    </row>
    <row r="8">
      <c r="A8" s="6" t="inlineStr">
        <is>
          <t>Advanced IRB approach</t>
        </is>
      </c>
      <c r="B8" s="6" t="n">
        <v>34602</v>
      </c>
      <c r="C8" s="6" t="n">
        <v>32297</v>
      </c>
      <c r="D8" s="6" t="n">
        <v>30680</v>
      </c>
      <c r="E8" s="6" t="n">
        <v>29361</v>
      </c>
      <c r="F8" s="6" t="n">
        <v>27904</v>
      </c>
      <c r="G8" s="6" t="n">
        <v>28437</v>
      </c>
      <c r="H8" s="6" t="n">
        <v>67179</v>
      </c>
    </row>
    <row r="9">
      <c r="A9" s="5" t="inlineStr">
        <is>
          <t>Credit risk (excluding counterparty credit risk) - total</t>
        </is>
      </c>
      <c r="B9" s="5" t="n">
        <v>98705</v>
      </c>
      <c r="C9" s="5" t="n">
        <v>93519</v>
      </c>
      <c r="D9" s="5" t="n">
        <v>86778</v>
      </c>
      <c r="E9" s="5" t="n">
        <v>80090</v>
      </c>
      <c r="F9" s="5" t="n">
        <v>71430</v>
      </c>
      <c r="G9" s="5" t="n">
        <v>73287</v>
      </c>
      <c r="H9" s="5" t="n">
        <v>74220</v>
      </c>
    </row>
    <row r="10">
      <c r="A10" s="5" t="inlineStr">
        <is>
          <t>Other risk categories</t>
        </is>
      </c>
      <c r="B10" s="6" t="n"/>
      <c r="C10" s="6" t="n"/>
      <c r="D10" s="6" t="n"/>
      <c r="E10" s="6" t="n"/>
      <c r="F10" s="6" t="n"/>
      <c r="G10" s="6" t="n"/>
      <c r="H10" s="6" t="n"/>
    </row>
    <row r="11">
      <c r="A11" s="6" t="inlineStr">
        <is>
          <t>Counterparty credit risk</t>
        </is>
      </c>
      <c r="B11" s="6" t="n">
        <v>255</v>
      </c>
      <c r="C11" s="6" t="n">
        <v>243</v>
      </c>
      <c r="D11" s="6" t="n">
        <v>236</v>
      </c>
      <c r="E11" s="6" t="n">
        <v>204</v>
      </c>
      <c r="F11" s="6" t="n">
        <v>129</v>
      </c>
      <c r="G11" s="6" t="n">
        <v>122</v>
      </c>
      <c r="H11" s="6" t="n">
        <v>198</v>
      </c>
    </row>
    <row r="12">
      <c r="A12" s="6" t="inlineStr">
        <is>
          <t>Securitisation exposures in the non-trading book</t>
        </is>
      </c>
      <c r="B12" s="6" t="n">
        <v>1592</v>
      </c>
      <c r="C12" s="6" t="n">
        <v>899</v>
      </c>
      <c r="D12" s="6" t="n">
        <v>725</v>
      </c>
      <c r="E12" s="6" t="n">
        <v>650</v>
      </c>
      <c r="F12" s="6" t="n">
        <v>859</v>
      </c>
      <c r="G12" s="6" t="n">
        <v>904</v>
      </c>
      <c r="H12" s="6" t="n">
        <v>596</v>
      </c>
    </row>
    <row r="13">
      <c r="A13" s="6" t="inlineStr">
        <is>
          <t>Position, foreign exchange and commodities risks (Market risk)</t>
        </is>
      </c>
      <c r="B13" s="6" t="n">
        <v>97</v>
      </c>
      <c r="C13" s="6" t="n">
        <v>173</v>
      </c>
      <c r="D13" s="6" t="n">
        <v>132</v>
      </c>
      <c r="E13" s="6" t="n">
        <v>101</v>
      </c>
      <c r="F13" s="6" t="n">
        <v>170</v>
      </c>
      <c r="G13" s="6" t="n">
        <v>156</v>
      </c>
      <c r="H13" s="6" t="n">
        <v>27</v>
      </c>
    </row>
    <row r="14">
      <c r="A14" s="6" t="inlineStr">
        <is>
          <t>Operational risk</t>
        </is>
      </c>
      <c r="B14" s="6" t="n">
        <v>16814</v>
      </c>
      <c r="C14" s="6" t="n">
        <v>15589</v>
      </c>
      <c r="D14" s="6" t="n">
        <v>13607</v>
      </c>
      <c r="E14" s="6" t="n">
        <v>11368</v>
      </c>
      <c r="F14" s="6" t="n">
        <v>10607</v>
      </c>
      <c r="G14" s="6" t="n">
        <v>10509</v>
      </c>
      <c r="H14" s="6" t="n">
        <v>10303</v>
      </c>
    </row>
    <row r="15">
      <c r="A15" s="6" t="inlineStr">
        <is>
          <t>Amounts below thresholds for deduction (FY2021 only: additive to Total; FY2022-FY2025: memo, already included within Credit risk above)</t>
        </is>
      </c>
      <c r="B15" s="6" t="n">
        <v>457</v>
      </c>
      <c r="C15" s="6" t="n">
        <v>574</v>
      </c>
      <c r="D15" s="6" t="n">
        <v>652</v>
      </c>
      <c r="E15" s="6" t="n">
        <v>724</v>
      </c>
      <c r="F15" s="6" t="n">
        <v>528</v>
      </c>
      <c r="G15" s="6" t="n">
        <v>499</v>
      </c>
      <c r="H15" s="6" t="n">
        <v>537</v>
      </c>
    </row>
    <row r="16">
      <c r="A16" s="5" t="inlineStr">
        <is>
          <t>Total RWAs</t>
        </is>
      </c>
      <c r="B16" s="5" t="n">
        <v>117463</v>
      </c>
      <c r="C16" s="5" t="n">
        <v>110423</v>
      </c>
      <c r="D16" s="5" t="n">
        <v>101478</v>
      </c>
      <c r="E16" s="5" t="n">
        <v>92413</v>
      </c>
      <c r="F16" s="5" t="n">
        <v>83723</v>
      </c>
      <c r="G16" s="5" t="n">
        <v>85477</v>
      </c>
      <c r="H16" s="5" t="n">
        <v>85881</v>
      </c>
    </row>
    <row r="18" ht="230" customHeight="1">
      <c r="A18" s="8" t="inlineStr">
        <is>
          <t>Sources - HSBC UK Bank plc's own entity-level Pillar 3 Disclosures, Table 'Overview of risk-weighted exposure amounts (OV1)' (Table 12 in the FY2019/FY2020 vintages):
FY2025 &amp; FY2024: Pillar 3 Disclosures at 31 December 2025, p.15 - https://www.hsbc.com/-/files/hsbc/investors/hsbc-results/2025/annual/pdfs/hsbc-uk-bank-plc/260225-pillar-3-disclosures-at-31-december-2025.pdf
FY2023: Pillar 3 Disclosures at 31 December 2023, p.17 - https://www.hsbc.com/-/files/hsbc/investors/hsbc-results/2023/annual/pdfs/hsbc-uk-bank-plc/240221-pillar-3-disclosures-at-31-december-2023.pdf
FY2022: Pillar 3 Disclosures at 31 December 2022, p.16 - https://www.hsbc.com/-/files/hsbc/investors/hsbc-results/2022/annual/pdfs/hsbc-uk-bank-plc/230221-pillar-3-disclosures-at-31-december-2022.pdf
FY2021: Pillar 3 Disclosures at 31 December 2021, p.15 - https://www.hsbc.com/-/files/hsbc/investors/hsbc-results/2021/annual/pdfs/hsbc-uk-bank-plc/220222-pillar-3-disclosures-at-31-december-2021.pdf
FY2020: Pillar 3 Disclosures at 31 December 2020, p.16 (Table 12) - https://web.archive.org/web/20240527084156id_/https://www.hsbc.com/-/files/hsbc/investors/hsbc-results/2020/annual/pdfs/hsbc-uk-bank-plc/210223-pillar-3-disclosures-at-31-december-2020.pdf (retrieved via Wayback Machine, no longer live on hsbc.com)
FY2019: Pillar 3 Disclosures at 31 December 2019, p.14 (Table 12) - https://web.archive.org/web/20221014171921id_/https://www.hsbc.com/-/files/hsbc/investors/hsbc-results/2019/annual/pdfs/hsbc-uk-bank-plc/200218-pillar-3-disclosures-31-december-2019.pdf (retrieved via Wayback Machine, no longer live on hsbc.com)
Template note: FY2021's, FY2020's and FY2019's OV1 tables use an older presentation (no separate 'slotting approach' row - folded within foundation/advanced IRB, no separate SEC-ERBA row, includes a 'Settlement risk' row showing nil throughout, and a 'Floor adjustment' row showing nil throughout, both omitted here since always zero) and, unlike FY2022-FY2025 where 'Amounts below thresholds for deduction' is a memo already embedded within Credit risk row 2, FY2021's/FY2020's/FY2019's own disclosures keep it as a genuinely separate, additive row before the Total - reproduced as disclosed in each year's own format rather than forced onto a single template. FY2019's own foundation-IRB/advanced-IRB split is markedly different from later years' (almost all on advanced IRB, £67,179m vs only £5,665m foundation IRB - the opposite emphasis to FY2021-2025) - reproduced exactly as originally disclosed, not a transcription error. All 7 years' category breakdowns sum exactly to that year's own disclosed Total RWAs figure, cross-checked before finalizing.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18:H1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5.6%</t>
        </is>
      </c>
      <c r="C4" s="6" t="inlineStr">
        <is>
          <t>5.8%</t>
        </is>
      </c>
      <c r="D4" s="6" t="inlineStr">
        <is>
          <t>6.1%</t>
        </is>
      </c>
      <c r="E4" s="6" t="inlineStr">
        <is>
          <t>5.9%</t>
        </is>
      </c>
      <c r="F4" s="6" t="inlineStr">
        <is>
          <t>4.2%</t>
        </is>
      </c>
      <c r="G4" s="6" t="inlineStr">
        <is>
          <t>4.8%</t>
        </is>
      </c>
      <c r="H4" s="6" t="inlineStr">
        <is>
          <t>5.0%</t>
        </is>
      </c>
    </row>
    <row r="5" ht="60" customHeight="1">
      <c r="A5" s="7" t="inlineStr">
        <is>
          <t>Note: A genuine basis change: FY2022-FY2025 are disclosed 'excluding claims on central banks' under the CRR II end-point basis (the new PRA disclosure template effective 1 January 2022), while FY2021's, FY2020's and FY2019's own reports pre-date that template and disclose a single leverage ratio (total exposure £358,237m/£317,196m/£268,271m respectively) that includes claims on central banks - a narrower/different exposure measure. FY2019-FY2021 are left on their own originally-disclosed basis rather than forced onto the newer definition.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175%</t>
        </is>
      </c>
      <c r="C4" s="6" t="inlineStr">
        <is>
          <t>190%</t>
        </is>
      </c>
      <c r="D4" s="6" t="inlineStr">
        <is>
          <t>201%</t>
        </is>
      </c>
      <c r="E4" s="6" t="inlineStr">
        <is>
          <t>226%</t>
        </is>
      </c>
      <c r="F4" s="6" t="n"/>
      <c r="G4" s="6" t="n"/>
      <c r="H4" s="6" t="n"/>
    </row>
    <row r="5" ht="60" customHeight="1">
      <c r="A5" s="7" t="inlineStr">
        <is>
          <t>Note: Not disclosed for FY2019-FY2021: HSBC UK Bank plc's own FY2019/FY2020/FY2021 Pillar 3 Disclosures pre-date the PRA's entity-level LCR quantitative-disclosure requirement (effective 1 January 2022, per the FY2022 Pillar 3 Disclosures' own footnote) - each of those years' own reports only describes the LCR qualitatively, with no numeric value given. Confirmed genuinely absent, not an access gap. Reported on a 12-month rolling average basis (this project's standard convention).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146%</t>
        </is>
      </c>
      <c r="C4" s="6" t="inlineStr">
        <is>
          <t>154%</t>
        </is>
      </c>
      <c r="D4" s="6" t="inlineStr">
        <is>
          <t>158%</t>
        </is>
      </c>
      <c r="E4" s="6" t="inlineStr">
        <is>
          <t>164%</t>
        </is>
      </c>
      <c r="F4" s="6" t="n"/>
      <c r="G4" s="6" t="n"/>
      <c r="H4" s="6" t="n"/>
    </row>
    <row r="5" ht="60" customHeight="1">
      <c r="A5" s="7" t="inlineStr">
        <is>
          <t>Note: Not disclosed for FY2019-FY2021 - same reason as the LCR sheet (pre-dates the PRA's entity-level NSFR quantitative-disclosure requirement, effective 1 January 2022).</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figure or mention appears anywhere in any of HSBC UK Bank plc's own Pillar 3 Disclosures FY2019-FY2025 - HSBC UK Bank plc is not itself a resolution entity under the Bank of England's Single Point of Entry resolution strategy for the HSBC group (that role sits with HSBC Holdings plc at the top of the group), so no entity-level MREL requirement or ratio applies here - the same pattern as HSBC Bank plc's relationship to the wider group (see that workbook).</t>
        </is>
      </c>
    </row>
    <row r="7" ht="15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HSBC UK Bank plc — Interim Pillar 3</t>
        </is>
      </c>
    </row>
    <row r="2">
      <c r="A2" s="2" t="inlineStr">
        <is>
          <t>Additional entity-level Q1/H1/Q3 observations; annual values remain on the standard metric sheets.</t>
        </is>
      </c>
    </row>
    <row r="4">
      <c r="A4" s="4" t="inlineStr">
        <is>
          <t>Metric</t>
        </is>
      </c>
      <c r="B4" s="4" t="inlineStr">
        <is>
          <t>Unit</t>
        </is>
      </c>
      <c r="C4" s="4" t="inlineStr">
        <is>
          <t>Basis</t>
        </is>
      </c>
      <c r="D4" s="4" t="inlineStr">
        <is>
          <t>2025 Q3</t>
        </is>
      </c>
      <c r="E4" s="4" t="inlineStr">
        <is>
          <t>2025 H1</t>
        </is>
      </c>
      <c r="F4" s="4" t="inlineStr">
        <is>
          <t>2025 Q1</t>
        </is>
      </c>
      <c r="G4" s="4" t="inlineStr">
        <is>
          <t>2024 Q3</t>
        </is>
      </c>
      <c r="H4" s="4" t="inlineStr">
        <is>
          <t>2024 H1</t>
        </is>
      </c>
      <c r="I4" s="4" t="inlineStr">
        <is>
          <t>2024 Q1</t>
        </is>
      </c>
      <c r="J4" s="4" t="inlineStr">
        <is>
          <t>2023 Q3</t>
        </is>
      </c>
      <c r="K4" s="4" t="inlineStr">
        <is>
          <t>2023 H1</t>
        </is>
      </c>
      <c r="L4" s="4" t="inlineStr">
        <is>
          <t>2023 Q1</t>
        </is>
      </c>
      <c r="M4" s="4" t="inlineStr">
        <is>
          <t>2022 Q3</t>
        </is>
      </c>
      <c r="N4" s="4" t="inlineStr">
        <is>
          <t>2022 H1</t>
        </is>
      </c>
      <c r="O4" s="4" t="inlineStr">
        <is>
          <t>2022 Q1</t>
        </is>
      </c>
      <c r="P4" s="4" t="inlineStr">
        <is>
          <t>2021 H1</t>
        </is>
      </c>
    </row>
    <row r="5">
      <c r="A5" s="6" t="inlineStr">
        <is>
          <t>CET1 Capital</t>
        </is>
      </c>
      <c r="B5" s="6" t="inlineStr">
        <is>
          <t>£m</t>
        </is>
      </c>
      <c r="C5" s="6" t="inlineStr">
        <is>
          <t>HSBC UK Bank plc consolidated entity-level</t>
        </is>
      </c>
      <c r="D5" s="9" t="n">
        <v>15626</v>
      </c>
      <c r="E5" s="9" t="n">
        <v>15255</v>
      </c>
      <c r="F5" s="9" t="n">
        <v>15211</v>
      </c>
      <c r="G5" s="9" t="n">
        <v>14966</v>
      </c>
      <c r="H5" s="9" t="n">
        <v>14550</v>
      </c>
      <c r="I5" s="9" t="n">
        <v>14611</v>
      </c>
      <c r="J5" s="9" t="n">
        <v>14818</v>
      </c>
      <c r="K5" s="9" t="n">
        <v>14382</v>
      </c>
      <c r="L5" s="9" t="n">
        <v>14317</v>
      </c>
      <c r="M5" s="9" t="n">
        <v>12338</v>
      </c>
      <c r="N5" s="9" t="n">
        <v>12346</v>
      </c>
      <c r="O5" s="9" t="n">
        <v>12244</v>
      </c>
      <c r="P5" s="9" t="n">
        <v>13219</v>
      </c>
    </row>
    <row r="6">
      <c r="A6" s="6" t="inlineStr">
        <is>
          <t>Tier 1 Capital</t>
        </is>
      </c>
      <c r="B6" s="6" t="inlineStr">
        <is>
          <t>£m</t>
        </is>
      </c>
      <c r="C6" s="6" t="inlineStr">
        <is>
          <t>HSBC UK Bank plc consolidated entity-level</t>
        </is>
      </c>
      <c r="D6" s="9" t="n">
        <v>18334</v>
      </c>
      <c r="E6" s="9" t="n">
        <v>17963</v>
      </c>
      <c r="F6" s="9" t="n">
        <v>17423</v>
      </c>
      <c r="G6" s="9" t="n">
        <v>17220</v>
      </c>
      <c r="H6" s="9" t="n">
        <v>16802</v>
      </c>
      <c r="I6" s="9" t="n">
        <v>16864</v>
      </c>
      <c r="J6" s="9" t="n">
        <v>17072</v>
      </c>
      <c r="K6" s="9" t="n">
        <v>16632</v>
      </c>
      <c r="L6" s="9" t="n">
        <v>16567</v>
      </c>
      <c r="M6" s="9" t="n">
        <v>14586</v>
      </c>
      <c r="N6" s="9" t="n">
        <v>14599</v>
      </c>
      <c r="O6" s="9" t="n">
        <v>14490</v>
      </c>
      <c r="P6" s="9" t="n">
        <v>15467</v>
      </c>
    </row>
    <row r="7">
      <c r="A7" s="6" t="inlineStr">
        <is>
          <t>Total Capital</t>
        </is>
      </c>
      <c r="B7" s="6" t="inlineStr">
        <is>
          <t>£m</t>
        </is>
      </c>
      <c r="C7" s="6" t="inlineStr">
        <is>
          <t>HSBC UK Bank plc consolidated entity-level</t>
        </is>
      </c>
      <c r="D7" s="9" t="n">
        <v>21978</v>
      </c>
      <c r="E7" s="9" t="n">
        <v>21632</v>
      </c>
      <c r="F7" s="9" t="n">
        <v>20598</v>
      </c>
      <c r="G7" s="9" t="n">
        <v>20375</v>
      </c>
      <c r="H7" s="9" t="n">
        <v>19990</v>
      </c>
      <c r="I7" s="9" t="n">
        <v>20053</v>
      </c>
      <c r="J7" s="9" t="n">
        <v>20140</v>
      </c>
      <c r="K7" s="9" t="n">
        <v>19671</v>
      </c>
      <c r="L7" s="9" t="n">
        <v>19625</v>
      </c>
      <c r="M7" s="9" t="n">
        <v>17721</v>
      </c>
      <c r="N7" s="9" t="n">
        <v>17668</v>
      </c>
      <c r="O7" s="9" t="n">
        <v>17509</v>
      </c>
      <c r="P7" s="9" t="n">
        <v>18454</v>
      </c>
    </row>
    <row r="8">
      <c r="A8" s="6" t="inlineStr">
        <is>
          <t>Total RWAs</t>
        </is>
      </c>
      <c r="B8" s="6" t="inlineStr">
        <is>
          <t>£m</t>
        </is>
      </c>
      <c r="C8" s="6" t="inlineStr">
        <is>
          <t>HSBC UK Bank plc consolidated entity-level</t>
        </is>
      </c>
      <c r="D8" s="9" t="n">
        <v>117852</v>
      </c>
      <c r="E8" s="9" t="n">
        <v>115402</v>
      </c>
      <c r="F8" s="9" t="n">
        <v>112221</v>
      </c>
      <c r="G8" s="9" t="n">
        <v>105494</v>
      </c>
      <c r="H8" s="9" t="n">
        <v>104352</v>
      </c>
      <c r="I8" s="9" t="n">
        <v>102218</v>
      </c>
      <c r="J8" s="9" t="n">
        <v>100563</v>
      </c>
      <c r="K8" s="9" t="n">
        <v>99098</v>
      </c>
      <c r="L8" s="9" t="n">
        <v>99930</v>
      </c>
      <c r="M8" s="9" t="n">
        <v>91917</v>
      </c>
      <c r="N8" s="9" t="n">
        <v>90209</v>
      </c>
      <c r="O8" s="9" t="n">
        <v>89803</v>
      </c>
      <c r="P8" s="9" t="n">
        <v>84555</v>
      </c>
    </row>
    <row r="9">
      <c r="A9" s="6" t="inlineStr">
        <is>
          <t>CET1 Ratio</t>
        </is>
      </c>
      <c r="B9" s="6" t="inlineStr">
        <is>
          <t>%</t>
        </is>
      </c>
      <c r="C9" s="6" t="inlineStr">
        <is>
          <t>HSBC UK Bank plc consolidated entity-level</t>
        </is>
      </c>
      <c r="D9" s="9" t="inlineStr">
        <is>
          <t>13.3%</t>
        </is>
      </c>
      <c r="E9" s="9" t="inlineStr">
        <is>
          <t>13.2%</t>
        </is>
      </c>
      <c r="F9" s="9" t="inlineStr">
        <is>
          <t>13.6%</t>
        </is>
      </c>
      <c r="G9" s="9" t="inlineStr">
        <is>
          <t>14.2%</t>
        </is>
      </c>
      <c r="H9" s="9" t="inlineStr">
        <is>
          <t>13.9%</t>
        </is>
      </c>
      <c r="I9" s="9" t="inlineStr">
        <is>
          <t>14.3%</t>
        </is>
      </c>
      <c r="J9" s="9" t="inlineStr">
        <is>
          <t>14.7%</t>
        </is>
      </c>
      <c r="K9" s="9" t="inlineStr">
        <is>
          <t>14.5%</t>
        </is>
      </c>
      <c r="L9" s="9" t="inlineStr">
        <is>
          <t>14.3%</t>
        </is>
      </c>
      <c r="M9" s="9" t="inlineStr">
        <is>
          <t>13.4%</t>
        </is>
      </c>
      <c r="N9" s="9" t="inlineStr">
        <is>
          <t>13.7%</t>
        </is>
      </c>
      <c r="O9" s="9" t="inlineStr">
        <is>
          <t>13.6%</t>
        </is>
      </c>
      <c r="P9" s="9" t="inlineStr">
        <is>
          <t>15.6%</t>
        </is>
      </c>
    </row>
    <row r="10">
      <c r="A10" s="6" t="inlineStr">
        <is>
          <t>Tier 1 Ratio</t>
        </is>
      </c>
      <c r="B10" s="6" t="inlineStr">
        <is>
          <t>%</t>
        </is>
      </c>
      <c r="C10" s="6" t="inlineStr">
        <is>
          <t>HSBC UK Bank plc consolidated entity-level</t>
        </is>
      </c>
      <c r="D10" s="9" t="inlineStr">
        <is>
          <t>15.6%</t>
        </is>
      </c>
      <c r="E10" s="9" t="inlineStr">
        <is>
          <t>15.6%</t>
        </is>
      </c>
      <c r="F10" s="9" t="inlineStr">
        <is>
          <t>15.5%</t>
        </is>
      </c>
      <c r="G10" s="9" t="inlineStr">
        <is>
          <t>16.3%</t>
        </is>
      </c>
      <c r="H10" s="9" t="inlineStr">
        <is>
          <t>16.1%</t>
        </is>
      </c>
      <c r="I10" s="9" t="inlineStr">
        <is>
          <t>16.5%</t>
        </is>
      </c>
      <c r="J10" s="9" t="inlineStr">
        <is>
          <t>17.0%</t>
        </is>
      </c>
      <c r="K10" s="9" t="inlineStr">
        <is>
          <t>16.8%</t>
        </is>
      </c>
      <c r="L10" s="9" t="inlineStr">
        <is>
          <t>16.6%</t>
        </is>
      </c>
      <c r="M10" s="9" t="inlineStr">
        <is>
          <t>15.9%</t>
        </is>
      </c>
      <c r="N10" s="9" t="inlineStr">
        <is>
          <t>16.2%</t>
        </is>
      </c>
      <c r="O10" s="9" t="inlineStr">
        <is>
          <t>16.1%</t>
        </is>
      </c>
      <c r="P10" s="9" t="inlineStr">
        <is>
          <t>18.3%</t>
        </is>
      </c>
    </row>
    <row r="11">
      <c r="A11" s="6" t="inlineStr">
        <is>
          <t>Total Capital Ratio</t>
        </is>
      </c>
      <c r="B11" s="6" t="inlineStr">
        <is>
          <t>%</t>
        </is>
      </c>
      <c r="C11" s="6" t="inlineStr">
        <is>
          <t>HSBC UK Bank plc consolidated entity-level</t>
        </is>
      </c>
      <c r="D11" s="9" t="inlineStr">
        <is>
          <t>18.6%</t>
        </is>
      </c>
      <c r="E11" s="9" t="inlineStr">
        <is>
          <t>18.7%</t>
        </is>
      </c>
      <c r="F11" s="9" t="inlineStr">
        <is>
          <t>18.4%</t>
        </is>
      </c>
      <c r="G11" s="9" t="inlineStr">
        <is>
          <t>19.3%</t>
        </is>
      </c>
      <c r="H11" s="9" t="inlineStr">
        <is>
          <t>19.2%</t>
        </is>
      </c>
      <c r="I11" s="9" t="inlineStr">
        <is>
          <t>19.6%</t>
        </is>
      </c>
      <c r="J11" s="9" t="inlineStr">
        <is>
          <t>20.0%</t>
        </is>
      </c>
      <c r="K11" s="9" t="inlineStr">
        <is>
          <t>19.9%</t>
        </is>
      </c>
      <c r="L11" s="9" t="inlineStr">
        <is>
          <t>19.6%</t>
        </is>
      </c>
      <c r="M11" s="9" t="inlineStr">
        <is>
          <t>19.3%</t>
        </is>
      </c>
      <c r="N11" s="9" t="inlineStr">
        <is>
          <t>19.6%</t>
        </is>
      </c>
      <c r="O11" s="9" t="inlineStr">
        <is>
          <t>19.5%</t>
        </is>
      </c>
      <c r="P11" s="9" t="inlineStr">
        <is>
          <t>21.8%</t>
        </is>
      </c>
    </row>
    <row r="12">
      <c r="A12" s="6" t="inlineStr">
        <is>
          <t>Leverage Ratio</t>
        </is>
      </c>
      <c r="B12" s="6" t="inlineStr">
        <is>
          <t>%</t>
        </is>
      </c>
      <c r="C12" s="6" t="inlineStr">
        <is>
          <t>HSBC UK Bank plc consolidated entity-level</t>
        </is>
      </c>
      <c r="D12" s="9" t="inlineStr">
        <is>
          <t>5.7%</t>
        </is>
      </c>
      <c r="E12" s="9" t="inlineStr">
        <is>
          <t>5.7%</t>
        </is>
      </c>
      <c r="F12" s="9" t="inlineStr">
        <is>
          <t>5.8%</t>
        </is>
      </c>
      <c r="G12" s="9" t="inlineStr">
        <is>
          <t>5.8%</t>
        </is>
      </c>
      <c r="H12" s="9" t="inlineStr">
        <is>
          <t>5.9%</t>
        </is>
      </c>
      <c r="I12" s="9" t="inlineStr">
        <is>
          <t>6.1%</t>
        </is>
      </c>
      <c r="J12" s="9" t="inlineStr">
        <is>
          <t>6.4%</t>
        </is>
      </c>
      <c r="K12" s="9" t="inlineStr">
        <is>
          <t>6.3%</t>
        </is>
      </c>
      <c r="L12" s="9" t="inlineStr">
        <is>
          <t>6.3%</t>
        </is>
      </c>
      <c r="M12" s="9" t="inlineStr">
        <is>
          <t>5.6%</t>
        </is>
      </c>
      <c r="N12" s="9" t="inlineStr">
        <is>
          <t>5.8%</t>
        </is>
      </c>
      <c r="O12" s="9" t="inlineStr">
        <is>
          <t>5.8%</t>
        </is>
      </c>
      <c r="P12" s="9" t="inlineStr">
        <is>
          <t>4.6%</t>
        </is>
      </c>
    </row>
    <row r="13">
      <c r="A13" s="6" t="inlineStr">
        <is>
          <t>LCR</t>
        </is>
      </c>
      <c r="B13" s="6" t="inlineStr">
        <is>
          <t>%</t>
        </is>
      </c>
      <c r="C13" s="6" t="inlineStr">
        <is>
          <t>HSBC UK Bank plc consolidated entity-level</t>
        </is>
      </c>
      <c r="D13" s="9" t="inlineStr">
        <is>
          <t>181%</t>
        </is>
      </c>
      <c r="E13" s="9" t="inlineStr">
        <is>
          <t>186%</t>
        </is>
      </c>
      <c r="F13" s="9" t="inlineStr">
        <is>
          <t>189%</t>
        </is>
      </c>
      <c r="G13" s="9" t="inlineStr">
        <is>
          <t>192%</t>
        </is>
      </c>
      <c r="H13" s="9" t="inlineStr">
        <is>
          <t>193%</t>
        </is>
      </c>
      <c r="I13" s="9" t="inlineStr">
        <is>
          <t>196%</t>
        </is>
      </c>
      <c r="J13" s="9" t="inlineStr">
        <is>
          <t>206%</t>
        </is>
      </c>
      <c r="K13" s="9" t="inlineStr">
        <is>
          <t>213%</t>
        </is>
      </c>
      <c r="L13" s="9" t="inlineStr">
        <is>
          <t>220%</t>
        </is>
      </c>
      <c r="M13" s="9" t="inlineStr">
        <is>
          <t>232%</t>
        </is>
      </c>
      <c r="N13" s="9" t="inlineStr">
        <is>
          <t>232%</t>
        </is>
      </c>
      <c r="O13" s="9" t="inlineStr">
        <is>
          <t>230%</t>
        </is>
      </c>
      <c r="P13" s="6" t="n"/>
    </row>
    <row r="14">
      <c r="A14" s="6" t="inlineStr">
        <is>
          <t>NSFR</t>
        </is>
      </c>
      <c r="B14" s="6" t="inlineStr">
        <is>
          <t>%</t>
        </is>
      </c>
      <c r="C14" s="6" t="inlineStr">
        <is>
          <t>HSBC UK Bank plc consolidated entity-level</t>
        </is>
      </c>
      <c r="D14" s="9" t="inlineStr">
        <is>
          <t>148%</t>
        </is>
      </c>
      <c r="E14" s="9" t="inlineStr">
        <is>
          <t>151%</t>
        </is>
      </c>
      <c r="F14" s="9" t="inlineStr">
        <is>
          <t>154%</t>
        </is>
      </c>
      <c r="G14" s="9" t="inlineStr">
        <is>
          <t>155%</t>
        </is>
      </c>
      <c r="H14" s="9" t="inlineStr">
        <is>
          <t>155%</t>
        </is>
      </c>
      <c r="I14" s="9" t="inlineStr">
        <is>
          <t>156%</t>
        </is>
      </c>
      <c r="J14" s="9" t="inlineStr">
        <is>
          <t>160%</t>
        </is>
      </c>
      <c r="K14" s="9" t="inlineStr">
        <is>
          <t>162%</t>
        </is>
      </c>
      <c r="L14" s="9" t="inlineStr">
        <is>
          <t>163%</t>
        </is>
      </c>
      <c r="M14" s="9" t="inlineStr">
        <is>
          <t>165%</t>
        </is>
      </c>
      <c r="N14" s="9" t="inlineStr">
        <is>
          <t>166%</t>
        </is>
      </c>
      <c r="O14" s="9" t="inlineStr">
        <is>
          <t>167%</t>
        </is>
      </c>
      <c r="P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2025 Q3</t>
        </is>
      </c>
      <c r="B19" s="6" t="inlineStr">
        <is>
          <t>Q3</t>
        </is>
      </c>
      <c r="C19" s="9" t="inlineStr">
        <is>
          <t>https://www.hsbc.com/-/files/hsbc/investors/hsbc-results/2025/3q/pdfs/hsbc-uk-bank-plc-ring-fenced-bank/251106-hsbc-uk-bank-plc-pillar-3-disclosures-at-30-september-2025.pdf</t>
        </is>
      </c>
      <c r="D19" s="6" t="inlineStr">
        <is>
          <t>Table 1</t>
        </is>
      </c>
    </row>
    <row r="20">
      <c r="A20" s="6" t="inlineStr">
        <is>
          <t>2025 H1</t>
        </is>
      </c>
      <c r="B20" s="6" t="inlineStr">
        <is>
          <t>H1</t>
        </is>
      </c>
      <c r="C20" s="9" t="inlineStr">
        <is>
          <t>https://www.hsbc.com/-/files/hsbc/investors/hsbc-results/2025/interim/pdfs/hsbc-uk-bank-plc/250806-pillar-3-disclosures-at-30-june-2025.pdf</t>
        </is>
      </c>
      <c r="D20" s="6" t="inlineStr">
        <is>
          <t>Table 1</t>
        </is>
      </c>
    </row>
    <row r="21">
      <c r="A21" s="6" t="inlineStr">
        <is>
          <t>2025 Q1</t>
        </is>
      </c>
      <c r="B21" s="6" t="inlineStr">
        <is>
          <t>Q1</t>
        </is>
      </c>
      <c r="C21" s="9" t="inlineStr">
        <is>
          <t>https://www.hsbc.com/-/files/hsbc/investors/hsbc-results/2025/1q/pdfs/hsbc-uk-bank-plc/250507-hbuk-pillar-3-disclosures-at-31-march-2025.pdf</t>
        </is>
      </c>
      <c r="D21" s="6" t="inlineStr">
        <is>
          <t>Table 1</t>
        </is>
      </c>
    </row>
    <row r="22">
      <c r="A22" s="6" t="inlineStr">
        <is>
          <t>2024 Q3</t>
        </is>
      </c>
      <c r="B22" s="6" t="inlineStr">
        <is>
          <t>Q3</t>
        </is>
      </c>
      <c r="C22" s="9" t="inlineStr">
        <is>
          <t>https://www.hsbc.com/-/files/hsbc/investors/hsbc-results/2024/3q/pdfs/hsbc-uk-bank-plc-ring-fenced-bank/241105-hsbc-uk-bank-plc-pillar-3-disclosures-at-30-september-2024.pdf</t>
        </is>
      </c>
      <c r="D22" s="6" t="inlineStr">
        <is>
          <t>p.3, Table 1</t>
        </is>
      </c>
    </row>
    <row r="23">
      <c r="A23" s="6" t="inlineStr">
        <is>
          <t>2024 H1</t>
        </is>
      </c>
      <c r="B23" s="6" t="inlineStr">
        <is>
          <t>H1</t>
        </is>
      </c>
      <c r="C23" s="9" t="inlineStr">
        <is>
          <t>https://www.hsbc.com/-/files/hsbc/investors/hsbc-results/2024/interim/pdfs/hsbc-uk-bank-plc/240806-pillar-3-disclosures-at-30-june-2024.pdf</t>
        </is>
      </c>
      <c r="D23" s="6" t="inlineStr">
        <is>
          <t>p.4, Table 1</t>
        </is>
      </c>
    </row>
    <row r="24">
      <c r="A24" s="6" t="inlineStr">
        <is>
          <t>2024 Q1</t>
        </is>
      </c>
      <c r="B24" s="6" t="inlineStr">
        <is>
          <t>Q1</t>
        </is>
      </c>
      <c r="C24" s="9" t="inlineStr">
        <is>
          <t>https://www.hsbc.com/-/files/hsbc/investors/hsbc-results/2024/interim/pdfs/hsbc-uk-bank-plc/240806-pillar-3-disclosures-at-30-june-2024.pdf</t>
        </is>
      </c>
      <c r="D24" s="6" t="inlineStr">
        <is>
          <t>p.4, Table 1 comparative</t>
        </is>
      </c>
    </row>
    <row r="25">
      <c r="A25" s="6" t="inlineStr">
        <is>
          <t>2023 Q3</t>
        </is>
      </c>
      <c r="B25" s="6" t="inlineStr">
        <is>
          <t>Q3</t>
        </is>
      </c>
      <c r="C25" s="9" t="inlineStr">
        <is>
          <t>https://www.hsbc.com/-/files/hsbc/investors/hsbc-results/2023/3q/pdfs/hsbc-bank-plc/231106-hsbc-uk-bank-plc-pillar-3-disclosures-at-30-september-2023.pdf</t>
        </is>
      </c>
      <c r="D25" s="6" t="inlineStr">
        <is>
          <t>p.3, Table 1</t>
        </is>
      </c>
    </row>
    <row r="26">
      <c r="A26" s="6" t="inlineStr">
        <is>
          <t>2023 H1</t>
        </is>
      </c>
      <c r="B26" s="6" t="inlineStr">
        <is>
          <t>H1</t>
        </is>
      </c>
      <c r="C26" s="9" t="inlineStr">
        <is>
          <t>https://www.hsbc.com/-/files/hsbc/investors/hsbc-results/2023/3q/pdfs/hsbc-bank-plc/231106-hsbc-uk-bank-plc-pillar-3-disclosures-at-30-september-2023.pdf</t>
        </is>
      </c>
      <c r="D26" s="6" t="inlineStr">
        <is>
          <t>p.3, Table 1 comparative</t>
        </is>
      </c>
    </row>
    <row r="27">
      <c r="A27" s="6" t="inlineStr">
        <is>
          <t>2023 Q1</t>
        </is>
      </c>
      <c r="B27" s="6" t="inlineStr">
        <is>
          <t>Q1</t>
        </is>
      </c>
      <c r="C27" s="9" t="inlineStr">
        <is>
          <t>https://www.hsbc.com/-/files/hsbc/investors/hsbc-results/2023/3q/pdfs/hsbc-bank-plc/231106-hsbc-uk-bank-plc-pillar-3-disclosures-at-30-september-2023.pdf</t>
        </is>
      </c>
      <c r="D27" s="6" t="inlineStr">
        <is>
          <t>p.3, Table 1 comparative</t>
        </is>
      </c>
    </row>
    <row r="28">
      <c r="A28" s="6" t="inlineStr">
        <is>
          <t>2022 Q3</t>
        </is>
      </c>
      <c r="B28" s="6" t="inlineStr">
        <is>
          <t>Q3</t>
        </is>
      </c>
      <c r="C28" s="9" t="inlineStr">
        <is>
          <t>https://www.hsbc.com/-/files/hsbc/investors/hsbc-results/2022/3q/pdfs/hsbc-uk-bank-plc/221102-pillar-3-disclosures-at-30-september-2022.pdf</t>
        </is>
      </c>
      <c r="D28" s="6" t="inlineStr">
        <is>
          <t>p.3, Table 1</t>
        </is>
      </c>
    </row>
    <row r="29">
      <c r="A29" s="6" t="inlineStr">
        <is>
          <t>2022 H1</t>
        </is>
      </c>
      <c r="B29" s="6" t="inlineStr">
        <is>
          <t>H1</t>
        </is>
      </c>
      <c r="C29" s="9" t="inlineStr">
        <is>
          <t>https://www.hsbc.com/-/files/hsbc/investors/hsbc-results/2022/3q/pdfs/hsbc-uk-bank-plc/221102-pillar-3-disclosures-at-30-september-2022.pdf</t>
        </is>
      </c>
      <c r="D29" s="6" t="inlineStr">
        <is>
          <t>p.3, Table 1 comparative</t>
        </is>
      </c>
    </row>
    <row r="30">
      <c r="A30" s="6" t="inlineStr">
        <is>
          <t>2022 Q1</t>
        </is>
      </c>
      <c r="B30" s="6" t="inlineStr">
        <is>
          <t>Q1</t>
        </is>
      </c>
      <c r="C30" s="9" t="inlineStr">
        <is>
          <t>https://www.hsbc.com/-/files/hsbc/investors/hsbc-results/2022/3q/pdfs/hsbc-uk-bank-plc/221102-pillar-3-disclosures-at-30-september-2022.pdf</t>
        </is>
      </c>
      <c r="D30" s="6" t="inlineStr">
        <is>
          <t>p.3, Table 1 comparative</t>
        </is>
      </c>
    </row>
    <row r="31">
      <c r="A31" s="6" t="inlineStr">
        <is>
          <t>2021 H1</t>
        </is>
      </c>
      <c r="B31" s="6" t="inlineStr">
        <is>
          <t>H1</t>
        </is>
      </c>
      <c r="C31" s="9" t="inlineStr">
        <is>
          <t>https://www.hsbc.com/-/files/hsbc/investors/hsbc-results/2022/3q/pdfs/hsbc-uk-bank-plc/221102-pillar-3-disclosures-at-30-september-2022.pdf</t>
        </is>
      </c>
      <c r="D31" s="6" t="inlineStr">
        <is>
          <t>p.3, Table 1 comparative</t>
        </is>
      </c>
    </row>
    <row r="33" ht="60" customHeight="1">
      <c r="A33" s="10" t="inlineStr">
        <is>
          <t>Note: Scope note: 2022–2025 Q1/H1/Q3 observations are taken from HSBC UK Bank plc's own entity-level Pillar 3 Table 1 disclosures or their comparative columns. The only 2021 interim observation found was 30 June 2021; LCR and NSFR were not disclosed for that period. MREL was not disclosed in the entity-level reports. Blank values are source gaps, not calculated estimates. HSBC UK Bank plc is distinct from HSBC Bank plc and HSBC Group.</t>
        </is>
      </c>
    </row>
  </sheetData>
  <mergeCells count="1">
    <mergeCell ref="A33:P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D13" r:id="rId105"/>
    <hyperlink xmlns:r="http://schemas.openxmlformats.org/officeDocument/2006/relationships" ref="E13" r:id="rId106"/>
    <hyperlink xmlns:r="http://schemas.openxmlformats.org/officeDocument/2006/relationships" ref="F13" r:id="rId107"/>
    <hyperlink xmlns:r="http://schemas.openxmlformats.org/officeDocument/2006/relationships" ref="G13" r:id="rId108"/>
    <hyperlink xmlns:r="http://schemas.openxmlformats.org/officeDocument/2006/relationships" ref="H13" r:id="rId109"/>
    <hyperlink xmlns:r="http://schemas.openxmlformats.org/officeDocument/2006/relationships" ref="I13" r:id="rId110"/>
    <hyperlink xmlns:r="http://schemas.openxmlformats.org/officeDocument/2006/relationships" ref="J13" r:id="rId111"/>
    <hyperlink xmlns:r="http://schemas.openxmlformats.org/officeDocument/2006/relationships" ref="K13" r:id="rId112"/>
    <hyperlink xmlns:r="http://schemas.openxmlformats.org/officeDocument/2006/relationships" ref="L13" r:id="rId113"/>
    <hyperlink xmlns:r="http://schemas.openxmlformats.org/officeDocument/2006/relationships" ref="M13" r:id="rId114"/>
    <hyperlink xmlns:r="http://schemas.openxmlformats.org/officeDocument/2006/relationships" ref="N13" r:id="rId115"/>
    <hyperlink xmlns:r="http://schemas.openxmlformats.org/officeDocument/2006/relationships" ref="O13" r:id="rId116"/>
    <hyperlink xmlns:r="http://schemas.openxmlformats.org/officeDocument/2006/relationships" ref="D14" r:id="rId117"/>
    <hyperlink xmlns:r="http://schemas.openxmlformats.org/officeDocument/2006/relationships" ref="E14" r:id="rId118"/>
    <hyperlink xmlns:r="http://schemas.openxmlformats.org/officeDocument/2006/relationships" ref="F14" r:id="rId119"/>
    <hyperlink xmlns:r="http://schemas.openxmlformats.org/officeDocument/2006/relationships" ref="G14" r:id="rId120"/>
    <hyperlink xmlns:r="http://schemas.openxmlformats.org/officeDocument/2006/relationships" ref="H14" r:id="rId121"/>
    <hyperlink xmlns:r="http://schemas.openxmlformats.org/officeDocument/2006/relationships" ref="I14" r:id="rId122"/>
    <hyperlink xmlns:r="http://schemas.openxmlformats.org/officeDocument/2006/relationships" ref="J14" r:id="rId123"/>
    <hyperlink xmlns:r="http://schemas.openxmlformats.org/officeDocument/2006/relationships" ref="K14" r:id="rId124"/>
    <hyperlink xmlns:r="http://schemas.openxmlformats.org/officeDocument/2006/relationships" ref="L14" r:id="rId125"/>
    <hyperlink xmlns:r="http://schemas.openxmlformats.org/officeDocument/2006/relationships" ref="M14" r:id="rId126"/>
    <hyperlink xmlns:r="http://schemas.openxmlformats.org/officeDocument/2006/relationships" ref="N14" r:id="rId127"/>
    <hyperlink xmlns:r="http://schemas.openxmlformats.org/officeDocument/2006/relationships" ref="O14" r:id="rId128"/>
    <hyperlink xmlns:r="http://schemas.openxmlformats.org/officeDocument/2006/relationships" ref="C19" r:id="rId129"/>
    <hyperlink xmlns:r="http://schemas.openxmlformats.org/officeDocument/2006/relationships" ref="C20" r:id="rId130"/>
    <hyperlink xmlns:r="http://schemas.openxmlformats.org/officeDocument/2006/relationships" ref="C21" r:id="rId131"/>
    <hyperlink xmlns:r="http://schemas.openxmlformats.org/officeDocument/2006/relationships" ref="C22" r:id="rId132"/>
    <hyperlink xmlns:r="http://schemas.openxmlformats.org/officeDocument/2006/relationships" ref="C23" r:id="rId133"/>
    <hyperlink xmlns:r="http://schemas.openxmlformats.org/officeDocument/2006/relationships" ref="C24" r:id="rId134"/>
    <hyperlink xmlns:r="http://schemas.openxmlformats.org/officeDocument/2006/relationships" ref="C25" r:id="rId135"/>
    <hyperlink xmlns:r="http://schemas.openxmlformats.org/officeDocument/2006/relationships" ref="C26" r:id="rId136"/>
    <hyperlink xmlns:r="http://schemas.openxmlformats.org/officeDocument/2006/relationships" ref="C27" r:id="rId137"/>
    <hyperlink xmlns:r="http://schemas.openxmlformats.org/officeDocument/2006/relationships" ref="C28" r:id="rId138"/>
    <hyperlink xmlns:r="http://schemas.openxmlformats.org/officeDocument/2006/relationships" ref="C29" r:id="rId139"/>
    <hyperlink xmlns:r="http://schemas.openxmlformats.org/officeDocument/2006/relationships" ref="C30" r:id="rId140"/>
    <hyperlink xmlns:r="http://schemas.openxmlformats.org/officeDocument/2006/relationships" ref="C31" r:id="rId1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2026-09-16T00:24:26Z</dcterms:created>
  <dcterms:modified xmlns:dcterms="http://purl.org/dc/terms/" xmlns:xsi="http://www.w3.org/2001/XMLSchema-instance" xsi:type="dcterms:W3CDTF">2026-09-16T00:24:26Z</dcterms:modified>
</cp:coreProperties>
</file>