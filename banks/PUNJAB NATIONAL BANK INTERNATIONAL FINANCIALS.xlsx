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ser>
          <idx val="1"/>
          <order val="1"/>
          <tx>
            <strRef>
              <f>'Overview'!Y19</f>
            </strRef>
          </tx>
          <spPr>
            <a:ln xmlns:a="http://schemas.openxmlformats.org/drawingml/2006/main">
              <a:prstDash val="solid"/>
            </a:ln>
          </spPr>
          <cat>
            <numRef>
              <f>'Overview'!$Z$17:$AD$17</f>
            </numRef>
          </cat>
          <val>
            <numRef>
              <f>'Overview'!$Z$19:$AD$19</f>
            </numRef>
          </val>
        </ser>
        <ser>
          <idx val="2"/>
          <order val="2"/>
          <tx>
            <strRef>
              <f>'Overview'!Y20</f>
            </strRef>
          </tx>
          <spPr>
            <a:ln xmlns:a="http://schemas.openxmlformats.org/drawingml/2006/main">
              <a:prstDash val="solid"/>
            </a:ln>
          </spPr>
          <cat>
            <numRef>
              <f>'Overview'!$Z$17:$AD$17</f>
            </numRef>
          </cat>
          <val>
            <numRef>
              <f>'Overview'!$Z$20:$AD$20</f>
            </numRef>
          </val>
        </ser>
        <ser>
          <idx val="3"/>
          <order val="3"/>
          <tx>
            <strRef>
              <f>'Overview'!Y21</f>
            </strRef>
          </tx>
          <spPr>
            <a:ln xmlns:a="http://schemas.openxmlformats.org/drawingml/2006/main">
              <a:prstDash val="solid"/>
            </a:ln>
          </spPr>
          <cat>
            <numRef>
              <f>'Overview'!$Z$17:$AD$17</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1124092.4</v>
      </c>
      <c r="C6" s="5" t="n">
        <v>929222.3</v>
      </c>
      <c r="D6" s="5" t="n">
        <v>860733.1</v>
      </c>
      <c r="E6" s="5" t="n">
        <v>880119.7</v>
      </c>
      <c r="F6" s="5" t="n">
        <v>855689.9</v>
      </c>
      <c r="I6" t="inlineStr">
        <is>
          <t>Total assets</t>
        </is>
      </c>
      <c r="J6" t="n">
        <v>855689.9</v>
      </c>
      <c r="K6" t="n">
        <v>880119.7</v>
      </c>
      <c r="L6" t="n">
        <v>860733.1</v>
      </c>
      <c r="M6" t="n">
        <v>929222.3</v>
      </c>
      <c r="N6" t="n">
        <v>1124092.4</v>
      </c>
      <c r="AO6" t="inlineStr">
        <is>
          <t>CET1 Ratio</t>
        </is>
      </c>
      <c r="AP6" t="n">
        <v>17.2</v>
      </c>
      <c r="AQ6" t="n">
        <v>19.6</v>
      </c>
      <c r="AR6" t="n">
        <v>20.6</v>
      </c>
      <c r="AS6" t="n">
        <v>20.2</v>
      </c>
      <c r="AT6" t="n">
        <v>15.4</v>
      </c>
    </row>
    <row r="7">
      <c r="A7" s="5" t="inlineStr">
        <is>
          <t>Loans and advances to customers</t>
        </is>
      </c>
      <c r="B7" s="5" t="n">
        <v>857718.4</v>
      </c>
      <c r="C7" s="5" t="n">
        <v>700217.7</v>
      </c>
      <c r="D7" s="5" t="n">
        <v>611240.5</v>
      </c>
      <c r="E7" s="5" t="n">
        <v>605546.7</v>
      </c>
      <c r="F7" s="5" t="n">
        <v>601152.6</v>
      </c>
      <c r="I7" t="inlineStr">
        <is>
          <t>Loans and advances to customers</t>
        </is>
      </c>
      <c r="J7" t="n">
        <v>601152.6</v>
      </c>
      <c r="K7" t="n">
        <v>605546.7</v>
      </c>
      <c r="L7" t="n">
        <v>611240.5</v>
      </c>
      <c r="M7" t="n">
        <v>700217.7</v>
      </c>
      <c r="N7" t="n">
        <v>857718.4</v>
      </c>
      <c r="AO7" t="inlineStr">
        <is>
          <t>Tier 1 Ratio</t>
        </is>
      </c>
      <c r="AP7" t="n">
        <v>22.8</v>
      </c>
      <c r="AQ7" t="n">
        <v>25.8</v>
      </c>
      <c r="AR7" t="n">
        <v>27</v>
      </c>
      <c r="AS7" t="n">
        <v>26.7</v>
      </c>
      <c r="AT7" t="n">
        <v>20.5</v>
      </c>
    </row>
    <row r="8">
      <c r="A8" s="5" t="inlineStr">
        <is>
          <t>Deposits from customers</t>
        </is>
      </c>
      <c r="B8" s="5" t="n">
        <v>898487.3</v>
      </c>
      <c r="C8" s="5" t="n">
        <v>709869.9</v>
      </c>
      <c r="D8" s="5" t="n">
        <v>642164.3</v>
      </c>
      <c r="E8" s="5" t="n">
        <v>660495</v>
      </c>
      <c r="F8" s="5" t="n">
        <v>651932.1</v>
      </c>
      <c r="I8" t="inlineStr">
        <is>
          <t>Deposits from customers</t>
        </is>
      </c>
      <c r="J8" t="n">
        <v>651932.1</v>
      </c>
      <c r="K8" t="n">
        <v>660495</v>
      </c>
      <c r="L8" t="n">
        <v>642164.3</v>
      </c>
      <c r="M8" t="n">
        <v>709869.9</v>
      </c>
      <c r="N8" t="n">
        <v>898487.3</v>
      </c>
      <c r="AO8" t="inlineStr">
        <is>
          <t>Total Capital Ratio</t>
        </is>
      </c>
      <c r="AP8" t="n">
        <v>26.7</v>
      </c>
      <c r="AQ8" t="n">
        <v>31</v>
      </c>
      <c r="AR8" t="n">
        <v>31.8</v>
      </c>
      <c r="AS8" t="n">
        <v>31</v>
      </c>
      <c r="AT8" t="n">
        <v>23.6</v>
      </c>
    </row>
    <row r="9">
      <c r="A9" s="5" t="inlineStr">
        <is>
          <t>Total equity</t>
        </is>
      </c>
      <c r="B9" s="5" t="n">
        <v>158761.8</v>
      </c>
      <c r="C9" s="5" t="n">
        <v>163563.9</v>
      </c>
      <c r="D9" s="5" t="n">
        <v>170110.8</v>
      </c>
      <c r="E9" s="5" t="n">
        <v>172539.6</v>
      </c>
      <c r="F9" s="5" t="n">
        <v>158232.8</v>
      </c>
      <c r="I9" t="inlineStr">
        <is>
          <t>Total equity</t>
        </is>
      </c>
      <c r="J9" t="n">
        <v>158232.8</v>
      </c>
      <c r="K9" t="n">
        <v>172539.6</v>
      </c>
      <c r="L9" t="n">
        <v>170110.8</v>
      </c>
      <c r="M9" t="n">
        <v>163563.9</v>
      </c>
      <c r="N9" t="n">
        <v>158761.8</v>
      </c>
      <c r="AO9" t="inlineStr">
        <is>
          <t>Leverage Ratio</t>
        </is>
      </c>
      <c r="AP9" t="n">
        <v>19.3</v>
      </c>
      <c r="AQ9" t="n">
        <v>19.9</v>
      </c>
      <c r="AR9" t="n">
        <v>19.1</v>
      </c>
      <c r="AS9" t="n">
        <v>16.7</v>
      </c>
      <c r="AT9" t="n">
        <v>13.6</v>
      </c>
    </row>
    <row r="10">
      <c r="AO10" t="inlineStr">
        <is>
          <t>LCR</t>
        </is>
      </c>
      <c r="AP10" t="n">
        <v>405</v>
      </c>
      <c r="AQ10" t="n">
        <v>384</v>
      </c>
      <c r="AR10" t="n">
        <v>647</v>
      </c>
      <c r="AS10" t="n">
        <v>201</v>
      </c>
      <c r="AT10" t="n">
        <v>350</v>
      </c>
    </row>
    <row r="11">
      <c r="A11" s="3" t="inlineStr">
        <is>
          <t>Profit &amp; Loss Summary (£'000 (conv. from USD))</t>
        </is>
      </c>
      <c r="AO11" t="inlineStr">
        <is>
          <t>NSFR</t>
        </is>
      </c>
      <c r="AP11" t="n">
        <v>128</v>
      </c>
      <c r="AQ11" t="n">
        <v>135</v>
      </c>
      <c r="AR11" t="n">
        <v>130</v>
      </c>
      <c r="AS11" t="n">
        <v>121</v>
      </c>
      <c r="AT11" t="n">
        <v>118</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Profit after tax for the year</t>
        </is>
      </c>
      <c r="B13" s="5" t="n">
        <v>2191.1</v>
      </c>
      <c r="C13" s="5" t="n">
        <v>587.6</v>
      </c>
      <c r="D13" s="5" t="n">
        <v>4941.9</v>
      </c>
      <c r="E13" s="5" t="n">
        <v>6918.2</v>
      </c>
      <c r="F13" s="5" t="n">
        <v>5786.9</v>
      </c>
      <c r="Q13" t="inlineStr">
        <is>
          <t>Profit after tax for the year</t>
        </is>
      </c>
      <c r="R13" t="n">
        <v>5786.9</v>
      </c>
      <c r="S13" t="n">
        <v>6918.2</v>
      </c>
      <c r="T13" t="n">
        <v>4941.9</v>
      </c>
      <c r="U13" t="n">
        <v>587.6</v>
      </c>
      <c r="V13" t="n">
        <v>2191.1</v>
      </c>
    </row>
    <row r="14">
      <c r="A14" s="5" t="inlineStr">
        <is>
          <t>Total comprehensive income for the year, net of tax</t>
        </is>
      </c>
      <c r="B14" s="5" t="n">
        <v>1891.2</v>
      </c>
      <c r="C14" s="5" t="n">
        <v>897.9</v>
      </c>
      <c r="D14" s="5" t="n">
        <v>5084.3</v>
      </c>
      <c r="E14" s="5" t="n">
        <v>7173.1</v>
      </c>
      <c r="F14" s="5" t="n">
        <v>4790.7</v>
      </c>
      <c r="Q14" t="inlineStr">
        <is>
          <t>Total comprehensive income for the year, net of tax</t>
        </is>
      </c>
      <c r="R14" t="n">
        <v>4790.7</v>
      </c>
      <c r="S14" t="n">
        <v>7173.1</v>
      </c>
      <c r="T14" t="n">
        <v>5084.3</v>
      </c>
      <c r="U14" t="n">
        <v>897.9</v>
      </c>
      <c r="V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Z17" t="inlineStr">
        <is>
          <t>FY2022</t>
        </is>
      </c>
      <c r="AA17" t="inlineStr">
        <is>
          <t>FY2023</t>
        </is>
      </c>
      <c r="AB17" t="inlineStr">
        <is>
          <t>FY2024</t>
        </is>
      </c>
      <c r="AC17" t="inlineStr">
        <is>
          <t>FY2025</t>
        </is>
      </c>
      <c r="AD17" t="inlineStr">
        <is>
          <t>FY2026</t>
        </is>
      </c>
    </row>
    <row r="18">
      <c r="A18" s="5" t="inlineStr">
        <is>
          <t>Opening equity</t>
        </is>
      </c>
      <c r="B18" s="5" t="n">
        <v>160116</v>
      </c>
      <c r="C18" s="5" t="n">
        <v>166267.2</v>
      </c>
      <c r="D18" s="5" t="n">
        <v>168879</v>
      </c>
      <c r="E18" s="5" t="n">
        <v>168445.5</v>
      </c>
      <c r="F18" s="5" t="n">
        <v>155058.5</v>
      </c>
      <c r="Y18" t="inlineStr">
        <is>
          <t>Opening equity</t>
        </is>
      </c>
      <c r="Z18" t="n">
        <v>155058.5</v>
      </c>
      <c r="AA18" t="n">
        <v>168445.5</v>
      </c>
      <c r="AB18" t="n">
        <v>168879</v>
      </c>
      <c r="AC18" t="n">
        <v>166267.2</v>
      </c>
      <c r="AD18" t="n">
        <v>160116</v>
      </c>
    </row>
    <row r="19">
      <c r="A19" s="5" t="inlineStr">
        <is>
          <t>Total comprehensive income for the year</t>
        </is>
      </c>
      <c r="B19" s="5" t="n">
        <v>1891.2</v>
      </c>
      <c r="C19" s="5" t="n">
        <v>897.9</v>
      </c>
      <c r="D19" s="5" t="n">
        <v>5084.3</v>
      </c>
      <c r="E19" s="5" t="n">
        <v>7173.1</v>
      </c>
      <c r="F19" s="5" t="n">
        <v>4790.7</v>
      </c>
      <c r="Y19" t="inlineStr">
        <is>
          <t>Total comprehensive income for the year</t>
        </is>
      </c>
      <c r="Z19" t="n">
        <v>4790.7</v>
      </c>
      <c r="AA19" t="n">
        <v>7173.1</v>
      </c>
      <c r="AB19" t="n">
        <v>5084.3</v>
      </c>
      <c r="AC19" t="n">
        <v>897.9</v>
      </c>
      <c r="AD19" t="n">
        <v>1891.2</v>
      </c>
    </row>
    <row r="20">
      <c r="A20" s="5" t="inlineStr">
        <is>
          <t>Other equity movements, net (dividends on AT1 capital)</t>
        </is>
      </c>
      <c r="B20" s="5" t="n">
        <v>-3223.7</v>
      </c>
      <c r="C20" s="5" t="n">
        <v>-3632.4</v>
      </c>
      <c r="D20" s="5" t="n">
        <v>-3846.3</v>
      </c>
      <c r="E20" s="5" t="n">
        <v>-2970.5</v>
      </c>
      <c r="F20" s="5" t="n">
        <v>-1732.5</v>
      </c>
      <c r="Y20" t="inlineStr">
        <is>
          <t>Other equity movements, net (dividends on AT1 capital)</t>
        </is>
      </c>
      <c r="Z20" t="n">
        <v>-1732.5</v>
      </c>
      <c r="AA20" t="n">
        <v>-2970.5</v>
      </c>
      <c r="AB20" t="n">
        <v>-3846.3</v>
      </c>
      <c r="AC20" t="n">
        <v>-3632.4</v>
      </c>
      <c r="AD20" t="n">
        <v>-3223.7</v>
      </c>
    </row>
    <row r="21">
      <c r="A21" s="5" t="inlineStr">
        <is>
          <t>Closing equity</t>
        </is>
      </c>
      <c r="B21" s="5" t="n">
        <v>158761.8</v>
      </c>
      <c r="C21" s="5" t="n">
        <v>163563.9</v>
      </c>
      <c r="D21" s="5" t="n">
        <v>170110.8</v>
      </c>
      <c r="E21" s="5" t="n">
        <v>172539.6</v>
      </c>
      <c r="F21" s="5" t="n">
        <v>158232.8</v>
      </c>
      <c r="Y21" t="inlineStr">
        <is>
          <t>Closing equity</t>
        </is>
      </c>
      <c r="Z21" t="n">
        <v>158232.8</v>
      </c>
      <c r="AA21" t="n">
        <v>172539.6</v>
      </c>
      <c r="AB21" t="n">
        <v>170110.8</v>
      </c>
      <c r="AC21" t="n">
        <v>163563.9</v>
      </c>
      <c r="A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AH24" t="inlineStr">
        <is>
          <t>FY2022</t>
        </is>
      </c>
      <c r="AI24" t="inlineStr">
        <is>
          <t>FY2023</t>
        </is>
      </c>
      <c r="AJ24" t="inlineStr">
        <is>
          <t>FY2024</t>
        </is>
      </c>
      <c r="AK24" t="inlineStr">
        <is>
          <t>FY2025</t>
        </is>
      </c>
      <c r="AL24" t="inlineStr">
        <is>
          <t>FY2026</t>
        </is>
      </c>
    </row>
    <row r="25">
      <c r="A25" s="5" t="inlineStr">
        <is>
          <t>Net cash (used in)/generated from operating activities</t>
        </is>
      </c>
      <c r="B25" s="5" t="n">
        <v>47658.9</v>
      </c>
      <c r="C25" s="5" t="n">
        <v>2756.4</v>
      </c>
      <c r="D25" s="5" t="n">
        <v>-23233.6</v>
      </c>
      <c r="E25" s="5" t="n">
        <v>6421.8</v>
      </c>
      <c r="F25" s="5" t="n">
        <v>-15142</v>
      </c>
      <c r="AG25" t="inlineStr">
        <is>
          <t>Net cash (used in)/generated from operating activities</t>
        </is>
      </c>
      <c r="AH25" t="n">
        <v>-15142</v>
      </c>
      <c r="AI25" t="n">
        <v>6421.8</v>
      </c>
      <c r="AJ25" t="n">
        <v>-23233.6</v>
      </c>
      <c r="AK25" t="n">
        <v>2756.4</v>
      </c>
      <c r="AL25" t="n">
        <v>47658.9</v>
      </c>
    </row>
    <row r="26">
      <c r="A26" s="5" t="inlineStr">
        <is>
          <t>Net cash (used in)/generated from investing activities</t>
        </is>
      </c>
      <c r="B26" s="5" t="n">
        <v>-21032.5</v>
      </c>
      <c r="C26" s="5" t="n">
        <v>-5553.6</v>
      </c>
      <c r="D26" s="5" t="n">
        <v>17663.1</v>
      </c>
      <c r="E26" s="5" t="n">
        <v>-7652.1</v>
      </c>
      <c r="F26" s="5" t="n">
        <v>-35215.9</v>
      </c>
      <c r="AG26" t="inlineStr">
        <is>
          <t>Net cash (used in)/generated from investing activities</t>
        </is>
      </c>
      <c r="AH26" t="n">
        <v>-35215.9</v>
      </c>
      <c r="AI26" t="n">
        <v>-7652.1</v>
      </c>
      <c r="AJ26" t="n">
        <v>17663.1</v>
      </c>
      <c r="AK26" t="n">
        <v>-5553.6</v>
      </c>
      <c r="AL26" t="n">
        <v>-21032.5</v>
      </c>
    </row>
    <row r="27">
      <c r="A27" s="5" t="inlineStr">
        <is>
          <t>Net cash used in financing activities</t>
        </is>
      </c>
      <c r="B27" s="5" t="n">
        <v>-11482.4</v>
      </c>
      <c r="C27" s="5" t="n">
        <v>-12292.6</v>
      </c>
      <c r="D27" s="5" t="n">
        <v>-4430.3</v>
      </c>
      <c r="E27" s="5" t="n">
        <v>-3730.2</v>
      </c>
      <c r="F27" s="5" t="n">
        <v>-2419.1</v>
      </c>
      <c r="AG27" t="inlineStr">
        <is>
          <t>Net cash used in financing activities</t>
        </is>
      </c>
      <c r="AH27" t="n">
        <v>-2419.1</v>
      </c>
      <c r="AI27" t="n">
        <v>-3730.2</v>
      </c>
      <c r="AJ27" t="n">
        <v>-4430.3</v>
      </c>
      <c r="AK27" t="n">
        <v>-12292.6</v>
      </c>
      <c r="AL27" t="n">
        <v>-11482.4</v>
      </c>
    </row>
    <row r="28">
      <c r="A28" s="5" t="inlineStr">
        <is>
          <t>Cash and cash equivalents at end of year</t>
        </is>
      </c>
      <c r="B28" s="5" t="n">
        <v>106098</v>
      </c>
      <c r="C28" s="5" t="n">
        <v>90436.10000000001</v>
      </c>
      <c r="D28" s="5" t="n">
        <v>106105.1</v>
      </c>
      <c r="E28" s="5" t="n">
        <v>117131.2</v>
      </c>
      <c r="F28" s="5" t="n">
        <v>113811</v>
      </c>
      <c r="AG28" t="inlineStr">
        <is>
          <t>Cash and cash equivalents at end of year</t>
        </is>
      </c>
      <c r="AH28" t="n">
        <v>113811</v>
      </c>
      <c r="AI28" t="n">
        <v>117131.2</v>
      </c>
      <c r="AJ28" t="n">
        <v>106105.1</v>
      </c>
      <c r="AK28" t="n">
        <v>90436.10000000001</v>
      </c>
      <c r="AL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row>
    <row r="32">
      <c r="A32" s="6" t="inlineStr">
        <is>
          <t>CET1 Ratio</t>
        </is>
      </c>
      <c r="B32" s="6" t="inlineStr">
        <is>
          <t>15.4%</t>
        </is>
      </c>
      <c r="C32" s="6" t="inlineStr">
        <is>
          <t>20.2%</t>
        </is>
      </c>
      <c r="D32" s="6" t="inlineStr">
        <is>
          <t>20.6%</t>
        </is>
      </c>
      <c r="E32" s="6" t="inlineStr">
        <is>
          <t>19.6%</t>
        </is>
      </c>
      <c r="F32" s="6" t="inlineStr">
        <is>
          <t>17.2%</t>
        </is>
      </c>
    </row>
    <row r="33">
      <c r="A33" s="6" t="inlineStr">
        <is>
          <t>Tier 1 Ratio</t>
        </is>
      </c>
      <c r="B33" s="6" t="inlineStr">
        <is>
          <t>20.5%</t>
        </is>
      </c>
      <c r="C33" s="6" t="inlineStr">
        <is>
          <t>26.7%</t>
        </is>
      </c>
      <c r="D33" s="6" t="inlineStr">
        <is>
          <t>27.0%</t>
        </is>
      </c>
      <c r="E33" s="6" t="inlineStr">
        <is>
          <t>25.8%</t>
        </is>
      </c>
      <c r="F33" s="6" t="inlineStr">
        <is>
          <t>22.8%</t>
        </is>
      </c>
    </row>
    <row r="34">
      <c r="A34" s="6" t="inlineStr">
        <is>
          <t>Total Capital Ratio</t>
        </is>
      </c>
      <c r="B34" s="6" t="inlineStr">
        <is>
          <t>23.6%</t>
        </is>
      </c>
      <c r="C34" s="6" t="inlineStr">
        <is>
          <t>31.0%</t>
        </is>
      </c>
      <c r="D34" s="6" t="inlineStr">
        <is>
          <t>31.8%</t>
        </is>
      </c>
      <c r="E34" s="6" t="inlineStr">
        <is>
          <t>31.0%</t>
        </is>
      </c>
      <c r="F34" s="6" t="inlineStr">
        <is>
          <t>26.7%</t>
        </is>
      </c>
    </row>
    <row r="35">
      <c r="A35" s="6" t="inlineStr">
        <is>
          <t>Leverage Ratio</t>
        </is>
      </c>
      <c r="B35" s="6" t="inlineStr">
        <is>
          <t>13.6%</t>
        </is>
      </c>
      <c r="C35" s="6" t="inlineStr">
        <is>
          <t>16.7%</t>
        </is>
      </c>
      <c r="D35" s="6" t="inlineStr">
        <is>
          <t>19.1%</t>
        </is>
      </c>
      <c r="E35" s="6" t="inlineStr">
        <is>
          <t>19.9%</t>
        </is>
      </c>
      <c r="F35" s="6" t="inlineStr">
        <is>
          <t>19.3%</t>
        </is>
      </c>
    </row>
    <row r="36">
      <c r="A36" s="6" t="inlineStr">
        <is>
          <t>LCR</t>
        </is>
      </c>
      <c r="B36" s="6" t="inlineStr">
        <is>
          <t>350%</t>
        </is>
      </c>
      <c r="C36" s="6" t="inlineStr">
        <is>
          <t>201%</t>
        </is>
      </c>
      <c r="D36" s="6" t="inlineStr">
        <is>
          <t>647%</t>
        </is>
      </c>
      <c r="E36" s="6" t="inlineStr">
        <is>
          <t>384%</t>
        </is>
      </c>
      <c r="F36" s="6" t="inlineStr">
        <is>
          <t>405%</t>
        </is>
      </c>
    </row>
    <row r="37">
      <c r="A37" s="6" t="inlineStr">
        <is>
          <t>NSFR</t>
        </is>
      </c>
      <c r="B37" s="6" t="inlineStr">
        <is>
          <t>118%</t>
        </is>
      </c>
      <c r="C37" s="6" t="inlineStr">
        <is>
          <t>121%</t>
        </is>
      </c>
      <c r="D37" s="6" t="inlineStr">
        <is>
          <t>130%</t>
        </is>
      </c>
      <c r="E37" s="6" t="inlineStr">
        <is>
          <t>135%</t>
        </is>
      </c>
      <c r="F37" s="6" t="inlineStr">
        <is>
          <t>128%</t>
        </is>
      </c>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row>
    <row r="4">
      <c r="A4" s="5" t="inlineStr">
        <is>
          <t>Assets</t>
        </is>
      </c>
      <c r="B4" s="6" t="n"/>
      <c r="C4" s="6" t="n"/>
      <c r="D4" s="6" t="n"/>
      <c r="E4" s="6" t="n"/>
      <c r="F4" s="6" t="n"/>
    </row>
    <row r="5">
      <c r="A5" s="6" t="inlineStr">
        <is>
          <t>Cash and balances with banks</t>
        </is>
      </c>
      <c r="B5" s="6" t="n">
        <v>106098</v>
      </c>
      <c r="C5" s="6" t="n">
        <v>90436.10000000001</v>
      </c>
      <c r="D5" s="6" t="n">
        <v>106105.1</v>
      </c>
      <c r="E5" s="6" t="n">
        <v>117131.2</v>
      </c>
      <c r="F5" s="6" t="n">
        <v>113811</v>
      </c>
    </row>
    <row r="6">
      <c r="A6" s="6" t="inlineStr">
        <is>
          <t>Financial assets at fair value through profit or loss</t>
        </is>
      </c>
      <c r="B6" s="6" t="n">
        <v>768.9</v>
      </c>
      <c r="C6" s="6" t="n">
        <v>746.7</v>
      </c>
      <c r="D6" s="6" t="n">
        <v>2397.9</v>
      </c>
      <c r="E6" s="6" t="n">
        <v>0</v>
      </c>
      <c r="F6" s="6" t="n">
        <v>7598.4</v>
      </c>
    </row>
    <row r="7">
      <c r="A7" s="6" t="inlineStr">
        <is>
          <t>Derivative financial instruments (asset)</t>
        </is>
      </c>
      <c r="B7" s="6" t="n">
        <v>2217.9</v>
      </c>
      <c r="C7" s="6" t="n">
        <v>120.8</v>
      </c>
      <c r="D7" s="6" t="n">
        <v>11.1</v>
      </c>
      <c r="E7" s="6" t="n">
        <v>5.7</v>
      </c>
      <c r="F7" s="6" t="n">
        <v>808.4</v>
      </c>
    </row>
    <row r="8">
      <c r="A8" s="6" t="inlineStr">
        <is>
          <t>Loans and advances to banks</t>
        </is>
      </c>
      <c r="B8" s="6" t="n">
        <v>1101.8</v>
      </c>
      <c r="C8" s="6" t="n">
        <v>1047.3</v>
      </c>
      <c r="D8" s="6" t="n">
        <v>8309.1</v>
      </c>
      <c r="E8" s="6" t="n">
        <v>676.2</v>
      </c>
      <c r="F8" s="6" t="n">
        <v>531.8</v>
      </c>
    </row>
    <row r="9">
      <c r="A9" s="6" t="inlineStr">
        <is>
          <t>Loans and advances to customers</t>
        </is>
      </c>
      <c r="B9" s="6" t="n">
        <v>857718.4</v>
      </c>
      <c r="C9" s="6" t="n">
        <v>700217.7</v>
      </c>
      <c r="D9" s="6" t="n">
        <v>611240.5</v>
      </c>
      <c r="E9" s="6" t="n">
        <v>605546.7</v>
      </c>
      <c r="F9" s="6" t="n">
        <v>601152.6</v>
      </c>
    </row>
    <row r="10">
      <c r="A10" s="6" t="inlineStr">
        <is>
          <t>Investment securities at amortised cost</t>
        </is>
      </c>
      <c r="B10" s="6" t="n">
        <v>47921.6</v>
      </c>
      <c r="C10" s="6" t="n">
        <v>58828</v>
      </c>
      <c r="D10" s="6" t="n">
        <v>51549.2</v>
      </c>
      <c r="E10" s="6" t="n">
        <v>87428</v>
      </c>
      <c r="F10" s="6" t="n">
        <v>67705.5</v>
      </c>
    </row>
    <row r="11">
      <c r="A11" s="6" t="inlineStr">
        <is>
          <t>Financial assets at amortised cost (subtotal, as disclosed FY2024-FY2026)</t>
        </is>
      </c>
      <c r="B11" s="6" t="n">
        <v>906741.7</v>
      </c>
      <c r="C11" s="6" t="n">
        <v>760093</v>
      </c>
      <c r="D11" s="6" t="n">
        <v>671098.8</v>
      </c>
      <c r="E11" s="6" t="n"/>
      <c r="F11" s="6" t="n"/>
    </row>
    <row r="12">
      <c r="A12" s="6" t="inlineStr">
        <is>
          <t>Financial assets at fair value through other comprehensive income</t>
        </is>
      </c>
      <c r="B12" s="6" t="n">
        <v>84038.5</v>
      </c>
      <c r="C12" s="6" t="n">
        <v>55465.5</v>
      </c>
      <c r="D12" s="6" t="n">
        <v>57683.7</v>
      </c>
      <c r="E12" s="6" t="n">
        <v>44696.7</v>
      </c>
      <c r="F12" s="6" t="n">
        <v>41599.3</v>
      </c>
    </row>
    <row r="13">
      <c r="A13" s="6" t="inlineStr">
        <is>
          <t>Right of use lease assets</t>
        </is>
      </c>
      <c r="B13" s="6" t="n">
        <v>3331.8</v>
      </c>
      <c r="C13" s="6" t="n">
        <v>2282</v>
      </c>
      <c r="D13" s="6" t="n">
        <v>2917.2</v>
      </c>
      <c r="E13" s="6" t="n">
        <v>3554.7</v>
      </c>
      <c r="F13" s="6" t="n">
        <v>2334.8</v>
      </c>
    </row>
    <row r="14">
      <c r="A14" s="6" t="inlineStr">
        <is>
          <t>Property, plant and equipment</t>
        </is>
      </c>
      <c r="B14" s="6" t="n">
        <v>784</v>
      </c>
      <c r="C14" s="6" t="n">
        <v>183.6</v>
      </c>
      <c r="D14" s="6" t="n">
        <v>227.2</v>
      </c>
      <c r="E14" s="6" t="n">
        <v>251.5</v>
      </c>
      <c r="F14" s="6" t="n">
        <v>297.1</v>
      </c>
    </row>
    <row r="15">
      <c r="A15" s="6" t="inlineStr">
        <is>
          <t>Intangible assets</t>
        </is>
      </c>
      <c r="B15" s="6" t="n">
        <v>367.8</v>
      </c>
      <c r="C15" s="6" t="n">
        <v>97.59999999999999</v>
      </c>
      <c r="D15" s="6" t="n">
        <v>142.5</v>
      </c>
      <c r="E15" s="6" t="n">
        <v>186</v>
      </c>
      <c r="F15" s="6" t="n">
        <v>447.5</v>
      </c>
    </row>
    <row r="16">
      <c r="A16" s="6" t="inlineStr">
        <is>
          <t>Deferred tax assets</t>
        </is>
      </c>
      <c r="B16" s="6" t="n">
        <v>18549.4</v>
      </c>
      <c r="C16" s="6" t="n">
        <v>18931.8</v>
      </c>
      <c r="D16" s="6" t="n">
        <v>19681.8</v>
      </c>
      <c r="E16" s="6" t="n">
        <v>20211.9</v>
      </c>
      <c r="F16" s="6" t="n">
        <v>19111.8</v>
      </c>
    </row>
    <row r="17">
      <c r="A17" s="6" t="inlineStr">
        <is>
          <t>Prepayments and other receivables</t>
        </is>
      </c>
      <c r="B17" s="6" t="n">
        <v>1194.3</v>
      </c>
      <c r="C17" s="6" t="n">
        <v>865.2</v>
      </c>
      <c r="D17" s="6" t="n">
        <v>467.9</v>
      </c>
      <c r="E17" s="6" t="n">
        <v>431.1</v>
      </c>
      <c r="F17" s="6" t="n">
        <v>291.7</v>
      </c>
    </row>
    <row r="18">
      <c r="A18" s="5" t="inlineStr">
        <is>
          <t>Total assets</t>
        </is>
      </c>
      <c r="B18" s="5" t="n">
        <v>1124092.4</v>
      </c>
      <c r="C18" s="5" t="n">
        <v>929222.3</v>
      </c>
      <c r="D18" s="5" t="n">
        <v>860733.1</v>
      </c>
      <c r="E18" s="5" t="n">
        <v>880119.7</v>
      </c>
      <c r="F18" s="5" t="n">
        <v>855689.9</v>
      </c>
    </row>
    <row r="19">
      <c r="A19" s="5" t="inlineStr">
        <is>
          <t>Liabilities</t>
        </is>
      </c>
      <c r="B19" s="6" t="n"/>
      <c r="C19" s="6" t="n"/>
      <c r="D19" s="6" t="n"/>
      <c r="E19" s="6" t="n"/>
      <c r="F19" s="6" t="n"/>
    </row>
    <row r="20">
      <c r="A20" s="6" t="inlineStr">
        <is>
          <t>Deposits from banks</t>
        </is>
      </c>
      <c r="B20" s="6" t="n">
        <v>38182.4</v>
      </c>
      <c r="C20" s="6" t="n">
        <v>1790.1</v>
      </c>
      <c r="D20" s="6" t="n">
        <v>2606.1</v>
      </c>
      <c r="E20" s="6" t="n">
        <v>1590.9</v>
      </c>
      <c r="F20" s="6" t="n">
        <v>840.3</v>
      </c>
    </row>
    <row r="21">
      <c r="A21" s="6" t="inlineStr">
        <is>
          <t>Deposits from customers</t>
        </is>
      </c>
      <c r="B21" s="6" t="n">
        <v>898487.3</v>
      </c>
      <c r="C21" s="6" t="n">
        <v>709869.9</v>
      </c>
      <c r="D21" s="6" t="n">
        <v>642164.3</v>
      </c>
      <c r="E21" s="6" t="n">
        <v>660495</v>
      </c>
      <c r="F21" s="6" t="n">
        <v>651932.1</v>
      </c>
    </row>
    <row r="22">
      <c r="A22" s="6" t="inlineStr">
        <is>
          <t>Derivative financial instruments (liability)</t>
        </is>
      </c>
      <c r="B22" s="6" t="n">
        <v>12.1</v>
      </c>
      <c r="C22" s="6" t="n">
        <v>1139.4</v>
      </c>
      <c r="D22" s="6" t="n">
        <v>125.9</v>
      </c>
      <c r="E22" s="6" t="n">
        <v>125.4</v>
      </c>
      <c r="F22" s="6" t="n">
        <v>224.1</v>
      </c>
    </row>
    <row r="23">
      <c r="A23" s="6" t="inlineStr">
        <is>
          <t>Current tax liability</t>
        </is>
      </c>
      <c r="B23" s="6" t="n"/>
      <c r="C23" s="6" t="n"/>
      <c r="D23" s="6" t="n"/>
      <c r="E23" s="6" t="n">
        <v>0</v>
      </c>
      <c r="F23" s="6" t="n">
        <v>0</v>
      </c>
    </row>
    <row r="24">
      <c r="A24" s="6" t="inlineStr">
        <is>
          <t>Repurchase agreement - non trading</t>
        </is>
      </c>
      <c r="B24" s="6" t="n">
        <v>0</v>
      </c>
      <c r="C24" s="6" t="n">
        <v>16164.2</v>
      </c>
      <c r="D24" s="6" t="n"/>
      <c r="E24" s="6" t="n"/>
      <c r="F24" s="6" t="n"/>
    </row>
    <row r="25">
      <c r="A25" s="6" t="inlineStr">
        <is>
          <t>Lease liability</t>
        </is>
      </c>
      <c r="B25" s="6" t="n">
        <v>3490.3</v>
      </c>
      <c r="C25" s="6" t="n">
        <v>2457.8</v>
      </c>
      <c r="D25" s="6" t="n">
        <v>3063.6</v>
      </c>
      <c r="E25" s="6" t="n">
        <v>3657.4</v>
      </c>
      <c r="F25" s="6" t="n">
        <v>2435</v>
      </c>
    </row>
    <row r="26">
      <c r="A26" s="6" t="inlineStr">
        <is>
          <t>Other liabilities</t>
        </is>
      </c>
      <c r="B26" s="6" t="n">
        <v>1654.5</v>
      </c>
      <c r="C26" s="6" t="n">
        <v>2395</v>
      </c>
      <c r="D26" s="6" t="n">
        <v>2089.1</v>
      </c>
      <c r="E26" s="6" t="n">
        <v>1271.4</v>
      </c>
      <c r="F26" s="6" t="n">
        <v>4037.4</v>
      </c>
    </row>
    <row r="27">
      <c r="A27" s="6" t="inlineStr">
        <is>
          <t>Subordinated bonds and other borrowed funds</t>
        </is>
      </c>
      <c r="B27" s="6" t="n">
        <v>23503.9</v>
      </c>
      <c r="C27" s="6" t="n">
        <v>31842</v>
      </c>
      <c r="D27" s="6" t="n">
        <v>40573.1</v>
      </c>
      <c r="E27" s="6" t="n">
        <v>40440</v>
      </c>
      <c r="F27" s="6" t="n">
        <v>37988.1</v>
      </c>
    </row>
    <row r="28">
      <c r="A28" s="5" t="inlineStr">
        <is>
          <t>Total liabilities</t>
        </is>
      </c>
      <c r="B28" s="5" t="n">
        <v>965330.6</v>
      </c>
      <c r="C28" s="5" t="n">
        <v>765658.4</v>
      </c>
      <c r="D28" s="5" t="n">
        <v>690622.2</v>
      </c>
      <c r="E28" s="5" t="n">
        <v>707580.1</v>
      </c>
      <c r="F28" s="5" t="n">
        <v>697457.1</v>
      </c>
    </row>
    <row r="29">
      <c r="A29" s="5" t="inlineStr">
        <is>
          <t>Equity</t>
        </is>
      </c>
      <c r="B29" s="6" t="n"/>
      <c r="C29" s="6" t="n"/>
      <c r="D29" s="6" t="n"/>
      <c r="E29" s="6" t="n"/>
      <c r="F29" s="6" t="n"/>
    </row>
    <row r="30">
      <c r="A30" s="6" t="inlineStr">
        <is>
          <t>Share capital</t>
        </is>
      </c>
      <c r="B30" s="6" t="n">
        <v>242365</v>
      </c>
      <c r="C30" s="6" t="n">
        <v>247584</v>
      </c>
      <c r="D30" s="6" t="n">
        <v>253032.8</v>
      </c>
      <c r="E30" s="6" t="n">
        <v>258517.5</v>
      </c>
      <c r="F30" s="6" t="n">
        <v>242843.8</v>
      </c>
    </row>
    <row r="31">
      <c r="A31" s="6" t="inlineStr">
        <is>
          <t>Fair value reserve</t>
        </is>
      </c>
      <c r="B31" s="6" t="n">
        <v>-93.3</v>
      </c>
      <c r="C31" s="6" t="n">
        <v>216.1</v>
      </c>
      <c r="D31" s="6" t="n">
        <v>-638.9</v>
      </c>
      <c r="E31" s="6" t="n">
        <v>-797.5</v>
      </c>
      <c r="F31" s="6" t="n">
        <v>-982.4</v>
      </c>
    </row>
    <row r="32">
      <c r="A32" s="6" t="inlineStr">
        <is>
          <t>Retained earnings</t>
        </is>
      </c>
      <c r="B32" s="6" t="n">
        <v>-83510</v>
      </c>
      <c r="C32" s="6" t="n">
        <v>-84236.3</v>
      </c>
      <c r="D32" s="6" t="n">
        <v>-82283.10000000001</v>
      </c>
      <c r="E32" s="6" t="n">
        <v>-85180.39999999999</v>
      </c>
      <c r="F32" s="6" t="n">
        <v>-83628.60000000001</v>
      </c>
    </row>
    <row r="33">
      <c r="A33" s="5" t="inlineStr">
        <is>
          <t>Total equity</t>
        </is>
      </c>
      <c r="B33" s="5" t="n">
        <v>158761.8</v>
      </c>
      <c r="C33" s="5" t="n">
        <v>163563.9</v>
      </c>
      <c r="D33" s="5" t="n">
        <v>170110.8</v>
      </c>
      <c r="E33" s="5" t="n">
        <v>172539.6</v>
      </c>
      <c r="F33" s="5" t="n">
        <v>158232.8</v>
      </c>
    </row>
    <row r="34">
      <c r="A34" s="5" t="inlineStr">
        <is>
          <t>Total liabilities and equity</t>
        </is>
      </c>
      <c r="B34" s="5" t="n">
        <v>1124092.4</v>
      </c>
      <c r="C34" s="5" t="n">
        <v>929222.3</v>
      </c>
      <c r="D34" s="5" t="n">
        <v>860733.1</v>
      </c>
      <c r="E34" s="5" t="n">
        <v>880119.7</v>
      </c>
      <c r="F34" s="5" t="n">
        <v>855689.9</v>
      </c>
    </row>
    <row r="36" ht="380" customHeight="1">
      <c r="A36"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Profit &amp; Loss</t>
        </is>
      </c>
    </row>
    <row r="2">
      <c r="A2" s="2" t="inlineStr">
        <is>
          <t>Entity-level Statement of Comprehensive Income, £'000 converted from the Bank's native US$'000 presentation. OCI's underlying line-item structure changed between FY2024 and FY2025 - each year shown on its own contemporaneous basis; only Profit after tax and the two Total rows are directly comparable across all 5 years.</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row>
    <row r="4">
      <c r="A4" s="5" t="inlineStr">
        <is>
          <t>Income</t>
        </is>
      </c>
      <c r="B4" s="6" t="n"/>
      <c r="C4" s="6" t="n"/>
      <c r="D4" s="6" t="n"/>
      <c r="E4" s="6" t="n"/>
      <c r="F4" s="6" t="n"/>
    </row>
    <row r="5">
      <c r="A5" s="5" t="inlineStr">
        <is>
          <t>Profit after tax for the year</t>
        </is>
      </c>
      <c r="B5" s="5" t="n">
        <v>2191.1</v>
      </c>
      <c r="C5" s="5" t="n">
        <v>587.6</v>
      </c>
      <c r="D5" s="5" t="n">
        <v>4941.9</v>
      </c>
      <c r="E5" s="5" t="n">
        <v>6918.2</v>
      </c>
      <c r="F5" s="5" t="n">
        <v>5786.9</v>
      </c>
    </row>
    <row r="6">
      <c r="A6" s="5" t="inlineStr">
        <is>
          <t>Other comprehensive income - FY2022-FY2024 presentation</t>
        </is>
      </c>
      <c r="B6" s="6" t="n"/>
      <c r="C6" s="6" t="n"/>
      <c r="D6" s="6" t="n"/>
      <c r="E6" s="6" t="n"/>
      <c r="F6" s="6" t="n"/>
    </row>
    <row r="7">
      <c r="A7" s="6" t="inlineStr">
        <is>
          <t>FVOCI gains/(losses) arising during the year</t>
        </is>
      </c>
      <c r="B7" s="6" t="n"/>
      <c r="C7" s="6" t="n"/>
      <c r="D7" s="6" t="n">
        <v>197.3</v>
      </c>
      <c r="E7" s="6" t="n">
        <v>-65.59999999999999</v>
      </c>
      <c r="F7" s="6" t="n">
        <v>-1512.2</v>
      </c>
    </row>
    <row r="8">
      <c r="A8" s="6" t="inlineStr">
        <is>
          <t>Tax credit/(charge) relating to change in fair value</t>
        </is>
      </c>
      <c r="B8" s="6" t="n"/>
      <c r="C8" s="6" t="n"/>
      <c r="D8" s="6" t="n">
        <v>-49.3</v>
      </c>
      <c r="E8" s="6" t="n">
        <v>-7.5</v>
      </c>
      <c r="F8" s="6" t="n">
        <v>363.1</v>
      </c>
    </row>
    <row r="9">
      <c r="A9" s="6" t="inlineStr">
        <is>
          <t>Reclassification adjustment transferred to P&amp;L</t>
        </is>
      </c>
      <c r="B9" s="6" t="n"/>
      <c r="C9" s="6" t="n"/>
      <c r="D9" s="6" t="n">
        <v>-5.6</v>
      </c>
      <c r="E9" s="6" t="n">
        <v>327.9</v>
      </c>
      <c r="F9" s="6" t="n">
        <v>153</v>
      </c>
    </row>
    <row r="10">
      <c r="A10" s="5" t="inlineStr">
        <is>
          <t>Other comprehensive income - FY2025-FY2026 presentation</t>
        </is>
      </c>
      <c r="B10" s="6" t="n"/>
      <c r="C10" s="6" t="n"/>
      <c r="D10" s="6" t="n"/>
      <c r="E10" s="6" t="n"/>
      <c r="F10" s="6" t="n"/>
    </row>
    <row r="11">
      <c r="A11" s="6" t="inlineStr">
        <is>
          <t>Fair value gains/(losses) transferred to income statement on disposal</t>
        </is>
      </c>
      <c r="B11" s="6" t="n">
        <v>-457.3</v>
      </c>
      <c r="C11" s="6" t="n">
        <v>202.1</v>
      </c>
      <c r="D11" s="6" t="n"/>
      <c r="E11" s="6" t="n"/>
      <c r="F11" s="6" t="n"/>
    </row>
    <row r="12">
      <c r="A12" s="6" t="inlineStr">
        <is>
          <t>Fair value gains on Investment Securities - FVOCI</t>
        </is>
      </c>
      <c r="B12" s="6" t="n">
        <v>57.4</v>
      </c>
      <c r="C12" s="6" t="n">
        <v>210</v>
      </c>
      <c r="D12" s="6" t="n"/>
      <c r="E12" s="6" t="n"/>
      <c r="F12" s="6" t="n"/>
    </row>
    <row r="13">
      <c r="A13" s="6" t="inlineStr">
        <is>
          <t>Income tax on other comprehensive income items</t>
        </is>
      </c>
      <c r="B13" s="6" t="n">
        <v>100</v>
      </c>
      <c r="C13" s="6" t="n">
        <v>-101.9</v>
      </c>
      <c r="D13" s="6" t="n"/>
      <c r="E13" s="6" t="n"/>
      <c r="F13" s="6" t="n"/>
    </row>
    <row r="14">
      <c r="A14" s="5" t="inlineStr">
        <is>
          <t>Other comprehensive income for the year, net of tax</t>
        </is>
      </c>
      <c r="B14" s="5" t="n">
        <v>-299.9</v>
      </c>
      <c r="C14" s="5" t="n">
        <v>310.3</v>
      </c>
      <c r="D14" s="5" t="n">
        <v>142.4</v>
      </c>
      <c r="E14" s="5" t="n">
        <v>254.9</v>
      </c>
      <c r="F14" s="5" t="n">
        <v>-996.2</v>
      </c>
    </row>
    <row r="15">
      <c r="A15" s="5" t="inlineStr">
        <is>
          <t>Total comprehensive income for the year, net of tax</t>
        </is>
      </c>
      <c r="B15" s="5" t="n">
        <v>1891.2</v>
      </c>
      <c r="C15" s="5" t="n">
        <v>897.9</v>
      </c>
      <c r="D15" s="5" t="n">
        <v>5084.3</v>
      </c>
      <c r="E15" s="5" t="n">
        <v>7173.1</v>
      </c>
      <c r="F15" s="5" t="n">
        <v>4790.7</v>
      </c>
    </row>
    <row r="17" ht="340" customHeight="1">
      <c r="A17"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t>
        </is>
      </c>
    </row>
  </sheetData>
  <mergeCells count="1">
    <mergeCell ref="A17:F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5 years - the one bridging row (AR2025's own Note 28/Note 35 restatement) is a genuine, Bank-disclosed item, not an error.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2021 (FY2022 opening)</t>
        </is>
      </c>
      <c r="B4" s="5" t="n">
        <v>231683.8</v>
      </c>
      <c r="C4" s="5" t="n">
        <v>49.3</v>
      </c>
      <c r="D4" s="5" t="n">
        <v>-83800.39999999999</v>
      </c>
      <c r="E4" s="5" t="n">
        <v>147932.7</v>
      </c>
    </row>
    <row r="5">
      <c r="A5" s="6" t="inlineStr">
        <is>
          <t>Profit for the year</t>
        </is>
      </c>
      <c r="B5" s="6" t="n"/>
      <c r="C5" s="6" t="n"/>
      <c r="D5" s="6" t="n">
        <v>5786.9</v>
      </c>
      <c r="E5" s="6" t="n">
        <v>5786.9</v>
      </c>
    </row>
    <row r="6">
      <c r="A6" s="6" t="inlineStr">
        <is>
          <t>Net change in fair value of Investment Securities - FVOCI</t>
        </is>
      </c>
      <c r="B6" s="6" t="n"/>
      <c r="C6" s="6" t="n">
        <v>-1149.2</v>
      </c>
      <c r="D6" s="6" t="n"/>
      <c r="E6" s="6" t="n">
        <v>-1149.2</v>
      </c>
    </row>
    <row r="7">
      <c r="A7" s="6" t="inlineStr">
        <is>
          <t>Net amount transferred to Profit &amp; Loss</t>
        </is>
      </c>
      <c r="B7" s="6" t="n"/>
      <c r="C7" s="6" t="n">
        <v>153</v>
      </c>
      <c r="D7" s="6" t="n"/>
      <c r="E7" s="6" t="n">
        <v>153</v>
      </c>
    </row>
    <row r="8">
      <c r="A8" s="6" t="inlineStr">
        <is>
          <t>Dividend on additional Tier 1 capital</t>
        </is>
      </c>
      <c r="B8" s="6" t="n"/>
      <c r="C8" s="6" t="n"/>
      <c r="D8" s="6" t="n">
        <v>-1732.5</v>
      </c>
      <c r="E8" s="6" t="n">
        <v>-1732.5</v>
      </c>
    </row>
    <row r="9">
      <c r="A9" s="6" t="inlineStr">
        <is>
          <t>GBP translation adjustment (this workbook's conversion line)</t>
        </is>
      </c>
      <c r="B9" s="6" t="n">
        <v>11160</v>
      </c>
      <c r="C9" s="6" t="n">
        <v>-35.5</v>
      </c>
      <c r="D9" s="6" t="n">
        <v>-3882.6</v>
      </c>
      <c r="E9" s="6" t="n">
        <v>7241.9</v>
      </c>
    </row>
    <row r="10">
      <c r="A10" s="5" t="inlineStr">
        <is>
          <t>Balance at 31 March 2022 (FY2022 closing)</t>
        </is>
      </c>
      <c r="B10" s="5" t="n">
        <v>242843.8</v>
      </c>
      <c r="C10" s="5" t="n">
        <v>-982.4</v>
      </c>
      <c r="D10" s="5" t="n">
        <v>-83628.60000000001</v>
      </c>
      <c r="E10" s="5" t="n">
        <v>158232.8</v>
      </c>
    </row>
    <row r="11">
      <c r="A11" s="6" t="inlineStr">
        <is>
          <t>Profit for the year</t>
        </is>
      </c>
      <c r="B11" s="6" t="n"/>
      <c r="C11" s="6" t="n"/>
      <c r="D11" s="6" t="n">
        <v>6918.2</v>
      </c>
      <c r="E11" s="6" t="n">
        <v>6918.2</v>
      </c>
    </row>
    <row r="12">
      <c r="A12" s="6" t="inlineStr">
        <is>
          <t>Net change in fair value of Investment Securities - FVOCI</t>
        </is>
      </c>
      <c r="B12" s="6" t="n"/>
      <c r="C12" s="6" t="n">
        <v>-73.09999999999999</v>
      </c>
      <c r="D12" s="6" t="n"/>
      <c r="E12" s="6" t="n">
        <v>-73.09999999999999</v>
      </c>
    </row>
    <row r="13">
      <c r="A13" s="6" t="inlineStr">
        <is>
          <t>Net amount transferred to Profit &amp; Loss</t>
        </is>
      </c>
      <c r="B13" s="6" t="n"/>
      <c r="C13" s="6" t="n">
        <v>327.9</v>
      </c>
      <c r="D13" s="6" t="n"/>
      <c r="E13" s="6" t="n">
        <v>327.9</v>
      </c>
    </row>
    <row r="14">
      <c r="A14" s="6" t="inlineStr">
        <is>
          <t>Dividend on additional Tier 1 capital</t>
        </is>
      </c>
      <c r="B14" s="6" t="n"/>
      <c r="C14" s="6" t="n"/>
      <c r="D14" s="6" t="n">
        <v>-2970.5</v>
      </c>
      <c r="E14" s="6" t="n">
        <v>-2970.5</v>
      </c>
    </row>
    <row r="15">
      <c r="A15" s="6" t="inlineStr">
        <is>
          <t>GBP translation adjustment (this workbook's conversion line)</t>
        </is>
      </c>
      <c r="B15" s="6" t="n">
        <v>15673.7</v>
      </c>
      <c r="C15" s="6" t="n">
        <v>-69.90000000000001</v>
      </c>
      <c r="D15" s="6" t="n">
        <v>-5499.5</v>
      </c>
      <c r="E15" s="6" t="n">
        <v>10104.3</v>
      </c>
    </row>
    <row r="16">
      <c r="A16" s="5" t="inlineStr">
        <is>
          <t>Balance at 31 March 2023 (FY2023 closing)</t>
        </is>
      </c>
      <c r="B16" s="5" t="n">
        <v>258517.5</v>
      </c>
      <c r="C16" s="5" t="n">
        <v>-797.5</v>
      </c>
      <c r="D16" s="5" t="n">
        <v>-85180.39999999999</v>
      </c>
      <c r="E16" s="5" t="n">
        <v>172539.6</v>
      </c>
    </row>
    <row r="17">
      <c r="A17" s="6" t="inlineStr">
        <is>
          <t>Profit for the year</t>
        </is>
      </c>
      <c r="B17" s="6" t="n"/>
      <c r="C17" s="6" t="n"/>
      <c r="D17" s="6" t="n">
        <v>4941.9</v>
      </c>
      <c r="E17" s="6" t="n">
        <v>4941.9</v>
      </c>
    </row>
    <row r="18">
      <c r="A18" s="6" t="inlineStr">
        <is>
          <t>Net change in fair value of Investment Securities - FVOCI</t>
        </is>
      </c>
      <c r="B18" s="6" t="n"/>
      <c r="C18" s="6" t="n">
        <v>148</v>
      </c>
      <c r="D18" s="6" t="n"/>
      <c r="E18" s="6" t="n">
        <v>148</v>
      </c>
    </row>
    <row r="19">
      <c r="A19" s="6" t="inlineStr">
        <is>
          <t>Net amount transferred to Profit &amp; Loss</t>
        </is>
      </c>
      <c r="B19" s="6" t="n"/>
      <c r="C19" s="6" t="n">
        <v>-5.6</v>
      </c>
      <c r="D19" s="6" t="n"/>
      <c r="E19" s="6" t="n">
        <v>-5.6</v>
      </c>
    </row>
    <row r="20">
      <c r="A20" s="6" t="inlineStr">
        <is>
          <t>Dividend on additional Tier 1 capital</t>
        </is>
      </c>
      <c r="B20" s="6" t="n"/>
      <c r="C20" s="6" t="n"/>
      <c r="D20" s="6" t="n">
        <v>-3846.3</v>
      </c>
      <c r="E20" s="6" t="n">
        <v>-3846.3</v>
      </c>
    </row>
    <row r="21">
      <c r="A21" s="6" t="inlineStr">
        <is>
          <t>GBP translation adjustment (this workbook's conversion line)</t>
        </is>
      </c>
      <c r="B21" s="6" t="n">
        <v>-5484.7</v>
      </c>
      <c r="C21" s="6" t="n">
        <v>16.2</v>
      </c>
      <c r="D21" s="6" t="n">
        <v>1801.7</v>
      </c>
      <c r="E21" s="6" t="n">
        <v>-3666.8</v>
      </c>
    </row>
    <row r="22">
      <c r="A22" s="5" t="inlineStr">
        <is>
          <t>Balance at 31 March 2024, as originally published in AR2024 (FY2024 closing)</t>
        </is>
      </c>
      <c r="B22" s="5" t="n">
        <v>253032.8</v>
      </c>
      <c r="C22" s="5" t="n">
        <v>-638.9</v>
      </c>
      <c r="D22" s="5" t="n">
        <v>-82283.10000000001</v>
      </c>
      <c r="E22" s="5" t="n">
        <v>170110.8</v>
      </c>
    </row>
    <row r="23">
      <c r="A23" s="6" t="inlineStr">
        <is>
          <t>Restatement adjustment (AR2025's own Note 28/Note 35 fair value reserve/deferred tax correction, disclosed as not material)</t>
        </is>
      </c>
      <c r="B23" s="6" t="n">
        <v>0</v>
      </c>
      <c r="C23" s="6" t="n">
        <v>549</v>
      </c>
      <c r="D23" s="6" t="n">
        <v>-734.4</v>
      </c>
      <c r="E23" s="6" t="n">
        <v>-185.4</v>
      </c>
    </row>
    <row r="24">
      <c r="A24" s="5" t="inlineStr">
        <is>
          <t>Balance at 1 April 2024, as restated in AR2025 (FY2025 opening)</t>
        </is>
      </c>
      <c r="B24" s="5" t="n">
        <v>253032.8</v>
      </c>
      <c r="C24" s="5" t="n">
        <v>-92.59999999999999</v>
      </c>
      <c r="D24" s="5" t="n">
        <v>-83013.8</v>
      </c>
      <c r="E24" s="5" t="n">
        <v>169926.4</v>
      </c>
    </row>
    <row r="25">
      <c r="A25" s="6" t="inlineStr">
        <is>
          <t>Profit for the year</t>
        </is>
      </c>
      <c r="B25" s="6" t="n"/>
      <c r="C25" s="6" t="n"/>
      <c r="D25" s="6" t="n">
        <v>587.6</v>
      </c>
      <c r="E25" s="6" t="n">
        <v>587.6</v>
      </c>
    </row>
    <row r="26">
      <c r="A26" s="6" t="inlineStr">
        <is>
          <t>Fair value gains/(losses) transferred to income statement on disposal</t>
        </is>
      </c>
      <c r="B26" s="6" t="n"/>
      <c r="C26" s="6" t="n">
        <v>202.1</v>
      </c>
      <c r="D26" s="6" t="n"/>
      <c r="E26" s="6" t="n">
        <v>202.1</v>
      </c>
    </row>
    <row r="27">
      <c r="A27" s="6" t="inlineStr">
        <is>
          <t>Fair value gains on Investment Securities - FVOCI (net of tax)</t>
        </is>
      </c>
      <c r="B27" s="6" t="n"/>
      <c r="C27" s="6" t="n">
        <v>108.1</v>
      </c>
      <c r="D27" s="6" t="n"/>
      <c r="E27" s="6" t="n">
        <v>108.1</v>
      </c>
    </row>
    <row r="28">
      <c r="A28" s="6" t="inlineStr">
        <is>
          <t>Dividend on additional Tier 1 capital</t>
        </is>
      </c>
      <c r="B28" s="6" t="n"/>
      <c r="C28" s="6" t="n"/>
      <c r="D28" s="6" t="n">
        <v>-3632.4</v>
      </c>
      <c r="E28" s="6" t="n">
        <v>-3632.4</v>
      </c>
    </row>
    <row r="29">
      <c r="A29" s="6" t="inlineStr">
        <is>
          <t>GBP translation adjustment (this workbook's conversion line)</t>
        </is>
      </c>
      <c r="B29" s="6" t="n">
        <v>-5448.8</v>
      </c>
      <c r="C29" s="6" t="n">
        <v>-1.5</v>
      </c>
      <c r="D29" s="6" t="n">
        <v>1822.3</v>
      </c>
      <c r="E29" s="6" t="n">
        <v>-3627.9</v>
      </c>
    </row>
    <row r="30">
      <c r="A30" s="5" t="inlineStr">
        <is>
          <t>Balance at 31 March 2025 (FY2025 closing)</t>
        </is>
      </c>
      <c r="B30" s="5" t="n">
        <v>247584</v>
      </c>
      <c r="C30" s="5" t="n">
        <v>216.1</v>
      </c>
      <c r="D30" s="5" t="n">
        <v>-84236.3</v>
      </c>
      <c r="E30" s="5" t="n">
        <v>163563.9</v>
      </c>
    </row>
    <row r="31">
      <c r="A31" s="6" t="inlineStr">
        <is>
          <t>Profit for the year</t>
        </is>
      </c>
      <c r="B31" s="6" t="n"/>
      <c r="C31" s="6" t="n"/>
      <c r="D31" s="6" t="n">
        <v>2191.1</v>
      </c>
      <c r="E31" s="6" t="n">
        <v>2191.1</v>
      </c>
    </row>
    <row r="32">
      <c r="A32" s="6" t="inlineStr">
        <is>
          <t>Fair value gains/(losses) transferred to income statement on disposal</t>
        </is>
      </c>
      <c r="B32" s="6" t="n"/>
      <c r="C32" s="6" t="n">
        <v>-457.3</v>
      </c>
      <c r="D32" s="6" t="n"/>
      <c r="E32" s="6" t="n">
        <v>-457.3</v>
      </c>
    </row>
    <row r="33">
      <c r="A33" s="6" t="inlineStr">
        <is>
          <t>Fair value gains on Investment Securities - FVOCI (net of tax)</t>
        </is>
      </c>
      <c r="B33" s="6" t="n"/>
      <c r="C33" s="6" t="n">
        <v>157.4</v>
      </c>
      <c r="D33" s="6" t="n"/>
      <c r="E33" s="6" t="n">
        <v>157.4</v>
      </c>
    </row>
    <row r="34">
      <c r="A34" s="6" t="inlineStr">
        <is>
          <t>Dividend on additional Tier 1 capital</t>
        </is>
      </c>
      <c r="B34" s="6" t="n"/>
      <c r="C34" s="6" t="n"/>
      <c r="D34" s="6" t="n">
        <v>-3223.7</v>
      </c>
      <c r="E34" s="6" t="n">
        <v>-3223.7</v>
      </c>
    </row>
    <row r="35">
      <c r="A35" s="6" t="inlineStr">
        <is>
          <t>GBP translation adjustment (this workbook's conversion line)</t>
        </is>
      </c>
      <c r="B35" s="6" t="n">
        <v>-5219</v>
      </c>
      <c r="C35" s="6" t="n">
        <v>-9.5</v>
      </c>
      <c r="D35" s="6" t="n">
        <v>1758.9</v>
      </c>
      <c r="E35" s="6" t="n">
        <v>-3469.6</v>
      </c>
    </row>
    <row r="36">
      <c r="A36" s="5" t="inlineStr">
        <is>
          <t>Balance at 31 March 2026 (FY2026 closing)</t>
        </is>
      </c>
      <c r="B36" s="5" t="n">
        <v>242365</v>
      </c>
      <c r="C36" s="5" t="n">
        <v>-93.3</v>
      </c>
      <c r="D36" s="5" t="n">
        <v>-83510</v>
      </c>
      <c r="E36" s="5" t="n">
        <v>158761.8</v>
      </c>
    </row>
    <row r="38" ht="2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t>
        </is>
      </c>
    </row>
  </sheetData>
  <mergeCells count="1">
    <mergeCell ref="A38:E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row>
    <row r="4">
      <c r="A4" s="5" t="inlineStr">
        <is>
          <t>Operating activities</t>
        </is>
      </c>
      <c r="B4" s="6" t="n"/>
      <c r="C4" s="6" t="n"/>
      <c r="D4" s="6" t="n"/>
      <c r="E4" s="6" t="n"/>
      <c r="F4" s="6" t="n"/>
    </row>
    <row r="5">
      <c r="A5" s="5" t="inlineStr">
        <is>
          <t>Net cash (used in)/generated from operating activities</t>
        </is>
      </c>
      <c r="B5" s="5" t="n">
        <v>47658.9</v>
      </c>
      <c r="C5" s="5" t="n">
        <v>2756.4</v>
      </c>
      <c r="D5" s="5" t="n">
        <v>-23233.6</v>
      </c>
      <c r="E5" s="5" t="n">
        <v>6421.8</v>
      </c>
      <c r="F5" s="5" t="n">
        <v>-15142</v>
      </c>
    </row>
    <row r="6">
      <c r="A6" s="5" t="inlineStr">
        <is>
          <t>Investing activities</t>
        </is>
      </c>
      <c r="B6" s="6" t="n"/>
      <c r="C6" s="6" t="n"/>
      <c r="D6" s="6" t="n"/>
      <c r="E6" s="6" t="n"/>
      <c r="F6" s="6" t="n"/>
    </row>
    <row r="7">
      <c r="A7" s="5" t="inlineStr">
        <is>
          <t>Net cash (used in)/generated from investing activities</t>
        </is>
      </c>
      <c r="B7" s="5" t="n">
        <v>-21032.5</v>
      </c>
      <c r="C7" s="5" t="n">
        <v>-5553.6</v>
      </c>
      <c r="D7" s="5" t="n">
        <v>17663.1</v>
      </c>
      <c r="E7" s="5" t="n">
        <v>-7652.1</v>
      </c>
      <c r="F7" s="5" t="n">
        <v>-35215.9</v>
      </c>
    </row>
    <row r="8">
      <c r="A8" s="5" t="inlineStr">
        <is>
          <t>Financing activities</t>
        </is>
      </c>
      <c r="B8" s="6" t="n"/>
      <c r="C8" s="6" t="n"/>
      <c r="D8" s="6" t="n"/>
      <c r="E8" s="6" t="n"/>
      <c r="F8" s="6" t="n"/>
    </row>
    <row r="9">
      <c r="A9" s="5" t="inlineStr">
        <is>
          <t>Net cash used in financing activities</t>
        </is>
      </c>
      <c r="B9" s="5" t="n">
        <v>-11482.4</v>
      </c>
      <c r="C9" s="5" t="n">
        <v>-12292.6</v>
      </c>
      <c r="D9" s="5" t="n">
        <v>-4430.3</v>
      </c>
      <c r="E9" s="5" t="n">
        <v>-3730.2</v>
      </c>
      <c r="F9" s="5" t="n">
        <v>-2419.1</v>
      </c>
    </row>
    <row r="10">
      <c r="A10" s="5" t="inlineStr">
        <is>
          <t>Net increase/(decrease) in cash and cash equivalents</t>
        </is>
      </c>
      <c r="B10" s="5" t="n">
        <v>17285.1</v>
      </c>
      <c r="C10" s="5" t="n">
        <v>-13538.4</v>
      </c>
      <c r="D10" s="5" t="n">
        <v>-8584.5</v>
      </c>
      <c r="E10" s="5" t="n">
        <v>-4960.6</v>
      </c>
      <c r="F10" s="5" t="n">
        <v>-52777</v>
      </c>
    </row>
    <row r="11">
      <c r="A11" s="6" t="inlineStr">
        <is>
          <t>Effects of exchange rate on cash and cash equivalents (Bank's own line)</t>
        </is>
      </c>
      <c r="B11" s="6" t="n">
        <v>2141.2</v>
      </c>
      <c r="C11" s="6" t="n">
        <v>1551.4</v>
      </c>
      <c r="D11" s="6" t="n">
        <v>1416.3</v>
      </c>
      <c r="E11" s="6" t="n">
        <v>828.6</v>
      </c>
      <c r="F11" s="6" t="n">
        <v>426</v>
      </c>
    </row>
    <row r="12">
      <c r="A12" s="6" t="inlineStr">
        <is>
          <t>Effect of GBP/USD translation (this workbook's conversion line)</t>
        </is>
      </c>
      <c r="B12" s="6" t="n">
        <v>-3764.4</v>
      </c>
      <c r="C12" s="6" t="n">
        <v>-3682</v>
      </c>
      <c r="D12" s="6" t="n">
        <v>-3857.9</v>
      </c>
      <c r="E12" s="6" t="n">
        <v>7452.2</v>
      </c>
      <c r="F12" s="6" t="n">
        <v>5738.7</v>
      </c>
    </row>
    <row r="13">
      <c r="A13" s="6" t="inlineStr">
        <is>
          <t>Cash and cash equivalents at beginning of year</t>
        </is>
      </c>
      <c r="B13" s="6" t="n">
        <v>90436.10000000001</v>
      </c>
      <c r="C13" s="6" t="n">
        <v>106105.1</v>
      </c>
      <c r="D13" s="6" t="n">
        <v>117131.2</v>
      </c>
      <c r="E13" s="6" t="n">
        <v>113811</v>
      </c>
      <c r="F13" s="6" t="n">
        <v>160423.3</v>
      </c>
    </row>
    <row r="14">
      <c r="A14" s="5" t="inlineStr">
        <is>
          <t>Cash and cash equivalents at end of year</t>
        </is>
      </c>
      <c r="B14" s="5" t="n">
        <v>106098</v>
      </c>
      <c r="C14" s="5" t="n">
        <v>90436.10000000001</v>
      </c>
      <c r="D14" s="5" t="n">
        <v>106105.1</v>
      </c>
      <c r="E14" s="5" t="n">
        <v>117131.2</v>
      </c>
      <c r="F14" s="5" t="n">
        <v>113811</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FY2021 comparative is not needed for this five-year window - https://www.pnbint.com/PNBIL/pdf/Financial_Reports/AnnualReport20220331.pdf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Asset Quality</t>
        </is>
      </c>
    </row>
    <row r="2">
      <c r="A2" s="2" t="inlineStr">
        <is>
          <t>Entity-level. IFRS 9 stage 1/2/3 split for Loans and advances to banks/customers and Investment securities at amortised cost combined (the Bank's own 'loans &amp; advances at amortised cost by product' note table).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row>
    <row r="4">
      <c r="A4" s="5" t="inlineStr">
        <is>
          <t>Gross carrying amount, by IFRS 9 stage (loans, banks, and investment securities at amortised cost)</t>
        </is>
      </c>
      <c r="B4" s="6" t="n"/>
      <c r="C4" s="6" t="n"/>
      <c r="D4" s="6" t="n"/>
      <c r="E4" s="6" t="n"/>
      <c r="F4" s="6" t="n"/>
    </row>
    <row r="5">
      <c r="A5" s="6" t="inlineStr">
        <is>
          <t>Stage 1 gross carrying amount</t>
        </is>
      </c>
      <c r="B5" s="6" t="n">
        <v>829359.3</v>
      </c>
      <c r="C5" s="6" t="n">
        <v>684299.8</v>
      </c>
      <c r="D5" s="6" t="n">
        <v>568755.5</v>
      </c>
      <c r="E5" s="6" t="n">
        <v>636222.1</v>
      </c>
      <c r="F5" s="6" t="n">
        <v>549842</v>
      </c>
    </row>
    <row r="6">
      <c r="A6" s="6" t="inlineStr">
        <is>
          <t>Stage 2 gross carrying amount</t>
        </is>
      </c>
      <c r="B6" s="6" t="n">
        <v>47424.2</v>
      </c>
      <c r="C6" s="6" t="n">
        <v>30543</v>
      </c>
      <c r="D6" s="6" t="n">
        <v>27306</v>
      </c>
      <c r="E6" s="6" t="n">
        <v>292.8</v>
      </c>
      <c r="F6" s="6" t="n">
        <v>30828.9</v>
      </c>
    </row>
    <row r="7">
      <c r="A7" s="6" t="inlineStr">
        <is>
          <t>Stage 3 gross carrying amount</t>
        </is>
      </c>
      <c r="B7" s="6" t="n">
        <v>72688.8</v>
      </c>
      <c r="C7" s="6" t="n">
        <v>100084.4</v>
      </c>
      <c r="D7" s="6" t="n">
        <v>202284.7</v>
      </c>
      <c r="E7" s="6" t="n">
        <v>229874.6</v>
      </c>
      <c r="F7" s="6" t="n">
        <v>234673.3</v>
      </c>
    </row>
    <row r="8">
      <c r="A8" s="5" t="inlineStr">
        <is>
          <t>Total gross carrying amount</t>
        </is>
      </c>
      <c r="B8" s="5" t="n">
        <v>949472.2</v>
      </c>
      <c r="C8" s="5" t="n">
        <v>814152.6</v>
      </c>
      <c r="D8" s="5" t="n">
        <v>798346.3</v>
      </c>
      <c r="E8" s="5" t="n">
        <v>866389.5</v>
      </c>
      <c r="F8" s="5" t="n">
        <v>815344.2</v>
      </c>
    </row>
    <row r="9">
      <c r="A9" s="5" t="inlineStr">
        <is>
          <t>Impairment allowance, by IFRS 9 stage</t>
        </is>
      </c>
      <c r="B9" s="6" t="n"/>
      <c r="C9" s="6" t="n"/>
      <c r="D9" s="6" t="n"/>
      <c r="E9" s="6" t="n"/>
      <c r="F9" s="6" t="n"/>
    </row>
    <row r="10">
      <c r="A10" s="6" t="inlineStr">
        <is>
          <t>Stage 1 impairment allowance</t>
        </is>
      </c>
      <c r="B10" s="6" t="n">
        <v>505.8</v>
      </c>
      <c r="C10" s="6" t="n">
        <v>403.6</v>
      </c>
      <c r="D10" s="6" t="n">
        <v>400.6</v>
      </c>
      <c r="E10" s="6" t="n">
        <v>2481.4</v>
      </c>
      <c r="F10" s="6" t="n">
        <v>1327.3</v>
      </c>
    </row>
    <row r="11">
      <c r="A11" s="6" t="inlineStr">
        <is>
          <t>Stage 2 impairment allowance</t>
        </is>
      </c>
      <c r="B11" s="6" t="n">
        <v>15.2</v>
      </c>
      <c r="C11" s="6" t="n">
        <v>7.7</v>
      </c>
      <c r="D11" s="6" t="n">
        <v>1.6</v>
      </c>
      <c r="E11" s="6" t="n">
        <v>0.8</v>
      </c>
      <c r="F11" s="6" t="n">
        <v>111.7</v>
      </c>
    </row>
    <row r="12">
      <c r="A12" s="6" t="inlineStr">
        <is>
          <t>Stage 3 impairment allowance</t>
        </is>
      </c>
      <c r="B12" s="6" t="n">
        <v>42209.6</v>
      </c>
      <c r="C12" s="6" t="n">
        <v>54424.5</v>
      </c>
      <c r="D12" s="6" t="n">
        <v>126846.9</v>
      </c>
      <c r="E12" s="6" t="n">
        <v>143126</v>
      </c>
      <c r="F12" s="6" t="n">
        <v>146892.6</v>
      </c>
    </row>
    <row r="13">
      <c r="A13" s="5" t="inlineStr">
        <is>
          <t>Total impairment allowance</t>
        </is>
      </c>
      <c r="B13" s="5" t="n">
        <v>42730.5</v>
      </c>
      <c r="C13" s="5" t="n">
        <v>54835.8</v>
      </c>
      <c r="D13" s="5" t="n">
        <v>127249.1</v>
      </c>
      <c r="E13" s="5" t="n">
        <v>145608.2</v>
      </c>
      <c r="F13" s="5" t="n">
        <v>148331.6</v>
      </c>
    </row>
    <row r="14">
      <c r="A14" s="5" t="inlineStr">
        <is>
          <t>Net carrying amount, by IFRS 9 stage</t>
        </is>
      </c>
      <c r="B14" s="6" t="n"/>
      <c r="C14" s="6" t="n"/>
      <c r="D14" s="6" t="n"/>
      <c r="E14" s="6" t="n"/>
      <c r="F14" s="6" t="n"/>
    </row>
    <row r="15">
      <c r="A15" s="6" t="inlineStr">
        <is>
          <t>Stage 1 net carrying amount</t>
        </is>
      </c>
      <c r="B15" s="6" t="n">
        <v>828853.5</v>
      </c>
      <c r="C15" s="6" t="n">
        <v>683897</v>
      </c>
      <c r="D15" s="6" t="n">
        <v>568355.8</v>
      </c>
      <c r="E15" s="6" t="n">
        <v>633740.7</v>
      </c>
      <c r="F15" s="6" t="n">
        <v>548514.7</v>
      </c>
    </row>
    <row r="16">
      <c r="A16" s="6" t="inlineStr">
        <is>
          <t>Stage 2 net carrying amount</t>
        </is>
      </c>
      <c r="B16" s="6" t="n">
        <v>47409</v>
      </c>
      <c r="C16" s="6" t="n">
        <v>30536</v>
      </c>
      <c r="D16" s="6" t="n">
        <v>27304.5</v>
      </c>
      <c r="E16" s="6" t="n">
        <v>292</v>
      </c>
      <c r="F16" s="6" t="n">
        <v>30717.2</v>
      </c>
    </row>
    <row r="17">
      <c r="A17" s="6" t="inlineStr">
        <is>
          <t>Stage 3 net carrying amount</t>
        </is>
      </c>
      <c r="B17" s="6" t="n">
        <v>30479.2</v>
      </c>
      <c r="C17" s="6" t="n">
        <v>45660</v>
      </c>
      <c r="D17" s="6" t="n">
        <v>75437.8</v>
      </c>
      <c r="E17" s="6" t="n">
        <v>86748.60000000001</v>
      </c>
      <c r="F17" s="6" t="n">
        <v>87780.7</v>
      </c>
    </row>
    <row r="18">
      <c r="A18" s="5" t="inlineStr">
        <is>
          <t>Total net carrying amount</t>
        </is>
      </c>
      <c r="B18" s="5" t="n">
        <v>906741.7</v>
      </c>
      <c r="C18" s="5" t="n">
        <v>760093</v>
      </c>
      <c r="D18" s="5" t="n">
        <v>671098</v>
      </c>
      <c r="E18" s="5" t="n">
        <v>720781.3</v>
      </c>
      <c r="F18" s="5" t="n">
        <v>667012.6</v>
      </c>
    </row>
    <row r="19">
      <c r="A19" s="5" t="inlineStr">
        <is>
          <t>Asset quality ratios (derived)</t>
        </is>
      </c>
      <c r="B19" s="6" t="n"/>
      <c r="C19" s="6" t="n"/>
      <c r="D19" s="6" t="n"/>
      <c r="E19" s="6" t="n"/>
      <c r="F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row>
    <row r="23" ht="280" customHeight="1">
      <c r="A23"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A large, steadily-declining Stage 3 book is genuinely disclosed every year (28.79% of gross exposure in FY2022, down to 7.66% by FY2026) - not a transcription artefact; the Bank's own Annual Reports discuss legacy non-performing exposures being worked down over this period.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capital</t>
        </is>
      </c>
      <c r="B4" s="6" t="n">
        <v>104.8</v>
      </c>
      <c r="C4" s="6" t="n">
        <v>109.1</v>
      </c>
      <c r="D4" s="6" t="n">
        <v>114.1</v>
      </c>
      <c r="E4" s="6" t="n">
        <v>115.7</v>
      </c>
      <c r="F4" s="6" t="n">
        <v>104.8</v>
      </c>
    </row>
    <row r="5" ht="60" customHeight="1">
      <c r="A5" s="7" t="inlineStr">
        <is>
          <t>Note: Directly disclosed in the annual Pillar 3 UK KM1 table;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15.4%</t>
        </is>
      </c>
      <c r="C4" s="6" t="inlineStr">
        <is>
          <t>20.2%</t>
        </is>
      </c>
      <c r="D4" s="6" t="inlineStr">
        <is>
          <t>20.6%</t>
        </is>
      </c>
      <c r="E4" s="6" t="inlineStr">
        <is>
          <t>19.6%</t>
        </is>
      </c>
      <c r="F4" s="6" t="inlineStr">
        <is>
          <t>17.2%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138.9</v>
      </c>
      <c r="C4" s="6" t="n">
        <v>143.9</v>
      </c>
      <c r="D4" s="6" t="n">
        <v>149.7</v>
      </c>
      <c r="E4" s="6" t="n">
        <v>152.1</v>
      </c>
      <c r="F4" s="6" t="n">
        <v>139</v>
      </c>
    </row>
    <row r="5" ht="60" customHeight="1">
      <c r="A5" s="7" t="inlineStr">
        <is>
          <t>Note: Directly disclosed in the annual Pillar 3 UK KM1 table;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20.5%</t>
        </is>
      </c>
      <c r="C4" s="6" t="inlineStr">
        <is>
          <t>26.7%</t>
        </is>
      </c>
      <c r="D4" s="6" t="inlineStr">
        <is>
          <t>27.0%</t>
        </is>
      </c>
      <c r="E4" s="6" t="inlineStr">
        <is>
          <t>25.8%</t>
        </is>
      </c>
      <c r="F4" s="6" t="inlineStr">
        <is>
          <t>22.8%</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159.9</v>
      </c>
      <c r="C4" s="6" t="n">
        <v>167.4</v>
      </c>
      <c r="D4" s="6" t="n">
        <v>176.6</v>
      </c>
      <c r="E4" s="6" t="n">
        <v>183.1</v>
      </c>
      <c r="F4" s="6" t="n">
        <v>162.5</v>
      </c>
    </row>
    <row r="5" ht="60" customHeight="1">
      <c r="A5" s="7" t="inlineStr">
        <is>
          <t>Note: Directly disclosed in the annual Pillar 3 UK KM1 table;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23.6%</t>
        </is>
      </c>
      <c r="C4" s="6" t="inlineStr">
        <is>
          <t>31.0%</t>
        </is>
      </c>
      <c r="D4" s="6" t="inlineStr">
        <is>
          <t>31.8%</t>
        </is>
      </c>
      <c r="E4" s="6" t="inlineStr">
        <is>
          <t>31.0%</t>
        </is>
      </c>
      <c r="F4" s="6" t="inlineStr">
        <is>
          <t>26.7%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exposure amount</t>
        </is>
      </c>
      <c r="B4" s="6" t="n">
        <v>678.6</v>
      </c>
      <c r="C4" s="6" t="n">
        <v>540</v>
      </c>
      <c r="D4" s="6" t="n">
        <v>554.9</v>
      </c>
      <c r="E4" s="6" t="n">
        <v>590.5</v>
      </c>
      <c r="F4" s="6" t="n">
        <v>609.8</v>
      </c>
    </row>
    <row r="5" ht="60" customHeight="1">
      <c r="A5" s="7" t="inlineStr">
        <is>
          <t>Note: Directly disclosed total risk-weighted exposure amount in the annual Pillar 3 UK KM1 table;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RWA Breakdown</t>
        </is>
      </c>
    </row>
    <row r="2">
      <c r="A2" s="2" t="inlineStr">
        <is>
          <t>Entity-level, solo basis. £m converted from the Bank's native US$ million presentation.</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row>
    <row r="4">
      <c r="A4" s="6" t="inlineStr">
        <is>
          <t>Credit risk (excluding CCR)</t>
        </is>
      </c>
      <c r="B4" s="6" t="n">
        <v>616.5</v>
      </c>
      <c r="C4" s="6" t="n">
        <v>473.5</v>
      </c>
      <c r="D4" s="6" t="n">
        <v>497.9</v>
      </c>
      <c r="E4" s="6" t="n">
        <v>539.2</v>
      </c>
      <c r="F4" s="6" t="n">
        <v>567.8</v>
      </c>
    </row>
    <row r="5">
      <c r="A5" s="6" t="inlineStr">
        <is>
          <t>Counterparty credit risk (CCR, incl. CVA)</t>
        </is>
      </c>
      <c r="B5" s="6" t="n">
        <v>4.9</v>
      </c>
      <c r="C5" s="6" t="n">
        <v>11.2</v>
      </c>
      <c r="D5" s="6" t="n">
        <v>0.2</v>
      </c>
      <c r="E5" s="6" t="n">
        <v>0.2</v>
      </c>
      <c r="F5" s="6" t="n">
        <v>1.4</v>
      </c>
    </row>
    <row r="6">
      <c r="A6" s="6" t="inlineStr">
        <is>
          <t>Market risk</t>
        </is>
      </c>
      <c r="B6" s="6" t="n">
        <v>6.4</v>
      </c>
      <c r="C6" s="6" t="n">
        <v>6</v>
      </c>
      <c r="D6" s="6" t="n">
        <v>9.199999999999999</v>
      </c>
      <c r="E6" s="6" t="n">
        <v>9.1</v>
      </c>
      <c r="F6" s="6" t="n">
        <v>7.8</v>
      </c>
    </row>
    <row r="7">
      <c r="A7" s="6" t="inlineStr">
        <is>
          <t>Operational risk</t>
        </is>
      </c>
      <c r="B7" s="6" t="n">
        <v>50.7</v>
      </c>
      <c r="C7" s="6" t="n">
        <v>49.1</v>
      </c>
      <c r="D7" s="6" t="n">
        <v>47.5</v>
      </c>
      <c r="E7" s="6" t="n">
        <v>41.9</v>
      </c>
      <c r="F7" s="6" t="n">
        <v>32.5</v>
      </c>
    </row>
    <row r="8">
      <c r="A8" s="5" t="inlineStr">
        <is>
          <t>Total risk-weighted exposure amount</t>
        </is>
      </c>
      <c r="B8" s="5" t="n">
        <v>678.5</v>
      </c>
      <c r="C8" s="5" t="n">
        <v>540</v>
      </c>
      <c r="D8" s="5" t="n">
        <v>554.9</v>
      </c>
      <c r="E8" s="5" t="n">
        <v>590.5</v>
      </c>
      <c r="F8" s="5" t="n">
        <v>609.8</v>
      </c>
    </row>
    <row r="10" ht="26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excluding claims on central banks</t>
        </is>
      </c>
      <c r="B4" s="6" t="inlineStr">
        <is>
          <t>13.6%</t>
        </is>
      </c>
      <c r="C4" s="6" t="inlineStr">
        <is>
          <t>16.7%</t>
        </is>
      </c>
      <c r="D4" s="6" t="inlineStr">
        <is>
          <t>19.1%</t>
        </is>
      </c>
      <c r="E4" s="6" t="inlineStr">
        <is>
          <t>19.9%</t>
        </is>
      </c>
      <c r="F4" s="6" t="inlineStr">
        <is>
          <t>19.3%</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Liquidity Coverage Ratio</t>
        </is>
      </c>
      <c r="B4" s="6" t="inlineStr">
        <is>
          <t>350%</t>
        </is>
      </c>
      <c r="C4" s="6" t="inlineStr">
        <is>
          <t>201%</t>
        </is>
      </c>
      <c r="D4" s="6" t="inlineStr">
        <is>
          <t>647%</t>
        </is>
      </c>
      <c r="E4" s="6" t="inlineStr">
        <is>
          <t>384%</t>
        </is>
      </c>
      <c r="F4" s="6" t="inlineStr">
        <is>
          <t>405%</t>
        </is>
      </c>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Net Stable Funding Ratio</t>
        </is>
      </c>
      <c r="B4" s="6" t="inlineStr">
        <is>
          <t>118%</t>
        </is>
      </c>
      <c r="C4" s="6" t="inlineStr">
        <is>
          <t>121%</t>
        </is>
      </c>
      <c r="D4" s="6" t="inlineStr">
        <is>
          <t>130%</t>
        </is>
      </c>
      <c r="E4" s="6" t="inlineStr">
        <is>
          <t>135%</t>
        </is>
      </c>
      <c r="F4" s="6" t="inlineStr">
        <is>
          <t>128%</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MREL target is disclosed in the FY2022-FY2026 Pillar 3 reports or annual reports reviewed; left explicitly undisclosed.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2026-09-03T19:33:58Z</dcterms:created>
  <dcterms:modified xmlns:dcterms="http://purl.org/dc/terms/" xmlns:xsi="http://www.w3.org/2001/XMLSchema-instance" xsi:type="dcterms:W3CDTF">2026-09-03T19:33:58Z</dcterms:modified>
</cp:coreProperties>
</file>