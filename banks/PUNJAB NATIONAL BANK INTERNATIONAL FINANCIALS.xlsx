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C2751"/>
        <bgColor rgb="005C275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Punjab National Bank (International)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'Overview'!V6</f>
            </strRef>
          </tx>
          <spPr>
            <a:ln xmlns:a="http://schemas.openxmlformats.org/drawingml/2006/main">
              <a:prstDash val="solid"/>
            </a:ln>
          </spPr>
          <cat>
            <numRef>
              <f>'Overview'!$W$5:$AN$5</f>
            </numRef>
          </cat>
          <val>
            <numRef>
              <f>'Overview'!$W$6:$AN$6</f>
            </numRef>
          </val>
        </ser>
        <ser>
          <idx val="1"/>
          <order val="1"/>
          <tx>
            <strRef>
              <f>'Overview'!V7</f>
            </strRef>
          </tx>
          <spPr>
            <a:ln xmlns:a="http://schemas.openxmlformats.org/drawingml/2006/main">
              <a:prstDash val="solid"/>
            </a:ln>
          </spPr>
          <cat>
            <numRef>
              <f>'Overview'!$W$5:$AN$5</f>
            </numRef>
          </cat>
          <val>
            <numRef>
              <f>'Overview'!$W$7:$AN$7</f>
            </numRef>
          </val>
        </ser>
        <ser>
          <idx val="2"/>
          <order val="2"/>
          <tx>
            <strRef>
              <f>'Overview'!V8</f>
            </strRef>
          </tx>
          <spPr>
            <a:ln xmlns:a="http://schemas.openxmlformats.org/drawingml/2006/main">
              <a:prstDash val="solid"/>
            </a:ln>
          </spPr>
          <cat>
            <numRef>
              <f>'Overview'!$W$5:$AN$5</f>
            </numRef>
          </cat>
          <val>
            <numRef>
              <f>'Overview'!$W$8:$AN$8</f>
            </numRef>
          </val>
        </ser>
        <ser>
          <idx val="3"/>
          <order val="3"/>
          <tx>
            <strRef>
              <f>'Overview'!V9</f>
            </strRef>
          </tx>
          <spPr>
            <a:ln xmlns:a="http://schemas.openxmlformats.org/drawingml/2006/main">
              <a:prstDash val="solid"/>
            </a:ln>
          </spPr>
          <cat>
            <numRef>
              <f>'Overview'!$W$5:$AN$5</f>
            </numRef>
          </cat>
          <val>
            <numRef>
              <f>'Overview'!$W$9:$AN$9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Punjab National Bank (International)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'Overview'!AQ13</f>
            </strRef>
          </tx>
          <spPr>
            <a:ln xmlns:a="http://schemas.openxmlformats.org/drawingml/2006/main">
              <a:prstDash val="solid"/>
            </a:ln>
          </spPr>
          <cat>
            <numRef>
              <f>'Overview'!$AR$12:$BI$12</f>
            </numRef>
          </cat>
          <val>
            <numRef>
              <f>'Overview'!$AR$13:$BI$13</f>
            </numRef>
          </val>
        </ser>
        <ser>
          <idx val="1"/>
          <order val="1"/>
          <tx>
            <strRef>
              <f>'Overview'!AQ14</f>
            </strRef>
          </tx>
          <spPr>
            <a:ln xmlns:a="http://schemas.openxmlformats.org/drawingml/2006/main">
              <a:prstDash val="solid"/>
            </a:ln>
          </spPr>
          <cat>
            <numRef>
              <f>'Overview'!$AR$12:$BI$12</f>
            </numRef>
          </cat>
          <val>
            <numRef>
              <f>'Overview'!$AR$14:$BI$14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Punjab National Bank (International)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'Overview'!BL18</f>
            </strRef>
          </tx>
          <spPr>
            <a:ln xmlns:a="http://schemas.openxmlformats.org/drawingml/2006/main">
              <a:prstDash val="solid"/>
            </a:ln>
          </spPr>
          <cat>
            <numRef>
              <f>'Overview'!$BM$17:$CD$17</f>
            </numRef>
          </cat>
          <val>
            <numRef>
              <f>'Overview'!$BM$18:$CD$18</f>
            </numRef>
          </val>
        </ser>
        <ser>
          <idx val="1"/>
          <order val="1"/>
          <tx>
            <strRef>
              <f>'Overview'!BL19</f>
            </strRef>
          </tx>
          <spPr>
            <a:ln xmlns:a="http://schemas.openxmlformats.org/drawingml/2006/main">
              <a:prstDash val="solid"/>
            </a:ln>
          </spPr>
          <cat>
            <numRef>
              <f>'Overview'!$BM$17:$CD$17</f>
            </numRef>
          </cat>
          <val>
            <numRef>
              <f>'Overview'!$BM$19:$CD$19</f>
            </numRef>
          </val>
        </ser>
        <ser>
          <idx val="2"/>
          <order val="2"/>
          <tx>
            <strRef>
              <f>'Overview'!BL20</f>
            </strRef>
          </tx>
          <spPr>
            <a:ln xmlns:a="http://schemas.openxmlformats.org/drawingml/2006/main">
              <a:prstDash val="solid"/>
            </a:ln>
          </spPr>
          <cat>
            <numRef>
              <f>'Overview'!$BM$17:$CD$17</f>
            </numRef>
          </cat>
          <val>
            <numRef>
              <f>'Overview'!$BM$20:$CD$20</f>
            </numRef>
          </val>
        </ser>
        <ser>
          <idx val="3"/>
          <order val="3"/>
          <tx>
            <strRef>
              <f>'Overview'!BL21</f>
            </strRef>
          </tx>
          <spPr>
            <a:ln xmlns:a="http://schemas.openxmlformats.org/drawingml/2006/main">
              <a:prstDash val="solid"/>
            </a:ln>
          </spPr>
          <cat>
            <numRef>
              <f>'Overview'!$BM$17:$CD$17</f>
            </numRef>
          </cat>
          <val>
            <numRef>
              <f>'Overview'!$BM$21:$CD$21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Punjab National Bank (International)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'Overview'!CG25</f>
            </strRef>
          </tx>
          <spPr>
            <a:ln xmlns:a="http://schemas.openxmlformats.org/drawingml/2006/main">
              <a:prstDash val="solid"/>
            </a:ln>
          </spPr>
          <cat>
            <numRef>
              <f>'Overview'!$CH$24:$CY$24</f>
            </numRef>
          </cat>
          <val>
            <numRef>
              <f>'Overview'!$CH$25:$CY$25</f>
            </numRef>
          </val>
        </ser>
        <ser>
          <idx val="1"/>
          <order val="1"/>
          <tx>
            <strRef>
              <f>'Overview'!CG26</f>
            </strRef>
          </tx>
          <spPr>
            <a:ln xmlns:a="http://schemas.openxmlformats.org/drawingml/2006/main">
              <a:prstDash val="solid"/>
            </a:ln>
          </spPr>
          <cat>
            <numRef>
              <f>'Overview'!$CH$24:$CY$24</f>
            </numRef>
          </cat>
          <val>
            <numRef>
              <f>'Overview'!$CH$26:$CY$26</f>
            </numRef>
          </val>
        </ser>
        <ser>
          <idx val="2"/>
          <order val="2"/>
          <tx>
            <strRef>
              <f>'Overview'!CG27</f>
            </strRef>
          </tx>
          <spPr>
            <a:ln xmlns:a="http://schemas.openxmlformats.org/drawingml/2006/main">
              <a:prstDash val="solid"/>
            </a:ln>
          </spPr>
          <cat>
            <numRef>
              <f>'Overview'!$CH$24:$CY$24</f>
            </numRef>
          </cat>
          <val>
            <numRef>
              <f>'Overview'!$CH$27:$CY$27</f>
            </numRef>
          </val>
        </ser>
        <ser>
          <idx val="3"/>
          <order val="3"/>
          <tx>
            <strRef>
              <f>'Overview'!CG28</f>
            </strRef>
          </tx>
          <spPr>
            <a:ln xmlns:a="http://schemas.openxmlformats.org/drawingml/2006/main">
              <a:prstDash val="solid"/>
            </a:ln>
          </spPr>
          <cat>
            <numRef>
              <f>'Overview'!$CH$24:$CY$24</f>
            </numRef>
          </cat>
          <val>
            <numRef>
              <f>'Overview'!$CH$28:$CY$28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Punjab National Bank (International)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'Overview'!DB6</f>
            </strRef>
          </tx>
          <spPr>
            <a:ln xmlns:a="http://schemas.openxmlformats.org/drawingml/2006/main">
              <a:prstDash val="solid"/>
            </a:ln>
          </spPr>
          <marker>
            <symbol val="none"/>
            <spPr>
              <a:ln xmlns:a="http://schemas.openxmlformats.org/drawingml/2006/main">
                <a:prstDash val="solid"/>
              </a:ln>
            </spPr>
          </marker>
          <cat>
            <numRef>
              <f>'Overview'!$DC$5:$DO$5</f>
            </numRef>
          </cat>
          <val>
            <numRef>
              <f>'Overview'!$DC$6:$DO$6</f>
            </numRef>
          </val>
          <smooth val="0"/>
        </ser>
        <ser>
          <idx val="1"/>
          <order val="1"/>
          <tx>
            <strRef>
              <f>'Overview'!DB7</f>
            </strRef>
          </tx>
          <spPr>
            <a:ln xmlns:a="http://schemas.openxmlformats.org/drawingml/2006/main">
              <a:prstDash val="solid"/>
            </a:ln>
          </spPr>
          <marker>
            <symbol val="none"/>
            <spPr>
              <a:ln xmlns:a="http://schemas.openxmlformats.org/drawingml/2006/main">
                <a:prstDash val="solid"/>
              </a:ln>
            </spPr>
          </marker>
          <cat>
            <numRef>
              <f>'Overview'!$DC$5:$DO$5</f>
            </numRef>
          </cat>
          <val>
            <numRef>
              <f>'Overview'!$DC$7:$DO$7</f>
            </numRef>
          </val>
          <smooth val="0"/>
        </ser>
        <ser>
          <idx val="2"/>
          <order val="2"/>
          <tx>
            <strRef>
              <f>'Overview'!DB8</f>
            </strRef>
          </tx>
          <spPr>
            <a:ln xmlns:a="http://schemas.openxmlformats.org/drawingml/2006/main">
              <a:prstDash val="solid"/>
            </a:ln>
          </spPr>
          <marker>
            <symbol val="none"/>
            <spPr>
              <a:ln xmlns:a="http://schemas.openxmlformats.org/drawingml/2006/main">
                <a:prstDash val="solid"/>
              </a:ln>
            </spPr>
          </marker>
          <cat>
            <numRef>
              <f>'Overview'!$DC$5:$DO$5</f>
            </numRef>
          </cat>
          <val>
            <numRef>
              <f>'Overview'!$DC$8:$DO$8</f>
            </numRef>
          </val>
          <smooth val="0"/>
        </ser>
        <ser>
          <idx val="3"/>
          <order val="3"/>
          <tx>
            <strRef>
              <f>'Overview'!DB9</f>
            </strRef>
          </tx>
          <spPr>
            <a:ln xmlns:a="http://schemas.openxmlformats.org/drawingml/2006/main">
              <a:prstDash val="solid"/>
            </a:ln>
          </spPr>
          <marker>
            <symbol val="none"/>
            <spPr>
              <a:ln xmlns:a="http://schemas.openxmlformats.org/drawingml/2006/main">
                <a:prstDash val="solid"/>
              </a:ln>
            </spPr>
          </marker>
          <cat>
            <numRef>
              <f>'Overview'!$DC$5:$DO$5</f>
            </numRef>
          </cat>
          <val>
            <numRef>
              <f>'Overview'!$DC$9:$DO$9</f>
            </numRef>
          </val>
          <smooth val="0"/>
        </ser>
        <ser>
          <idx val="4"/>
          <order val="4"/>
          <tx>
            <strRef>
              <f>'Overview'!DB10</f>
            </strRef>
          </tx>
          <spPr>
            <a:ln xmlns:a="http://schemas.openxmlformats.org/drawingml/2006/main">
              <a:prstDash val="solid"/>
            </a:ln>
          </spPr>
          <marker>
            <symbol val="none"/>
            <spPr>
              <a:ln xmlns:a="http://schemas.openxmlformats.org/drawingml/2006/main">
                <a:prstDash val="solid"/>
              </a:ln>
            </spPr>
          </marker>
          <cat>
            <numRef>
              <f>'Overview'!$DC$5:$DO$5</f>
            </numRef>
          </cat>
          <val>
            <numRef>
              <f>'Overview'!$DC$10:$DO$10</f>
            </numRef>
          </val>
          <smooth val="0"/>
        </ser>
        <ser>
          <idx val="5"/>
          <order val="5"/>
          <tx>
            <strRef>
              <f>'Overview'!DB11</f>
            </strRef>
          </tx>
          <spPr>
            <a:ln xmlns:a="http://schemas.openxmlformats.org/drawingml/2006/main">
              <a:prstDash val="solid"/>
            </a:ln>
          </spPr>
          <marker>
            <symbol val="none"/>
            <spPr>
              <a:ln xmlns:a="http://schemas.openxmlformats.org/drawingml/2006/main">
                <a:prstDash val="solid"/>
              </a:ln>
            </spPr>
          </marker>
          <cat>
            <numRef>
              <f>'Overview'!$DC$5:$DO$5</f>
            </numRef>
          </cat>
          <val>
            <numRef>
              <f>'Overview'!$DC$11:$DO$11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O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s>
  <sheetData>
    <row r="1">
      <c r="A1" s="1" t="inlineStr">
        <is>
          <t>Punjab National Bank (International)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 (conv. from USD))</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J5" s="4" t="inlineStr">
        <is>
          <t>FY2018</t>
        </is>
      </c>
      <c r="K5" s="4" t="inlineStr">
        <is>
          <t>FY2017</t>
        </is>
      </c>
      <c r="L5" s="4" t="inlineStr">
        <is>
          <t>FY2016</t>
        </is>
      </c>
      <c r="M5" s="4" t="inlineStr">
        <is>
          <t>FY2015</t>
        </is>
      </c>
      <c r="N5" s="4" t="inlineStr">
        <is>
          <t>FY2014</t>
        </is>
      </c>
      <c r="O5" s="4" t="inlineStr">
        <is>
          <t>FY2013</t>
        </is>
      </c>
      <c r="P5" s="4" t="inlineStr">
        <is>
          <t>FY2012</t>
        </is>
      </c>
      <c r="Q5" s="4" t="inlineStr">
        <is>
          <t>FY2011</t>
        </is>
      </c>
      <c r="R5" s="4" t="inlineStr">
        <is>
          <t>FY2010</t>
        </is>
      </c>
      <c r="S5" s="4" t="inlineStr">
        <is>
          <t>FY2009</t>
        </is>
      </c>
      <c r="W5" t="inlineStr">
        <is>
          <t>FY2009</t>
        </is>
      </c>
      <c r="X5" t="inlineStr">
        <is>
          <t>FY2010</t>
        </is>
      </c>
      <c r="Y5" t="inlineStr">
        <is>
          <t>FY2011</t>
        </is>
      </c>
      <c r="Z5" t="inlineStr">
        <is>
          <t>FY2012</t>
        </is>
      </c>
      <c r="AA5" t="inlineStr">
        <is>
          <t>FY2013</t>
        </is>
      </c>
      <c r="AB5" t="inlineStr">
        <is>
          <t>FY2014</t>
        </is>
      </c>
      <c r="AC5" t="inlineStr">
        <is>
          <t>FY2015</t>
        </is>
      </c>
      <c r="AD5" t="inlineStr">
        <is>
          <t>FY2016</t>
        </is>
      </c>
      <c r="AE5" t="inlineStr">
        <is>
          <t>FY2017</t>
        </is>
      </c>
      <c r="AF5" t="inlineStr">
        <is>
          <t>FY2018</t>
        </is>
      </c>
      <c r="AG5" t="inlineStr">
        <is>
          <t>FY2019</t>
        </is>
      </c>
      <c r="AH5" t="inlineStr">
        <is>
          <t>FY2020</t>
        </is>
      </c>
      <c r="AI5" t="inlineStr">
        <is>
          <t>FY2021</t>
        </is>
      </c>
      <c r="AJ5" t="inlineStr">
        <is>
          <t>FY2022</t>
        </is>
      </c>
      <c r="AK5" t="inlineStr">
        <is>
          <t>FY2023</t>
        </is>
      </c>
      <c r="AL5" t="inlineStr">
        <is>
          <t>FY2024</t>
        </is>
      </c>
      <c r="AM5" t="inlineStr">
        <is>
          <t>FY2025</t>
        </is>
      </c>
      <c r="AN5" t="inlineStr">
        <is>
          <t>FY2026</t>
        </is>
      </c>
      <c r="DC5" t="inlineStr">
        <is>
          <t>FY2014</t>
        </is>
      </c>
      <c r="DD5" t="inlineStr">
        <is>
          <t>FY2015</t>
        </is>
      </c>
      <c r="DE5" t="inlineStr">
        <is>
          <t>FY2016</t>
        </is>
      </c>
      <c r="DF5" t="inlineStr">
        <is>
          <t>FY2017</t>
        </is>
      </c>
      <c r="DG5" t="inlineStr">
        <is>
          <t>FY2018</t>
        </is>
      </c>
      <c r="DH5" t="inlineStr">
        <is>
          <t>FY2019</t>
        </is>
      </c>
      <c r="DI5" t="inlineStr">
        <is>
          <t>FY2020</t>
        </is>
      </c>
      <c r="DJ5" t="inlineStr">
        <is>
          <t>FY2021</t>
        </is>
      </c>
      <c r="DK5" t="inlineStr">
        <is>
          <t>FY2022</t>
        </is>
      </c>
      <c r="DL5" t="inlineStr">
        <is>
          <t>FY2023</t>
        </is>
      </c>
      <c r="DM5" t="inlineStr">
        <is>
          <t>FY2024</t>
        </is>
      </c>
      <c r="DN5" t="inlineStr">
        <is>
          <t>FY2025</t>
        </is>
      </c>
      <c r="DO5" t="inlineStr">
        <is>
          <t>FY2026</t>
        </is>
      </c>
    </row>
    <row r="6">
      <c r="A6" s="5" t="inlineStr">
        <is>
          <t>Total assets</t>
        </is>
      </c>
      <c r="B6" s="5" t="n">
        <v>1124092.4</v>
      </c>
      <c r="C6" s="5" t="n">
        <v>929222.3</v>
      </c>
      <c r="D6" s="5" t="n">
        <v>860733.1</v>
      </c>
      <c r="E6" s="5" t="n">
        <v>880119.7</v>
      </c>
      <c r="F6" s="5" t="n">
        <v>855689.9</v>
      </c>
      <c r="G6" s="5" t="n">
        <v>784826.8</v>
      </c>
      <c r="H6" s="5" t="n">
        <v>787012</v>
      </c>
      <c r="I6" s="5" t="n">
        <v>814727.6</v>
      </c>
      <c r="J6" s="5" t="n">
        <v>856566.7</v>
      </c>
      <c r="K6" s="5" t="n">
        <v>1163643.6</v>
      </c>
      <c r="L6" s="5" t="n">
        <v>1260077.2</v>
      </c>
      <c r="M6" s="5" t="n">
        <v>1278869.1</v>
      </c>
      <c r="N6" s="5" t="n">
        <v>1141161.2</v>
      </c>
      <c r="O6" s="5" t="n">
        <v>999558</v>
      </c>
      <c r="P6" s="5" t="n">
        <v>749172.1</v>
      </c>
      <c r="Q6" s="5" t="n">
        <v>559782.9</v>
      </c>
      <c r="R6" s="5" t="n">
        <v>527166.9</v>
      </c>
      <c r="S6" s="5" t="n">
        <v>413857.4</v>
      </c>
      <c r="V6" t="inlineStr">
        <is>
          <t>Total assets</t>
        </is>
      </c>
      <c r="W6" t="n">
        <v>413857.4</v>
      </c>
      <c r="X6" t="n">
        <v>527166.9</v>
      </c>
      <c r="Y6" t="n">
        <v>559782.9</v>
      </c>
      <c r="Z6" t="n">
        <v>749172.1</v>
      </c>
      <c r="AA6" t="n">
        <v>999558</v>
      </c>
      <c r="AB6" t="n">
        <v>1141161.2</v>
      </c>
      <c r="AC6" t="n">
        <v>1278869.1</v>
      </c>
      <c r="AD6" t="n">
        <v>1260077.2</v>
      </c>
      <c r="AE6" t="n">
        <v>1163643.6</v>
      </c>
      <c r="AF6" t="n">
        <v>856566.7</v>
      </c>
      <c r="AG6" t="n">
        <v>814727.6</v>
      </c>
      <c r="AH6" t="n">
        <v>787012</v>
      </c>
      <c r="AI6" t="n">
        <v>784826.8</v>
      </c>
      <c r="AJ6" t="n">
        <v>855689.9</v>
      </c>
      <c r="AK6" t="n">
        <v>880119.7</v>
      </c>
      <c r="AL6" t="n">
        <v>860733.1</v>
      </c>
      <c r="AM6" t="n">
        <v>929222.3</v>
      </c>
      <c r="AN6" t="n">
        <v>1124092.4</v>
      </c>
      <c r="DB6" t="inlineStr">
        <is>
          <t>CET1 Ratio</t>
        </is>
      </c>
      <c r="DC6" t="n">
        <v>10.22</v>
      </c>
      <c r="DD6" t="n">
        <v>10.37</v>
      </c>
      <c r="DE6" t="n">
        <v>9.15</v>
      </c>
      <c r="DF6" t="n">
        <v>11.9</v>
      </c>
      <c r="DG6" t="n">
        <v>15.8</v>
      </c>
      <c r="DH6" t="n">
        <v>18.9</v>
      </c>
      <c r="DI6" t="n">
        <v>19.3</v>
      </c>
      <c r="DJ6" t="n">
        <v>17.1</v>
      </c>
      <c r="DK6" t="n">
        <v>17.2</v>
      </c>
      <c r="DL6" t="n">
        <v>19.6</v>
      </c>
      <c r="DM6" t="n">
        <v>20.6</v>
      </c>
      <c r="DN6" t="n">
        <v>20.2</v>
      </c>
      <c r="DO6" t="n">
        <v>15.4</v>
      </c>
    </row>
    <row r="7">
      <c r="A7" s="5" t="inlineStr">
        <is>
          <t>Loans and advances to customers</t>
        </is>
      </c>
      <c r="B7" s="5" t="n">
        <v>857718.4</v>
      </c>
      <c r="C7" s="5" t="n">
        <v>700217.7</v>
      </c>
      <c r="D7" s="5" t="n">
        <v>611240.5</v>
      </c>
      <c r="E7" s="5" t="n">
        <v>605546.7</v>
      </c>
      <c r="F7" s="5" t="n">
        <v>601152.6</v>
      </c>
      <c r="G7" s="5" t="n">
        <v>500579.2</v>
      </c>
      <c r="H7" s="5" t="n">
        <v>456636.3</v>
      </c>
      <c r="I7" s="5" t="n">
        <v>462573.3</v>
      </c>
      <c r="J7" s="5" t="n">
        <v>404986.1</v>
      </c>
      <c r="K7" s="5" t="n">
        <v>483890.6</v>
      </c>
      <c r="L7" s="5" t="n">
        <v>745576.6</v>
      </c>
      <c r="M7" s="5" t="n">
        <v>805555.3</v>
      </c>
      <c r="N7" s="5" t="n">
        <v>702060.2</v>
      </c>
      <c r="O7" s="5" t="n">
        <v>589690.4</v>
      </c>
      <c r="P7" s="5" t="n">
        <v>414337</v>
      </c>
      <c r="Q7" s="5" t="n">
        <v>432560.8</v>
      </c>
      <c r="R7" s="5" t="n">
        <v>371447.9</v>
      </c>
      <c r="S7" s="5" t="n">
        <v>237687.5</v>
      </c>
      <c r="V7" t="inlineStr">
        <is>
          <t>Loans and advances to customers</t>
        </is>
      </c>
      <c r="W7" t="n">
        <v>237687.5</v>
      </c>
      <c r="X7" t="n">
        <v>371447.9</v>
      </c>
      <c r="Y7" t="n">
        <v>432560.8</v>
      </c>
      <c r="Z7" t="n">
        <v>414337</v>
      </c>
      <c r="AA7" t="n">
        <v>589690.4</v>
      </c>
      <c r="AB7" t="n">
        <v>702060.2</v>
      </c>
      <c r="AC7" t="n">
        <v>805555.3</v>
      </c>
      <c r="AD7" t="n">
        <v>745576.6</v>
      </c>
      <c r="AE7" t="n">
        <v>483890.6</v>
      </c>
      <c r="AF7" t="n">
        <v>404986.1</v>
      </c>
      <c r="AG7" t="n">
        <v>462573.3</v>
      </c>
      <c r="AH7" t="n">
        <v>456636.3</v>
      </c>
      <c r="AI7" t="n">
        <v>500579.2</v>
      </c>
      <c r="AJ7" t="n">
        <v>601152.6</v>
      </c>
      <c r="AK7" t="n">
        <v>605546.7</v>
      </c>
      <c r="AL7" t="n">
        <v>611240.5</v>
      </c>
      <c r="AM7" t="n">
        <v>700217.7</v>
      </c>
      <c r="AN7" t="n">
        <v>857718.4</v>
      </c>
      <c r="DB7" t="inlineStr">
        <is>
          <t>Tier 1 Ratio</t>
        </is>
      </c>
      <c r="DC7" t="n">
        <v>10.22</v>
      </c>
      <c r="DD7" t="n">
        <v>10.37</v>
      </c>
      <c r="DE7" t="n">
        <v>10.67</v>
      </c>
      <c r="DF7" t="n">
        <v>16.3</v>
      </c>
      <c r="DG7" t="n">
        <v>20.7</v>
      </c>
      <c r="DH7" t="n">
        <v>24.5</v>
      </c>
      <c r="DI7" t="n">
        <v>25.3</v>
      </c>
      <c r="DJ7" t="n">
        <v>22.9</v>
      </c>
      <c r="DK7" t="n">
        <v>22.8</v>
      </c>
      <c r="DL7" t="n">
        <v>25.8</v>
      </c>
      <c r="DM7" t="n">
        <v>27</v>
      </c>
      <c r="DN7" t="n">
        <v>26.7</v>
      </c>
      <c r="DO7" t="n">
        <v>20.5</v>
      </c>
    </row>
    <row r="8">
      <c r="A8" s="5" t="inlineStr">
        <is>
          <t>Deposits from customers</t>
        </is>
      </c>
      <c r="B8" s="5" t="n">
        <v>898487.3</v>
      </c>
      <c r="C8" s="5" t="n">
        <v>709869.9</v>
      </c>
      <c r="D8" s="5" t="n">
        <v>642164.3</v>
      </c>
      <c r="E8" s="5" t="n">
        <v>660495</v>
      </c>
      <c r="F8" s="5" t="n">
        <v>651932.1</v>
      </c>
      <c r="G8" s="5" t="n">
        <v>594007.7</v>
      </c>
      <c r="H8" s="5" t="n">
        <v>552382.5</v>
      </c>
      <c r="I8" s="5" t="n">
        <v>561758.3</v>
      </c>
      <c r="J8" s="5" t="n">
        <v>624391.1</v>
      </c>
      <c r="K8" s="5" t="n">
        <v>907373.5</v>
      </c>
      <c r="L8" s="5" t="n">
        <v>944574.3</v>
      </c>
      <c r="M8" s="5" t="n">
        <v>979957.6</v>
      </c>
      <c r="N8" s="5" t="n">
        <v>816382.8</v>
      </c>
      <c r="O8" s="5" t="n">
        <v>786915.9</v>
      </c>
      <c r="P8" s="5" t="n">
        <v>539040.7</v>
      </c>
      <c r="Q8" s="5" t="n">
        <v>486724.3</v>
      </c>
      <c r="R8" s="5" t="n">
        <v>469340</v>
      </c>
      <c r="S8" s="5" t="n">
        <v>373371</v>
      </c>
      <c r="V8" t="inlineStr">
        <is>
          <t>Deposits from customers</t>
        </is>
      </c>
      <c r="W8" t="n">
        <v>373371</v>
      </c>
      <c r="X8" t="n">
        <v>469340</v>
      </c>
      <c r="Y8" t="n">
        <v>486724.3</v>
      </c>
      <c r="Z8" t="n">
        <v>539040.7</v>
      </c>
      <c r="AA8" t="n">
        <v>786915.9</v>
      </c>
      <c r="AB8" t="n">
        <v>816382.8</v>
      </c>
      <c r="AC8" t="n">
        <v>979957.6</v>
      </c>
      <c r="AD8" t="n">
        <v>944574.3</v>
      </c>
      <c r="AE8" t="n">
        <v>907373.5</v>
      </c>
      <c r="AF8" t="n">
        <v>624391.1</v>
      </c>
      <c r="AG8" t="n">
        <v>561758.3</v>
      </c>
      <c r="AH8" t="n">
        <v>552382.5</v>
      </c>
      <c r="AI8" t="n">
        <v>594007.7</v>
      </c>
      <c r="AJ8" t="n">
        <v>651932.1</v>
      </c>
      <c r="AK8" t="n">
        <v>660495</v>
      </c>
      <c r="AL8" t="n">
        <v>642164.3</v>
      </c>
      <c r="AM8" t="n">
        <v>709869.9</v>
      </c>
      <c r="AN8" t="n">
        <v>898487.3</v>
      </c>
      <c r="DB8" t="inlineStr">
        <is>
          <t>Total Capital Ratio</t>
        </is>
      </c>
      <c r="DC8" t="n">
        <v>15.27</v>
      </c>
      <c r="DD8" t="n">
        <v>15.58</v>
      </c>
      <c r="DE8" t="n">
        <v>14.99</v>
      </c>
      <c r="DF8" t="n">
        <v>21.7</v>
      </c>
      <c r="DG8" t="n">
        <v>26.2</v>
      </c>
      <c r="DH8" t="n">
        <v>29.6</v>
      </c>
      <c r="DI8" t="n">
        <v>29.9</v>
      </c>
      <c r="DJ8" t="n">
        <v>26.3</v>
      </c>
      <c r="DK8" t="n">
        <v>26.7</v>
      </c>
      <c r="DL8" t="n">
        <v>31</v>
      </c>
      <c r="DM8" t="n">
        <v>31.8</v>
      </c>
      <c r="DN8" t="n">
        <v>31</v>
      </c>
      <c r="DO8" t="n">
        <v>23.6</v>
      </c>
    </row>
    <row r="9">
      <c r="A9" s="5" t="inlineStr">
        <is>
          <t>Total equity</t>
        </is>
      </c>
      <c r="B9" s="5" t="n">
        <v>158761.8</v>
      </c>
      <c r="C9" s="5" t="n">
        <v>163563.9</v>
      </c>
      <c r="D9" s="5" t="n">
        <v>170110.8</v>
      </c>
      <c r="E9" s="5" t="n">
        <v>172539.6</v>
      </c>
      <c r="F9" s="5" t="n">
        <v>158232.8</v>
      </c>
      <c r="G9" s="5" t="n">
        <v>147932.7</v>
      </c>
      <c r="H9" s="5" t="n">
        <v>173816.8</v>
      </c>
      <c r="I9" s="5" t="n">
        <v>166438.2</v>
      </c>
      <c r="J9" s="5" t="n">
        <v>152228.3</v>
      </c>
      <c r="K9" s="5" t="n">
        <v>153399.7</v>
      </c>
      <c r="L9" s="5" t="n">
        <v>124239.1</v>
      </c>
      <c r="M9" s="5" t="n">
        <v>140181.2</v>
      </c>
      <c r="N9" s="5" t="n">
        <v>116554.3</v>
      </c>
      <c r="O9" s="5" t="n">
        <v>94580.7</v>
      </c>
      <c r="P9" s="5" t="n">
        <v>77216.10000000001</v>
      </c>
      <c r="Q9" s="5" t="n">
        <v>67155.3</v>
      </c>
      <c r="R9" s="5" t="n">
        <v>53827.4</v>
      </c>
      <c r="S9" s="5" t="n">
        <v>36723.2</v>
      </c>
      <c r="V9" t="inlineStr">
        <is>
          <t>Total equity</t>
        </is>
      </c>
      <c r="W9" t="n">
        <v>36723.2</v>
      </c>
      <c r="X9" t="n">
        <v>53827.4</v>
      </c>
      <c r="Y9" t="n">
        <v>67155.3</v>
      </c>
      <c r="Z9" t="n">
        <v>77216.10000000001</v>
      </c>
      <c r="AA9" t="n">
        <v>94580.7</v>
      </c>
      <c r="AB9" t="n">
        <v>116554.3</v>
      </c>
      <c r="AC9" t="n">
        <v>140181.2</v>
      </c>
      <c r="AD9" t="n">
        <v>124239.1</v>
      </c>
      <c r="AE9" t="n">
        <v>153399.7</v>
      </c>
      <c r="AF9" t="n">
        <v>152228.3</v>
      </c>
      <c r="AG9" t="n">
        <v>166438.2</v>
      </c>
      <c r="AH9" t="n">
        <v>173816.8</v>
      </c>
      <c r="AI9" t="n">
        <v>147932.7</v>
      </c>
      <c r="AJ9" t="n">
        <v>158232.8</v>
      </c>
      <c r="AK9" t="n">
        <v>172539.6</v>
      </c>
      <c r="AL9" t="n">
        <v>170110.8</v>
      </c>
      <c r="AM9" t="n">
        <v>163563.9</v>
      </c>
      <c r="AN9" t="n">
        <v>158761.8</v>
      </c>
      <c r="DB9" t="inlineStr">
        <is>
          <t>Leverage Ratio</t>
        </is>
      </c>
      <c r="DC9" t="n">
        <v>7.83</v>
      </c>
      <c r="DD9" t="n">
        <v>8.779999999999999</v>
      </c>
      <c r="DE9" t="n">
        <v>8.93</v>
      </c>
      <c r="DF9" t="n">
        <v>9.699999999999999</v>
      </c>
      <c r="DG9" t="n">
        <v>12.94</v>
      </c>
      <c r="DH9" t="n">
        <v>15.1</v>
      </c>
      <c r="DI9" t="n">
        <v>20.4</v>
      </c>
      <c r="DJ9" t="n">
        <v>17.3</v>
      </c>
      <c r="DK9" t="n">
        <v>19.3</v>
      </c>
      <c r="DL9" t="n">
        <v>19.9</v>
      </c>
      <c r="DM9" t="n">
        <v>19.1</v>
      </c>
      <c r="DN9" t="n">
        <v>16.7</v>
      </c>
      <c r="DO9" t="n">
        <v>13.6</v>
      </c>
    </row>
    <row r="10">
      <c r="DB10" t="inlineStr">
        <is>
          <t>LCR</t>
        </is>
      </c>
      <c r="DE10" t="n">
        <v>167</v>
      </c>
      <c r="DF10" t="n">
        <v>1040</v>
      </c>
      <c r="DG10" t="n">
        <v>1027</v>
      </c>
      <c r="DH10" t="n">
        <v>524</v>
      </c>
      <c r="DI10" t="n">
        <v>403</v>
      </c>
      <c r="DJ10" t="n">
        <v>748</v>
      </c>
      <c r="DK10" t="n">
        <v>405.1</v>
      </c>
      <c r="DL10" t="n">
        <v>384</v>
      </c>
      <c r="DM10" t="n">
        <v>647</v>
      </c>
      <c r="DN10" t="n">
        <v>201</v>
      </c>
      <c r="DO10" t="n">
        <v>350</v>
      </c>
    </row>
    <row r="11">
      <c r="A11" s="3" t="inlineStr">
        <is>
          <t>Profit &amp; Loss Summary (£'000 (conv. from USD))</t>
        </is>
      </c>
      <c r="DB11" t="inlineStr">
        <is>
          <t>NSFR</t>
        </is>
      </c>
      <c r="DC11" t="n">
        <v>110</v>
      </c>
      <c r="DD11" t="n">
        <v>131</v>
      </c>
      <c r="DE11" t="n">
        <v>119</v>
      </c>
      <c r="DF11" t="n">
        <v>180</v>
      </c>
      <c r="DG11" t="n">
        <v>171</v>
      </c>
      <c r="DH11" t="n">
        <v>139</v>
      </c>
      <c r="DI11" t="n">
        <v>126</v>
      </c>
      <c r="DJ11" t="n">
        <v>146</v>
      </c>
      <c r="DK11" t="n">
        <v>128.2</v>
      </c>
      <c r="DL11" t="n">
        <v>135</v>
      </c>
      <c r="DM11" t="n">
        <v>130</v>
      </c>
      <c r="DN11" t="n">
        <v>121</v>
      </c>
      <c r="DO11" t="n">
        <v>118</v>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J12" s="4" t="inlineStr">
        <is>
          <t>FY2018</t>
        </is>
      </c>
      <c r="K12" s="4" t="inlineStr">
        <is>
          <t>FY2017</t>
        </is>
      </c>
      <c r="L12" s="4" t="inlineStr">
        <is>
          <t>FY2016</t>
        </is>
      </c>
      <c r="M12" s="4" t="inlineStr">
        <is>
          <t>FY2015</t>
        </is>
      </c>
      <c r="N12" s="4" t="inlineStr">
        <is>
          <t>FY2014</t>
        </is>
      </c>
      <c r="O12" s="4" t="inlineStr">
        <is>
          <t>FY2013</t>
        </is>
      </c>
      <c r="P12" s="4" t="inlineStr">
        <is>
          <t>FY2012</t>
        </is>
      </c>
      <c r="Q12" s="4" t="inlineStr">
        <is>
          <t>FY2011</t>
        </is>
      </c>
      <c r="R12" s="4" t="inlineStr">
        <is>
          <t>FY2010</t>
        </is>
      </c>
      <c r="S12" s="4" t="inlineStr">
        <is>
          <t>FY2009</t>
        </is>
      </c>
      <c r="AR12" t="inlineStr">
        <is>
          <t>FY2009</t>
        </is>
      </c>
      <c r="AS12" t="inlineStr">
        <is>
          <t>FY2010</t>
        </is>
      </c>
      <c r="AT12" t="inlineStr">
        <is>
          <t>FY2011</t>
        </is>
      </c>
      <c r="AU12" t="inlineStr">
        <is>
          <t>FY2012</t>
        </is>
      </c>
      <c r="AV12" t="inlineStr">
        <is>
          <t>FY2013</t>
        </is>
      </c>
      <c r="AW12" t="inlineStr">
        <is>
          <t>FY2014</t>
        </is>
      </c>
      <c r="AX12" t="inlineStr">
        <is>
          <t>FY2015</t>
        </is>
      </c>
      <c r="AY12" t="inlineStr">
        <is>
          <t>FY2016</t>
        </is>
      </c>
      <c r="AZ12" t="inlineStr">
        <is>
          <t>FY2017</t>
        </is>
      </c>
      <c r="BA12" t="inlineStr">
        <is>
          <t>FY2018</t>
        </is>
      </c>
      <c r="BB12" t="inlineStr">
        <is>
          <t>FY2019</t>
        </is>
      </c>
      <c r="BC12" t="inlineStr">
        <is>
          <t>FY2020</t>
        </is>
      </c>
      <c r="BD12" t="inlineStr">
        <is>
          <t>FY2021</t>
        </is>
      </c>
      <c r="BE12" t="inlineStr">
        <is>
          <t>FY2022</t>
        </is>
      </c>
      <c r="BF12" t="inlineStr">
        <is>
          <t>FY2023</t>
        </is>
      </c>
      <c r="BG12" t="inlineStr">
        <is>
          <t>FY2024</t>
        </is>
      </c>
      <c r="BH12" t="inlineStr">
        <is>
          <t>FY2025</t>
        </is>
      </c>
      <c r="BI12" t="inlineStr">
        <is>
          <t>FY2026</t>
        </is>
      </c>
    </row>
    <row r="13">
      <c r="A13" s="5" t="inlineStr">
        <is>
          <t>Profit after tax for the year</t>
        </is>
      </c>
      <c r="B13" s="5" t="n">
        <v>2191.1</v>
      </c>
      <c r="C13" s="5" t="n">
        <v>587.6</v>
      </c>
      <c r="D13" s="5" t="n">
        <v>4941.9</v>
      </c>
      <c r="E13" s="5" t="n">
        <v>6918.2</v>
      </c>
      <c r="F13" s="5" t="n">
        <v>5786.9</v>
      </c>
      <c r="G13" s="5" t="n">
        <v>-7757.1</v>
      </c>
      <c r="H13" s="5" t="n">
        <v>2145.1</v>
      </c>
      <c r="I13" s="5" t="n">
        <v>6335.1</v>
      </c>
      <c r="J13" s="5" t="n">
        <v>4439.8</v>
      </c>
      <c r="K13" s="5" t="n">
        <v>-85197.8</v>
      </c>
      <c r="L13" s="5" t="n">
        <v>-18051.3</v>
      </c>
      <c r="M13" s="5" t="n">
        <v>5036.3</v>
      </c>
      <c r="N13" s="5" t="n">
        <v>4396.2</v>
      </c>
      <c r="O13" s="5" t="n">
        <v>3400.4</v>
      </c>
      <c r="P13" s="5" t="n">
        <v>4710.6</v>
      </c>
      <c r="Q13" s="5" t="n">
        <v>900.3</v>
      </c>
      <c r="R13" s="5" t="n">
        <v>2413.1</v>
      </c>
      <c r="S13" s="5" t="n">
        <v>1508.4</v>
      </c>
      <c r="AQ13" t="inlineStr">
        <is>
          <t>Profit after tax for the year</t>
        </is>
      </c>
      <c r="AR13" t="n">
        <v>1508.4</v>
      </c>
      <c r="AS13" t="n">
        <v>2413.1</v>
      </c>
      <c r="AT13" t="n">
        <v>900.3</v>
      </c>
      <c r="AU13" t="n">
        <v>4710.6</v>
      </c>
      <c r="AV13" t="n">
        <v>3400.4</v>
      </c>
      <c r="AW13" t="n">
        <v>4396.2</v>
      </c>
      <c r="AX13" t="n">
        <v>5036.3</v>
      </c>
      <c r="AY13" t="n">
        <v>-18051.3</v>
      </c>
      <c r="AZ13" t="n">
        <v>-85197.8</v>
      </c>
      <c r="BA13" t="n">
        <v>4439.8</v>
      </c>
      <c r="BB13" t="n">
        <v>6335.1</v>
      </c>
      <c r="BC13" t="n">
        <v>2145.1</v>
      </c>
      <c r="BD13" t="n">
        <v>-7757.1</v>
      </c>
      <c r="BE13" t="n">
        <v>5786.9</v>
      </c>
      <c r="BF13" t="n">
        <v>6918.2</v>
      </c>
      <c r="BG13" t="n">
        <v>4941.9</v>
      </c>
      <c r="BH13" t="n">
        <v>587.6</v>
      </c>
      <c r="BI13" t="n">
        <v>2191.1</v>
      </c>
    </row>
    <row r="14">
      <c r="A14" s="5" t="inlineStr">
        <is>
          <t>Total comprehensive income for the year, net of tax</t>
        </is>
      </c>
      <c r="B14" s="5" t="n">
        <v>1891.2</v>
      </c>
      <c r="C14" s="5" t="n">
        <v>897.9</v>
      </c>
      <c r="D14" s="5" t="n">
        <v>5084.3</v>
      </c>
      <c r="E14" s="5" t="n">
        <v>7173.1</v>
      </c>
      <c r="F14" s="5" t="n">
        <v>4790.7</v>
      </c>
      <c r="G14" s="5" t="n">
        <v>-6753.6</v>
      </c>
      <c r="H14" s="5" t="n">
        <v>1635.2</v>
      </c>
      <c r="I14" s="5" t="n">
        <v>6753.2</v>
      </c>
      <c r="J14" s="5" t="n">
        <v>3593.8</v>
      </c>
      <c r="K14" s="5" t="n">
        <v>-85522.3</v>
      </c>
      <c r="L14" s="5" t="n">
        <v>-18953.7</v>
      </c>
      <c r="M14" s="5" t="n">
        <v>9226.700000000001</v>
      </c>
      <c r="N14" s="5" t="n">
        <v>1169.2</v>
      </c>
      <c r="O14" s="5" t="n">
        <v>5601.1</v>
      </c>
      <c r="P14" s="5" t="n">
        <v>2755</v>
      </c>
      <c r="Q14" s="5" t="n">
        <v>649.2</v>
      </c>
      <c r="R14" s="5" t="n">
        <v>2511.4</v>
      </c>
      <c r="S14" s="5" t="n">
        <v>1508.4</v>
      </c>
      <c r="AQ14" t="inlineStr">
        <is>
          <t>Total comprehensive income for the year, net of tax</t>
        </is>
      </c>
      <c r="AR14" t="n">
        <v>1508.4</v>
      </c>
      <c r="AS14" t="n">
        <v>2511.4</v>
      </c>
      <c r="AT14" t="n">
        <v>649.2</v>
      </c>
      <c r="AU14" t="n">
        <v>2755</v>
      </c>
      <c r="AV14" t="n">
        <v>5601.1</v>
      </c>
      <c r="AW14" t="n">
        <v>1169.2</v>
      </c>
      <c r="AX14" t="n">
        <v>9226.700000000001</v>
      </c>
      <c r="AY14" t="n">
        <v>-18953.7</v>
      </c>
      <c r="AZ14" t="n">
        <v>-85522.3</v>
      </c>
      <c r="BA14" t="n">
        <v>3593.8</v>
      </c>
      <c r="BB14" t="n">
        <v>6753.2</v>
      </c>
      <c r="BC14" t="n">
        <v>1635.2</v>
      </c>
      <c r="BD14" t="n">
        <v>-6753.6</v>
      </c>
      <c r="BE14" t="n">
        <v>4790.7</v>
      </c>
      <c r="BF14" t="n">
        <v>7173.1</v>
      </c>
      <c r="BG14" t="n">
        <v>5084.3</v>
      </c>
      <c r="BH14" t="n">
        <v>897.9</v>
      </c>
      <c r="BI14" t="n">
        <v>1891.2</v>
      </c>
    </row>
    <row r="16">
      <c r="A16" s="3" t="inlineStr">
        <is>
          <t>Statement of Changes in Equity Summary (£'000 (conv. from USD))</t>
        </is>
      </c>
    </row>
    <row r="17">
      <c r="A17" s="4" t="inlineStr">
        <is>
          <t>Line item</t>
        </is>
      </c>
      <c r="B17" s="4" t="inlineStr">
        <is>
          <t>FY2026</t>
        </is>
      </c>
      <c r="C17" s="4" t="inlineStr">
        <is>
          <t>FY2025</t>
        </is>
      </c>
      <c r="D17" s="4" t="inlineStr">
        <is>
          <t>FY2024</t>
        </is>
      </c>
      <c r="E17" s="4" t="inlineStr">
        <is>
          <t>FY2023</t>
        </is>
      </c>
      <c r="F17" s="4" t="inlineStr">
        <is>
          <t>FY2022</t>
        </is>
      </c>
      <c r="G17" s="4" t="inlineStr">
        <is>
          <t>FY2021</t>
        </is>
      </c>
      <c r="H17" s="4" t="inlineStr">
        <is>
          <t>FY2020</t>
        </is>
      </c>
      <c r="I17" s="4" t="inlineStr">
        <is>
          <t>FY2019</t>
        </is>
      </c>
      <c r="J17" s="4" t="inlineStr">
        <is>
          <t>FY2018</t>
        </is>
      </c>
      <c r="K17" s="4" t="inlineStr">
        <is>
          <t>FY2017</t>
        </is>
      </c>
      <c r="L17" s="4" t="inlineStr">
        <is>
          <t>FY2016</t>
        </is>
      </c>
      <c r="M17" s="4" t="inlineStr">
        <is>
          <t>FY2015</t>
        </is>
      </c>
      <c r="N17" s="4" t="inlineStr">
        <is>
          <t>FY2014</t>
        </is>
      </c>
      <c r="O17" s="4" t="inlineStr">
        <is>
          <t>FY2013</t>
        </is>
      </c>
      <c r="P17" s="4" t="inlineStr">
        <is>
          <t>FY2012</t>
        </is>
      </c>
      <c r="Q17" s="4" t="inlineStr">
        <is>
          <t>FY2011</t>
        </is>
      </c>
      <c r="R17" s="4" t="inlineStr">
        <is>
          <t>FY2010</t>
        </is>
      </c>
      <c r="S17" s="4" t="inlineStr">
        <is>
          <t>FY2009</t>
        </is>
      </c>
      <c r="BM17" t="inlineStr">
        <is>
          <t>FY2009</t>
        </is>
      </c>
      <c r="BN17" t="inlineStr">
        <is>
          <t>FY2010</t>
        </is>
      </c>
      <c r="BO17" t="inlineStr">
        <is>
          <t>FY2011</t>
        </is>
      </c>
      <c r="BP17" t="inlineStr">
        <is>
          <t>FY2012</t>
        </is>
      </c>
      <c r="BQ17" t="inlineStr">
        <is>
          <t>FY2013</t>
        </is>
      </c>
      <c r="BR17" t="inlineStr">
        <is>
          <t>FY2014</t>
        </is>
      </c>
      <c r="BS17" t="inlineStr">
        <is>
          <t>FY2015</t>
        </is>
      </c>
      <c r="BT17" t="inlineStr">
        <is>
          <t>FY2016</t>
        </is>
      </c>
      <c r="BU17" t="inlineStr">
        <is>
          <t>FY2017</t>
        </is>
      </c>
      <c r="BV17" t="inlineStr">
        <is>
          <t>FY2018</t>
        </is>
      </c>
      <c r="BW17" t="inlineStr">
        <is>
          <t>FY2019</t>
        </is>
      </c>
      <c r="BX17" t="inlineStr">
        <is>
          <t>FY2020</t>
        </is>
      </c>
      <c r="BY17" t="inlineStr">
        <is>
          <t>FY2021</t>
        </is>
      </c>
      <c r="BZ17" t="inlineStr">
        <is>
          <t>FY2022</t>
        </is>
      </c>
      <c r="CA17" t="inlineStr">
        <is>
          <t>FY2023</t>
        </is>
      </c>
      <c r="CB17" t="inlineStr">
        <is>
          <t>FY2024</t>
        </is>
      </c>
      <c r="CC17" t="inlineStr">
        <is>
          <t>FY2025</t>
        </is>
      </c>
      <c r="CD17" t="inlineStr">
        <is>
          <t>FY2026</t>
        </is>
      </c>
    </row>
    <row r="18">
      <c r="A18" s="5" t="inlineStr">
        <is>
          <t>Opening equity</t>
        </is>
      </c>
      <c r="B18" s="5" t="n">
        <v>160116</v>
      </c>
      <c r="C18" s="5" t="n">
        <v>166267.2</v>
      </c>
      <c r="D18" s="5" t="n">
        <v>168879</v>
      </c>
      <c r="E18" s="5" t="n">
        <v>168445.5</v>
      </c>
      <c r="F18" s="5" t="n">
        <v>155058.5</v>
      </c>
      <c r="G18" s="5" t="n"/>
      <c r="H18" s="5" t="n">
        <v>174852.1</v>
      </c>
      <c r="I18" s="5" t="n">
        <v>161963.2</v>
      </c>
      <c r="J18" s="5" t="n">
        <v>136663.6</v>
      </c>
      <c r="K18" s="5" t="n">
        <v>142824.8</v>
      </c>
      <c r="L18" s="5" t="n">
        <v>144753.8</v>
      </c>
      <c r="M18" s="5" t="n">
        <v>130889.1</v>
      </c>
      <c r="N18" s="5" t="n">
        <v>86117.10000000001</v>
      </c>
      <c r="O18" s="5" t="n">
        <v>81285.2</v>
      </c>
      <c r="P18" s="5" t="n">
        <v>67361.2</v>
      </c>
      <c r="Q18" s="5" t="n">
        <v>50929.5</v>
      </c>
      <c r="R18" s="5" t="n">
        <v>34699</v>
      </c>
      <c r="S18" s="5" t="n">
        <v>34913.8</v>
      </c>
      <c r="BL18" t="inlineStr">
        <is>
          <t>Opening equity</t>
        </is>
      </c>
      <c r="BM18" t="n">
        <v>34913.8</v>
      </c>
      <c r="BN18" t="n">
        <v>34699</v>
      </c>
      <c r="BO18" t="n">
        <v>50929.5</v>
      </c>
      <c r="BP18" t="n">
        <v>67361.2</v>
      </c>
      <c r="BQ18" t="n">
        <v>81285.2</v>
      </c>
      <c r="BR18" t="n">
        <v>86117.10000000001</v>
      </c>
      <c r="BS18" t="n">
        <v>130889.1</v>
      </c>
      <c r="BT18" t="n">
        <v>144753.8</v>
      </c>
      <c r="BU18" t="n">
        <v>142824.8</v>
      </c>
      <c r="BV18" t="n">
        <v>136663.6</v>
      </c>
      <c r="BW18" t="n">
        <v>161963.2</v>
      </c>
      <c r="BX18" t="n">
        <v>174852.1</v>
      </c>
      <c r="BZ18" t="n">
        <v>155058.5</v>
      </c>
      <c r="CA18" t="n">
        <v>168445.5</v>
      </c>
      <c r="CB18" t="n">
        <v>168879</v>
      </c>
      <c r="CC18" t="n">
        <v>166267.2</v>
      </c>
      <c r="CD18" t="n">
        <v>160116</v>
      </c>
    </row>
    <row r="19">
      <c r="A19" s="5" t="inlineStr">
        <is>
          <t>Total comprehensive income for the year</t>
        </is>
      </c>
      <c r="B19" s="5" t="n">
        <v>1891.2</v>
      </c>
      <c r="C19" s="5" t="n">
        <v>897.9</v>
      </c>
      <c r="D19" s="5" t="n">
        <v>5084.3</v>
      </c>
      <c r="E19" s="5" t="n">
        <v>7173.1</v>
      </c>
      <c r="F19" s="5" t="n">
        <v>4790.7</v>
      </c>
      <c r="G19" s="5" t="n">
        <v>-6753.6</v>
      </c>
      <c r="H19" s="5" t="n">
        <v>1635.2</v>
      </c>
      <c r="I19" s="5" t="n">
        <v>6753.2</v>
      </c>
      <c r="J19" s="5" t="n">
        <v>3593.8</v>
      </c>
      <c r="K19" s="5" t="n">
        <v>-85522.3</v>
      </c>
      <c r="L19" s="5" t="n">
        <v>-18953.7</v>
      </c>
      <c r="M19" s="5" t="n">
        <v>9226.700000000001</v>
      </c>
      <c r="N19" s="5" t="n">
        <v>1169.2</v>
      </c>
      <c r="O19" s="5" t="n">
        <v>5601.1</v>
      </c>
      <c r="P19" s="5" t="n">
        <v>2755</v>
      </c>
      <c r="Q19" s="5" t="n">
        <v>649.2</v>
      </c>
      <c r="R19" s="5" t="n">
        <v>2511.4</v>
      </c>
      <c r="S19" s="5" t="n">
        <v>1508.4</v>
      </c>
      <c r="BL19" t="inlineStr">
        <is>
          <t>Total comprehensive income for the year</t>
        </is>
      </c>
      <c r="BM19" t="n">
        <v>1508.4</v>
      </c>
      <c r="BN19" t="n">
        <v>2511.4</v>
      </c>
      <c r="BO19" t="n">
        <v>649.2</v>
      </c>
      <c r="BP19" t="n">
        <v>2755</v>
      </c>
      <c r="BQ19" t="n">
        <v>5601.1</v>
      </c>
      <c r="BR19" t="n">
        <v>1169.2</v>
      </c>
      <c r="BS19" t="n">
        <v>9226.700000000001</v>
      </c>
      <c r="BT19" t="n">
        <v>-18953.7</v>
      </c>
      <c r="BU19" t="n">
        <v>-85522.3</v>
      </c>
      <c r="BV19" t="n">
        <v>3593.8</v>
      </c>
      <c r="BW19" t="n">
        <v>6753.2</v>
      </c>
      <c r="BX19" t="n">
        <v>1635.2</v>
      </c>
      <c r="BY19" t="n">
        <v>-6753.6</v>
      </c>
      <c r="BZ19" t="n">
        <v>4790.7</v>
      </c>
      <c r="CA19" t="n">
        <v>7173.1</v>
      </c>
      <c r="CB19" t="n">
        <v>5084.3</v>
      </c>
      <c r="CC19" t="n">
        <v>897.9</v>
      </c>
      <c r="CD19" t="n">
        <v>1891.2</v>
      </c>
    </row>
    <row r="20">
      <c r="A20" s="5" t="inlineStr">
        <is>
          <t>Other equity movements, net (dividends on AT1 capital)</t>
        </is>
      </c>
      <c r="B20" s="5" t="n">
        <v>-3223.7</v>
      </c>
      <c r="C20" s="5" t="n">
        <v>-3632.4</v>
      </c>
      <c r="D20" s="5" t="n">
        <v>-3846.3</v>
      </c>
      <c r="E20" s="5" t="n">
        <v>-2970.5</v>
      </c>
      <c r="F20" s="5" t="n">
        <v>-1732.5</v>
      </c>
      <c r="G20" s="5" t="n"/>
      <c r="H20" s="5" t="n">
        <v>-2645.6</v>
      </c>
      <c r="I20" s="5" t="n">
        <v>-2312.3</v>
      </c>
      <c r="J20" s="5" t="n">
        <v>12862.2</v>
      </c>
      <c r="K20" s="5" t="n">
        <v>95644</v>
      </c>
      <c r="L20" s="5" t="n">
        <v>-603.4</v>
      </c>
      <c r="M20" s="5" t="n">
        <v>-671</v>
      </c>
      <c r="N20" s="5" t="n">
        <v>30747.8</v>
      </c>
      <c r="O20" s="5" t="n">
        <v>7170.3</v>
      </c>
      <c r="P20" s="5" t="n">
        <v>7118.9</v>
      </c>
      <c r="Q20" s="5" t="n">
        <v>16054.5</v>
      </c>
      <c r="R20" s="5" t="n">
        <v>15649.5</v>
      </c>
      <c r="S20" s="5" t="n">
        <v>0</v>
      </c>
      <c r="BL20" t="inlineStr">
        <is>
          <t>Other equity movements, net (dividends on AT1 capital)</t>
        </is>
      </c>
      <c r="BM20" t="n">
        <v>0</v>
      </c>
      <c r="BN20" t="n">
        <v>15649.5</v>
      </c>
      <c r="BO20" t="n">
        <v>16054.5</v>
      </c>
      <c r="BP20" t="n">
        <v>7118.9</v>
      </c>
      <c r="BQ20" t="n">
        <v>7170.3</v>
      </c>
      <c r="BR20" t="n">
        <v>30747.8</v>
      </c>
      <c r="BS20" t="n">
        <v>-671</v>
      </c>
      <c r="BT20" t="n">
        <v>-603.4</v>
      </c>
      <c r="BU20" t="n">
        <v>95644</v>
      </c>
      <c r="BV20" t="n">
        <v>12862.2</v>
      </c>
      <c r="BW20" t="n">
        <v>-2312.3</v>
      </c>
      <c r="BX20" t="n">
        <v>-2645.6</v>
      </c>
      <c r="BZ20" t="n">
        <v>-1732.5</v>
      </c>
      <c r="CA20" t="n">
        <v>-2970.5</v>
      </c>
      <c r="CB20" t="n">
        <v>-3846.3</v>
      </c>
      <c r="CC20" t="n">
        <v>-3632.4</v>
      </c>
      <c r="CD20" t="n">
        <v>-3223.7</v>
      </c>
    </row>
    <row r="21">
      <c r="A21" s="5" t="inlineStr">
        <is>
          <t>Closing equity</t>
        </is>
      </c>
      <c r="B21" s="5" t="n">
        <v>158761.8</v>
      </c>
      <c r="C21" s="5" t="n">
        <v>163563.9</v>
      </c>
      <c r="D21" s="5" t="n">
        <v>170110.8</v>
      </c>
      <c r="E21" s="5" t="n">
        <v>172539.6</v>
      </c>
      <c r="F21" s="5" t="n">
        <v>158232.8</v>
      </c>
      <c r="G21" s="5" t="n">
        <v>147932.7</v>
      </c>
      <c r="H21" s="5" t="n">
        <v>173816.8</v>
      </c>
      <c r="I21" s="5" t="n">
        <v>166438.2</v>
      </c>
      <c r="J21" s="5" t="n">
        <v>152228.3</v>
      </c>
      <c r="K21" s="5" t="n">
        <v>153399.7</v>
      </c>
      <c r="L21" s="5" t="n">
        <v>124239.1</v>
      </c>
      <c r="M21" s="5" t="n">
        <v>140181.2</v>
      </c>
      <c r="N21" s="5" t="n">
        <v>116554.3</v>
      </c>
      <c r="O21" s="5" t="n">
        <v>94580.7</v>
      </c>
      <c r="P21" s="5" t="n">
        <v>77216.10000000001</v>
      </c>
      <c r="Q21" s="5" t="n">
        <v>67155.3</v>
      </c>
      <c r="R21" s="5" t="n">
        <v>53827.4</v>
      </c>
      <c r="S21" s="5" t="n">
        <v>36723.2</v>
      </c>
      <c r="BL21" t="inlineStr">
        <is>
          <t>Closing equity</t>
        </is>
      </c>
      <c r="BM21" t="n">
        <v>36723.2</v>
      </c>
      <c r="BN21" t="n">
        <v>53827.4</v>
      </c>
      <c r="BO21" t="n">
        <v>67155.3</v>
      </c>
      <c r="BP21" t="n">
        <v>77216.10000000001</v>
      </c>
      <c r="BQ21" t="n">
        <v>94580.7</v>
      </c>
      <c r="BR21" t="n">
        <v>116554.3</v>
      </c>
      <c r="BS21" t="n">
        <v>140181.2</v>
      </c>
      <c r="BT21" t="n">
        <v>124239.1</v>
      </c>
      <c r="BU21" t="n">
        <v>153399.7</v>
      </c>
      <c r="BV21" t="n">
        <v>152228.3</v>
      </c>
      <c r="BW21" t="n">
        <v>166438.2</v>
      </c>
      <c r="BX21" t="n">
        <v>173816.8</v>
      </c>
      <c r="BY21" t="n">
        <v>147932.7</v>
      </c>
      <c r="BZ21" t="n">
        <v>158232.8</v>
      </c>
      <c r="CA21" t="n">
        <v>172539.6</v>
      </c>
      <c r="CB21" t="n">
        <v>170110.8</v>
      </c>
      <c r="CC21" t="n">
        <v>163563.9</v>
      </c>
      <c r="CD21" t="n">
        <v>158761.8</v>
      </c>
    </row>
    <row r="23">
      <c r="A23" s="3" t="inlineStr">
        <is>
          <t>Cash Flow Summary (£'000 (conv. from USD))</t>
        </is>
      </c>
    </row>
    <row r="24">
      <c r="A24" s="4" t="inlineStr">
        <is>
          <t>Line item</t>
        </is>
      </c>
      <c r="B24" s="4" t="inlineStr">
        <is>
          <t>FY2026</t>
        </is>
      </c>
      <c r="C24" s="4" t="inlineStr">
        <is>
          <t>FY2025</t>
        </is>
      </c>
      <c r="D24" s="4" t="inlineStr">
        <is>
          <t>FY2024</t>
        </is>
      </c>
      <c r="E24" s="4" t="inlineStr">
        <is>
          <t>FY2023</t>
        </is>
      </c>
      <c r="F24" s="4" t="inlineStr">
        <is>
          <t>FY2022</t>
        </is>
      </c>
      <c r="G24" s="4" t="inlineStr">
        <is>
          <t>FY2021</t>
        </is>
      </c>
      <c r="H24" s="4" t="inlineStr">
        <is>
          <t>FY2020</t>
        </is>
      </c>
      <c r="I24" s="4" t="inlineStr">
        <is>
          <t>FY2019</t>
        </is>
      </c>
      <c r="J24" s="4" t="inlineStr">
        <is>
          <t>FY2018</t>
        </is>
      </c>
      <c r="K24" s="4" t="inlineStr">
        <is>
          <t>FY2017</t>
        </is>
      </c>
      <c r="L24" s="4" t="inlineStr">
        <is>
          <t>FY2016</t>
        </is>
      </c>
      <c r="M24" s="4" t="inlineStr">
        <is>
          <t>FY2015</t>
        </is>
      </c>
      <c r="N24" s="4" t="inlineStr">
        <is>
          <t>FY2014</t>
        </is>
      </c>
      <c r="O24" s="4" t="inlineStr">
        <is>
          <t>FY2013</t>
        </is>
      </c>
      <c r="P24" s="4" t="inlineStr">
        <is>
          <t>FY2012</t>
        </is>
      </c>
      <c r="Q24" s="4" t="inlineStr">
        <is>
          <t>FY2011</t>
        </is>
      </c>
      <c r="R24" s="4" t="inlineStr">
        <is>
          <t>FY2010</t>
        </is>
      </c>
      <c r="S24" s="4" t="inlineStr">
        <is>
          <t>FY2009</t>
        </is>
      </c>
      <c r="CH24" t="inlineStr">
        <is>
          <t>FY2009</t>
        </is>
      </c>
      <c r="CI24" t="inlineStr">
        <is>
          <t>FY2010</t>
        </is>
      </c>
      <c r="CJ24" t="inlineStr">
        <is>
          <t>FY2011</t>
        </is>
      </c>
      <c r="CK24" t="inlineStr">
        <is>
          <t>FY2012</t>
        </is>
      </c>
      <c r="CL24" t="inlineStr">
        <is>
          <t>FY2013</t>
        </is>
      </c>
      <c r="CM24" t="inlineStr">
        <is>
          <t>FY2014</t>
        </is>
      </c>
      <c r="CN24" t="inlineStr">
        <is>
          <t>FY2015</t>
        </is>
      </c>
      <c r="CO24" t="inlineStr">
        <is>
          <t>FY2016</t>
        </is>
      </c>
      <c r="CP24" t="inlineStr">
        <is>
          <t>FY2017</t>
        </is>
      </c>
      <c r="CQ24" t="inlineStr">
        <is>
          <t>FY2018</t>
        </is>
      </c>
      <c r="CR24" t="inlineStr">
        <is>
          <t>FY2019</t>
        </is>
      </c>
      <c r="CS24" t="inlineStr">
        <is>
          <t>FY2020</t>
        </is>
      </c>
      <c r="CT24" t="inlineStr">
        <is>
          <t>FY2021</t>
        </is>
      </c>
      <c r="CU24" t="inlineStr">
        <is>
          <t>FY2022</t>
        </is>
      </c>
      <c r="CV24" t="inlineStr">
        <is>
          <t>FY2023</t>
        </is>
      </c>
      <c r="CW24" t="inlineStr">
        <is>
          <t>FY2024</t>
        </is>
      </c>
      <c r="CX24" t="inlineStr">
        <is>
          <t>FY2025</t>
        </is>
      </c>
      <c r="CY24" t="inlineStr">
        <is>
          <t>FY2026</t>
        </is>
      </c>
    </row>
    <row r="25">
      <c r="A25" s="5" t="inlineStr">
        <is>
          <t>Net cash (used in)/generated from operating activities</t>
        </is>
      </c>
      <c r="B25" s="5" t="n">
        <v>47658.9</v>
      </c>
      <c r="C25" s="5" t="n">
        <v>2756.4</v>
      </c>
      <c r="D25" s="5" t="n">
        <v>-23233.6</v>
      </c>
      <c r="E25" s="5" t="n">
        <v>6421.8</v>
      </c>
      <c r="F25" s="5" t="n">
        <v>-15142</v>
      </c>
      <c r="G25" s="5" t="n">
        <v>77735.89999999999</v>
      </c>
      <c r="H25" s="5" t="n">
        <v>-16883.9</v>
      </c>
      <c r="I25" s="5" t="n">
        <v>24220.9</v>
      </c>
      <c r="J25" s="5" t="n">
        <v>-251783.3</v>
      </c>
      <c r="K25" s="5" t="n">
        <v>121040.8</v>
      </c>
      <c r="L25" s="5" t="n">
        <v>53836.4</v>
      </c>
      <c r="M25" s="5" t="n">
        <v>-34341.7</v>
      </c>
      <c r="N25" s="5" t="n">
        <v>3387.4</v>
      </c>
      <c r="O25" s="5" t="n">
        <v>20855.5</v>
      </c>
      <c r="P25" s="5" t="n">
        <v>2068.5</v>
      </c>
      <c r="Q25" s="5" t="n">
        <v>-59218.5</v>
      </c>
      <c r="R25" s="5" t="n">
        <v>-13366.5</v>
      </c>
      <c r="S25" s="5" t="n">
        <v>75539.8</v>
      </c>
      <c r="CG25" t="inlineStr">
        <is>
          <t>Net cash (used in)/generated from operating activities</t>
        </is>
      </c>
      <c r="CH25" t="n">
        <v>75539.8</v>
      </c>
      <c r="CI25" t="n">
        <v>-13366.5</v>
      </c>
      <c r="CJ25" t="n">
        <v>-59218.5</v>
      </c>
      <c r="CK25" t="n">
        <v>2068.5</v>
      </c>
      <c r="CL25" t="n">
        <v>20855.5</v>
      </c>
      <c r="CM25" t="n">
        <v>3387.4</v>
      </c>
      <c r="CN25" t="n">
        <v>-34341.7</v>
      </c>
      <c r="CO25" t="n">
        <v>53836.4</v>
      </c>
      <c r="CP25" t="n">
        <v>121040.8</v>
      </c>
      <c r="CQ25" t="n">
        <v>-251783.3</v>
      </c>
      <c r="CR25" t="n">
        <v>24220.9</v>
      </c>
      <c r="CS25" t="n">
        <v>-16883.9</v>
      </c>
      <c r="CT25" t="n">
        <v>77735.89999999999</v>
      </c>
      <c r="CU25" t="n">
        <v>-15142</v>
      </c>
      <c r="CV25" t="n">
        <v>6421.8</v>
      </c>
      <c r="CW25" t="n">
        <v>-23233.6</v>
      </c>
      <c r="CX25" t="n">
        <v>2756.4</v>
      </c>
      <c r="CY25" t="n">
        <v>47658.9</v>
      </c>
    </row>
    <row r="26">
      <c r="A26" s="5" t="inlineStr">
        <is>
          <t>Net cash (used in)/generated from investing activities</t>
        </is>
      </c>
      <c r="B26" s="5" t="n">
        <v>-21032.5</v>
      </c>
      <c r="C26" s="5" t="n">
        <v>-5553.6</v>
      </c>
      <c r="D26" s="5" t="n">
        <v>17663.1</v>
      </c>
      <c r="E26" s="5" t="n">
        <v>-7652.1</v>
      </c>
      <c r="F26" s="5" t="n">
        <v>-35215.9</v>
      </c>
      <c r="G26" s="5" t="n">
        <v>-7487.3</v>
      </c>
      <c r="H26" s="5" t="n">
        <v>358</v>
      </c>
      <c r="I26" s="5" t="n">
        <v>-1818</v>
      </c>
      <c r="J26" s="5" t="n">
        <v>-30200.4</v>
      </c>
      <c r="K26" s="5" t="n">
        <v>-6465.9</v>
      </c>
      <c r="L26" s="5" t="n">
        <v>68.3</v>
      </c>
      <c r="M26" s="5" t="n">
        <v>1206.2</v>
      </c>
      <c r="N26" s="5" t="n">
        <v>1225.8</v>
      </c>
      <c r="O26" s="5" t="n">
        <v>7992.3</v>
      </c>
      <c r="P26" s="5" t="n">
        <v>-30.1</v>
      </c>
      <c r="Q26" s="5" t="n">
        <v>-10973.5</v>
      </c>
      <c r="R26" s="5" t="n">
        <v>-4423.8</v>
      </c>
      <c r="S26" s="5" t="n">
        <v>-8925.5</v>
      </c>
      <c r="CG26" t="inlineStr">
        <is>
          <t>Net cash (used in)/generated from investing activities</t>
        </is>
      </c>
      <c r="CH26" t="n">
        <v>-8925.5</v>
      </c>
      <c r="CI26" t="n">
        <v>-4423.8</v>
      </c>
      <c r="CJ26" t="n">
        <v>-10973.5</v>
      </c>
      <c r="CK26" t="n">
        <v>-30.1</v>
      </c>
      <c r="CL26" t="n">
        <v>7992.3</v>
      </c>
      <c r="CM26" t="n">
        <v>1225.8</v>
      </c>
      <c r="CN26" t="n">
        <v>1206.2</v>
      </c>
      <c r="CO26" t="n">
        <v>68.3</v>
      </c>
      <c r="CP26" t="n">
        <v>-6465.9</v>
      </c>
      <c r="CQ26" t="n">
        <v>-30200.4</v>
      </c>
      <c r="CR26" t="n">
        <v>-1818</v>
      </c>
      <c r="CS26" t="n">
        <v>358</v>
      </c>
      <c r="CT26" t="n">
        <v>-7487.3</v>
      </c>
      <c r="CU26" t="n">
        <v>-35215.9</v>
      </c>
      <c r="CV26" t="n">
        <v>-7652.1</v>
      </c>
      <c r="CW26" t="n">
        <v>17663.1</v>
      </c>
      <c r="CX26" t="n">
        <v>-5553.6</v>
      </c>
      <c r="CY26" t="n">
        <v>-21032.5</v>
      </c>
    </row>
    <row r="27">
      <c r="A27" s="5" t="inlineStr">
        <is>
          <t>Net cash used in financing activities</t>
        </is>
      </c>
      <c r="B27" s="5" t="n">
        <v>-11482.4</v>
      </c>
      <c r="C27" s="5" t="n">
        <v>-12292.6</v>
      </c>
      <c r="D27" s="5" t="n">
        <v>-4430.3</v>
      </c>
      <c r="E27" s="5" t="n">
        <v>-3730.2</v>
      </c>
      <c r="F27" s="5" t="n">
        <v>-2419.1</v>
      </c>
      <c r="G27" s="5" t="n">
        <v>-2645.3</v>
      </c>
      <c r="H27" s="5" t="n">
        <v>-3322.3</v>
      </c>
      <c r="I27" s="5" t="n">
        <v>-2613.9</v>
      </c>
      <c r="J27" s="5" t="n">
        <v>12862.2</v>
      </c>
      <c r="K27" s="5" t="n">
        <v>76528.7</v>
      </c>
      <c r="L27" s="5" t="n">
        <v>5877.2</v>
      </c>
      <c r="M27" s="5" t="n">
        <v>5530.5</v>
      </c>
      <c r="N27" s="5" t="n">
        <v>33892.5</v>
      </c>
      <c r="O27" s="5" t="n">
        <v>15079.7</v>
      </c>
      <c r="P27" s="5" t="n">
        <v>7118.9</v>
      </c>
      <c r="Q27" s="5" t="n">
        <v>16054.5</v>
      </c>
      <c r="R27" s="5" t="n">
        <v>15649.5</v>
      </c>
      <c r="S27" s="5" t="n">
        <v>14543.3</v>
      </c>
      <c r="CG27" t="inlineStr">
        <is>
          <t>Net cash used in financing activities</t>
        </is>
      </c>
      <c r="CH27" t="n">
        <v>14543.3</v>
      </c>
      <c r="CI27" t="n">
        <v>15649.5</v>
      </c>
      <c r="CJ27" t="n">
        <v>16054.5</v>
      </c>
      <c r="CK27" t="n">
        <v>7118.9</v>
      </c>
      <c r="CL27" t="n">
        <v>15079.7</v>
      </c>
      <c r="CM27" t="n">
        <v>33892.5</v>
      </c>
      <c r="CN27" t="n">
        <v>5530.5</v>
      </c>
      <c r="CO27" t="n">
        <v>5877.2</v>
      </c>
      <c r="CP27" t="n">
        <v>76528.7</v>
      </c>
      <c r="CQ27" t="n">
        <v>12862.2</v>
      </c>
      <c r="CR27" t="n">
        <v>-2613.9</v>
      </c>
      <c r="CS27" t="n">
        <v>-3322.3</v>
      </c>
      <c r="CT27" t="n">
        <v>-2645.3</v>
      </c>
      <c r="CU27" t="n">
        <v>-2419.1</v>
      </c>
      <c r="CV27" t="n">
        <v>-3730.2</v>
      </c>
      <c r="CW27" t="n">
        <v>-4430.3</v>
      </c>
      <c r="CX27" t="n">
        <v>-12292.6</v>
      </c>
      <c r="CY27" t="n">
        <v>-11482.4</v>
      </c>
    </row>
    <row r="28">
      <c r="A28" s="5" t="inlineStr">
        <is>
          <t>Cash and cash equivalents at end of year</t>
        </is>
      </c>
      <c r="B28" s="5" t="n">
        <v>106098</v>
      </c>
      <c r="C28" s="5" t="n">
        <v>90436.10000000001</v>
      </c>
      <c r="D28" s="5" t="n">
        <v>106105.1</v>
      </c>
      <c r="E28" s="5" t="n">
        <v>117131.2</v>
      </c>
      <c r="F28" s="5" t="n">
        <v>113811</v>
      </c>
      <c r="G28" s="5" t="n">
        <v>160423.3</v>
      </c>
      <c r="H28" s="5" t="n">
        <v>106530.7</v>
      </c>
      <c r="I28" s="5" t="n">
        <v>120762.1</v>
      </c>
      <c r="J28" s="5" t="n">
        <v>93613.60000000001</v>
      </c>
      <c r="K28" s="5" t="n">
        <v>391788.6</v>
      </c>
      <c r="L28" s="5" t="n">
        <v>167064.3</v>
      </c>
      <c r="M28" s="5" t="n">
        <v>101058.8</v>
      </c>
      <c r="N28" s="5" t="n">
        <v>116688.7</v>
      </c>
      <c r="O28" s="5" t="n">
        <v>87827.5</v>
      </c>
      <c r="P28" s="5" t="n">
        <v>39990</v>
      </c>
      <c r="Q28" s="5" t="n">
        <v>64839.1</v>
      </c>
      <c r="R28" s="5" t="n">
        <v>124111.6</v>
      </c>
      <c r="S28" s="5" t="n">
        <v>154806.4</v>
      </c>
      <c r="CG28" t="inlineStr">
        <is>
          <t>Cash and cash equivalents at end of year</t>
        </is>
      </c>
      <c r="CH28" t="n">
        <v>154806.4</v>
      </c>
      <c r="CI28" t="n">
        <v>124111.6</v>
      </c>
      <c r="CJ28" t="n">
        <v>64839.1</v>
      </c>
      <c r="CK28" t="n">
        <v>39990</v>
      </c>
      <c r="CL28" t="n">
        <v>87827.5</v>
      </c>
      <c r="CM28" t="n">
        <v>116688.7</v>
      </c>
      <c r="CN28" t="n">
        <v>101058.8</v>
      </c>
      <c r="CO28" t="n">
        <v>167064.3</v>
      </c>
      <c r="CP28" t="n">
        <v>391788.6</v>
      </c>
      <c r="CQ28" t="n">
        <v>93613.60000000001</v>
      </c>
      <c r="CR28" t="n">
        <v>120762.1</v>
      </c>
      <c r="CS28" t="n">
        <v>106530.7</v>
      </c>
      <c r="CT28" t="n">
        <v>160423.3</v>
      </c>
      <c r="CU28" t="n">
        <v>113811</v>
      </c>
      <c r="CV28" t="n">
        <v>117131.2</v>
      </c>
      <c r="CW28" t="n">
        <v>106105.1</v>
      </c>
      <c r="CX28" t="n">
        <v>90436.10000000001</v>
      </c>
      <c r="CY28" t="n">
        <v>106098</v>
      </c>
    </row>
    <row r="30">
      <c r="A30" s="3" t="inlineStr">
        <is>
          <t>Pillar 3 Key Metrics</t>
        </is>
      </c>
    </row>
    <row r="31">
      <c r="A31" s="4" t="inlineStr">
        <is>
          <t>Line item</t>
        </is>
      </c>
      <c r="B31" s="4" t="inlineStr">
        <is>
          <t>FY2026</t>
        </is>
      </c>
      <c r="C31" s="4" t="inlineStr">
        <is>
          <t>FY2025</t>
        </is>
      </c>
      <c r="D31" s="4" t="inlineStr">
        <is>
          <t>FY2024</t>
        </is>
      </c>
      <c r="E31" s="4" t="inlineStr">
        <is>
          <t>FY2023</t>
        </is>
      </c>
      <c r="F31" s="4" t="inlineStr">
        <is>
          <t>FY2022</t>
        </is>
      </c>
      <c r="G31" s="4" t="inlineStr">
        <is>
          <t>FY2021</t>
        </is>
      </c>
      <c r="H31" s="4" t="inlineStr">
        <is>
          <t>FY2020</t>
        </is>
      </c>
      <c r="I31" s="4" t="inlineStr">
        <is>
          <t>FY2019</t>
        </is>
      </c>
      <c r="J31" s="4" t="inlineStr">
        <is>
          <t>FY2018</t>
        </is>
      </c>
      <c r="K31" s="4" t="inlineStr">
        <is>
          <t>FY2017</t>
        </is>
      </c>
      <c r="L31" s="4" t="inlineStr">
        <is>
          <t>FY2016</t>
        </is>
      </c>
      <c r="M31" s="4" t="inlineStr">
        <is>
          <t>FY2015</t>
        </is>
      </c>
      <c r="N31" s="4" t="inlineStr">
        <is>
          <t>FY2014</t>
        </is>
      </c>
    </row>
    <row r="32">
      <c r="A32" s="6" t="inlineStr">
        <is>
          <t>CET1 Ratio</t>
        </is>
      </c>
      <c r="B32" s="6" t="inlineStr">
        <is>
          <t>15.4%</t>
        </is>
      </c>
      <c r="C32" s="6" t="inlineStr">
        <is>
          <t>20.2%</t>
        </is>
      </c>
      <c r="D32" s="6" t="inlineStr">
        <is>
          <t>20.6%</t>
        </is>
      </c>
      <c r="E32" s="6" t="inlineStr">
        <is>
          <t>19.6%</t>
        </is>
      </c>
      <c r="F32" s="6" t="inlineStr">
        <is>
          <t>17.2%</t>
        </is>
      </c>
      <c r="G32" s="6" t="inlineStr">
        <is>
          <t>17.1%</t>
        </is>
      </c>
      <c r="H32" s="6" t="inlineStr">
        <is>
          <t>19.3%</t>
        </is>
      </c>
      <c r="I32" s="6" t="inlineStr">
        <is>
          <t>18.9%</t>
        </is>
      </c>
      <c r="J32" s="6" t="inlineStr">
        <is>
          <t>15.8%</t>
        </is>
      </c>
      <c r="K32" s="6" t="inlineStr">
        <is>
          <t>11.90%</t>
        </is>
      </c>
      <c r="L32" s="6" t="inlineStr">
        <is>
          <t>9.15%</t>
        </is>
      </c>
      <c r="M32" s="6" t="inlineStr">
        <is>
          <t>10.37%</t>
        </is>
      </c>
      <c r="N32" s="6" t="inlineStr">
        <is>
          <t>10.22%</t>
        </is>
      </c>
    </row>
    <row r="33">
      <c r="A33" s="6" t="inlineStr">
        <is>
          <t>Tier 1 Ratio</t>
        </is>
      </c>
      <c r="B33" s="6" t="inlineStr">
        <is>
          <t>20.5%</t>
        </is>
      </c>
      <c r="C33" s="6" t="inlineStr">
        <is>
          <t>26.7%</t>
        </is>
      </c>
      <c r="D33" s="6" t="inlineStr">
        <is>
          <t>27.0%</t>
        </is>
      </c>
      <c r="E33" s="6" t="inlineStr">
        <is>
          <t>25.8%</t>
        </is>
      </c>
      <c r="F33" s="6" t="inlineStr">
        <is>
          <t>22.8%</t>
        </is>
      </c>
      <c r="G33" s="6" t="inlineStr">
        <is>
          <t>22.9%</t>
        </is>
      </c>
      <c r="H33" s="6" t="inlineStr">
        <is>
          <t>25.3%</t>
        </is>
      </c>
      <c r="I33" s="6" t="inlineStr">
        <is>
          <t>24.5%</t>
        </is>
      </c>
      <c r="J33" s="6" t="inlineStr">
        <is>
          <t>20.7%</t>
        </is>
      </c>
      <c r="K33" s="6" t="inlineStr">
        <is>
          <t>16.3%</t>
        </is>
      </c>
      <c r="L33" s="6" t="inlineStr">
        <is>
          <t>10.67%</t>
        </is>
      </c>
      <c r="M33" s="6" t="inlineStr">
        <is>
          <t>10.37%</t>
        </is>
      </c>
      <c r="N33" s="6" t="inlineStr">
        <is>
          <t>10.22%</t>
        </is>
      </c>
    </row>
    <row r="34">
      <c r="A34" s="6" t="inlineStr">
        <is>
          <t>Total Capital Ratio</t>
        </is>
      </c>
      <c r="B34" s="6" t="inlineStr">
        <is>
          <t>23.6%</t>
        </is>
      </c>
      <c r="C34" s="6" t="inlineStr">
        <is>
          <t>31.0%</t>
        </is>
      </c>
      <c r="D34" s="6" t="inlineStr">
        <is>
          <t>31.8%</t>
        </is>
      </c>
      <c r="E34" s="6" t="inlineStr">
        <is>
          <t>31.0%</t>
        </is>
      </c>
      <c r="F34" s="6" t="inlineStr">
        <is>
          <t>26.7%</t>
        </is>
      </c>
      <c r="G34" s="6" t="inlineStr">
        <is>
          <t>26.3%</t>
        </is>
      </c>
      <c r="H34" s="6" t="inlineStr">
        <is>
          <t>29.9%</t>
        </is>
      </c>
      <c r="I34" s="6" t="inlineStr">
        <is>
          <t>29.6%</t>
        </is>
      </c>
      <c r="J34" s="6" t="inlineStr">
        <is>
          <t>26.2%</t>
        </is>
      </c>
      <c r="K34" s="6" t="inlineStr">
        <is>
          <t>21.7%</t>
        </is>
      </c>
      <c r="L34" s="6" t="inlineStr">
        <is>
          <t>14.99%</t>
        </is>
      </c>
      <c r="M34" s="6" t="inlineStr">
        <is>
          <t>15.58%</t>
        </is>
      </c>
      <c r="N34" s="6" t="inlineStr">
        <is>
          <t>15.27%</t>
        </is>
      </c>
    </row>
    <row r="35">
      <c r="A35" s="6" t="inlineStr">
        <is>
          <t>Leverage Ratio</t>
        </is>
      </c>
      <c r="B35" s="6" t="inlineStr">
        <is>
          <t>13.6%</t>
        </is>
      </c>
      <c r="C35" s="6" t="inlineStr">
        <is>
          <t>16.7%</t>
        </is>
      </c>
      <c r="D35" s="6" t="inlineStr">
        <is>
          <t>19.1%</t>
        </is>
      </c>
      <c r="E35" s="6" t="inlineStr">
        <is>
          <t>19.9%</t>
        </is>
      </c>
      <c r="F35" s="6" t="inlineStr">
        <is>
          <t>19.3%</t>
        </is>
      </c>
      <c r="G35" s="6" t="inlineStr">
        <is>
          <t>17.3%</t>
        </is>
      </c>
      <c r="H35" s="6" t="inlineStr">
        <is>
          <t>20.4%</t>
        </is>
      </c>
      <c r="I35" s="6" t="inlineStr">
        <is>
          <t>15.1%</t>
        </is>
      </c>
      <c r="J35" s="6" t="inlineStr">
        <is>
          <t>12.94%</t>
        </is>
      </c>
      <c r="K35" s="6" t="inlineStr">
        <is>
          <t>9.7%</t>
        </is>
      </c>
      <c r="L35" s="6" t="inlineStr">
        <is>
          <t>8.93%</t>
        </is>
      </c>
      <c r="M35" s="6" t="inlineStr">
        <is>
          <t>8.78%</t>
        </is>
      </c>
      <c r="N35" s="6" t="inlineStr">
        <is>
          <t>7.83%</t>
        </is>
      </c>
    </row>
    <row r="36">
      <c r="A36" s="6" t="inlineStr">
        <is>
          <t>LCR</t>
        </is>
      </c>
      <c r="B36" s="6" t="inlineStr">
        <is>
          <t>350%</t>
        </is>
      </c>
      <c r="C36" s="6" t="inlineStr">
        <is>
          <t>201%</t>
        </is>
      </c>
      <c r="D36" s="6" t="inlineStr">
        <is>
          <t>647%</t>
        </is>
      </c>
      <c r="E36" s="6" t="inlineStr">
        <is>
          <t>384%</t>
        </is>
      </c>
      <c r="F36" s="6" t="inlineStr">
        <is>
          <t>405.1%</t>
        </is>
      </c>
      <c r="G36" s="6" t="inlineStr">
        <is>
          <t>748%</t>
        </is>
      </c>
      <c r="H36" s="6" t="inlineStr">
        <is>
          <t>403%</t>
        </is>
      </c>
      <c r="I36" s="6" t="inlineStr">
        <is>
          <t>524%</t>
        </is>
      </c>
      <c r="J36" s="6" t="inlineStr">
        <is>
          <t>1027%</t>
        </is>
      </c>
      <c r="K36" s="6" t="inlineStr">
        <is>
          <t>1040%</t>
        </is>
      </c>
      <c r="L36" s="6" t="inlineStr">
        <is>
          <t>167.00%</t>
        </is>
      </c>
      <c r="M36" s="6" t="n"/>
      <c r="N36" s="6" t="n"/>
    </row>
    <row r="37">
      <c r="A37" s="6" t="inlineStr">
        <is>
          <t>NSFR</t>
        </is>
      </c>
      <c r="B37" s="6" t="inlineStr">
        <is>
          <t>118%</t>
        </is>
      </c>
      <c r="C37" s="6" t="inlineStr">
        <is>
          <t>121%</t>
        </is>
      </c>
      <c r="D37" s="6" t="inlineStr">
        <is>
          <t>130%</t>
        </is>
      </c>
      <c r="E37" s="6" t="inlineStr">
        <is>
          <t>135%</t>
        </is>
      </c>
      <c r="F37" s="6" t="inlineStr">
        <is>
          <t>128.2%</t>
        </is>
      </c>
      <c r="G37" s="6" t="inlineStr">
        <is>
          <t>146%</t>
        </is>
      </c>
      <c r="H37" s="6" t="inlineStr">
        <is>
          <t>126%</t>
        </is>
      </c>
      <c r="I37" s="6" t="inlineStr">
        <is>
          <t>139%</t>
        </is>
      </c>
      <c r="J37" s="6" t="inlineStr">
        <is>
          <t>171%</t>
        </is>
      </c>
      <c r="K37" s="6" t="inlineStr">
        <is>
          <t>180%</t>
        </is>
      </c>
      <c r="L37" s="6" t="inlineStr">
        <is>
          <t>119%</t>
        </is>
      </c>
      <c r="M37" s="6" t="inlineStr">
        <is>
          <t>131%</t>
        </is>
      </c>
      <c r="N37" s="6" t="inlineStr">
        <is>
          <t>110%</t>
        </is>
      </c>
    </row>
    <row r="39" ht="30" customHeight="1">
      <c r="A39" s="7" t="inlineStr">
        <is>
          <t>Note: Figures are duplicated from the detail sheets for at-a-glance trend viewing. See each sheet's source citation. Dollar amounts are converted to GBP; ratios remain as reported.</t>
        </is>
      </c>
    </row>
  </sheetData>
  <mergeCells count="1">
    <mergeCell ref="A39:S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1" t="inlineStr">
        <is>
          <t>Punjab National Bank (International) Limited — Balance Sheet</t>
        </is>
      </c>
    </row>
    <row r="2">
      <c r="A2" s="2" t="inlineStr">
        <is>
          <t>Entity-level Statement of Financial Position, £'000 converted from the Bank's native US$'000 presentation. Blank cells indicate a line not disclosed/not applicable that year.</t>
        </is>
      </c>
    </row>
    <row r="3">
      <c r="A3" s="4" t="inlineStr">
        <is>
          <t>Line item</t>
        </is>
      </c>
      <c r="B3" s="4" t="inlineStr">
        <is>
          <t>FY2026 (£'000, conv. from USD)</t>
        </is>
      </c>
      <c r="C3" s="4" t="inlineStr">
        <is>
          <t>FY2025 (£'000, conv. from USD)</t>
        </is>
      </c>
      <c r="D3" s="4" t="inlineStr">
        <is>
          <t>FY2024 (£'000, conv. from USD)</t>
        </is>
      </c>
      <c r="E3" s="4" t="inlineStr">
        <is>
          <t>FY2023 (£'000, conv. from USD)</t>
        </is>
      </c>
      <c r="F3" s="4" t="inlineStr">
        <is>
          <t>FY2022 (£'000, conv. from USD)</t>
        </is>
      </c>
      <c r="G3" s="4" t="inlineStr">
        <is>
          <t>FY2021 (£'000, conv. from USD)</t>
        </is>
      </c>
      <c r="H3" s="4" t="inlineStr">
        <is>
          <t>FY2020 (£'000, conv. from USD)</t>
        </is>
      </c>
      <c r="I3" s="4" t="inlineStr">
        <is>
          <t>FY2019 (£'000, conv. from USD)</t>
        </is>
      </c>
      <c r="J3" s="4" t="inlineStr">
        <is>
          <t>FY2018 (£'000, conv. from USD)</t>
        </is>
      </c>
      <c r="K3" s="4" t="inlineStr">
        <is>
          <t>FY2017 (£'000, conv. from USD)</t>
        </is>
      </c>
      <c r="L3" s="4" t="inlineStr">
        <is>
          <t>FY2016 (£'000, conv. from USD)</t>
        </is>
      </c>
      <c r="M3" s="4" t="inlineStr">
        <is>
          <t>FY2015 (£'000, conv. from USD)</t>
        </is>
      </c>
      <c r="N3" s="4" t="inlineStr">
        <is>
          <t>FY2014 (£'000, conv. from USD)</t>
        </is>
      </c>
      <c r="O3" s="4" t="inlineStr">
        <is>
          <t>FY2013 (£'000, conv. from USD)</t>
        </is>
      </c>
      <c r="P3" s="4" t="inlineStr">
        <is>
          <t>FY2012 (£'000, conv. from USD)</t>
        </is>
      </c>
      <c r="Q3" s="4" t="inlineStr">
        <is>
          <t>FY2011 (£'000, conv. from USD)</t>
        </is>
      </c>
      <c r="R3" s="4" t="inlineStr">
        <is>
          <t>FY2010 (£'000, conv. from USD)</t>
        </is>
      </c>
      <c r="S3" s="4" t="inlineStr">
        <is>
          <t>FY2009 (£'000, conv. from USD)</t>
        </is>
      </c>
    </row>
    <row r="4">
      <c r="A4" s="5" t="inlineStr">
        <is>
          <t>Assets</t>
        </is>
      </c>
      <c r="B4" s="6" t="n"/>
      <c r="C4" s="6" t="n"/>
      <c r="D4" s="6" t="n"/>
      <c r="E4" s="6" t="n"/>
      <c r="F4" s="6" t="n"/>
      <c r="G4" s="6" t="n"/>
      <c r="H4" s="6" t="n"/>
      <c r="I4" s="6" t="n"/>
      <c r="J4" s="6" t="n"/>
      <c r="K4" s="6" t="n"/>
      <c r="L4" s="6" t="n"/>
      <c r="M4" s="6" t="n"/>
      <c r="N4" s="6" t="n"/>
      <c r="O4" s="6" t="n"/>
      <c r="P4" s="6" t="n"/>
      <c r="Q4" s="6" t="n"/>
      <c r="R4" s="6" t="n"/>
      <c r="S4" s="6" t="n"/>
    </row>
    <row r="5">
      <c r="A5" s="6" t="inlineStr">
        <is>
          <t>Cash and balances with banks</t>
        </is>
      </c>
      <c r="B5" s="6" t="n">
        <v>106098</v>
      </c>
      <c r="C5" s="6" t="n">
        <v>90436.10000000001</v>
      </c>
      <c r="D5" s="6" t="n">
        <v>106105.1</v>
      </c>
      <c r="E5" s="6" t="n">
        <v>117131.2</v>
      </c>
      <c r="F5" s="6" t="n">
        <v>113811</v>
      </c>
      <c r="G5" s="6" t="n">
        <v>160423.3</v>
      </c>
      <c r="H5" s="6" t="n">
        <v>106530.7</v>
      </c>
      <c r="I5" s="6" t="n">
        <v>120762.1</v>
      </c>
      <c r="J5" s="6" t="n">
        <v>93613.60000000001</v>
      </c>
      <c r="K5" s="6" t="n">
        <v>391788.6</v>
      </c>
      <c r="L5" s="6" t="n">
        <v>167064.3</v>
      </c>
      <c r="M5" s="6" t="n">
        <v>101058.8</v>
      </c>
      <c r="N5" s="6" t="n">
        <v>116688.7</v>
      </c>
      <c r="O5" s="6" t="n">
        <v>87827.5</v>
      </c>
      <c r="P5" s="6" t="n">
        <v>39990</v>
      </c>
      <c r="Q5" s="6" t="n">
        <v>64839.1</v>
      </c>
      <c r="R5" s="6" t="n">
        <v>124111.6</v>
      </c>
      <c r="S5" s="6" t="n">
        <v>154806.4</v>
      </c>
    </row>
    <row r="6">
      <c r="A6" s="6" t="inlineStr">
        <is>
          <t>Financial assets at fair value through profit or loss</t>
        </is>
      </c>
      <c r="B6" s="6" t="n">
        <v>768.9</v>
      </c>
      <c r="C6" s="6" t="n">
        <v>746.7</v>
      </c>
      <c r="D6" s="6" t="n">
        <v>2397.9</v>
      </c>
      <c r="E6" s="6" t="n">
        <v>0</v>
      </c>
      <c r="F6" s="6" t="n">
        <v>7598.4</v>
      </c>
      <c r="G6" s="6" t="n">
        <v>7299.9</v>
      </c>
      <c r="H6" s="6" t="n">
        <v>27078.1</v>
      </c>
      <c r="I6" s="6" t="n">
        <v>18597.1</v>
      </c>
      <c r="J6" s="6" t="n">
        <v>23222.4</v>
      </c>
      <c r="K6" s="6" t="n">
        <v>47947.5</v>
      </c>
      <c r="L6" s="6" t="n">
        <v>34585.5</v>
      </c>
      <c r="M6" s="6" t="n">
        <v>55005.7</v>
      </c>
      <c r="N6" s="6" t="n">
        <v>37253.6</v>
      </c>
      <c r="O6" s="6" t="n">
        <v>78952</v>
      </c>
      <c r="P6" s="6" t="n"/>
      <c r="Q6" s="6" t="n"/>
      <c r="R6" s="6" t="n"/>
      <c r="S6" s="6" t="n"/>
    </row>
    <row r="7">
      <c r="A7" s="6" t="inlineStr">
        <is>
          <t>Derivative financial instruments (asset)</t>
        </is>
      </c>
      <c r="B7" s="6" t="n">
        <v>2217.9</v>
      </c>
      <c r="C7" s="6" t="n">
        <v>120.8</v>
      </c>
      <c r="D7" s="6" t="n">
        <v>11.1</v>
      </c>
      <c r="E7" s="6" t="n">
        <v>5.7</v>
      </c>
      <c r="F7" s="6" t="n">
        <v>808.4</v>
      </c>
      <c r="G7" s="6" t="n">
        <v>1356.2</v>
      </c>
      <c r="H7" s="6" t="n">
        <v>2430.1</v>
      </c>
      <c r="I7" s="6" t="n">
        <v>1943.2</v>
      </c>
      <c r="J7" s="6" t="n">
        <v>8502.799999999999</v>
      </c>
      <c r="K7" s="6" t="n">
        <v>3453.3</v>
      </c>
      <c r="L7" s="6" t="n">
        <v>4168.9</v>
      </c>
      <c r="M7" s="6" t="n">
        <v>2442.2</v>
      </c>
      <c r="N7" s="6" t="n">
        <v>1183.4</v>
      </c>
      <c r="O7" s="6" t="n">
        <v>770</v>
      </c>
      <c r="P7" s="6" t="n">
        <v>1886</v>
      </c>
      <c r="Q7" s="6" t="n"/>
      <c r="R7" s="6" t="n"/>
      <c r="S7" s="6" t="n"/>
    </row>
    <row r="8">
      <c r="A8" s="6" t="inlineStr">
        <is>
          <t>Loans and advances to banks</t>
        </is>
      </c>
      <c r="B8" s="6" t="n">
        <v>1101.8</v>
      </c>
      <c r="C8" s="6" t="n">
        <v>1047.3</v>
      </c>
      <c r="D8" s="6" t="n">
        <v>8309.1</v>
      </c>
      <c r="E8" s="6" t="n">
        <v>676.2</v>
      </c>
      <c r="F8" s="6" t="n">
        <v>531.8</v>
      </c>
      <c r="G8" s="6" t="n">
        <v>22091.9</v>
      </c>
      <c r="H8" s="6" t="n">
        <v>100817.5</v>
      </c>
      <c r="I8" s="6" t="n">
        <v>119471.2</v>
      </c>
      <c r="J8" s="6" t="n">
        <v>239085.7</v>
      </c>
      <c r="K8" s="6" t="n">
        <v>164031.3</v>
      </c>
      <c r="L8" s="6" t="n">
        <v>215922.2</v>
      </c>
      <c r="M8" s="6" t="n">
        <v>228249.5</v>
      </c>
      <c r="N8" s="6" t="n">
        <v>179763.7</v>
      </c>
      <c r="O8" s="6" t="n">
        <v>180631.1</v>
      </c>
      <c r="P8" s="6" t="n">
        <v>217069.6</v>
      </c>
      <c r="Q8" s="6" t="n"/>
      <c r="R8" s="6" t="n"/>
      <c r="S8" s="6" t="n"/>
    </row>
    <row r="9">
      <c r="A9" s="6" t="inlineStr">
        <is>
          <t>Loans and advances to customers</t>
        </is>
      </c>
      <c r="B9" s="6" t="n">
        <v>857718.4</v>
      </c>
      <c r="C9" s="6" t="n">
        <v>700217.7</v>
      </c>
      <c r="D9" s="6" t="n">
        <v>611240.5</v>
      </c>
      <c r="E9" s="6" t="n">
        <v>605546.7</v>
      </c>
      <c r="F9" s="6" t="n">
        <v>601152.6</v>
      </c>
      <c r="G9" s="6" t="n">
        <v>500579.2</v>
      </c>
      <c r="H9" s="6" t="n">
        <v>456636.3</v>
      </c>
      <c r="I9" s="6" t="n">
        <v>462573.3</v>
      </c>
      <c r="J9" s="6" t="n">
        <v>404986.1</v>
      </c>
      <c r="K9" s="6" t="n">
        <v>483890.6</v>
      </c>
      <c r="L9" s="6" t="n">
        <v>745576.6</v>
      </c>
      <c r="M9" s="6" t="n">
        <v>805555.3</v>
      </c>
      <c r="N9" s="6" t="n">
        <v>702060.2</v>
      </c>
      <c r="O9" s="6" t="n">
        <v>589690.4</v>
      </c>
      <c r="P9" s="6" t="n">
        <v>414337</v>
      </c>
      <c r="Q9" s="6" t="n">
        <v>432560.8</v>
      </c>
      <c r="R9" s="6" t="n">
        <v>371447.9</v>
      </c>
      <c r="S9" s="6" t="n">
        <v>237687.5</v>
      </c>
    </row>
    <row r="10">
      <c r="A10" s="6" t="inlineStr">
        <is>
          <t>Investment securities at amortised cost</t>
        </is>
      </c>
      <c r="B10" s="6" t="n">
        <v>47921.6</v>
      </c>
      <c r="C10" s="6" t="n">
        <v>58828</v>
      </c>
      <c r="D10" s="6" t="n">
        <v>51549.2</v>
      </c>
      <c r="E10" s="6" t="n">
        <v>87428</v>
      </c>
      <c r="F10" s="6" t="n">
        <v>67705.5</v>
      </c>
      <c r="G10" s="6" t="n">
        <v>42281.8</v>
      </c>
      <c r="H10" s="6" t="n">
        <v>39883.1</v>
      </c>
      <c r="I10" s="6" t="n">
        <v>38870.3</v>
      </c>
      <c r="J10" s="6" t="n">
        <v>34649.8</v>
      </c>
      <c r="K10" s="6" t="n">
        <v>7144.8</v>
      </c>
      <c r="L10" s="6" t="n">
        <v>814.4</v>
      </c>
      <c r="M10" s="6" t="n">
        <v>1056.1</v>
      </c>
      <c r="N10" s="6" t="n">
        <v>2902.3</v>
      </c>
      <c r="O10" s="6" t="n">
        <v>4090.6</v>
      </c>
      <c r="P10" s="6" t="n">
        <v>12680.1</v>
      </c>
      <c r="Q10" s="6" t="n">
        <v>27966.3</v>
      </c>
      <c r="R10" s="6" t="n">
        <v>21107</v>
      </c>
      <c r="S10" s="6" t="n">
        <v>17844.5</v>
      </c>
    </row>
    <row r="11">
      <c r="A11" s="6" t="inlineStr">
        <is>
          <t>Financial assets at amortised cost (subtotal, as disclosed FY2024-FY2026)</t>
        </is>
      </c>
      <c r="B11" s="6" t="n">
        <v>906741.7</v>
      </c>
      <c r="C11" s="6" t="n">
        <v>760093</v>
      </c>
      <c r="D11" s="6" t="n">
        <v>671098.8</v>
      </c>
      <c r="E11" s="6" t="n"/>
      <c r="F11" s="6" t="n"/>
      <c r="G11" s="6" t="n"/>
      <c r="H11" s="6" t="n"/>
      <c r="I11" s="6" t="n"/>
      <c r="J11" s="6" t="n"/>
      <c r="K11" s="6" t="n"/>
      <c r="L11" s="6" t="n"/>
      <c r="M11" s="6" t="n"/>
      <c r="N11" s="6" t="n"/>
      <c r="O11" s="6" t="n"/>
      <c r="P11" s="6" t="n"/>
      <c r="Q11" s="6" t="n"/>
      <c r="R11" s="6" t="n"/>
      <c r="S11" s="6" t="n"/>
    </row>
    <row r="12">
      <c r="A12" s="6" t="inlineStr">
        <is>
          <t>Financial assets at fair value through other comprehensive income</t>
        </is>
      </c>
      <c r="B12" s="6" t="n">
        <v>84038.5</v>
      </c>
      <c r="C12" s="6" t="n">
        <v>55465.5</v>
      </c>
      <c r="D12" s="6" t="n">
        <v>57683.7</v>
      </c>
      <c r="E12" s="6" t="n">
        <v>44696.7</v>
      </c>
      <c r="F12" s="6" t="n">
        <v>41599.3</v>
      </c>
      <c r="G12" s="6" t="n">
        <v>28494.5</v>
      </c>
      <c r="H12" s="6" t="n">
        <v>28743.9</v>
      </c>
      <c r="I12" s="6" t="n">
        <v>32684.6</v>
      </c>
      <c r="J12" s="6" t="n">
        <v>33169.7</v>
      </c>
      <c r="K12" s="6" t="n">
        <v>43124.7</v>
      </c>
      <c r="L12" s="6" t="n">
        <v>84907.5</v>
      </c>
      <c r="M12" s="6" t="n">
        <v>81336.3</v>
      </c>
      <c r="N12" s="6" t="n">
        <v>99758.89999999999</v>
      </c>
      <c r="O12" s="6" t="n">
        <v>56103.7</v>
      </c>
      <c r="P12" s="6" t="n">
        <v>62059.3</v>
      </c>
      <c r="Q12" s="6" t="n">
        <v>29640.7</v>
      </c>
      <c r="R12" s="6" t="n">
        <v>6843.1</v>
      </c>
      <c r="S12" s="6" t="n"/>
    </row>
    <row r="13">
      <c r="A13" s="6" t="inlineStr">
        <is>
          <t>Right of use lease assets</t>
        </is>
      </c>
      <c r="B13" s="6" t="n">
        <v>3331.8</v>
      </c>
      <c r="C13" s="6" t="n">
        <v>2282</v>
      </c>
      <c r="D13" s="6" t="n">
        <v>2917.2</v>
      </c>
      <c r="E13" s="6" t="n">
        <v>3554.7</v>
      </c>
      <c r="F13" s="6" t="n">
        <v>2334.8</v>
      </c>
      <c r="G13" s="6" t="n">
        <v>2947.2</v>
      </c>
      <c r="H13" s="6" t="n">
        <v>3533.8</v>
      </c>
      <c r="I13" s="6" t="n"/>
      <c r="J13" s="6" t="n"/>
      <c r="K13" s="6" t="n"/>
      <c r="L13" s="6" t="n"/>
      <c r="M13" s="6" t="n"/>
      <c r="N13" s="6" t="n"/>
      <c r="O13" s="6" t="n"/>
      <c r="P13" s="6" t="n"/>
      <c r="Q13" s="6" t="n"/>
      <c r="R13" s="6" t="n"/>
      <c r="S13" s="6" t="n"/>
    </row>
    <row r="14">
      <c r="A14" s="6" t="inlineStr">
        <is>
          <t>Property, plant and equipment</t>
        </is>
      </c>
      <c r="B14" s="6" t="n">
        <v>784</v>
      </c>
      <c r="C14" s="6" t="n">
        <v>183.6</v>
      </c>
      <c r="D14" s="6" t="n">
        <v>227.2</v>
      </c>
      <c r="E14" s="6" t="n">
        <v>251.5</v>
      </c>
      <c r="F14" s="6" t="n">
        <v>297.1</v>
      </c>
      <c r="G14" s="6" t="n">
        <v>357.3</v>
      </c>
      <c r="H14" s="6" t="n">
        <v>370.9</v>
      </c>
      <c r="I14" s="6" t="n">
        <v>409.8</v>
      </c>
      <c r="J14" s="6" t="n">
        <v>494.5</v>
      </c>
      <c r="K14" s="6" t="n">
        <v>769.2</v>
      </c>
      <c r="L14" s="6" t="n">
        <v>1061.3</v>
      </c>
      <c r="M14" s="6" t="n">
        <v>1394.9</v>
      </c>
      <c r="N14" s="6" t="n">
        <v>882.9</v>
      </c>
      <c r="O14" s="6" t="n">
        <v>1137.6</v>
      </c>
      <c r="P14" s="6" t="n">
        <v>634.5</v>
      </c>
      <c r="Q14" s="6" t="n">
        <v>823.5</v>
      </c>
      <c r="R14" s="6" t="n">
        <v>753</v>
      </c>
      <c r="S14" s="6" t="n">
        <v>664.3</v>
      </c>
    </row>
    <row r="15">
      <c r="A15" s="6" t="inlineStr">
        <is>
          <t>Intangible assets</t>
        </is>
      </c>
      <c r="B15" s="6" t="n">
        <v>367.8</v>
      </c>
      <c r="C15" s="6" t="n">
        <v>97.59999999999999</v>
      </c>
      <c r="D15" s="6" t="n">
        <v>142.5</v>
      </c>
      <c r="E15" s="6" t="n">
        <v>186</v>
      </c>
      <c r="F15" s="6" t="n">
        <v>447.5</v>
      </c>
      <c r="G15" s="6" t="n">
        <v>697.3</v>
      </c>
      <c r="H15" s="6" t="n">
        <v>434.6</v>
      </c>
      <c r="I15" s="6" t="n">
        <v>277.8</v>
      </c>
      <c r="J15" s="6" t="n">
        <v>359.2</v>
      </c>
      <c r="K15" s="6" t="n">
        <v>444.6</v>
      </c>
      <c r="L15" s="6" t="n">
        <v>118.2</v>
      </c>
      <c r="M15" s="6" t="n">
        <v>91.59999999999999</v>
      </c>
      <c r="N15" s="6" t="n">
        <v>100.8</v>
      </c>
      <c r="O15" s="6" t="n">
        <v>126.5</v>
      </c>
      <c r="P15" s="6" t="n">
        <v>169</v>
      </c>
      <c r="Q15" s="6" t="n">
        <v>108.5</v>
      </c>
      <c r="R15" s="6" t="n">
        <v>153</v>
      </c>
      <c r="S15" s="6" t="n">
        <v>318.2</v>
      </c>
    </row>
    <row r="16">
      <c r="A16" s="6" t="inlineStr">
        <is>
          <t>Deferred tax assets</t>
        </is>
      </c>
      <c r="B16" s="6" t="n">
        <v>18549.4</v>
      </c>
      <c r="C16" s="6" t="n">
        <v>18931.8</v>
      </c>
      <c r="D16" s="6" t="n">
        <v>19681.8</v>
      </c>
      <c r="E16" s="6" t="n">
        <v>20211.9</v>
      </c>
      <c r="F16" s="6" t="n">
        <v>19111.8</v>
      </c>
      <c r="G16" s="6" t="n">
        <v>17872.6</v>
      </c>
      <c r="H16" s="6" t="n">
        <v>20175</v>
      </c>
      <c r="I16" s="6" t="n">
        <v>18650</v>
      </c>
      <c r="J16" s="6" t="n">
        <v>18036.1</v>
      </c>
      <c r="K16" s="6" t="n">
        <v>20630</v>
      </c>
      <c r="L16" s="6" t="n">
        <v>2668</v>
      </c>
      <c r="M16" s="6" t="n"/>
      <c r="N16" s="6" t="n">
        <v>12</v>
      </c>
      <c r="O16" s="6" t="n">
        <v>32.3</v>
      </c>
      <c r="P16" s="6" t="n">
        <v>20.6</v>
      </c>
      <c r="Q16" s="6" t="n"/>
      <c r="R16" s="6" t="n"/>
      <c r="S16" s="6" t="n">
        <v>3.5</v>
      </c>
    </row>
    <row r="17">
      <c r="A17" s="6" t="inlineStr">
        <is>
          <t>Current tax assets</t>
        </is>
      </c>
      <c r="B17" s="6" t="n"/>
      <c r="C17" s="6" t="n"/>
      <c r="D17" s="6" t="n"/>
      <c r="E17" s="6" t="n"/>
      <c r="F17" s="6" t="n"/>
      <c r="G17" s="6" t="n"/>
      <c r="H17" s="6" t="n"/>
      <c r="I17" s="6" t="n"/>
      <c r="J17" s="6" t="n"/>
      <c r="K17" s="6" t="n"/>
      <c r="L17" s="6" t="n">
        <v>2706.2</v>
      </c>
      <c r="M17" s="6" t="n"/>
      <c r="N17" s="6" t="n"/>
      <c r="O17" s="6" t="n"/>
      <c r="P17" s="6" t="n"/>
      <c r="Q17" s="6" t="n"/>
      <c r="R17" s="6" t="n"/>
      <c r="S17" s="6" t="n"/>
    </row>
    <row r="18">
      <c r="A18" s="6" t="inlineStr">
        <is>
          <t>Prepayments and other receivables</t>
        </is>
      </c>
      <c r="B18" s="6" t="n">
        <v>1194.3</v>
      </c>
      <c r="C18" s="6" t="n">
        <v>865.2</v>
      </c>
      <c r="D18" s="6" t="n">
        <v>467.9</v>
      </c>
      <c r="E18" s="6" t="n">
        <v>431.1</v>
      </c>
      <c r="F18" s="6" t="n">
        <v>291.7</v>
      </c>
      <c r="G18" s="6" t="n">
        <v>425.5</v>
      </c>
      <c r="H18" s="6" t="n">
        <v>378.1</v>
      </c>
      <c r="I18" s="6" t="n">
        <v>488.1</v>
      </c>
      <c r="J18" s="6" t="n">
        <v>446.8</v>
      </c>
      <c r="K18" s="6" t="n">
        <v>419</v>
      </c>
      <c r="L18" s="6" t="n">
        <v>484.1</v>
      </c>
      <c r="M18" s="6" t="n">
        <v>2678.7</v>
      </c>
      <c r="N18" s="6" t="n">
        <v>554.8</v>
      </c>
      <c r="O18" s="6" t="n">
        <v>196.3</v>
      </c>
      <c r="P18" s="6" t="n">
        <v>326</v>
      </c>
      <c r="Q18" s="6" t="n">
        <v>3844.7</v>
      </c>
      <c r="R18" s="6" t="n">
        <v>2751.4</v>
      </c>
      <c r="S18" s="6" t="n">
        <v>2533</v>
      </c>
    </row>
    <row r="19">
      <c r="A19" s="5" t="inlineStr">
        <is>
          <t>Total assets</t>
        </is>
      </c>
      <c r="B19" s="5" t="n">
        <v>1124092.4</v>
      </c>
      <c r="C19" s="5" t="n">
        <v>929222.3</v>
      </c>
      <c r="D19" s="5" t="n">
        <v>860733.1</v>
      </c>
      <c r="E19" s="5" t="n">
        <v>880119.7</v>
      </c>
      <c r="F19" s="5" t="n">
        <v>855689.9</v>
      </c>
      <c r="G19" s="5" t="n">
        <v>784826.8</v>
      </c>
      <c r="H19" s="5" t="n">
        <v>787012</v>
      </c>
      <c r="I19" s="5" t="n">
        <v>814727.6</v>
      </c>
      <c r="J19" s="5" t="n">
        <v>856566.7</v>
      </c>
      <c r="K19" s="5" t="n">
        <v>1163643.6</v>
      </c>
      <c r="L19" s="5" t="n">
        <v>1260077.2</v>
      </c>
      <c r="M19" s="5" t="n">
        <v>1278869.1</v>
      </c>
      <c r="N19" s="5" t="n">
        <v>1141161.2</v>
      </c>
      <c r="O19" s="5" t="n">
        <v>999558</v>
      </c>
      <c r="P19" s="5" t="n">
        <v>749172.1</v>
      </c>
      <c r="Q19" s="5" t="n">
        <v>559782.9</v>
      </c>
      <c r="R19" s="5" t="n">
        <v>527166.9</v>
      </c>
      <c r="S19" s="5" t="n">
        <v>413857.4</v>
      </c>
    </row>
    <row r="20">
      <c r="A20" s="5" t="inlineStr">
        <is>
          <t>Liabilities</t>
        </is>
      </c>
      <c r="B20" s="6" t="n"/>
      <c r="C20" s="6" t="n"/>
      <c r="D20" s="6" t="n"/>
      <c r="E20" s="6" t="n"/>
      <c r="F20" s="6" t="n"/>
      <c r="G20" s="6" t="n"/>
      <c r="H20" s="6" t="n"/>
      <c r="I20" s="6" t="n"/>
      <c r="J20" s="6" t="n"/>
      <c r="K20" s="6" t="n"/>
      <c r="L20" s="6" t="n"/>
      <c r="M20" s="6" t="n"/>
      <c r="N20" s="6" t="n"/>
      <c r="O20" s="6" t="n"/>
      <c r="P20" s="6" t="n"/>
      <c r="Q20" s="6" t="n"/>
      <c r="R20" s="6" t="n"/>
      <c r="S20" s="6" t="n"/>
    </row>
    <row r="21">
      <c r="A21" s="6" t="inlineStr">
        <is>
          <t>Deposits from banks</t>
        </is>
      </c>
      <c r="B21" s="6" t="n">
        <v>38182.4</v>
      </c>
      <c r="C21" s="6" t="n">
        <v>1790.1</v>
      </c>
      <c r="D21" s="6" t="n">
        <v>2606.1</v>
      </c>
      <c r="E21" s="6" t="n">
        <v>1590.9</v>
      </c>
      <c r="F21" s="6" t="n">
        <v>840.3</v>
      </c>
      <c r="G21" s="6" t="n">
        <v>627</v>
      </c>
      <c r="H21" s="6" t="n">
        <v>13001.7</v>
      </c>
      <c r="I21" s="6" t="n">
        <v>43333.8</v>
      </c>
      <c r="J21" s="6" t="n">
        <v>38724.4</v>
      </c>
      <c r="K21" s="6" t="n">
        <v>58920.6</v>
      </c>
      <c r="L21" s="6" t="n">
        <v>123079.7</v>
      </c>
      <c r="M21" s="6" t="n">
        <v>91102.60000000001</v>
      </c>
      <c r="N21" s="6" t="n">
        <v>168394.4</v>
      </c>
      <c r="O21" s="6" t="n">
        <v>76284.8</v>
      </c>
      <c r="P21" s="6" t="n">
        <v>104897.1</v>
      </c>
      <c r="Q21" s="6" t="n"/>
      <c r="R21" s="6" t="n"/>
      <c r="S21" s="6" t="n"/>
    </row>
    <row r="22">
      <c r="A22" s="6" t="inlineStr">
        <is>
          <t>Deposits from customers</t>
        </is>
      </c>
      <c r="B22" s="6" t="n">
        <v>898487.3</v>
      </c>
      <c r="C22" s="6" t="n">
        <v>709869.9</v>
      </c>
      <c r="D22" s="6" t="n">
        <v>642164.3</v>
      </c>
      <c r="E22" s="6" t="n">
        <v>660495</v>
      </c>
      <c r="F22" s="6" t="n">
        <v>651932.1</v>
      </c>
      <c r="G22" s="6" t="n">
        <v>594007.7</v>
      </c>
      <c r="H22" s="6" t="n">
        <v>552382.5</v>
      </c>
      <c r="I22" s="6" t="n">
        <v>561758.3</v>
      </c>
      <c r="J22" s="6" t="n">
        <v>624391.1</v>
      </c>
      <c r="K22" s="6" t="n">
        <v>907373.5</v>
      </c>
      <c r="L22" s="6" t="n">
        <v>944574.3</v>
      </c>
      <c r="M22" s="6" t="n">
        <v>979957.6</v>
      </c>
      <c r="N22" s="6" t="n">
        <v>816382.8</v>
      </c>
      <c r="O22" s="6" t="n">
        <v>786915.9</v>
      </c>
      <c r="P22" s="6" t="n">
        <v>539040.7</v>
      </c>
      <c r="Q22" s="6" t="n">
        <v>486724.3</v>
      </c>
      <c r="R22" s="6" t="n">
        <v>469340</v>
      </c>
      <c r="S22" s="6" t="n">
        <v>373371</v>
      </c>
    </row>
    <row r="23">
      <c r="A23" s="6" t="inlineStr">
        <is>
          <t>Derivative financial instruments (liability)</t>
        </is>
      </c>
      <c r="B23" s="6" t="n">
        <v>12.1</v>
      </c>
      <c r="C23" s="6" t="n">
        <v>1139.4</v>
      </c>
      <c r="D23" s="6" t="n">
        <v>125.9</v>
      </c>
      <c r="E23" s="6" t="n">
        <v>125.4</v>
      </c>
      <c r="F23" s="6" t="n">
        <v>224.1</v>
      </c>
      <c r="G23" s="6" t="n">
        <v>18.1</v>
      </c>
      <c r="H23" s="6" t="n">
        <v>1175.5</v>
      </c>
      <c r="I23" s="6" t="n">
        <v>968.5</v>
      </c>
      <c r="J23" s="6" t="n">
        <v>922.8</v>
      </c>
      <c r="K23" s="6" t="n">
        <v>363.8</v>
      </c>
      <c r="L23" s="6" t="n">
        <v>10393.7</v>
      </c>
      <c r="M23" s="6" t="n">
        <v>14594.2</v>
      </c>
      <c r="N23" s="6" t="n">
        <v>121.2</v>
      </c>
      <c r="O23" s="6" t="n">
        <v>3844.3</v>
      </c>
      <c r="P23" s="6" t="n">
        <v>123.9</v>
      </c>
      <c r="Q23" s="6" t="n"/>
      <c r="R23" s="6" t="n"/>
      <c r="S23" s="6" t="n"/>
    </row>
    <row r="24">
      <c r="A24" s="6" t="inlineStr">
        <is>
          <t>Current tax liability</t>
        </is>
      </c>
      <c r="B24" s="6" t="n"/>
      <c r="C24" s="6" t="n"/>
      <c r="D24" s="6" t="n"/>
      <c r="E24" s="6" t="n">
        <v>0</v>
      </c>
      <c r="F24" s="6" t="n">
        <v>0</v>
      </c>
      <c r="G24" s="6" t="n"/>
      <c r="H24" s="6" t="n"/>
      <c r="I24" s="6" t="n">
        <v>242.5</v>
      </c>
      <c r="J24" s="6" t="n"/>
      <c r="K24" s="6" t="n"/>
      <c r="L24" s="6" t="n">
        <v>0</v>
      </c>
      <c r="M24" s="6" t="n">
        <v>1607.7</v>
      </c>
      <c r="N24" s="6" t="n">
        <v>-152.3</v>
      </c>
      <c r="O24" s="6" t="n">
        <v>714.7</v>
      </c>
      <c r="P24" s="6" t="n">
        <v>381.7</v>
      </c>
      <c r="Q24" s="6" t="n">
        <v>35.6</v>
      </c>
      <c r="R24" s="6" t="n">
        <v>567</v>
      </c>
      <c r="S24" s="6" t="n">
        <v>399.1</v>
      </c>
    </row>
    <row r="25">
      <c r="A25" s="6" t="inlineStr">
        <is>
          <t>Deferred tax liabilities</t>
        </is>
      </c>
      <c r="B25" s="6" t="n"/>
      <c r="C25" s="6" t="n"/>
      <c r="D25" s="6" t="n"/>
      <c r="E25" s="6" t="n"/>
      <c r="F25" s="6" t="n"/>
      <c r="G25" s="6" t="n"/>
      <c r="H25" s="6" t="n"/>
      <c r="I25" s="6" t="n"/>
      <c r="J25" s="6" t="n"/>
      <c r="K25" s="6" t="n"/>
      <c r="L25" s="6" t="n">
        <v>39.6</v>
      </c>
      <c r="M25" s="6" t="n">
        <v>60.6</v>
      </c>
      <c r="N25" s="6" t="n"/>
      <c r="O25" s="6" t="n"/>
      <c r="P25" s="6" t="n"/>
      <c r="Q25" s="6" t="n">
        <v>6.2</v>
      </c>
      <c r="R25" s="6" t="n">
        <v>3.3</v>
      </c>
      <c r="S25" s="6" t="n"/>
    </row>
    <row r="26">
      <c r="A26" s="6" t="inlineStr">
        <is>
          <t>Repurchase agreement - non trading</t>
        </is>
      </c>
      <c r="B26" s="6" t="n">
        <v>0</v>
      </c>
      <c r="C26" s="6" t="n">
        <v>16164.2</v>
      </c>
      <c r="D26" s="6" t="n"/>
      <c r="E26" s="6" t="n"/>
      <c r="F26" s="6" t="n"/>
      <c r="G26" s="6" t="n"/>
      <c r="H26" s="6" t="n"/>
      <c r="I26" s="6" t="n"/>
      <c r="J26" s="6" t="n"/>
      <c r="K26" s="6" t="n"/>
      <c r="L26" s="6" t="n"/>
      <c r="M26" s="6" t="n"/>
      <c r="N26" s="6" t="n"/>
      <c r="O26" s="6" t="n"/>
      <c r="P26" s="6" t="n"/>
      <c r="Q26" s="6" t="n"/>
      <c r="R26" s="6" t="n"/>
      <c r="S26" s="6" t="n"/>
    </row>
    <row r="27">
      <c r="A27" s="6" t="inlineStr">
        <is>
          <t>Lease liability</t>
        </is>
      </c>
      <c r="B27" s="6" t="n">
        <v>3490.3</v>
      </c>
      <c r="C27" s="6" t="n">
        <v>2457.8</v>
      </c>
      <c r="D27" s="6" t="n">
        <v>3063.6</v>
      </c>
      <c r="E27" s="6" t="n">
        <v>3657.4</v>
      </c>
      <c r="F27" s="6" t="n">
        <v>2435</v>
      </c>
      <c r="G27" s="6" t="n">
        <v>3030.6</v>
      </c>
      <c r="H27" s="6" t="n">
        <v>3582.2</v>
      </c>
      <c r="I27" s="6" t="n"/>
      <c r="J27" s="6" t="n"/>
      <c r="K27" s="6" t="n"/>
      <c r="L27" s="6" t="n"/>
      <c r="M27" s="6" t="n"/>
      <c r="N27" s="6" t="n"/>
      <c r="O27" s="6" t="n"/>
      <c r="P27" s="6" t="n"/>
      <c r="Q27" s="6" t="n"/>
      <c r="R27" s="6" t="n"/>
      <c r="S27" s="6" t="n"/>
    </row>
    <row r="28">
      <c r="A28" s="6" t="inlineStr">
        <is>
          <t>Other liabilities</t>
        </is>
      </c>
      <c r="B28" s="6" t="n">
        <v>1654.5</v>
      </c>
      <c r="C28" s="6" t="n">
        <v>2395</v>
      </c>
      <c r="D28" s="6" t="n">
        <v>2089.1</v>
      </c>
      <c r="E28" s="6" t="n">
        <v>1271.4</v>
      </c>
      <c r="F28" s="6" t="n">
        <v>4037.4</v>
      </c>
      <c r="G28" s="6" t="n">
        <v>2968.3</v>
      </c>
      <c r="H28" s="6" t="n">
        <v>2740.5</v>
      </c>
      <c r="I28" s="6" t="n">
        <v>3613.2</v>
      </c>
      <c r="J28" s="6" t="n">
        <v>4669.7</v>
      </c>
      <c r="K28" s="6" t="n">
        <v>3608.4</v>
      </c>
      <c r="L28" s="6" t="n">
        <v>5587.7</v>
      </c>
      <c r="M28" s="6" t="n">
        <v>7585.4</v>
      </c>
      <c r="N28" s="6" t="n">
        <v>6873.4</v>
      </c>
      <c r="O28" s="6" t="n">
        <v>4281.7</v>
      </c>
      <c r="P28" s="6" t="n">
        <v>4047.3</v>
      </c>
      <c r="Q28" s="6" t="n">
        <v>5861.5</v>
      </c>
      <c r="R28" s="6" t="n">
        <v>3429.2</v>
      </c>
      <c r="S28" s="6" t="n">
        <v>3364.7</v>
      </c>
    </row>
    <row r="29">
      <c r="A29" s="6" t="inlineStr">
        <is>
          <t>Subordinated bonds and other borrowed funds</t>
        </is>
      </c>
      <c r="B29" s="6" t="n">
        <v>23503.9</v>
      </c>
      <c r="C29" s="6" t="n">
        <v>31842</v>
      </c>
      <c r="D29" s="6" t="n">
        <v>40573.1</v>
      </c>
      <c r="E29" s="6" t="n">
        <v>40440</v>
      </c>
      <c r="F29" s="6" t="n">
        <v>37988.1</v>
      </c>
      <c r="G29" s="6" t="n"/>
      <c r="H29" s="6" t="n">
        <v>40312.8</v>
      </c>
      <c r="I29" s="6" t="n">
        <v>38373</v>
      </c>
      <c r="J29" s="6" t="n">
        <v>35630.3</v>
      </c>
      <c r="K29" s="6" t="n">
        <v>39977.6</v>
      </c>
      <c r="L29" s="6" t="n">
        <v>52163</v>
      </c>
      <c r="M29" s="6" t="n">
        <v>43779.9</v>
      </c>
      <c r="N29" s="6" t="n">
        <v>32987.5</v>
      </c>
      <c r="O29" s="6" t="n">
        <v>32935.9</v>
      </c>
      <c r="P29" s="6" t="n">
        <v>23465.4</v>
      </c>
      <c r="Q29" s="6" t="n"/>
      <c r="R29" s="6" t="n"/>
      <c r="S29" s="6" t="n"/>
    </row>
    <row r="30">
      <c r="A30" s="5" t="inlineStr">
        <is>
          <t>Total liabilities</t>
        </is>
      </c>
      <c r="B30" s="5" t="n">
        <v>965330.6</v>
      </c>
      <c r="C30" s="5" t="n">
        <v>765658.4</v>
      </c>
      <c r="D30" s="5" t="n">
        <v>690622.2</v>
      </c>
      <c r="E30" s="5" t="n">
        <v>707580.1</v>
      </c>
      <c r="F30" s="5" t="n">
        <v>697457.1</v>
      </c>
      <c r="G30" s="5" t="n">
        <v>636894</v>
      </c>
      <c r="H30" s="5" t="n">
        <v>613195.2</v>
      </c>
      <c r="I30" s="5" t="n">
        <v>648289.3</v>
      </c>
      <c r="J30" s="5" t="n">
        <v>704338.3</v>
      </c>
      <c r="K30" s="5" t="n">
        <v>1010243.9</v>
      </c>
      <c r="L30" s="5" t="n">
        <v>1135838.1</v>
      </c>
      <c r="M30" s="5" t="n">
        <v>1138688</v>
      </c>
      <c r="N30" s="5" t="n">
        <v>1024606.8</v>
      </c>
      <c r="O30" s="5" t="n">
        <v>904977.3</v>
      </c>
      <c r="P30" s="5" t="n">
        <v>671956.1</v>
      </c>
      <c r="Q30" s="5" t="n">
        <v>492627.6</v>
      </c>
      <c r="R30" s="5" t="n">
        <v>473339.5</v>
      </c>
      <c r="S30" s="5" t="n">
        <v>377134.9</v>
      </c>
    </row>
    <row r="31">
      <c r="A31" s="5" t="inlineStr">
        <is>
          <t>Equity</t>
        </is>
      </c>
      <c r="B31" s="6" t="n"/>
      <c r="C31" s="6" t="n"/>
      <c r="D31" s="6" t="n"/>
      <c r="E31" s="6" t="n"/>
      <c r="F31" s="6" t="n"/>
      <c r="G31" s="6" t="n"/>
      <c r="H31" s="6" t="n"/>
      <c r="I31" s="6" t="n"/>
      <c r="J31" s="6" t="n"/>
      <c r="K31" s="6" t="n"/>
      <c r="L31" s="6" t="n"/>
      <c r="M31" s="6" t="n"/>
      <c r="N31" s="6" t="n"/>
      <c r="O31" s="6" t="n"/>
      <c r="P31" s="6" t="n"/>
      <c r="Q31" s="6" t="n"/>
      <c r="R31" s="6" t="n"/>
      <c r="S31" s="6" t="n"/>
    </row>
    <row r="32">
      <c r="A32" s="6" t="inlineStr">
        <is>
          <t>Share capital</t>
        </is>
      </c>
      <c r="B32" s="6" t="n">
        <v>242365</v>
      </c>
      <c r="C32" s="6" t="n">
        <v>247584</v>
      </c>
      <c r="D32" s="6" t="n">
        <v>253032.8</v>
      </c>
      <c r="E32" s="6" t="n">
        <v>258517.5</v>
      </c>
      <c r="F32" s="6" t="n">
        <v>242843.8</v>
      </c>
      <c r="G32" s="6" t="n">
        <v>231683.8</v>
      </c>
      <c r="H32" s="6" t="n">
        <v>257704.6</v>
      </c>
      <c r="I32" s="6" t="n">
        <v>245303.9</v>
      </c>
      <c r="J32" s="6" t="n">
        <v>227771</v>
      </c>
      <c r="K32" s="6" t="n">
        <v>239570.6</v>
      </c>
      <c r="L32" s="6" t="n">
        <v>121457.1</v>
      </c>
      <c r="M32" s="6" t="n">
        <v>117620.4</v>
      </c>
      <c r="N32" s="6" t="n">
        <v>104738.8</v>
      </c>
      <c r="O32" s="6" t="n">
        <v>82096.7</v>
      </c>
      <c r="P32" s="6" t="n">
        <v>70165.2</v>
      </c>
      <c r="Q32" s="6" t="n">
        <v>62152.8</v>
      </c>
      <c r="R32" s="6" t="n">
        <v>49206.2</v>
      </c>
      <c r="S32" s="6" t="n">
        <v>34631.9</v>
      </c>
    </row>
    <row r="33">
      <c r="A33" s="6" t="inlineStr">
        <is>
          <t>Fair value reserve</t>
        </is>
      </c>
      <c r="B33" s="6" t="n">
        <v>-93.3</v>
      </c>
      <c r="C33" s="6" t="n">
        <v>216.1</v>
      </c>
      <c r="D33" s="6" t="n">
        <v>-638.9</v>
      </c>
      <c r="E33" s="6" t="n">
        <v>-797.5</v>
      </c>
      <c r="F33" s="6" t="n">
        <v>-982.4</v>
      </c>
      <c r="G33" s="6" t="n">
        <v>49.3</v>
      </c>
      <c r="H33" s="6" t="n">
        <v>-1012.7</v>
      </c>
      <c r="I33" s="6" t="n">
        <v>-466.6</v>
      </c>
      <c r="J33" s="6" t="n">
        <v>-824.5</v>
      </c>
      <c r="K33" s="6" t="n">
        <v>-27.2</v>
      </c>
      <c r="L33" s="6" t="n">
        <v>271.2</v>
      </c>
      <c r="M33" s="6" t="n">
        <v>1179.4</v>
      </c>
      <c r="N33" s="6" t="n">
        <v>-3002.5</v>
      </c>
      <c r="O33" s="6" t="n">
        <v>82.3</v>
      </c>
      <c r="P33" s="6" t="n">
        <v>-2098.1</v>
      </c>
      <c r="Q33" s="6" t="n">
        <v>-146</v>
      </c>
      <c r="R33" s="6" t="n">
        <v>103.5</v>
      </c>
      <c r="S33" s="6" t="n">
        <v>0</v>
      </c>
    </row>
    <row r="34">
      <c r="A34" s="6" t="inlineStr">
        <is>
          <t>Retained earnings</t>
        </is>
      </c>
      <c r="B34" s="6" t="n">
        <v>-83510</v>
      </c>
      <c r="C34" s="6" t="n">
        <v>-84236.3</v>
      </c>
      <c r="D34" s="6" t="n">
        <v>-82283.10000000001</v>
      </c>
      <c r="E34" s="6" t="n">
        <v>-85180.39999999999</v>
      </c>
      <c r="F34" s="6" t="n">
        <v>-83628.60000000001</v>
      </c>
      <c r="G34" s="6" t="n">
        <v>-83800.39999999999</v>
      </c>
      <c r="H34" s="6" t="n">
        <v>-82875.10000000001</v>
      </c>
      <c r="I34" s="6" t="n">
        <v>-78399.10000000001</v>
      </c>
      <c r="J34" s="6" t="n">
        <v>-74718.2</v>
      </c>
      <c r="K34" s="6" t="n">
        <v>-86143.8</v>
      </c>
      <c r="L34" s="6" t="n">
        <v>2510.8</v>
      </c>
      <c r="M34" s="6" t="n">
        <v>21381.4</v>
      </c>
      <c r="N34" s="6" t="n">
        <v>14818</v>
      </c>
      <c r="O34" s="6" t="n">
        <v>12401.7</v>
      </c>
      <c r="P34" s="6" t="n">
        <v>9149</v>
      </c>
      <c r="Q34" s="6" t="n">
        <v>5149.1</v>
      </c>
      <c r="R34" s="6" t="n">
        <v>4517.7</v>
      </c>
      <c r="S34" s="6" t="n">
        <v>2091.3</v>
      </c>
    </row>
    <row r="35">
      <c r="A35" s="5" t="inlineStr">
        <is>
          <t>Total equity</t>
        </is>
      </c>
      <c r="B35" s="5" t="n">
        <v>158761.8</v>
      </c>
      <c r="C35" s="5" t="n">
        <v>163563.9</v>
      </c>
      <c r="D35" s="5" t="n">
        <v>170110.8</v>
      </c>
      <c r="E35" s="5" t="n">
        <v>172539.6</v>
      </c>
      <c r="F35" s="5" t="n">
        <v>158232.8</v>
      </c>
      <c r="G35" s="5" t="n">
        <v>147932.7</v>
      </c>
      <c r="H35" s="5" t="n">
        <v>173816.8</v>
      </c>
      <c r="I35" s="5" t="n">
        <v>166438.2</v>
      </c>
      <c r="J35" s="5" t="n">
        <v>152228.3</v>
      </c>
      <c r="K35" s="5" t="n">
        <v>153399.7</v>
      </c>
      <c r="L35" s="5" t="n">
        <v>124239.1</v>
      </c>
      <c r="M35" s="5" t="n">
        <v>140181.2</v>
      </c>
      <c r="N35" s="5" t="n">
        <v>116554.3</v>
      </c>
      <c r="O35" s="5" t="n">
        <v>94580.7</v>
      </c>
      <c r="P35" s="5" t="n">
        <v>77216.10000000001</v>
      </c>
      <c r="Q35" s="5" t="n">
        <v>67155.3</v>
      </c>
      <c r="R35" s="5" t="n">
        <v>53827.4</v>
      </c>
      <c r="S35" s="5" t="n">
        <v>36723.2</v>
      </c>
    </row>
    <row r="36">
      <c r="A36" s="5" t="inlineStr">
        <is>
          <t>Total liabilities and equity</t>
        </is>
      </c>
      <c r="B36" s="5" t="n">
        <v>1124092.4</v>
      </c>
      <c r="C36" s="5" t="n">
        <v>929222.3</v>
      </c>
      <c r="D36" s="5" t="n">
        <v>860733.1</v>
      </c>
      <c r="E36" s="5" t="n">
        <v>880119.7</v>
      </c>
      <c r="F36" s="5" t="n">
        <v>855689.9</v>
      </c>
      <c r="G36" s="5" t="n">
        <v>784826.8</v>
      </c>
      <c r="H36" s="5" t="n">
        <v>787012</v>
      </c>
      <c r="I36" s="5" t="n">
        <v>814727.6</v>
      </c>
      <c r="J36" s="5" t="n">
        <v>856566.7</v>
      </c>
      <c r="K36" s="5" t="n">
        <v>1163643.6</v>
      </c>
      <c r="L36" s="5" t="n">
        <v>1260077.2</v>
      </c>
      <c r="M36" s="5" t="n">
        <v>1278869.1</v>
      </c>
      <c r="N36" s="5" t="n">
        <v>1141161.2</v>
      </c>
      <c r="O36" s="5" t="n">
        <v>999558</v>
      </c>
      <c r="P36" s="5" t="n">
        <v>749172.1</v>
      </c>
      <c r="Q36" s="5" t="n">
        <v>559782.9</v>
      </c>
      <c r="R36" s="5" t="n">
        <v>527166.9</v>
      </c>
      <c r="S36" s="5" t="n">
        <v>413858.1</v>
      </c>
    </row>
    <row r="38" ht="390" customHeight="1">
      <c r="A38" s="8" t="inlineStr">
        <is>
          <t>Sources - Punjab National Bank (International) Limited entity-level Balance Sheet / Profit &amp; Loss / Statement of Changes in Equity (native unit $'000):
FY2026: Annual Report and Accounts 2026, Statement of Financial Position/Comprehensive Income/Changes in Equity, printed pp.47-49 - https://www.pnbint.com/PNBIL/pdf/Financial_Reports/PNBIL-Annual-Report-2026.pdf
FY2025: Annual Report and Accounts 2025, printed pp.46-48 - https://www.pnbint.com/PNBIL/pdf/Financial_Reports/PNBIL%20Annual%20Report%202025.pdf
FY2024: Annual Report and Accounts 2024, printed pp.41-43 - https://www.pnbint.com/PNBIL/pdf/Financial_Reports/Annual_Report_31-03-2024.pdf
FY2023: Annual Report and Accounts 2023, printed pp.36-38 - https://www.pnbint.com/PNBIL/pdf/Financial_Reports/PNBIL_Annual_Report_2023.pdf
FY2022: Annual Report and Accounts 2022, printed pp.33-35 - https://www.pnbint.com/PNBIL/pdf/Financial_Reports/AnnualReport20220331.pdf
FY2020: Annual Report and Accounts 2020, printed pp.26-28 - https://www.pnbint.com/PNBIL/pdf/Financial_Reports/Annual%20Report%2031-03-20_latest.pdf
FY2019: Annual Report and Accounts 2019, printed pp.29-31 - https://www.pnbint.com/PNBIL/pdf/Financial_Reports/Annual%20Report%2031-03-19.pdf
FY2018: Annual Report and Accounts 2018, printed pp.29-31 - https://www.pnbint.com/PNBIL/pdf/Financial_Reports/Annual%20Report%2031-03-18.pdf
FY2017: Annual Report and Accounts 2018's own FY2017 comparative columns, printed pp.29-32 - https://www.pnbint.com/PNBIL/pdf/Financial_Reports/Annual%20Report%2031-03-18.pdf (native-text PDF; used in preference to FY2017's own scanned/OCR'd report at https://www.pnbint.com/PNBIL/pdf/Financial_Reports/SIGNED%20ANNUAL%20REPORT-1617.pdf for higher transcription confidence, cross-checked against it)
FY2016: Annual Report and Accounts 2016, printed pp.20-25 - https://www.pnbint.com/PNBIL/pdf/Financial_Reports/Annual%20Report%2031-03-16.pdf (OCR'd from a scanned PDF; each total independently verified by summing the disclosed line items)
FY2015: Annual Report and Accounts 2015, printed pp.18-21 - https://www.pnbint.com/PNBIL/pdf/Financial_Reports/Annual%20Report%2031.03.2015.pdf (OCR'd from a scanned PDF; some liability/equity lines not shown on the FY2015 report's own face were taken from Annual Report and Accounts 2016's FY2015 comparative column and verified to sum exactly to FY2015's own disclosed Total liabilities of $1,690,610k)
FY2014: Annual Report and Accounts 2014, printed p.17 - https://www.pnbint.com/PNBIL/pdf/Financial_Reports/Annualreport31-03-2014.pdf (OCR'd from a scanned PDF; the Statement of Financial Position was additionally verified against a 250dpi rendered page image line-by-line because of poor OCR quality on this particular scan)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USD-to-GBP conversion: cash-flow flows use the Bank of England XUDLUSS average rate for the 1 April-31 March financial year, while cash balances and Pillar 3 dollar amounts use the final available Bank of England spot rate at 31 March. Rates (£1 = $X) were FY2022 1.3662 average/1.3162 spot, FY2023 1.2045/1.2364, FY2024 1.2568/1.2632, FY2025 1.2763/1.2910, and FY2026 1.3404/1.3188. The FY2022 opening balance uses the 31 March 2021 spot rate of 1.3796. Ratios remain exactly as reported because they are dimensionless. A computed GBP translation line reconciles the use of different flow and stock rates; it is not a Bank-reported cash-flow line.
HD-048 (2026-09-05/06) FY2014-FY2020 extension: same BoE XUDLUSS series, same average/spot convention. Rates (£1 = $X) were FY2014 1.5900 average/1.6673 spot, FY2015 1.6125/1.4847, FY2016 1.5082/1.4378, FY2017 1.3067/1.2507, FY2018 1.3273/1.4033, FY2019 1.3130/1.3030, FY2020 1.2708/1.2403. The FY2014 opening balance uses the 31 March 2013 spot rate of 1.5181. FY2021 uses the Bank of England XUDLUSS spot/average rates 1.3796/1.3193 and is now included from the Bank's own 2021 filings.
GBP CONVERSION NOTE (Balance Sheet/Equity balances, Profit &amp; Loss/Equity movements): balance-date figures (Balance Sheet lines, equity opening/closing balances) use the 31 March spot rate of that balance date; period figures (Profit &amp; Loss lines, equity movement rows) use the financial year's average rate. Because these are two different rates, a computed 'GBP translation adjustment' row is shown on the equity sheet for each year to keep the GBP columns arithmetically closed - it is not a Bank-reported line.
HD-048 IAS 39-TO-IFRS 9 CLASSIFICATION BRIDGE NOTE: FY2014-FY2018 predate the Bank's IFRS 9 adoption (first applied FY2019 - see the Statement of Changes in Equity's 'IFRS 9 adoption' transition row). Those years' IAS 39 categories are mapped onto this sheet's IFRS 9-era row labels by nearest economic equivalent: 'Investment securities - held for trading' is shown as 'Financial assets at fair value through profit or loss'; 'Investment securities - available for sale' is shown as 'Financial assets at fair value through other comprehensive income'; 'Investment securities - held to maturity' is shown as 'Investment securities at amortised cost'. Right of use lease assets/Lease liability are blank pre-FY2020 because IFRS 16 was not yet adopted. 'Deferred tax liabilities' and 'Current tax assets' are additional line items only disclosed in some FY2014-FY2016 years and are shown as their own rows, blank elsewhere.
HD-073 (2026-09-06/07) FY2009-FY2013 extension: same BoE XUDLUSS series, same average/spot convention as FX_NOTE above. Rates (£1 = $X) were FY2009 1.7190 average/1.4331 spot, FY2010 1.5975/1.5167, FY2011 1.5572/1.6030, FY2012 1.5949/1.5981, FY2013 1.5804/1.5181. The FY2009 opening balance uses the 31 March 2008 spot rate; the Bank's own FY2009 report does not disclose that comparative in the same cash-flow basis, so no FY2008 column is shown.
HD-073 (2026-09-06/07) FY2009-FY2013 extension, sourced from the Bank's own Companies House statutory filings (company 05781326), native-text PDFs, no OCR needed:</t>
        </is>
      </c>
    </row>
    <row r="40" ht="380" customHeight="1">
      <c r="A40" s="8" t="inlineStr">
        <is>
          <t>(continued)
FY2013: Financial Statements for the year ended 31 March 2013, Statement of Financial Position printed p.14, Income Statement printed p.15 - https://find-and-update.company-information.service.gov.uk/company/05781326/filing-history/MzA3ODE0ODk4NWFkaXF6a2N4/document?format=pdf&amp;download=0
FY2012: Financial Statements as at 31 March 2012, Income Statement printed p.12, Statement of Financial Position printed pp.15-16, Statement of Changes in Equity printed p.14 - https://find-and-update.company-information.service.gov.uk/company/05781326/filing-history/MzA1ODIxNjY3NGFkaXF6a2N4/document?format=pdf&amp;download=0 (also used, for the FY2013 Balance Sheet/Profit &amp; Loss sheet's FY2012 comparative-column cross-check: FY2013's own clean $'000 comparative column, same document as the FY2013 row above)
FY2011: Financial Statements as at 31 March 2011, Income Statement printed p.9, Statement of Financial Position printed p.12, Statement of Changes in Equity printed p.11 - https://find-and-update.company-information.service.gov.uk/company/05781326/filing-history/MzAzNzc2OTM0OWFkaXF6a2N4/document?format=pdf&amp;download=0
FY2010: Financial Statements as at 31 March 2010, Income Statement printed p.9, Statement of Financial Position printed p.12, Statement of Changes in Equity printed p.11 - https://find-and-update.company-information.service.gov.uk/company/05781326/filing-history/MzAxNjI2OTk3OGFkaXF6a2N4/document?format=pdf&amp;download=0
FY2009: Financial Statements as at 31 March 2009, Income Statement printed p.9, Balance Sheet printed p.11, Statement of Changes in Equity printed p.10 - https://find-and-update.company-information.service.gov.uk/company/05781326/filing-history/MjAzNDA5MDE2NWFkaXF6a2N4/document?format=pdf&amp;download=0
HD-073 PRE-2013 PRESENTATION BRIDGE NOTE: FY2009-FY2012 predate the Bank's split of the balance sheet into the FY2013-onward category set (Loans and advances to banks/customers shown separately, Deposits from banks/customers shown separately, a standalone Derivative financial instruments line). FY2012's Balance Sheet is taken from FY2013's own Annual Report FY2012 comparative column (a clean, native-text $'000 table using the newer categories directly - cross-checked against FY2012's own Annual Report for all totals, which matched exactly). FY2009-FY2011 predate that split entirely in every report reviewed; this workbook maps their own combined 'Loans and receivables' (plus, where separately disclosed, 'Customer overdrafts' and 'Bills purchased') onto 'Loans and advances to customers', and their combined 'Interest bearing borrowings' (plus 'Non-interest bearing borrowings') onto 'Deposits from customers', since none of the three years' own filings separately discloses a banks/customers split - a genuine, disclosed structural absence, not an omission. FY2010's own report separately introduces a 'Customer overdrafts' balance sheet line not present in FY2009's own report (which shows a single combined 'Cash and cash equivalents' figure instead) - see the Cash Flow sheet's CASH-BASIS DISCONTINUITY NOTE for the matching effect on cash. A further, genuine restatement is disclosed in the FY2013 Annual Report's own Note 35 affecting the 1 April 2011 (FY2011 closing) balances; this workbook shows FY2011's own as-originally-published closing Balance Sheet and Statement of Changes in Equity figures rather than that later restated comparative, per this project's standing convention.
DATA QUALITY FLAG: FY2022's Balance Sheet uses the Bank's own FY2022 Annual Report figures (Total assets $1,126,259k, Loans and advances to customers $791,237k). AR2023's own FY2022 comparative column later shows different figures ($1,123,130k / $788,108k) with no explanatory note found - a genuine cross-report inconsistency in the Bank's own disclosures, not a transcription error here; each year's own originally-published figure is used per this project's convention. Separately, FY2024's Deferred tax assets ($24,862k, AR2024's own figure) differs by exactly $233k from AR2025's own FY2024 comparative ($24,629k) - this is the same restatement AR2025 itself discloses affecting the fair value reserve (see Note 28/Note 35, also visible on the Statement of Changes in Equity sheet's bridging row).</t>
        </is>
      </c>
    </row>
  </sheetData>
  <mergeCells count="2">
    <mergeCell ref="A38:S38"/>
    <mergeCell ref="A40:S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1" t="inlineStr">
        <is>
          <t>Punjab National Bank (International) Limited — Profit &amp; Loss</t>
        </is>
      </c>
    </row>
    <row r="2">
      <c r="A2" s="2" t="inlineStr">
        <is>
          <t>Entity-level Statement of Comprehensive Income, £'000 converted from the Bank's native US$'000 presentation. Full Income Statement detail (interest income/expense, fee income, operating income/expenses, impairment, profit before tax) is shown FY2017-FY2026 only - see the FY2009-FY2016 GAP NOTE in this sheet's citation for why the earlier ten years keep only the single bottom-line Profit after tax row. OCI's underlying line-item structure changed between FY2024 and FY2025, and again predates IFRS 9 for FY2009-FY2020 - each era shown on its own contemporaneous basis; only Profit after tax and the two OCI Total rows are directly comparable across all 18 years. FY2009 has no OCI (no separate Statement of Comprehensive Income exists in that year's own filing).</t>
        </is>
      </c>
    </row>
    <row r="3">
      <c r="A3" s="4" t="inlineStr">
        <is>
          <t>Line item</t>
        </is>
      </c>
      <c r="B3" s="4" t="inlineStr">
        <is>
          <t>FY2026 (£'000, conv. from USD)</t>
        </is>
      </c>
      <c r="C3" s="4" t="inlineStr">
        <is>
          <t>FY2025 (£'000, conv. from USD)</t>
        </is>
      </c>
      <c r="D3" s="4" t="inlineStr">
        <is>
          <t>FY2024 (£'000, conv. from USD)</t>
        </is>
      </c>
      <c r="E3" s="4" t="inlineStr">
        <is>
          <t>FY2023 (£'000, conv. from USD)</t>
        </is>
      </c>
      <c r="F3" s="4" t="inlineStr">
        <is>
          <t>FY2022 (£'000, conv. from USD)</t>
        </is>
      </c>
      <c r="G3" s="4" t="inlineStr">
        <is>
          <t>FY2021 (£'000, conv. from USD)</t>
        </is>
      </c>
      <c r="H3" s="4" t="inlineStr">
        <is>
          <t>FY2020 (£'000, conv. from USD)</t>
        </is>
      </c>
      <c r="I3" s="4" t="inlineStr">
        <is>
          <t>FY2019 (£'000, conv. from USD)</t>
        </is>
      </c>
      <c r="J3" s="4" t="inlineStr">
        <is>
          <t>FY2018 (£'000, conv. from USD)</t>
        </is>
      </c>
      <c r="K3" s="4" t="inlineStr">
        <is>
          <t>FY2017 (£'000, conv. from USD)</t>
        </is>
      </c>
      <c r="L3" s="4" t="inlineStr">
        <is>
          <t>FY2016 (£'000, conv. from USD)</t>
        </is>
      </c>
      <c r="M3" s="4" t="inlineStr">
        <is>
          <t>FY2015 (£'000, conv. from USD)</t>
        </is>
      </c>
      <c r="N3" s="4" t="inlineStr">
        <is>
          <t>FY2014 (£'000, conv. from USD)</t>
        </is>
      </c>
      <c r="O3" s="4" t="inlineStr">
        <is>
          <t>FY2013 (£'000, conv. from USD)</t>
        </is>
      </c>
      <c r="P3" s="4" t="inlineStr">
        <is>
          <t>FY2012 (£'000, conv. from USD)</t>
        </is>
      </c>
      <c r="Q3" s="4" t="inlineStr">
        <is>
          <t>FY2011 (£'000, conv. from USD)</t>
        </is>
      </c>
      <c r="R3" s="4" t="inlineStr">
        <is>
          <t>FY2010 (£'000, conv. from USD)</t>
        </is>
      </c>
      <c r="S3" s="4" t="inlineStr">
        <is>
          <t>FY2009 (£'000, conv. from USD)</t>
        </is>
      </c>
    </row>
    <row r="4">
      <c r="A4" s="5" t="inlineStr">
        <is>
          <t>Income</t>
        </is>
      </c>
      <c r="B4" s="6" t="n"/>
      <c r="C4" s="6" t="n"/>
      <c r="D4" s="6" t="n"/>
      <c r="E4" s="6" t="n"/>
      <c r="F4" s="6" t="n"/>
      <c r="G4" s="6" t="n"/>
      <c r="H4" s="6" t="n"/>
      <c r="I4" s="6" t="n"/>
      <c r="J4" s="6" t="n"/>
      <c r="K4" s="6" t="n"/>
      <c r="L4" s="6" t="n"/>
      <c r="M4" s="6" t="n"/>
      <c r="N4" s="6" t="n"/>
      <c r="O4" s="6" t="n"/>
      <c r="P4" s="6" t="n"/>
      <c r="Q4" s="6" t="n"/>
      <c r="R4" s="6" t="n"/>
      <c r="S4" s="6" t="n"/>
    </row>
    <row r="5">
      <c r="A5" s="6" t="inlineStr">
        <is>
          <t>Interest income</t>
        </is>
      </c>
      <c r="B5" s="6" t="n">
        <v>64027.9</v>
      </c>
      <c r="C5" s="6" t="n">
        <v>62414.8</v>
      </c>
      <c r="D5" s="6" t="n">
        <v>57983.8</v>
      </c>
      <c r="E5" s="6" t="n">
        <v>41966</v>
      </c>
      <c r="F5" s="6" t="n">
        <v>30267.2</v>
      </c>
      <c r="G5" s="6" t="n">
        <v>27782.9</v>
      </c>
      <c r="H5" s="6" t="n">
        <v>34006.9</v>
      </c>
      <c r="I5" s="6" t="n">
        <v>35299.3</v>
      </c>
      <c r="J5" s="6" t="n">
        <v>35745.5</v>
      </c>
      <c r="K5" s="6" t="n">
        <v>50167.6</v>
      </c>
      <c r="L5" s="6" t="n"/>
      <c r="M5" s="6" t="n"/>
      <c r="N5" s="6" t="n"/>
      <c r="O5" s="6" t="n"/>
      <c r="P5" s="6" t="n"/>
      <c r="Q5" s="6" t="n"/>
      <c r="R5" s="6" t="n"/>
      <c r="S5" s="6" t="n"/>
    </row>
    <row r="6">
      <c r="A6" s="6" t="inlineStr">
        <is>
          <t>Interest expense</t>
        </is>
      </c>
      <c r="B6" s="6" t="n">
        <v>-34209.2</v>
      </c>
      <c r="C6" s="6" t="n">
        <v>-29675.6</v>
      </c>
      <c r="D6" s="6" t="n">
        <v>-23052.2</v>
      </c>
      <c r="E6" s="6" t="n">
        <v>-11090.1</v>
      </c>
      <c r="F6" s="6" t="n">
        <v>-6703.3</v>
      </c>
      <c r="G6" s="6" t="n">
        <v>-8315</v>
      </c>
      <c r="H6" s="6" t="n">
        <v>-9952</v>
      </c>
      <c r="I6" s="6" t="n">
        <v>-10279.5</v>
      </c>
      <c r="J6" s="6" t="n">
        <v>-13422.7</v>
      </c>
      <c r="K6" s="6" t="n">
        <v>-24039.2</v>
      </c>
      <c r="L6" s="6" t="n"/>
      <c r="M6" s="6" t="n"/>
      <c r="N6" s="6" t="n"/>
      <c r="O6" s="6" t="n"/>
      <c r="P6" s="6" t="n"/>
      <c r="Q6" s="6" t="n"/>
      <c r="R6" s="6" t="n"/>
      <c r="S6" s="6" t="n"/>
    </row>
    <row r="7">
      <c r="A7" s="5" t="inlineStr">
        <is>
          <t>Net interest income</t>
        </is>
      </c>
      <c r="B7" s="5" t="n">
        <v>29818.7</v>
      </c>
      <c r="C7" s="5" t="n">
        <v>32739.2</v>
      </c>
      <c r="D7" s="5" t="n">
        <v>34931.6</v>
      </c>
      <c r="E7" s="5" t="n">
        <v>30875.9</v>
      </c>
      <c r="F7" s="5" t="n">
        <v>23563.9</v>
      </c>
      <c r="G7" s="5" t="n">
        <v>19467.9</v>
      </c>
      <c r="H7" s="5" t="n">
        <v>24054.9</v>
      </c>
      <c r="I7" s="5" t="n">
        <v>25019.8</v>
      </c>
      <c r="J7" s="5" t="n">
        <v>22322.8</v>
      </c>
      <c r="K7" s="5" t="n">
        <v>26128.4</v>
      </c>
      <c r="L7" s="5" t="n"/>
      <c r="M7" s="5" t="n"/>
      <c r="N7" s="5" t="n"/>
      <c r="O7" s="5" t="n"/>
      <c r="P7" s="5" t="n"/>
      <c r="Q7" s="5" t="n"/>
      <c r="R7" s="5" t="n"/>
      <c r="S7" s="5" t="n"/>
    </row>
    <row r="8">
      <c r="A8" s="6" t="inlineStr">
        <is>
          <t>Net trading profit/(loss)</t>
        </is>
      </c>
      <c r="B8" s="6" t="n">
        <v>233.5</v>
      </c>
      <c r="C8" s="6" t="n">
        <v>-166.9</v>
      </c>
      <c r="D8" s="6" t="n">
        <v>505.3</v>
      </c>
      <c r="E8" s="6" t="n">
        <v>561.2</v>
      </c>
      <c r="F8" s="6" t="n">
        <v>9.5</v>
      </c>
      <c r="G8" s="6" t="n">
        <v>-1808.5</v>
      </c>
      <c r="H8" s="6" t="n">
        <v>2021.6</v>
      </c>
      <c r="I8" s="6" t="n">
        <v>-843.9</v>
      </c>
      <c r="J8" s="6" t="n">
        <v>-2670.1</v>
      </c>
      <c r="K8" s="6" t="n">
        <v>-949</v>
      </c>
      <c r="L8" s="6" t="n"/>
      <c r="M8" s="6" t="n"/>
      <c r="N8" s="6" t="n"/>
      <c r="O8" s="6" t="n"/>
      <c r="P8" s="6" t="n"/>
      <c r="Q8" s="6" t="n"/>
      <c r="R8" s="6" t="n"/>
      <c r="S8" s="6" t="n"/>
    </row>
    <row r="9">
      <c r="A9" s="6" t="inlineStr">
        <is>
          <t>Charge/income on interest rate derivatives (FY2017-FY2020 only; folded into net trading profit/(loss) from FY2021)</t>
        </is>
      </c>
      <c r="B9" s="6" t="n"/>
      <c r="C9" s="6" t="n"/>
      <c r="D9" s="6" t="n"/>
      <c r="E9" s="6" t="n"/>
      <c r="F9" s="6" t="n"/>
      <c r="G9" s="6" t="n"/>
      <c r="H9" s="6" t="n">
        <v>-66.90000000000001</v>
      </c>
      <c r="I9" s="6" t="n">
        <v>-402.1</v>
      </c>
      <c r="J9" s="6" t="n">
        <v>269</v>
      </c>
      <c r="K9" s="6" t="n">
        <v>1154.1</v>
      </c>
      <c r="L9" s="6" t="n"/>
      <c r="M9" s="6" t="n"/>
      <c r="N9" s="6" t="n"/>
      <c r="O9" s="6" t="n"/>
      <c r="P9" s="6" t="n"/>
      <c r="Q9" s="6" t="n"/>
      <c r="R9" s="6" t="n"/>
      <c r="S9" s="6" t="n"/>
    </row>
    <row r="10">
      <c r="A10" s="6" t="inlineStr">
        <is>
          <t>Fee and commission income</t>
        </is>
      </c>
      <c r="B10" s="6" t="n">
        <v>577.4</v>
      </c>
      <c r="C10" s="6" t="n">
        <v>1122</v>
      </c>
      <c r="D10" s="6" t="n">
        <v>977.9</v>
      </c>
      <c r="E10" s="6" t="n">
        <v>769.6</v>
      </c>
      <c r="F10" s="6" t="n">
        <v>645.6</v>
      </c>
      <c r="G10" s="6" t="n">
        <v>651.1</v>
      </c>
      <c r="H10" s="6" t="n">
        <v>662.6</v>
      </c>
      <c r="I10" s="6" t="n">
        <v>401.4</v>
      </c>
      <c r="J10" s="6" t="n">
        <v>521.4</v>
      </c>
      <c r="K10" s="6" t="n">
        <v>482.1</v>
      </c>
      <c r="L10" s="6" t="n"/>
      <c r="M10" s="6" t="n"/>
      <c r="N10" s="6" t="n"/>
      <c r="O10" s="6" t="n"/>
      <c r="P10" s="6" t="n"/>
      <c r="Q10" s="6" t="n"/>
      <c r="R10" s="6" t="n"/>
      <c r="S10" s="6" t="n"/>
    </row>
    <row r="11">
      <c r="A11" s="6" t="inlineStr">
        <is>
          <t>Other operating income</t>
        </is>
      </c>
      <c r="B11" s="6" t="n">
        <v>3169.2</v>
      </c>
      <c r="C11" s="6" t="n">
        <v>536.7</v>
      </c>
      <c r="D11" s="6" t="n">
        <v>200.5</v>
      </c>
      <c r="E11" s="6" t="n">
        <v>213.4</v>
      </c>
      <c r="F11" s="6" t="n">
        <v>95.2</v>
      </c>
      <c r="G11" s="6" t="n">
        <v>96.3</v>
      </c>
      <c r="H11" s="6" t="n">
        <v>124.3</v>
      </c>
      <c r="I11" s="6" t="n">
        <v>122.6</v>
      </c>
      <c r="J11" s="6" t="n">
        <v>165</v>
      </c>
      <c r="K11" s="6" t="n">
        <v>173.7</v>
      </c>
      <c r="L11" s="6" t="n"/>
      <c r="M11" s="6" t="n"/>
      <c r="N11" s="6" t="n"/>
      <c r="O11" s="6" t="n"/>
      <c r="P11" s="6" t="n"/>
      <c r="Q11" s="6" t="n"/>
      <c r="R11" s="6" t="n"/>
      <c r="S11" s="6" t="n"/>
    </row>
    <row r="12">
      <c r="A12" s="5" t="inlineStr">
        <is>
          <t>Total operating income</t>
        </is>
      </c>
      <c r="B12" s="5" t="n">
        <v>33798.9</v>
      </c>
      <c r="C12" s="5" t="n">
        <v>34231</v>
      </c>
      <c r="D12" s="5" t="n">
        <v>36615.2</v>
      </c>
      <c r="E12" s="5" t="n">
        <v>32420.1</v>
      </c>
      <c r="F12" s="5" t="n">
        <v>24314.2</v>
      </c>
      <c r="G12" s="5" t="n">
        <v>18406.7</v>
      </c>
      <c r="H12" s="5" t="n">
        <v>26796.5</v>
      </c>
      <c r="I12" s="5" t="n">
        <v>24297.8</v>
      </c>
      <c r="J12" s="5" t="n">
        <v>20608</v>
      </c>
      <c r="K12" s="5" t="n">
        <v>26989.4</v>
      </c>
      <c r="L12" s="5" t="n"/>
      <c r="M12" s="5" t="n"/>
      <c r="N12" s="5" t="n"/>
      <c r="O12" s="5" t="n"/>
      <c r="P12" s="5" t="n"/>
      <c r="Q12" s="5" t="n"/>
      <c r="R12" s="5" t="n"/>
      <c r="S12" s="5" t="n"/>
    </row>
    <row r="13">
      <c r="A13" s="5" t="inlineStr">
        <is>
          <t>Operating expenses</t>
        </is>
      </c>
      <c r="B13" s="6" t="n"/>
      <c r="C13" s="6" t="n"/>
      <c r="D13" s="6" t="n"/>
      <c r="E13" s="6" t="n"/>
      <c r="F13" s="6" t="n"/>
      <c r="G13" s="6" t="n"/>
      <c r="H13" s="6" t="n"/>
      <c r="I13" s="6" t="n"/>
      <c r="J13" s="6" t="n"/>
      <c r="K13" s="6" t="n"/>
      <c r="L13" s="6" t="n"/>
      <c r="M13" s="6" t="n"/>
      <c r="N13" s="6" t="n"/>
      <c r="O13" s="6" t="n"/>
      <c r="P13" s="6" t="n"/>
      <c r="Q13" s="6" t="n"/>
      <c r="R13" s="6" t="n"/>
      <c r="S13" s="6" t="n"/>
    </row>
    <row r="14">
      <c r="A14" s="6" t="inlineStr">
        <is>
          <t>Staff costs</t>
        </is>
      </c>
      <c r="B14" s="6" t="n">
        <v>-15033.6</v>
      </c>
      <c r="C14" s="6" t="n">
        <v>-13150.5</v>
      </c>
      <c r="D14" s="6" t="n">
        <v>-11081.3</v>
      </c>
      <c r="E14" s="6" t="n">
        <v>-10390.2</v>
      </c>
      <c r="F14" s="6" t="n">
        <v>-9664.799999999999</v>
      </c>
      <c r="G14" s="6" t="n">
        <v>-9662.700000000001</v>
      </c>
      <c r="H14" s="6" t="n">
        <v>-7777</v>
      </c>
      <c r="I14" s="6" t="n">
        <v>-6893.4</v>
      </c>
      <c r="J14" s="6" t="n">
        <v>-6566</v>
      </c>
      <c r="K14" s="6" t="n">
        <v>-5167.2</v>
      </c>
      <c r="L14" s="6" t="n"/>
      <c r="M14" s="6" t="n"/>
      <c r="N14" s="6" t="n"/>
      <c r="O14" s="6" t="n"/>
      <c r="P14" s="6" t="n"/>
      <c r="Q14" s="6" t="n"/>
      <c r="R14" s="6" t="n"/>
      <c r="S14" s="6" t="n"/>
    </row>
    <row r="15">
      <c r="A15" s="6" t="inlineStr">
        <is>
          <t>Interest on lease liabilities (IFRS 16, FY2020-FY2023)</t>
        </is>
      </c>
      <c r="B15" s="6" t="n"/>
      <c r="C15" s="6" t="n"/>
      <c r="D15" s="6" t="n"/>
      <c r="E15" s="6" t="n">
        <v>-116.2</v>
      </c>
      <c r="F15" s="6" t="n">
        <v>-84.90000000000001</v>
      </c>
      <c r="G15" s="6" t="n">
        <v>-102.3</v>
      </c>
      <c r="H15" s="6" t="n">
        <v>-115.7</v>
      </c>
      <c r="I15" s="6" t="n"/>
      <c r="J15" s="6" t="n"/>
      <c r="K15" s="6" t="n"/>
      <c r="L15" s="6" t="n"/>
      <c r="M15" s="6" t="n"/>
      <c r="N15" s="6" t="n"/>
      <c r="O15" s="6" t="n"/>
      <c r="P15" s="6" t="n"/>
      <c r="Q15" s="6" t="n"/>
      <c r="R15" s="6" t="n"/>
      <c r="S15" s="6" t="n"/>
    </row>
    <row r="16">
      <c r="A16" s="6" t="inlineStr">
        <is>
          <t>Operating lease expenses (pre-IFRS 16, FY2018-FY2019)</t>
        </is>
      </c>
      <c r="B16" s="6" t="n"/>
      <c r="C16" s="6" t="n"/>
      <c r="D16" s="6" t="n"/>
      <c r="E16" s="6" t="n"/>
      <c r="F16" s="6" t="n"/>
      <c r="G16" s="6" t="n"/>
      <c r="H16" s="6" t="n"/>
      <c r="I16" s="6" t="n">
        <v>-696.1</v>
      </c>
      <c r="J16" s="6" t="n">
        <v>-406.8</v>
      </c>
      <c r="K16" s="6" t="n"/>
      <c r="L16" s="6" t="n"/>
      <c r="M16" s="6" t="n"/>
      <c r="N16" s="6" t="n"/>
      <c r="O16" s="6" t="n"/>
      <c r="P16" s="6" t="n"/>
      <c r="Q16" s="6" t="n"/>
      <c r="R16" s="6" t="n"/>
      <c r="S16" s="6" t="n"/>
    </row>
    <row r="17">
      <c r="A17" s="6" t="inlineStr">
        <is>
          <t>Depreciation and amortisation expenses</t>
        </is>
      </c>
      <c r="B17" s="6" t="n">
        <v>-903.5</v>
      </c>
      <c r="C17" s="6" t="n">
        <v>-800.8</v>
      </c>
      <c r="D17" s="6" t="n">
        <v>-967.5</v>
      </c>
      <c r="E17" s="6" t="n">
        <v>-1118.3</v>
      </c>
      <c r="F17" s="6" t="n">
        <v>-1074.5</v>
      </c>
      <c r="G17" s="6" t="n">
        <v>-1039.9</v>
      </c>
      <c r="H17" s="6" t="n">
        <v>-1098.5</v>
      </c>
      <c r="I17" s="6" t="n">
        <v>-505.7</v>
      </c>
      <c r="J17" s="6" t="n">
        <v>-540.2</v>
      </c>
      <c r="K17" s="6" t="n">
        <v>-659.7</v>
      </c>
      <c r="L17" s="6" t="n"/>
      <c r="M17" s="6" t="n"/>
      <c r="N17" s="6" t="n"/>
      <c r="O17" s="6" t="n"/>
      <c r="P17" s="6" t="n"/>
      <c r="Q17" s="6" t="n"/>
      <c r="R17" s="6" t="n"/>
      <c r="S17" s="6" t="n"/>
    </row>
    <row r="18">
      <c r="A18" s="6" t="inlineStr">
        <is>
          <t>General administrative expenses</t>
        </is>
      </c>
      <c r="B18" s="6" t="n">
        <v>-6235.5</v>
      </c>
      <c r="C18" s="6" t="n">
        <v>-5602.9</v>
      </c>
      <c r="D18" s="6" t="n">
        <v>-5468.7</v>
      </c>
      <c r="E18" s="6" t="n">
        <v>-4948.9</v>
      </c>
      <c r="F18" s="6" t="n">
        <v>-4494.2</v>
      </c>
      <c r="G18" s="6" t="n">
        <v>-4743.4</v>
      </c>
      <c r="H18" s="6" t="n">
        <v>-4413.8</v>
      </c>
      <c r="I18" s="6" t="n">
        <v>-3691.5</v>
      </c>
      <c r="J18" s="6" t="n">
        <v>-4107.6</v>
      </c>
      <c r="K18" s="6" t="n">
        <v>-6199.6</v>
      </c>
      <c r="L18" s="6" t="n"/>
      <c r="M18" s="6" t="n"/>
      <c r="N18" s="6" t="n"/>
      <c r="O18" s="6" t="n"/>
      <c r="P18" s="6" t="n"/>
      <c r="Q18" s="6" t="n"/>
      <c r="R18" s="6" t="n"/>
      <c r="S18" s="6" t="n"/>
    </row>
    <row r="19">
      <c r="A19" s="5" t="inlineStr">
        <is>
          <t>Total operating expenses</t>
        </is>
      </c>
      <c r="B19" s="5" t="n">
        <v>-22172.5</v>
      </c>
      <c r="C19" s="5" t="n">
        <v>-19554.2</v>
      </c>
      <c r="D19" s="5" t="n">
        <v>-17517.5</v>
      </c>
      <c r="E19" s="5" t="n">
        <v>-16573.7</v>
      </c>
      <c r="F19" s="5" t="n">
        <v>-15318.4</v>
      </c>
      <c r="G19" s="5" t="n">
        <v>-15548.4</v>
      </c>
      <c r="H19" s="5" t="n">
        <v>-13404.9</v>
      </c>
      <c r="I19" s="5" t="n">
        <v>-11786.7</v>
      </c>
      <c r="J19" s="5" t="n">
        <v>-11620.6</v>
      </c>
      <c r="K19" s="5" t="n">
        <v>-12026.5</v>
      </c>
      <c r="L19" s="5" t="n"/>
      <c r="M19" s="5" t="n"/>
      <c r="N19" s="5" t="n"/>
      <c r="O19" s="5" t="n"/>
      <c r="P19" s="5" t="n"/>
      <c r="Q19" s="5" t="n"/>
      <c r="R19" s="5" t="n"/>
      <c r="S19" s="5" t="n"/>
    </row>
    <row r="20">
      <c r="A20" s="6" t="inlineStr">
        <is>
          <t>Impairment provision</t>
        </is>
      </c>
      <c r="B20" s="6" t="n">
        <v>-9352.4</v>
      </c>
      <c r="C20" s="6" t="n">
        <v>-14042.2</v>
      </c>
      <c r="D20" s="6" t="n">
        <v>-14101.7</v>
      </c>
      <c r="E20" s="6" t="n">
        <v>-8849.299999999999</v>
      </c>
      <c r="F20" s="6" t="n">
        <v>-3241.8</v>
      </c>
      <c r="G20" s="6" t="n">
        <v>-10401</v>
      </c>
      <c r="H20" s="6" t="n">
        <v>-11958.6</v>
      </c>
      <c r="I20" s="6" t="n">
        <v>-4932.2</v>
      </c>
      <c r="J20" s="6" t="n">
        <v>-3999.1</v>
      </c>
      <c r="K20" s="6" t="n">
        <v>-116426.1</v>
      </c>
      <c r="L20" s="6" t="n"/>
      <c r="M20" s="6" t="n"/>
      <c r="N20" s="6" t="n"/>
      <c r="O20" s="6" t="n"/>
      <c r="P20" s="6" t="n"/>
      <c r="Q20" s="6" t="n"/>
      <c r="R20" s="6" t="n"/>
      <c r="S20" s="6" t="n"/>
    </row>
    <row r="21">
      <c r="A21" s="5" t="inlineStr">
        <is>
          <t>Profit/(loss) before tax</t>
        </is>
      </c>
      <c r="B21" s="5" t="n">
        <v>2273.9</v>
      </c>
      <c r="C21" s="5" t="n">
        <v>634.6</v>
      </c>
      <c r="D21" s="5" t="n">
        <v>4996</v>
      </c>
      <c r="E21" s="5" t="n">
        <v>6997.1</v>
      </c>
      <c r="F21" s="5" t="n">
        <v>5753.9</v>
      </c>
      <c r="G21" s="5" t="n">
        <v>-7542.6</v>
      </c>
      <c r="H21" s="5" t="n">
        <v>1433</v>
      </c>
      <c r="I21" s="5" t="n">
        <v>7578.8</v>
      </c>
      <c r="J21" s="5" t="n">
        <v>4988.3</v>
      </c>
      <c r="K21" s="5" t="n">
        <v>-102041.8</v>
      </c>
      <c r="L21" s="5" t="n"/>
      <c r="M21" s="5" t="n"/>
      <c r="N21" s="5" t="n"/>
      <c r="O21" s="5" t="n"/>
      <c r="P21" s="5" t="n"/>
      <c r="Q21" s="5" t="n"/>
      <c r="R21" s="5" t="n"/>
      <c r="S21" s="5" t="n"/>
    </row>
    <row r="22">
      <c r="A22" s="6" t="inlineStr">
        <is>
          <t>Tax (charge)/credit</t>
        </is>
      </c>
      <c r="B22" s="6" t="n">
        <v>-82.8</v>
      </c>
      <c r="C22" s="6" t="n">
        <v>-47</v>
      </c>
      <c r="D22" s="6" t="n">
        <v>-54.1</v>
      </c>
      <c r="E22" s="6" t="n">
        <v>-78.90000000000001</v>
      </c>
      <c r="F22" s="6" t="n">
        <v>32.9</v>
      </c>
      <c r="G22" s="6" t="n">
        <v>-214.5</v>
      </c>
      <c r="H22" s="6" t="n">
        <v>712.1</v>
      </c>
      <c r="I22" s="6" t="n">
        <v>-1243.7</v>
      </c>
      <c r="J22" s="6" t="n">
        <v>-548.5</v>
      </c>
      <c r="K22" s="6" t="n">
        <v>16844</v>
      </c>
      <c r="L22" s="6" t="n"/>
      <c r="M22" s="6" t="n"/>
      <c r="N22" s="6" t="n"/>
      <c r="O22" s="6" t="n"/>
      <c r="P22" s="6" t="n"/>
      <c r="Q22" s="6" t="n"/>
      <c r="R22" s="6" t="n"/>
      <c r="S22" s="6" t="n"/>
    </row>
    <row r="23">
      <c r="A23" s="5" t="inlineStr">
        <is>
          <t>Profit after tax for the year</t>
        </is>
      </c>
      <c r="B23" s="5" t="n">
        <v>2191.1</v>
      </c>
      <c r="C23" s="5" t="n">
        <v>587.6</v>
      </c>
      <c r="D23" s="5" t="n">
        <v>4941.9</v>
      </c>
      <c r="E23" s="5" t="n">
        <v>6918.2</v>
      </c>
      <c r="F23" s="5" t="n">
        <v>5786.9</v>
      </c>
      <c r="G23" s="5" t="n">
        <v>-7757.1</v>
      </c>
      <c r="H23" s="5" t="n">
        <v>2145.1</v>
      </c>
      <c r="I23" s="5" t="n">
        <v>6335.1</v>
      </c>
      <c r="J23" s="5" t="n">
        <v>4439.8</v>
      </c>
      <c r="K23" s="5" t="n">
        <v>-85197.8</v>
      </c>
      <c r="L23" s="5" t="n">
        <v>-18051.3</v>
      </c>
      <c r="M23" s="5" t="n">
        <v>5036.3</v>
      </c>
      <c r="N23" s="5" t="n">
        <v>4396.2</v>
      </c>
      <c r="O23" s="5" t="n">
        <v>3400.4</v>
      </c>
      <c r="P23" s="5" t="n">
        <v>4710.6</v>
      </c>
      <c r="Q23" s="5" t="n">
        <v>900.3</v>
      </c>
      <c r="R23" s="5" t="n">
        <v>2413.1</v>
      </c>
      <c r="S23" s="5" t="n">
        <v>1508.4</v>
      </c>
    </row>
    <row r="24">
      <c r="A24" s="5" t="inlineStr">
        <is>
          <t>Other comprehensive income - FY2022-FY2024 presentation</t>
        </is>
      </c>
      <c r="B24" s="6" t="n"/>
      <c r="C24" s="6" t="n"/>
      <c r="D24" s="6" t="n"/>
      <c r="E24" s="6" t="n"/>
      <c r="F24" s="6" t="n"/>
      <c r="G24" s="6" t="n"/>
      <c r="H24" s="6" t="n"/>
      <c r="I24" s="6" t="n"/>
      <c r="J24" s="6" t="n"/>
      <c r="K24" s="6" t="n"/>
      <c r="L24" s="6" t="n"/>
      <c r="M24" s="6" t="n"/>
      <c r="N24" s="6" t="n"/>
      <c r="O24" s="6" t="n"/>
      <c r="P24" s="6" t="n"/>
      <c r="Q24" s="6" t="n"/>
      <c r="R24" s="6" t="n"/>
      <c r="S24" s="6" t="n"/>
    </row>
    <row r="25">
      <c r="A25" s="6" t="inlineStr">
        <is>
          <t>FVOCI gains/(losses) arising during the year</t>
        </is>
      </c>
      <c r="B25" s="6" t="n"/>
      <c r="C25" s="6" t="n"/>
      <c r="D25" s="6" t="n">
        <v>197.3</v>
      </c>
      <c r="E25" s="6" t="n">
        <v>-65.59999999999999</v>
      </c>
      <c r="F25" s="6" t="n">
        <v>-1512.2</v>
      </c>
      <c r="G25" s="6" t="n">
        <v>1162.7</v>
      </c>
      <c r="H25" s="6" t="n"/>
      <c r="I25" s="6" t="n"/>
      <c r="J25" s="6" t="n"/>
      <c r="K25" s="6" t="n"/>
      <c r="L25" s="6" t="n"/>
      <c r="M25" s="6" t="n"/>
      <c r="N25" s="6" t="n"/>
      <c r="O25" s="6" t="n"/>
      <c r="P25" s="6" t="n"/>
      <c r="Q25" s="6" t="n"/>
      <c r="R25" s="6" t="n"/>
      <c r="S25" s="6" t="n"/>
    </row>
    <row r="26">
      <c r="A26" s="6" t="inlineStr">
        <is>
          <t>Tax credit/(charge) relating to change in fair value</t>
        </is>
      </c>
      <c r="B26" s="6" t="n"/>
      <c r="C26" s="6" t="n"/>
      <c r="D26" s="6" t="n">
        <v>-49.3</v>
      </c>
      <c r="E26" s="6" t="n">
        <v>-7.5</v>
      </c>
      <c r="F26" s="6" t="n">
        <v>363.1</v>
      </c>
      <c r="G26" s="6" t="n">
        <v>-213</v>
      </c>
      <c r="H26" s="6" t="n"/>
      <c r="I26" s="6" t="n"/>
      <c r="J26" s="6" t="n"/>
      <c r="K26" s="6" t="n"/>
      <c r="L26" s="6" t="n"/>
      <c r="M26" s="6" t="n"/>
      <c r="N26" s="6" t="n"/>
      <c r="O26" s="6" t="n"/>
      <c r="P26" s="6" t="n"/>
      <c r="Q26" s="6" t="n"/>
      <c r="R26" s="6" t="n"/>
      <c r="S26" s="6" t="n"/>
    </row>
    <row r="27">
      <c r="A27" s="6" t="inlineStr">
        <is>
          <t>Reclassification adjustment transferred to P&amp;L</t>
        </is>
      </c>
      <c r="B27" s="6" t="n"/>
      <c r="C27" s="6" t="n"/>
      <c r="D27" s="6" t="n">
        <v>-5.6</v>
      </c>
      <c r="E27" s="6" t="n">
        <v>327.9</v>
      </c>
      <c r="F27" s="6" t="n">
        <v>153</v>
      </c>
      <c r="G27" s="6" t="n">
        <v>53.8</v>
      </c>
      <c r="H27" s="6" t="n"/>
      <c r="I27" s="6" t="n"/>
      <c r="J27" s="6" t="n"/>
      <c r="K27" s="6" t="n"/>
      <c r="L27" s="6" t="n"/>
      <c r="M27" s="6" t="n"/>
      <c r="N27" s="6" t="n"/>
      <c r="O27" s="6" t="n"/>
      <c r="P27" s="6" t="n"/>
      <c r="Q27" s="6" t="n"/>
      <c r="R27" s="6" t="n"/>
      <c r="S27" s="6" t="n"/>
    </row>
    <row r="28">
      <c r="A28" s="5" t="inlineStr">
        <is>
          <t>Other comprehensive income - FY2025-FY2026 presentation</t>
        </is>
      </c>
      <c r="B28" s="6" t="n"/>
      <c r="C28" s="6" t="n"/>
      <c r="D28" s="6" t="n"/>
      <c r="E28" s="6" t="n"/>
      <c r="F28" s="6" t="n"/>
      <c r="G28" s="6" t="n"/>
      <c r="H28" s="6" t="n"/>
      <c r="I28" s="6" t="n"/>
      <c r="J28" s="6" t="n"/>
      <c r="K28" s="6" t="n"/>
      <c r="L28" s="6" t="n"/>
      <c r="M28" s="6" t="n"/>
      <c r="N28" s="6" t="n"/>
      <c r="O28" s="6" t="n"/>
      <c r="P28" s="6" t="n"/>
      <c r="Q28" s="6" t="n"/>
      <c r="R28" s="6" t="n"/>
      <c r="S28" s="6" t="n"/>
    </row>
    <row r="29">
      <c r="A29" s="6" t="inlineStr">
        <is>
          <t>Fair value gains/(losses) transferred to income statement on disposal</t>
        </is>
      </c>
      <c r="B29" s="6" t="n">
        <v>-457.3</v>
      </c>
      <c r="C29" s="6" t="n">
        <v>202.1</v>
      </c>
      <c r="D29" s="6" t="n"/>
      <c r="E29" s="6" t="n"/>
      <c r="F29" s="6" t="n"/>
      <c r="G29" s="6" t="n"/>
      <c r="H29" s="6" t="n"/>
      <c r="I29" s="6" t="n"/>
      <c r="J29" s="6" t="n"/>
      <c r="K29" s="6" t="n"/>
      <c r="L29" s="6" t="n"/>
      <c r="M29" s="6" t="n"/>
      <c r="N29" s="6" t="n"/>
      <c r="O29" s="6" t="n"/>
      <c r="P29" s="6" t="n"/>
      <c r="Q29" s="6" t="n"/>
      <c r="R29" s="6" t="n"/>
      <c r="S29" s="6" t="n"/>
    </row>
    <row r="30">
      <c r="A30" s="6" t="inlineStr">
        <is>
          <t>Fair value gains on Investment Securities - FVOCI</t>
        </is>
      </c>
      <c r="B30" s="6" t="n">
        <v>57.4</v>
      </c>
      <c r="C30" s="6" t="n">
        <v>210</v>
      </c>
      <c r="D30" s="6" t="n"/>
      <c r="E30" s="6" t="n"/>
      <c r="F30" s="6" t="n"/>
      <c r="G30" s="6" t="n"/>
      <c r="H30" s="6" t="n"/>
      <c r="I30" s="6" t="n"/>
      <c r="J30" s="6" t="n"/>
      <c r="K30" s="6" t="n"/>
      <c r="L30" s="6" t="n"/>
      <c r="M30" s="6" t="n"/>
      <c r="N30" s="6" t="n"/>
      <c r="O30" s="6" t="n"/>
      <c r="P30" s="6" t="n"/>
      <c r="Q30" s="6" t="n"/>
      <c r="R30" s="6" t="n"/>
      <c r="S30" s="6" t="n"/>
    </row>
    <row r="31">
      <c r="A31" s="6" t="inlineStr">
        <is>
          <t>Income tax on other comprehensive income items</t>
        </is>
      </c>
      <c r="B31" s="6" t="n">
        <v>100</v>
      </c>
      <c r="C31" s="6" t="n">
        <v>-101.9</v>
      </c>
      <c r="D31" s="6" t="n"/>
      <c r="E31" s="6" t="n"/>
      <c r="F31" s="6" t="n"/>
      <c r="G31" s="6" t="n"/>
      <c r="H31" s="6" t="n"/>
      <c r="I31" s="6" t="n"/>
      <c r="J31" s="6" t="n"/>
      <c r="K31" s="6" t="n"/>
      <c r="L31" s="6" t="n"/>
      <c r="M31" s="6" t="n"/>
      <c r="N31" s="6" t="n"/>
      <c r="O31" s="6" t="n"/>
      <c r="P31" s="6" t="n"/>
      <c r="Q31" s="6" t="n"/>
      <c r="R31" s="6" t="n"/>
      <c r="S31" s="6" t="n"/>
    </row>
    <row r="32">
      <c r="A32" s="5" t="inlineStr">
        <is>
          <t>Other comprehensive income - FY2009-FY2020 presentation (IAS 39 available-for-sale)</t>
        </is>
      </c>
      <c r="B32" s="6" t="n"/>
      <c r="C32" s="6" t="n"/>
      <c r="D32" s="6" t="n"/>
      <c r="E32" s="6" t="n"/>
      <c r="F32" s="6" t="n"/>
      <c r="G32" s="6" t="n"/>
      <c r="H32" s="6" t="n"/>
      <c r="I32" s="6" t="n"/>
      <c r="J32" s="6" t="n"/>
      <c r="K32" s="6" t="n"/>
      <c r="L32" s="6" t="n"/>
      <c r="M32" s="6" t="n"/>
      <c r="N32" s="6" t="n"/>
      <c r="O32" s="6" t="n"/>
      <c r="P32" s="6" t="n"/>
      <c r="Q32" s="6" t="n"/>
      <c r="R32" s="6" t="n"/>
      <c r="S32" s="6" t="n"/>
    </row>
    <row r="33">
      <c r="A33" s="6" t="inlineStr">
        <is>
          <t>Net change in fair value on AFS/FVTOCI investments (gross)</t>
        </is>
      </c>
      <c r="B33" s="6" t="n"/>
      <c r="C33" s="6" t="n"/>
      <c r="D33" s="6" t="n"/>
      <c r="E33" s="6" t="n"/>
      <c r="F33" s="6" t="n"/>
      <c r="G33" s="6" t="n"/>
      <c r="H33" s="6" t="n">
        <v>-624.8</v>
      </c>
      <c r="I33" s="6" t="n">
        <v>390.7</v>
      </c>
      <c r="J33" s="6" t="n">
        <v>-845.3</v>
      </c>
      <c r="K33" s="6" t="n">
        <v>-519.6</v>
      </c>
      <c r="L33" s="6" t="n">
        <v>-1068.8</v>
      </c>
      <c r="M33" s="6" t="n">
        <v>3608.1</v>
      </c>
      <c r="N33" s="6" t="n">
        <v>-3949.7</v>
      </c>
      <c r="O33" s="6" t="n">
        <v>331.6</v>
      </c>
      <c r="P33" s="6" t="n">
        <v>-2939.4</v>
      </c>
      <c r="Q33" s="6" t="n">
        <v>-208.7</v>
      </c>
      <c r="R33" s="6" t="n">
        <v>98.3</v>
      </c>
      <c r="S33" s="6" t="n"/>
    </row>
    <row r="34">
      <c r="A34" s="6" t="inlineStr">
        <is>
          <t>Tax (charge)/credit relating to fair value change</t>
        </is>
      </c>
      <c r="B34" s="6" t="n"/>
      <c r="C34" s="6" t="n"/>
      <c r="D34" s="6" t="n"/>
      <c r="E34" s="6" t="n"/>
      <c r="F34" s="6" t="n"/>
      <c r="G34" s="6" t="n"/>
      <c r="H34" s="6" t="n">
        <v>105.4</v>
      </c>
      <c r="I34" s="6" t="n">
        <v>-50.3</v>
      </c>
      <c r="J34" s="6" t="n">
        <v>178.6</v>
      </c>
      <c r="K34" s="6" t="n">
        <v>-58.9</v>
      </c>
      <c r="L34" s="6" t="n">
        <v>213.5</v>
      </c>
      <c r="M34" s="6" t="n">
        <v>-757.8</v>
      </c>
      <c r="N34" s="6" t="n">
        <v>908.2</v>
      </c>
      <c r="O34" s="6" t="n">
        <v>-79.7</v>
      </c>
      <c r="P34" s="6" t="n">
        <v>764.3</v>
      </c>
      <c r="Q34" s="6" t="n">
        <v>58.4</v>
      </c>
      <c r="R34" s="6" t="n"/>
      <c r="S34" s="6" t="n"/>
    </row>
    <row r="35">
      <c r="A35" s="6" t="inlineStr">
        <is>
          <t>Reclassification adjustment transferred to profit and loss</t>
        </is>
      </c>
      <c r="B35" s="6" t="n"/>
      <c r="C35" s="6" t="n"/>
      <c r="D35" s="6" t="n"/>
      <c r="E35" s="6" t="n"/>
      <c r="F35" s="6" t="n"/>
      <c r="G35" s="6" t="n"/>
      <c r="H35" s="6" t="n">
        <v>9.4</v>
      </c>
      <c r="I35" s="6" t="n">
        <v>77.7</v>
      </c>
      <c r="J35" s="6" t="n">
        <v>-179.3</v>
      </c>
      <c r="K35" s="6" t="n">
        <v>254.1</v>
      </c>
      <c r="L35" s="6" t="n">
        <v>-47.1</v>
      </c>
      <c r="M35" s="6" t="n">
        <v>1340.2</v>
      </c>
      <c r="N35" s="6" t="n">
        <v>-185.5</v>
      </c>
      <c r="O35" s="6" t="n">
        <v>1948.9</v>
      </c>
      <c r="P35" s="6" t="n">
        <v>219.4</v>
      </c>
      <c r="Q35" s="6" t="n">
        <v>-100.8</v>
      </c>
      <c r="R35" s="6" t="n"/>
      <c r="S35" s="6" t="n"/>
    </row>
    <row r="36">
      <c r="A36" s="5" t="inlineStr">
        <is>
          <t>Other comprehensive income for the year, net of tax</t>
        </is>
      </c>
      <c r="B36" s="5" t="n">
        <v>-299.9</v>
      </c>
      <c r="C36" s="5" t="n">
        <v>310.3</v>
      </c>
      <c r="D36" s="5" t="n">
        <v>142.4</v>
      </c>
      <c r="E36" s="5" t="n">
        <v>254.9</v>
      </c>
      <c r="F36" s="5" t="n">
        <v>-996.2</v>
      </c>
      <c r="G36" s="5" t="n">
        <v>1003.6</v>
      </c>
      <c r="H36" s="5" t="n">
        <v>-509.9</v>
      </c>
      <c r="I36" s="5" t="n">
        <v>418.1</v>
      </c>
      <c r="J36" s="5" t="n">
        <v>-846.1</v>
      </c>
      <c r="K36" s="5" t="n">
        <v>-324.5</v>
      </c>
      <c r="L36" s="5" t="n">
        <v>-902.4</v>
      </c>
      <c r="M36" s="5" t="n">
        <v>4190.4</v>
      </c>
      <c r="N36" s="5" t="n">
        <v>-3227</v>
      </c>
      <c r="O36" s="5" t="n">
        <v>2200.7</v>
      </c>
      <c r="P36" s="5" t="n">
        <v>-1955.6</v>
      </c>
      <c r="Q36" s="5" t="n">
        <v>-251.1</v>
      </c>
      <c r="R36" s="5" t="n">
        <v>98.3</v>
      </c>
      <c r="S36" s="5" t="n">
        <v>0</v>
      </c>
    </row>
    <row r="37">
      <c r="A37" s="5" t="inlineStr">
        <is>
          <t>Total comprehensive income for the year, net of tax</t>
        </is>
      </c>
      <c r="B37" s="5" t="n">
        <v>1891.2</v>
      </c>
      <c r="C37" s="5" t="n">
        <v>897.9</v>
      </c>
      <c r="D37" s="5" t="n">
        <v>5084.3</v>
      </c>
      <c r="E37" s="5" t="n">
        <v>7173.1</v>
      </c>
      <c r="F37" s="5" t="n">
        <v>4790.7</v>
      </c>
      <c r="G37" s="5" t="n">
        <v>-6753.6</v>
      </c>
      <c r="H37" s="5" t="n">
        <v>1635.2</v>
      </c>
      <c r="I37" s="5" t="n">
        <v>6753.2</v>
      </c>
      <c r="J37" s="5" t="n">
        <v>3593.8</v>
      </c>
      <c r="K37" s="5" t="n">
        <v>-85522.3</v>
      </c>
      <c r="L37" s="5" t="n">
        <v>-18953.7</v>
      </c>
      <c r="M37" s="5" t="n">
        <v>9226.700000000001</v>
      </c>
      <c r="N37" s="5" t="n">
        <v>1169.2</v>
      </c>
      <c r="O37" s="5" t="n">
        <v>5601.1</v>
      </c>
      <c r="P37" s="5" t="n">
        <v>2755</v>
      </c>
      <c r="Q37" s="5" t="n">
        <v>649.2</v>
      </c>
      <c r="R37" s="5" t="n">
        <v>2511.4</v>
      </c>
      <c r="S37" s="5" t="n">
        <v>1508.4</v>
      </c>
    </row>
    <row r="39" ht="409" customHeight="1">
      <c r="A39" s="8" t="inlineStr">
        <is>
          <t>Sources - Punjab National Bank (International) Limited entity-level Balance Sheet / Profit &amp; Loss / Statement of Changes in Equity (native unit $'000):
FY2026: Annual Report and Accounts 2026, Statement of Financial Position/Comprehensive Income/Changes in Equity, printed pp.47-49 - https://www.pnbint.com/PNBIL/pdf/Financial_Reports/PNBIL-Annual-Report-2026.pdf
FY2025: Annual Report and Accounts 2025, printed pp.46-48 - https://www.pnbint.com/PNBIL/pdf/Financial_Reports/PNBIL%20Annual%20Report%202025.pdf
FY2024: Annual Report and Accounts 2024, printed pp.41-43 - https://www.pnbint.com/PNBIL/pdf/Financial_Reports/Annual_Report_31-03-2024.pdf
FY2023: Annual Report and Accounts 2023, printed pp.36-38 - https://www.pnbint.com/PNBIL/pdf/Financial_Reports/PNBIL_Annual_Report_2023.pdf
FY2022: Annual Report and Accounts 2022, printed pp.33-35 - https://www.pnbint.com/PNBIL/pdf/Financial_Reports/AnnualReport20220331.pdf
FY2020: Annual Report and Accounts 2020, printed pp.26-28 - https://www.pnbint.com/PNBIL/pdf/Financial_Reports/Annual%20Report%2031-03-20_latest.pdf
FY2019: Annual Report and Accounts 2019, printed pp.29-31 - https://www.pnbint.com/PNBIL/pdf/Financial_Reports/Annual%20Report%2031-03-19.pdf
FY2018: Annual Report and Accounts 2018, printed pp.29-31 - https://www.pnbint.com/PNBIL/pdf/Financial_Reports/Annual%20Report%2031-03-18.pdf
FY2017: Annual Report and Accounts 2018's own FY2017 comparative columns, printed pp.29-32 - https://www.pnbint.com/PNBIL/pdf/Financial_Reports/Annual%20Report%2031-03-18.pdf (native-text PDF; used in preference to FY2017's own scanned/OCR'd report at https://www.pnbint.com/PNBIL/pdf/Financial_Reports/SIGNED%20ANNUAL%20REPORT-1617.pdf for higher transcription confidence, cross-checked against it)
FY2016: Annual Report and Accounts 2016, printed pp.20-25 - https://www.pnbint.com/PNBIL/pdf/Financial_Reports/Annual%20Report%2031-03-16.pdf (OCR'd from a scanned PDF; each total independently verified by summing the disclosed line items)
FY2015: Annual Report and Accounts 2015, printed pp.18-21 - https://www.pnbint.com/PNBIL/pdf/Financial_Reports/Annual%20Report%2031.03.2015.pdf (OCR'd from a scanned PDF; some liability/equity lines not shown on the FY2015 report's own face were taken from Annual Report and Accounts 2016's FY2015 comparative column and verified to sum exactly to FY2015's own disclosed Total liabilities of $1,690,610k)
FY2014: Annual Report and Accounts 2014, printed p.17 - https://www.pnbint.com/PNBIL/pdf/Financial_Reports/Annualreport31-03-2014.pdf (OCR'd from a scanned PDF; the Statement of Financial Position was additionally verified against a 250dpi rendered page image line-by-line because of poor OCR quality on this particular scan)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USD-to-GBP conversion: cash-flow flows use the Bank of England XUDLUSS average rate for the 1 April-31 March financial year, while cash balances and Pillar 3 dollar amounts use the final available Bank of England spot rate at 31 March. Rates (£1 = $X) were FY2022 1.3662 average/1.3162 spot, FY2023 1.2045/1.2364, FY2024 1.2568/1.2632, FY2025 1.2763/1.2910, and FY2026 1.3404/1.3188. The FY2022 opening balance uses the 31 March 2021 spot rate of 1.3796. Ratios remain exactly as reported because they are dimensionless. A computed GBP translation line reconciles the use of different flow and stock rates; it is not a Bank-reported cash-flow line.
HD-048 (2026-09-05/06) FY2014-FY2020 extension: same BoE XUDLUSS series, same average/spot convention. Rates (£1 = $X) were FY2014 1.5900 average/1.6673 spot, FY2015 1.6125/1.4847, FY2016 1.5082/1.4378, FY2017 1.3067/1.2507, FY2018 1.3273/1.4033, FY2019 1.3130/1.3030, FY2020 1.2708/1.2403. The FY2014 opening balance uses the 31 March 2013 spot rate of 1.5181. FY2021 uses the Bank of England XUDLUSS spot/average rates 1.3796/1.3193 and is now included from the Bank's own 2021 filings.
GBP CONVERSION NOTE (Balance Sheet/Equity balances, Profit &amp; Loss/Equity movements): balance-date figures (Balance Sheet lines, equity opening/closing balances) use the 31 March spot rate of that balance date; period figures (Profit &amp; Loss lines, equity movement rows) use the financial year's average rate. Because these are two different rates, a computed 'GBP translation adjustment' row is shown on the equity sheet for each year to keep the GBP columns arithmetically closed - it is not a Bank-reported line.
HD-048 IAS 39-TO-IFRS 9 CLASSIFICATION BRIDGE NOTE: FY2014-FY2018 predate the Bank's IFRS 9 adoption (first applied FY2019 - see the Statement of Changes in Equity's 'IFRS 9 adoption' transition row). Those years' IAS 39 categories are mapped onto this sheet's IFRS 9-era row labels by nearest economic equivalent: 'Investment securities - held for trading' is shown as 'Financial assets at fair value through profit or loss'; 'Investment securities - available for sale' is shown as 'Financial assets at fair value through other comprehensive income'; 'Investment securities - held to maturity' is shown as 'Investment securities at amortised cost'. Right of use lease assets/Lease liability are blank pre-FY2020 because IFRS 16 was not yet adopted. 'Deferred tax liabilities' and 'Current tax assets' are additional line items only disclosed in some FY2014-FY2016 years and are shown as their own rows, blank elsewhere.
HD-073 (2026-09-06/07) FY2009-FY2013 extension: same BoE XUDLUSS series, same average/spot convention as FX_NOTE above. Rates (£1 = $X) were FY2009 1.7190 average/1.4331 spot, FY2010 1.5975/1.5167, FY2011 1.5572/1.6030, FY2012 1.5949/1.5981, FY2013 1.5804/1.5181. The FY2009 opening balance uses the 31 March 2008 spot rate; the Bank's own FY2009 report does not disclose that comparative in the same cash-flow basis, so no FY2008 column is shown.
HD-073 (2026-09-06/07) FY2009-FY2013 extension, sourced from the Bank's own Companies House statutory filings (company 05781326), native-text PDFs, no OCR needed:</t>
        </is>
      </c>
    </row>
    <row r="41" ht="409" customHeight="1">
      <c r="A41" s="8" t="inlineStr">
        <is>
          <t>(continued)
FY2013: Financial Statements for the year ended 31 March 2013, Statement of Financial Position printed p.14, Income Statement printed p.15 - https://find-and-update.company-information.service.gov.uk/company/05781326/filing-history/MzA3ODE0ODk4NWFkaXF6a2N4/document?format=pdf&amp;download=0
FY2012: Financial Statements as at 31 March 2012, Income Statement printed p.12, Statement of Financial Position printed pp.15-16, Statement of Changes in Equity printed p.14 - https://find-and-update.company-information.service.gov.uk/company/05781326/filing-history/MzA1ODIxNjY3NGFkaXF6a2N4/document?format=pdf&amp;download=0 (also used, for the FY2013 Balance Sheet/Profit &amp; Loss sheet's FY2012 comparative-column cross-check: FY2013's own clean $'000 comparative column, same document as the FY2013 row above)
FY2011: Financial Statements as at 31 March 2011, Income Statement printed p.9, Statement of Financial Position printed p.12, Statement of Changes in Equity printed p.11 - https://find-and-update.company-information.service.gov.uk/company/05781326/filing-history/MzAzNzc2OTM0OWFkaXF6a2N4/document?format=pdf&amp;download=0
FY2010: Financial Statements as at 31 March 2010, Income Statement printed p.9, Statement of Financial Position printed p.12, Statement of Changes in Equity printed p.11 - https://find-and-update.company-information.service.gov.uk/company/05781326/filing-history/MzAxNjI2OTk3OGFkaXF6a2N4/document?format=pdf&amp;download=0
FY2009: Financial Statements as at 31 March 2009, Income Statement printed p.9, Balance Sheet printed p.11, Statement of Changes in Equity printed p.10 - https://find-and-update.company-information.service.gov.uk/company/05781326/filing-history/MjAzNDA5MDE2NWFkaXF6a2N4/document?format=pdf&amp;download=0
HD-073 PRE-2013 PRESENTATION BRIDGE NOTE: FY2009-FY2012 predate the Bank's split of the balance sheet into the FY2013-onward category set (Loans and advances to banks/customers shown separately, Deposits from banks/customers shown separately, a standalone Derivative financial instruments line). FY2012's Balance Sheet is taken from FY2013's own Annual Report FY2012 comparative column (a clean, native-text $'000 table using the newer categories directly - cross-checked against FY2012's own Annual Report for all totals, which matched exactly). FY2009-FY2011 predate that split entirely in every report reviewed; this workbook maps their own combined 'Loans and receivables' (plus, where separately disclosed, 'Customer overdrafts' and 'Bills purchased') onto 'Loans and advances to customers', and their combined 'Interest bearing borrowings' (plus 'Non-interest bearing borrowings') onto 'Deposits from customers', since none of the three years' own filings separately discloses a banks/customers split - a genuine, disclosed structural absence, not an omission. FY2010's own report separately introduces a 'Customer overdrafts' balance sheet line not present in FY2009's own report (which shows a single combined 'Cash and cash equivalents' figure instead) - see the Cash Flow sheet's CASH-BASIS DISCONTINUITY NOTE for the matching effect on cash. A further, genuine restatement is disclosed in the FY2013 Annual Report's own Note 35 affecting the 1 April 2011 (FY2011 closing) balances; this workbook shows FY2011's own as-originally-published closing Balance Sheet and Statement of Changes in Equity figures rather than that later restated comparative, per this project's standing convention.
HD-089 (2026-09-07) GRANULAR INCOME STATEMENT ADD, FY2017-FY2026, Punjab National Bank (International) Limited entity-level Income Statement (native unit $'000), each year's own current-year column:
FY2026/FY2025: Annual Report and Accounts 2026, Income Statement, printed p.45 - https://www.pnbint.com/PNBIL/pdf/Financial_Reports/PNBIL-Annual-Report-2026.pdf
FY2024/FY2023: Annual Report and Accounts 2024, Income Statement, printed p.39 - https://www.pnbint.com/PNBIL/pdf/Financial_Reports/Annual_Report_31-03-2024.pdf
FY2023/FY2022: Annual Report and Accounts 2023, Income Statement, printed p.34 - https://www.pnbint.com/PNBIL/pdf/Financial_Reports/PNBIL_Annual_Report_2023.pdf
FY2022/FY2021: Annual Report and Accounts 2022, Income Statement, printed p.31 - https://www.pnbint.com/PNBIL/pdf/Financial_Reports/AnnualReport20220331.pdf
FY2021/FY2020: Annual Report and Accounts 2021, Income Statement, printed p.23 - https://www.pnbint.com/PNBIL/pdf/Financial_Reports/Annual%20report%20%2031-03-21.pdf
FY2020/FY2019: Annual Report and Accounts 2020, Income Statement, printed p.25 - https://www.pnbint.com/PNBIL/pdf/Financial_Reports/Annual%20Report%2031-03-20_latest.pdf
FY2019/FY2018: Annual Report and Accounts 2019, Income Statement, printed p.27 - https://www.pnbint.com/PNBIL/pdf/Financial_Reports/Annual%20Report%2031-03-19.pdf
FY2018/FY2017: Annual Report and Accounts 2018, Income Statement, printed p.28 - https://www.pnbint.com/PNBIL/pdf/Financial_Reports/Annual%20Report%2031-03-18.pdf
Each of the ten years above is independently cross-checked as its own current-year column AND (except FY2026) as the following year's comparative column, both matching exactly. All ten years also reconcile exactly to this file's existing PL_PROFIT bottom-line figures (Net interest income = Interest income + Interest expense; Total operating income = Net interest income + Net trading profit/(loss) + [Charge/income on interest rate derivatives, FY2017-FY2020 only] + Fee and commission income + Other operating income; Profit before tax = Total operating income - Total operating expenses - Impairment provision; Profit after tax = Profit before tax + tax charge/credit).
FY2009-FY2016 GAP NOTE: this granular breakdown could not be extended to FY2009-FY2016. FY2014-FY2016's own Annual Reports and the FY2009-FY2013 Companies House statutory filings (company 05781326) are all scanned/TIFF image PDFs with no extractable text layer (confirmed via pdftotext/pdfinfo - each shows 'Producer: libtiff / tiff2pdf'); no OCR pass was run for this ticket, so those seven years keep only the single bottom-line 'Profit after tax for the year' row already present in this sheet, plus their existing OCI detail.</t>
        </is>
      </c>
    </row>
  </sheetData>
  <mergeCells count="2">
    <mergeCell ref="A41:S41"/>
    <mergeCell ref="A39:S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8"/>
  <sheetViews>
    <sheetView workbookViewId="0">
      <pane ySplit="4" topLeftCell="A5" activePane="bottomLeft" state="frozen"/>
      <selection pane="bottomLeft" activeCell="A1" sqref="A1"/>
    </sheetView>
  </sheetViews>
  <sheetFormatPr baseColWidth="8" defaultRowHeight="15"/>
  <cols>
    <col width="100" customWidth="1" min="1" max="1"/>
    <col width="17" customWidth="1" min="2" max="2"/>
    <col width="17" customWidth="1" min="3" max="3"/>
    <col width="17" customWidth="1" min="4" max="4"/>
    <col width="17" customWidth="1" min="5" max="5"/>
  </cols>
  <sheetData>
    <row r="1">
      <c r="A1" s="1" t="inlineStr">
        <is>
          <t>Punjab National Bank (International) Limited — Statement of Changes in Equity</t>
        </is>
      </c>
    </row>
    <row r="2">
      <c r="A2" s="2" t="inlineStr">
        <is>
          <t>Chronological roll-forward, oldest to newest, entity-level, £'000 converted from the Bank's native US$'000 presentation. Equity ladder confirmed exactly in native USD terms across all 18 years - the bridging rows (FY2018's prior period adjustment, FY2019's IFRS 9 transition, and AR2025's own Note 28/Note 35 restatement) are genuine, Bank-disclosed items, not errors. FY2021 is intentionally absent (see this file's YEARS comment), so the 1 April 2021 opening balance does not equal the FY2020 closing balance shown above it. GBP translation-adjustment rows arise only from converting a USD ladder using two different point-in-time/average rates - see the Balance Sheet sheet's GBP conversion note.</t>
        </is>
      </c>
    </row>
    <row r="3">
      <c r="A3" s="4" t="inlineStr">
        <is>
          <t>Movement</t>
        </is>
      </c>
      <c r="B3" s="4" t="inlineStr">
        <is>
          <t>Share capital</t>
        </is>
      </c>
      <c r="C3" s="4" t="inlineStr">
        <is>
          <t>Fair value reserve</t>
        </is>
      </c>
      <c r="D3" s="4" t="inlineStr">
        <is>
          <t>Retained earnings</t>
        </is>
      </c>
      <c r="E3" s="4" t="inlineStr">
        <is>
          <t>Total equity</t>
        </is>
      </c>
    </row>
    <row r="4">
      <c r="A4" s="5" t="inlineStr">
        <is>
          <t>Balance at 1 April 2008 (FY2009 opening)</t>
        </is>
      </c>
      <c r="B4" s="5" t="n">
        <v>34631.9</v>
      </c>
      <c r="C4" s="5" t="n">
        <v>20.9</v>
      </c>
      <c r="D4" s="5" t="n">
        <v>261</v>
      </c>
      <c r="E4" s="5" t="n">
        <v>34913.8</v>
      </c>
    </row>
    <row r="5">
      <c r="A5" s="6" t="inlineStr">
        <is>
          <t>Profit for the year</t>
        </is>
      </c>
      <c r="B5" s="6" t="n"/>
      <c r="C5" s="6" t="n"/>
      <c r="D5" s="6" t="n">
        <v>1508.4</v>
      </c>
      <c r="E5" s="6" t="n">
        <v>1508.4</v>
      </c>
    </row>
    <row r="6">
      <c r="A6" s="6" t="inlineStr">
        <is>
          <t>Transferred to retained earnings on sale of available-for-sale investments</t>
        </is>
      </c>
      <c r="B6" s="6" t="n"/>
      <c r="C6" s="6" t="n">
        <v>-17.5</v>
      </c>
      <c r="D6" s="6" t="n">
        <v>17.5</v>
      </c>
      <c r="E6" s="6" t="n">
        <v>0</v>
      </c>
    </row>
    <row r="7">
      <c r="A7" s="6" t="inlineStr">
        <is>
          <t>GBP translation adjustment (this workbook's conversion line)</t>
        </is>
      </c>
      <c r="B7" s="6" t="n">
        <v>0</v>
      </c>
      <c r="C7" s="6" t="n">
        <v>-3.4</v>
      </c>
      <c r="D7" s="6" t="n">
        <v>304.4</v>
      </c>
      <c r="E7" s="6" t="n">
        <v>301</v>
      </c>
    </row>
    <row r="8">
      <c r="A8" s="5" t="inlineStr">
        <is>
          <t>Balance at 31 March 2009 (FY2009 closing)</t>
        </is>
      </c>
      <c r="B8" s="5" t="n">
        <v>34631.9</v>
      </c>
      <c r="C8" s="5" t="n">
        <v>0</v>
      </c>
      <c r="D8" s="5" t="n">
        <v>2091.3</v>
      </c>
      <c r="E8" s="5" t="n">
        <v>36723.2</v>
      </c>
    </row>
    <row r="9">
      <c r="A9" s="6" t="inlineStr">
        <is>
          <t>Profit for the year</t>
        </is>
      </c>
      <c r="B9" s="6" t="n"/>
      <c r="C9" s="6" t="n"/>
      <c r="D9" s="6" t="n">
        <v>2413.1</v>
      </c>
      <c r="E9" s="6" t="n">
        <v>2413.1</v>
      </c>
    </row>
    <row r="10">
      <c r="A10" s="6" t="inlineStr">
        <is>
          <t>Fair value gains taken to equity on AFS securities</t>
        </is>
      </c>
      <c r="B10" s="6" t="n"/>
      <c r="C10" s="6" t="n">
        <v>98.3</v>
      </c>
      <c r="D10" s="6" t="n"/>
      <c r="E10" s="6" t="n">
        <v>98.3</v>
      </c>
    </row>
    <row r="11">
      <c r="A11" s="6" t="inlineStr">
        <is>
          <t>Issue of share capital</t>
        </is>
      </c>
      <c r="B11" s="6" t="n">
        <v>15649.5</v>
      </c>
      <c r="C11" s="6" t="n"/>
      <c r="D11" s="6" t="n"/>
      <c r="E11" s="6" t="n">
        <v>15649.5</v>
      </c>
    </row>
    <row r="12">
      <c r="A12" s="6" t="inlineStr">
        <is>
          <t>GBP translation adjustment (this workbook's conversion line)</t>
        </is>
      </c>
      <c r="B12" s="6" t="n">
        <v>-1075.2</v>
      </c>
      <c r="C12" s="6" t="n">
        <v>5.2</v>
      </c>
      <c r="D12" s="6" t="n">
        <v>13.3</v>
      </c>
      <c r="E12" s="6" t="n">
        <v>-1056.7</v>
      </c>
    </row>
    <row r="13">
      <c r="A13" s="5" t="inlineStr">
        <is>
          <t>Balance at 31 March 2010 (FY2010 closing)</t>
        </is>
      </c>
      <c r="B13" s="5" t="n">
        <v>49206.2</v>
      </c>
      <c r="C13" s="5" t="n">
        <v>103.5</v>
      </c>
      <c r="D13" s="5" t="n">
        <v>4517.7</v>
      </c>
      <c r="E13" s="5" t="n">
        <v>53827.4</v>
      </c>
    </row>
    <row r="14">
      <c r="A14" s="6" t="inlineStr">
        <is>
          <t>Profit for the year</t>
        </is>
      </c>
      <c r="B14" s="6" t="n"/>
      <c r="C14" s="6" t="n"/>
      <c r="D14" s="6" t="n">
        <v>900.3</v>
      </c>
      <c r="E14" s="6" t="n">
        <v>900.3</v>
      </c>
    </row>
    <row r="15">
      <c r="A15" s="6" t="inlineStr">
        <is>
          <t>Net change in fair value of AFS investments</t>
        </is>
      </c>
      <c r="B15" s="6" t="n"/>
      <c r="C15" s="6" t="n">
        <v>-150.3</v>
      </c>
      <c r="D15" s="6" t="n"/>
      <c r="E15" s="6" t="n">
        <v>-150.3</v>
      </c>
    </row>
    <row r="16">
      <c r="A16" s="6" t="inlineStr">
        <is>
          <t>Net amount transferred to profit and loss</t>
        </is>
      </c>
      <c r="B16" s="6" t="n"/>
      <c r="C16" s="6" t="n">
        <v>-100.8</v>
      </c>
      <c r="D16" s="6" t="n"/>
      <c r="E16" s="6" t="n">
        <v>-100.8</v>
      </c>
    </row>
    <row r="17">
      <c r="A17" s="6" t="inlineStr">
        <is>
          <t>Issue of Perpetual Notes (Upper Tier II capital)</t>
        </is>
      </c>
      <c r="B17" s="6" t="n">
        <v>16054.5</v>
      </c>
      <c r="C17" s="6" t="n"/>
      <c r="D17" s="6" t="n"/>
      <c r="E17" s="6" t="n">
        <v>16054.5</v>
      </c>
    </row>
    <row r="18">
      <c r="A18" s="6" t="inlineStr">
        <is>
          <t>GBP translation adjustment (this workbook's conversion line)</t>
        </is>
      </c>
      <c r="B18" s="6" t="n">
        <v>-3107.9</v>
      </c>
      <c r="C18" s="6" t="n">
        <v>1.6</v>
      </c>
      <c r="D18" s="6" t="n">
        <v>-268.9</v>
      </c>
      <c r="E18" s="6" t="n">
        <v>-3375.8</v>
      </c>
    </row>
    <row r="19">
      <c r="A19" s="5" t="inlineStr">
        <is>
          <t>Balance at 31 March 2011 (FY2011 closing)</t>
        </is>
      </c>
      <c r="B19" s="5" t="n">
        <v>62152.8</v>
      </c>
      <c r="C19" s="5" t="n">
        <v>-146</v>
      </c>
      <c r="D19" s="5" t="n">
        <v>5149.1</v>
      </c>
      <c r="E19" s="5" t="n">
        <v>67155.3</v>
      </c>
    </row>
    <row r="20">
      <c r="A20" s="6" t="inlineStr">
        <is>
          <t>Profit for the year</t>
        </is>
      </c>
      <c r="B20" s="6" t="n"/>
      <c r="C20" s="6" t="n"/>
      <c r="D20" s="6" t="n">
        <v>4710.6</v>
      </c>
      <c r="E20" s="6" t="n">
        <v>4710.6</v>
      </c>
    </row>
    <row r="21">
      <c r="A21" s="6" t="inlineStr">
        <is>
          <t>Net change in fair value of AFS investments</t>
        </is>
      </c>
      <c r="B21" s="6" t="n"/>
      <c r="C21" s="6" t="n">
        <v>-2175.1</v>
      </c>
      <c r="D21" s="6" t="n"/>
      <c r="E21" s="6" t="n">
        <v>-2175.1</v>
      </c>
    </row>
    <row r="22">
      <c r="A22" s="6" t="inlineStr">
        <is>
          <t>Net amount transferred to profit and loss</t>
        </is>
      </c>
      <c r="B22" s="6" t="n"/>
      <c r="C22" s="6" t="n">
        <v>219.4</v>
      </c>
      <c r="D22" s="6" t="n"/>
      <c r="E22" s="6" t="n">
        <v>219.4</v>
      </c>
    </row>
    <row r="23">
      <c r="A23" s="6" t="inlineStr">
        <is>
          <t>Issue of share capital</t>
        </is>
      </c>
      <c r="B23" s="6" t="n">
        <v>7837.5</v>
      </c>
      <c r="C23" s="6" t="n"/>
      <c r="D23" s="6" t="n"/>
      <c r="E23" s="6" t="n">
        <v>7837.5</v>
      </c>
    </row>
    <row r="24">
      <c r="A24" s="6" t="inlineStr">
        <is>
          <t>Dividend on subordinated debt</t>
        </is>
      </c>
      <c r="B24" s="6" t="n"/>
      <c r="C24" s="6" t="n"/>
      <c r="D24" s="6" t="n">
        <v>-718.5</v>
      </c>
      <c r="E24" s="6" t="n">
        <v>-718.5</v>
      </c>
    </row>
    <row r="25">
      <c r="A25" s="6" t="inlineStr">
        <is>
          <t>GBP translation adjustment (this workbook's conversion line)</t>
        </is>
      </c>
      <c r="B25" s="6" t="n">
        <v>174.9</v>
      </c>
      <c r="C25" s="6" t="n">
        <v>3.6</v>
      </c>
      <c r="D25" s="6" t="n">
        <v>7.8</v>
      </c>
      <c r="E25" s="6" t="n">
        <v>186.9</v>
      </c>
    </row>
    <row r="26">
      <c r="A26" s="5" t="inlineStr">
        <is>
          <t>Balance at 31 March 2012 (FY2012 closing)</t>
        </is>
      </c>
      <c r="B26" s="5" t="n">
        <v>70165.2</v>
      </c>
      <c r="C26" s="5" t="n">
        <v>-2098.1</v>
      </c>
      <c r="D26" s="5" t="n">
        <v>9149</v>
      </c>
      <c r="E26" s="5" t="n">
        <v>77216.10000000001</v>
      </c>
    </row>
    <row r="27">
      <c r="A27" s="6" t="inlineStr">
        <is>
          <t>Profit for the year</t>
        </is>
      </c>
      <c r="B27" s="6" t="n"/>
      <c r="C27" s="6" t="n"/>
      <c r="D27" s="6" t="n">
        <v>3400.4</v>
      </c>
      <c r="E27" s="6" t="n">
        <v>3400.4</v>
      </c>
    </row>
    <row r="28">
      <c r="A28" s="6" t="inlineStr">
        <is>
          <t>Net change in fair value of AFS investments</t>
        </is>
      </c>
      <c r="B28" s="6" t="n"/>
      <c r="C28" s="6" t="n">
        <v>251.8</v>
      </c>
      <c r="D28" s="6" t="n"/>
      <c r="E28" s="6" t="n">
        <v>251.8</v>
      </c>
    </row>
    <row r="29">
      <c r="A29" s="6" t="inlineStr">
        <is>
          <t>Net amount transferred to profit and loss</t>
        </is>
      </c>
      <c r="B29" s="6" t="n"/>
      <c r="C29" s="6" t="n">
        <v>1948.9</v>
      </c>
      <c r="D29" s="6" t="n"/>
      <c r="E29" s="6" t="n">
        <v>1948.9</v>
      </c>
    </row>
    <row r="30">
      <c r="A30" s="6" t="inlineStr">
        <is>
          <t>Issue of share capital</t>
        </is>
      </c>
      <c r="B30" s="6" t="n">
        <v>7909.4</v>
      </c>
      <c r="C30" s="6" t="n"/>
      <c r="D30" s="6" t="n"/>
      <c r="E30" s="6" t="n">
        <v>7909.4</v>
      </c>
    </row>
    <row r="31">
      <c r="A31" s="6" t="inlineStr">
        <is>
          <t>Dividend to subordinated debt holders</t>
        </is>
      </c>
      <c r="B31" s="6" t="n"/>
      <c r="C31" s="6" t="n"/>
      <c r="D31" s="6" t="n">
        <v>-739.1</v>
      </c>
      <c r="E31" s="6" t="n">
        <v>-739.1</v>
      </c>
    </row>
    <row r="32">
      <c r="A32" s="6" t="inlineStr">
        <is>
          <t>GBP translation adjustment (this workbook's conversion line)</t>
        </is>
      </c>
      <c r="B32" s="6" t="n">
        <v>4022.1</v>
      </c>
      <c r="C32" s="6" t="n">
        <v>-20.3</v>
      </c>
      <c r="D32" s="6" t="n">
        <v>591.4</v>
      </c>
      <c r="E32" s="6" t="n">
        <v>4593.2</v>
      </c>
    </row>
    <row r="33">
      <c r="A33" s="5" t="inlineStr">
        <is>
          <t>Balance at 31 March 2013 / 1 April 2013 (FY2013 closing / FY2014 opening)</t>
        </is>
      </c>
      <c r="B33" s="5" t="n">
        <v>82096.7</v>
      </c>
      <c r="C33" s="5" t="n">
        <v>82.3</v>
      </c>
      <c r="D33" s="5" t="n">
        <v>12401.7</v>
      </c>
      <c r="E33" s="5" t="n">
        <v>94580.7</v>
      </c>
    </row>
    <row r="34">
      <c r="A34" s="6" t="inlineStr">
        <is>
          <t>Profit for the year</t>
        </is>
      </c>
      <c r="B34" s="6" t="n"/>
      <c r="C34" s="6" t="n"/>
      <c r="D34" s="6" t="n">
        <v>4396.2</v>
      </c>
      <c r="E34" s="6" t="n">
        <v>4396.2</v>
      </c>
    </row>
    <row r="35">
      <c r="A35" s="6" t="inlineStr">
        <is>
          <t>Net change in fair value of AFS investments</t>
        </is>
      </c>
      <c r="B35" s="6" t="n"/>
      <c r="C35" s="6" t="n">
        <v>-3041.5</v>
      </c>
      <c r="D35" s="6" t="n"/>
      <c r="E35" s="6" t="n">
        <v>-3041.5</v>
      </c>
    </row>
    <row r="36">
      <c r="A36" s="6" t="inlineStr">
        <is>
          <t>Net amount transferred to profit and loss</t>
        </is>
      </c>
      <c r="B36" s="6" t="n"/>
      <c r="C36" s="6" t="n">
        <v>-185.5</v>
      </c>
      <c r="D36" s="6" t="n"/>
      <c r="E36" s="6" t="n">
        <v>-185.5</v>
      </c>
    </row>
    <row r="37">
      <c r="A37" s="6" t="inlineStr">
        <is>
          <t>Issue of share capital</t>
        </is>
      </c>
      <c r="B37" s="6" t="n">
        <v>31446.5</v>
      </c>
      <c r="C37" s="6" t="n"/>
      <c r="D37" s="6" t="n"/>
      <c r="E37" s="6" t="n">
        <v>31446.5</v>
      </c>
    </row>
    <row r="38">
      <c r="A38" s="6" t="inlineStr">
        <is>
          <t>Dividend on perpetual Tier II capital</t>
        </is>
      </c>
      <c r="B38" s="6" t="n"/>
      <c r="C38" s="6" t="n"/>
      <c r="D38" s="6" t="n">
        <v>-698.7</v>
      </c>
      <c r="E38" s="6" t="n">
        <v>-698.7</v>
      </c>
    </row>
    <row r="39">
      <c r="A39" s="6" t="inlineStr">
        <is>
          <t>GBP translation adjustment (this workbook's conversion line)</t>
        </is>
      </c>
      <c r="B39" s="6" t="n">
        <v>-8804.4</v>
      </c>
      <c r="C39" s="6" t="n">
        <v>142.2</v>
      </c>
      <c r="D39" s="6" t="n">
        <v>-1281.2</v>
      </c>
      <c r="E39" s="6" t="n">
        <v>-9943.4</v>
      </c>
    </row>
    <row r="40">
      <c r="A40" s="5" t="inlineStr">
        <is>
          <t>Balance at 31 March 2014 (FY2014 closing)</t>
        </is>
      </c>
      <c r="B40" s="5" t="n">
        <v>104738.8</v>
      </c>
      <c r="C40" s="5" t="n">
        <v>-3002.5</v>
      </c>
      <c r="D40" s="5" t="n">
        <v>14818</v>
      </c>
      <c r="E40" s="5" t="n">
        <v>116554.3</v>
      </c>
    </row>
    <row r="41">
      <c r="A41" s="6" t="inlineStr">
        <is>
          <t>Profit for the year</t>
        </is>
      </c>
      <c r="B41" s="6" t="n"/>
      <c r="C41" s="6" t="n"/>
      <c r="D41" s="6" t="n">
        <v>5036.3</v>
      </c>
      <c r="E41" s="6" t="n">
        <v>5036.3</v>
      </c>
    </row>
    <row r="42">
      <c r="A42" s="6" t="inlineStr">
        <is>
          <t>Net change in fair value of AFS investments</t>
        </is>
      </c>
      <c r="B42" s="6" t="n"/>
      <c r="C42" s="6" t="n">
        <v>2850.2</v>
      </c>
      <c r="D42" s="6" t="n"/>
      <c r="E42" s="6" t="n">
        <v>2850.2</v>
      </c>
    </row>
    <row r="43">
      <c r="A43" s="6" t="inlineStr">
        <is>
          <t>Net amount transferred to profit and loss</t>
        </is>
      </c>
      <c r="B43" s="6" t="n"/>
      <c r="C43" s="6" t="n">
        <v>1340.2</v>
      </c>
      <c r="D43" s="6" t="n"/>
      <c r="E43" s="6" t="n">
        <v>1340.2</v>
      </c>
    </row>
    <row r="44">
      <c r="A44" s="6" t="inlineStr">
        <is>
          <t>Dividend on perpetual Tier II capital</t>
        </is>
      </c>
      <c r="B44" s="6" t="n"/>
      <c r="C44" s="6" t="n"/>
      <c r="D44" s="6" t="n">
        <v>-671</v>
      </c>
      <c r="E44" s="6" t="n">
        <v>-671</v>
      </c>
    </row>
    <row r="45">
      <c r="A45" s="6" t="inlineStr">
        <is>
          <t>GBP translation adjustment (this workbook's conversion line)</t>
        </is>
      </c>
      <c r="B45" s="6" t="n">
        <v>12881.6</v>
      </c>
      <c r="C45" s="6" t="n">
        <v>-8.5</v>
      </c>
      <c r="D45" s="6" t="n">
        <v>2198.1</v>
      </c>
      <c r="E45" s="6" t="n">
        <v>15071.2</v>
      </c>
    </row>
    <row r="46">
      <c r="A46" s="5" t="inlineStr">
        <is>
          <t>Balance at 31 March 2015 (FY2015 closing)</t>
        </is>
      </c>
      <c r="B46" s="5" t="n">
        <v>117620.4</v>
      </c>
      <c r="C46" s="5" t="n">
        <v>1179.4</v>
      </c>
      <c r="D46" s="5" t="n">
        <v>21381.4</v>
      </c>
      <c r="E46" s="5" t="n">
        <v>140181.2</v>
      </c>
    </row>
    <row r="47">
      <c r="A47" s="6" t="inlineStr">
        <is>
          <t>Loss for the year</t>
        </is>
      </c>
      <c r="B47" s="6" t="n"/>
      <c r="C47" s="6" t="n"/>
      <c r="D47" s="6" t="n">
        <v>-18051.3</v>
      </c>
      <c r="E47" s="6" t="n">
        <v>-18051.3</v>
      </c>
    </row>
    <row r="48">
      <c r="A48" s="6" t="inlineStr">
        <is>
          <t>Net change in fair value of AFS investments</t>
        </is>
      </c>
      <c r="B48" s="6" t="n"/>
      <c r="C48" s="6" t="n">
        <v>-855.3</v>
      </c>
      <c r="D48" s="6" t="n"/>
      <c r="E48" s="6" t="n">
        <v>-855.3</v>
      </c>
    </row>
    <row r="49">
      <c r="A49" s="6" t="inlineStr">
        <is>
          <t>Net amount transferred to profit and loss</t>
        </is>
      </c>
      <c r="B49" s="6" t="n"/>
      <c r="C49" s="6" t="n">
        <v>-47.1</v>
      </c>
      <c r="D49" s="6" t="n"/>
      <c r="E49" s="6" t="n">
        <v>-47.1</v>
      </c>
    </row>
    <row r="50">
      <c r="A50" s="6" t="inlineStr">
        <is>
          <t>Dividend on perpetual Tier II capital</t>
        </is>
      </c>
      <c r="B50" s="6" t="n"/>
      <c r="C50" s="6" t="n"/>
      <c r="D50" s="6" t="n">
        <v>-753.9</v>
      </c>
      <c r="E50" s="6" t="n">
        <v>-753.9</v>
      </c>
    </row>
    <row r="51">
      <c r="A51" s="6" t="inlineStr">
        <is>
          <t>Deferred tax benefit</t>
        </is>
      </c>
      <c r="B51" s="6" t="n"/>
      <c r="C51" s="6" t="n"/>
      <c r="D51" s="6" t="n">
        <v>150.5</v>
      </c>
      <c r="E51" s="6" t="n">
        <v>150.5</v>
      </c>
    </row>
    <row r="52">
      <c r="A52" s="6" t="inlineStr">
        <is>
          <t>GBP translation adjustment (this workbook's conversion line)</t>
        </is>
      </c>
      <c r="B52" s="6" t="n">
        <v>3836.7</v>
      </c>
      <c r="C52" s="6" t="n">
        <v>-5.8</v>
      </c>
      <c r="D52" s="6" t="n">
        <v>-215.9</v>
      </c>
      <c r="E52" s="6" t="n">
        <v>3615</v>
      </c>
    </row>
    <row r="53">
      <c r="A53" s="5" t="inlineStr">
        <is>
          <t>Balance at 31 March 2016 (FY2016 closing)</t>
        </is>
      </c>
      <c r="B53" s="5" t="n">
        <v>121457.1</v>
      </c>
      <c r="C53" s="5" t="n">
        <v>271.2</v>
      </c>
      <c r="D53" s="5" t="n">
        <v>2510.8</v>
      </c>
      <c r="E53" s="5" t="n">
        <v>124239.1</v>
      </c>
    </row>
    <row r="54">
      <c r="A54" s="6" t="inlineStr">
        <is>
          <t>Loss for the year</t>
        </is>
      </c>
      <c r="B54" s="6" t="n"/>
      <c r="C54" s="6" t="n"/>
      <c r="D54" s="6" t="n">
        <v>-85197.8</v>
      </c>
      <c r="E54" s="6" t="n">
        <v>-85197.8</v>
      </c>
    </row>
    <row r="55">
      <c r="A55" s="6" t="inlineStr">
        <is>
          <t>Net change in fair value of AFS investments</t>
        </is>
      </c>
      <c r="B55" s="6" t="n"/>
      <c r="C55" s="6" t="n">
        <v>-324.5</v>
      </c>
      <c r="D55" s="6" t="n"/>
      <c r="E55" s="6" t="n">
        <v>-324.5</v>
      </c>
    </row>
    <row r="56">
      <c r="A56" s="6" t="inlineStr">
        <is>
          <t>Tax credit arising on AFS reserve movement (Bank's own footnoted item, posted to retained earnings)</t>
        </is>
      </c>
      <c r="B56" s="6" t="n"/>
      <c r="C56" s="6" t="n"/>
      <c r="D56" s="6" t="n">
        <v>-16.8</v>
      </c>
      <c r="E56" s="6" t="n">
        <v>-16.8</v>
      </c>
    </row>
    <row r="57">
      <c r="A57" s="6" t="inlineStr">
        <is>
          <t>Issue of share capital</t>
        </is>
      </c>
      <c r="B57" s="6" t="n">
        <v>95660.8</v>
      </c>
      <c r="C57" s="6" t="n"/>
      <c r="D57" s="6" t="n"/>
      <c r="E57" s="6" t="n">
        <v>95660.8</v>
      </c>
    </row>
    <row r="58">
      <c r="A58" s="6" t="inlineStr">
        <is>
          <t>GBP translation adjustment (this workbook's conversion line)</t>
        </is>
      </c>
      <c r="B58" s="6" t="n">
        <v>22452.7</v>
      </c>
      <c r="C58" s="6" t="n">
        <v>26.1</v>
      </c>
      <c r="D58" s="6" t="n">
        <v>-3440</v>
      </c>
      <c r="E58" s="6" t="n">
        <v>19038.9</v>
      </c>
    </row>
    <row r="59">
      <c r="A59" s="5" t="inlineStr">
        <is>
          <t>Balance at 31 March 2017 (FY2017 closing)</t>
        </is>
      </c>
      <c r="B59" s="5" t="n">
        <v>239570.6</v>
      </c>
      <c r="C59" s="5" t="n">
        <v>-27.2</v>
      </c>
      <c r="D59" s="5" t="n">
        <v>-86143.8</v>
      </c>
      <c r="E59" s="5" t="n">
        <v>153399.7</v>
      </c>
    </row>
    <row r="60">
      <c r="A60" s="6" t="inlineStr">
        <is>
          <t>Prior period adjustment (tax credit arising on AFS reserve movement)</t>
        </is>
      </c>
      <c r="B60" s="6" t="n"/>
      <c r="C60" s="6" t="n"/>
      <c r="D60" s="6" t="n">
        <v>-58.9</v>
      </c>
      <c r="E60" s="6" t="n">
        <v>-58.9</v>
      </c>
    </row>
    <row r="61">
      <c r="A61" s="5" t="inlineStr">
        <is>
          <t>Balance at 1 April 2017, as restated (FY2018 opening)</t>
        </is>
      </c>
      <c r="B61" s="5" t="n">
        <v>239570.6</v>
      </c>
      <c r="C61" s="5" t="n">
        <v>-27.2</v>
      </c>
      <c r="D61" s="5" t="n">
        <v>-86205.3</v>
      </c>
      <c r="E61" s="5" t="n">
        <v>153338.1</v>
      </c>
    </row>
    <row r="62">
      <c r="A62" s="6" t="inlineStr">
        <is>
          <t>Profit for the year</t>
        </is>
      </c>
      <c r="B62" s="6" t="n"/>
      <c r="C62" s="6" t="n"/>
      <c r="D62" s="6" t="n">
        <v>4439.8</v>
      </c>
      <c r="E62" s="6" t="n">
        <v>4439.8</v>
      </c>
    </row>
    <row r="63">
      <c r="A63" s="6" t="inlineStr">
        <is>
          <t>Net change in fair value of AFS investments</t>
        </is>
      </c>
      <c r="B63" s="6" t="n"/>
      <c r="C63" s="6" t="n">
        <v>-666.8</v>
      </c>
      <c r="D63" s="6" t="n"/>
      <c r="E63" s="6" t="n">
        <v>-666.8</v>
      </c>
    </row>
    <row r="64">
      <c r="A64" s="6" t="inlineStr">
        <is>
          <t>Net amount transferred to profit and loss</t>
        </is>
      </c>
      <c r="B64" s="6" t="n"/>
      <c r="C64" s="6" t="n">
        <v>-179.3</v>
      </c>
      <c r="D64" s="6" t="n"/>
      <c r="E64" s="6" t="n">
        <v>-179.3</v>
      </c>
    </row>
    <row r="65">
      <c r="A65" s="6" t="inlineStr">
        <is>
          <t>Issue of share capital</t>
        </is>
      </c>
      <c r="B65" s="6" t="n">
        <v>15068.2</v>
      </c>
      <c r="C65" s="6" t="n"/>
      <c r="D65" s="6" t="n"/>
      <c r="E65" s="6" t="n">
        <v>15068.2</v>
      </c>
    </row>
    <row r="66">
      <c r="A66" s="6" t="inlineStr">
        <is>
          <t>Dividend on perpetual additional Tier I capital</t>
        </is>
      </c>
      <c r="B66" s="6" t="n"/>
      <c r="C66" s="6" t="n"/>
      <c r="D66" s="6" t="n">
        <v>-2206</v>
      </c>
      <c r="E66" s="6" t="n">
        <v>-2206</v>
      </c>
    </row>
    <row r="67">
      <c r="A67" s="6" t="inlineStr">
        <is>
          <t>GBP translation adjustment (this workbook's conversion line)</t>
        </is>
      </c>
      <c r="B67" s="6" t="n">
        <v>-26867.8</v>
      </c>
      <c r="C67" s="6" t="n">
        <v>48.8</v>
      </c>
      <c r="D67" s="6" t="n">
        <v>9253.299999999999</v>
      </c>
      <c r="E67" s="6" t="n">
        <v>-17565.7</v>
      </c>
    </row>
    <row r="68">
      <c r="A68" s="5" t="inlineStr">
        <is>
          <t>Balance at 31 March 2018 (FY2018 closing)</t>
        </is>
      </c>
      <c r="B68" s="5" t="n">
        <v>227771</v>
      </c>
      <c r="C68" s="5" t="n">
        <v>-824.5</v>
      </c>
      <c r="D68" s="5" t="n">
        <v>-74718.2</v>
      </c>
      <c r="E68" s="5" t="n">
        <v>152228.3</v>
      </c>
    </row>
    <row r="69">
      <c r="A69" s="6" t="inlineStr">
        <is>
          <t>IFRS 9 adoption (retained earnings transition adjustment)</t>
        </is>
      </c>
      <c r="B69" s="6" t="n"/>
      <c r="C69" s="6" t="n"/>
      <c r="D69" s="6" t="n">
        <v>-1946.8</v>
      </c>
      <c r="E69" s="6" t="n">
        <v>-1946.8</v>
      </c>
    </row>
    <row r="70">
      <c r="A70" s="5" t="inlineStr">
        <is>
          <t>Balance at 1 April 2018, as adjusted for IFRS 9 adoption (FY2019 opening)</t>
        </is>
      </c>
      <c r="B70" s="5" t="n">
        <v>227771</v>
      </c>
      <c r="C70" s="5" t="n">
        <v>-824.5</v>
      </c>
      <c r="D70" s="5" t="n">
        <v>-76559.5</v>
      </c>
      <c r="E70" s="5" t="n">
        <v>150386.9</v>
      </c>
    </row>
    <row r="71">
      <c r="A71" s="6" t="inlineStr">
        <is>
          <t>Profit for the year</t>
        </is>
      </c>
      <c r="B71" s="6" t="n"/>
      <c r="C71" s="6" t="n"/>
      <c r="D71" s="6" t="n">
        <v>6335.1</v>
      </c>
      <c r="E71" s="6" t="n">
        <v>6335.1</v>
      </c>
    </row>
    <row r="72">
      <c r="A72" s="6" t="inlineStr">
        <is>
          <t>Net change in fair value of Investment securities - FVTOCI</t>
        </is>
      </c>
      <c r="B72" s="6" t="n"/>
      <c r="C72" s="6" t="n">
        <v>340.4</v>
      </c>
      <c r="D72" s="6" t="n"/>
      <c r="E72" s="6" t="n">
        <v>340.4</v>
      </c>
    </row>
    <row r="73">
      <c r="A73" s="6" t="inlineStr">
        <is>
          <t>Net amount transferred to profit and loss</t>
        </is>
      </c>
      <c r="B73" s="6" t="n"/>
      <c r="C73" s="6" t="n">
        <v>77.7</v>
      </c>
      <c r="D73" s="6" t="n"/>
      <c r="E73" s="6" t="n">
        <v>77.7</v>
      </c>
    </row>
    <row r="74">
      <c r="A74" s="6" t="inlineStr">
        <is>
          <t>Dividend on perpetual additional Tier I capital</t>
        </is>
      </c>
      <c r="B74" s="6" t="n"/>
      <c r="C74" s="6" t="n"/>
      <c r="D74" s="6" t="n">
        <v>-2613.9</v>
      </c>
      <c r="E74" s="6" t="n">
        <v>-2613.9</v>
      </c>
    </row>
    <row r="75">
      <c r="A75" s="6" t="inlineStr">
        <is>
          <t>IFRS 9 deferred tax transitional adjustment</t>
        </is>
      </c>
      <c r="B75" s="6" t="n"/>
      <c r="C75" s="6" t="n"/>
      <c r="D75" s="6" t="n">
        <v>301.6</v>
      </c>
      <c r="E75" s="6" t="n">
        <v>301.6</v>
      </c>
    </row>
    <row r="76">
      <c r="A76" s="6" t="inlineStr">
        <is>
          <t>GBP translation adjustment (this workbook's conversion line)</t>
        </is>
      </c>
      <c r="B76" s="6" t="n">
        <v>17532.9</v>
      </c>
      <c r="C76" s="6" t="n">
        <v>-60.2</v>
      </c>
      <c r="D76" s="6" t="n">
        <v>-5862.4</v>
      </c>
      <c r="E76" s="6" t="n">
        <v>11610.4</v>
      </c>
    </row>
    <row r="77">
      <c r="A77" s="5" t="inlineStr">
        <is>
          <t>Balance at 31 March 2019 (FY2019 closing)</t>
        </is>
      </c>
      <c r="B77" s="5" t="n">
        <v>245303.9</v>
      </c>
      <c r="C77" s="5" t="n">
        <v>-466.6</v>
      </c>
      <c r="D77" s="5" t="n">
        <v>-78399.10000000001</v>
      </c>
      <c r="E77" s="5" t="n">
        <v>166438.2</v>
      </c>
    </row>
    <row r="78">
      <c r="A78" s="6" t="inlineStr">
        <is>
          <t>Profit for the year</t>
        </is>
      </c>
      <c r="B78" s="6" t="n"/>
      <c r="C78" s="6" t="n"/>
      <c r="D78" s="6" t="n">
        <v>2145.1</v>
      </c>
      <c r="E78" s="6" t="n">
        <v>2145.1</v>
      </c>
    </row>
    <row r="79">
      <c r="A79" s="6" t="inlineStr">
        <is>
          <t>Net change in fair value of Investment securities - FVTOCI</t>
        </is>
      </c>
      <c r="B79" s="6" t="n"/>
      <c r="C79" s="6" t="n">
        <v>-519.4</v>
      </c>
      <c r="D79" s="6" t="n"/>
      <c r="E79" s="6" t="n">
        <v>-519.4</v>
      </c>
    </row>
    <row r="80">
      <c r="A80" s="6" t="inlineStr">
        <is>
          <t>Net amount transferred to Profit &amp; Loss</t>
        </is>
      </c>
      <c r="B80" s="6" t="n"/>
      <c r="C80" s="6" t="n">
        <v>9.4</v>
      </c>
      <c r="D80" s="6" t="n"/>
      <c r="E80" s="6" t="n">
        <v>9.4</v>
      </c>
    </row>
    <row r="81">
      <c r="A81" s="6" t="inlineStr">
        <is>
          <t>Dividend on additional Tier 1 capital</t>
        </is>
      </c>
      <c r="B81" s="6" t="n"/>
      <c r="C81" s="6" t="n"/>
      <c r="D81" s="6" t="n">
        <v>-2645.6</v>
      </c>
      <c r="E81" s="6" t="n">
        <v>-2645.6</v>
      </c>
    </row>
    <row r="82">
      <c r="A82" s="6" t="inlineStr">
        <is>
          <t>GBP translation adjustment (this workbook's conversion line)</t>
        </is>
      </c>
      <c r="B82" s="6" t="n">
        <v>12400.7</v>
      </c>
      <c r="C82" s="6" t="n">
        <v>-36.1</v>
      </c>
      <c r="D82" s="6" t="n">
        <v>-3975.5</v>
      </c>
      <c r="E82" s="6" t="n">
        <v>8389.1</v>
      </c>
    </row>
    <row r="83">
      <c r="A83" s="5" t="inlineStr">
        <is>
          <t>Balance at 31 March 2020 (FY2020 closing)</t>
        </is>
      </c>
      <c r="B83" s="5" t="n">
        <v>257704.6</v>
      </c>
      <c r="C83" s="5" t="n">
        <v>-1012.7</v>
      </c>
      <c r="D83" s="5" t="n">
        <v>-82875.10000000001</v>
      </c>
      <c r="E83" s="5" t="n">
        <v>173816.8</v>
      </c>
    </row>
    <row r="84">
      <c r="A84" s="6" t="inlineStr">
        <is>
          <t>Loss for the year</t>
        </is>
      </c>
      <c r="B84" s="6" t="n"/>
      <c r="C84" s="6" t="n"/>
      <c r="D84" s="6" t="n">
        <v>-7757.1</v>
      </c>
      <c r="E84" s="6" t="n">
        <v>-7757.1</v>
      </c>
    </row>
    <row r="85">
      <c r="A85" s="6" t="inlineStr">
        <is>
          <t>Net change in fair value of Investment securities - FVOCI</t>
        </is>
      </c>
      <c r="B85" s="6" t="n"/>
      <c r="C85" s="6" t="n">
        <v>949.7</v>
      </c>
      <c r="D85" s="6" t="n"/>
      <c r="E85" s="6" t="n">
        <v>949.7</v>
      </c>
    </row>
    <row r="86">
      <c r="A86" s="6" t="inlineStr">
        <is>
          <t>Net amount transferred to Profit &amp; Loss</t>
        </is>
      </c>
      <c r="B86" s="6" t="n"/>
      <c r="C86" s="6" t="n">
        <v>53.8</v>
      </c>
      <c r="D86" s="6" t="n"/>
      <c r="E86" s="6" t="n">
        <v>53.8</v>
      </c>
    </row>
    <row r="87">
      <c r="A87" s="6" t="inlineStr">
        <is>
          <t>Dividend on additional Tier 1 capital</t>
        </is>
      </c>
      <c r="B87" s="6" t="n"/>
      <c r="C87" s="6" t="n"/>
      <c r="D87" s="6" t="n">
        <v>-1960.9</v>
      </c>
      <c r="E87" s="6" t="n">
        <v>-1960.9</v>
      </c>
    </row>
    <row r="88">
      <c r="A88" s="6" t="inlineStr">
        <is>
          <t>GBP translation adjustment (this workbook's conversion line)</t>
        </is>
      </c>
      <c r="B88" s="6" t="n">
        <v>-26020.8</v>
      </c>
      <c r="C88" s="6" t="n">
        <v>58.5</v>
      </c>
      <c r="D88" s="6" t="n">
        <v>8792.700000000001</v>
      </c>
      <c r="E88" s="6" t="n">
        <v>-17169.6</v>
      </c>
    </row>
    <row r="89">
      <c r="A89" s="5" t="inlineStr">
        <is>
          <t>Balance at 31 March 2021 (FY2021 closing)</t>
        </is>
      </c>
      <c r="B89" s="5" t="n">
        <v>231683.8</v>
      </c>
      <c r="C89" s="5" t="n">
        <v>49.3</v>
      </c>
      <c r="D89" s="5" t="n">
        <v>-83800.39999999999</v>
      </c>
      <c r="E89" s="5" t="n">
        <v>147932.7</v>
      </c>
    </row>
    <row r="90">
      <c r="A90" s="5" t="inlineStr">
        <is>
          <t>Balance at 1 April 2021 (FY2022 opening)</t>
        </is>
      </c>
      <c r="B90" s="5" t="n">
        <v>231683.8</v>
      </c>
      <c r="C90" s="5" t="n">
        <v>49.3</v>
      </c>
      <c r="D90" s="5" t="n">
        <v>-83800.39999999999</v>
      </c>
      <c r="E90" s="5" t="n">
        <v>147932.7</v>
      </c>
    </row>
    <row r="91">
      <c r="A91" s="6" t="inlineStr">
        <is>
          <t>Profit for the year</t>
        </is>
      </c>
      <c r="B91" s="6" t="n"/>
      <c r="C91" s="6" t="n"/>
      <c r="D91" s="6" t="n">
        <v>5786.9</v>
      </c>
      <c r="E91" s="6" t="n">
        <v>5786.9</v>
      </c>
    </row>
    <row r="92">
      <c r="A92" s="6" t="inlineStr">
        <is>
          <t>Net change in fair value of Investment Securities - FVOCI</t>
        </is>
      </c>
      <c r="B92" s="6" t="n"/>
      <c r="C92" s="6" t="n">
        <v>-1149.2</v>
      </c>
      <c r="D92" s="6" t="n"/>
      <c r="E92" s="6" t="n">
        <v>-1149.2</v>
      </c>
    </row>
    <row r="93">
      <c r="A93" s="6" t="inlineStr">
        <is>
          <t>Net amount transferred to Profit &amp; Loss</t>
        </is>
      </c>
      <c r="B93" s="6" t="n"/>
      <c r="C93" s="6" t="n">
        <v>153</v>
      </c>
      <c r="D93" s="6" t="n"/>
      <c r="E93" s="6" t="n">
        <v>153</v>
      </c>
    </row>
    <row r="94">
      <c r="A94" s="6" t="inlineStr">
        <is>
          <t>Dividend on additional Tier 1 capital</t>
        </is>
      </c>
      <c r="B94" s="6" t="n"/>
      <c r="C94" s="6" t="n"/>
      <c r="D94" s="6" t="n">
        <v>-1732.5</v>
      </c>
      <c r="E94" s="6" t="n">
        <v>-1732.5</v>
      </c>
    </row>
    <row r="95">
      <c r="A95" s="6" t="inlineStr">
        <is>
          <t>GBP translation adjustment (this workbook's conversion line)</t>
        </is>
      </c>
      <c r="B95" s="6" t="n">
        <v>11160</v>
      </c>
      <c r="C95" s="6" t="n">
        <v>-35.5</v>
      </c>
      <c r="D95" s="6" t="n">
        <v>-3882.6</v>
      </c>
      <c r="E95" s="6" t="n">
        <v>7241.9</v>
      </c>
    </row>
    <row r="96">
      <c r="A96" s="5" t="inlineStr">
        <is>
          <t>Balance at 31 March 2022 (FY2022 closing)</t>
        </is>
      </c>
      <c r="B96" s="5" t="n">
        <v>242843.8</v>
      </c>
      <c r="C96" s="5" t="n">
        <v>-982.4</v>
      </c>
      <c r="D96" s="5" t="n">
        <v>-83628.60000000001</v>
      </c>
      <c r="E96" s="5" t="n">
        <v>158232.8</v>
      </c>
    </row>
    <row r="97">
      <c r="A97" s="6" t="inlineStr">
        <is>
          <t>Profit for the year</t>
        </is>
      </c>
      <c r="B97" s="6" t="n"/>
      <c r="C97" s="6" t="n"/>
      <c r="D97" s="6" t="n">
        <v>6918.2</v>
      </c>
      <c r="E97" s="6" t="n">
        <v>6918.2</v>
      </c>
    </row>
    <row r="98">
      <c r="A98" s="6" t="inlineStr">
        <is>
          <t>Net change in fair value of Investment Securities - FVOCI</t>
        </is>
      </c>
      <c r="B98" s="6" t="n"/>
      <c r="C98" s="6" t="n">
        <v>-73.09999999999999</v>
      </c>
      <c r="D98" s="6" t="n"/>
      <c r="E98" s="6" t="n">
        <v>-73.09999999999999</v>
      </c>
    </row>
    <row r="99">
      <c r="A99" s="6" t="inlineStr">
        <is>
          <t>Net amount transferred to Profit &amp; Loss</t>
        </is>
      </c>
      <c r="B99" s="6" t="n"/>
      <c r="C99" s="6" t="n">
        <v>327.9</v>
      </c>
      <c r="D99" s="6" t="n"/>
      <c r="E99" s="6" t="n">
        <v>327.9</v>
      </c>
    </row>
    <row r="100">
      <c r="A100" s="6" t="inlineStr">
        <is>
          <t>Dividend on additional Tier 1 capital</t>
        </is>
      </c>
      <c r="B100" s="6" t="n"/>
      <c r="C100" s="6" t="n"/>
      <c r="D100" s="6" t="n">
        <v>-2970.5</v>
      </c>
      <c r="E100" s="6" t="n">
        <v>-2970.5</v>
      </c>
    </row>
    <row r="101">
      <c r="A101" s="6" t="inlineStr">
        <is>
          <t>GBP translation adjustment (this workbook's conversion line)</t>
        </is>
      </c>
      <c r="B101" s="6" t="n">
        <v>15673.7</v>
      </c>
      <c r="C101" s="6" t="n">
        <v>-69.90000000000001</v>
      </c>
      <c r="D101" s="6" t="n">
        <v>-5499.5</v>
      </c>
      <c r="E101" s="6" t="n">
        <v>10104.3</v>
      </c>
    </row>
    <row r="102">
      <c r="A102" s="5" t="inlineStr">
        <is>
          <t>Balance at 31 March 2023 (FY2023 closing)</t>
        </is>
      </c>
      <c r="B102" s="5" t="n">
        <v>258517.5</v>
      </c>
      <c r="C102" s="5" t="n">
        <v>-797.5</v>
      </c>
      <c r="D102" s="5" t="n">
        <v>-85180.39999999999</v>
      </c>
      <c r="E102" s="5" t="n">
        <v>172539.6</v>
      </c>
    </row>
    <row r="103">
      <c r="A103" s="6" t="inlineStr">
        <is>
          <t>Profit for the year</t>
        </is>
      </c>
      <c r="B103" s="6" t="n"/>
      <c r="C103" s="6" t="n"/>
      <c r="D103" s="6" t="n">
        <v>4941.9</v>
      </c>
      <c r="E103" s="6" t="n">
        <v>4941.9</v>
      </c>
    </row>
    <row r="104">
      <c r="A104" s="6" t="inlineStr">
        <is>
          <t>Net change in fair value of Investment Securities - FVOCI</t>
        </is>
      </c>
      <c r="B104" s="6" t="n"/>
      <c r="C104" s="6" t="n">
        <v>148</v>
      </c>
      <c r="D104" s="6" t="n"/>
      <c r="E104" s="6" t="n">
        <v>148</v>
      </c>
    </row>
    <row r="105">
      <c r="A105" s="6" t="inlineStr">
        <is>
          <t>Net amount transferred to Profit &amp; Loss</t>
        </is>
      </c>
      <c r="B105" s="6" t="n"/>
      <c r="C105" s="6" t="n">
        <v>-5.6</v>
      </c>
      <c r="D105" s="6" t="n"/>
      <c r="E105" s="6" t="n">
        <v>-5.6</v>
      </c>
    </row>
    <row r="106">
      <c r="A106" s="6" t="inlineStr">
        <is>
          <t>Dividend on additional Tier 1 capital</t>
        </is>
      </c>
      <c r="B106" s="6" t="n"/>
      <c r="C106" s="6" t="n"/>
      <c r="D106" s="6" t="n">
        <v>-3846.3</v>
      </c>
      <c r="E106" s="6" t="n">
        <v>-3846.3</v>
      </c>
    </row>
    <row r="107">
      <c r="A107" s="6" t="inlineStr">
        <is>
          <t>GBP translation adjustment (this workbook's conversion line)</t>
        </is>
      </c>
      <c r="B107" s="6" t="n">
        <v>-5484.7</v>
      </c>
      <c r="C107" s="6" t="n">
        <v>16.2</v>
      </c>
      <c r="D107" s="6" t="n">
        <v>1801.7</v>
      </c>
      <c r="E107" s="6" t="n">
        <v>-3666.8</v>
      </c>
    </row>
    <row r="108">
      <c r="A108" s="5" t="inlineStr">
        <is>
          <t>Balance at 31 March 2024, as originally published in AR2024 (FY2024 closing)</t>
        </is>
      </c>
      <c r="B108" s="5" t="n">
        <v>253032.8</v>
      </c>
      <c r="C108" s="5" t="n">
        <v>-638.9</v>
      </c>
      <c r="D108" s="5" t="n">
        <v>-82283.10000000001</v>
      </c>
      <c r="E108" s="5" t="n">
        <v>170110.8</v>
      </c>
    </row>
    <row r="109">
      <c r="A109" s="6" t="inlineStr">
        <is>
          <t>Restatement adjustment (AR2025's own Note 28/Note 35 fair value reserve/deferred tax correction, disclosed as not material)</t>
        </is>
      </c>
      <c r="B109" s="6" t="n">
        <v>0</v>
      </c>
      <c r="C109" s="6" t="n">
        <v>549</v>
      </c>
      <c r="D109" s="6" t="n">
        <v>-734.4</v>
      </c>
      <c r="E109" s="6" t="n">
        <v>-185.4</v>
      </c>
    </row>
    <row r="110">
      <c r="A110" s="5" t="inlineStr">
        <is>
          <t>Balance at 1 April 2024, as restated in AR2025 (FY2025 opening)</t>
        </is>
      </c>
      <c r="B110" s="5" t="n">
        <v>253032.8</v>
      </c>
      <c r="C110" s="5" t="n">
        <v>-92.59999999999999</v>
      </c>
      <c r="D110" s="5" t="n">
        <v>-83013.8</v>
      </c>
      <c r="E110" s="5" t="n">
        <v>169926.4</v>
      </c>
    </row>
    <row r="111">
      <c r="A111" s="6" t="inlineStr">
        <is>
          <t>Profit for the year</t>
        </is>
      </c>
      <c r="B111" s="6" t="n"/>
      <c r="C111" s="6" t="n"/>
      <c r="D111" s="6" t="n">
        <v>587.6</v>
      </c>
      <c r="E111" s="6" t="n">
        <v>587.6</v>
      </c>
    </row>
    <row r="112">
      <c r="A112" s="6" t="inlineStr">
        <is>
          <t>Fair value gains/(losses) transferred to income statement on disposal</t>
        </is>
      </c>
      <c r="B112" s="6" t="n"/>
      <c r="C112" s="6" t="n">
        <v>202.1</v>
      </c>
      <c r="D112" s="6" t="n"/>
      <c r="E112" s="6" t="n">
        <v>202.1</v>
      </c>
    </row>
    <row r="113">
      <c r="A113" s="6" t="inlineStr">
        <is>
          <t>Fair value gains on Investment Securities - FVOCI (net of tax)</t>
        </is>
      </c>
      <c r="B113" s="6" t="n"/>
      <c r="C113" s="6" t="n">
        <v>108.1</v>
      </c>
      <c r="D113" s="6" t="n"/>
      <c r="E113" s="6" t="n">
        <v>108.1</v>
      </c>
    </row>
    <row r="114">
      <c r="A114" s="6" t="inlineStr">
        <is>
          <t>Dividend on additional Tier 1 capital</t>
        </is>
      </c>
      <c r="B114" s="6" t="n"/>
      <c r="C114" s="6" t="n"/>
      <c r="D114" s="6" t="n">
        <v>-3632.4</v>
      </c>
      <c r="E114" s="6" t="n">
        <v>-3632.4</v>
      </c>
    </row>
    <row r="115">
      <c r="A115" s="6" t="inlineStr">
        <is>
          <t>GBP translation adjustment (this workbook's conversion line)</t>
        </is>
      </c>
      <c r="B115" s="6" t="n">
        <v>-5448.8</v>
      </c>
      <c r="C115" s="6" t="n">
        <v>-1.5</v>
      </c>
      <c r="D115" s="6" t="n">
        <v>1822.3</v>
      </c>
      <c r="E115" s="6" t="n">
        <v>-3627.9</v>
      </c>
    </row>
    <row r="116">
      <c r="A116" s="5" t="inlineStr">
        <is>
          <t>Balance at 31 March 2025 (FY2025 closing)</t>
        </is>
      </c>
      <c r="B116" s="5" t="n">
        <v>247584</v>
      </c>
      <c r="C116" s="5" t="n">
        <v>216.1</v>
      </c>
      <c r="D116" s="5" t="n">
        <v>-84236.3</v>
      </c>
      <c r="E116" s="5" t="n">
        <v>163563.9</v>
      </c>
    </row>
    <row r="117">
      <c r="A117" s="6" t="inlineStr">
        <is>
          <t>Profit for the year</t>
        </is>
      </c>
      <c r="B117" s="6" t="n"/>
      <c r="C117" s="6" t="n"/>
      <c r="D117" s="6" t="n">
        <v>2191.1</v>
      </c>
      <c r="E117" s="6" t="n">
        <v>2191.1</v>
      </c>
    </row>
    <row r="118">
      <c r="A118" s="6" t="inlineStr">
        <is>
          <t>Fair value gains/(losses) transferred to income statement on disposal</t>
        </is>
      </c>
      <c r="B118" s="6" t="n"/>
      <c r="C118" s="6" t="n">
        <v>-457.3</v>
      </c>
      <c r="D118" s="6" t="n"/>
      <c r="E118" s="6" t="n">
        <v>-457.3</v>
      </c>
    </row>
    <row r="119">
      <c r="A119" s="6" t="inlineStr">
        <is>
          <t>Fair value gains on Investment Securities - FVOCI (net of tax)</t>
        </is>
      </c>
      <c r="B119" s="6" t="n"/>
      <c r="C119" s="6" t="n">
        <v>157.4</v>
      </c>
      <c r="D119" s="6" t="n"/>
      <c r="E119" s="6" t="n">
        <v>157.4</v>
      </c>
    </row>
    <row r="120">
      <c r="A120" s="6" t="inlineStr">
        <is>
          <t>Dividend on additional Tier 1 capital</t>
        </is>
      </c>
      <c r="B120" s="6" t="n"/>
      <c r="C120" s="6" t="n"/>
      <c r="D120" s="6" t="n">
        <v>-3223.7</v>
      </c>
      <c r="E120" s="6" t="n">
        <v>-3223.7</v>
      </c>
    </row>
    <row r="121">
      <c r="A121" s="6" t="inlineStr">
        <is>
          <t>GBP translation adjustment (this workbook's conversion line)</t>
        </is>
      </c>
      <c r="B121" s="6" t="n">
        <v>-5219</v>
      </c>
      <c r="C121" s="6" t="n">
        <v>-9.5</v>
      </c>
      <c r="D121" s="6" t="n">
        <v>1758.9</v>
      </c>
      <c r="E121" s="6" t="n">
        <v>-3469.6</v>
      </c>
    </row>
    <row r="122">
      <c r="A122" s="5" t="inlineStr">
        <is>
          <t>Balance at 31 March 2026 (FY2026 closing)</t>
        </is>
      </c>
      <c r="B122" s="5" t="n">
        <v>242365</v>
      </c>
      <c r="C122" s="5" t="n">
        <v>-93.3</v>
      </c>
      <c r="D122" s="5" t="n">
        <v>-83510</v>
      </c>
      <c r="E122" s="5" t="n">
        <v>158761.8</v>
      </c>
    </row>
    <row r="124" ht="364" customHeight="1">
      <c r="A124" s="8" t="inlineStr">
        <is>
          <t>Sources - Punjab National Bank (International) Limited entity-level Balance Sheet / Profit &amp; Loss / Statement of Changes in Equity (native unit $'000):
FY2026: Annual Report and Accounts 2026, Statement of Financial Position/Comprehensive Income/Changes in Equity, printed pp.47-49 - https://www.pnbint.com/PNBIL/pdf/Financial_Reports/PNBIL-Annual-Report-2026.pdf
FY2025: Annual Report and Accounts 2025, printed pp.46-48 - https://www.pnbint.com/PNBIL/pdf/Financial_Reports/PNBIL%20Annual%20Report%202025.pdf
FY2024: Annual Report and Accounts 2024, printed pp.41-43 - https://www.pnbint.com/PNBIL/pdf/Financial_Reports/Annual_Report_31-03-2024.pdf
FY2023: Annual Report and Accounts 2023, printed pp.36-38 - https://www.pnbint.com/PNBIL/pdf/Financial_Reports/PNBIL_Annual_Report_2023.pdf
FY2022: Annual Report and Accounts 2022, printed pp.33-35 - https://www.pnbint.com/PNBIL/pdf/Financial_Reports/AnnualReport20220331.pdf
FY2020: Annual Report and Accounts 2020, printed pp.26-28 - https://www.pnbint.com/PNBIL/pdf/Financial_Reports/Annual%20Report%2031-03-20_latest.pdf
FY2019: Annual Report and Accounts 2019, printed pp.29-31 - https://www.pnbint.com/PNBIL/pdf/Financial_Reports/Annual%20Report%2031-03-19.pdf
FY2018: Annual Report and Accounts 2018, printed pp.29-31 - https://www.pnbint.com/PNBIL/pdf/Financial_Reports/Annual%20Report%2031-03-18.pdf
FY2017: Annual Report and Accounts 2018's own FY2017 comparative columns, printed pp.29-32 - https://www.pnbint.com/PNBIL/pdf/Financial_Reports/Annual%20Report%2031-03-18.pdf (native-text PDF; used in preference to FY2017's own scanned/OCR'd report at https://www.pnbint.com/PNBIL/pdf/Financial_Reports/SIGNED%20ANNUAL%20REPORT-1617.pdf for higher transcription confidence, cross-checked against it)
FY2016: Annual Report and Accounts 2016, printed pp.20-25 - https://www.pnbint.com/PNBIL/pdf/Financial_Reports/Annual%20Report%2031-03-16.pdf (OCR'd from a scanned PDF; each total independently verified by summing the disclosed line items)
FY2015: Annual Report and Accounts 2015, printed pp.18-21 - https://www.pnbint.com/PNBIL/pdf/Financial_Reports/Annual%20Report%2031.03.2015.pdf (OCR'd from a scanned PDF; some liability/equity lines not shown on the FY2015 report's own face were taken from Annual Report and Accounts 2016's FY2015 comparative column and verified to sum exactly to FY2015's own disclosed Total liabilities of $1,690,610k)
FY2014: Annual Report and Accounts 2014, printed p.17 - https://www.pnbint.com/PNBIL/pdf/Financial_Reports/Annualreport31-03-2014.pdf (OCR'd from a scanned PDF; the Statement of Financial Position was additionally verified against a 250dpi rendered page image line-by-line because of poor OCR quality on this particular scan)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USD-to-GBP conversion: cash-flow flows use the Bank of England XUDLUSS average rate for the 1 April-31 March financial year, while cash balances and Pillar 3 dollar amounts use the final available Bank of England spot rate at 31 March. Rates (£1 = $X) were FY2022 1.3662 average/1.3162 spot, FY2023 1.2045/1.2364, FY2024 1.2568/1.2632, FY2025 1.2763/1.2910, and FY2026 1.3404/1.3188. The FY2022 opening balance uses the 31 March 2021 spot rate of 1.3796. Ratios remain exactly as reported because they are dimensionless. A computed GBP translation line reconciles the use of different flow and stock rates; it is not a Bank-reported cash-flow line.
HD-048 (2026-09-05/06) FY2014-FY2020 extension: same BoE XUDLUSS series, same average/spot convention. Rates (£1 = $X) were FY2014 1.5900 average/1.6673 spot, FY2015 1.6125/1.4847, FY2016 1.5082/1.4378, FY2017 1.3067/1.2507, FY2018 1.3273/1.4033, FY2019 1.3130/1.3030, FY2020 1.2708/1.2403. The FY2014 opening balance uses the 31 March 2013 spot rate of 1.5181. FY2021 uses the Bank of England XUDLUSS spot/average rates 1.3796/1.3193 and is now included from the Bank's own 2021 filings.</t>
        </is>
      </c>
    </row>
    <row r="126" ht="325" customHeight="1">
      <c r="A126" s="8" t="inlineStr">
        <is>
          <t>(continued)
GBP CONVERSION NOTE (Balance Sheet/Equity balances, Profit &amp; Loss/Equity movements): balance-date figures (Balance Sheet lines, equity opening/closing balances) use the 31 March spot rate of that balance date; period figures (Profit &amp; Loss lines, equity movement rows) use the financial year's average rate. Because these are two different rates, a computed 'GBP translation adjustment' row is shown on the equity sheet for each year to keep the GBP columns arithmetically closed - it is not a Bank-reported line.
HD-048 IAS 39-TO-IFRS 9 CLASSIFICATION BRIDGE NOTE: FY2014-FY2018 predate the Bank's IFRS 9 adoption (first applied FY2019 - see the Statement of Changes in Equity's 'IFRS 9 adoption' transition row). Those years' IAS 39 categories are mapped onto this sheet's IFRS 9-era row labels by nearest economic equivalent: 'Investment securities - held for trading' is shown as 'Financial assets at fair value through profit or loss'; 'Investment securities - available for sale' is shown as 'Financial assets at fair value through other comprehensive income'; 'Investment securities - held to maturity' is shown as 'Investment securities at amortised cost'. Right of use lease assets/Lease liability are blank pre-FY2020 because IFRS 16 was not yet adopted. 'Deferred tax liabilities' and 'Current tax assets' are additional line items only disclosed in some FY2014-FY2016 years and are shown as their own rows, blank elsewhere.
HD-073 (2026-09-06/07) FY2009-FY2013 extension: same BoE XUDLUSS series, same average/spot convention as FX_NOTE above. Rates (£1 = $X) were FY2009 1.7190 average/1.4331 spot, FY2010 1.5975/1.5167, FY2011 1.5572/1.6030, FY2012 1.5949/1.5981, FY2013 1.5804/1.5181. The FY2009 opening balance uses the 31 March 2008 spot rate; the Bank's own FY2009 report does not disclose that comparative in the same cash-flow basis, so no FY2008 column is shown.
HD-073 (2026-09-06/07) FY2009-FY2013 extension, sourced from the Bank's own Companies House statutory filings (company 05781326), native-text PDFs, no OCR needed:
FY2013: Financial Statements for the year ended 31 March 2013, Statement of Financial Position printed p.14, Income Statement printed p.15 - https://find-and-update.company-information.service.gov.uk/company/05781326/filing-history/MzA3ODE0ODk4NWFkaXF6a2N4/document?format=pdf&amp;download=0
FY2012: Financial Statements as at 31 March 2012, Income Statement printed p.12, Statement of Financial Position printed pp.15-16, Statement of Changes in Equity printed p.14 - https://find-and-update.company-information.service.gov.uk/company/05781326/filing-history/MzA1ODIxNjY3NGFkaXF6a2N4/document?format=pdf&amp;download=0 (also used, for the FY2013 Balance Sheet/Profit &amp; Loss sheet's FY2012 comparative-column cross-check: FY2013's own clean $'000 comparative column, same document as the FY2013 row above)
FY2011: Financial Statements as at 31 March 2011, Income Statement printed p.9, Statement of Financial Position printed p.12, Statement of Changes in Equity printed p.11 - https://find-and-update.company-information.service.gov.uk/company/05781326/filing-history/MzAzNzc2OTM0OWFkaXF6a2N4/document?format=pdf&amp;download=0
FY2010: Financial Statements as at 31 March 2010, Income Statement printed p.9, Statement of Financial Position printed p.12, Statement of Changes in Equity printed p.11 - https://find-and-update.company-information.service.gov.uk/company/05781326/filing-history/MzAxNjI2OTk3OGFkaXF6a2N4/document?format=pdf&amp;download=0
FY2009: Financial Statements as at 31 March 2009, Income Statement printed p.9, Balance Sheet printed p.11, Statement of Changes in Equity printed p.10 - https://find-and-update.company-information.service.gov.uk/company/05781326/filing-history/MjAzNDA5MDE2NWFkaXF6a2N4/document?format=pdf&amp;download=0</t>
        </is>
      </c>
    </row>
    <row r="128" ht="280" customHeight="1">
      <c r="A128" s="8" t="inlineStr">
        <is>
          <t>(continued)
HD-073 PRE-2013 PRESENTATION BRIDGE NOTE: FY2009-FY2012 predate the Bank's split of the balance sheet into the FY2013-onward category set (Loans and advances to banks/customers shown separately, Deposits from banks/customers shown separately, a standalone Derivative financial instruments line). FY2012's Balance Sheet is taken from FY2013's own Annual Report FY2012 comparative column (a clean, native-text $'000 table using the newer categories directly - cross-checked against FY2012's own Annual Report for all totals, which matched exactly). FY2009-FY2011 predate that split entirely in every report reviewed; this workbook maps their own combined 'Loans and receivables' (plus, where separately disclosed, 'Customer overdrafts' and 'Bills purchased') onto 'Loans and advances to customers', and their combined 'Interest bearing borrowings' (plus 'Non-interest bearing borrowings') onto 'Deposits from customers', since none of the three years' own filings separately discloses a banks/customers split - a genuine, disclosed structural absence, not an omission. FY2010's own report separately introduces a 'Customer overdrafts' balance sheet line not present in FY2009's own report (which shows a single combined 'Cash and cash equivalents' figure instead) - see the Cash Flow sheet's CASH-BASIS DISCONTINUITY NOTE for the matching effect on cash. A further, genuine restatement is disclosed in the FY2013 Annual Report's own Note 35 affecting the 1 April 2011 (FY2011 closing) balances; this workbook shows FY2011's own as-originally-published closing Balance Sheet and Statement of Changes in Equity figures rather than that later restated comparative, per this project's standing convention.</t>
        </is>
      </c>
    </row>
  </sheetData>
  <mergeCells count="3">
    <mergeCell ref="A126:E126"/>
    <mergeCell ref="A128:E128"/>
    <mergeCell ref="A124:E1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1" t="inlineStr">
        <is>
          <t>Punjab National Bank (International) Limited — Statement of Cash Flows</t>
        </is>
      </c>
    </row>
    <row r="2">
      <c r="A2" s="2" t="inlineStr">
        <is>
          <t>Entity-level basis, £'000 converted from the Bank's native US$'000 presentation</t>
        </is>
      </c>
    </row>
    <row r="3">
      <c r="A3" s="4" t="inlineStr">
        <is>
          <t>Line item</t>
        </is>
      </c>
      <c r="B3" s="4" t="inlineStr">
        <is>
          <t>FY2026 (£'000, conv. from USD)</t>
        </is>
      </c>
      <c r="C3" s="4" t="inlineStr">
        <is>
          <t>FY2025 (£'000, conv. from USD)</t>
        </is>
      </c>
      <c r="D3" s="4" t="inlineStr">
        <is>
          <t>FY2024 (£'000, conv. from USD)</t>
        </is>
      </c>
      <c r="E3" s="4" t="inlineStr">
        <is>
          <t>FY2023 (£'000, conv. from USD)</t>
        </is>
      </c>
      <c r="F3" s="4" t="inlineStr">
        <is>
          <t>FY2022 (£'000, conv. from USD)</t>
        </is>
      </c>
      <c r="G3" s="4" t="inlineStr">
        <is>
          <t>FY2021 (£'000, conv. from USD)</t>
        </is>
      </c>
      <c r="H3" s="4" t="inlineStr">
        <is>
          <t>FY2020 (£'000, conv. from USD)</t>
        </is>
      </c>
      <c r="I3" s="4" t="inlineStr">
        <is>
          <t>FY2019 (£'000, conv. from USD)</t>
        </is>
      </c>
      <c r="J3" s="4" t="inlineStr">
        <is>
          <t>FY2018 (£'000, conv. from USD)</t>
        </is>
      </c>
      <c r="K3" s="4" t="inlineStr">
        <is>
          <t>FY2017 (£'000, conv. from USD)</t>
        </is>
      </c>
      <c r="L3" s="4" t="inlineStr">
        <is>
          <t>FY2016 (£'000, conv. from USD)</t>
        </is>
      </c>
      <c r="M3" s="4" t="inlineStr">
        <is>
          <t>FY2015 (£'000, conv. from USD)</t>
        </is>
      </c>
      <c r="N3" s="4" t="inlineStr">
        <is>
          <t>FY2014 (£'000, conv. from USD)</t>
        </is>
      </c>
      <c r="O3" s="4" t="inlineStr">
        <is>
          <t>FY2013 (£'000, conv. from USD)</t>
        </is>
      </c>
      <c r="P3" s="4" t="inlineStr">
        <is>
          <t>FY2012 (£'000, conv. from USD)</t>
        </is>
      </c>
      <c r="Q3" s="4" t="inlineStr">
        <is>
          <t>FY2011 (£'000, conv. from USD)</t>
        </is>
      </c>
      <c r="R3" s="4" t="inlineStr">
        <is>
          <t>FY2010 (£'000, conv. from USD)</t>
        </is>
      </c>
      <c r="S3" s="4" t="inlineStr">
        <is>
          <t>FY2009 (£'000, conv. from USD)</t>
        </is>
      </c>
    </row>
    <row r="4">
      <c r="A4" s="5" t="inlineStr">
        <is>
          <t>Operating activities</t>
        </is>
      </c>
      <c r="B4" s="6" t="n"/>
      <c r="C4" s="6" t="n"/>
      <c r="D4" s="6" t="n"/>
      <c r="E4" s="6" t="n"/>
      <c r="F4" s="6" t="n"/>
      <c r="G4" s="6" t="n"/>
      <c r="H4" s="6" t="n"/>
      <c r="I4" s="6" t="n"/>
      <c r="J4" s="6" t="n"/>
      <c r="K4" s="6" t="n"/>
      <c r="L4" s="6" t="n"/>
      <c r="M4" s="6" t="n"/>
      <c r="N4" s="6" t="n"/>
      <c r="O4" s="6" t="n"/>
      <c r="P4" s="6" t="n"/>
      <c r="Q4" s="6" t="n"/>
      <c r="R4" s="6" t="n"/>
      <c r="S4" s="6" t="n"/>
    </row>
    <row r="5">
      <c r="A5" s="5" t="inlineStr">
        <is>
          <t>Net cash (used in)/generated from operating activities</t>
        </is>
      </c>
      <c r="B5" s="5" t="n">
        <v>47658.9</v>
      </c>
      <c r="C5" s="5" t="n">
        <v>2756.4</v>
      </c>
      <c r="D5" s="5" t="n">
        <v>-23233.6</v>
      </c>
      <c r="E5" s="5" t="n">
        <v>6421.8</v>
      </c>
      <c r="F5" s="5" t="n">
        <v>-15142</v>
      </c>
      <c r="G5" s="5" t="n">
        <v>77735.89999999999</v>
      </c>
      <c r="H5" s="5" t="n">
        <v>-16883.9</v>
      </c>
      <c r="I5" s="5" t="n">
        <v>24220.9</v>
      </c>
      <c r="J5" s="5" t="n">
        <v>-251783.3</v>
      </c>
      <c r="K5" s="5" t="n">
        <v>121040.8</v>
      </c>
      <c r="L5" s="5" t="n">
        <v>53836.4</v>
      </c>
      <c r="M5" s="5" t="n">
        <v>-34341.7</v>
      </c>
      <c r="N5" s="5" t="n">
        <v>3387.4</v>
      </c>
      <c r="O5" s="5" t="n">
        <v>20855.5</v>
      </c>
      <c r="P5" s="5" t="n">
        <v>2068.5</v>
      </c>
      <c r="Q5" s="5" t="n">
        <v>-59218.5</v>
      </c>
      <c r="R5" s="5" t="n">
        <v>-13366.5</v>
      </c>
      <c r="S5" s="5" t="n">
        <v>75539.8</v>
      </c>
    </row>
    <row r="6">
      <c r="A6" s="5" t="inlineStr">
        <is>
          <t>Investing activities</t>
        </is>
      </c>
      <c r="B6" s="6" t="n"/>
      <c r="C6" s="6" t="n"/>
      <c r="D6" s="6" t="n"/>
      <c r="E6" s="6" t="n"/>
      <c r="F6" s="6" t="n"/>
      <c r="G6" s="6" t="n"/>
      <c r="H6" s="6" t="n"/>
      <c r="I6" s="6" t="n"/>
      <c r="J6" s="6" t="n"/>
      <c r="K6" s="6" t="n"/>
      <c r="L6" s="6" t="n"/>
      <c r="M6" s="6" t="n"/>
      <c r="N6" s="6" t="n"/>
      <c r="O6" s="6" t="n"/>
      <c r="P6" s="6" t="n"/>
      <c r="Q6" s="6" t="n"/>
      <c r="R6" s="6" t="n"/>
      <c r="S6" s="6" t="n"/>
    </row>
    <row r="7">
      <c r="A7" s="5" t="inlineStr">
        <is>
          <t>Net cash (used in)/generated from investing activities</t>
        </is>
      </c>
      <c r="B7" s="5" t="n">
        <v>-21032.5</v>
      </c>
      <c r="C7" s="5" t="n">
        <v>-5553.6</v>
      </c>
      <c r="D7" s="5" t="n">
        <v>17663.1</v>
      </c>
      <c r="E7" s="5" t="n">
        <v>-7652.1</v>
      </c>
      <c r="F7" s="5" t="n">
        <v>-35215.9</v>
      </c>
      <c r="G7" s="5" t="n">
        <v>-7487.3</v>
      </c>
      <c r="H7" s="5" t="n">
        <v>358</v>
      </c>
      <c r="I7" s="5" t="n">
        <v>-1818</v>
      </c>
      <c r="J7" s="5" t="n">
        <v>-30200.4</v>
      </c>
      <c r="K7" s="5" t="n">
        <v>-6465.9</v>
      </c>
      <c r="L7" s="5" t="n">
        <v>68.3</v>
      </c>
      <c r="M7" s="5" t="n">
        <v>1206.2</v>
      </c>
      <c r="N7" s="5" t="n">
        <v>1225.8</v>
      </c>
      <c r="O7" s="5" t="n">
        <v>7992.3</v>
      </c>
      <c r="P7" s="5" t="n">
        <v>-30.1</v>
      </c>
      <c r="Q7" s="5" t="n">
        <v>-10973.5</v>
      </c>
      <c r="R7" s="5" t="n">
        <v>-4423.8</v>
      </c>
      <c r="S7" s="5" t="n">
        <v>-8925.5</v>
      </c>
    </row>
    <row r="8">
      <c r="A8" s="5" t="inlineStr">
        <is>
          <t>Financing activities</t>
        </is>
      </c>
      <c r="B8" s="6" t="n"/>
      <c r="C8" s="6" t="n"/>
      <c r="D8" s="6" t="n"/>
      <c r="E8" s="6" t="n"/>
      <c r="F8" s="6" t="n"/>
      <c r="G8" s="6" t="n"/>
      <c r="H8" s="6" t="n"/>
      <c r="I8" s="6" t="n"/>
      <c r="J8" s="6" t="n"/>
      <c r="K8" s="6" t="n"/>
      <c r="L8" s="6" t="n"/>
      <c r="M8" s="6" t="n"/>
      <c r="N8" s="6" t="n"/>
      <c r="O8" s="6" t="n"/>
      <c r="P8" s="6" t="n"/>
      <c r="Q8" s="6" t="n"/>
      <c r="R8" s="6" t="n"/>
      <c r="S8" s="6" t="n"/>
    </row>
    <row r="9">
      <c r="A9" s="5" t="inlineStr">
        <is>
          <t>Net cash used in financing activities</t>
        </is>
      </c>
      <c r="B9" s="5" t="n">
        <v>-11482.4</v>
      </c>
      <c r="C9" s="5" t="n">
        <v>-12292.6</v>
      </c>
      <c r="D9" s="5" t="n">
        <v>-4430.3</v>
      </c>
      <c r="E9" s="5" t="n">
        <v>-3730.2</v>
      </c>
      <c r="F9" s="5" t="n">
        <v>-2419.1</v>
      </c>
      <c r="G9" s="5" t="n">
        <v>-2645.3</v>
      </c>
      <c r="H9" s="5" t="n">
        <v>-3322.3</v>
      </c>
      <c r="I9" s="5" t="n">
        <v>-2613.9</v>
      </c>
      <c r="J9" s="5" t="n">
        <v>12862.2</v>
      </c>
      <c r="K9" s="5" t="n">
        <v>76528.7</v>
      </c>
      <c r="L9" s="5" t="n">
        <v>5877.2</v>
      </c>
      <c r="M9" s="5" t="n">
        <v>5530.5</v>
      </c>
      <c r="N9" s="5" t="n">
        <v>33892.5</v>
      </c>
      <c r="O9" s="5" t="n">
        <v>15079.7</v>
      </c>
      <c r="P9" s="5" t="n">
        <v>7118.9</v>
      </c>
      <c r="Q9" s="5" t="n">
        <v>16054.5</v>
      </c>
      <c r="R9" s="5" t="n">
        <v>15649.5</v>
      </c>
      <c r="S9" s="5" t="n">
        <v>14543.3</v>
      </c>
    </row>
    <row r="10">
      <c r="A10" s="5" t="inlineStr">
        <is>
          <t>Net increase/(decrease) in cash and cash equivalents</t>
        </is>
      </c>
      <c r="B10" s="5" t="n">
        <v>17285.1</v>
      </c>
      <c r="C10" s="5" t="n">
        <v>-13538.4</v>
      </c>
      <c r="D10" s="5" t="n">
        <v>-8584.5</v>
      </c>
      <c r="E10" s="5" t="n">
        <v>-4960.6</v>
      </c>
      <c r="F10" s="5" t="n">
        <v>-52777</v>
      </c>
      <c r="G10" s="5" t="n">
        <v>67604</v>
      </c>
      <c r="H10" s="5" t="n">
        <v>-19848.1</v>
      </c>
      <c r="I10" s="5" t="n">
        <v>19790.6</v>
      </c>
      <c r="J10" s="5" t="n">
        <v>-269121.5</v>
      </c>
      <c r="K10" s="5" t="n">
        <v>191103.5</v>
      </c>
      <c r="L10" s="5" t="n">
        <v>59781.9</v>
      </c>
      <c r="M10" s="5" t="n">
        <v>-27605</v>
      </c>
      <c r="N10" s="5" t="n">
        <v>38505.7</v>
      </c>
      <c r="O10" s="5" t="n">
        <v>43927.5</v>
      </c>
      <c r="P10" s="5" t="n">
        <v>9157.299999999999</v>
      </c>
      <c r="Q10" s="5" t="n">
        <v>-54137.6</v>
      </c>
      <c r="R10" s="5" t="n">
        <v>-2140.8</v>
      </c>
      <c r="S10" s="5" t="n">
        <v>81157.60000000001</v>
      </c>
    </row>
    <row r="11">
      <c r="A11" s="6" t="inlineStr">
        <is>
          <t>Effects of exchange rate on cash and cash equivalents (Bank's own line)</t>
        </is>
      </c>
      <c r="B11" s="6" t="n">
        <v>2141.2</v>
      </c>
      <c r="C11" s="6" t="n">
        <v>1551.4</v>
      </c>
      <c r="D11" s="6" t="n">
        <v>1416.3</v>
      </c>
      <c r="E11" s="6" t="n">
        <v>828.6</v>
      </c>
      <c r="F11" s="6" t="n">
        <v>426</v>
      </c>
      <c r="G11" s="6" t="n"/>
      <c r="H11" s="6" t="n"/>
      <c r="I11" s="6" t="n"/>
      <c r="J11" s="6" t="n">
        <v>-1082.6</v>
      </c>
      <c r="K11" s="6" t="n">
        <v>68.90000000000001</v>
      </c>
      <c r="L11" s="6" t="n"/>
      <c r="M11" s="6" t="n"/>
      <c r="N11" s="6" t="n"/>
      <c r="O11" s="6" t="n"/>
      <c r="P11" s="6" t="n"/>
      <c r="Q11" s="6" t="n"/>
      <c r="R11" s="6" t="n"/>
      <c r="S11" s="6" t="n"/>
    </row>
    <row r="12">
      <c r="A12" s="6" t="inlineStr">
        <is>
          <t>Effect of GBP/USD translation (this workbook's conversion line)</t>
        </is>
      </c>
      <c r="B12" s="6" t="n">
        <v>-3764.4</v>
      </c>
      <c r="C12" s="6" t="n">
        <v>-3682</v>
      </c>
      <c r="D12" s="6" t="n">
        <v>-3857.9</v>
      </c>
      <c r="E12" s="6" t="n">
        <v>7452.2</v>
      </c>
      <c r="F12" s="6" t="n">
        <v>5738.7</v>
      </c>
      <c r="G12" s="6" t="n">
        <v>-13711.4</v>
      </c>
      <c r="H12" s="6" t="n">
        <v>5616.7</v>
      </c>
      <c r="I12" s="6" t="n">
        <v>7357.9</v>
      </c>
      <c r="J12" s="6" t="n">
        <v>-27970.9</v>
      </c>
      <c r="K12" s="6" t="n">
        <v>33551.9</v>
      </c>
      <c r="L12" s="6" t="n">
        <v>6223.6</v>
      </c>
      <c r="M12" s="6" t="n">
        <v>11975.1</v>
      </c>
      <c r="N12" s="6" t="n">
        <v>-9644.5</v>
      </c>
      <c r="O12" s="6" t="n">
        <v>3910</v>
      </c>
      <c r="P12" s="6" t="n">
        <v>76.59999999999999</v>
      </c>
      <c r="Q12" s="6" t="n">
        <v>-5134.9</v>
      </c>
      <c r="R12" s="6" t="n">
        <v>-7485.7</v>
      </c>
      <c r="S12" s="6" t="n">
        <v>32218.4</v>
      </c>
    </row>
    <row r="13">
      <c r="A13" s="6" t="inlineStr">
        <is>
          <t>Cash and cash equivalents at beginning of year</t>
        </is>
      </c>
      <c r="B13" s="6" t="n">
        <v>90436.10000000001</v>
      </c>
      <c r="C13" s="6" t="n">
        <v>106105.1</v>
      </c>
      <c r="D13" s="6" t="n">
        <v>117131.2</v>
      </c>
      <c r="E13" s="6" t="n">
        <v>113811</v>
      </c>
      <c r="F13" s="6" t="n">
        <v>160423.3</v>
      </c>
      <c r="G13" s="6" t="n">
        <v>106530.7</v>
      </c>
      <c r="H13" s="6" t="n">
        <v>120762.1</v>
      </c>
      <c r="I13" s="6" t="n">
        <v>93613.60000000001</v>
      </c>
      <c r="J13" s="6" t="n">
        <v>391788.6</v>
      </c>
      <c r="K13" s="6" t="n">
        <v>167064.3</v>
      </c>
      <c r="L13" s="6" t="n">
        <v>101058.8</v>
      </c>
      <c r="M13" s="6" t="n">
        <v>116688.7</v>
      </c>
      <c r="N13" s="6" t="n">
        <v>87827.5</v>
      </c>
      <c r="O13" s="6" t="n">
        <v>39990</v>
      </c>
      <c r="P13" s="6" t="n">
        <v>30756.1</v>
      </c>
      <c r="Q13" s="6" t="n">
        <v>124111.6</v>
      </c>
      <c r="R13" s="6" t="n">
        <v>133738.1</v>
      </c>
      <c r="S13" s="6" t="n">
        <v>41430.4</v>
      </c>
    </row>
    <row r="14">
      <c r="A14" s="5" t="inlineStr">
        <is>
          <t>Cash and cash equivalents at end of year</t>
        </is>
      </c>
      <c r="B14" s="5" t="n">
        <v>106098</v>
      </c>
      <c r="C14" s="5" t="n">
        <v>90436.10000000001</v>
      </c>
      <c r="D14" s="5" t="n">
        <v>106105.1</v>
      </c>
      <c r="E14" s="5" t="n">
        <v>117131.2</v>
      </c>
      <c r="F14" s="5" t="n">
        <v>113811</v>
      </c>
      <c r="G14" s="5" t="n">
        <v>160423.3</v>
      </c>
      <c r="H14" s="5" t="n">
        <v>106530.7</v>
      </c>
      <c r="I14" s="5" t="n">
        <v>120762.1</v>
      </c>
      <c r="J14" s="5" t="n">
        <v>93613.60000000001</v>
      </c>
      <c r="K14" s="5" t="n">
        <v>391788.6</v>
      </c>
      <c r="L14" s="5" t="n">
        <v>167064.3</v>
      </c>
      <c r="M14" s="5" t="n">
        <v>101058.8</v>
      </c>
      <c r="N14" s="5" t="n">
        <v>116688.7</v>
      </c>
      <c r="O14" s="5" t="n">
        <v>87827.5</v>
      </c>
      <c r="P14" s="5" t="n">
        <v>39990</v>
      </c>
      <c r="Q14" s="5" t="n">
        <v>64839.1</v>
      </c>
      <c r="R14" s="5" t="n">
        <v>124111.6</v>
      </c>
      <c r="S14" s="5" t="n">
        <v>154806.4</v>
      </c>
    </row>
    <row r="16" ht="390" customHeight="1">
      <c r="A16" s="8" t="inlineStr">
        <is>
          <t>Sources - Punjab National Bank (International) Limited entity-level Statement of Cash Flows (native unit $'000):
FY2026: Annual Report and Accounts 2026, printed p.50 - https://www.pnbint.com/PNBIL/pdf/Financial_Reports/PNBIL-Annual-Report-2026.pdf
FY2025: Annual Report and Accounts 2025, printed p.49 - https://www.pnbint.com/PNBIL/pdf/Financial_Reports/PNBIL%20Annual%20Report%202025.pdf
FY2024: Annual Report and Accounts 2024, printed p.44 - https://www.pnbint.com/PNBIL/pdf/Financial_Reports/Annual_Report_31-03-2024.pdf
FY2023: Annual Report and Accounts 2023, printed p.39 - https://www.pnbint.com/PNBIL/pdf/Financial_Reports/PNBIL_Annual_Report_2023.pdf
FY2022: Annual Report and Accounts 2022, printed p.36 - https://www.pnbint.com/PNBIL/pdf/Financial_Reports/AnnualReport20220331.pdf
FY2021: Annual Report and Accounts 2021, printed pp.24-28 - https://www.pnbint.com/PNBIL/pdf/Financial_Reports/Annual%20report%20%2031-03-21.pdf
FY2020: Annual Report and Accounts 2020, printed p.29 - https://www.pnbint.com/PNBIL/pdf/Financial_Reports/Annual%20Report%2031-03-20_latest.pdf
FY2019: Annual Report and Accounts 2019, printed p.32 - https://www.pnbint.com/PNBIL/pdf/Financial_Reports/Annual%20Report%2031-03-19.pdf
FY2018: Annual Report and Accounts 2018, printed p.33 - https://www.pnbint.com/PNBIL/pdf/Financial_Reports/Annual%20Report%2031-03-18.pdf
FY2017: Annual Report and Accounts 2018's own FY2017 comparative column, printed p.33 - https://www.pnbint.com/PNBIL/pdf/Financial_Reports/Annual%20Report%2031-03-18.pdf (FY2017's own report is a scanned/photocopied PDF - AR2018's native-text comparative was used for higher transcription confidence; cross-checked against FY2017's own OCR'd report at https://www.pnbint.com/PNBIL/pdf/Financial_Reports/SIGNED%20ANNUAL%20REPORT-1617.pdf)
FY2016: Annual Report and Accounts 2016, printed p.25 - https://www.pnbint.com/PNBIL/pdf/Financial_Reports/Annual%20Report%2031-03-16.pdf (OCR'd from a scanned PDF)
FY2015: Annual Report and Accounts 2016's own FY2015 comparative column, printed p.25 - https://www.pnbint.com/PNBIL/pdf/Financial_Reports/Annual%20Report%2031-03-16.pdf (OCR'd from a scanned PDF; cross-checked against FY2015's own report at https://www.pnbint.com/PNBIL/pdf/Financial_Reports/Annual%20Report%2031.03.2015.pdf)
FY2014: Annual Report and Accounts 2014, printed p.21 - https://www.pnbint.com/PNBIL/pdf/Financial_Reports/Annualreport31-03-2014.pdf (OCR'd from a scanned PDF; the Statement of Financial Position on the same page range was additionally verified against a 250dpi page render, see BS_DISCREPANCY_NOTE-style verification below)
HD-073 (2026-09-06/07) FY2009-FY2013 extension, sourced from the Bank's own Companies House statutory filings (company 05781326), native-text PDFs, no OCR needed:
FY2013: Financial Statements for the year ended 31 March 2013, printed p.19 - https://find-and-update.company-information.service.gov.uk/company/05781326/filing-history/MzA3ODE0ODk4NWFkaXF6a2N4/document?format=pdf&amp;download=0
FY2012: Financial Statements as at 31 March 2012, printed pp.17-18 - https://find-and-update.company-information.service.gov.uk/company/05781326/filing-history/MzA1ODIxNjY3NGFkaXF6a2N4/document?format=pdf&amp;download=0
FY2011: Financial Statements as at 31 March 2011, printed pp.13-14 - https://find-and-update.company-information.service.gov.uk/company/05781326/filing-history/MzAzNzc2OTM0OWFkaXF6a2N4/document?format=pdf&amp;download=0
FY2010: Financial Statements as at 31 March 2010, printed pp.13-14 - https://find-and-update.company-information.service.gov.uk/company/05781326/filing-history/MzAxNjI2OTk3OGFkaXF6a2N4/document?format=pdf&amp;download=0
FY2009: Financial Statements as at 31 March 2009, printed p.12 - https://find-and-update.company-information.service.gov.uk/company/05781326/filing-history/MjAzNDA5MDE2NWFkaXF6a2N4/document?format=pdf&amp;download=0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USD-to-GBP conversion: cash-flow flows use the Bank of England XUDLUSS average rate for the 1 April-31 March financial year, while cash balances and Pillar 3 dollar amounts use the final available Bank of England spot rate at 31 March. Rates (£1 = $X) were FY2022 1.3662 average/1.3162 spot, FY2023 1.2045/1.2364, FY2024 1.2568/1.2632, FY2025 1.2763/1.2910, and FY2026 1.3404/1.3188. The FY2022 opening balance uses the 31 March 2021 spot rate of 1.3796. Ratios remain exactly as reported because they are dimensionless. A computed GBP translation line reconciles the use of different flow and stock rates; it is not a Bank-reported cash-flow line.
HD-048 (2026-09-05/06) FY2014-FY2020 extension: same BoE XUDLUSS series, same average/spot convention. Rates (£1 = $X) were FY2014 1.5900 average/1.6673 spot, FY2015 1.6125/1.4847, FY2016 1.5082/1.4378, FY2017 1.3067/1.2507, FY2018 1.3273/1.4033, FY2019 1.3130/1.3030, FY2020 1.2708/1.2403. The FY2014 opening balance uses the 31 March 2013 spot rate of 1.5181. FY2021 uses the Bank of England XUDLUSS spot/average rates 1.3796/1.3193 and is now included from the Bank's own 2021 filings.
HD-073 (2026-09-06/07) FY2009-FY2013 extension: same BoE XUDLUSS series, same average/spot convention. Rates (£1 = $X) were FY2009 1.7190 average/1.4331 spot, FY2010 1.5975/1.5167, FY2011 1.5572/1.6030, FY2012 1.5949/1.5981, FY2013 1.5804/1.5181. The FY2009 opening balance uses the 31 March 2008 spot rate; the Bank's own FY2009 report does not disclose that comparative in the same cash-flow basis, so no FY2008 column is shown.</t>
        </is>
      </c>
    </row>
    <row r="18" ht="260" customHeight="1">
      <c r="A18" s="8" t="inlineStr">
        <is>
          <t>(continued)
HD-048 EXCHANGE-EFFECTS NOTE: the Bank's own Statement of Cash Flows discloses a separate 'unrealised (gain)/loss on exchange rate difference' reconciling line (after the net change in cash, before the closing balance) only in the FY2017 and FY2018 reports; FY2014-FY2016, FY2019 and FY2020 close exactly from opening + net change with no such line disclosed that year - a genuine year-to-year presentation difference, not a gap in this transcription.
HD-073 CASH-BASIS DISCONTINUITY NOTE: each year's own opening/closing cash figures are used as originally published, but the definition of 'cash and cash equivalents' the Bank uses genuinely changes twice in this period - FY2010's own report first splits out a 'Customer overdrafts' balance that FY2009's own report had included within cash (closing cash FY2009 $221,853k vs FY2010's own opening cash of $191,660k, a $30,193k gap matching FY2010's own 'Customer overdrafts' comparative exactly), and a further reclassification of short-term interbank placements out of cash occurs between FY2011 and FY2012 (FY2011's own closing cash of $103,937k vs FY2012's own opening cash of $49,302k). Both are genuine, Bank-disclosed presentational changes, not transcription gaps; the opening/net-change/closing chain reconciles exactly within each individual year shown.</t>
        </is>
      </c>
    </row>
  </sheetData>
  <mergeCells count="2">
    <mergeCell ref="A18:S18"/>
    <mergeCell ref="A16:S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Asset Quality</t>
        </is>
      </c>
    </row>
    <row r="2">
      <c r="A2" s="2" t="inlineStr">
        <is>
          <t>Entity-level. IFRS 9 stage 1/2/3 split (FY2019-FY2026) for Loans and advances to banks/customers and Investment securities at amortised cost combined (the Bank's own 'loans &amp; advances at amortised cost by product' note table); IAS 39 incurred-loss model (FY2014-FY2018, Loans and advances to customers only - see the section note below). £'000 converted from the Bank's native US$'000 presentation.</t>
        </is>
      </c>
    </row>
    <row r="3">
      <c r="A3" s="4" t="inlineStr">
        <is>
          <t>Line item</t>
        </is>
      </c>
      <c r="B3" s="4" t="inlineStr">
        <is>
          <t>FY2026 (£'000, conv. from USD)</t>
        </is>
      </c>
      <c r="C3" s="4" t="inlineStr">
        <is>
          <t>FY2025 (£'000, conv. from USD)</t>
        </is>
      </c>
      <c r="D3" s="4" t="inlineStr">
        <is>
          <t>FY2024 (£'000, conv. from USD)</t>
        </is>
      </c>
      <c r="E3" s="4" t="inlineStr">
        <is>
          <t>FY2023 (£'000, conv. from USD)</t>
        </is>
      </c>
      <c r="F3" s="4" t="inlineStr">
        <is>
          <t>FY2022 (£'000, conv. from USD)</t>
        </is>
      </c>
      <c r="G3" s="4" t="inlineStr">
        <is>
          <t>FY2021 (£'000, conv. from USD)</t>
        </is>
      </c>
      <c r="H3" s="4" t="inlineStr">
        <is>
          <t>FY2020 (£'000, conv. from USD)</t>
        </is>
      </c>
      <c r="I3" s="4" t="inlineStr">
        <is>
          <t>FY2019 (£'000, conv. from USD)</t>
        </is>
      </c>
      <c r="J3" s="4" t="inlineStr">
        <is>
          <t>FY2018 (£'000, conv. from USD)</t>
        </is>
      </c>
      <c r="K3" s="4" t="inlineStr">
        <is>
          <t>FY2017 (£'000, conv. from USD)</t>
        </is>
      </c>
      <c r="L3" s="4" t="inlineStr">
        <is>
          <t>FY2016 (£'000, conv. from USD)</t>
        </is>
      </c>
      <c r="M3" s="4" t="inlineStr">
        <is>
          <t>FY2015 (£'000, conv. from USD)</t>
        </is>
      </c>
      <c r="N3" s="4" t="inlineStr">
        <is>
          <t>FY2014 (£'000, conv. from USD)</t>
        </is>
      </c>
    </row>
    <row r="4">
      <c r="A4" s="5" t="inlineStr">
        <is>
          <t>Gross carrying amount, by IFRS 9 stage (loans, banks, and investment securities at amortised cost) - FY2019-FY2026</t>
        </is>
      </c>
      <c r="B4" s="6" t="n"/>
      <c r="C4" s="6" t="n"/>
      <c r="D4" s="6" t="n"/>
      <c r="E4" s="6" t="n"/>
      <c r="F4" s="6" t="n"/>
      <c r="G4" s="6" t="n"/>
      <c r="H4" s="6" t="n"/>
      <c r="I4" s="6" t="n"/>
      <c r="J4" s="6" t="n"/>
      <c r="K4" s="6" t="n"/>
      <c r="L4" s="6" t="n"/>
      <c r="M4" s="6" t="n"/>
      <c r="N4" s="6" t="n"/>
    </row>
    <row r="5">
      <c r="A5" s="6" t="inlineStr">
        <is>
          <t>Stage 1 gross carrying amount</t>
        </is>
      </c>
      <c r="B5" s="6" t="n">
        <v>829359.3</v>
      </c>
      <c r="C5" s="6" t="n">
        <v>684299.8</v>
      </c>
      <c r="D5" s="6" t="n">
        <v>568755.5</v>
      </c>
      <c r="E5" s="6" t="n">
        <v>636222.1</v>
      </c>
      <c r="F5" s="6" t="n">
        <v>549842</v>
      </c>
      <c r="G5" s="6" t="n">
        <v>435239.9</v>
      </c>
      <c r="H5" s="6" t="n">
        <v>440982.8</v>
      </c>
      <c r="I5" s="6" t="n">
        <v>522538</v>
      </c>
      <c r="J5" s="6" t="n"/>
      <c r="K5" s="6" t="n"/>
      <c r="L5" s="6" t="n"/>
      <c r="M5" s="6" t="n"/>
      <c r="N5" s="6" t="n"/>
    </row>
    <row r="6">
      <c r="A6" s="6" t="inlineStr">
        <is>
          <t>Stage 2 gross carrying amount</t>
        </is>
      </c>
      <c r="B6" s="6" t="n">
        <v>47424.2</v>
      </c>
      <c r="C6" s="6" t="n">
        <v>30543</v>
      </c>
      <c r="D6" s="6" t="n">
        <v>27306</v>
      </c>
      <c r="E6" s="6" t="n">
        <v>292.8</v>
      </c>
      <c r="F6" s="6" t="n">
        <v>30828.9</v>
      </c>
      <c r="G6" s="6" t="n">
        <v>33007.4</v>
      </c>
      <c r="H6" s="6" t="n">
        <v>46131.6</v>
      </c>
      <c r="I6" s="6" t="n">
        <v>66392.2</v>
      </c>
      <c r="J6" s="6" t="n"/>
      <c r="K6" s="6" t="n"/>
      <c r="L6" s="6" t="n"/>
      <c r="M6" s="6" t="n"/>
      <c r="N6" s="6" t="n"/>
    </row>
    <row r="7">
      <c r="A7" s="6" t="inlineStr">
        <is>
          <t>Stage 3 gross carrying amount</t>
        </is>
      </c>
      <c r="B7" s="6" t="n">
        <v>72688.8</v>
      </c>
      <c r="C7" s="6" t="n">
        <v>100084.4</v>
      </c>
      <c r="D7" s="6" t="n">
        <v>202284.7</v>
      </c>
      <c r="E7" s="6" t="n">
        <v>229874.6</v>
      </c>
      <c r="F7" s="6" t="n">
        <v>234673.3</v>
      </c>
      <c r="G7" s="6" t="n">
        <v>270827.1</v>
      </c>
      <c r="H7" s="6" t="n">
        <v>299736.4</v>
      </c>
      <c r="I7" s="6" t="n">
        <v>311787.4</v>
      </c>
      <c r="J7" s="6" t="n"/>
      <c r="K7" s="6" t="n"/>
      <c r="L7" s="6" t="n"/>
      <c r="M7" s="6" t="n"/>
      <c r="N7" s="6" t="n"/>
    </row>
    <row r="8">
      <c r="A8" s="5" t="inlineStr">
        <is>
          <t>Total gross carrying amount</t>
        </is>
      </c>
      <c r="B8" s="5" t="n">
        <v>949472.2</v>
      </c>
      <c r="C8" s="5" t="n">
        <v>814152.6</v>
      </c>
      <c r="D8" s="5" t="n">
        <v>798346.3</v>
      </c>
      <c r="E8" s="5" t="n">
        <v>866389.5</v>
      </c>
      <c r="F8" s="5" t="n">
        <v>815344.2</v>
      </c>
      <c r="G8" s="5" t="n">
        <v>739074.4</v>
      </c>
      <c r="H8" s="5" t="n">
        <v>786850.8</v>
      </c>
      <c r="I8" s="5" t="n">
        <v>900717.6</v>
      </c>
      <c r="J8" s="5" t="n"/>
      <c r="K8" s="5" t="n"/>
      <c r="L8" s="5" t="n"/>
      <c r="M8" s="5" t="n"/>
      <c r="N8" s="5" t="n"/>
    </row>
    <row r="9">
      <c r="A9" s="5" t="inlineStr">
        <is>
          <t>Impairment allowance, by IFRS 9 stage - FY2019-FY2026</t>
        </is>
      </c>
      <c r="B9" s="6" t="n"/>
      <c r="C9" s="6" t="n"/>
      <c r="D9" s="6" t="n"/>
      <c r="E9" s="6" t="n"/>
      <c r="F9" s="6" t="n"/>
      <c r="G9" s="6" t="n"/>
      <c r="H9" s="6" t="n"/>
      <c r="I9" s="6" t="n"/>
      <c r="J9" s="6" t="n"/>
      <c r="K9" s="6" t="n"/>
      <c r="L9" s="6" t="n"/>
      <c r="M9" s="6" t="n"/>
      <c r="N9" s="6" t="n"/>
    </row>
    <row r="10">
      <c r="A10" s="6" t="inlineStr">
        <is>
          <t>Stage 1 impairment allowance</t>
        </is>
      </c>
      <c r="B10" s="6" t="n">
        <v>505.8</v>
      </c>
      <c r="C10" s="6" t="n">
        <v>403.6</v>
      </c>
      <c r="D10" s="6" t="n">
        <v>400.6</v>
      </c>
      <c r="E10" s="6" t="n">
        <v>2481.4</v>
      </c>
      <c r="F10" s="6" t="n">
        <v>1327.3</v>
      </c>
      <c r="G10" s="6" t="n">
        <v>1302.6</v>
      </c>
      <c r="H10" s="6" t="n">
        <v>1681</v>
      </c>
      <c r="I10" s="6" t="n">
        <v>2402.1</v>
      </c>
      <c r="J10" s="6" t="n"/>
      <c r="K10" s="6" t="n"/>
      <c r="L10" s="6" t="n"/>
      <c r="M10" s="6" t="n"/>
      <c r="N10" s="6" t="n"/>
    </row>
    <row r="11">
      <c r="A11" s="6" t="inlineStr">
        <is>
          <t>Stage 2 impairment allowance</t>
        </is>
      </c>
      <c r="B11" s="6" t="n">
        <v>15.2</v>
      </c>
      <c r="C11" s="6" t="n">
        <v>7.7</v>
      </c>
      <c r="D11" s="6" t="n">
        <v>1.6</v>
      </c>
      <c r="E11" s="6" t="n">
        <v>0.8</v>
      </c>
      <c r="F11" s="6" t="n">
        <v>111.7</v>
      </c>
      <c r="G11" s="6" t="n">
        <v>136.3</v>
      </c>
      <c r="H11" s="6" t="n">
        <v>403.9</v>
      </c>
      <c r="I11" s="6" t="n">
        <v>738.3</v>
      </c>
      <c r="J11" s="6" t="n"/>
      <c r="K11" s="6" t="n"/>
      <c r="L11" s="6" t="n"/>
      <c r="M11" s="6" t="n"/>
      <c r="N11" s="6" t="n"/>
    </row>
    <row r="12">
      <c r="A12" s="6" t="inlineStr">
        <is>
          <t>Stage 3 impairment allowance</t>
        </is>
      </c>
      <c r="B12" s="6" t="n">
        <v>42209.6</v>
      </c>
      <c r="C12" s="6" t="n">
        <v>54424.5</v>
      </c>
      <c r="D12" s="6" t="n">
        <v>126846.9</v>
      </c>
      <c r="E12" s="6" t="n">
        <v>143126</v>
      </c>
      <c r="F12" s="6" t="n">
        <v>146892.6</v>
      </c>
      <c r="G12" s="6" t="n">
        <v>172658</v>
      </c>
      <c r="H12" s="6" t="n">
        <v>193721.7</v>
      </c>
      <c r="I12" s="6" t="n">
        <v>201125.9</v>
      </c>
      <c r="J12" s="6" t="n"/>
      <c r="K12" s="6" t="n"/>
      <c r="L12" s="6" t="n"/>
      <c r="M12" s="6" t="n"/>
      <c r="N12" s="6" t="n"/>
    </row>
    <row r="13">
      <c r="A13" s="5" t="inlineStr">
        <is>
          <t>Total impairment allowance</t>
        </is>
      </c>
      <c r="B13" s="5" t="n">
        <v>42730.5</v>
      </c>
      <c r="C13" s="5" t="n">
        <v>54835.8</v>
      </c>
      <c r="D13" s="5" t="n">
        <v>127249.1</v>
      </c>
      <c r="E13" s="5" t="n">
        <v>145608.2</v>
      </c>
      <c r="F13" s="5" t="n">
        <v>148331.6</v>
      </c>
      <c r="G13" s="5" t="n">
        <v>174096.8</v>
      </c>
      <c r="H13" s="5" t="n">
        <v>195806.7</v>
      </c>
      <c r="I13" s="5" t="n">
        <v>204266.3</v>
      </c>
      <c r="J13" s="5" t="n"/>
      <c r="K13" s="5" t="n"/>
      <c r="L13" s="5" t="n"/>
      <c r="M13" s="5" t="n"/>
      <c r="N13" s="5" t="n"/>
    </row>
    <row r="14">
      <c r="A14" s="5" t="inlineStr">
        <is>
          <t>Net carrying amount, by IFRS 9 stage - FY2019-FY2026</t>
        </is>
      </c>
      <c r="B14" s="6" t="n"/>
      <c r="C14" s="6" t="n"/>
      <c r="D14" s="6" t="n"/>
      <c r="E14" s="6" t="n"/>
      <c r="F14" s="6" t="n"/>
      <c r="G14" s="6" t="n"/>
      <c r="H14" s="6" t="n"/>
      <c r="I14" s="6" t="n"/>
      <c r="J14" s="6" t="n"/>
      <c r="K14" s="6" t="n"/>
      <c r="L14" s="6" t="n"/>
      <c r="M14" s="6" t="n"/>
      <c r="N14" s="6" t="n"/>
    </row>
    <row r="15">
      <c r="A15" s="6" t="inlineStr">
        <is>
          <t>Stage 1 net carrying amount</t>
        </is>
      </c>
      <c r="B15" s="6" t="n">
        <v>828853.5</v>
      </c>
      <c r="C15" s="6" t="n">
        <v>683897</v>
      </c>
      <c r="D15" s="6" t="n">
        <v>568355.8</v>
      </c>
      <c r="E15" s="6" t="n">
        <v>633740.7</v>
      </c>
      <c r="F15" s="6" t="n">
        <v>548514.7</v>
      </c>
      <c r="G15" s="6" t="n">
        <v>433937.4</v>
      </c>
      <c r="H15" s="6" t="n">
        <v>439301.8</v>
      </c>
      <c r="I15" s="6" t="n">
        <v>520135.8</v>
      </c>
      <c r="J15" s="6" t="n"/>
      <c r="K15" s="6" t="n"/>
      <c r="L15" s="6" t="n"/>
      <c r="M15" s="6" t="n"/>
      <c r="N15" s="6" t="n"/>
    </row>
    <row r="16">
      <c r="A16" s="6" t="inlineStr">
        <is>
          <t>Stage 2 net carrying amount</t>
        </is>
      </c>
      <c r="B16" s="6" t="n">
        <v>47409</v>
      </c>
      <c r="C16" s="6" t="n">
        <v>30536</v>
      </c>
      <c r="D16" s="6" t="n">
        <v>27304.5</v>
      </c>
      <c r="E16" s="6" t="n">
        <v>292</v>
      </c>
      <c r="F16" s="6" t="n">
        <v>30717.2</v>
      </c>
      <c r="G16" s="6" t="n">
        <v>32871.1</v>
      </c>
      <c r="H16" s="6" t="n">
        <v>45727.6</v>
      </c>
      <c r="I16" s="6" t="n">
        <v>65653.10000000001</v>
      </c>
      <c r="J16" s="6" t="n"/>
      <c r="K16" s="6" t="n"/>
      <c r="L16" s="6" t="n"/>
      <c r="M16" s="6" t="n"/>
      <c r="N16" s="6" t="n"/>
    </row>
    <row r="17">
      <c r="A17" s="6" t="inlineStr">
        <is>
          <t>Stage 3 net carrying amount</t>
        </is>
      </c>
      <c r="B17" s="6" t="n">
        <v>30479.2</v>
      </c>
      <c r="C17" s="6" t="n">
        <v>45660</v>
      </c>
      <c r="D17" s="6" t="n">
        <v>75437.8</v>
      </c>
      <c r="E17" s="6" t="n">
        <v>86748.60000000001</v>
      </c>
      <c r="F17" s="6" t="n">
        <v>87780.7</v>
      </c>
      <c r="G17" s="6" t="n">
        <v>98169</v>
      </c>
      <c r="H17" s="6" t="n">
        <v>106014.7</v>
      </c>
      <c r="I17" s="6" t="n">
        <v>110661.6</v>
      </c>
      <c r="J17" s="6" t="n"/>
      <c r="K17" s="6" t="n"/>
      <c r="L17" s="6" t="n"/>
      <c r="M17" s="6" t="n"/>
      <c r="N17" s="6" t="n"/>
    </row>
    <row r="18">
      <c r="A18" s="5" t="inlineStr">
        <is>
          <t>Total net carrying amount</t>
        </is>
      </c>
      <c r="B18" s="5" t="n">
        <v>906741.7</v>
      </c>
      <c r="C18" s="5" t="n">
        <v>760093</v>
      </c>
      <c r="D18" s="5" t="n">
        <v>671098</v>
      </c>
      <c r="E18" s="5" t="n">
        <v>720781.3</v>
      </c>
      <c r="F18" s="5" t="n">
        <v>667012.6</v>
      </c>
      <c r="G18" s="5" t="n">
        <v>564977.5</v>
      </c>
      <c r="H18" s="5" t="n">
        <v>591044.1</v>
      </c>
      <c r="I18" s="5" t="n">
        <v>696450.5</v>
      </c>
      <c r="J18" s="5" t="n"/>
      <c r="K18" s="5" t="n"/>
      <c r="L18" s="5" t="n"/>
      <c r="M18" s="5" t="n"/>
      <c r="N18" s="5" t="n"/>
    </row>
    <row r="19">
      <c r="A19" s="5" t="inlineStr">
        <is>
          <t>Asset quality ratios (derived) - FY2019-FY2026</t>
        </is>
      </c>
      <c r="B19" s="6" t="n"/>
      <c r="C19" s="6" t="n"/>
      <c r="D19" s="6" t="n"/>
      <c r="E19" s="6" t="n"/>
      <c r="F19" s="6" t="n"/>
      <c r="G19" s="6" t="n"/>
      <c r="H19" s="6" t="n"/>
      <c r="I19" s="6" t="n"/>
      <c r="J19" s="6" t="n"/>
      <c r="K19" s="6" t="n"/>
      <c r="L19" s="6" t="n"/>
      <c r="M19" s="6" t="n"/>
      <c r="N19" s="6" t="n"/>
    </row>
    <row r="20">
      <c r="A20" s="6" t="inlineStr">
        <is>
          <t>Stage 3 as % of total gross carrying amount (NPL ratio)</t>
        </is>
      </c>
      <c r="B20" s="6" t="inlineStr">
        <is>
          <t>7.66%</t>
        </is>
      </c>
      <c r="C20" s="6" t="inlineStr">
        <is>
          <t>12.29%</t>
        </is>
      </c>
      <c r="D20" s="6" t="inlineStr">
        <is>
          <t>25.34%</t>
        </is>
      </c>
      <c r="E20" s="6" t="inlineStr">
        <is>
          <t>26.53%</t>
        </is>
      </c>
      <c r="F20" s="6" t="inlineStr">
        <is>
          <t>28.78%</t>
        </is>
      </c>
      <c r="G20" s="6" t="inlineStr">
        <is>
          <t>36.64%</t>
        </is>
      </c>
      <c r="H20" s="6" t="inlineStr">
        <is>
          <t>38.09%</t>
        </is>
      </c>
      <c r="I20" s="6" t="inlineStr">
        <is>
          <t>34.62%</t>
        </is>
      </c>
      <c r="J20" s="6" t="n"/>
      <c r="K20" s="6" t="n"/>
      <c r="L20" s="6" t="n"/>
      <c r="M20" s="6" t="n"/>
      <c r="N20" s="6" t="n"/>
    </row>
    <row r="21">
      <c r="A21" s="6" t="inlineStr">
        <is>
          <t>Total impairment allowance as % of total gross carrying amount (coverage)</t>
        </is>
      </c>
      <c r="B21" s="6" t="inlineStr">
        <is>
          <t>4.50%</t>
        </is>
      </c>
      <c r="C21" s="6" t="inlineStr">
        <is>
          <t>6.74%</t>
        </is>
      </c>
      <c r="D21" s="6" t="inlineStr">
        <is>
          <t>15.94%</t>
        </is>
      </c>
      <c r="E21" s="6" t="inlineStr">
        <is>
          <t>16.81%</t>
        </is>
      </c>
      <c r="F21" s="6" t="inlineStr">
        <is>
          <t>18.19%</t>
        </is>
      </c>
      <c r="G21" s="6" t="inlineStr">
        <is>
          <t>23.56%</t>
        </is>
      </c>
      <c r="H21" s="6" t="inlineStr">
        <is>
          <t>24.88%</t>
        </is>
      </c>
      <c r="I21" s="6" t="inlineStr">
        <is>
          <t>22.68%</t>
        </is>
      </c>
      <c r="J21" s="6" t="n"/>
      <c r="K21" s="6" t="n"/>
      <c r="L21" s="6" t="n"/>
      <c r="M21" s="6" t="n"/>
      <c r="N21" s="6" t="n"/>
    </row>
    <row r="22">
      <c r="A22" s="5" t="inlineStr">
        <is>
          <t>IAS 39 incurred-loss impairment model, Loans and advances to customers only - FY2014-FY2018</t>
        </is>
      </c>
      <c r="B22" s="6" t="n"/>
      <c r="C22" s="6" t="n"/>
      <c r="D22" s="6" t="n"/>
      <c r="E22" s="6" t="n"/>
      <c r="F22" s="6" t="n"/>
      <c r="G22" s="6" t="n"/>
      <c r="H22" s="6" t="n"/>
      <c r="I22" s="6" t="n"/>
      <c r="J22" s="6" t="n"/>
      <c r="K22" s="6" t="n"/>
      <c r="L22" s="6" t="n"/>
      <c r="M22" s="6" t="n"/>
      <c r="N22" s="6" t="n"/>
    </row>
    <row r="23">
      <c r="A23" s="6" t="inlineStr">
        <is>
          <t>Gross loans and advances to customers</t>
        </is>
      </c>
      <c r="B23" s="6" t="n"/>
      <c r="C23" s="6" t="n"/>
      <c r="D23" s="6" t="n"/>
      <c r="E23" s="6" t="n"/>
      <c r="F23" s="6" t="n"/>
      <c r="G23" s="6" t="n"/>
      <c r="H23" s="6" t="n"/>
      <c r="I23" s="6" t="n"/>
      <c r="J23" s="6" t="n">
        <v>598419.4</v>
      </c>
      <c r="K23" s="6" t="n">
        <v>696953.7</v>
      </c>
      <c r="L23" s="6" t="n">
        <v>825038.3</v>
      </c>
      <c r="M23" s="6" t="n">
        <v>834116</v>
      </c>
      <c r="N23" s="6" t="n">
        <v>722850.1</v>
      </c>
    </row>
    <row r="24">
      <c r="A24" s="6" t="inlineStr">
        <is>
          <t>Specific impairment provision</t>
        </is>
      </c>
      <c r="B24" s="6" t="n"/>
      <c r="C24" s="6" t="n"/>
      <c r="D24" s="6" t="n"/>
      <c r="E24" s="6" t="n"/>
      <c r="F24" s="6" t="n"/>
      <c r="G24" s="6" t="n"/>
      <c r="H24" s="6" t="n"/>
      <c r="I24" s="6" t="n"/>
      <c r="J24" s="6" t="n">
        <v>190892.9</v>
      </c>
      <c r="K24" s="6" t="n">
        <v>206732.2</v>
      </c>
      <c r="L24" s="6" t="n">
        <v>75546</v>
      </c>
      <c r="M24" s="6" t="n">
        <v>23913.2</v>
      </c>
      <c r="N24" s="6" t="n">
        <v>18685.9</v>
      </c>
    </row>
    <row r="25">
      <c r="A25" s="6" t="inlineStr">
        <is>
          <t>Collective impairment provision</t>
        </is>
      </c>
      <c r="B25" s="6" t="n"/>
      <c r="C25" s="6" t="n"/>
      <c r="D25" s="6" t="n"/>
      <c r="E25" s="6" t="n"/>
      <c r="F25" s="6" t="n"/>
      <c r="G25" s="6" t="n"/>
      <c r="H25" s="6" t="n"/>
      <c r="I25" s="6" t="n"/>
      <c r="J25" s="6" t="n">
        <v>2536.9</v>
      </c>
      <c r="K25" s="6" t="n">
        <v>3773.9</v>
      </c>
      <c r="L25" s="6" t="n">
        <v>3915.7</v>
      </c>
      <c r="M25" s="6" t="n">
        <v>4647.4</v>
      </c>
      <c r="N25" s="6" t="n">
        <v>2104</v>
      </c>
    </row>
    <row r="26">
      <c r="A26" s="5" t="inlineStr">
        <is>
          <t>Total impairment provision</t>
        </is>
      </c>
      <c r="B26" s="5" t="n"/>
      <c r="C26" s="5" t="n"/>
      <c r="D26" s="5" t="n"/>
      <c r="E26" s="5" t="n"/>
      <c r="F26" s="5" t="n"/>
      <c r="G26" s="5" t="n"/>
      <c r="H26" s="5" t="n"/>
      <c r="I26" s="5" t="n"/>
      <c r="J26" s="5" t="n">
        <v>193433.3</v>
      </c>
      <c r="K26" s="5" t="n">
        <v>213063.1</v>
      </c>
      <c r="L26" s="5" t="n">
        <v>79461.7</v>
      </c>
      <c r="M26" s="5" t="n">
        <v>28560.7</v>
      </c>
      <c r="N26" s="5" t="n">
        <v>20789.9</v>
      </c>
    </row>
    <row r="27">
      <c r="A27" s="5" t="inlineStr">
        <is>
          <t>Net loans and advances to customers</t>
        </is>
      </c>
      <c r="B27" s="5" t="n"/>
      <c r="C27" s="5" t="n"/>
      <c r="D27" s="5" t="n"/>
      <c r="E27" s="5" t="n"/>
      <c r="F27" s="5" t="n"/>
      <c r="G27" s="5" t="n"/>
      <c r="H27" s="5" t="n"/>
      <c r="I27" s="5" t="n"/>
      <c r="J27" s="5" t="n">
        <v>404986.1</v>
      </c>
      <c r="K27" s="5" t="n">
        <v>483890.6</v>
      </c>
      <c r="L27" s="5" t="n">
        <v>745576.6</v>
      </c>
      <c r="M27" s="5" t="n">
        <v>805555.3</v>
      </c>
      <c r="N27" s="5" t="n">
        <v>702060.2</v>
      </c>
    </row>
    <row r="28">
      <c r="A28" s="6" t="inlineStr">
        <is>
          <t>Gross impaired loans and advances (Bank's own headline non-performing figure)</t>
        </is>
      </c>
      <c r="B28" s="6" t="n"/>
      <c r="C28" s="6" t="n"/>
      <c r="D28" s="6" t="n"/>
      <c r="E28" s="6" t="n"/>
      <c r="F28" s="6" t="n"/>
      <c r="G28" s="6" t="n"/>
      <c r="H28" s="6" t="n"/>
      <c r="I28" s="6" t="n"/>
      <c r="J28" s="6" t="n">
        <v>226943.6</v>
      </c>
      <c r="K28" s="6" t="n">
        <v>239377.9</v>
      </c>
      <c r="L28" s="6" t="n">
        <v>100841.6</v>
      </c>
      <c r="M28" s="6" t="n">
        <v>55587</v>
      </c>
      <c r="N28" s="6" t="n">
        <v>40060.6</v>
      </c>
    </row>
    <row r="29">
      <c r="A29" s="6" t="inlineStr">
        <is>
          <t>Gross impaired advances as % of gross loans and advances to customers (NPL ratio)</t>
        </is>
      </c>
      <c r="B29" s="6" t="n"/>
      <c r="C29" s="6" t="n"/>
      <c r="D29" s="6" t="n"/>
      <c r="E29" s="6" t="n"/>
      <c r="F29" s="6" t="n"/>
      <c r="G29" s="6" t="n"/>
      <c r="H29" s="6" t="n"/>
      <c r="I29" s="6" t="n"/>
      <c r="J29" s="6" t="inlineStr">
        <is>
          <t>37.92%</t>
        </is>
      </c>
      <c r="K29" s="6" t="inlineStr">
        <is>
          <t>34.35%</t>
        </is>
      </c>
      <c r="L29" s="6" t="inlineStr">
        <is>
          <t>12.22%</t>
        </is>
      </c>
      <c r="M29" s="6" t="inlineStr">
        <is>
          <t>6.66%</t>
        </is>
      </c>
      <c r="N29" s="6" t="inlineStr">
        <is>
          <t>5.54%</t>
        </is>
      </c>
    </row>
    <row r="30">
      <c r="A30" s="6" t="inlineStr">
        <is>
          <t>Total impairment provision as % of gross loans and advances to customers (coverage)</t>
        </is>
      </c>
      <c r="B30" s="6" t="n"/>
      <c r="C30" s="6" t="n"/>
      <c r="D30" s="6" t="n"/>
      <c r="E30" s="6" t="n"/>
      <c r="F30" s="6" t="n"/>
      <c r="G30" s="6" t="n"/>
      <c r="H30" s="6" t="n"/>
      <c r="I30" s="6" t="n"/>
      <c r="J30" s="6" t="inlineStr">
        <is>
          <t>32.32%</t>
        </is>
      </c>
      <c r="K30" s="6" t="inlineStr">
        <is>
          <t>30.57%</t>
        </is>
      </c>
      <c r="L30" s="6" t="inlineStr">
        <is>
          <t>9.63%</t>
        </is>
      </c>
      <c r="M30" s="6" t="inlineStr">
        <is>
          <t>3.42%</t>
        </is>
      </c>
      <c r="N30" s="6" t="inlineStr">
        <is>
          <t>2.88%</t>
        </is>
      </c>
    </row>
    <row r="32" ht="390" customHeight="1">
      <c r="A32" s="8" t="inlineStr">
        <is>
          <t>Sources - Punjab National Bank (International) Limited entity-level Balance Sheet / Profit &amp; Loss / Statement of Changes in Equity (native unit $'000):
FY2026: Annual Report and Accounts 2026, Statement of Financial Position/Comprehensive Income/Changes in Equity, printed pp.47-49 - https://www.pnbint.com/PNBIL/pdf/Financial_Reports/PNBIL-Annual-Report-2026.pdf
FY2025: Annual Report and Accounts 2025, printed pp.46-48 - https://www.pnbint.com/PNBIL/pdf/Financial_Reports/PNBIL%20Annual%20Report%202025.pdf
FY2024: Annual Report and Accounts 2024, printed pp.41-43 - https://www.pnbint.com/PNBIL/pdf/Financial_Reports/Annual_Report_31-03-2024.pdf
FY2023: Annual Report and Accounts 2023, printed pp.36-38 - https://www.pnbint.com/PNBIL/pdf/Financial_Reports/PNBIL_Annual_Report_2023.pdf
FY2022: Annual Report and Accounts 2022, printed pp.33-35 - https://www.pnbint.com/PNBIL/pdf/Financial_Reports/AnnualReport20220331.pdf
FY2020: Annual Report and Accounts 2020, printed pp.26-28 - https://www.pnbint.com/PNBIL/pdf/Financial_Reports/Annual%20Report%2031-03-20_latest.pdf
FY2019: Annual Report and Accounts 2019, printed pp.29-31 - https://www.pnbint.com/PNBIL/pdf/Financial_Reports/Annual%20Report%2031-03-19.pdf
FY2018: Annual Report and Accounts 2018, printed pp.29-31 - https://www.pnbint.com/PNBIL/pdf/Financial_Reports/Annual%20Report%2031-03-18.pdf
FY2017: Annual Report and Accounts 2018's own FY2017 comparative columns, printed pp.29-32 - https://www.pnbint.com/PNBIL/pdf/Financial_Reports/Annual%20Report%2031-03-18.pdf (native-text PDF; used in preference to FY2017's own scanned/OCR'd report at https://www.pnbint.com/PNBIL/pdf/Financial_Reports/SIGNED%20ANNUAL%20REPORT-1617.pdf for higher transcription confidence, cross-checked against it)
FY2016: Annual Report and Accounts 2016, printed pp.20-25 - https://www.pnbint.com/PNBIL/pdf/Financial_Reports/Annual%20Report%2031-03-16.pdf (OCR'd from a scanned PDF; each total independently verified by summing the disclosed line items)
FY2015: Annual Report and Accounts 2015, printed pp.18-21 - https://www.pnbint.com/PNBIL/pdf/Financial_Reports/Annual%20Report%2031.03.2015.pdf (OCR'd from a scanned PDF; some liability/equity lines not shown on the FY2015 report's own face were taken from Annual Report and Accounts 2016's FY2015 comparative column and verified to sum exactly to FY2015's own disclosed Total liabilities of $1,690,610k)
FY2014: Annual Report and Accounts 2014, printed p.17 - https://www.pnbint.com/PNBIL/pdf/Financial_Reports/Annualreport31-03-2014.pdf (OCR'd from a scanned PDF; the Statement of Financial Position was additionally verified against a 250dpi rendered page image line-by-line because of poor OCR quality on this particular scan)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USD-to-GBP conversion: cash-flow flows use the Bank of England XUDLUSS average rate for the 1 April-31 March financial year, while cash balances and Pillar 3 dollar amounts use the final available Bank of England spot rate at 31 March. Rates (£1 = $X) were FY2022 1.3662 average/1.3162 spot, FY2023 1.2045/1.2364, FY2024 1.2568/1.2632, FY2025 1.2763/1.2910, and FY2026 1.3404/1.3188. The FY2022 opening balance uses the 31 March 2021 spot rate of 1.3796. Ratios remain exactly as reported because they are dimensionless. A computed GBP translation line reconciles the use of different flow and stock rates; it is not a Bank-reported cash-flow line.
HD-048 (2026-09-05/06) FY2014-FY2020 extension: same BoE XUDLUSS series, same average/spot convention. Rates (£1 = $X) were FY2014 1.5900 average/1.6673 spot, FY2015 1.6125/1.4847, FY2016 1.5082/1.4378, FY2017 1.3067/1.2507, FY2018 1.3273/1.4033, FY2019 1.3130/1.3030, FY2020 1.2708/1.2403. The FY2014 opening balance uses the 31 March 2013 spot rate of 1.5181. FY2021 uses the Bank of England XUDLUSS spot/average rates 1.3796/1.3193 and is now included from the Bank's own 2021 filings.
GBP CONVERSION NOTE (Balance Sheet/Equity balances, Profit &amp; Loss/Equity movements): balance-date figures (Balance Sheet lines, equity opening/closing balances) use the 31 March spot rate of that balance date; period figures (Profit &amp; Loss lines, equity movement rows) use the financial year's average rate. Because these are two different rates, a computed 'GBP translation adjustment' row is shown on the equity sheet for each year to keep the GBP columns arithmetically closed - it is not a Bank-reported line.
HD-048 IAS 39-TO-IFRS 9 CLASSIFICATION BRIDGE NOTE: FY2014-FY2018 predate the Bank's IFRS 9 adoption (first applied FY2019 - see the Statement of Changes in Equity's 'IFRS 9 adoption' transition row). Those years' IAS 39 categories are mapped onto this sheet's IFRS 9-era row labels by nearest economic equivalent: 'Investment securities - held for trading' is shown as 'Financial assets at fair value through profit or loss'; 'Investment securities - available for sale' is shown as 'Financial assets at fair value through other comprehensive income'; 'Investment securities - held to maturity' is shown as 'Investment securities at amortised cost'. Right of use lease assets/Lease liability are blank pre-FY2020 because IFRS 16 was not yet adopted. 'Deferred tax liabilities' and 'Current tax assets' are additional line items only disclosed in some FY2014-FY2016 years and are shown as their own rows, blank elsewhere.</t>
        </is>
      </c>
    </row>
    <row r="34" ht="340" customHeight="1">
      <c r="A34" s="8" t="inlineStr">
        <is>
          <t>(continued)
FY2026: Note 19, printed p.80 - https://www.pnbint.com/PNBIL/pdf/Financial_Reports/PNBIL-Annual-Report-2026.pdf; FY2025: Note 19, printed p.77 - https://www.pnbint.com/PNBIL/pdf/Financial_Reports/PNBIL%20Annual%20Report%202025.pdf (FY2024 comparative also sourced here); FY2023: Note 19, printed p.67 - https://www.pnbint.com/PNBIL/pdf/Financial_Reports/PNBIL_Annual_Report_2023.pdf (FY2022 comparative also sourced here); FY2021: Note 24 'Allowance for Expected Credit Losses (continued)', printed p.55 / PDF p.56 - https://www.pnbint.com/PNBIL/pdf/Financial_Reports/Annual%20report%20%2031-03-21.pdf; FY2020: Note 25, printed pp.60-61 - https://www.pnbint.com/PNBIL/pdf/Financial_Reports/Annual%20Report%2031-03-20_latest.pdf (FY2019 comparative also sourced here, printed p.61).
FY2021 ADDED 2026-09-18 - IT WAS AN UNTRANSCRIBED TABLE, NOT AN UNDISCLOSED YEAR. FY2021 was the only blank column between FY2019/FY2020 and FY2022 on this sheet, and the Bank's own 2021 Annual Report (already cited on this workbook's Cash Flow Statement sheet) carries the identical 'breakdown of loans &amp; advances at amortised cost by product' table on printed p.55, in exactly the format used for every other year. Stage 2 is the trap in this table and is handled the same way here as in every other column: the Bank prints Stage 2 as TWO sub-rows, 'Not past due' and '&gt; 30 &lt;= 90 days', and this sheet's Stage 2 line is their sum. FY2021's second sub-row is non-zero (gross 6,984, impairment nil, net 6,984), so Stage 2 gross is 38,553 + 6,984 = 45,537, impairment 188 + 0 = 188, net 38,365 + 6,984 = 45,349 - taking only the 'Not past due' row would have understated the stage by $6,984k. The convention is verified against a year already in the workbook: AR2023 prints FY2022 Stage 2 as 27,489 + 13,088 gross and 130 + 17 impairment, which is exactly this workbook's existing FY2022 40,577 / 147. The FY2021 column foots internally (net = gross - impairment on every stage, and 1,019,627 - 240,184 = 779,443), and the same page's 31 March 2020 comparative column reproduces this workbook's existing FY2020 figures cell-for-cell (546,951 / 57,217 / 371,763 gross; 2,085 / 501 / 240,273 impairment; 544,866 / 56,716 / 131,490 net), confirming both the scope and the transcription. The separate FVOCI investment-securities table on the following page is excluded, as it is for every other year. Fetched on rung 1 (plain curl -L): HTTP 200, Content-Type application/pdf, %PDF magic bytes, 1,567,660 bytes, native text layer (no OCR needed).
GBP-CONVERSION ROUNDING (applies to every column, not just FY2021): the Bank reports in US$'000 and every cell on this sheet is converted individually at that year's 31 March spot rate and then rounded to one decimal place, so a column's three stage rows can sum to £0.1k more or less than the separately-converted printed total. FY2021's total impairment allowance is one such case (stages sum to 174,096.9, the converted printed total is 174,096.8), exactly like the FY2026 and FY2020 columns already on this sheet. In the Bank's own native US$'000 every column foots exactly (FY2021: 1,797 + 188 + 238,199 = 240,184). This is an artefact of presenting a dollar disclosure in pounds; no figure has been adjusted to hide it.
A large, steadily-declining Stage 3/impaired-loan book is genuinely disclosed every year (34.34% of gross loans in FY2017, rising to 37.92% in FY2018, then 28.79% by FY2022, down to 7.66% by FY2026) - not a transcription artefact; the Bank's own Annual Reports discuss legacy non-performing exposures, mostly originated before FY2016, being worked down over this period. FY2014-FY2018 figures are sourced from each year's own Balance Sheet/Loans and advances to customers note - FY2014: p.17/Note 13, https://www.pnbint.com/PNBIL/pdf/Financial_Reports/Annualreport31-03-2014.pdf; FY2015: Note 13, https://www.pnbint.com/PNBIL/pdf/Financial_Reports/Annual%20Report%2031.03.2015.pdf; FY2016: Note 13, https://www.pnbint.com/PNBIL/pdf/Financial_Reports/Annual%20Report%2031-03-16.pdf; FY2017/FY2018: Note 21, https://www.pnbint.com/PNBIL/pdf/Financial_Reports/Annual%20Report%2031-03-18.pdf (native-text PDF, FY2017 comparative sourced here for higher transcription confidence). FY2014-FY2016 sources are OCR'd from scanned PDFs; each year's own gross/provisions/net figures were cross-checked to sum exactly (net = gross - impairment) and, where shown, to the following year's own comparative column.</t>
        </is>
      </c>
    </row>
  </sheetData>
  <mergeCells count="2">
    <mergeCell ref="A32:N32"/>
    <mergeCell ref="A34:N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Punjab National Bank (International) Limited — KM1 Key Metrics</t>
        </is>
      </c>
    </row>
    <row r="2">
      <c r="A2" s="2" t="inlineStr">
        <is>
          <t>The Bank's own published key-metrics template, reproduced in PNBIL's row order with its own row numbers, labels and printed precision. AMOUNTS ARE IN $ MILLION - the Bank's own Pillar 3 currency, not the £m used on the other sheets here. Solo basis. TWO SEPARATE TEMPLATES are shown as two blocks: the UK KM1 (FY2022-FY2026) and the pre-2022 Basel III Table KM1 (FY2019-FY2021), whose row numbers collide but do NOT mean the same things. FY2018 sits in the Basel block and is the FY2019 edition's comparative column, because PNBIL's own FY2018 edition publishes no key-metrics table at all; its seven fully-loaded ECL rows are printed as dashes there and carry them. FY2017 and earlier are blank because no edition prints them. See the source note.</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5" t="inlineStr">
        <is>
          <t>UK KM1 — Key metrics template, as printed in the FY2022–FY2026 editions ($ million / %)</t>
        </is>
      </c>
      <c r="B4" s="6" t="n"/>
      <c r="C4" s="6" t="n"/>
      <c r="D4" s="6" t="n"/>
      <c r="E4" s="6" t="n"/>
      <c r="F4" s="6" t="n"/>
      <c r="G4" s="6" t="n"/>
      <c r="H4" s="6" t="n"/>
      <c r="I4" s="6" t="n"/>
      <c r="J4" s="6" t="n"/>
    </row>
    <row r="5">
      <c r="A5" s="5" t="inlineStr">
        <is>
          <t>Available own funds (amounts, $ million)</t>
        </is>
      </c>
      <c r="B5" s="6" t="n"/>
      <c r="C5" s="6" t="n"/>
      <c r="D5" s="6" t="n"/>
      <c r="E5" s="6" t="n"/>
      <c r="F5" s="6" t="n"/>
      <c r="G5" s="6" t="n"/>
      <c r="H5" s="6" t="n"/>
      <c r="I5" s="6" t="n"/>
      <c r="J5" s="6" t="n"/>
    </row>
    <row r="6">
      <c r="A6" s="6" t="inlineStr">
        <is>
          <t>1    Common Equity Tier 1 (CET 1) capital</t>
        </is>
      </c>
      <c r="B6" s="6" t="n">
        <v>138.2</v>
      </c>
      <c r="C6" s="6" t="n">
        <v>140.8</v>
      </c>
      <c r="D6" s="6" t="n">
        <v>144.1</v>
      </c>
      <c r="E6" s="6" t="n">
        <v>143.1</v>
      </c>
      <c r="F6" s="6" t="n">
        <v>137.9</v>
      </c>
      <c r="G6" s="6" t="n"/>
      <c r="H6" s="6" t="n"/>
      <c r="I6" s="6" t="n"/>
      <c r="J6" s="6" t="n"/>
    </row>
    <row r="7">
      <c r="A7" s="6" t="inlineStr">
        <is>
          <t>2    Tier 1 capital</t>
        </is>
      </c>
      <c r="B7" s="6" t="n">
        <v>183.2</v>
      </c>
      <c r="C7" s="6" t="n">
        <v>185.8</v>
      </c>
      <c r="D7" s="6" t="n">
        <v>189.1</v>
      </c>
      <c r="E7" s="6" t="n">
        <v>188.1</v>
      </c>
      <c r="F7" s="6" t="n">
        <v>182.9</v>
      </c>
      <c r="G7" s="6" t="n"/>
      <c r="H7" s="6" t="n"/>
      <c r="I7" s="6" t="n"/>
      <c r="J7" s="6" t="n"/>
    </row>
    <row r="8">
      <c r="A8" s="6" t="inlineStr">
        <is>
          <t>3    Total capital</t>
        </is>
      </c>
      <c r="B8" s="6" t="n">
        <v>210.9</v>
      </c>
      <c r="C8" s="6" t="n">
        <v>216.1</v>
      </c>
      <c r="D8" s="6" t="n">
        <v>223.1</v>
      </c>
      <c r="E8" s="6" t="n">
        <v>226.4</v>
      </c>
      <c r="F8" s="6" t="n">
        <v>213.9</v>
      </c>
      <c r="G8" s="6" t="n"/>
      <c r="H8" s="6" t="n"/>
      <c r="I8" s="6" t="n"/>
      <c r="J8" s="6" t="n"/>
    </row>
    <row r="9">
      <c r="A9" s="5" t="inlineStr">
        <is>
          <t>Risk-weighted exposure amounts ($ million)</t>
        </is>
      </c>
      <c r="B9" s="6" t="n"/>
      <c r="C9" s="6" t="n"/>
      <c r="D9" s="6" t="n"/>
      <c r="E9" s="6" t="n"/>
      <c r="F9" s="6" t="n"/>
      <c r="G9" s="6" t="n"/>
      <c r="H9" s="6" t="n"/>
      <c r="I9" s="6" t="n"/>
      <c r="J9" s="6" t="n"/>
    </row>
    <row r="10">
      <c r="A10" s="6" t="inlineStr">
        <is>
          <t>4    Total risk-weighted exposure amount</t>
        </is>
      </c>
      <c r="B10" s="6" t="n">
        <v>894.9</v>
      </c>
      <c r="C10" s="6" t="n">
        <v>697.1</v>
      </c>
      <c r="D10" s="6" t="n">
        <v>701</v>
      </c>
      <c r="E10" s="6" t="n">
        <v>730.1</v>
      </c>
      <c r="F10" s="6" t="n">
        <v>802.6</v>
      </c>
      <c r="G10" s="6" t="n"/>
      <c r="H10" s="6" t="n"/>
      <c r="I10" s="6" t="n"/>
      <c r="J10" s="6" t="n"/>
    </row>
    <row r="11">
      <c r="A11" s="5" t="inlineStr">
        <is>
          <t>Capital ratios (as a percentage of risk-weighted exposure amount)</t>
        </is>
      </c>
      <c r="B11" s="6" t="n"/>
      <c r="C11" s="6" t="n"/>
      <c r="D11" s="6" t="n"/>
      <c r="E11" s="6" t="n"/>
      <c r="F11" s="6" t="n"/>
      <c r="G11" s="6" t="n"/>
      <c r="H11" s="6" t="n"/>
      <c r="I11" s="6" t="n"/>
      <c r="J11" s="6" t="n"/>
    </row>
    <row r="12">
      <c r="A12" s="6" t="inlineStr">
        <is>
          <t>5    Common Equity Tier 1 ratio (%)</t>
        </is>
      </c>
      <c r="B12" s="6" t="inlineStr">
        <is>
          <t>15.4%</t>
        </is>
      </c>
      <c r="C12" s="6" t="inlineStr">
        <is>
          <t>20.2%</t>
        </is>
      </c>
      <c r="D12" s="6" t="inlineStr">
        <is>
          <t>20.6%</t>
        </is>
      </c>
      <c r="E12" s="6" t="inlineStr">
        <is>
          <t>19.6%</t>
        </is>
      </c>
      <c r="F12" s="6" t="inlineStr">
        <is>
          <t>17.2%</t>
        </is>
      </c>
      <c r="G12" s="6" t="n"/>
      <c r="H12" s="6" t="n"/>
      <c r="I12" s="6" t="n"/>
      <c r="J12" s="6" t="n"/>
    </row>
    <row r="13">
      <c r="A13" s="6" t="inlineStr">
        <is>
          <t>6    Tier 1 ratio (%)</t>
        </is>
      </c>
      <c r="B13" s="6" t="inlineStr">
        <is>
          <t>20.5%</t>
        </is>
      </c>
      <c r="C13" s="6" t="inlineStr">
        <is>
          <t>26.7%</t>
        </is>
      </c>
      <c r="D13" s="6" t="inlineStr">
        <is>
          <t>27.0%</t>
        </is>
      </c>
      <c r="E13" s="6" t="inlineStr">
        <is>
          <t>25.8%</t>
        </is>
      </c>
      <c r="F13" s="6" t="inlineStr">
        <is>
          <t>22.8%</t>
        </is>
      </c>
      <c r="G13" s="6" t="n"/>
      <c r="H13" s="6" t="n"/>
      <c r="I13" s="6" t="n"/>
      <c r="J13" s="6" t="n"/>
    </row>
    <row r="14">
      <c r="A14" s="6" t="inlineStr">
        <is>
          <t>7    Total capital ratio (%)</t>
        </is>
      </c>
      <c r="B14" s="6" t="inlineStr">
        <is>
          <t>23.6%</t>
        </is>
      </c>
      <c r="C14" s="6" t="inlineStr">
        <is>
          <t>31.0%</t>
        </is>
      </c>
      <c r="D14" s="6" t="inlineStr">
        <is>
          <t>31.8%</t>
        </is>
      </c>
      <c r="E14" s="6" t="inlineStr">
        <is>
          <t>31.0%</t>
        </is>
      </c>
      <c r="F14" s="6" t="inlineStr">
        <is>
          <t>26.7%</t>
        </is>
      </c>
      <c r="G14" s="6" t="n"/>
      <c r="H14" s="6" t="n"/>
      <c r="I14" s="6" t="n"/>
      <c r="J14" s="6" t="n"/>
    </row>
    <row r="15">
      <c r="A15" s="5" t="inlineStr">
        <is>
          <t>Additional own funds requirements based on SREP (as a percentage of risk-weighted exposure amount)</t>
        </is>
      </c>
      <c r="B15" s="6" t="n"/>
      <c r="C15" s="6" t="n"/>
      <c r="D15" s="6" t="n"/>
      <c r="E15" s="6" t="n"/>
      <c r="F15" s="6" t="n"/>
      <c r="G15" s="6" t="n"/>
      <c r="H15" s="6" t="n"/>
      <c r="I15" s="6" t="n"/>
      <c r="J15" s="6" t="n"/>
    </row>
    <row r="16">
      <c r="A16" s="6" t="inlineStr">
        <is>
          <t>UK 7a    Additional CET1 SREP requirements (%)</t>
        </is>
      </c>
      <c r="B16" s="6" t="inlineStr">
        <is>
          <t>1.9%</t>
        </is>
      </c>
      <c r="C16" s="6" t="inlineStr">
        <is>
          <t>1.9%</t>
        </is>
      </c>
      <c r="D16" s="6" t="inlineStr">
        <is>
          <t>1.9%</t>
        </is>
      </c>
      <c r="E16" s="6" t="inlineStr">
        <is>
          <t>1.9%</t>
        </is>
      </c>
      <c r="F16" s="6" t="inlineStr">
        <is>
          <t>2.5%</t>
        </is>
      </c>
      <c r="G16" s="6" t="n"/>
      <c r="H16" s="6" t="n"/>
      <c r="I16" s="6" t="n"/>
      <c r="J16" s="6" t="n"/>
    </row>
    <row r="17">
      <c r="A17" s="6" t="inlineStr">
        <is>
          <t>UK 7b    Additional AT1 SREP requirements (%)</t>
        </is>
      </c>
      <c r="B17" s="6" t="inlineStr">
        <is>
          <t>0.6%</t>
        </is>
      </c>
      <c r="C17" s="6" t="inlineStr">
        <is>
          <t>0.6%</t>
        </is>
      </c>
      <c r="D17" s="6" t="inlineStr">
        <is>
          <t>0.6%</t>
        </is>
      </c>
      <c r="E17" s="6" t="inlineStr">
        <is>
          <t>0.6%</t>
        </is>
      </c>
      <c r="F17" s="6" t="inlineStr">
        <is>
          <t>0.8%</t>
        </is>
      </c>
      <c r="G17" s="6" t="n"/>
      <c r="H17" s="6" t="n"/>
      <c r="I17" s="6" t="n"/>
      <c r="J17" s="6" t="n"/>
    </row>
    <row r="18">
      <c r="A18" s="6" t="inlineStr">
        <is>
          <t>UK 7c    Additional T2 SREP requirements (%)</t>
        </is>
      </c>
      <c r="B18" s="6" t="inlineStr">
        <is>
          <t>0.9%</t>
        </is>
      </c>
      <c r="C18" s="6" t="inlineStr">
        <is>
          <t>0.9%</t>
        </is>
      </c>
      <c r="D18" s="6" t="inlineStr">
        <is>
          <t>0.8%</t>
        </is>
      </c>
      <c r="E18" s="6" t="inlineStr">
        <is>
          <t>0.8%</t>
        </is>
      </c>
      <c r="F18" s="6" t="inlineStr">
        <is>
          <t>1.1%</t>
        </is>
      </c>
      <c r="G18" s="6" t="n"/>
      <c r="H18" s="6" t="n"/>
      <c r="I18" s="6" t="n"/>
      <c r="J18" s="6" t="n"/>
    </row>
    <row r="19">
      <c r="A19" s="6" t="inlineStr">
        <is>
          <t>UK 7d    Total SREP own funds requirements (%)</t>
        </is>
      </c>
      <c r="B19" s="6" t="inlineStr">
        <is>
          <t>11.5%</t>
        </is>
      </c>
      <c r="C19" s="6" t="inlineStr">
        <is>
          <t>11.5%</t>
        </is>
      </c>
      <c r="D19" s="6" t="inlineStr">
        <is>
          <t>11.4%</t>
        </is>
      </c>
      <c r="E19" s="6" t="inlineStr">
        <is>
          <t>11.4%</t>
        </is>
      </c>
      <c r="F19" s="6" t="inlineStr">
        <is>
          <t>12.4%</t>
        </is>
      </c>
      <c r="G19" s="6" t="n"/>
      <c r="H19" s="6" t="n"/>
      <c r="I19" s="6" t="n"/>
      <c r="J19" s="6" t="n"/>
    </row>
    <row r="20">
      <c r="A20" s="5" t="inlineStr">
        <is>
          <t>Combined buffer requirement (as a percentage of risk-weighted exposure amount)</t>
        </is>
      </c>
      <c r="B20" s="6" t="n"/>
      <c r="C20" s="6" t="n"/>
      <c r="D20" s="6" t="n"/>
      <c r="E20" s="6" t="n"/>
      <c r="F20" s="6" t="n"/>
      <c r="G20" s="6" t="n"/>
      <c r="H20" s="6" t="n"/>
      <c r="I20" s="6" t="n"/>
      <c r="J20" s="6" t="n"/>
    </row>
    <row r="21">
      <c r="A21" s="6" t="inlineStr">
        <is>
          <t>8    Capital conservation buffer (%)</t>
        </is>
      </c>
      <c r="B21" s="6" t="inlineStr">
        <is>
          <t>2.5%</t>
        </is>
      </c>
      <c r="C21" s="6" t="inlineStr">
        <is>
          <t>2.5%</t>
        </is>
      </c>
      <c r="D21" s="6" t="inlineStr">
        <is>
          <t>2.5%</t>
        </is>
      </c>
      <c r="E21" s="6" t="inlineStr">
        <is>
          <t>2.5%</t>
        </is>
      </c>
      <c r="F21" s="6" t="inlineStr">
        <is>
          <t>2.5%</t>
        </is>
      </c>
      <c r="G21" s="6" t="n"/>
      <c r="H21" s="6" t="n"/>
      <c r="I21" s="6" t="n"/>
      <c r="J21" s="6" t="n"/>
    </row>
    <row r="22">
      <c r="A22" s="6" t="inlineStr">
        <is>
          <t>UK 8a    Conservation buffer due to macro-prudential or systemic risk identified at the level of a Member State (%)</t>
        </is>
      </c>
      <c r="B22" s="6" t="inlineStr">
        <is>
          <t>-</t>
        </is>
      </c>
      <c r="C22" s="6" t="inlineStr">
        <is>
          <t>-</t>
        </is>
      </c>
      <c r="D22" s="6" t="inlineStr">
        <is>
          <t>-</t>
        </is>
      </c>
      <c r="E22" s="6" t="inlineStr">
        <is>
          <t>-</t>
        </is>
      </c>
      <c r="F22" s="6" t="inlineStr">
        <is>
          <t>-</t>
        </is>
      </c>
      <c r="G22" s="6" t="n"/>
      <c r="H22" s="6" t="n"/>
      <c r="I22" s="6" t="n"/>
      <c r="J22" s="6" t="n"/>
    </row>
    <row r="23">
      <c r="A23" s="6" t="inlineStr">
        <is>
          <t>9    Institution specific countercyclical capital buffer (%)</t>
        </is>
      </c>
      <c r="B23" s="6" t="inlineStr">
        <is>
          <t>1.7%</t>
        </is>
      </c>
      <c r="C23" s="6" t="inlineStr">
        <is>
          <t>1.6%</t>
        </is>
      </c>
      <c r="D23" s="6" t="inlineStr">
        <is>
          <t>1.4%</t>
        </is>
      </c>
      <c r="E23" s="6" t="inlineStr">
        <is>
          <t>0.7%</t>
        </is>
      </c>
      <c r="F23" s="6" t="inlineStr">
        <is>
          <t>0.0%</t>
        </is>
      </c>
      <c r="G23" s="6" t="n"/>
      <c r="H23" s="6" t="n"/>
      <c r="I23" s="6" t="n"/>
      <c r="J23" s="6" t="n"/>
    </row>
    <row r="24">
      <c r="A24" s="6" t="inlineStr">
        <is>
          <t>UK 9a    Systemic risk buffer (%)</t>
        </is>
      </c>
      <c r="B24" s="6" t="inlineStr">
        <is>
          <t>-</t>
        </is>
      </c>
      <c r="C24" s="6" t="inlineStr">
        <is>
          <t>-</t>
        </is>
      </c>
      <c r="D24" s="6" t="inlineStr">
        <is>
          <t>-</t>
        </is>
      </c>
      <c r="E24" s="6" t="inlineStr">
        <is>
          <t>-</t>
        </is>
      </c>
      <c r="F24" s="6" t="inlineStr">
        <is>
          <t>-</t>
        </is>
      </c>
      <c r="G24" s="6" t="n"/>
      <c r="H24" s="6" t="n"/>
      <c r="I24" s="6" t="n"/>
      <c r="J24" s="6" t="n"/>
    </row>
    <row r="25">
      <c r="A25" s="6" t="inlineStr">
        <is>
          <t>10    Global Systemically Important Institution buffer (%)</t>
        </is>
      </c>
      <c r="B25" s="6" t="inlineStr">
        <is>
          <t>-</t>
        </is>
      </c>
      <c r="C25" s="6" t="inlineStr">
        <is>
          <t>-</t>
        </is>
      </c>
      <c r="D25" s="6" t="inlineStr">
        <is>
          <t>-</t>
        </is>
      </c>
      <c r="E25" s="6" t="inlineStr">
        <is>
          <t>-</t>
        </is>
      </c>
      <c r="F25" s="6" t="inlineStr">
        <is>
          <t>-</t>
        </is>
      </c>
      <c r="G25" s="6" t="n"/>
      <c r="H25" s="6" t="n"/>
      <c r="I25" s="6" t="n"/>
      <c r="J25" s="6" t="n"/>
    </row>
    <row r="26">
      <c r="A26" s="6" t="inlineStr">
        <is>
          <t>UK 10a    Other Systemically Important Institution buffer</t>
        </is>
      </c>
      <c r="B26" s="6" t="inlineStr">
        <is>
          <t>-</t>
        </is>
      </c>
      <c r="C26" s="6" t="inlineStr">
        <is>
          <t>-</t>
        </is>
      </c>
      <c r="D26" s="6" t="inlineStr">
        <is>
          <t>-</t>
        </is>
      </c>
      <c r="E26" s="6" t="inlineStr">
        <is>
          <t>-</t>
        </is>
      </c>
      <c r="F26" s="6" t="inlineStr">
        <is>
          <t>-</t>
        </is>
      </c>
      <c r="G26" s="6" t="n"/>
      <c r="H26" s="6" t="n"/>
      <c r="I26" s="6" t="n"/>
      <c r="J26" s="6" t="n"/>
    </row>
    <row r="27">
      <c r="A27" s="6" t="inlineStr">
        <is>
          <t>11    Combined buffer requirement (%)</t>
        </is>
      </c>
      <c r="B27" s="6" t="inlineStr">
        <is>
          <t>4.2%</t>
        </is>
      </c>
      <c r="C27" s="6" t="inlineStr">
        <is>
          <t>4.1%</t>
        </is>
      </c>
      <c r="D27" s="6" t="inlineStr">
        <is>
          <t>3.9%</t>
        </is>
      </c>
      <c r="E27" s="6" t="inlineStr">
        <is>
          <t>3.1%</t>
        </is>
      </c>
      <c r="F27" s="6" t="inlineStr">
        <is>
          <t>2.5%</t>
        </is>
      </c>
      <c r="G27" s="6" t="n"/>
      <c r="H27" s="6" t="n"/>
      <c r="I27" s="6" t="n"/>
      <c r="J27" s="6" t="n"/>
    </row>
    <row r="28">
      <c r="A28" s="6" t="inlineStr">
        <is>
          <t>UK 11a    Overall capital requirements (%)</t>
        </is>
      </c>
      <c r="B28" s="6" t="inlineStr">
        <is>
          <t>15.6%</t>
        </is>
      </c>
      <c r="C28" s="6" t="inlineStr">
        <is>
          <t>15.6%</t>
        </is>
      </c>
      <c r="D28" s="6" t="inlineStr">
        <is>
          <t>15.3%</t>
        </is>
      </c>
      <c r="E28" s="6" t="inlineStr">
        <is>
          <t>14.5%</t>
        </is>
      </c>
      <c r="F28" s="6" t="inlineStr">
        <is>
          <t>14.9%</t>
        </is>
      </c>
      <c r="G28" s="6" t="n"/>
      <c r="H28" s="6" t="n"/>
      <c r="I28" s="6" t="n"/>
      <c r="J28" s="6" t="n"/>
    </row>
    <row r="29">
      <c r="A29" s="6" t="inlineStr">
        <is>
          <t>12    CET1 available after meeting the total SREP own funds requirements (%)</t>
        </is>
      </c>
      <c r="B29" s="6" t="inlineStr">
        <is>
          <t>9.0%</t>
        </is>
      </c>
      <c r="C29" s="6" t="inlineStr">
        <is>
          <t>13.8%</t>
        </is>
      </c>
      <c r="D29" s="6" t="inlineStr">
        <is>
          <t>14.2%</t>
        </is>
      </c>
      <c r="E29" s="6" t="inlineStr">
        <is>
          <t>13.2%</t>
        </is>
      </c>
      <c r="F29" s="6" t="inlineStr">
        <is>
          <t>10.2%</t>
        </is>
      </c>
      <c r="G29" s="6" t="n"/>
      <c r="H29" s="6" t="n"/>
      <c r="I29" s="6" t="n"/>
      <c r="J29" s="6" t="n"/>
    </row>
    <row r="30">
      <c r="A30" s="5" t="inlineStr">
        <is>
          <t>Leverage ratio ($ million / %)</t>
        </is>
      </c>
      <c r="B30" s="6" t="n"/>
      <c r="C30" s="6" t="n"/>
      <c r="D30" s="6" t="n"/>
      <c r="E30" s="6" t="n"/>
      <c r="F30" s="6" t="n"/>
      <c r="G30" s="6" t="n"/>
      <c r="H30" s="6" t="n"/>
      <c r="I30" s="6" t="n"/>
      <c r="J30" s="6" t="n"/>
    </row>
    <row r="31">
      <c r="A31" s="6" t="inlineStr">
        <is>
          <t>13    Total exposure measure excluding claims on central banks</t>
        </is>
      </c>
      <c r="B31" s="6" t="n">
        <v>1346.4</v>
      </c>
      <c r="C31" s="6" t="n">
        <v>1114.5</v>
      </c>
      <c r="D31" s="6" t="n">
        <v>987.7</v>
      </c>
      <c r="E31" s="6" t="n">
        <v>942.9</v>
      </c>
      <c r="F31" s="6" t="n">
        <v>948.2</v>
      </c>
      <c r="G31" s="6" t="n"/>
      <c r="H31" s="6" t="n"/>
      <c r="I31" s="6" t="n"/>
      <c r="J31" s="6" t="n"/>
    </row>
    <row r="32">
      <c r="A32" s="6" t="inlineStr">
        <is>
          <t>14    Leverage ratio excluding claims on central banks (%)</t>
        </is>
      </c>
      <c r="B32" s="6" t="inlineStr">
        <is>
          <t>13.6%</t>
        </is>
      </c>
      <c r="C32" s="6" t="inlineStr">
        <is>
          <t>16.7%</t>
        </is>
      </c>
      <c r="D32" s="6" t="inlineStr">
        <is>
          <t>19.1%</t>
        </is>
      </c>
      <c r="E32" s="6" t="inlineStr">
        <is>
          <t>19.9%</t>
        </is>
      </c>
      <c r="F32" s="6" t="inlineStr">
        <is>
          <t>19.3%</t>
        </is>
      </c>
      <c r="G32" s="6" t="n"/>
      <c r="H32" s="6" t="n"/>
      <c r="I32" s="6" t="n"/>
      <c r="J32" s="6" t="n"/>
    </row>
    <row r="33">
      <c r="A33" s="5" t="inlineStr">
        <is>
          <t>Liquidity Coverage Ratio ($ million / %)</t>
        </is>
      </c>
      <c r="B33" s="6" t="n"/>
      <c r="C33" s="6" t="n"/>
      <c r="D33" s="6" t="n"/>
      <c r="E33" s="6" t="n"/>
      <c r="F33" s="6" t="n"/>
      <c r="G33" s="6" t="n"/>
      <c r="H33" s="6" t="n"/>
      <c r="I33" s="6" t="n"/>
      <c r="J33" s="6" t="n"/>
    </row>
    <row r="34">
      <c r="A34" s="6" t="inlineStr">
        <is>
          <t>15    Total high-quality liquid assets (HQLA) (Weighted value -average)</t>
        </is>
      </c>
      <c r="B34" s="6" t="n">
        <v>203.3</v>
      </c>
      <c r="C34" s="6" t="n">
        <v>115.7</v>
      </c>
      <c r="D34" s="6" t="n">
        <v>146.5</v>
      </c>
      <c r="E34" s="6" t="n">
        <v>166.1</v>
      </c>
      <c r="F34" s="6" t="n">
        <v>191.2</v>
      </c>
      <c r="G34" s="6" t="n"/>
      <c r="H34" s="6" t="n"/>
      <c r="I34" s="6" t="n"/>
      <c r="J34" s="6" t="n"/>
    </row>
    <row r="35">
      <c r="A35" s="6" t="inlineStr">
        <is>
          <t>UK 16a    Cash outflows - Total weighted value</t>
        </is>
      </c>
      <c r="B35" s="6" t="n">
        <v>106.8</v>
      </c>
      <c r="C35" s="6" t="n">
        <v>68.5</v>
      </c>
      <c r="D35" s="6" t="n">
        <v>62.1</v>
      </c>
      <c r="E35" s="6" t="n">
        <v>73.8</v>
      </c>
      <c r="F35" s="6" t="n">
        <v>81.3</v>
      </c>
      <c r="G35" s="6" t="n"/>
      <c r="H35" s="6" t="n"/>
      <c r="I35" s="6" t="n"/>
      <c r="J35" s="6" t="n"/>
    </row>
    <row r="36">
      <c r="A36" s="6" t="inlineStr">
        <is>
          <t>UK 16b    Cash inflows - Total weighted value</t>
        </is>
      </c>
      <c r="B36" s="6" t="n">
        <v>49.9</v>
      </c>
      <c r="C36" s="6" t="n">
        <v>44.8</v>
      </c>
      <c r="D36" s="6" t="n">
        <v>39.4</v>
      </c>
      <c r="E36" s="6" t="n">
        <v>30.6</v>
      </c>
      <c r="F36" s="6" t="n">
        <v>34.1</v>
      </c>
      <c r="G36" s="6" t="n"/>
      <c r="H36" s="6" t="n"/>
      <c r="I36" s="6" t="n"/>
      <c r="J36" s="6" t="n"/>
    </row>
    <row r="37">
      <c r="A37" s="6" t="inlineStr">
        <is>
          <t>16    Total net cash outflows (adjusted value)</t>
        </is>
      </c>
      <c r="B37" s="6" t="n">
        <v>57</v>
      </c>
      <c r="C37" s="6" t="n">
        <v>23.7</v>
      </c>
      <c r="D37" s="6" t="n">
        <v>22.6</v>
      </c>
      <c r="E37" s="6" t="n">
        <v>43.2</v>
      </c>
      <c r="F37" s="6" t="n">
        <v>47.2</v>
      </c>
      <c r="G37" s="6" t="n"/>
      <c r="H37" s="6" t="n"/>
      <c r="I37" s="6" t="n"/>
      <c r="J37" s="6" t="n"/>
    </row>
    <row r="38">
      <c r="A38" s="6" t="inlineStr">
        <is>
          <t>17    Liquidity coverage ratio (%)</t>
        </is>
      </c>
      <c r="B38" s="6" t="inlineStr">
        <is>
          <t>350%</t>
        </is>
      </c>
      <c r="C38" s="6" t="inlineStr">
        <is>
          <t>201%</t>
        </is>
      </c>
      <c r="D38" s="6" t="inlineStr">
        <is>
          <t>647%</t>
        </is>
      </c>
      <c r="E38" s="6" t="inlineStr">
        <is>
          <t>384%</t>
        </is>
      </c>
      <c r="F38" s="6" t="inlineStr">
        <is>
          <t>405.1%</t>
        </is>
      </c>
      <c r="G38" s="6" t="n"/>
      <c r="H38" s="6" t="n"/>
      <c r="I38" s="6" t="n"/>
      <c r="J38" s="6" t="n"/>
    </row>
    <row r="39">
      <c r="A39" s="5" t="inlineStr">
        <is>
          <t>Net Stable Funding Ratio ($ million / %)</t>
        </is>
      </c>
      <c r="B39" s="6" t="n"/>
      <c r="C39" s="6" t="n"/>
      <c r="D39" s="6" t="n"/>
      <c r="E39" s="6" t="n"/>
      <c r="F39" s="6" t="n"/>
      <c r="G39" s="6" t="n"/>
      <c r="H39" s="6" t="n"/>
      <c r="I39" s="6" t="n"/>
      <c r="J39" s="6" t="n"/>
    </row>
    <row r="40">
      <c r="A40" s="6" t="inlineStr">
        <is>
          <t>18    Total available stable funding</t>
        </is>
      </c>
      <c r="B40" s="6" t="n">
        <v>1050.9</v>
      </c>
      <c r="C40" s="6" t="n">
        <v>841.2</v>
      </c>
      <c r="D40" s="6" t="n">
        <v>801.2</v>
      </c>
      <c r="E40" s="6" t="n">
        <v>819.1</v>
      </c>
      <c r="F40" s="6" t="n">
        <v>842.6</v>
      </c>
      <c r="G40" s="6" t="n"/>
      <c r="H40" s="6" t="n"/>
      <c r="I40" s="6" t="n"/>
      <c r="J40" s="6" t="n"/>
    </row>
    <row r="41">
      <c r="A41" s="6" t="inlineStr">
        <is>
          <t>19    Total required stable funding</t>
        </is>
      </c>
      <c r="B41" s="6" t="n">
        <v>891.4</v>
      </c>
      <c r="C41" s="6" t="n">
        <v>693</v>
      </c>
      <c r="D41" s="6" t="n">
        <v>618.8</v>
      </c>
      <c r="E41" s="6" t="n">
        <v>613.3</v>
      </c>
      <c r="F41" s="6" t="n">
        <v>657.4</v>
      </c>
      <c r="G41" s="6" t="n"/>
      <c r="H41" s="6" t="n"/>
      <c r="I41" s="6" t="n"/>
      <c r="J41" s="6" t="n"/>
    </row>
    <row r="42">
      <c r="A42" s="6" t="inlineStr">
        <is>
          <t>20    NSFR ratio (%)</t>
        </is>
      </c>
      <c r="B42" s="6" t="inlineStr">
        <is>
          <t>118%</t>
        </is>
      </c>
      <c r="C42" s="6" t="inlineStr">
        <is>
          <t>121%</t>
        </is>
      </c>
      <c r="D42" s="6" t="inlineStr">
        <is>
          <t>130%</t>
        </is>
      </c>
      <c r="E42" s="6" t="inlineStr">
        <is>
          <t>135%</t>
        </is>
      </c>
      <c r="F42" s="6" t="inlineStr">
        <is>
          <t>128.2%</t>
        </is>
      </c>
      <c r="G42" s="6" t="n"/>
      <c r="H42" s="6" t="n"/>
      <c r="I42" s="6" t="n"/>
      <c r="J42" s="6" t="n"/>
    </row>
    <row r="43">
      <c r="A43" s="5" t="inlineStr">
        <is>
          <t>Table KM1 — Key metrics, PRE-2022 Basel III version, as printed in the FY2019–FY2021 editions ($ million / %). A SEPARATE TEMPLATE: the row numbers below are NOT the UK rows above — plain '7a' here is the fully-loaded total capital ratio, not a SREP requirement.</t>
        </is>
      </c>
      <c r="B43" s="6" t="n"/>
      <c r="C43" s="6" t="n"/>
      <c r="D43" s="6" t="n"/>
      <c r="E43" s="6" t="n"/>
      <c r="F43" s="6" t="n"/>
      <c r="G43" s="6" t="n"/>
      <c r="H43" s="6" t="n"/>
      <c r="I43" s="6" t="n"/>
      <c r="J43" s="6" t="n"/>
    </row>
    <row r="44">
      <c r="A44" s="5" t="inlineStr">
        <is>
          <t>Available capital ($ million)</t>
        </is>
      </c>
      <c r="B44" s="6" t="n"/>
      <c r="C44" s="6" t="n"/>
      <c r="D44" s="6" t="n"/>
      <c r="E44" s="6" t="n"/>
      <c r="F44" s="6" t="n"/>
      <c r="G44" s="6" t="n"/>
      <c r="H44" s="6" t="n"/>
      <c r="I44" s="6" t="n"/>
      <c r="J44" s="6" t="n"/>
    </row>
    <row r="45">
      <c r="A45" s="6" t="inlineStr">
        <is>
          <t>1    Common equity tier 1 (CET 1)</t>
        </is>
      </c>
      <c r="B45" s="6" t="n"/>
      <c r="C45" s="6" t="n"/>
      <c r="D45" s="6" t="n"/>
      <c r="E45" s="6" t="n"/>
      <c r="F45" s="6" t="n"/>
      <c r="G45" s="6" t="n">
        <v>134.4</v>
      </c>
      <c r="H45" s="6" t="n">
        <v>146.1</v>
      </c>
      <c r="I45" s="6" t="n">
        <v>150.4</v>
      </c>
      <c r="J45" s="6" t="n">
        <v>142.8</v>
      </c>
    </row>
    <row r="46">
      <c r="A46" s="6" t="inlineStr">
        <is>
          <t>1a    Fully loaded ECL accounting model</t>
        </is>
      </c>
      <c r="B46" s="6" t="n"/>
      <c r="C46" s="6" t="n"/>
      <c r="D46" s="6" t="n"/>
      <c r="E46" s="6" t="n"/>
      <c r="F46" s="6" t="n"/>
      <c r="G46" s="6" t="n">
        <v>132.9</v>
      </c>
      <c r="H46" s="6" t="n">
        <v>144.3</v>
      </c>
      <c r="I46" s="6" t="n">
        <v>146.4</v>
      </c>
      <c r="J46" s="6" t="inlineStr">
        <is>
          <t>-</t>
        </is>
      </c>
    </row>
    <row r="47">
      <c r="A47" s="6" t="inlineStr">
        <is>
          <t>2    Tier 1</t>
        </is>
      </c>
      <c r="B47" s="6" t="n"/>
      <c r="C47" s="6" t="n"/>
      <c r="D47" s="6" t="n"/>
      <c r="E47" s="6" t="n"/>
      <c r="F47" s="6" t="n"/>
      <c r="G47" s="6" t="n">
        <v>179.4</v>
      </c>
      <c r="H47" s="6" t="n">
        <v>191.1</v>
      </c>
      <c r="I47" s="6" t="n">
        <v>195.4</v>
      </c>
      <c r="J47" s="6" t="n">
        <v>187.8</v>
      </c>
    </row>
    <row r="48">
      <c r="A48" s="6" t="inlineStr">
        <is>
          <t>2a    Fully loaded ECL accounting model Tier 1</t>
        </is>
      </c>
      <c r="B48" s="6" t="n"/>
      <c r="C48" s="6" t="n"/>
      <c r="D48" s="6" t="n"/>
      <c r="E48" s="6" t="n"/>
      <c r="F48" s="6" t="n"/>
      <c r="G48" s="6" t="n">
        <v>177.9</v>
      </c>
      <c r="H48" s="6" t="n">
        <v>189.3</v>
      </c>
      <c r="I48" s="6" t="n">
        <v>191.4</v>
      </c>
      <c r="J48" s="6" t="inlineStr">
        <is>
          <t>-</t>
        </is>
      </c>
    </row>
    <row r="49">
      <c r="A49" s="6" t="inlineStr">
        <is>
          <t>3    Total Capital</t>
        </is>
      </c>
      <c r="B49" s="6" t="n"/>
      <c r="C49" s="6" t="n"/>
      <c r="D49" s="6" t="n"/>
      <c r="E49" s="6" t="n"/>
      <c r="F49" s="6" t="n"/>
      <c r="G49" s="6" t="n">
        <v>206.6</v>
      </c>
      <c r="H49" s="6" t="n">
        <v>225.7</v>
      </c>
      <c r="I49" s="6" t="n">
        <v>236.3</v>
      </c>
      <c r="J49" s="6" t="n">
        <v>237.2</v>
      </c>
    </row>
    <row r="50">
      <c r="A50" s="6" t="inlineStr">
        <is>
          <t>3a    Fully loaded ECL accounting model total capital</t>
        </is>
      </c>
      <c r="B50" s="6" t="n"/>
      <c r="C50" s="6" t="n"/>
      <c r="D50" s="6" t="n"/>
      <c r="E50" s="6" t="n"/>
      <c r="F50" s="6" t="n"/>
      <c r="G50" s="6" t="n">
        <v>205.1</v>
      </c>
      <c r="H50" s="6" t="n">
        <v>223.9</v>
      </c>
      <c r="I50" s="6" t="n">
        <v>232.3</v>
      </c>
      <c r="J50" s="6" t="inlineStr">
        <is>
          <t>--</t>
        </is>
      </c>
    </row>
    <row r="51">
      <c r="A51" s="5" t="inlineStr">
        <is>
          <t>Risk weighted assets (RWA) ($ million)</t>
        </is>
      </c>
      <c r="B51" s="6" t="n"/>
      <c r="C51" s="6" t="n"/>
      <c r="D51" s="6" t="n"/>
      <c r="E51" s="6" t="n"/>
      <c r="F51" s="6" t="n"/>
      <c r="G51" s="6" t="n"/>
      <c r="H51" s="6" t="n"/>
      <c r="I51" s="6" t="n"/>
      <c r="J51" s="6" t="n"/>
    </row>
    <row r="52">
      <c r="A52" s="6" t="inlineStr">
        <is>
          <t>4    Total RWA</t>
        </is>
      </c>
      <c r="B52" s="6" t="n"/>
      <c r="C52" s="6" t="n"/>
      <c r="D52" s="6" t="n"/>
      <c r="E52" s="6" t="n"/>
      <c r="F52" s="6" t="n"/>
      <c r="G52" s="6" t="n">
        <v>784.6</v>
      </c>
      <c r="H52" s="6" t="n">
        <v>755.9</v>
      </c>
      <c r="I52" s="6" t="n">
        <v>797.6</v>
      </c>
      <c r="J52" s="6" t="n">
        <v>906.2</v>
      </c>
    </row>
    <row r="53">
      <c r="A53" s="5" t="inlineStr">
        <is>
          <t>Risk weighted capital ratios as a % of RWA</t>
        </is>
      </c>
      <c r="B53" s="6" t="n"/>
      <c r="C53" s="6" t="n"/>
      <c r="D53" s="6" t="n"/>
      <c r="E53" s="6" t="n"/>
      <c r="F53" s="6" t="n"/>
      <c r="G53" s="6" t="n"/>
      <c r="H53" s="6" t="n"/>
      <c r="I53" s="6" t="n"/>
      <c r="J53" s="6" t="n"/>
    </row>
    <row r="54">
      <c r="A54" s="6" t="inlineStr">
        <is>
          <t>5    Common equity tier 1 ratio (%)</t>
        </is>
      </c>
      <c r="B54" s="6" t="n"/>
      <c r="C54" s="6" t="n"/>
      <c r="D54" s="6" t="n"/>
      <c r="E54" s="6" t="n"/>
      <c r="F54" s="6" t="n"/>
      <c r="G54" s="6" t="inlineStr">
        <is>
          <t>17.1%</t>
        </is>
      </c>
      <c r="H54" s="6" t="inlineStr">
        <is>
          <t>19.3%</t>
        </is>
      </c>
      <c r="I54" s="6" t="inlineStr">
        <is>
          <t>18.9%</t>
        </is>
      </c>
      <c r="J54" s="6" t="inlineStr">
        <is>
          <t>15.8%</t>
        </is>
      </c>
    </row>
    <row r="55">
      <c r="A55" s="6" t="inlineStr">
        <is>
          <t>5a    Fully loaded ECL accounting model Common equity tier 1 ratio (%)</t>
        </is>
      </c>
      <c r="B55" s="6" t="n"/>
      <c r="C55" s="6" t="n"/>
      <c r="D55" s="6" t="n"/>
      <c r="E55" s="6" t="n"/>
      <c r="F55" s="6" t="n"/>
      <c r="G55" s="6" t="inlineStr">
        <is>
          <t>17.0%</t>
        </is>
      </c>
      <c r="H55" s="6" t="inlineStr">
        <is>
          <t>19.1%</t>
        </is>
      </c>
      <c r="I55" s="6" t="inlineStr">
        <is>
          <t>18.4%</t>
        </is>
      </c>
      <c r="J55" s="6" t="inlineStr">
        <is>
          <t>-</t>
        </is>
      </c>
    </row>
    <row r="56">
      <c r="A56" s="6" t="inlineStr">
        <is>
          <t>6    Tier 1 ratio (%)</t>
        </is>
      </c>
      <c r="B56" s="6" t="n"/>
      <c r="C56" s="6" t="n"/>
      <c r="D56" s="6" t="n"/>
      <c r="E56" s="6" t="n"/>
      <c r="F56" s="6" t="n"/>
      <c r="G56" s="6" t="inlineStr">
        <is>
          <t>22.9%</t>
        </is>
      </c>
      <c r="H56" s="6" t="inlineStr">
        <is>
          <t>25.3%</t>
        </is>
      </c>
      <c r="I56" s="6" t="inlineStr">
        <is>
          <t>24.5%</t>
        </is>
      </c>
      <c r="J56" s="6" t="inlineStr">
        <is>
          <t>20.7%</t>
        </is>
      </c>
    </row>
    <row r="57">
      <c r="A57" s="6" t="inlineStr">
        <is>
          <t>6a    Fully loaded ECL accounting model Tier 1 ratio (%)</t>
        </is>
      </c>
      <c r="B57" s="6" t="n"/>
      <c r="C57" s="6" t="n"/>
      <c r="D57" s="6" t="n"/>
      <c r="E57" s="6" t="n"/>
      <c r="F57" s="6" t="n"/>
      <c r="G57" s="6" t="inlineStr">
        <is>
          <t>22.7%</t>
        </is>
      </c>
      <c r="H57" s="6" t="inlineStr">
        <is>
          <t>25.0%</t>
        </is>
      </c>
      <c r="I57" s="6" t="inlineStr">
        <is>
          <t>24.0%</t>
        </is>
      </c>
      <c r="J57" s="6" t="inlineStr">
        <is>
          <t>-</t>
        </is>
      </c>
    </row>
    <row r="58">
      <c r="A58" s="6" t="inlineStr">
        <is>
          <t>7    Total capital ratio (%)</t>
        </is>
      </c>
      <c r="B58" s="6" t="n"/>
      <c r="C58" s="6" t="n"/>
      <c r="D58" s="6" t="n"/>
      <c r="E58" s="6" t="n"/>
      <c r="F58" s="6" t="n"/>
      <c r="G58" s="6" t="inlineStr">
        <is>
          <t>26.3%</t>
        </is>
      </c>
      <c r="H58" s="6" t="inlineStr">
        <is>
          <t>29.9%</t>
        </is>
      </c>
      <c r="I58" s="6" t="inlineStr">
        <is>
          <t>29.6%</t>
        </is>
      </c>
      <c r="J58" s="6" t="inlineStr">
        <is>
          <t>26.2%</t>
        </is>
      </c>
    </row>
    <row r="59">
      <c r="A59" s="6" t="inlineStr">
        <is>
          <t>7a    Fully loaded ECL accounting model Total capital ratio (%)</t>
        </is>
      </c>
      <c r="B59" s="6" t="n"/>
      <c r="C59" s="6" t="n"/>
      <c r="D59" s="6" t="n"/>
      <c r="E59" s="6" t="n"/>
      <c r="F59" s="6" t="n"/>
      <c r="G59" s="6" t="inlineStr">
        <is>
          <t>26.1%</t>
        </is>
      </c>
      <c r="H59" s="6" t="inlineStr">
        <is>
          <t>29.6%</t>
        </is>
      </c>
      <c r="I59" s="6" t="inlineStr">
        <is>
          <t>29.1%</t>
        </is>
      </c>
      <c r="J59" s="6" t="inlineStr">
        <is>
          <t>-</t>
        </is>
      </c>
    </row>
    <row r="60">
      <c r="A60" s="5" t="inlineStr">
        <is>
          <t>Additional CET 1 buffer requirements as a % of RWA</t>
        </is>
      </c>
      <c r="B60" s="6" t="n"/>
      <c r="C60" s="6" t="n"/>
      <c r="D60" s="6" t="n"/>
      <c r="E60" s="6" t="n"/>
      <c r="F60" s="6" t="n"/>
      <c r="G60" s="6" t="n"/>
      <c r="H60" s="6" t="n"/>
      <c r="I60" s="6" t="n"/>
      <c r="J60" s="6" t="n"/>
    </row>
    <row r="61">
      <c r="A61" s="6" t="inlineStr">
        <is>
          <t>8    Capital conservation buffer requirement (%)</t>
        </is>
      </c>
      <c r="B61" s="6" t="n"/>
      <c r="C61" s="6" t="n"/>
      <c r="D61" s="6" t="n"/>
      <c r="E61" s="6" t="n"/>
      <c r="F61" s="6" t="n"/>
      <c r="G61" s="6" t="inlineStr">
        <is>
          <t>2.5%</t>
        </is>
      </c>
      <c r="H61" s="6" t="inlineStr">
        <is>
          <t>2.50%</t>
        </is>
      </c>
      <c r="I61" s="6" t="inlineStr">
        <is>
          <t>2.9%</t>
        </is>
      </c>
      <c r="J61" s="6" t="inlineStr">
        <is>
          <t>1.88%</t>
        </is>
      </c>
    </row>
    <row r="62">
      <c r="A62" s="6" t="inlineStr">
        <is>
          <t>9    Countercyclical buffer requirement (%)</t>
        </is>
      </c>
      <c r="B62" s="6" t="n"/>
      <c r="C62" s="6" t="n"/>
      <c r="D62" s="6" t="n"/>
      <c r="E62" s="6" t="n"/>
      <c r="F62" s="6" t="n"/>
      <c r="G62" s="6" t="inlineStr">
        <is>
          <t>0.0%</t>
        </is>
      </c>
      <c r="H62" s="6" t="inlineStr">
        <is>
          <t>0.02%</t>
        </is>
      </c>
      <c r="I62" s="6" t="inlineStr">
        <is>
          <t>0.01%</t>
        </is>
      </c>
      <c r="J62" s="6" t="inlineStr">
        <is>
          <t>0.02%</t>
        </is>
      </c>
    </row>
    <row r="63">
      <c r="A63" s="6" t="inlineStr">
        <is>
          <t>11    Total of bank's CET 1 specific buffer requirements (%)</t>
        </is>
      </c>
      <c r="B63" s="6" t="n"/>
      <c r="C63" s="6" t="n"/>
      <c r="D63" s="6" t="n"/>
      <c r="E63" s="6" t="n"/>
      <c r="F63" s="6" t="n"/>
      <c r="G63" s="6" t="inlineStr">
        <is>
          <t>2.5%</t>
        </is>
      </c>
      <c r="H63" s="6" t="inlineStr">
        <is>
          <t>2.52%</t>
        </is>
      </c>
      <c r="I63" s="6" t="inlineStr">
        <is>
          <t>2.9%</t>
        </is>
      </c>
      <c r="J63" s="6" t="inlineStr">
        <is>
          <t>1.9%</t>
        </is>
      </c>
    </row>
    <row r="64">
      <c r="A64" s="6" t="inlineStr">
        <is>
          <t>12    CET 1 available after meeting bank's minimum capital requirements (%)</t>
        </is>
      </c>
      <c r="B64" s="6" t="n"/>
      <c r="C64" s="6" t="n"/>
      <c r="D64" s="6" t="n"/>
      <c r="E64" s="6" t="n"/>
      <c r="F64" s="6" t="n"/>
      <c r="G64" s="6" t="inlineStr">
        <is>
          <t>6.8%</t>
        </is>
      </c>
      <c r="H64" s="6" t="inlineStr">
        <is>
          <t>8.1%</t>
        </is>
      </c>
      <c r="I64" s="6" t="inlineStr">
        <is>
          <t>7.4%</t>
        </is>
      </c>
      <c r="J64" s="6" t="inlineStr">
        <is>
          <t>5.1%</t>
        </is>
      </c>
    </row>
    <row r="65">
      <c r="A65" s="5" t="inlineStr">
        <is>
          <t>Basel III leverage ratio ($ million / %)</t>
        </is>
      </c>
      <c r="B65" s="6" t="n"/>
      <c r="C65" s="6" t="n"/>
      <c r="D65" s="6" t="n"/>
      <c r="E65" s="6" t="n"/>
      <c r="F65" s="6" t="n"/>
      <c r="G65" s="6" t="n"/>
      <c r="H65" s="6" t="n"/>
      <c r="I65" s="6" t="n"/>
      <c r="J65" s="6" t="n"/>
    </row>
    <row r="66">
      <c r="A66" s="6" t="inlineStr">
        <is>
          <t>13    Total Basel III leverage ratio exposure measure</t>
        </is>
      </c>
      <c r="B66" s="6" t="n"/>
      <c r="C66" s="6" t="n"/>
      <c r="D66" s="6" t="n"/>
      <c r="E66" s="6" t="n"/>
      <c r="F66" s="6" t="n"/>
      <c r="G66" s="6" t="n">
        <v>1035.7</v>
      </c>
      <c r="H66" s="6" t="n">
        <v>937.4</v>
      </c>
      <c r="I66" s="6" t="n">
        <v>1290.7</v>
      </c>
      <c r="J66" s="6" t="n">
        <v>1451.6</v>
      </c>
    </row>
    <row r="67">
      <c r="A67" s="6" t="inlineStr">
        <is>
          <t>14    Basel III leverage ratio (%)</t>
        </is>
      </c>
      <c r="B67" s="6" t="n"/>
      <c r="C67" s="6" t="n"/>
      <c r="D67" s="6" t="n"/>
      <c r="E67" s="6" t="n"/>
      <c r="F67" s="6" t="n"/>
      <c r="G67" s="6" t="inlineStr">
        <is>
          <t>17.3%</t>
        </is>
      </c>
      <c r="H67" s="6" t="inlineStr">
        <is>
          <t>20.4%</t>
        </is>
      </c>
      <c r="I67" s="6" t="inlineStr">
        <is>
          <t>15.1%</t>
        </is>
      </c>
      <c r="J67" s="6" t="inlineStr">
        <is>
          <t>12.9%</t>
        </is>
      </c>
    </row>
    <row r="68">
      <c r="A68" s="6" t="inlineStr">
        <is>
          <t>14a    Fully loaded ECL accounting model Basel III leverage ratio (%)</t>
        </is>
      </c>
      <c r="B68" s="6" t="n"/>
      <c r="C68" s="6" t="n"/>
      <c r="D68" s="6" t="n"/>
      <c r="E68" s="6" t="n"/>
      <c r="F68" s="6" t="n"/>
      <c r="G68" s="6" t="inlineStr">
        <is>
          <t>17.2%</t>
        </is>
      </c>
      <c r="H68" s="6" t="inlineStr">
        <is>
          <t>20.2%</t>
        </is>
      </c>
      <c r="I68" s="6" t="inlineStr">
        <is>
          <t>14.8%</t>
        </is>
      </c>
      <c r="J68" s="6" t="inlineStr">
        <is>
          <t>-</t>
        </is>
      </c>
    </row>
    <row r="69">
      <c r="A69" s="5" t="inlineStr">
        <is>
          <t>Liquidity coverage ratio ($ million / %)</t>
        </is>
      </c>
      <c r="B69" s="6" t="n"/>
      <c r="C69" s="6" t="n"/>
      <c r="D69" s="6" t="n"/>
      <c r="E69" s="6" t="n"/>
      <c r="F69" s="6" t="n"/>
      <c r="G69" s="6" t="n"/>
      <c r="H69" s="6" t="n"/>
      <c r="I69" s="6" t="n"/>
      <c r="J69" s="6" t="n"/>
    </row>
    <row r="70">
      <c r="A70" s="6" t="inlineStr">
        <is>
          <t>15    Total HQLA</t>
        </is>
      </c>
      <c r="B70" s="6" t="n"/>
      <c r="C70" s="6" t="n"/>
      <c r="D70" s="6" t="n"/>
      <c r="E70" s="6" t="n"/>
      <c r="F70" s="6" t="n"/>
      <c r="G70" s="6" t="n">
        <v>239.4</v>
      </c>
      <c r="H70" s="6" t="n">
        <v>102.3</v>
      </c>
      <c r="I70" s="6" t="n">
        <v>75.90000000000001</v>
      </c>
      <c r="J70" s="6" t="n">
        <v>167</v>
      </c>
    </row>
    <row r="71">
      <c r="A71" s="6" t="inlineStr">
        <is>
          <t>16    Total net cash outflow</t>
        </is>
      </c>
      <c r="B71" s="6" t="n"/>
      <c r="C71" s="6" t="n"/>
      <c r="D71" s="6" t="n"/>
      <c r="E71" s="6" t="n"/>
      <c r="F71" s="6" t="n"/>
      <c r="G71" s="6" t="n">
        <v>32</v>
      </c>
      <c r="H71" s="6" t="n">
        <v>25.4</v>
      </c>
      <c r="I71" s="6" t="n">
        <v>14.5</v>
      </c>
      <c r="J71" s="6" t="n">
        <v>16.3</v>
      </c>
    </row>
    <row r="72">
      <c r="A72" s="6" t="inlineStr">
        <is>
          <t>17    LCR ratio (%)</t>
        </is>
      </c>
      <c r="B72" s="6" t="n"/>
      <c r="C72" s="6" t="n"/>
      <c r="D72" s="6" t="n"/>
      <c r="E72" s="6" t="n"/>
      <c r="F72" s="6" t="n"/>
      <c r="G72" s="6" t="inlineStr">
        <is>
          <t>748%</t>
        </is>
      </c>
      <c r="H72" s="6" t="inlineStr">
        <is>
          <t>403%</t>
        </is>
      </c>
      <c r="I72" s="6" t="inlineStr">
        <is>
          <t>524%</t>
        </is>
      </c>
      <c r="J72" s="6" t="inlineStr">
        <is>
          <t>1027%</t>
        </is>
      </c>
    </row>
    <row r="74" ht="409" customHeight="1">
      <c r="A74" s="8" t="inlineStr">
        <is>
          <t>Sources - PNBIL's own key-metrics template, SOLO basis. FY2019 through FY2026 are each taken from THAT YEAR'S OWN edition (that edition's own reporting-date column). FY2018 is the single exception and is flagged as such below - it is the FY2019 edition's comparative column, used because PNBIL's own FY2018 edition prints no key-metrics table of any kind. Amounts in $ MILLION, the Bank's own Pillar 3 currency - not the £m used on the other sheets in this workbook. The FY2022 edition states it in terms: 'The Pillar 3 disclosures are presented in US Dollars as this is functional currency of the Bank.'
FY2026: Pillar 3 Disclosures for the year ended 31 March 2026, section 1.9 'UK KM1 - Key metrics template', printed pp.6-7 - https://www.pnbint.com/PNBIL/pdf/Financial_Reports/Basel-III-Pillar-3-Disclosure-31-03-2026.pdf
FY2025: 31 March 2025 edition, section 1.9, printed pp.6-7 - https://www.pnbint.com/PNBIL/pdf/Financial_Reports/Basel%20III%20Pillar%203%20Disclosures%2031-03-2025.pdf
FY2024: 31 March 2024 edition, section 1.9, printed pp.6-7 - https://www.pnbint.com/PNBIL/pdf/Financial_Reports/Basel_III_Pillar_3_Disclosures%2031-03-2024.pdf
FY2023: 31 March 2023 edition, section 1.9, printed pp.6-7 - https://www.pnbint.com/PNBIL/pdf/Financial_Reports/PNBIL%20Pillar%20III%20Disclosures%20Publish%20Version.pdf
FY2022: 31 March 2022 edition, Appendix 1 'UK KM1 - Key metrics template', printed pp.24-25 - https://www.pnbint.com/PNBIL/pdf/Financial_Reports/Basel%20III%20Pillar%203%20Disclosures%20%2031-03-2022.pdf
FY2021: 31 March 2021 edition, 'Key metrics - Table KM1', printed p.3 - https://www.pnbint.com/PNBIL/pdf/Financial_Reports/Basel%20III%20Pillar%203%20Disclosures%20%2031-03-2021.pdf
FY2020: 31 March 2020 edition, 'Key metrics - Table KM1', printed p.3 - https://www.pnbint.com/PNBIL/pdf/Financial_Reports/Pillar_3_Disclosure_%2031st_March_2020.pdf
FY2019: 31 March 2019 edition, 'Table KM1: Key metrics', printed p.3 - https://www.pnbint.com/PNBIL/pdf/Financial_Reports/PILLAR%20III%20-%2031.03.2019%20-%20FINAL.pdf
FY2018 (NOT AN OWN-EDITION COLUMN): the SAME 31 March 2019 edition, 'Table KM1: Key metrics', printed p.3, COMPARATIVE COLUMN headed 2018 - https://www.pnbint.com/PNBIL/pdf/Financial_Reports/PILLAR%20III%20-%2031.03.2019%20-%20FINAL.pdf
CITATION CORRECTION, 17 September 2026 (map rule 26 - cite the printed folio, never the PDF sheet index). The three pre-2022 editions were cited above as 'printed p.2' until today. That was wrong in all three: in each of the FY2019, FY2020 and FY2021 documents the contents page carries the footer '2' and the key-metrics page carries the footer '3'. The table is on PRINTED PAGE 3. Checked page by page in each document by reading its own footer, not by counting PDF sheets (the offset happens to be zero in all three, so the error was in the original reading rather than in an offset).
LATEST-EDITION CHECK, 16 September 2026. PNBIL's own library at pnbint.com (https://www.pnbint.com/PNBIL/About-Us/Financial-Report) was listed directly rather than relying on the URLs already cited in this script. The NEWEST Pillar 3 on it is 'Basel-III-Pillar-3-Disclosure-31-03-2026.pdf' and the newest Annual Report is 'PNBIL-Annual-Report-2026.pdf' - BOTH already carried by this workbook as FY2026. The Bank's year end is 31 March, so the next edition (31 March 2027) does not yet exist. Nothing newer to transcribe; YEARS is unchanged. Every document read for this sheet was verified by HTTP status, Content-Type AND %PDF magic bytes. (Note the site's own navigation links /financial-reports and /regulatory-disclosures both return HTTP 500; the working path is /PNBIL/About-Us/Financial-Report.) PNBIL publishes NO half-year Pillar 3 that could serve as a second opinion - its own Article 433c compliance table marks 'the key metrics referred to in Article 447 on a semi-annual basis' as 'Not applicable'.
TWO DIFFERENT TEMPLATES, SHOWN AS TWO SEPARATE BLOCKS AND DELIBERATELY NOT MERGED.
• FY2022-FY2026 use the UK KM1 template introduced with the PRA's Disclosure (CRR) Part.
• FY2019-FY2021 use the PRE-2022 Basel III 'Table KM1', a genuinely different template: different section captions ('Available capital', 'Risk weighted assets (RWA)', 'Basel III leverage ratio'), IFRS 9 fully-loaded twin rows (1a/2a/3a/5a/6a/7a/14a) that the UK version does not carry, NO SREP rows at all, and NO NSFR rows at all.
• THE ROW NUMBERS COLLIDE AND MEAN DIFFERENT THINGS. In the UK template 'UK 7a' is 'Additional CET1 SREP requirements'; in the pre-2022 template plain '7a' is 'Fully loaded ECL accounting model Total capital ratio'. Rows 8/9/11/12 are UK buffer rows in one block and Basel 'Additional CET 1 buffer requirements' rows in the other, and row 16 is 'Total net cash outflows (adjusted value)' against 'Total net cash outflow'. Mapping one onto the other would invent a correspondence PNBIL never published, so the two are kept as separate caption blocks and no row spans the break.
• PNBIL's NSFR for FY2019-FY2021 is therefore NOT on this sheet: that template has no NSFR row. The FY2021 figure on the NSFR metric sheet (146%) comes from a separate 'Key Liquidity Metrics' table at printed p.10 of the FY2021 edition, not from a KM1 row.</t>
        </is>
      </c>
    </row>
    <row r="76" ht="409" customHeight="1">
      <c r="A76" s="8" t="inlineStr">
        <is>
          <t>(continued)
WHY FY2018 IS FILLED FROM THE FY2019 EDITION, AND FY2017 AND EARLIER ARE NOT (revised 17 September 2026). PNBIL'S OWN FY2018 EDITION PRINTS NO KEY-METRICS TABLE OF ANY KIND - not a template with rows left blank, but no template, and therefore no own-edition disclosure for a later comparative to displace. That absence is a finding rather than a failed search, and it was re-established from the document on 17 September 2026 before this column was filled: the FY2018 edition's OWN CONTENTS PAGE runs Overview / Risk Management Overview / Risk Appetite Framework / Capital Resources / Capital Requirements / Leverage / Asset Encumbrance / Liquidity / Credit Risk / Credit Risk Mitigation / Securitization Exposures &amp; Market Risk / Operational Risk / IRRBB / Counterparty Credit Risk / Remuneration Policy / Annexures I-III - NO key-metrics section at any level. Extraction from the 40-page PDF is RICH (97 hits for 'capital', 67 for 'ratio', 18 for 'buffer', 17 for 'leverage'), which is what makes its ZERO hits for 'KM1' evidence about the document; and its single 'key metrics' hit is a narrative sentence introducing bullet points about risk-appetite limits, not a table.
THE FY2019 EDITION'S COMPARATIVE COLUMN, headed 2018, carries the complete pre-2022 Basel III Table KM1 for 31 March 2018, and THAT IS WHAT THIS SHEET'S FY2018 NOW CARRIES. It is placed in the PRE-2022 BASEL BLOCK below, never in the UK block, because that is the template it is printed in - putting it anywhere else would map one template's row numbers onto the other's and invent a correspondence PNBIL never published.
SEVEN ROWS OF THAT COLUMN ARE PRINTED AS DASHES AND CARRY THE DASH: the fully-loaded ECL rows 1a, 2a, 5a, 6a, 7a and 14a are printed '-', and row 3a is printed '--'. Two different missing-value glyphs in one column, and the sheet shows each as printed rather than flattening them together - normalising the two would assert they mean the same thing, which PNBIL never said. Neither is a zero and neither is derived. So FY2018 carries 16 figures and 7 dashes, exactly as the Bank printed it. The dash is PNBIL saying the fully-loaded twin does not apply to it (it had not made the IFRS 9 transitional election, so there was no separate fully-loaded figure to report), which is a different statement from having published nothing at all.
A SECOND TABLE IN THE SAME DOCUMENT CORROBORATES FIVE OF THEM (map rule 23). Immediately beneath the template, the FY2019 edition prints its own 'Key metrics' summary strip, each tile carrying a 'Mar 2018' line: CET 1 ratio 15.8%, Total capital ratio 26.2%, Leverage ratio 12.9%, LCR 1027%, Total RWA $906.2mn. All five reproduce the comparative column exactly, independently of the template.
The column is also internally consistent: 142.8 / 906.2 = 15.76% against a printed 15.8%; 187.8 / 906.2 = 20.72% against 20.7%; 237.2 / 906.2 = 26.17% against 26.2%; and 187.8 / 1451.6 = 12.94% against a printed leverage ratio of 12.9%.
This reverses the treatment this sheet carried until 17 September 2026, which left FY2018 blank and quoted the comparative in this note instead. The evidence above is unchanged; only the conclusion drawn from it has changed, so that a BLANK on this sheet now means one thing only: PNBIL has never published that figure, in any edition, on any basis.
FY2017 AND EARLIER REMAIN BLANK for exactly that reason - no edition anywhere prints them in either template's form, the FY2018 edition (which would have been the only possible source of a 2017 comparative) printing no key-metrics table at all.
A DASH IS A DASH AND A PRINTED ZERO IS A ZERO (and a later edition's zero does not fill an earlier edition's missing row). Rows UK 8a, UK 9a, 10 and UK 10a are printed '-' in every FY2022-FY2026 edition and carry that dash here. Each of the five years was read in its OWN edition - the FY2026, FY2025, FY2024, FY2023 and FY2022 PDFs were each re-fetched and re-read on 2026-09-18 - never from a later edition's comparative column. Row 9 is a printed '0.0%' for FY2022 and a printed '0.02%'/'0.01%' for FY2020/FY2019 - disclosed zeroes and near-zeroes, kept as printed and never tidied into dashes.
PRECISION IS THE BANK'S OWN AND DRIFTS BETWEEN EDITIONS (rule: keep it). The FY2022 edition prints LCR 405.1% and NSFR 128.2%; the FY2023 edition rounds the same 2022 figures to 405% and 128%. The FY2021 edition prints the conservation buffer as '2.5%' where the FY2020 edition prints '2.50%'. Each cell above is as its own edition printed it, so precision varies along a row. That is not an error.
DIVERGENCES BETWEEN AN EDITION AND A LATER EDITION'S COMPARATIVE - RECORDED, NOT RECONCILED:
• FY2019 rows 13 and 14: the FY2019 edition prints exposure 1290.7 and leverage 15.1%; the FY2020 edition's 2019 comparative prints 1,034.2 and 18.9%. That is a restatement of the leverage exposure measure, not a rounding difference - the same edition's own 2018 comparative prints 1451.6. This sheet and the Leverage Ratio metric sheet both carry the FY2019 own-edition 15.1%, and a SECOND TABLE IN THAT SAME DOCUMENT settles it: immediately beneath the KM1, the FY2019 edition prints its own 'Key metrics' summary strip - CET 1 ratio 18.9%, Total capital ratio 29.6%, Leverage ratio 15.1%, LCR 524%, Total RWA $797.6mn, each with a 'Mar 2018' comparative beneath it - which reproduces 15.1% independently of the template. The FY2020 and FY2021 editions print the same summary strip, and it agrees with their KM1s too (20.4% and 17.3%).
• FY2019 rows 8, 9 and 11: own edition 2.9% / 0.01% / 2.9%; FY2020 comparative 2.50% / 0.54% / 3.04%.
• FY2024 row 17: the FY2024 edition prints LCR 647%; the FY2025 edition's 2024 comparative prints 528%. This sheet carries 647%, matching the LCR metric sheet, whose note already records the same pair.
• FY2025 row 15: the FY2025 edition prints HQLA 115.7; the FY2026 edition's 2025 comparative prints 115.5. This sheet carries 115.7.
• FY2022 rows 17 and 20: see the precision note above.</t>
        </is>
      </c>
    </row>
    <row r="78" ht="409" customHeight="1">
      <c r="A78" s="8" t="inlineStr">
        <is>
          <t>(continued)
LABEL DRIFT, reproduced from the newest edition where a row's caption changed case only: FY2026 prints 'Common Equity Tier 1 (CET 1) capital' where FY2022-FY2025 print 'Common equity tier 1 (CET 1) capital'. Only the capitalisation differs and the figures are unaffected.
OMITTED ROWS ARE A STATED POLICY, not a gap. Each FY2022+ edition says: 'Where the Bank is required to disclose fixed format templates, and either a row or column is not applicable to PNBIL, these have been omitted. Further, where rows are empty sets in the UK templates, these have also been omitted.' Rows 14a-14e are absent for that reason.
COLUMN LETTERS DO NOT TRANSFER. Each edition prints two columns, its own reporting date and the prior year (lettered a and b in the FY2022/FY2023 editions, unlettered in the others). This sheet is one column per YEAR: FY2019-FY2026 each from that year's own edition's own-date column, and FY2018 from the FY2019 edition's 2018 comparative column as set out above. NOTE the FY2022 edition prints no 2021 comparative at all for rows 13-20; that does not affect this sheet, since FY2021 comes from its own edition.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t>
        </is>
      </c>
    </row>
  </sheetData>
  <mergeCells count="3">
    <mergeCell ref="A74:J74"/>
    <mergeCell ref="A76:J76"/>
    <mergeCell ref="A78:J7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CET1 Capital</t>
        </is>
      </c>
    </row>
    <row r="2">
      <c r="A2" s="2" t="inlineStr">
        <is>
          <t>£m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Common Equity Tier 1 (CET1) capital</t>
        </is>
      </c>
      <c r="B4" s="6" t="n">
        <v>104.8</v>
      </c>
      <c r="C4" s="6" t="n">
        <v>109.1</v>
      </c>
      <c r="D4" s="6" t="n">
        <v>114.1</v>
      </c>
      <c r="E4" s="6" t="n">
        <v>115.7</v>
      </c>
      <c r="F4" s="6" t="n">
        <v>104.8</v>
      </c>
      <c r="G4" s="6" t="n">
        <v>97.40000000000001</v>
      </c>
      <c r="H4" s="6" t="n">
        <v>117.8</v>
      </c>
      <c r="I4" s="6" t="n">
        <v>115.4</v>
      </c>
      <c r="J4" s="6" t="n">
        <v>101.8</v>
      </c>
      <c r="K4" s="6" t="n">
        <v>96.3</v>
      </c>
      <c r="L4" s="6" t="n">
        <v>104.1</v>
      </c>
      <c r="M4" s="6" t="n">
        <v>123.2</v>
      </c>
      <c r="N4" s="6" t="n">
        <v>101.4</v>
      </c>
    </row>
    <row r="5" ht="30" customHeight="1">
      <c r="A5" s="7" t="inlineStr">
        <is>
          <t>Note: Directly disclosed in the annual Pillar 3 UK KM1 table (FY2018-FY2026) or its pre-KM1 'Capital Resources'/CA1-style equivalent (FY2014-FY2017 - see p3_sources()'s HD-048 methodology note); figures are converted from $m to £m at the corresponding 31 March spot rate.</t>
        </is>
      </c>
    </row>
    <row r="7" ht="286" customHeight="1">
      <c r="A7"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2">
    <mergeCell ref="A5:N5"/>
    <mergeCell ref="A7:N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CET1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Common Equity Tier 1 ratio</t>
        </is>
      </c>
      <c r="B4" s="6" t="inlineStr">
        <is>
          <t>15.4%</t>
        </is>
      </c>
      <c r="C4" s="6" t="inlineStr">
        <is>
          <t>20.2%</t>
        </is>
      </c>
      <c r="D4" s="6" t="inlineStr">
        <is>
          <t>20.6%</t>
        </is>
      </c>
      <c r="E4" s="6" t="inlineStr">
        <is>
          <t>19.6%</t>
        </is>
      </c>
      <c r="F4" s="6" t="inlineStr">
        <is>
          <t>17.2%</t>
        </is>
      </c>
      <c r="G4" s="6" t="inlineStr">
        <is>
          <t>17.1%</t>
        </is>
      </c>
      <c r="H4" s="6" t="inlineStr">
        <is>
          <t>19.3%</t>
        </is>
      </c>
      <c r="I4" s="6" t="inlineStr">
        <is>
          <t>18.9%</t>
        </is>
      </c>
      <c r="J4" s="6" t="inlineStr">
        <is>
          <t>15.8%</t>
        </is>
      </c>
      <c r="K4" s="6" t="inlineStr">
        <is>
          <t>11.90%</t>
        </is>
      </c>
      <c r="L4" s="6" t="inlineStr">
        <is>
          <t>9.15%</t>
        </is>
      </c>
      <c r="M4" s="6" t="inlineStr">
        <is>
          <t>10.37%</t>
        </is>
      </c>
      <c r="N4" s="6" t="inlineStr">
        <is>
          <t>10.22%</t>
        </is>
      </c>
    </row>
    <row r="6" ht="286" customHeight="1">
      <c r="A6"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1">
    <mergeCell ref="A6:N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Tier 1 Capital</t>
        </is>
      </c>
    </row>
    <row r="2">
      <c r="A2" s="2" t="inlineStr">
        <is>
          <t>£m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Tier 1 capital</t>
        </is>
      </c>
      <c r="B4" s="6" t="n">
        <v>138.9</v>
      </c>
      <c r="C4" s="6" t="n">
        <v>143.9</v>
      </c>
      <c r="D4" s="6" t="n">
        <v>149.7</v>
      </c>
      <c r="E4" s="6" t="n">
        <v>152.1</v>
      </c>
      <c r="F4" s="6" t="n">
        <v>139</v>
      </c>
      <c r="G4" s="6" t="n">
        <v>130</v>
      </c>
      <c r="H4" s="6" t="n">
        <v>154.1</v>
      </c>
      <c r="I4" s="6" t="n">
        <v>150</v>
      </c>
      <c r="J4" s="6" t="n">
        <v>133.8</v>
      </c>
      <c r="K4" s="6" t="n">
        <v>132.3</v>
      </c>
      <c r="L4" s="6" t="n">
        <v>121.5</v>
      </c>
      <c r="M4" s="6" t="n">
        <v>123.2</v>
      </c>
      <c r="N4" s="6" t="n">
        <v>101.4</v>
      </c>
    </row>
    <row r="5" ht="30" customHeight="1">
      <c r="A5" s="7" t="inlineStr">
        <is>
          <t>Note: Directly disclosed in the annual Pillar 3 UK KM1 table (FY2018-FY2026) or its pre-KM1 'Capital Resources'/CA1-style equivalent (FY2014-FY2017 - see p3_sources()'s HD-048 methodology note); figures are converted from $m to £m at the corresponding 31 March spot rate.</t>
        </is>
      </c>
    </row>
    <row r="7" ht="286" customHeight="1">
      <c r="A7"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2">
    <mergeCell ref="A5:N5"/>
    <mergeCell ref="A7:N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Tier 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Tier 1 ratio</t>
        </is>
      </c>
      <c r="B4" s="6" t="inlineStr">
        <is>
          <t>20.5%</t>
        </is>
      </c>
      <c r="C4" s="6" t="inlineStr">
        <is>
          <t>26.7%</t>
        </is>
      </c>
      <c r="D4" s="6" t="inlineStr">
        <is>
          <t>27.0%</t>
        </is>
      </c>
      <c r="E4" s="6" t="inlineStr">
        <is>
          <t>25.8%</t>
        </is>
      </c>
      <c r="F4" s="6" t="inlineStr">
        <is>
          <t>22.8%</t>
        </is>
      </c>
      <c r="G4" s="6" t="inlineStr">
        <is>
          <t>22.9%</t>
        </is>
      </c>
      <c r="H4" s="6" t="inlineStr">
        <is>
          <t>25.3%</t>
        </is>
      </c>
      <c r="I4" s="6" t="inlineStr">
        <is>
          <t>24.5%</t>
        </is>
      </c>
      <c r="J4" s="6" t="inlineStr">
        <is>
          <t>20.7%</t>
        </is>
      </c>
      <c r="K4" s="6" t="inlineStr">
        <is>
          <t>16.3%</t>
        </is>
      </c>
      <c r="L4" s="6" t="inlineStr">
        <is>
          <t>10.67%</t>
        </is>
      </c>
      <c r="M4" s="6" t="inlineStr">
        <is>
          <t>10.37%</t>
        </is>
      </c>
      <c r="N4" s="6" t="inlineStr">
        <is>
          <t>10.22%</t>
        </is>
      </c>
    </row>
    <row r="6" ht="286" customHeight="1">
      <c r="A6"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1">
    <mergeCell ref="A6:N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Total Capital</t>
        </is>
      </c>
    </row>
    <row r="2">
      <c r="A2" s="2" t="inlineStr">
        <is>
          <t>£m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capital</t>
        </is>
      </c>
      <c r="B4" s="6" t="n">
        <v>159.9</v>
      </c>
      <c r="C4" s="6" t="n">
        <v>167.4</v>
      </c>
      <c r="D4" s="6" t="n">
        <v>176.6</v>
      </c>
      <c r="E4" s="6" t="n">
        <v>183.1</v>
      </c>
      <c r="F4" s="6" t="n">
        <v>162.5</v>
      </c>
      <c r="G4" s="6" t="n">
        <v>149.8</v>
      </c>
      <c r="H4" s="6" t="n">
        <v>182</v>
      </c>
      <c r="I4" s="6" t="n">
        <v>181.4</v>
      </c>
      <c r="J4" s="6" t="n">
        <v>169</v>
      </c>
      <c r="K4" s="6" t="n">
        <v>175.7</v>
      </c>
      <c r="L4" s="6" t="n">
        <v>170.6</v>
      </c>
      <c r="M4" s="6" t="n">
        <v>185.1</v>
      </c>
      <c r="N4" s="6" t="n">
        <v>151.5</v>
      </c>
    </row>
    <row r="5" ht="30" customHeight="1">
      <c r="A5" s="7" t="inlineStr">
        <is>
          <t>Note: Directly disclosed in the annual Pillar 3 UK KM1 table (FY2018-FY2026) or its pre-KM1 'Capital Resources'/CA1-style equivalent (FY2014-FY2017 - see p3_sources()'s HD-048 methodology note); figures are converted from $m to £m at the corresponding 31 March spot rate.</t>
        </is>
      </c>
    </row>
    <row r="7" ht="286" customHeight="1">
      <c r="A7"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2">
    <mergeCell ref="A5:N5"/>
    <mergeCell ref="A7:N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Total Capital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capital ratio</t>
        </is>
      </c>
      <c r="B4" s="6" t="inlineStr">
        <is>
          <t>23.6%</t>
        </is>
      </c>
      <c r="C4" s="6" t="inlineStr">
        <is>
          <t>31.0%</t>
        </is>
      </c>
      <c r="D4" s="6" t="inlineStr">
        <is>
          <t>31.8%</t>
        </is>
      </c>
      <c r="E4" s="6" t="inlineStr">
        <is>
          <t>31.0%</t>
        </is>
      </c>
      <c r="F4" s="6" t="inlineStr">
        <is>
          <t>26.7%</t>
        </is>
      </c>
      <c r="G4" s="6" t="inlineStr">
        <is>
          <t>26.3%</t>
        </is>
      </c>
      <c r="H4" s="6" t="inlineStr">
        <is>
          <t>29.9%</t>
        </is>
      </c>
      <c r="I4" s="6" t="inlineStr">
        <is>
          <t>29.6%</t>
        </is>
      </c>
      <c r="J4" s="6" t="inlineStr">
        <is>
          <t>26.2%</t>
        </is>
      </c>
      <c r="K4" s="6" t="inlineStr">
        <is>
          <t>21.7%</t>
        </is>
      </c>
      <c r="L4" s="6" t="inlineStr">
        <is>
          <t>14.99%</t>
        </is>
      </c>
      <c r="M4" s="6" t="inlineStr">
        <is>
          <t>15.58%</t>
        </is>
      </c>
      <c r="N4" s="6" t="inlineStr">
        <is>
          <t>15.27%</t>
        </is>
      </c>
    </row>
    <row r="6" ht="286" customHeight="1">
      <c r="A6"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1">
    <mergeCell ref="A6:N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Total RWAs</t>
        </is>
      </c>
    </row>
    <row r="2">
      <c r="A2" s="2" t="inlineStr">
        <is>
          <t>£m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risk-weighted exposure amount</t>
        </is>
      </c>
      <c r="B4" s="6" t="n">
        <v>678.6</v>
      </c>
      <c r="C4" s="6" t="n">
        <v>540</v>
      </c>
      <c r="D4" s="6" t="n">
        <v>554.9</v>
      </c>
      <c r="E4" s="6" t="n">
        <v>590.5</v>
      </c>
      <c r="F4" s="6" t="n">
        <v>609.8</v>
      </c>
      <c r="G4" s="6" t="n">
        <v>568.7</v>
      </c>
      <c r="H4" s="6" t="n">
        <v>609.4</v>
      </c>
      <c r="I4" s="6" t="n">
        <v>612.1</v>
      </c>
      <c r="J4" s="6" t="n">
        <v>645.8</v>
      </c>
      <c r="K4" s="6" t="n">
        <v>809.9</v>
      </c>
      <c r="L4" s="6" t="n">
        <v>1137.7</v>
      </c>
      <c r="M4" s="6" t="n">
        <v>1188.3</v>
      </c>
      <c r="N4" s="6" t="n">
        <v>992.5</v>
      </c>
    </row>
    <row r="5" ht="30" customHeight="1">
      <c r="A5" s="7" t="inlineStr">
        <is>
          <t>Note: Directly disclosed total risk-weighted exposure amount in the annual Pillar 3 UK KM1 table (FY2018-FY2026) or its pre-KM1 'Capital Resources' table equivalent (FY2014-FY2017); converted from $m to £m at the corresponding 31 March spot rate.</t>
        </is>
      </c>
    </row>
    <row r="7" ht="286" customHeight="1">
      <c r="A7"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2">
    <mergeCell ref="A5:N5"/>
    <mergeCell ref="A7:N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RWA Breakdown</t>
        </is>
      </c>
    </row>
    <row r="2">
      <c r="A2" s="2" t="inlineStr">
        <is>
          <t>Entity-level, solo basis. £m converted from the Bank's native US$ million presentation. FY2014-FY2020's 'Credit risk' row folds counterparty credit risk and CVA into one combined figure (that era's own Pillar I disclosure does not separate them out) - see the HD-048 note below.</t>
        </is>
      </c>
    </row>
    <row r="3">
      <c r="A3" s="4" t="inlineStr">
        <is>
          <t>Line item</t>
        </is>
      </c>
      <c r="B3" s="4" t="inlineStr">
        <is>
          <t>FY2026 (£m, conv. from USD)</t>
        </is>
      </c>
      <c r="C3" s="4" t="inlineStr">
        <is>
          <t>FY2025 (£m, conv. from USD)</t>
        </is>
      </c>
      <c r="D3" s="4" t="inlineStr">
        <is>
          <t>FY2024 (£m, conv. from USD)</t>
        </is>
      </c>
      <c r="E3" s="4" t="inlineStr">
        <is>
          <t>FY2023 (£m, conv. from USD)</t>
        </is>
      </c>
      <c r="F3" s="4" t="inlineStr">
        <is>
          <t>FY2022 (£m, conv. from USD)</t>
        </is>
      </c>
      <c r="G3" s="4" t="inlineStr">
        <is>
          <t>FY2021 (£m, conv. from USD)</t>
        </is>
      </c>
      <c r="H3" s="4" t="inlineStr">
        <is>
          <t>FY2020 (£m, conv. from USD)</t>
        </is>
      </c>
      <c r="I3" s="4" t="inlineStr">
        <is>
          <t>FY2019 (£m, conv. from USD)</t>
        </is>
      </c>
      <c r="J3" s="4" t="inlineStr">
        <is>
          <t>FY2018 (£m, conv. from USD)</t>
        </is>
      </c>
      <c r="K3" s="4" t="inlineStr">
        <is>
          <t>FY2017 (£m, conv. from USD)</t>
        </is>
      </c>
      <c r="L3" s="4" t="inlineStr">
        <is>
          <t>FY2016 (£m, conv. from USD)</t>
        </is>
      </c>
      <c r="M3" s="4" t="inlineStr">
        <is>
          <t>FY2015 (£m, conv. from USD)</t>
        </is>
      </c>
      <c r="N3" s="4" t="inlineStr">
        <is>
          <t>FY2014 (£m, conv. from USD)</t>
        </is>
      </c>
    </row>
    <row r="4">
      <c r="A4" s="6" t="inlineStr">
        <is>
          <t>Credit risk (excluding CCR)</t>
        </is>
      </c>
      <c r="B4" s="6" t="n">
        <v>616.5</v>
      </c>
      <c r="C4" s="6" t="n">
        <v>473.5</v>
      </c>
      <c r="D4" s="6" t="n">
        <v>497.9</v>
      </c>
      <c r="E4" s="6" t="n">
        <v>539.2</v>
      </c>
      <c r="F4" s="6" t="n">
        <v>567.8</v>
      </c>
      <c r="G4" s="6" t="n">
        <v>528.2</v>
      </c>
      <c r="H4" s="6" t="n">
        <v>547.8</v>
      </c>
      <c r="I4" s="6" t="n">
        <v>549.6</v>
      </c>
      <c r="J4" s="6" t="n">
        <v>552.1</v>
      </c>
      <c r="K4" s="6" t="n">
        <v>664.3</v>
      </c>
      <c r="L4" s="6" t="n">
        <v>1014</v>
      </c>
      <c r="M4" s="6" t="n">
        <v>1050.4</v>
      </c>
      <c r="N4" s="6" t="n">
        <v>902.3</v>
      </c>
    </row>
    <row r="5">
      <c r="A5" s="6" t="inlineStr">
        <is>
          <t>Counterparty credit risk (CCR, incl. CVA)</t>
        </is>
      </c>
      <c r="B5" s="6" t="n">
        <v>4.9</v>
      </c>
      <c r="C5" s="6" t="n">
        <v>11.2</v>
      </c>
      <c r="D5" s="6" t="n">
        <v>0.2</v>
      </c>
      <c r="E5" s="6" t="n">
        <v>0.2</v>
      </c>
      <c r="F5" s="6" t="n">
        <v>1.4</v>
      </c>
      <c r="G5" s="6" t="n">
        <v>1.1</v>
      </c>
      <c r="H5" s="6" t="n"/>
      <c r="I5" s="6" t="n"/>
      <c r="J5" s="6" t="n"/>
      <c r="K5" s="6" t="n"/>
      <c r="L5" s="6" t="n"/>
      <c r="M5" s="6" t="n"/>
      <c r="N5" s="6" t="n"/>
    </row>
    <row r="6">
      <c r="A6" s="6" t="inlineStr">
        <is>
          <t>Market risk</t>
        </is>
      </c>
      <c r="B6" s="6" t="n">
        <v>6.4</v>
      </c>
      <c r="C6" s="6" t="n">
        <v>6</v>
      </c>
      <c r="D6" s="6" t="n">
        <v>9.199999999999999</v>
      </c>
      <c r="E6" s="6" t="n">
        <v>9.1</v>
      </c>
      <c r="F6" s="6" t="n">
        <v>7.8</v>
      </c>
      <c r="G6" s="6" t="n">
        <v>8</v>
      </c>
      <c r="H6" s="6" t="n">
        <v>20.9</v>
      </c>
      <c r="I6" s="6" t="n">
        <v>19.4</v>
      </c>
      <c r="J6" s="6" t="n">
        <v>46</v>
      </c>
      <c r="K6" s="6" t="n">
        <v>75.09999999999999</v>
      </c>
      <c r="L6" s="6" t="n">
        <v>58.2</v>
      </c>
      <c r="M6" s="6" t="n">
        <v>82.90000000000001</v>
      </c>
      <c r="N6" s="6" t="n">
        <v>51.3</v>
      </c>
    </row>
    <row r="7">
      <c r="A7" s="6" t="inlineStr">
        <is>
          <t>Operational risk</t>
        </is>
      </c>
      <c r="B7" s="6" t="n">
        <v>50.7</v>
      </c>
      <c r="C7" s="6" t="n">
        <v>49.1</v>
      </c>
      <c r="D7" s="6" t="n">
        <v>47.5</v>
      </c>
      <c r="E7" s="6" t="n">
        <v>41.9</v>
      </c>
      <c r="F7" s="6" t="n">
        <v>32.5</v>
      </c>
      <c r="G7" s="6" t="n">
        <v>32.5</v>
      </c>
      <c r="H7" s="6" t="n">
        <v>40.8</v>
      </c>
      <c r="I7" s="6" t="n">
        <v>43.1</v>
      </c>
      <c r="J7" s="6" t="n">
        <v>47.7</v>
      </c>
      <c r="K7" s="6" t="n">
        <v>70.59999999999999</v>
      </c>
      <c r="L7" s="6" t="n">
        <v>65.59999999999999</v>
      </c>
      <c r="M7" s="6" t="n">
        <v>55</v>
      </c>
      <c r="N7" s="6" t="n">
        <v>38.9</v>
      </c>
    </row>
    <row r="8">
      <c r="A8" s="5" t="inlineStr">
        <is>
          <t>Total risk-weighted exposure amount</t>
        </is>
      </c>
      <c r="B8" s="5" t="n">
        <v>678.5</v>
      </c>
      <c r="C8" s="5" t="n">
        <v>540</v>
      </c>
      <c r="D8" s="5" t="n">
        <v>554.9</v>
      </c>
      <c r="E8" s="5" t="n">
        <v>590.5</v>
      </c>
      <c r="F8" s="5" t="n">
        <v>609.8</v>
      </c>
      <c r="G8" s="5" t="n">
        <v>568.7</v>
      </c>
      <c r="H8" s="5" t="n">
        <v>609.4</v>
      </c>
      <c r="I8" s="5" t="n">
        <v>612.1</v>
      </c>
      <c r="J8" s="5" t="n">
        <v>645.8</v>
      </c>
      <c r="K8" s="5" t="n">
        <v>809.9</v>
      </c>
      <c r="L8" s="5" t="n">
        <v>1137.7</v>
      </c>
      <c r="M8" s="5" t="n">
        <v>1188.3</v>
      </c>
      <c r="N8" s="5" t="n">
        <v>992.5</v>
      </c>
    </row>
    <row r="10" ht="390" customHeight="1">
      <c r="A10"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
UK OV1 table: FY2025/FY2024 - https://www.pnbint.com/PNBIL/pdf/Financial_Reports/Basel%20III%20Pillar%203%20Disclosures%2031-03-2025.pdf, printed p.45; FY2023/FY2022 - https://www.pnbint.com/PNBIL/pdf/Financial_Reports/PNBIL%20Pillar%20III%20Disclosures%20Publish%20Version.pdf, printed p.44. FY2026 derived from https://www.pnbint.com/PNBIL/pdf/Financial_Reports/Basel-III-Pillar-3-Disclosure-31-03-2026.pdf, printed pp.14/27-30/33 (credit risk exposure-class table, CCR table, market risk table, operational risk table) - the FY2026 Pillar 3 document does not include a UK OV1 template (confirmed by reading the full document), a genuine structural change from FY2022-FY2025's disclosures.
HD-048 (2026-09-05/06) FY2014-FY2020: derived from each year's own 'Capital Requirement under Pillar I' table (own basis, predates the UK OV1 template) - FY2020: https://www.pnbint.com/PNBIL/pdf/Financial_Reports/Pillar_3_Disclosure_%2031st_March_2020.pdf, printed p.9; FY2019: https://www.pnbint.com/PNBIL/pdf/Financial_Reports/PILLAR%20III%20-%2031.03.2019%20-%20FINAL.pdf, printed p.9; FY2018: https://www.pnbint.com/PNBIL/pdf/Financial_Reports/PILLAR%203%20Disclosures-%2031.03.18.pdf, printed pp.10/11; FY2017: https://www.pnbint.com/PNBIL/pdf/Financial_Reports/Pillar%203%20Disclosures%2031%2003%202017_FINAL.pdf, printed p.7 (own-year credit risk/market risk/operational risk 'Capital Requirement' totals); FY2016: https://www.pnbint.com/PNBIL/pdf/Financial_Reports/Pillar%20III%20disclosures%2031%2003%202016_Revised.pdf, printed pp.3-4 (OCR'd from a scanned PDF); FY2015: https://www.pnbint.com/PNBIL/pdf/Financial_Reports/Pillar%20III%20disclosures%2031%2003%202015.pdf, printed pp.2-3 (OCR'd from a scanned PDF); FY2014: https://www.pnbint.com/PNBIL/pdf/Financial_Reports/Pillar%20III%20disclosures%2031%2003%202014.pdf, printed pp.2-3 (OCR'd from a scanned PDF). Each year's Credit Risk/Market Risk/Operational Risk 'RWA After SME Benefit' figures sum exactly to that year's own disclosed total RWA.</t>
        </is>
      </c>
    </row>
  </sheetData>
  <mergeCells count="1">
    <mergeCell ref="A10:N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Leverage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Leverage ratio excluding claims on central banks</t>
        </is>
      </c>
      <c r="B4" s="6" t="inlineStr">
        <is>
          <t>13.6%</t>
        </is>
      </c>
      <c r="C4" s="6" t="inlineStr">
        <is>
          <t>16.7%</t>
        </is>
      </c>
      <c r="D4" s="6" t="inlineStr">
        <is>
          <t>19.1%</t>
        </is>
      </c>
      <c r="E4" s="6" t="inlineStr">
        <is>
          <t>19.9%</t>
        </is>
      </c>
      <c r="F4" s="6" t="inlineStr">
        <is>
          <t>19.3%</t>
        </is>
      </c>
      <c r="G4" s="6" t="inlineStr">
        <is>
          <t>17.3%</t>
        </is>
      </c>
      <c r="H4" s="6" t="inlineStr">
        <is>
          <t>20.4%</t>
        </is>
      </c>
      <c r="I4" s="6" t="inlineStr">
        <is>
          <t>15.1%</t>
        </is>
      </c>
      <c r="J4" s="6" t="inlineStr">
        <is>
          <t>12.94%</t>
        </is>
      </c>
      <c r="K4" s="6" t="inlineStr">
        <is>
          <t>9.7%</t>
        </is>
      </c>
      <c r="L4" s="6" t="inlineStr">
        <is>
          <t>8.93%</t>
        </is>
      </c>
      <c r="M4" s="6" t="inlineStr">
        <is>
          <t>8.78%</t>
        </is>
      </c>
      <c r="N4" s="6" t="inlineStr">
        <is>
          <t>7.83%</t>
        </is>
      </c>
    </row>
    <row r="5" ht="117" customHeight="1">
      <c r="A5" s="7" t="inlineStr">
        <is>
          <t xml:space="preserve">Note: FY2014-FY2020 show each year's own quarterly-average 'Leverage Ratio using a fully phased-in definition of Tier 1' (a full CRR leverage ratio including central bank claims, predating the UK's post-2016 central-bank-claims-excluded leverage framework used from FY2022 on) - a genuine methodology change across the two eras, not a like-for-like series; see the metric values for each report's own comparative column, which sometimes differs from the prior year's own headline figure for this same reason.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10 source URLs cited on this sheet and its KM1 sheet were re-fetched on 2026-10-09 (10 returned a real PDF, %PDF magic bytes checked), and each document's full text was searched for an LR2/LRCom template and for the 'including claims on central banks' wording. Every match was opened and read on 2026-10-09; none is an in-scope disclosure. The remaining matches are NOT leverage at all: template UK CC1 (composition of regulatory own funds) has its own rows UK-25a 'Losses for the current financial year' and UK-25b 'Foreseeable tax charges', which collide with the leverage template's UK-25a/UK-25c row numbering. A row number alone never identifies a template.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286" customHeight="1">
      <c r="A7"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2">
    <mergeCell ref="A5:N5"/>
    <mergeCell ref="A7:N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Punjab National Bank (International) Limited — LCR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Liquidity Coverage Ratio</t>
        </is>
      </c>
      <c r="B4" s="6" t="inlineStr">
        <is>
          <t>350%</t>
        </is>
      </c>
      <c r="C4" s="6" t="inlineStr">
        <is>
          <t>201%</t>
        </is>
      </c>
      <c r="D4" s="6" t="inlineStr">
        <is>
          <t>647%</t>
        </is>
      </c>
      <c r="E4" s="6" t="inlineStr">
        <is>
          <t>384%</t>
        </is>
      </c>
      <c r="F4" s="6" t="inlineStr">
        <is>
          <t>405.1%</t>
        </is>
      </c>
      <c r="G4" s="6" t="inlineStr">
        <is>
          <t>748%</t>
        </is>
      </c>
      <c r="H4" s="6" t="inlineStr">
        <is>
          <t>403%</t>
        </is>
      </c>
      <c r="I4" s="6" t="inlineStr">
        <is>
          <t>524%</t>
        </is>
      </c>
      <c r="J4" s="6" t="inlineStr">
        <is>
          <t>1027%</t>
        </is>
      </c>
      <c r="K4" s="6" t="inlineStr">
        <is>
          <t>1040%</t>
        </is>
      </c>
      <c r="L4" s="6" t="inlineStr">
        <is>
          <t>167.00%</t>
        </is>
      </c>
    </row>
    <row r="5" ht="30" customHeight="1">
      <c r="A5" s="7" t="inlineStr">
        <is>
          <t>Note: The Bank's own report-year headline LCR is used. FY2025's report shows 201% for FY2025, while its FY2024 comparative shows 528%; the FY2024 report itself reported 647% for FY2024. This workbook preserves each year's own as-reported figure rather than replacing it with a later comparative restatement. FY2014 and FY2015 are left blank because the EU's LCR delegated act was not adopted until October 2014 and PNBIL's own Pillar 3 disclosures do not report an LCR figure for either year - a genuine regulatory-timing gap, not a missed disclosure.</t>
        </is>
      </c>
    </row>
    <row r="7" ht="299" customHeight="1">
      <c r="A7"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2">
    <mergeCell ref="A5:L5"/>
    <mergeCell ref="A7:L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NSFR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Net Stable Funding Ratio</t>
        </is>
      </c>
      <c r="B4" s="6" t="inlineStr">
        <is>
          <t>118%</t>
        </is>
      </c>
      <c r="C4" s="6" t="inlineStr">
        <is>
          <t>121%</t>
        </is>
      </c>
      <c r="D4" s="6" t="inlineStr">
        <is>
          <t>130%</t>
        </is>
      </c>
      <c r="E4" s="6" t="inlineStr">
        <is>
          <t>135%</t>
        </is>
      </c>
      <c r="F4" s="6" t="inlineStr">
        <is>
          <t>128.2%</t>
        </is>
      </c>
      <c r="G4" s="6" t="inlineStr">
        <is>
          <t>146%</t>
        </is>
      </c>
      <c r="H4" s="6" t="inlineStr">
        <is>
          <t>126%</t>
        </is>
      </c>
      <c r="I4" s="6" t="inlineStr">
        <is>
          <t>139%</t>
        </is>
      </c>
      <c r="J4" s="6" t="inlineStr">
        <is>
          <t>171%</t>
        </is>
      </c>
      <c r="K4" s="6" t="inlineStr">
        <is>
          <t>180%</t>
        </is>
      </c>
      <c r="L4" s="6" t="inlineStr">
        <is>
          <t>119%</t>
        </is>
      </c>
      <c r="M4" s="6" t="inlineStr">
        <is>
          <t>131%</t>
        </is>
      </c>
      <c r="N4" s="6" t="inlineStr">
        <is>
          <t>110%</t>
        </is>
      </c>
    </row>
    <row r="6" ht="286" customHeight="1">
      <c r="A6"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1">
    <mergeCell ref="A6:N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Punjab National Bank (International) Limited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MREL Ratio</t>
        </is>
      </c>
      <c r="B4" s="6" t="inlineStr">
        <is>
          <t>Not applicable – PNBIL FY2026 Pillar 3 disclosure index (PDF p.61): Art. 437a own funds and eligible liabilities 'Not Applicable - Due to Article 433c(2)'; no MREL figure</t>
        </is>
      </c>
      <c r="C4" s="6" t="inlineStr">
        <is>
          <t>Not applicable – PNBIL FY2025 Pillar 3 disclosure index (PDF p.62): Art. 437a own funds and eligible liabilities 'Not Applicable - Due to Article 433c(2)'; no MREL figure</t>
        </is>
      </c>
      <c r="D4" s="6" t="inlineStr">
        <is>
          <t>Not applicable – PNBIL FY2024 Pillar 3 disclosure index (PDF p.61): Art. 437a own funds and eligible liabilities 'Not Applicable - Due to Article 433c(2)'; no MREL figure</t>
        </is>
      </c>
      <c r="E4" s="6" t="inlineStr">
        <is>
          <t>Not applicable – PNBIL FY2023 Pillar 3 disclosure index (PDF p.61): Art. 437a own funds and eligible liabilities 'Not Applicable - Due to Article 433c(2)'; no MREL figure</t>
        </is>
      </c>
      <c r="F4" s="6" t="inlineStr">
        <is>
          <t>Not applicable – PNBIL FY2022 Pillar 3 disclosure index (PDF p.49): Art. 437a own funds and eligible liabilities 'Not Applicable - Due to Article 433c(2)'; no MREL figure</t>
        </is>
      </c>
      <c r="G4" s="6" t="inlineStr">
        <is>
          <t>Not published – PNBIL FY2021 Pillar 3 has no MREL figure or KM2 (text probe 0 hits, 2026-09-19)</t>
        </is>
      </c>
      <c r="H4" s="6" t="inlineStr">
        <is>
          <t>Not published – PNBIL FY2020 Pillar 3 has no MREL figure or KM2 (text probe 0 hits, 2026-09-19)</t>
        </is>
      </c>
      <c r="I4" s="6" t="inlineStr">
        <is>
          <t>Not published – PNBIL FY2019 Pillar 3 has no MREL figure or KM2 (text probe 0 hits, 2026-09-19)</t>
        </is>
      </c>
      <c r="J4" s="6" t="inlineStr">
        <is>
          <t>Not published – PNBIL FY2018 Pillar 3 has no MREL figure or KM2 (text probe 0 hits, 2026-09-19)</t>
        </is>
      </c>
      <c r="K4" s="6" t="inlineStr">
        <is>
          <t>Not published – PNBIL FY2017 Pillar 3 has no MREL figure or KM2 (text probe 0 hits, 2026-09-19)</t>
        </is>
      </c>
      <c r="L4" s="6" t="inlineStr">
        <is>
          <t>Not published – PNBIL FY2016 Pillar 3 has no MREL figure or KM2 (text probe 0 hits, 2026-09-19)</t>
        </is>
      </c>
      <c r="M4" s="6" t="inlineStr">
        <is>
          <t>Not published – PNBIL FY2015 Pillar 3 has no MREL figure or KM2 (text probe 0 hits, 2026-09-19)</t>
        </is>
      </c>
      <c r="N4" s="6" t="inlineStr">
        <is>
          <t>Not published – PNBIL FY2014 Pillar 3 has no MREL figure or KM2 (text probe 0 hits, 2026-09-19)</t>
        </is>
      </c>
    </row>
    <row r="5" ht="30" customHeight="1">
      <c r="A5" s="7" t="inlineStr">
        <is>
          <t>Note: No MREL ratio or MREL target is disclosed in any FY2014-FY2026 Pillar 3 report or annual report reviewed. GA-020 (2026-09-19): FY2022-FY2026 marked 'Not applicable' because each edition's own disclosure index states Article 437a (own funds and eligible liabilities) is 'Not Applicable - Due to Article 433c(2)'; FY2014-FY2021 editions contain no MREL reference (text search, 0 hits) and are marked 'Not published'.</t>
        </is>
      </c>
    </row>
    <row r="7" ht="286" customHeight="1">
      <c r="A7" s="8" t="inlineStr">
        <is>
          <t>Sources - Punjab National Bank (International) Limited solo-basis Pillar 3 UK KM1 key metrics table, native unit $ million:
FY2026: https://www.pnbint.com/PNBIL/pdf/Financial_Reports/Basel-III-Pillar-3-Disclosure-31-03-2026.pdf, printed p.6 (2026 KM1)
FY2025: https://www.pnbint.com/PNBIL/pdf/Financial_Reports/Basel%20III%20Pillar%203%20Disclosures%2031-03-2025.pdf, printed p.6 (2025 KM1)
FY2024: https://www.pnbint.com/PNBIL/pdf/Financial_Reports/Basel_III_Pillar_3_Disclosures%2031-03-2024.pdf, printed p.6 (2024 KM1)
FY2023: https://www.pnbint.com/PNBIL/pdf/Financial_Reports/PNBIL%20Pillar%20III%20Disclosures%20Publish%20Version.pdf, printed p.6 (2023 KM1)
FY2022: https://www.pnbint.com/PNBIL/pdf/Financial_Reports/Basel%20III%20Pillar%203%20Disclosures%20%2031-03-2022.pdf, Appendix 1, printed pp.24-25 (own-year UK KM1; the table runs over onto p.25). The 2023 edition's 2022 comparative agrees on every row except precision - it prints LCR 405% and NSFR 128% where the 2022 edition prints 405.1% and 128.2%; the own-edition printing is used
FY2021: https://www.pnbint.com/PNBIL/pdf/Financial_Reports/Basel%20III%20Pillar%203%20Disclosures%20%2031-03-2021.pdf, printed p.3 (own-year 'Key metrics - Table KM1', the PRE-2022 Basel III version of the template). NSFR is not a row in that version at all - FY2021's NSFR comes from the same document's separate 'Key Liquidity Metrics' table, printed p.10
FY2020: https://www.pnbint.com/PNBIL/pdf/Financial_Reports/Pillar_3_Disclosure_%2031st_March_2020.pdf, printed p.3 (2020 KM1 table, with FY2019 comparative)
FY2019: https://www.pnbint.com/PNBIL/pdf/Financial_Reports/PILLAR%20III%20-%2031.03.2019%20-%20FINAL.pdf, printed p.3 (2019 KM1 table, with FY2018 comparative)
FY2018: https://www.pnbint.com/PNBIL/pdf/Financial_Reports/PILLAR%203%20Disclosures-%2031.03.18.pdf, printed pp.11-12/16 (own-basis capital/leverage/liquidity tables; FY2017 comparative also sourced here)
FY2017: https://www.pnbint.com/PNBIL/pdf/Financial_Reports/Pillar%203%20Disclosures%2031%2003%202017_FINAL.pdf, printed pp.7/12-13 (own-year capital resources, leverage, LCR/NSFR tables)
FY2016: https://www.pnbint.com/PNBIL/pdf/Financial_Reports/Pillar%20III%20disclosures%2031%2003%202016_Revised.pdf, printed pp.1/4-6 (own-year capital resources, Pillar I RWA, leverage, LCR, NSFR tables; OCR'd from a scanned PDF)
FY2015: https://www.pnbint.com/PNBIL/pdf/Financial_Reports/Pillar%20III%20disclosures%2031%2003%202015.pdf, printed pp.1/5-6 (own-year capital resources, Pillar I RWA, leverage, NSFR tables; OCR'd from a scanned PDF; LCR not disclosed - see LCR_NOTE)
FY2014: https://www.pnbint.com/PNBIL/pdf/Financial_Reports/Pillar%20III%20disclosures%2031%2003%202014.pdf, printed pp.1/5-6 (own-year capital resources, Pillar I RWA, leverage, NSFR tables; OCR'd from a scanned PDF; LCR not disclosed - see LCR_NOTE)
Punjab National Bank (International) Limited (Companies House company 05781326, FRN 459701) is an active UK private limited bank, incorporated in England and Wales and wholly owned by Punjab National Bank, India. The FY2026 annual report confirms the registered office at 1 Moorgate, London EC2R 6JH, no branches outside the UK, and UK-adopted International Accounting Standards. The financial statements are entity-level and presented in US Dollars because that is the Bank's functional currency. The Bank's own Pillar 3 disclosures are solo-basis; PNB India consolidates the group separately. The Bank has a genuine Statement of Cash Flows in every report used.
HD-048 METHODOLOGY NOTE (FY2014-FY2020): FY2020-FY2018 use the UK KM1/CA1-style tables broadly comparable to the modern KM1 template. FY2017-FY2014 predate the KM1 template - their 'Capital Resources' table uses the CRD IV transitional Core Tier I / Additional Tier I / Tier II structure; where the Bank held no Additional Tier 1 capital that year (FY2014, FY2015), CET1 capital equals Tier 1 capital exactly and the CET1 ratio is taken as equal to the disclosed Tier 1 ratio. 'Total Capital to Risk Adequacy Ratio (CRAR)' is this era's name for the Total capital ratio.</t>
        </is>
      </c>
    </row>
  </sheetData>
  <mergeCells count="2">
    <mergeCell ref="A5:N5"/>
    <mergeCell ref="A7:N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2026-10-10T15:08:38Z</dcterms:created>
  <dcterms:modified xmlns:dcterms="http://purl.org/dc/terms/" xmlns:xsi="http://www.w3.org/2001/XMLSchema-instance" xsi:type="dcterms:W3CDTF">2026-10-10T15:08:38Z</dcterms:modified>
</cp:coreProperties>
</file>