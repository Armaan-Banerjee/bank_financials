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Punjab National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a:prstDash val="solid"/>
            </a:ln>
          </spPr>
          <cat>
            <numRef>
              <f>'Overview'!$R$5:$AD$5</f>
            </numRef>
          </cat>
          <val>
            <numRef>
              <f>'Overview'!$R$6:$AD$6</f>
            </numRef>
          </val>
        </ser>
        <ser>
          <idx val="1"/>
          <order val="1"/>
          <tx>
            <strRef>
              <f>'Overview'!Q7</f>
            </strRef>
          </tx>
          <spPr>
            <a:ln>
              <a:prstDash val="solid"/>
            </a:ln>
          </spPr>
          <cat>
            <numRef>
              <f>'Overview'!$R$5:$AD$5</f>
            </numRef>
          </cat>
          <val>
            <numRef>
              <f>'Overview'!$R$7:$AD$7</f>
            </numRef>
          </val>
        </ser>
        <ser>
          <idx val="2"/>
          <order val="2"/>
          <tx>
            <strRef>
              <f>'Overview'!Q8</f>
            </strRef>
          </tx>
          <spPr>
            <a:ln>
              <a:prstDash val="solid"/>
            </a:ln>
          </spPr>
          <cat>
            <numRef>
              <f>'Overview'!$R$5:$AD$5</f>
            </numRef>
          </cat>
          <val>
            <numRef>
              <f>'Overview'!$R$8:$AD$8</f>
            </numRef>
          </val>
        </ser>
        <ser>
          <idx val="3"/>
          <order val="3"/>
          <tx>
            <strRef>
              <f>'Overview'!Q9</f>
            </strRef>
          </tx>
          <spPr>
            <a:l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Punjab National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a:prstDash val="solid"/>
            </a:ln>
          </spPr>
          <cat>
            <numRef>
              <f>'Overview'!$AH$12:$AT$12</f>
            </numRef>
          </cat>
          <val>
            <numRef>
              <f>'Overview'!$AH$13:$AT$13</f>
            </numRef>
          </val>
        </ser>
        <ser>
          <idx val="1"/>
          <order val="1"/>
          <tx>
            <strRef>
              <f>'Overview'!AG14</f>
            </strRef>
          </tx>
          <spPr>
            <a:ln>
              <a:prstDash val="solid"/>
            </a:ln>
          </spPr>
          <cat>
            <numRef>
              <f>'Overview'!$AH$12:$AT$12</f>
            </numRef>
          </cat>
          <val>
            <numRef>
              <f>'Overview'!$AH$14:$AT$14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Punjab National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'Overview'!AW18</f>
            </strRef>
          </tx>
          <spPr>
            <a:ln>
              <a:prstDash val="solid"/>
            </a:ln>
          </spPr>
          <cat>
            <numRef>
              <f>'Overview'!$AX$17:$BJ$17</f>
            </numRef>
          </cat>
          <val>
            <numRef>
              <f>'Overview'!$AX$18:$BJ$18</f>
            </numRef>
          </val>
        </ser>
        <ser>
          <idx val="1"/>
          <order val="1"/>
          <tx>
            <strRef>
              <f>'Overview'!AW19</f>
            </strRef>
          </tx>
          <spPr>
            <a:ln>
              <a:prstDash val="solid"/>
            </a:ln>
          </spPr>
          <cat>
            <numRef>
              <f>'Overview'!$AX$17:$BJ$17</f>
            </numRef>
          </cat>
          <val>
            <numRef>
              <f>'Overview'!$AX$19:$BJ$19</f>
            </numRef>
          </val>
        </ser>
        <ser>
          <idx val="2"/>
          <order val="2"/>
          <tx>
            <strRef>
              <f>'Overview'!AW20</f>
            </strRef>
          </tx>
          <spPr>
            <a:ln>
              <a:prstDash val="solid"/>
            </a:ln>
          </spPr>
          <cat>
            <numRef>
              <f>'Overview'!$AX$17:$BJ$17</f>
            </numRef>
          </cat>
          <val>
            <numRef>
              <f>'Overview'!$AX$20:$BJ$20</f>
            </numRef>
          </val>
        </ser>
        <ser>
          <idx val="3"/>
          <order val="3"/>
          <tx>
            <strRef>
              <f>'Overview'!AW21</f>
            </strRef>
          </tx>
          <spPr>
            <a:ln>
              <a:prstDash val="solid"/>
            </a:ln>
          </spPr>
          <cat>
            <numRef>
              <f>'Overview'!$AX$17:$BJ$17</f>
            </numRef>
          </cat>
          <val>
            <numRef>
              <f>'Overview'!$AX$21:$BJ$21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Punjab National Bank (International)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'Overview'!BM25</f>
            </strRef>
          </tx>
          <spPr>
            <a:ln>
              <a:prstDash val="solid"/>
            </a:ln>
          </spPr>
          <cat>
            <numRef>
              <f>'Overview'!$BN$24:$BZ$24</f>
            </numRef>
          </cat>
          <val>
            <numRef>
              <f>'Overview'!$BN$25:$BZ$25</f>
            </numRef>
          </val>
        </ser>
        <ser>
          <idx val="1"/>
          <order val="1"/>
          <tx>
            <strRef>
              <f>'Overview'!BM26</f>
            </strRef>
          </tx>
          <spPr>
            <a:ln>
              <a:prstDash val="solid"/>
            </a:ln>
          </spPr>
          <cat>
            <numRef>
              <f>'Overview'!$BN$24:$BZ$24</f>
            </numRef>
          </cat>
          <val>
            <numRef>
              <f>'Overview'!$BN$26:$BZ$26</f>
            </numRef>
          </val>
        </ser>
        <ser>
          <idx val="2"/>
          <order val="2"/>
          <tx>
            <strRef>
              <f>'Overview'!BM27</f>
            </strRef>
          </tx>
          <spPr>
            <a:ln>
              <a:prstDash val="solid"/>
            </a:ln>
          </spPr>
          <cat>
            <numRef>
              <f>'Overview'!$BN$24:$BZ$24</f>
            </numRef>
          </cat>
          <val>
            <numRef>
              <f>'Overview'!$BN$27:$BZ$27</f>
            </numRef>
          </val>
        </ser>
        <ser>
          <idx val="3"/>
          <order val="3"/>
          <tx>
            <strRef>
              <f>'Overview'!BM28</f>
            </strRef>
          </tx>
          <spPr>
            <a:ln>
              <a:prstDash val="solid"/>
            </a:ln>
          </spPr>
          <cat>
            <numRef>
              <f>'Overview'!$BN$24:$BZ$24</f>
            </numRef>
          </cat>
          <val>
            <numRef>
              <f>'Overview'!$BN$28:$BZ$28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Punjab National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a:prstDash val="solid"/>
            </a:ln>
          </spPr>
          <marker>
            <symbol val="none"/>
            <spPr>
              <a:ln>
                <a:prstDash val="solid"/>
              </a:ln>
            </spPr>
          </marker>
          <cat>
            <numRef>
              <f>'Overview'!$CD$5:$CP$5</f>
            </numRef>
          </cat>
          <val>
            <numRef>
              <f>'Overview'!$CD$6:$CP$6</f>
            </numRef>
          </val>
          <smooth val="0"/>
        </ser>
        <ser>
          <idx val="1"/>
          <order val="1"/>
          <tx>
            <strRef>
              <f>'Overview'!CC7</f>
            </strRef>
          </tx>
          <spPr>
            <a:ln>
              <a:prstDash val="solid"/>
            </a:ln>
          </spPr>
          <marker>
            <symbol val="none"/>
            <spPr>
              <a:ln>
                <a:prstDash val="solid"/>
              </a:ln>
            </spPr>
          </marker>
          <cat>
            <numRef>
              <f>'Overview'!$CD$5:$CP$5</f>
            </numRef>
          </cat>
          <val>
            <numRef>
              <f>'Overview'!$CD$7:$CP$7</f>
            </numRef>
          </val>
          <smooth val="0"/>
        </ser>
        <ser>
          <idx val="2"/>
          <order val="2"/>
          <tx>
            <strRef>
              <f>'Overview'!CC8</f>
            </strRef>
          </tx>
          <spPr>
            <a:ln>
              <a:prstDash val="solid"/>
            </a:ln>
          </spPr>
          <marker>
            <symbol val="none"/>
            <spPr>
              <a:ln>
                <a:prstDash val="solid"/>
              </a:ln>
            </spPr>
          </marker>
          <cat>
            <numRef>
              <f>'Overview'!$CD$5:$CP$5</f>
            </numRef>
          </cat>
          <val>
            <numRef>
              <f>'Overview'!$CD$8:$CP$8</f>
            </numRef>
          </val>
          <smooth val="0"/>
        </ser>
        <ser>
          <idx val="3"/>
          <order val="3"/>
          <tx>
            <strRef>
              <f>'Overview'!CC9</f>
            </strRef>
          </tx>
          <spPr>
            <a:ln>
              <a:prstDash val="solid"/>
            </a:ln>
          </spPr>
          <marker>
            <symbol val="none"/>
            <spPr>
              <a:ln>
                <a:prstDash val="solid"/>
              </a:ln>
            </spPr>
          </marker>
          <cat>
            <numRef>
              <f>'Overview'!$CD$5:$CP$5</f>
            </numRef>
          </cat>
          <val>
            <numRef>
              <f>'Overview'!$CD$9:$CP$9</f>
            </numRef>
          </val>
          <smooth val="0"/>
        </ser>
        <ser>
          <idx val="4"/>
          <order val="4"/>
          <tx>
            <strRef>
              <f>'Overview'!CC10</f>
            </strRef>
          </tx>
          <spPr>
            <a:ln>
              <a:prstDash val="solid"/>
            </a:ln>
          </spPr>
          <marker>
            <symbol val="none"/>
            <spPr>
              <a:ln>
                <a:prstDash val="solid"/>
              </a:ln>
            </spPr>
          </marker>
          <cat>
            <numRef>
              <f>'Overview'!$CD$5:$CP$5</f>
            </numRef>
          </cat>
          <val>
            <numRef>
              <f>'Overview'!$CD$10:$CP$10</f>
            </numRef>
          </val>
          <smooth val="0"/>
        </ser>
        <ser>
          <idx val="5"/>
          <order val="5"/>
          <tx>
            <strRef>
              <f>'Overview'!CC11</f>
            </strRef>
          </tx>
          <spPr>
            <a:ln>
              <a:prstDash val="solid"/>
            </a:ln>
          </spPr>
          <marker>
            <symbol val="none"/>
            <spPr>
              <a:ln>
                <a:prstDash val="solid"/>
              </a:ln>
            </spPr>
          </marker>
          <cat>
            <numRef>
              <f>'Overview'!$CD$5:$CP$5</f>
            </numRef>
          </cat>
          <val>
            <numRef>
              <f>'Overview'!$CD$11:$CP$11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63</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107</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129</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P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s>
  <sheetData>
    <row r="1">
      <c r="A1" s="1" t="inlineStr">
        <is>
          <t>Punjab National Bank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CD5" t="inlineStr">
        <is>
          <t>FY2014</t>
        </is>
      </c>
      <c r="CE5" t="inlineStr">
        <is>
          <t>FY2015</t>
        </is>
      </c>
      <c r="CF5" t="inlineStr">
        <is>
          <t>FY2016</t>
        </is>
      </c>
      <c r="CG5" t="inlineStr">
        <is>
          <t>FY2017</t>
        </is>
      </c>
      <c r="CH5" t="inlineStr">
        <is>
          <t>FY2018</t>
        </is>
      </c>
      <c r="CI5" t="inlineStr">
        <is>
          <t>FY2019</t>
        </is>
      </c>
      <c r="CJ5" t="inlineStr">
        <is>
          <t>FY2020</t>
        </is>
      </c>
      <c r="CK5" t="inlineStr">
        <is>
          <t>FY2021</t>
        </is>
      </c>
      <c r="CL5" t="inlineStr">
        <is>
          <t>FY2022</t>
        </is>
      </c>
      <c r="CM5" t="inlineStr">
        <is>
          <t>FY2023</t>
        </is>
      </c>
      <c r="CN5" t="inlineStr">
        <is>
          <t>FY2024</t>
        </is>
      </c>
      <c r="CO5" t="inlineStr">
        <is>
          <t>FY2025</t>
        </is>
      </c>
      <c r="CP5" t="inlineStr">
        <is>
          <t>FY2026</t>
        </is>
      </c>
    </row>
    <row r="6">
      <c r="A6" s="5" t="inlineStr">
        <is>
          <t>Total assets</t>
        </is>
      </c>
      <c r="B6" s="5" t="n">
        <v>1124092.4</v>
      </c>
      <c r="C6" s="5" t="n">
        <v>929222.3</v>
      </c>
      <c r="D6" s="5" t="n">
        <v>860733.1</v>
      </c>
      <c r="E6" s="5" t="n">
        <v>880119.7</v>
      </c>
      <c r="F6" s="5" t="n">
        <v>855689.9</v>
      </c>
      <c r="G6" s="5" t="n">
        <v>784826.8</v>
      </c>
      <c r="H6" s="5" t="n">
        <v>787012</v>
      </c>
      <c r="I6" s="5" t="n">
        <v>814727.6</v>
      </c>
      <c r="J6" s="5" t="n">
        <v>856566.7</v>
      </c>
      <c r="K6" s="5" t="n">
        <v>1163643.6</v>
      </c>
      <c r="L6" s="5" t="n">
        <v>1260077.2</v>
      </c>
      <c r="M6" s="5" t="n">
        <v>1278869.1</v>
      </c>
      <c r="N6" s="5" t="n">
        <v>1141161.2</v>
      </c>
      <c r="Q6" t="inlineStr">
        <is>
          <t>Total assets</t>
        </is>
      </c>
      <c r="R6" t="n">
        <v>1141161.2</v>
      </c>
      <c r="S6" t="n">
        <v>1278869.1</v>
      </c>
      <c r="T6" t="n">
        <v>1260077.2</v>
      </c>
      <c r="U6" t="n">
        <v>1163643.6</v>
      </c>
      <c r="V6" t="n">
        <v>856566.7</v>
      </c>
      <c r="W6" t="n">
        <v>814727.6</v>
      </c>
      <c r="X6" t="n">
        <v>787012</v>
      </c>
      <c r="Y6" t="n">
        <v>784826.8</v>
      </c>
      <c r="Z6" t="n">
        <v>855689.9</v>
      </c>
      <c r="AA6" t="n">
        <v>880119.7</v>
      </c>
      <c r="AB6" t="n">
        <v>860733.1</v>
      </c>
      <c r="AC6" t="n">
        <v>929222.3</v>
      </c>
      <c r="AD6" t="n">
        <v>1124092.4</v>
      </c>
      <c r="CC6" t="inlineStr">
        <is>
          <t>CET1 Ratio</t>
        </is>
      </c>
      <c r="CD6" t="n">
        <v>10.22</v>
      </c>
      <c r="CE6" t="n">
        <v>10.37</v>
      </c>
      <c r="CF6" t="n">
        <v>9.15</v>
      </c>
      <c r="CG6" t="n">
        <v>11.9</v>
      </c>
      <c r="CH6" t="n">
        <v>15.8</v>
      </c>
      <c r="CI6" t="n">
        <v>18.9</v>
      </c>
      <c r="CJ6" t="n">
        <v>19.3</v>
      </c>
      <c r="CK6" t="n">
        <v>17.1</v>
      </c>
      <c r="CL6" t="n">
        <v>17.2</v>
      </c>
      <c r="CM6" t="n">
        <v>19.6</v>
      </c>
      <c r="CN6" t="n">
        <v>20.6</v>
      </c>
      <c r="CO6" t="n">
        <v>20.2</v>
      </c>
      <c r="CP6" t="n">
        <v>15.4</v>
      </c>
    </row>
    <row r="7">
      <c r="A7" s="5" t="inlineStr">
        <is>
          <t>Loans and advances to customers</t>
        </is>
      </c>
      <c r="B7" s="5" t="n">
        <v>857718.4</v>
      </c>
      <c r="C7" s="5" t="n">
        <v>700217.7</v>
      </c>
      <c r="D7" s="5" t="n">
        <v>611240.5</v>
      </c>
      <c r="E7" s="5" t="n">
        <v>605546.7</v>
      </c>
      <c r="F7" s="5" t="n">
        <v>601152.6</v>
      </c>
      <c r="G7" s="5" t="n">
        <v>500579.2</v>
      </c>
      <c r="H7" s="5" t="n">
        <v>456636.3</v>
      </c>
      <c r="I7" s="5" t="n">
        <v>462573.3</v>
      </c>
      <c r="J7" s="5" t="n">
        <v>404986.1</v>
      </c>
      <c r="K7" s="5" t="n">
        <v>483890.6</v>
      </c>
      <c r="L7" s="5" t="n">
        <v>745576.6</v>
      </c>
      <c r="M7" s="5" t="n">
        <v>805555.3</v>
      </c>
      <c r="N7" s="5" t="n">
        <v>702060.2</v>
      </c>
      <c r="Q7" t="inlineStr">
        <is>
          <t>Loans and advances to customers</t>
        </is>
      </c>
      <c r="R7" t="n">
        <v>702060.2</v>
      </c>
      <c r="S7" t="n">
        <v>805555.3</v>
      </c>
      <c r="T7" t="n">
        <v>745576.6</v>
      </c>
      <c r="U7" t="n">
        <v>483890.6</v>
      </c>
      <c r="V7" t="n">
        <v>404986.1</v>
      </c>
      <c r="W7" t="n">
        <v>462573.3</v>
      </c>
      <c r="X7" t="n">
        <v>456636.3</v>
      </c>
      <c r="Y7" t="n">
        <v>500579.2</v>
      </c>
      <c r="Z7" t="n">
        <v>601152.6</v>
      </c>
      <c r="AA7" t="n">
        <v>605546.7</v>
      </c>
      <c r="AB7" t="n">
        <v>611240.5</v>
      </c>
      <c r="AC7" t="n">
        <v>700217.7</v>
      </c>
      <c r="AD7" t="n">
        <v>857718.4</v>
      </c>
      <c r="CC7" t="inlineStr">
        <is>
          <t>Tier 1 Ratio</t>
        </is>
      </c>
      <c r="CD7" t="n">
        <v>10.22</v>
      </c>
      <c r="CE7" t="n">
        <v>10.37</v>
      </c>
      <c r="CF7" t="n">
        <v>10.67</v>
      </c>
      <c r="CG7" t="n">
        <v>16.3</v>
      </c>
      <c r="CH7" t="n">
        <v>20.7</v>
      </c>
      <c r="CI7" t="n">
        <v>24.5</v>
      </c>
      <c r="CJ7" t="n">
        <v>25.3</v>
      </c>
      <c r="CK7" t="n">
        <v>22.9</v>
      </c>
      <c r="CL7" t="n">
        <v>22.8</v>
      </c>
      <c r="CM7" t="n">
        <v>25.8</v>
      </c>
      <c r="CN7" t="n">
        <v>27</v>
      </c>
      <c r="CO7" t="n">
        <v>26.7</v>
      </c>
      <c r="CP7" t="n">
        <v>20.5</v>
      </c>
    </row>
    <row r="8">
      <c r="A8" s="5" t="inlineStr">
        <is>
          <t>Deposits from customers</t>
        </is>
      </c>
      <c r="B8" s="5" t="n">
        <v>898487.3</v>
      </c>
      <c r="C8" s="5" t="n">
        <v>709869.9</v>
      </c>
      <c r="D8" s="5" t="n">
        <v>642164.3</v>
      </c>
      <c r="E8" s="5" t="n">
        <v>660495</v>
      </c>
      <c r="F8" s="5" t="n">
        <v>651932.1</v>
      </c>
      <c r="G8" s="5" t="n">
        <v>594007.7</v>
      </c>
      <c r="H8" s="5" t="n">
        <v>552382.5</v>
      </c>
      <c r="I8" s="5" t="n">
        <v>561758.3</v>
      </c>
      <c r="J8" s="5" t="n">
        <v>624391.1</v>
      </c>
      <c r="K8" s="5" t="n">
        <v>907373.5</v>
      </c>
      <c r="L8" s="5" t="n">
        <v>944574.3</v>
      </c>
      <c r="M8" s="5" t="n">
        <v>979957.6</v>
      </c>
      <c r="N8" s="5" t="n">
        <v>816382.8</v>
      </c>
      <c r="Q8" t="inlineStr">
        <is>
          <t>Deposits from customers</t>
        </is>
      </c>
      <c r="R8" t="n">
        <v>816382.8</v>
      </c>
      <c r="S8" t="n">
        <v>979957.6</v>
      </c>
      <c r="T8" t="n">
        <v>944574.3</v>
      </c>
      <c r="U8" t="n">
        <v>907373.5</v>
      </c>
      <c r="V8" t="n">
        <v>624391.1</v>
      </c>
      <c r="W8" t="n">
        <v>561758.3</v>
      </c>
      <c r="X8" t="n">
        <v>552382.5</v>
      </c>
      <c r="Y8" t="n">
        <v>594007.7</v>
      </c>
      <c r="Z8" t="n">
        <v>651932.1</v>
      </c>
      <c r="AA8" t="n">
        <v>660495</v>
      </c>
      <c r="AB8" t="n">
        <v>642164.3</v>
      </c>
      <c r="AC8" t="n">
        <v>709869.9</v>
      </c>
      <c r="AD8" t="n">
        <v>898487.3</v>
      </c>
      <c r="CC8" t="inlineStr">
        <is>
          <t>Total Capital Ratio</t>
        </is>
      </c>
      <c r="CD8" t="n">
        <v>15.27</v>
      </c>
      <c r="CE8" t="n">
        <v>15.58</v>
      </c>
      <c r="CF8" t="n">
        <v>14.99</v>
      </c>
      <c r="CG8" t="n">
        <v>21.7</v>
      </c>
      <c r="CH8" t="n">
        <v>26.2</v>
      </c>
      <c r="CI8" t="n">
        <v>29.6</v>
      </c>
      <c r="CJ8" t="n">
        <v>29.9</v>
      </c>
      <c r="CK8" t="n">
        <v>26.3</v>
      </c>
      <c r="CL8" t="n">
        <v>26.7</v>
      </c>
      <c r="CM8" t="n">
        <v>31</v>
      </c>
      <c r="CN8" t="n">
        <v>31.8</v>
      </c>
      <c r="CO8" t="n">
        <v>31</v>
      </c>
      <c r="CP8" t="n">
        <v>23.6</v>
      </c>
    </row>
    <row r="9">
      <c r="A9" s="5" t="inlineStr">
        <is>
          <t>Total equity</t>
        </is>
      </c>
      <c r="B9" s="5" t="n">
        <v>158761.8</v>
      </c>
      <c r="C9" s="5" t="n">
        <v>163563.9</v>
      </c>
      <c r="D9" s="5" t="n">
        <v>170110.8</v>
      </c>
      <c r="E9" s="5" t="n">
        <v>172539.6</v>
      </c>
      <c r="F9" s="5" t="n">
        <v>158232.8</v>
      </c>
      <c r="G9" s="5" t="n">
        <v>147932.7</v>
      </c>
      <c r="H9" s="5" t="n">
        <v>173816.8</v>
      </c>
      <c r="I9" s="5" t="n">
        <v>166438.2</v>
      </c>
      <c r="J9" s="5" t="n">
        <v>152228.3</v>
      </c>
      <c r="K9" s="5" t="n">
        <v>153399.7</v>
      </c>
      <c r="L9" s="5" t="n">
        <v>124239.1</v>
      </c>
      <c r="M9" s="5" t="n">
        <v>140181.2</v>
      </c>
      <c r="N9" s="5" t="n">
        <v>116554.3</v>
      </c>
      <c r="Q9" t="inlineStr">
        <is>
          <t>Total equity</t>
        </is>
      </c>
      <c r="R9" t="n">
        <v>116554.3</v>
      </c>
      <c r="S9" t="n">
        <v>140181.2</v>
      </c>
      <c r="T9" t="n">
        <v>124239.1</v>
      </c>
      <c r="U9" t="n">
        <v>153399.7</v>
      </c>
      <c r="V9" t="n">
        <v>152228.3</v>
      </c>
      <c r="W9" t="n">
        <v>166438.2</v>
      </c>
      <c r="X9" t="n">
        <v>173816.8</v>
      </c>
      <c r="Y9" t="n">
        <v>147932.7</v>
      </c>
      <c r="Z9" t="n">
        <v>158232.8</v>
      </c>
      <c r="AA9" t="n">
        <v>172539.6</v>
      </c>
      <c r="AB9" t="n">
        <v>170110.8</v>
      </c>
      <c r="AC9" t="n">
        <v>163563.9</v>
      </c>
      <c r="AD9" t="n">
        <v>158761.8</v>
      </c>
      <c r="CC9" t="inlineStr">
        <is>
          <t>Leverage Ratio</t>
        </is>
      </c>
      <c r="CD9" t="n">
        <v>7.83</v>
      </c>
      <c r="CE9" t="n">
        <v>8.779999999999999</v>
      </c>
      <c r="CF9" t="n">
        <v>8.93</v>
      </c>
      <c r="CG9" t="n">
        <v>9.699999999999999</v>
      </c>
      <c r="CH9" t="n">
        <v>12.94</v>
      </c>
      <c r="CI9" t="n">
        <v>15.1</v>
      </c>
      <c r="CJ9" t="n">
        <v>20.4</v>
      </c>
      <c r="CK9" t="n">
        <v>17.3</v>
      </c>
      <c r="CL9" t="n">
        <v>19.3</v>
      </c>
      <c r="CM9" t="n">
        <v>19.9</v>
      </c>
      <c r="CN9" t="n">
        <v>19.1</v>
      </c>
      <c r="CO9" t="n">
        <v>16.7</v>
      </c>
      <c r="CP9" t="n">
        <v>13.6</v>
      </c>
    </row>
    <row r="10">
      <c r="CC10" t="inlineStr">
        <is>
          <t>LCR</t>
        </is>
      </c>
      <c r="CF10" t="n">
        <v>167</v>
      </c>
      <c r="CG10" t="n">
        <v>1040</v>
      </c>
      <c r="CH10" t="n">
        <v>1027</v>
      </c>
      <c r="CI10" t="n">
        <v>524</v>
      </c>
      <c r="CJ10" t="n">
        <v>403</v>
      </c>
      <c r="CK10" t="n">
        <v>748</v>
      </c>
      <c r="CL10" t="n">
        <v>405</v>
      </c>
      <c r="CM10" t="n">
        <v>384</v>
      </c>
      <c r="CN10" t="n">
        <v>647</v>
      </c>
      <c r="CO10" t="n">
        <v>201</v>
      </c>
      <c r="CP10" t="n">
        <v>350</v>
      </c>
    </row>
    <row r="11">
      <c r="A11" s="3" t="inlineStr">
        <is>
          <t>Profit &amp; Loss Summary (£'000 (conv. from USD))</t>
        </is>
      </c>
      <c r="CC11" t="inlineStr">
        <is>
          <t>NSFR</t>
        </is>
      </c>
      <c r="CD11" t="n">
        <v>110</v>
      </c>
      <c r="CE11" t="n">
        <v>131</v>
      </c>
      <c r="CF11" t="n">
        <v>119</v>
      </c>
      <c r="CG11" t="n">
        <v>180</v>
      </c>
      <c r="CH11" t="n">
        <v>171</v>
      </c>
      <c r="CI11" t="n">
        <v>139</v>
      </c>
      <c r="CJ11" t="n">
        <v>126</v>
      </c>
      <c r="CK11" t="n">
        <v>146</v>
      </c>
      <c r="CL11" t="n">
        <v>128</v>
      </c>
      <c r="CM11" t="n">
        <v>135</v>
      </c>
      <c r="CN11" t="n">
        <v>130</v>
      </c>
      <c r="CO11" t="n">
        <v>121</v>
      </c>
      <c r="CP11" t="n">
        <v>118</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row>
    <row r="13">
      <c r="A13" s="5" t="inlineStr">
        <is>
          <t>Profit after tax for the year</t>
        </is>
      </c>
      <c r="B13" s="5" t="n">
        <v>2191.1</v>
      </c>
      <c r="C13" s="5" t="n">
        <v>587.6</v>
      </c>
      <c r="D13" s="5" t="n">
        <v>4941.9</v>
      </c>
      <c r="E13" s="5" t="n">
        <v>6918.2</v>
      </c>
      <c r="F13" s="5" t="n">
        <v>5786.9</v>
      </c>
      <c r="G13" s="5" t="n">
        <v>-7757.1</v>
      </c>
      <c r="H13" s="5" t="n">
        <v>2145.1</v>
      </c>
      <c r="I13" s="5" t="n">
        <v>6335.1</v>
      </c>
      <c r="J13" s="5" t="n">
        <v>4439.8</v>
      </c>
      <c r="K13" s="5" t="n">
        <v>-85197.8</v>
      </c>
      <c r="L13" s="5" t="n">
        <v>-18051.3</v>
      </c>
      <c r="M13" s="5" t="n">
        <v>5036.3</v>
      </c>
      <c r="N13" s="5" t="n">
        <v>4396.2</v>
      </c>
      <c r="AG13" t="inlineStr">
        <is>
          <t>Profit after tax for the year</t>
        </is>
      </c>
      <c r="AH13" t="n">
        <v>4396.2</v>
      </c>
      <c r="AI13" t="n">
        <v>5036.3</v>
      </c>
      <c r="AJ13" t="n">
        <v>-18051.3</v>
      </c>
      <c r="AK13" t="n">
        <v>-85197.8</v>
      </c>
      <c r="AL13" t="n">
        <v>4439.8</v>
      </c>
      <c r="AM13" t="n">
        <v>6335.1</v>
      </c>
      <c r="AN13" t="n">
        <v>2145.1</v>
      </c>
      <c r="AO13" t="n">
        <v>-7757.1</v>
      </c>
      <c r="AP13" t="n">
        <v>5786.9</v>
      </c>
      <c r="AQ13" t="n">
        <v>6918.2</v>
      </c>
      <c r="AR13" t="n">
        <v>4941.9</v>
      </c>
      <c r="AS13" t="n">
        <v>587.6</v>
      </c>
      <c r="AT13" t="n">
        <v>2191.1</v>
      </c>
    </row>
    <row r="14">
      <c r="A14" s="5" t="inlineStr">
        <is>
          <t>Total comprehensive income for the year, net of tax</t>
        </is>
      </c>
      <c r="B14" s="5" t="n">
        <v>1891.2</v>
      </c>
      <c r="C14" s="5" t="n">
        <v>897.9</v>
      </c>
      <c r="D14" s="5" t="n">
        <v>5084.3</v>
      </c>
      <c r="E14" s="5" t="n">
        <v>7173.1</v>
      </c>
      <c r="F14" s="5" t="n">
        <v>4790.7</v>
      </c>
      <c r="G14" s="5" t="n">
        <v>-6753.6</v>
      </c>
      <c r="H14" s="5" t="n">
        <v>1635.2</v>
      </c>
      <c r="I14" s="5" t="n">
        <v>6753.2</v>
      </c>
      <c r="J14" s="5" t="n">
        <v>3593.8</v>
      </c>
      <c r="K14" s="5" t="n">
        <v>-85522.3</v>
      </c>
      <c r="L14" s="5" t="n">
        <v>-18953.7</v>
      </c>
      <c r="M14" s="5" t="n">
        <v>9226.700000000001</v>
      </c>
      <c r="N14" s="5" t="n">
        <v>1169.2</v>
      </c>
      <c r="AG14" t="inlineStr">
        <is>
          <t>Total comprehensive income for the year, net of tax</t>
        </is>
      </c>
      <c r="AH14" t="n">
        <v>1169.2</v>
      </c>
      <c r="AI14" t="n">
        <v>9226.700000000001</v>
      </c>
      <c r="AJ14" t="n">
        <v>-18953.7</v>
      </c>
      <c r="AK14" t="n">
        <v>-85522.3</v>
      </c>
      <c r="AL14" t="n">
        <v>3593.8</v>
      </c>
      <c r="AM14" t="n">
        <v>6753.2</v>
      </c>
      <c r="AN14" t="n">
        <v>1635.2</v>
      </c>
      <c r="AO14" t="n">
        <v>-6753.6</v>
      </c>
      <c r="AP14" t="n">
        <v>4790.7</v>
      </c>
      <c r="AQ14" t="n">
        <v>7173.1</v>
      </c>
      <c r="AR14" t="n">
        <v>5084.3</v>
      </c>
      <c r="AS14" t="n">
        <v>897.9</v>
      </c>
      <c r="AT14" t="n">
        <v>1891.2</v>
      </c>
    </row>
    <row r="16">
      <c r="A16" s="3" t="inlineStr">
        <is>
          <t>Statement of Changes in Equity Summary (£'000 (conv. from USD))</t>
        </is>
      </c>
    </row>
    <row r="17">
      <c r="A17" s="4" t="inlineStr">
        <is>
          <t>Line item</t>
        </is>
      </c>
      <c r="B17" s="4" t="inlineStr">
        <is>
          <t>FY2026</t>
        </is>
      </c>
      <c r="C17" s="4" t="inlineStr">
        <is>
          <t>FY2025</t>
        </is>
      </c>
      <c r="D17" s="4" t="inlineStr">
        <is>
          <t>FY2024</t>
        </is>
      </c>
      <c r="E17" s="4" t="inlineStr">
        <is>
          <t>FY2023</t>
        </is>
      </c>
      <c r="F17" s="4" t="inlineStr">
        <is>
          <t>FY2022</t>
        </is>
      </c>
      <c r="G17" s="4" t="inlineStr">
        <is>
          <t>FY2021</t>
        </is>
      </c>
      <c r="H17" s="4" t="inlineStr">
        <is>
          <t>FY2020</t>
        </is>
      </c>
      <c r="I17" s="4" t="inlineStr">
        <is>
          <t>FY2019</t>
        </is>
      </c>
      <c r="J17" s="4" t="inlineStr">
        <is>
          <t>FY2018</t>
        </is>
      </c>
      <c r="K17" s="4" t="inlineStr">
        <is>
          <t>FY2017</t>
        </is>
      </c>
      <c r="L17" s="4" t="inlineStr">
        <is>
          <t>FY2016</t>
        </is>
      </c>
      <c r="M17" s="4" t="inlineStr">
        <is>
          <t>FY2015</t>
        </is>
      </c>
      <c r="N17" s="4" t="inlineStr">
        <is>
          <t>FY2014</t>
        </is>
      </c>
      <c r="AX17" t="inlineStr">
        <is>
          <t>FY2014</t>
        </is>
      </c>
      <c r="AY17" t="inlineStr">
        <is>
          <t>FY2015</t>
        </is>
      </c>
      <c r="AZ17" t="inlineStr">
        <is>
          <t>FY2016</t>
        </is>
      </c>
      <c r="BA17" t="inlineStr">
        <is>
          <t>FY2017</t>
        </is>
      </c>
      <c r="BB17" t="inlineStr">
        <is>
          <t>FY2018</t>
        </is>
      </c>
      <c r="BC17" t="inlineStr">
        <is>
          <t>FY2019</t>
        </is>
      </c>
      <c r="BD17" t="inlineStr">
        <is>
          <t>FY2020</t>
        </is>
      </c>
      <c r="BE17" t="inlineStr">
        <is>
          <t>FY2021</t>
        </is>
      </c>
      <c r="BF17" t="inlineStr">
        <is>
          <t>FY2022</t>
        </is>
      </c>
      <c r="BG17" t="inlineStr">
        <is>
          <t>FY2023</t>
        </is>
      </c>
      <c r="BH17" t="inlineStr">
        <is>
          <t>FY2024</t>
        </is>
      </c>
      <c r="BI17" t="inlineStr">
        <is>
          <t>FY2025</t>
        </is>
      </c>
      <c r="BJ17" t="inlineStr">
        <is>
          <t>FY2026</t>
        </is>
      </c>
    </row>
    <row r="18">
      <c r="A18" s="5" t="inlineStr">
        <is>
          <t>Opening equity</t>
        </is>
      </c>
      <c r="B18" s="5" t="n">
        <v>160116</v>
      </c>
      <c r="C18" s="5" t="n">
        <v>166267.2</v>
      </c>
      <c r="D18" s="5" t="n">
        <v>168879</v>
      </c>
      <c r="E18" s="5" t="n">
        <v>168445.5</v>
      </c>
      <c r="F18" s="5" t="n">
        <v>155058.5</v>
      </c>
      <c r="G18" s="5" t="n"/>
      <c r="H18" s="5" t="n">
        <v>174852.1</v>
      </c>
      <c r="I18" s="5" t="n">
        <v>161963.2</v>
      </c>
      <c r="J18" s="5" t="n">
        <v>136663.6</v>
      </c>
      <c r="K18" s="5" t="n">
        <v>142824.8</v>
      </c>
      <c r="L18" s="5" t="n">
        <v>144753.8</v>
      </c>
      <c r="M18" s="5" t="n">
        <v>130889.1</v>
      </c>
      <c r="N18" s="5" t="n">
        <v>86117.10000000001</v>
      </c>
      <c r="AW18" t="inlineStr">
        <is>
          <t>Opening equity</t>
        </is>
      </c>
      <c r="AX18" t="n">
        <v>86117.10000000001</v>
      </c>
      <c r="AY18" t="n">
        <v>130889.1</v>
      </c>
      <c r="AZ18" t="n">
        <v>144753.8</v>
      </c>
      <c r="BA18" t="n">
        <v>142824.8</v>
      </c>
      <c r="BB18" t="n">
        <v>136663.6</v>
      </c>
      <c r="BC18" t="n">
        <v>161963.2</v>
      </c>
      <c r="BD18" t="n">
        <v>174852.1</v>
      </c>
      <c r="BF18" t="n">
        <v>155058.5</v>
      </c>
      <c r="BG18" t="n">
        <v>168445.5</v>
      </c>
      <c r="BH18" t="n">
        <v>168879</v>
      </c>
      <c r="BI18" t="n">
        <v>166267.2</v>
      </c>
      <c r="BJ18" t="n">
        <v>160116</v>
      </c>
    </row>
    <row r="19">
      <c r="A19" s="5" t="inlineStr">
        <is>
          <t>Total comprehensive income for the year</t>
        </is>
      </c>
      <c r="B19" s="5" t="n">
        <v>1891.2</v>
      </c>
      <c r="C19" s="5" t="n">
        <v>897.9</v>
      </c>
      <c r="D19" s="5" t="n">
        <v>5084.3</v>
      </c>
      <c r="E19" s="5" t="n">
        <v>7173.1</v>
      </c>
      <c r="F19" s="5" t="n">
        <v>4790.7</v>
      </c>
      <c r="G19" s="5" t="n">
        <v>-6753.6</v>
      </c>
      <c r="H19" s="5" t="n">
        <v>1635.2</v>
      </c>
      <c r="I19" s="5" t="n">
        <v>6753.2</v>
      </c>
      <c r="J19" s="5" t="n">
        <v>3593.8</v>
      </c>
      <c r="K19" s="5" t="n">
        <v>-85522.3</v>
      </c>
      <c r="L19" s="5" t="n">
        <v>-18953.7</v>
      </c>
      <c r="M19" s="5" t="n">
        <v>9226.700000000001</v>
      </c>
      <c r="N19" s="5" t="n">
        <v>1169.2</v>
      </c>
      <c r="AW19" t="inlineStr">
        <is>
          <t>Total comprehensive income for the year</t>
        </is>
      </c>
      <c r="AX19" t="n">
        <v>1169.2</v>
      </c>
      <c r="AY19" t="n">
        <v>9226.700000000001</v>
      </c>
      <c r="AZ19" t="n">
        <v>-18953.7</v>
      </c>
      <c r="BA19" t="n">
        <v>-85522.3</v>
      </c>
      <c r="BB19" t="n">
        <v>3593.8</v>
      </c>
      <c r="BC19" t="n">
        <v>6753.2</v>
      </c>
      <c r="BD19" t="n">
        <v>1635.2</v>
      </c>
      <c r="BE19" t="n">
        <v>-6753.6</v>
      </c>
      <c r="BF19" t="n">
        <v>4790.7</v>
      </c>
      <c r="BG19" t="n">
        <v>7173.1</v>
      </c>
      <c r="BH19" t="n">
        <v>5084.3</v>
      </c>
      <c r="BI19" t="n">
        <v>897.9</v>
      </c>
      <c r="BJ19" t="n">
        <v>1891.2</v>
      </c>
    </row>
    <row r="20">
      <c r="A20" s="5" t="inlineStr">
        <is>
          <t>Other equity movements, net (dividends on AT1 capital)</t>
        </is>
      </c>
      <c r="B20" s="5" t="n">
        <v>-3223.7</v>
      </c>
      <c r="C20" s="5" t="n">
        <v>-3632.4</v>
      </c>
      <c r="D20" s="5" t="n">
        <v>-3846.3</v>
      </c>
      <c r="E20" s="5" t="n">
        <v>-2970.5</v>
      </c>
      <c r="F20" s="5" t="n">
        <v>-1732.5</v>
      </c>
      <c r="G20" s="5" t="n"/>
      <c r="H20" s="5" t="n">
        <v>-2645.6</v>
      </c>
      <c r="I20" s="5" t="n">
        <v>-2312.3</v>
      </c>
      <c r="J20" s="5" t="n">
        <v>12862.2</v>
      </c>
      <c r="K20" s="5" t="n">
        <v>95644</v>
      </c>
      <c r="L20" s="5" t="n">
        <v>-603.4</v>
      </c>
      <c r="M20" s="5" t="n">
        <v>-671</v>
      </c>
      <c r="N20" s="5" t="n">
        <v>30747.8</v>
      </c>
      <c r="AW20" t="inlineStr">
        <is>
          <t>Other equity movements, net (dividends on AT1 capital)</t>
        </is>
      </c>
      <c r="AX20" t="n">
        <v>30747.8</v>
      </c>
      <c r="AY20" t="n">
        <v>-671</v>
      </c>
      <c r="AZ20" t="n">
        <v>-603.4</v>
      </c>
      <c r="BA20" t="n">
        <v>95644</v>
      </c>
      <c r="BB20" t="n">
        <v>12862.2</v>
      </c>
      <c r="BC20" t="n">
        <v>-2312.3</v>
      </c>
      <c r="BD20" t="n">
        <v>-2645.6</v>
      </c>
      <c r="BF20" t="n">
        <v>-1732.5</v>
      </c>
      <c r="BG20" t="n">
        <v>-2970.5</v>
      </c>
      <c r="BH20" t="n">
        <v>-3846.3</v>
      </c>
      <c r="BI20" t="n">
        <v>-3632.4</v>
      </c>
      <c r="BJ20" t="n">
        <v>-3223.7</v>
      </c>
    </row>
    <row r="21">
      <c r="A21" s="5" t="inlineStr">
        <is>
          <t>Closing equity</t>
        </is>
      </c>
      <c r="B21" s="5" t="n">
        <v>158761.8</v>
      </c>
      <c r="C21" s="5" t="n">
        <v>163563.9</v>
      </c>
      <c r="D21" s="5" t="n">
        <v>170110.8</v>
      </c>
      <c r="E21" s="5" t="n">
        <v>172539.6</v>
      </c>
      <c r="F21" s="5" t="n">
        <v>158232.8</v>
      </c>
      <c r="G21" s="5" t="n">
        <v>147932.7</v>
      </c>
      <c r="H21" s="5" t="n">
        <v>173816.8</v>
      </c>
      <c r="I21" s="5" t="n">
        <v>166438.2</v>
      </c>
      <c r="J21" s="5" t="n">
        <v>152228.3</v>
      </c>
      <c r="K21" s="5" t="n">
        <v>153399.7</v>
      </c>
      <c r="L21" s="5" t="n">
        <v>124239.1</v>
      </c>
      <c r="M21" s="5" t="n">
        <v>140181.2</v>
      </c>
      <c r="N21" s="5" t="n">
        <v>116554.3</v>
      </c>
      <c r="AW21" t="inlineStr">
        <is>
          <t>Closing equity</t>
        </is>
      </c>
      <c r="AX21" t="n">
        <v>116554.3</v>
      </c>
      <c r="AY21" t="n">
        <v>140181.2</v>
      </c>
      <c r="AZ21" t="n">
        <v>124239.1</v>
      </c>
      <c r="BA21" t="n">
        <v>153399.7</v>
      </c>
      <c r="BB21" t="n">
        <v>152228.3</v>
      </c>
      <c r="BC21" t="n">
        <v>166438.2</v>
      </c>
      <c r="BD21" t="n">
        <v>173816.8</v>
      </c>
      <c r="BE21" t="n">
        <v>147932.7</v>
      </c>
      <c r="BF21" t="n">
        <v>158232.8</v>
      </c>
      <c r="BG21" t="n">
        <v>172539.6</v>
      </c>
      <c r="BH21" t="n">
        <v>170110.8</v>
      </c>
      <c r="BI21" t="n">
        <v>163563.9</v>
      </c>
      <c r="BJ21" t="n">
        <v>158761.8</v>
      </c>
    </row>
    <row r="23">
      <c r="A23" s="3" t="inlineStr">
        <is>
          <t>Cash Flow Summary (£'000 (conv. from USD))</t>
        </is>
      </c>
    </row>
    <row r="24">
      <c r="A24" s="4" t="inlineStr">
        <is>
          <t>Line item</t>
        </is>
      </c>
      <c r="B24" s="4" t="inlineStr">
        <is>
          <t>FY2026</t>
        </is>
      </c>
      <c r="C24" s="4" t="inlineStr">
        <is>
          <t>FY2025</t>
        </is>
      </c>
      <c r="D24" s="4" t="inlineStr">
        <is>
          <t>FY2024</t>
        </is>
      </c>
      <c r="E24" s="4" t="inlineStr">
        <is>
          <t>FY2023</t>
        </is>
      </c>
      <c r="F24" s="4" t="inlineStr">
        <is>
          <t>FY2022</t>
        </is>
      </c>
      <c r="G24" s="4" t="inlineStr">
        <is>
          <t>FY2021</t>
        </is>
      </c>
      <c r="H24" s="4" t="inlineStr">
        <is>
          <t>FY2020</t>
        </is>
      </c>
      <c r="I24" s="4" t="inlineStr">
        <is>
          <t>FY2019</t>
        </is>
      </c>
      <c r="J24" s="4" t="inlineStr">
        <is>
          <t>FY2018</t>
        </is>
      </c>
      <c r="K24" s="4" t="inlineStr">
        <is>
          <t>FY2017</t>
        </is>
      </c>
      <c r="L24" s="4" t="inlineStr">
        <is>
          <t>FY2016</t>
        </is>
      </c>
      <c r="M24" s="4" t="inlineStr">
        <is>
          <t>FY2015</t>
        </is>
      </c>
      <c r="N24" s="4" t="inlineStr">
        <is>
          <t>FY2014</t>
        </is>
      </c>
      <c r="BN24" t="inlineStr">
        <is>
          <t>FY2014</t>
        </is>
      </c>
      <c r="BO24" t="inlineStr">
        <is>
          <t>FY2015</t>
        </is>
      </c>
      <c r="BP24" t="inlineStr">
        <is>
          <t>FY2016</t>
        </is>
      </c>
      <c r="BQ24" t="inlineStr">
        <is>
          <t>FY2017</t>
        </is>
      </c>
      <c r="BR24" t="inlineStr">
        <is>
          <t>FY2018</t>
        </is>
      </c>
      <c r="BS24" t="inlineStr">
        <is>
          <t>FY2019</t>
        </is>
      </c>
      <c r="BT24" t="inlineStr">
        <is>
          <t>FY2020</t>
        </is>
      </c>
      <c r="BU24" t="inlineStr">
        <is>
          <t>FY2021</t>
        </is>
      </c>
      <c r="BV24" t="inlineStr">
        <is>
          <t>FY2022</t>
        </is>
      </c>
      <c r="BW24" t="inlineStr">
        <is>
          <t>FY2023</t>
        </is>
      </c>
      <c r="BX24" t="inlineStr">
        <is>
          <t>FY2024</t>
        </is>
      </c>
      <c r="BY24" t="inlineStr">
        <is>
          <t>FY2025</t>
        </is>
      </c>
      <c r="BZ24" t="inlineStr">
        <is>
          <t>FY2026</t>
        </is>
      </c>
    </row>
    <row r="25">
      <c r="A25" s="5" t="inlineStr">
        <is>
          <t>Net cash (used in)/generated from operating activities</t>
        </is>
      </c>
      <c r="B25" s="5" t="n">
        <v>47658.9</v>
      </c>
      <c r="C25" s="5" t="n">
        <v>2756.4</v>
      </c>
      <c r="D25" s="5" t="n">
        <v>-23233.6</v>
      </c>
      <c r="E25" s="5" t="n">
        <v>6421.8</v>
      </c>
      <c r="F25" s="5" t="n">
        <v>-15142</v>
      </c>
      <c r="G25" s="5" t="n">
        <v>77735.89999999999</v>
      </c>
      <c r="H25" s="5" t="n">
        <v>-16883.9</v>
      </c>
      <c r="I25" s="5" t="n">
        <v>24220.9</v>
      </c>
      <c r="J25" s="5" t="n">
        <v>-251783.3</v>
      </c>
      <c r="K25" s="5" t="n">
        <v>121040.8</v>
      </c>
      <c r="L25" s="5" t="n">
        <v>53836.4</v>
      </c>
      <c r="M25" s="5" t="n">
        <v>-34341.7</v>
      </c>
      <c r="N25" s="5" t="n">
        <v>3387.4</v>
      </c>
      <c r="BM25" t="inlineStr">
        <is>
          <t>Net cash (used in)/generated from operating activities</t>
        </is>
      </c>
      <c r="BN25" t="n">
        <v>3387.4</v>
      </c>
      <c r="BO25" t="n">
        <v>-34341.7</v>
      </c>
      <c r="BP25" t="n">
        <v>53836.4</v>
      </c>
      <c r="BQ25" t="n">
        <v>121040.8</v>
      </c>
      <c r="BR25" t="n">
        <v>-251783.3</v>
      </c>
      <c r="BS25" t="n">
        <v>24220.9</v>
      </c>
      <c r="BT25" t="n">
        <v>-16883.9</v>
      </c>
      <c r="BU25" t="n">
        <v>77735.89999999999</v>
      </c>
      <c r="BV25" t="n">
        <v>-15142</v>
      </c>
      <c r="BW25" t="n">
        <v>6421.8</v>
      </c>
      <c r="BX25" t="n">
        <v>-23233.6</v>
      </c>
      <c r="BY25" t="n">
        <v>2756.4</v>
      </c>
      <c r="BZ25" t="n">
        <v>47658.9</v>
      </c>
    </row>
    <row r="26">
      <c r="A26" s="5" t="inlineStr">
        <is>
          <t>Net cash (used in)/generated from investing activities</t>
        </is>
      </c>
      <c r="B26" s="5" t="n">
        <v>-21032.5</v>
      </c>
      <c r="C26" s="5" t="n">
        <v>-5553.6</v>
      </c>
      <c r="D26" s="5" t="n">
        <v>17663.1</v>
      </c>
      <c r="E26" s="5" t="n">
        <v>-7652.1</v>
      </c>
      <c r="F26" s="5" t="n">
        <v>-35215.9</v>
      </c>
      <c r="G26" s="5" t="n">
        <v>-7487.3</v>
      </c>
      <c r="H26" s="5" t="n">
        <v>358</v>
      </c>
      <c r="I26" s="5" t="n">
        <v>-1818</v>
      </c>
      <c r="J26" s="5" t="n">
        <v>-30200.4</v>
      </c>
      <c r="K26" s="5" t="n">
        <v>-6465.9</v>
      </c>
      <c r="L26" s="5" t="n">
        <v>68.3</v>
      </c>
      <c r="M26" s="5" t="n">
        <v>1206.2</v>
      </c>
      <c r="N26" s="5" t="n">
        <v>1225.8</v>
      </c>
      <c r="BM26" t="inlineStr">
        <is>
          <t>Net cash (used in)/generated from investing activities</t>
        </is>
      </c>
      <c r="BN26" t="n">
        <v>1225.8</v>
      </c>
      <c r="BO26" t="n">
        <v>1206.2</v>
      </c>
      <c r="BP26" t="n">
        <v>68.3</v>
      </c>
      <c r="BQ26" t="n">
        <v>-6465.9</v>
      </c>
      <c r="BR26" t="n">
        <v>-30200.4</v>
      </c>
      <c r="BS26" t="n">
        <v>-1818</v>
      </c>
      <c r="BT26" t="n">
        <v>358</v>
      </c>
      <c r="BU26" t="n">
        <v>-7487.3</v>
      </c>
      <c r="BV26" t="n">
        <v>-35215.9</v>
      </c>
      <c r="BW26" t="n">
        <v>-7652.1</v>
      </c>
      <c r="BX26" t="n">
        <v>17663.1</v>
      </c>
      <c r="BY26" t="n">
        <v>-5553.6</v>
      </c>
      <c r="BZ26" t="n">
        <v>-21032.5</v>
      </c>
    </row>
    <row r="27">
      <c r="A27" s="5" t="inlineStr">
        <is>
          <t>Net cash used in financing activities</t>
        </is>
      </c>
      <c r="B27" s="5" t="n">
        <v>-11482.4</v>
      </c>
      <c r="C27" s="5" t="n">
        <v>-12292.6</v>
      </c>
      <c r="D27" s="5" t="n">
        <v>-4430.3</v>
      </c>
      <c r="E27" s="5" t="n">
        <v>-3730.2</v>
      </c>
      <c r="F27" s="5" t="n">
        <v>-2419.1</v>
      </c>
      <c r="G27" s="5" t="n">
        <v>-2645.3</v>
      </c>
      <c r="H27" s="5" t="n">
        <v>-3322.3</v>
      </c>
      <c r="I27" s="5" t="n">
        <v>-2613.9</v>
      </c>
      <c r="J27" s="5" t="n">
        <v>12862.2</v>
      </c>
      <c r="K27" s="5" t="n">
        <v>76528.7</v>
      </c>
      <c r="L27" s="5" t="n">
        <v>5877.2</v>
      </c>
      <c r="M27" s="5" t="n">
        <v>5530.5</v>
      </c>
      <c r="N27" s="5" t="n">
        <v>33892.5</v>
      </c>
      <c r="BM27" t="inlineStr">
        <is>
          <t>Net cash used in financing activities</t>
        </is>
      </c>
      <c r="BN27" t="n">
        <v>33892.5</v>
      </c>
      <c r="BO27" t="n">
        <v>5530.5</v>
      </c>
      <c r="BP27" t="n">
        <v>5877.2</v>
      </c>
      <c r="BQ27" t="n">
        <v>76528.7</v>
      </c>
      <c r="BR27" t="n">
        <v>12862.2</v>
      </c>
      <c r="BS27" t="n">
        <v>-2613.9</v>
      </c>
      <c r="BT27" t="n">
        <v>-3322.3</v>
      </c>
      <c r="BU27" t="n">
        <v>-2645.3</v>
      </c>
      <c r="BV27" t="n">
        <v>-2419.1</v>
      </c>
      <c r="BW27" t="n">
        <v>-3730.2</v>
      </c>
      <c r="BX27" t="n">
        <v>-4430.3</v>
      </c>
      <c r="BY27" t="n">
        <v>-12292.6</v>
      </c>
      <c r="BZ27" t="n">
        <v>-11482.4</v>
      </c>
    </row>
    <row r="28">
      <c r="A28" s="5" t="inlineStr">
        <is>
          <t>Cash and cash equivalents at end of year</t>
        </is>
      </c>
      <c r="B28" s="5" t="n">
        <v>106098</v>
      </c>
      <c r="C28" s="5" t="n">
        <v>90436.10000000001</v>
      </c>
      <c r="D28" s="5" t="n">
        <v>106105.1</v>
      </c>
      <c r="E28" s="5" t="n">
        <v>117131.2</v>
      </c>
      <c r="F28" s="5" t="n">
        <v>113811</v>
      </c>
      <c r="G28" s="5" t="n">
        <v>160423.3</v>
      </c>
      <c r="H28" s="5" t="n">
        <v>106530.7</v>
      </c>
      <c r="I28" s="5" t="n">
        <v>120762.1</v>
      </c>
      <c r="J28" s="5" t="n">
        <v>93613.60000000001</v>
      </c>
      <c r="K28" s="5" t="n">
        <v>391788.6</v>
      </c>
      <c r="L28" s="5" t="n">
        <v>167064.3</v>
      </c>
      <c r="M28" s="5" t="n">
        <v>101058.8</v>
      </c>
      <c r="N28" s="5" t="n">
        <v>116688.7</v>
      </c>
      <c r="BM28" t="inlineStr">
        <is>
          <t>Cash and cash equivalents at end of year</t>
        </is>
      </c>
      <c r="BN28" t="n">
        <v>116688.7</v>
      </c>
      <c r="BO28" t="n">
        <v>101058.8</v>
      </c>
      <c r="BP28" t="n">
        <v>167064.3</v>
      </c>
      <c r="BQ28" t="n">
        <v>391788.6</v>
      </c>
      <c r="BR28" t="n">
        <v>93613.60000000001</v>
      </c>
      <c r="BS28" t="n">
        <v>120762.1</v>
      </c>
      <c r="BT28" t="n">
        <v>106530.7</v>
      </c>
      <c r="BU28" t="n">
        <v>160423.3</v>
      </c>
      <c r="BV28" t="n">
        <v>113811</v>
      </c>
      <c r="BW28" t="n">
        <v>117131.2</v>
      </c>
      <c r="BX28" t="n">
        <v>106105.1</v>
      </c>
      <c r="BY28" t="n">
        <v>90436.10000000001</v>
      </c>
      <c r="BZ28" t="n">
        <v>106098</v>
      </c>
    </row>
    <row r="30">
      <c r="A30" s="3" t="inlineStr">
        <is>
          <t>Pillar 3 Key Metrics</t>
        </is>
      </c>
    </row>
    <row r="31">
      <c r="A31" s="4" t="inlineStr">
        <is>
          <t>Line item</t>
        </is>
      </c>
      <c r="B31" s="4" t="inlineStr">
        <is>
          <t>FY2026</t>
        </is>
      </c>
      <c r="C31" s="4" t="inlineStr">
        <is>
          <t>FY2025</t>
        </is>
      </c>
      <c r="D31" s="4" t="inlineStr">
        <is>
          <t>FY2024</t>
        </is>
      </c>
      <c r="E31" s="4" t="inlineStr">
        <is>
          <t>FY2023</t>
        </is>
      </c>
      <c r="F31" s="4" t="inlineStr">
        <is>
          <t>FY2022</t>
        </is>
      </c>
      <c r="G31" s="4" t="inlineStr">
        <is>
          <t>FY2021</t>
        </is>
      </c>
      <c r="H31" s="4" t="inlineStr">
        <is>
          <t>FY2020</t>
        </is>
      </c>
      <c r="I31" s="4" t="inlineStr">
        <is>
          <t>FY2019</t>
        </is>
      </c>
      <c r="J31" s="4" t="inlineStr">
        <is>
          <t>FY2018</t>
        </is>
      </c>
      <c r="K31" s="4" t="inlineStr">
        <is>
          <t>FY2017</t>
        </is>
      </c>
      <c r="L31" s="4" t="inlineStr">
        <is>
          <t>FY2016</t>
        </is>
      </c>
      <c r="M31" s="4" t="inlineStr">
        <is>
          <t>FY2015</t>
        </is>
      </c>
      <c r="N31" s="4" t="inlineStr">
        <is>
          <t>FY2014</t>
        </is>
      </c>
    </row>
    <row r="32">
      <c r="A32" s="6" t="inlineStr">
        <is>
          <t>CET1 Ratio</t>
        </is>
      </c>
      <c r="B32" s="6" t="inlineStr">
        <is>
          <t>15.4%</t>
        </is>
      </c>
      <c r="C32" s="6" t="inlineStr">
        <is>
          <t>20.2%</t>
        </is>
      </c>
      <c r="D32" s="6" t="inlineStr">
        <is>
          <t>20.6%</t>
        </is>
      </c>
      <c r="E32" s="6" t="inlineStr">
        <is>
          <t>19.6%</t>
        </is>
      </c>
      <c r="F32" s="6" t="inlineStr">
        <is>
          <t>17.2%</t>
        </is>
      </c>
      <c r="G32" s="6" t="inlineStr">
        <is>
          <t>17.1%</t>
        </is>
      </c>
      <c r="H32" s="6" t="inlineStr">
        <is>
          <t>19.3%</t>
        </is>
      </c>
      <c r="I32" s="6" t="inlineStr">
        <is>
          <t>18.9%</t>
        </is>
      </c>
      <c r="J32" s="6" t="inlineStr">
        <is>
          <t>15.8%</t>
        </is>
      </c>
      <c r="K32" s="6" t="inlineStr">
        <is>
          <t>11.90%</t>
        </is>
      </c>
      <c r="L32" s="6" t="inlineStr">
        <is>
          <t>9.15%</t>
        </is>
      </c>
      <c r="M32" s="6" t="inlineStr">
        <is>
          <t>10.37%</t>
        </is>
      </c>
      <c r="N32" s="6" t="inlineStr">
        <is>
          <t>10.22%</t>
        </is>
      </c>
    </row>
    <row r="33">
      <c r="A33" s="6" t="inlineStr">
        <is>
          <t>Tier 1 Ratio</t>
        </is>
      </c>
      <c r="B33" s="6" t="inlineStr">
        <is>
          <t>20.5%</t>
        </is>
      </c>
      <c r="C33" s="6" t="inlineStr">
        <is>
          <t>26.7%</t>
        </is>
      </c>
      <c r="D33" s="6" t="inlineStr">
        <is>
          <t>27.0%</t>
        </is>
      </c>
      <c r="E33" s="6" t="inlineStr">
        <is>
          <t>25.8%</t>
        </is>
      </c>
      <c r="F33" s="6" t="inlineStr">
        <is>
          <t>22.8%</t>
        </is>
      </c>
      <c r="G33" s="6" t="inlineStr">
        <is>
          <t>22.9%</t>
        </is>
      </c>
      <c r="H33" s="6" t="inlineStr">
        <is>
          <t>25.3%</t>
        </is>
      </c>
      <c r="I33" s="6" t="inlineStr">
        <is>
          <t>24.5%</t>
        </is>
      </c>
      <c r="J33" s="6" t="inlineStr">
        <is>
          <t>20.7%</t>
        </is>
      </c>
      <c r="K33" s="6" t="inlineStr">
        <is>
          <t>16.3%</t>
        </is>
      </c>
      <c r="L33" s="6" t="inlineStr">
        <is>
          <t>10.67%</t>
        </is>
      </c>
      <c r="M33" s="6" t="inlineStr">
        <is>
          <t>10.37%</t>
        </is>
      </c>
      <c r="N33" s="6" t="inlineStr">
        <is>
          <t>10.22%</t>
        </is>
      </c>
    </row>
    <row r="34">
      <c r="A34" s="6" t="inlineStr">
        <is>
          <t>Total Capital Ratio</t>
        </is>
      </c>
      <c r="B34" s="6" t="inlineStr">
        <is>
          <t>23.6%</t>
        </is>
      </c>
      <c r="C34" s="6" t="inlineStr">
        <is>
          <t>31.0%</t>
        </is>
      </c>
      <c r="D34" s="6" t="inlineStr">
        <is>
          <t>31.8%</t>
        </is>
      </c>
      <c r="E34" s="6" t="inlineStr">
        <is>
          <t>31.0%</t>
        </is>
      </c>
      <c r="F34" s="6" t="inlineStr">
        <is>
          <t>26.7%</t>
        </is>
      </c>
      <c r="G34" s="6" t="inlineStr">
        <is>
          <t>26.3%</t>
        </is>
      </c>
      <c r="H34" s="6" t="inlineStr">
        <is>
          <t>29.9%</t>
        </is>
      </c>
      <c r="I34" s="6" t="inlineStr">
        <is>
          <t>29.6%</t>
        </is>
      </c>
      <c r="J34" s="6" t="inlineStr">
        <is>
          <t>26.2%</t>
        </is>
      </c>
      <c r="K34" s="6" t="inlineStr">
        <is>
          <t>21.7%</t>
        </is>
      </c>
      <c r="L34" s="6" t="inlineStr">
        <is>
          <t>14.99%</t>
        </is>
      </c>
      <c r="M34" s="6" t="inlineStr">
        <is>
          <t>15.58%</t>
        </is>
      </c>
      <c r="N34" s="6" t="inlineStr">
        <is>
          <t>15.27%</t>
        </is>
      </c>
    </row>
    <row r="35">
      <c r="A35" s="6" t="inlineStr">
        <is>
          <t>Leverage Ratio</t>
        </is>
      </c>
      <c r="B35" s="6" t="inlineStr">
        <is>
          <t>13.6%</t>
        </is>
      </c>
      <c r="C35" s="6" t="inlineStr">
        <is>
          <t>16.7%</t>
        </is>
      </c>
      <c r="D35" s="6" t="inlineStr">
        <is>
          <t>19.1%</t>
        </is>
      </c>
      <c r="E35" s="6" t="inlineStr">
        <is>
          <t>19.9%</t>
        </is>
      </c>
      <c r="F35" s="6" t="inlineStr">
        <is>
          <t>19.3%</t>
        </is>
      </c>
      <c r="G35" s="6" t="inlineStr">
        <is>
          <t>17.3%</t>
        </is>
      </c>
      <c r="H35" s="6" t="inlineStr">
        <is>
          <t>20.4%</t>
        </is>
      </c>
      <c r="I35" s="6" t="inlineStr">
        <is>
          <t>15.1%</t>
        </is>
      </c>
      <c r="J35" s="6" t="inlineStr">
        <is>
          <t>12.94%</t>
        </is>
      </c>
      <c r="K35" s="6" t="inlineStr">
        <is>
          <t>9.7%</t>
        </is>
      </c>
      <c r="L35" s="6" t="inlineStr">
        <is>
          <t>8.93%</t>
        </is>
      </c>
      <c r="M35" s="6" t="inlineStr">
        <is>
          <t>8.78%</t>
        </is>
      </c>
      <c r="N35" s="6" t="inlineStr">
        <is>
          <t>7.83%</t>
        </is>
      </c>
    </row>
    <row r="36">
      <c r="A36" s="6" t="inlineStr">
        <is>
          <t>LCR</t>
        </is>
      </c>
      <c r="B36" s="6" t="inlineStr">
        <is>
          <t>350%</t>
        </is>
      </c>
      <c r="C36" s="6" t="inlineStr">
        <is>
          <t>201%</t>
        </is>
      </c>
      <c r="D36" s="6" t="inlineStr">
        <is>
          <t>647%</t>
        </is>
      </c>
      <c r="E36" s="6" t="inlineStr">
        <is>
          <t>384%</t>
        </is>
      </c>
      <c r="F36" s="6" t="inlineStr">
        <is>
          <t>405%</t>
        </is>
      </c>
      <c r="G36" s="6" t="inlineStr">
        <is>
          <t>748%</t>
        </is>
      </c>
      <c r="H36" s="6" t="inlineStr">
        <is>
          <t>403%</t>
        </is>
      </c>
      <c r="I36" s="6" t="inlineStr">
        <is>
          <t>524%</t>
        </is>
      </c>
      <c r="J36" s="6" t="inlineStr">
        <is>
          <t>1027%</t>
        </is>
      </c>
      <c r="K36" s="6" t="inlineStr">
        <is>
          <t>1040%</t>
        </is>
      </c>
      <c r="L36" s="6" t="inlineStr">
        <is>
          <t>167.00%</t>
        </is>
      </c>
      <c r="M36" s="6" t="n"/>
      <c r="N36" s="6" t="n"/>
    </row>
    <row r="37">
      <c r="A37" s="6" t="inlineStr">
        <is>
          <t>NSFR</t>
        </is>
      </c>
      <c r="B37" s="6" t="inlineStr">
        <is>
          <t>118%</t>
        </is>
      </c>
      <c r="C37" s="6" t="inlineStr">
        <is>
          <t>121%</t>
        </is>
      </c>
      <c r="D37" s="6" t="inlineStr">
        <is>
          <t>130%</t>
        </is>
      </c>
      <c r="E37" s="6" t="inlineStr">
        <is>
          <t>135%</t>
        </is>
      </c>
      <c r="F37" s="6" t="inlineStr">
        <is>
          <t>128%</t>
        </is>
      </c>
      <c r="G37" s="6" t="inlineStr">
        <is>
          <t>146%</t>
        </is>
      </c>
      <c r="H37" s="6" t="inlineStr">
        <is>
          <t>126%</t>
        </is>
      </c>
      <c r="I37" s="6" t="inlineStr">
        <is>
          <t>139%</t>
        </is>
      </c>
      <c r="J37" s="6" t="inlineStr">
        <is>
          <t>171%</t>
        </is>
      </c>
      <c r="K37" s="6" t="inlineStr">
        <is>
          <t>180%</t>
        </is>
      </c>
      <c r="L37" s="6" t="inlineStr">
        <is>
          <t>119%</t>
        </is>
      </c>
      <c r="M37" s="6" t="inlineStr">
        <is>
          <t>131%</t>
        </is>
      </c>
      <c r="N37" s="6" t="inlineStr">
        <is>
          <t>110%</t>
        </is>
      </c>
    </row>
    <row r="39" ht="45" customHeight="1">
      <c r="A39" s="7" t="inlineStr">
        <is>
          <t>Note: Figures are duplicated from the detail sheets for at-a-glance trend viewing. See each sheet's source citation. Dollar amounts are converted to GBP; ratios remain as reported.</t>
        </is>
      </c>
    </row>
  </sheetData>
  <mergeCells count="1">
    <mergeCell ref="A39:N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Balance Sheet</t>
        </is>
      </c>
    </row>
    <row r="2">
      <c r="A2" s="2" t="inlineStr">
        <is>
          <t>Entity-level Statement of Financial Position, £'000 converted from the Bank's native US$'000 presentation. Blank cells indicate a line not disclosed/not applicable that year.</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row>
    <row r="4">
      <c r="A4" s="5" t="inlineStr">
        <is>
          <t>Assets</t>
        </is>
      </c>
      <c r="B4" s="6" t="n"/>
      <c r="C4" s="6" t="n"/>
      <c r="D4" s="6" t="n"/>
      <c r="E4" s="6" t="n"/>
      <c r="F4" s="6" t="n"/>
      <c r="G4" s="6" t="n"/>
      <c r="H4" s="6" t="n"/>
      <c r="I4" s="6" t="n"/>
      <c r="J4" s="6" t="n"/>
      <c r="K4" s="6" t="n"/>
      <c r="L4" s="6" t="n"/>
      <c r="M4" s="6" t="n"/>
      <c r="N4" s="6" t="n"/>
    </row>
    <row r="5">
      <c r="A5" s="6" t="inlineStr">
        <is>
          <t>Cash and balances with banks</t>
        </is>
      </c>
      <c r="B5" s="6" t="n">
        <v>106098</v>
      </c>
      <c r="C5" s="6" t="n">
        <v>90436.10000000001</v>
      </c>
      <c r="D5" s="6" t="n">
        <v>106105.1</v>
      </c>
      <c r="E5" s="6" t="n">
        <v>117131.2</v>
      </c>
      <c r="F5" s="6" t="n">
        <v>113811</v>
      </c>
      <c r="G5" s="6" t="n">
        <v>160423.3</v>
      </c>
      <c r="H5" s="6" t="n">
        <v>106530.7</v>
      </c>
      <c r="I5" s="6" t="n">
        <v>120762.1</v>
      </c>
      <c r="J5" s="6" t="n">
        <v>93613.60000000001</v>
      </c>
      <c r="K5" s="6" t="n">
        <v>391788.6</v>
      </c>
      <c r="L5" s="6" t="n">
        <v>167064.3</v>
      </c>
      <c r="M5" s="6" t="n">
        <v>101058.8</v>
      </c>
      <c r="N5" s="6" t="n">
        <v>116688.7</v>
      </c>
    </row>
    <row r="6">
      <c r="A6" s="6" t="inlineStr">
        <is>
          <t>Financial assets at fair value through profit or loss</t>
        </is>
      </c>
      <c r="B6" s="6" t="n">
        <v>768.9</v>
      </c>
      <c r="C6" s="6" t="n">
        <v>746.7</v>
      </c>
      <c r="D6" s="6" t="n">
        <v>2397.9</v>
      </c>
      <c r="E6" s="6" t="n">
        <v>0</v>
      </c>
      <c r="F6" s="6" t="n">
        <v>7598.4</v>
      </c>
      <c r="G6" s="6" t="n">
        <v>7299.9</v>
      </c>
      <c r="H6" s="6" t="n">
        <v>27078.1</v>
      </c>
      <c r="I6" s="6" t="n">
        <v>18597.1</v>
      </c>
      <c r="J6" s="6" t="n">
        <v>23222.4</v>
      </c>
      <c r="K6" s="6" t="n">
        <v>47947.5</v>
      </c>
      <c r="L6" s="6" t="n">
        <v>34585.5</v>
      </c>
      <c r="M6" s="6" t="n">
        <v>55005.7</v>
      </c>
      <c r="N6" s="6" t="n">
        <v>37253.6</v>
      </c>
    </row>
    <row r="7">
      <c r="A7" s="6" t="inlineStr">
        <is>
          <t>Derivative financial instruments (asset)</t>
        </is>
      </c>
      <c r="B7" s="6" t="n">
        <v>2217.9</v>
      </c>
      <c r="C7" s="6" t="n">
        <v>120.8</v>
      </c>
      <c r="D7" s="6" t="n">
        <v>11.1</v>
      </c>
      <c r="E7" s="6" t="n">
        <v>5.7</v>
      </c>
      <c r="F7" s="6" t="n">
        <v>808.4</v>
      </c>
      <c r="G7" s="6" t="n">
        <v>1356.2</v>
      </c>
      <c r="H7" s="6" t="n">
        <v>2430.1</v>
      </c>
      <c r="I7" s="6" t="n">
        <v>1943.2</v>
      </c>
      <c r="J7" s="6" t="n">
        <v>8502.799999999999</v>
      </c>
      <c r="K7" s="6" t="n">
        <v>3453.3</v>
      </c>
      <c r="L7" s="6" t="n">
        <v>4168.9</v>
      </c>
      <c r="M7" s="6" t="n">
        <v>2442.2</v>
      </c>
      <c r="N7" s="6" t="n">
        <v>1183.4</v>
      </c>
    </row>
    <row r="8">
      <c r="A8" s="6" t="inlineStr">
        <is>
          <t>Loans and advances to banks</t>
        </is>
      </c>
      <c r="B8" s="6" t="n">
        <v>1101.8</v>
      </c>
      <c r="C8" s="6" t="n">
        <v>1047.3</v>
      </c>
      <c r="D8" s="6" t="n">
        <v>8309.1</v>
      </c>
      <c r="E8" s="6" t="n">
        <v>676.2</v>
      </c>
      <c r="F8" s="6" t="n">
        <v>531.8</v>
      </c>
      <c r="G8" s="6" t="n">
        <v>22091.9</v>
      </c>
      <c r="H8" s="6" t="n">
        <v>100817.5</v>
      </c>
      <c r="I8" s="6" t="n">
        <v>119471.2</v>
      </c>
      <c r="J8" s="6" t="n">
        <v>239085.7</v>
      </c>
      <c r="K8" s="6" t="n">
        <v>164031.3</v>
      </c>
      <c r="L8" s="6" t="n">
        <v>215922.2</v>
      </c>
      <c r="M8" s="6" t="n">
        <v>228249.5</v>
      </c>
      <c r="N8" s="6" t="n">
        <v>179763.7</v>
      </c>
    </row>
    <row r="9">
      <c r="A9" s="6" t="inlineStr">
        <is>
          <t>Loans and advances to customers</t>
        </is>
      </c>
      <c r="B9" s="6" t="n">
        <v>857718.4</v>
      </c>
      <c r="C9" s="6" t="n">
        <v>700217.7</v>
      </c>
      <c r="D9" s="6" t="n">
        <v>611240.5</v>
      </c>
      <c r="E9" s="6" t="n">
        <v>605546.7</v>
      </c>
      <c r="F9" s="6" t="n">
        <v>601152.6</v>
      </c>
      <c r="G9" s="6" t="n">
        <v>500579.2</v>
      </c>
      <c r="H9" s="6" t="n">
        <v>456636.3</v>
      </c>
      <c r="I9" s="6" t="n">
        <v>462573.3</v>
      </c>
      <c r="J9" s="6" t="n">
        <v>404986.1</v>
      </c>
      <c r="K9" s="6" t="n">
        <v>483890.6</v>
      </c>
      <c r="L9" s="6" t="n">
        <v>745576.6</v>
      </c>
      <c r="M9" s="6" t="n">
        <v>805555.3</v>
      </c>
      <c r="N9" s="6" t="n">
        <v>702060.2</v>
      </c>
    </row>
    <row r="10">
      <c r="A10" s="6" t="inlineStr">
        <is>
          <t>Investment securities at amortised cost</t>
        </is>
      </c>
      <c r="B10" s="6" t="n">
        <v>47921.6</v>
      </c>
      <c r="C10" s="6" t="n">
        <v>58828</v>
      </c>
      <c r="D10" s="6" t="n">
        <v>51549.2</v>
      </c>
      <c r="E10" s="6" t="n">
        <v>87428</v>
      </c>
      <c r="F10" s="6" t="n">
        <v>67705.5</v>
      </c>
      <c r="G10" s="6" t="n">
        <v>42281.8</v>
      </c>
      <c r="H10" s="6" t="n">
        <v>39883.1</v>
      </c>
      <c r="I10" s="6" t="n">
        <v>38870.3</v>
      </c>
      <c r="J10" s="6" t="n">
        <v>34649.8</v>
      </c>
      <c r="K10" s="6" t="n">
        <v>7144.8</v>
      </c>
      <c r="L10" s="6" t="n">
        <v>814.4</v>
      </c>
      <c r="M10" s="6" t="n">
        <v>1056.1</v>
      </c>
      <c r="N10" s="6" t="n">
        <v>2902.3</v>
      </c>
    </row>
    <row r="11">
      <c r="A11" s="6" t="inlineStr">
        <is>
          <t>Financial assets at amortised cost (subtotal, as disclosed FY2024-FY2026)</t>
        </is>
      </c>
      <c r="B11" s="6" t="n">
        <v>906741.7</v>
      </c>
      <c r="C11" s="6" t="n">
        <v>760093</v>
      </c>
      <c r="D11" s="6" t="n">
        <v>671098.8</v>
      </c>
      <c r="E11" s="6" t="n"/>
      <c r="F11" s="6" t="n"/>
      <c r="G11" s="6" t="n"/>
      <c r="H11" s="6" t="n"/>
      <c r="I11" s="6" t="n"/>
      <c r="J11" s="6" t="n"/>
      <c r="K11" s="6" t="n"/>
      <c r="L11" s="6" t="n"/>
      <c r="M11" s="6" t="n"/>
      <c r="N11" s="6" t="n"/>
    </row>
    <row r="12">
      <c r="A12" s="6" t="inlineStr">
        <is>
          <t>Financial assets at fair value through other comprehensive income</t>
        </is>
      </c>
      <c r="B12" s="6" t="n">
        <v>84038.5</v>
      </c>
      <c r="C12" s="6" t="n">
        <v>55465.5</v>
      </c>
      <c r="D12" s="6" t="n">
        <v>57683.7</v>
      </c>
      <c r="E12" s="6" t="n">
        <v>44696.7</v>
      </c>
      <c r="F12" s="6" t="n">
        <v>41599.3</v>
      </c>
      <c r="G12" s="6" t="n">
        <v>28494.5</v>
      </c>
      <c r="H12" s="6" t="n">
        <v>28743.9</v>
      </c>
      <c r="I12" s="6" t="n">
        <v>32684.6</v>
      </c>
      <c r="J12" s="6" t="n">
        <v>33169.7</v>
      </c>
      <c r="K12" s="6" t="n">
        <v>43124.7</v>
      </c>
      <c r="L12" s="6" t="n">
        <v>84907.5</v>
      </c>
      <c r="M12" s="6" t="n">
        <v>81336.3</v>
      </c>
      <c r="N12" s="6" t="n">
        <v>99758.89999999999</v>
      </c>
    </row>
    <row r="13">
      <c r="A13" s="6" t="inlineStr">
        <is>
          <t>Right of use lease assets</t>
        </is>
      </c>
      <c r="B13" s="6" t="n">
        <v>3331.8</v>
      </c>
      <c r="C13" s="6" t="n">
        <v>2282</v>
      </c>
      <c r="D13" s="6" t="n">
        <v>2917.2</v>
      </c>
      <c r="E13" s="6" t="n">
        <v>3554.7</v>
      </c>
      <c r="F13" s="6" t="n">
        <v>2334.8</v>
      </c>
      <c r="G13" s="6" t="n">
        <v>2947.2</v>
      </c>
      <c r="H13" s="6" t="n">
        <v>3533.8</v>
      </c>
      <c r="I13" s="6" t="n"/>
      <c r="J13" s="6" t="n"/>
      <c r="K13" s="6" t="n"/>
      <c r="L13" s="6" t="n"/>
      <c r="M13" s="6" t="n"/>
      <c r="N13" s="6" t="n"/>
    </row>
    <row r="14">
      <c r="A14" s="6" t="inlineStr">
        <is>
          <t>Property, plant and equipment</t>
        </is>
      </c>
      <c r="B14" s="6" t="n">
        <v>784</v>
      </c>
      <c r="C14" s="6" t="n">
        <v>183.6</v>
      </c>
      <c r="D14" s="6" t="n">
        <v>227.2</v>
      </c>
      <c r="E14" s="6" t="n">
        <v>251.5</v>
      </c>
      <c r="F14" s="6" t="n">
        <v>297.1</v>
      </c>
      <c r="G14" s="6" t="n">
        <v>357.3</v>
      </c>
      <c r="H14" s="6" t="n">
        <v>370.9</v>
      </c>
      <c r="I14" s="6" t="n">
        <v>409.8</v>
      </c>
      <c r="J14" s="6" t="n">
        <v>494.5</v>
      </c>
      <c r="K14" s="6" t="n">
        <v>769.2</v>
      </c>
      <c r="L14" s="6" t="n">
        <v>1061.3</v>
      </c>
      <c r="M14" s="6" t="n">
        <v>1394.9</v>
      </c>
      <c r="N14" s="6" t="n">
        <v>882.9</v>
      </c>
    </row>
    <row r="15">
      <c r="A15" s="6" t="inlineStr">
        <is>
          <t>Intangible assets</t>
        </is>
      </c>
      <c r="B15" s="6" t="n">
        <v>367.8</v>
      </c>
      <c r="C15" s="6" t="n">
        <v>97.59999999999999</v>
      </c>
      <c r="D15" s="6" t="n">
        <v>142.5</v>
      </c>
      <c r="E15" s="6" t="n">
        <v>186</v>
      </c>
      <c r="F15" s="6" t="n">
        <v>447.5</v>
      </c>
      <c r="G15" s="6" t="n">
        <v>697.3</v>
      </c>
      <c r="H15" s="6" t="n">
        <v>434.6</v>
      </c>
      <c r="I15" s="6" t="n">
        <v>277.8</v>
      </c>
      <c r="J15" s="6" t="n">
        <v>359.2</v>
      </c>
      <c r="K15" s="6" t="n">
        <v>444.6</v>
      </c>
      <c r="L15" s="6" t="n">
        <v>118.2</v>
      </c>
      <c r="M15" s="6" t="n">
        <v>91.59999999999999</v>
      </c>
      <c r="N15" s="6" t="n">
        <v>100.8</v>
      </c>
    </row>
    <row r="16">
      <c r="A16" s="6" t="inlineStr">
        <is>
          <t>Deferred tax assets</t>
        </is>
      </c>
      <c r="B16" s="6" t="n">
        <v>18549.4</v>
      </c>
      <c r="C16" s="6" t="n">
        <v>18931.8</v>
      </c>
      <c r="D16" s="6" t="n">
        <v>19681.8</v>
      </c>
      <c r="E16" s="6" t="n">
        <v>20211.9</v>
      </c>
      <c r="F16" s="6" t="n">
        <v>19111.8</v>
      </c>
      <c r="G16" s="6" t="n">
        <v>17872.6</v>
      </c>
      <c r="H16" s="6" t="n">
        <v>20175</v>
      </c>
      <c r="I16" s="6" t="n">
        <v>18650</v>
      </c>
      <c r="J16" s="6" t="n">
        <v>18036.1</v>
      </c>
      <c r="K16" s="6" t="n">
        <v>20630</v>
      </c>
      <c r="L16" s="6" t="n">
        <v>2668</v>
      </c>
      <c r="M16" s="6" t="n"/>
      <c r="N16" s="6" t="n">
        <v>12</v>
      </c>
    </row>
    <row r="17">
      <c r="A17" s="6" t="inlineStr">
        <is>
          <t>Current tax assets</t>
        </is>
      </c>
      <c r="B17" s="6" t="n"/>
      <c r="C17" s="6" t="n"/>
      <c r="D17" s="6" t="n"/>
      <c r="E17" s="6" t="n"/>
      <c r="F17" s="6" t="n"/>
      <c r="G17" s="6" t="n"/>
      <c r="H17" s="6" t="n"/>
      <c r="I17" s="6" t="n"/>
      <c r="J17" s="6" t="n"/>
      <c r="K17" s="6" t="n"/>
      <c r="L17" s="6" t="n">
        <v>2706.2</v>
      </c>
      <c r="M17" s="6" t="n"/>
      <c r="N17" s="6" t="n"/>
    </row>
    <row r="18">
      <c r="A18" s="6" t="inlineStr">
        <is>
          <t>Prepayments and other receivables</t>
        </is>
      </c>
      <c r="B18" s="6" t="n">
        <v>1194.3</v>
      </c>
      <c r="C18" s="6" t="n">
        <v>865.2</v>
      </c>
      <c r="D18" s="6" t="n">
        <v>467.9</v>
      </c>
      <c r="E18" s="6" t="n">
        <v>431.1</v>
      </c>
      <c r="F18" s="6" t="n">
        <v>291.7</v>
      </c>
      <c r="G18" s="6" t="n">
        <v>425.5</v>
      </c>
      <c r="H18" s="6" t="n">
        <v>378.1</v>
      </c>
      <c r="I18" s="6" t="n">
        <v>488.1</v>
      </c>
      <c r="J18" s="6" t="n">
        <v>446.8</v>
      </c>
      <c r="K18" s="6" t="n">
        <v>419</v>
      </c>
      <c r="L18" s="6" t="n">
        <v>484.1</v>
      </c>
      <c r="M18" s="6" t="n">
        <v>2678.7</v>
      </c>
      <c r="N18" s="6" t="n">
        <v>554.8</v>
      </c>
    </row>
    <row r="19">
      <c r="A19" s="5" t="inlineStr">
        <is>
          <t>Total assets</t>
        </is>
      </c>
      <c r="B19" s="5" t="n">
        <v>1124092.4</v>
      </c>
      <c r="C19" s="5" t="n">
        <v>929222.3</v>
      </c>
      <c r="D19" s="5" t="n">
        <v>860733.1</v>
      </c>
      <c r="E19" s="5" t="n">
        <v>880119.7</v>
      </c>
      <c r="F19" s="5" t="n">
        <v>855689.9</v>
      </c>
      <c r="G19" s="5" t="n">
        <v>784826.8</v>
      </c>
      <c r="H19" s="5" t="n">
        <v>787012</v>
      </c>
      <c r="I19" s="5" t="n">
        <v>814727.6</v>
      </c>
      <c r="J19" s="5" t="n">
        <v>856566.7</v>
      </c>
      <c r="K19" s="5" t="n">
        <v>1163643.6</v>
      </c>
      <c r="L19" s="5" t="n">
        <v>1260077.2</v>
      </c>
      <c r="M19" s="5" t="n">
        <v>1278869.1</v>
      </c>
      <c r="N19" s="5" t="n">
        <v>1141161.2</v>
      </c>
    </row>
    <row r="20">
      <c r="A20" s="5" t="inlineStr">
        <is>
          <t>Liabilities</t>
        </is>
      </c>
      <c r="B20" s="6" t="n"/>
      <c r="C20" s="6" t="n"/>
      <c r="D20" s="6" t="n"/>
      <c r="E20" s="6" t="n"/>
      <c r="F20" s="6" t="n"/>
      <c r="G20" s="6" t="n"/>
      <c r="H20" s="6" t="n"/>
      <c r="I20" s="6" t="n"/>
      <c r="J20" s="6" t="n"/>
      <c r="K20" s="6" t="n"/>
      <c r="L20" s="6" t="n"/>
      <c r="M20" s="6" t="n"/>
      <c r="N20" s="6" t="n"/>
    </row>
    <row r="21">
      <c r="A21" s="6" t="inlineStr">
        <is>
          <t>Deposits from banks</t>
        </is>
      </c>
      <c r="B21" s="6" t="n">
        <v>38182.4</v>
      </c>
      <c r="C21" s="6" t="n">
        <v>1790.1</v>
      </c>
      <c r="D21" s="6" t="n">
        <v>2606.1</v>
      </c>
      <c r="E21" s="6" t="n">
        <v>1590.9</v>
      </c>
      <c r="F21" s="6" t="n">
        <v>840.3</v>
      </c>
      <c r="G21" s="6" t="n">
        <v>627</v>
      </c>
      <c r="H21" s="6" t="n">
        <v>13001.7</v>
      </c>
      <c r="I21" s="6" t="n">
        <v>43333.8</v>
      </c>
      <c r="J21" s="6" t="n">
        <v>38724.4</v>
      </c>
      <c r="K21" s="6" t="n">
        <v>58920.6</v>
      </c>
      <c r="L21" s="6" t="n">
        <v>123079.7</v>
      </c>
      <c r="M21" s="6" t="n">
        <v>91102.60000000001</v>
      </c>
      <c r="N21" s="6" t="n">
        <v>168394.4</v>
      </c>
    </row>
    <row r="22">
      <c r="A22" s="6" t="inlineStr">
        <is>
          <t>Deposits from customers</t>
        </is>
      </c>
      <c r="B22" s="6" t="n">
        <v>898487.3</v>
      </c>
      <c r="C22" s="6" t="n">
        <v>709869.9</v>
      </c>
      <c r="D22" s="6" t="n">
        <v>642164.3</v>
      </c>
      <c r="E22" s="6" t="n">
        <v>660495</v>
      </c>
      <c r="F22" s="6" t="n">
        <v>651932.1</v>
      </c>
      <c r="G22" s="6" t="n">
        <v>594007.7</v>
      </c>
      <c r="H22" s="6" t="n">
        <v>552382.5</v>
      </c>
      <c r="I22" s="6" t="n">
        <v>561758.3</v>
      </c>
      <c r="J22" s="6" t="n">
        <v>624391.1</v>
      </c>
      <c r="K22" s="6" t="n">
        <v>907373.5</v>
      </c>
      <c r="L22" s="6" t="n">
        <v>944574.3</v>
      </c>
      <c r="M22" s="6" t="n">
        <v>979957.6</v>
      </c>
      <c r="N22" s="6" t="n">
        <v>816382.8</v>
      </c>
    </row>
    <row r="23">
      <c r="A23" s="6" t="inlineStr">
        <is>
          <t>Derivative financial instruments (liability)</t>
        </is>
      </c>
      <c r="B23" s="6" t="n">
        <v>12.1</v>
      </c>
      <c r="C23" s="6" t="n">
        <v>1139.4</v>
      </c>
      <c r="D23" s="6" t="n">
        <v>125.9</v>
      </c>
      <c r="E23" s="6" t="n">
        <v>125.4</v>
      </c>
      <c r="F23" s="6" t="n">
        <v>224.1</v>
      </c>
      <c r="G23" s="6" t="n">
        <v>18.1</v>
      </c>
      <c r="H23" s="6" t="n">
        <v>1175.5</v>
      </c>
      <c r="I23" s="6" t="n">
        <v>968.5</v>
      </c>
      <c r="J23" s="6" t="n">
        <v>922.8</v>
      </c>
      <c r="K23" s="6" t="n">
        <v>363.8</v>
      </c>
      <c r="L23" s="6" t="n">
        <v>10393.7</v>
      </c>
      <c r="M23" s="6" t="n">
        <v>14594.2</v>
      </c>
      <c r="N23" s="6" t="n">
        <v>121.2</v>
      </c>
    </row>
    <row r="24">
      <c r="A24" s="6" t="inlineStr">
        <is>
          <t>Current tax liability</t>
        </is>
      </c>
      <c r="B24" s="6" t="n"/>
      <c r="C24" s="6" t="n"/>
      <c r="D24" s="6" t="n"/>
      <c r="E24" s="6" t="n">
        <v>0</v>
      </c>
      <c r="F24" s="6" t="n">
        <v>0</v>
      </c>
      <c r="G24" s="6" t="n"/>
      <c r="H24" s="6" t="n"/>
      <c r="I24" s="6" t="n">
        <v>242.5</v>
      </c>
      <c r="J24" s="6" t="n"/>
      <c r="K24" s="6" t="n"/>
      <c r="L24" s="6" t="n">
        <v>0</v>
      </c>
      <c r="M24" s="6" t="n">
        <v>1607.7</v>
      </c>
      <c r="N24" s="6" t="n">
        <v>-152.3</v>
      </c>
    </row>
    <row r="25">
      <c r="A25" s="6" t="inlineStr">
        <is>
          <t>Deferred tax liabilities</t>
        </is>
      </c>
      <c r="B25" s="6" t="n"/>
      <c r="C25" s="6" t="n"/>
      <c r="D25" s="6" t="n"/>
      <c r="E25" s="6" t="n"/>
      <c r="F25" s="6" t="n"/>
      <c r="G25" s="6" t="n"/>
      <c r="H25" s="6" t="n"/>
      <c r="I25" s="6" t="n"/>
      <c r="J25" s="6" t="n"/>
      <c r="K25" s="6" t="n"/>
      <c r="L25" s="6" t="n">
        <v>39.6</v>
      </c>
      <c r="M25" s="6" t="n">
        <v>60.6</v>
      </c>
      <c r="N25" s="6" t="n"/>
    </row>
    <row r="26">
      <c r="A26" s="6" t="inlineStr">
        <is>
          <t>Repurchase agreement - non trading</t>
        </is>
      </c>
      <c r="B26" s="6" t="n">
        <v>0</v>
      </c>
      <c r="C26" s="6" t="n">
        <v>16164.2</v>
      </c>
      <c r="D26" s="6" t="n"/>
      <c r="E26" s="6" t="n"/>
      <c r="F26" s="6" t="n"/>
      <c r="G26" s="6" t="n"/>
      <c r="H26" s="6" t="n"/>
      <c r="I26" s="6" t="n"/>
      <c r="J26" s="6" t="n"/>
      <c r="K26" s="6" t="n"/>
      <c r="L26" s="6" t="n"/>
      <c r="M26" s="6" t="n"/>
      <c r="N26" s="6" t="n"/>
    </row>
    <row r="27">
      <c r="A27" s="6" t="inlineStr">
        <is>
          <t>Lease liability</t>
        </is>
      </c>
      <c r="B27" s="6" t="n">
        <v>3490.3</v>
      </c>
      <c r="C27" s="6" t="n">
        <v>2457.8</v>
      </c>
      <c r="D27" s="6" t="n">
        <v>3063.6</v>
      </c>
      <c r="E27" s="6" t="n">
        <v>3657.4</v>
      </c>
      <c r="F27" s="6" t="n">
        <v>2435</v>
      </c>
      <c r="G27" s="6" t="n">
        <v>3030.6</v>
      </c>
      <c r="H27" s="6" t="n">
        <v>3582.2</v>
      </c>
      <c r="I27" s="6" t="n"/>
      <c r="J27" s="6" t="n"/>
      <c r="K27" s="6" t="n"/>
      <c r="L27" s="6" t="n"/>
      <c r="M27" s="6" t="n"/>
      <c r="N27" s="6" t="n"/>
    </row>
    <row r="28">
      <c r="A28" s="6" t="inlineStr">
        <is>
          <t>Other liabilities</t>
        </is>
      </c>
      <c r="B28" s="6" t="n">
        <v>1654.5</v>
      </c>
      <c r="C28" s="6" t="n">
        <v>2395</v>
      </c>
      <c r="D28" s="6" t="n">
        <v>2089.1</v>
      </c>
      <c r="E28" s="6" t="n">
        <v>1271.4</v>
      </c>
      <c r="F28" s="6" t="n">
        <v>4037.4</v>
      </c>
      <c r="G28" s="6" t="n">
        <v>2968.3</v>
      </c>
      <c r="H28" s="6" t="n">
        <v>2740.5</v>
      </c>
      <c r="I28" s="6" t="n">
        <v>3613.2</v>
      </c>
      <c r="J28" s="6" t="n">
        <v>4669.7</v>
      </c>
      <c r="K28" s="6" t="n">
        <v>3608.4</v>
      </c>
      <c r="L28" s="6" t="n">
        <v>5587.7</v>
      </c>
      <c r="M28" s="6" t="n">
        <v>7585.4</v>
      </c>
      <c r="N28" s="6" t="n">
        <v>6873.4</v>
      </c>
    </row>
    <row r="29">
      <c r="A29" s="6" t="inlineStr">
        <is>
          <t>Subordinated bonds and other borrowed funds</t>
        </is>
      </c>
      <c r="B29" s="6" t="n">
        <v>23503.9</v>
      </c>
      <c r="C29" s="6" t="n">
        <v>31842</v>
      </c>
      <c r="D29" s="6" t="n">
        <v>40573.1</v>
      </c>
      <c r="E29" s="6" t="n">
        <v>40440</v>
      </c>
      <c r="F29" s="6" t="n">
        <v>37988.1</v>
      </c>
      <c r="G29" s="6" t="n"/>
      <c r="H29" s="6" t="n">
        <v>40312.8</v>
      </c>
      <c r="I29" s="6" t="n">
        <v>38373</v>
      </c>
      <c r="J29" s="6" t="n">
        <v>35630.3</v>
      </c>
      <c r="K29" s="6" t="n">
        <v>39977.6</v>
      </c>
      <c r="L29" s="6" t="n">
        <v>52163</v>
      </c>
      <c r="M29" s="6" t="n">
        <v>43779.9</v>
      </c>
      <c r="N29" s="6" t="n">
        <v>32987.5</v>
      </c>
    </row>
    <row r="30">
      <c r="A30" s="5" t="inlineStr">
        <is>
          <t>Total liabilities</t>
        </is>
      </c>
      <c r="B30" s="5" t="n">
        <v>965330.6</v>
      </c>
      <c r="C30" s="5" t="n">
        <v>765658.4</v>
      </c>
      <c r="D30" s="5" t="n">
        <v>690622.2</v>
      </c>
      <c r="E30" s="5" t="n">
        <v>707580.1</v>
      </c>
      <c r="F30" s="5" t="n">
        <v>697457.1</v>
      </c>
      <c r="G30" s="5" t="n">
        <v>636894</v>
      </c>
      <c r="H30" s="5" t="n">
        <v>613195.2</v>
      </c>
      <c r="I30" s="5" t="n">
        <v>648289.3</v>
      </c>
      <c r="J30" s="5" t="n">
        <v>704338.3</v>
      </c>
      <c r="K30" s="5" t="n">
        <v>1010243.9</v>
      </c>
      <c r="L30" s="5" t="n">
        <v>1135838.1</v>
      </c>
      <c r="M30" s="5" t="n">
        <v>1138688</v>
      </c>
      <c r="N30" s="5" t="n">
        <v>1024606.8</v>
      </c>
    </row>
    <row r="31">
      <c r="A31" s="5" t="inlineStr">
        <is>
          <t>Equity</t>
        </is>
      </c>
      <c r="B31" s="6" t="n"/>
      <c r="C31" s="6" t="n"/>
      <c r="D31" s="6" t="n"/>
      <c r="E31" s="6" t="n"/>
      <c r="F31" s="6" t="n"/>
      <c r="G31" s="6" t="n"/>
      <c r="H31" s="6" t="n"/>
      <c r="I31" s="6" t="n"/>
      <c r="J31" s="6" t="n"/>
      <c r="K31" s="6" t="n"/>
      <c r="L31" s="6" t="n"/>
      <c r="M31" s="6" t="n"/>
      <c r="N31" s="6" t="n"/>
    </row>
    <row r="32">
      <c r="A32" s="6" t="inlineStr">
        <is>
          <t>Share capital</t>
        </is>
      </c>
      <c r="B32" s="6" t="n">
        <v>242365</v>
      </c>
      <c r="C32" s="6" t="n">
        <v>247584</v>
      </c>
      <c r="D32" s="6" t="n">
        <v>253032.8</v>
      </c>
      <c r="E32" s="6" t="n">
        <v>258517.5</v>
      </c>
      <c r="F32" s="6" t="n">
        <v>242843.8</v>
      </c>
      <c r="G32" s="6" t="n">
        <v>231683.8</v>
      </c>
      <c r="H32" s="6" t="n">
        <v>257704.6</v>
      </c>
      <c r="I32" s="6" t="n">
        <v>245303.9</v>
      </c>
      <c r="J32" s="6" t="n">
        <v>227771</v>
      </c>
      <c r="K32" s="6" t="n">
        <v>239570.6</v>
      </c>
      <c r="L32" s="6" t="n">
        <v>121457.1</v>
      </c>
      <c r="M32" s="6" t="n">
        <v>117620.4</v>
      </c>
      <c r="N32" s="6" t="n">
        <v>104738.8</v>
      </c>
    </row>
    <row r="33">
      <c r="A33" s="6" t="inlineStr">
        <is>
          <t>Fair value reserve</t>
        </is>
      </c>
      <c r="B33" s="6" t="n">
        <v>-93.3</v>
      </c>
      <c r="C33" s="6" t="n">
        <v>216.1</v>
      </c>
      <c r="D33" s="6" t="n">
        <v>-638.9</v>
      </c>
      <c r="E33" s="6" t="n">
        <v>-797.5</v>
      </c>
      <c r="F33" s="6" t="n">
        <v>-982.4</v>
      </c>
      <c r="G33" s="6" t="n">
        <v>49.3</v>
      </c>
      <c r="H33" s="6" t="n">
        <v>-1012.7</v>
      </c>
      <c r="I33" s="6" t="n">
        <v>-466.6</v>
      </c>
      <c r="J33" s="6" t="n">
        <v>-824.5</v>
      </c>
      <c r="K33" s="6" t="n">
        <v>-27.2</v>
      </c>
      <c r="L33" s="6" t="n">
        <v>271.2</v>
      </c>
      <c r="M33" s="6" t="n">
        <v>1179.4</v>
      </c>
      <c r="N33" s="6" t="n">
        <v>-3002.5</v>
      </c>
    </row>
    <row r="34">
      <c r="A34" s="6" t="inlineStr">
        <is>
          <t>Retained earnings</t>
        </is>
      </c>
      <c r="B34" s="6" t="n">
        <v>-83510</v>
      </c>
      <c r="C34" s="6" t="n">
        <v>-84236.3</v>
      </c>
      <c r="D34" s="6" t="n">
        <v>-82283.10000000001</v>
      </c>
      <c r="E34" s="6" t="n">
        <v>-85180.39999999999</v>
      </c>
      <c r="F34" s="6" t="n">
        <v>-83628.60000000001</v>
      </c>
      <c r="G34" s="6" t="n">
        <v>-83800.39999999999</v>
      </c>
      <c r="H34" s="6" t="n">
        <v>-82875.10000000001</v>
      </c>
      <c r="I34" s="6" t="n">
        <v>-78399.10000000001</v>
      </c>
      <c r="J34" s="6" t="n">
        <v>-74718.2</v>
      </c>
      <c r="K34" s="6" t="n">
        <v>-86143.8</v>
      </c>
      <c r="L34" s="6" t="n">
        <v>2510.8</v>
      </c>
      <c r="M34" s="6" t="n">
        <v>21381.4</v>
      </c>
      <c r="N34" s="6" t="n">
        <v>14818</v>
      </c>
    </row>
    <row r="35">
      <c r="A35" s="5" t="inlineStr">
        <is>
          <t>Total equity</t>
        </is>
      </c>
      <c r="B35" s="5" t="n">
        <v>158761.8</v>
      </c>
      <c r="C35" s="5" t="n">
        <v>163563.9</v>
      </c>
      <c r="D35" s="5" t="n">
        <v>170110.8</v>
      </c>
      <c r="E35" s="5" t="n">
        <v>172539.6</v>
      </c>
      <c r="F35" s="5" t="n">
        <v>158232.8</v>
      </c>
      <c r="G35" s="5" t="n">
        <v>147932.7</v>
      </c>
      <c r="H35" s="5" t="n">
        <v>173816.8</v>
      </c>
      <c r="I35" s="5" t="n">
        <v>166438.2</v>
      </c>
      <c r="J35" s="5" t="n">
        <v>152228.3</v>
      </c>
      <c r="K35" s="5" t="n">
        <v>153399.7</v>
      </c>
      <c r="L35" s="5" t="n">
        <v>124239.1</v>
      </c>
      <c r="M35" s="5" t="n">
        <v>140181.2</v>
      </c>
      <c r="N35" s="5" t="n">
        <v>116554.3</v>
      </c>
    </row>
    <row r="36">
      <c r="A36" s="5" t="inlineStr">
        <is>
          <t>Total liabilities and equity</t>
        </is>
      </c>
      <c r="B36" s="5" t="n">
        <v>1124092.4</v>
      </c>
      <c r="C36" s="5" t="n">
        <v>929222.3</v>
      </c>
      <c r="D36" s="5" t="n">
        <v>860733.1</v>
      </c>
      <c r="E36" s="5" t="n">
        <v>880119.7</v>
      </c>
      <c r="F36" s="5" t="n">
        <v>855689.9</v>
      </c>
      <c r="G36" s="5" t="n">
        <v>784826.8</v>
      </c>
      <c r="H36" s="5" t="n">
        <v>787012</v>
      </c>
      <c r="I36" s="5" t="n">
        <v>814727.6</v>
      </c>
      <c r="J36" s="5" t="n">
        <v>856566.7</v>
      </c>
      <c r="K36" s="5" t="n">
        <v>1163643.6</v>
      </c>
      <c r="L36" s="5" t="n">
        <v>1260077.2</v>
      </c>
      <c r="M36" s="5" t="n">
        <v>1278869.1</v>
      </c>
      <c r="N36" s="5" t="n">
        <v>1141161.2</v>
      </c>
    </row>
    <row r="38" ht="380" customHeight="1">
      <c r="A38"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DATA QUALITY FLAG: FY2022's Balance Sheet uses the Bank's own FY2022 Annual Report figures (Total assets $1,126,259k, Loans and advances to customers $791,237k). AR2023's own FY2022 comparative column later shows different figures ($1,123,130k / $788,108k) with no explanatory note found - a genuine cross-report inconsistency in the Bank's own disclosures, not a transcription error here; each year's own originally-published figure is used per this project's convention. Separately, FY2024's Deferred tax assets ($24,862k, AR2024's own figure) differs by exactly $233k from AR2025's own FY2024 comparative ($24,629k) - this is the same restatement AR2025 itself discloses affecting the fair value reserve (see Note 28/Note 35, also visible on the Statement of Changes in Equity sheet's bridging row).</t>
        </is>
      </c>
    </row>
  </sheetData>
  <mergeCells count="1">
    <mergeCell ref="A38:N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Profit &amp; Loss</t>
        </is>
      </c>
    </row>
    <row r="2">
      <c r="A2" s="2" t="inlineStr">
        <is>
          <t>Entity-level Statement of Comprehensive Income, £'000 converted from the Bank's native US$'000 presentation. OCI's underlying line-item structure changed between FY2024 and FY2025, and again predates IFRS 9 for FY2014-FY2020 - each era shown on its own contemporaneous basis; only Profit after tax and the two Total rows are directly comparable across all 13 years.</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row>
    <row r="4">
      <c r="A4" s="5" t="inlineStr">
        <is>
          <t>Income</t>
        </is>
      </c>
      <c r="B4" s="6" t="n"/>
      <c r="C4" s="6" t="n"/>
      <c r="D4" s="6" t="n"/>
      <c r="E4" s="6" t="n"/>
      <c r="F4" s="6" t="n"/>
      <c r="G4" s="6" t="n"/>
      <c r="H4" s="6" t="n"/>
      <c r="I4" s="6" t="n"/>
      <c r="J4" s="6" t="n"/>
      <c r="K4" s="6" t="n"/>
      <c r="L4" s="6" t="n"/>
      <c r="M4" s="6" t="n"/>
      <c r="N4" s="6" t="n"/>
    </row>
    <row r="5">
      <c r="A5" s="5" t="inlineStr">
        <is>
          <t>Profit after tax for the year</t>
        </is>
      </c>
      <c r="B5" s="5" t="n">
        <v>2191.1</v>
      </c>
      <c r="C5" s="5" t="n">
        <v>587.6</v>
      </c>
      <c r="D5" s="5" t="n">
        <v>4941.9</v>
      </c>
      <c r="E5" s="5" t="n">
        <v>6918.2</v>
      </c>
      <c r="F5" s="5" t="n">
        <v>5786.9</v>
      </c>
      <c r="G5" s="5" t="n">
        <v>-7757.1</v>
      </c>
      <c r="H5" s="5" t="n">
        <v>2145.1</v>
      </c>
      <c r="I5" s="5" t="n">
        <v>6335.1</v>
      </c>
      <c r="J5" s="5" t="n">
        <v>4439.8</v>
      </c>
      <c r="K5" s="5" t="n">
        <v>-85197.8</v>
      </c>
      <c r="L5" s="5" t="n">
        <v>-18051.3</v>
      </c>
      <c r="M5" s="5" t="n">
        <v>5036.3</v>
      </c>
      <c r="N5" s="5" t="n">
        <v>4396.2</v>
      </c>
    </row>
    <row r="6">
      <c r="A6" s="5" t="inlineStr">
        <is>
          <t>Other comprehensive income - FY2022-FY2024 presentation</t>
        </is>
      </c>
      <c r="B6" s="6" t="n"/>
      <c r="C6" s="6" t="n"/>
      <c r="D6" s="6" t="n"/>
      <c r="E6" s="6" t="n"/>
      <c r="F6" s="6" t="n"/>
      <c r="G6" s="6" t="n"/>
      <c r="H6" s="6" t="n"/>
      <c r="I6" s="6" t="n"/>
      <c r="J6" s="6" t="n"/>
      <c r="K6" s="6" t="n"/>
      <c r="L6" s="6" t="n"/>
      <c r="M6" s="6" t="n"/>
      <c r="N6" s="6" t="n"/>
    </row>
    <row r="7">
      <c r="A7" s="6" t="inlineStr">
        <is>
          <t>FVOCI gains/(losses) arising during the year</t>
        </is>
      </c>
      <c r="B7" s="6" t="n"/>
      <c r="C7" s="6" t="n"/>
      <c r="D7" s="6" t="n">
        <v>197.3</v>
      </c>
      <c r="E7" s="6" t="n">
        <v>-65.59999999999999</v>
      </c>
      <c r="F7" s="6" t="n">
        <v>-1512.2</v>
      </c>
      <c r="G7" s="6" t="n">
        <v>1162.7</v>
      </c>
      <c r="H7" s="6" t="n"/>
      <c r="I7" s="6" t="n"/>
      <c r="J7" s="6" t="n"/>
      <c r="K7" s="6" t="n"/>
      <c r="L7" s="6" t="n"/>
      <c r="M7" s="6" t="n"/>
      <c r="N7" s="6" t="n"/>
    </row>
    <row r="8">
      <c r="A8" s="6" t="inlineStr">
        <is>
          <t>Tax credit/(charge) relating to change in fair value</t>
        </is>
      </c>
      <c r="B8" s="6" t="n"/>
      <c r="C8" s="6" t="n"/>
      <c r="D8" s="6" t="n">
        <v>-49.3</v>
      </c>
      <c r="E8" s="6" t="n">
        <v>-7.5</v>
      </c>
      <c r="F8" s="6" t="n">
        <v>363.1</v>
      </c>
      <c r="G8" s="6" t="n">
        <v>-213</v>
      </c>
      <c r="H8" s="6" t="n"/>
      <c r="I8" s="6" t="n"/>
      <c r="J8" s="6" t="n"/>
      <c r="K8" s="6" t="n"/>
      <c r="L8" s="6" t="n"/>
      <c r="M8" s="6" t="n"/>
      <c r="N8" s="6" t="n"/>
    </row>
    <row r="9">
      <c r="A9" s="6" t="inlineStr">
        <is>
          <t>Reclassification adjustment transferred to P&amp;L</t>
        </is>
      </c>
      <c r="B9" s="6" t="n"/>
      <c r="C9" s="6" t="n"/>
      <c r="D9" s="6" t="n">
        <v>-5.6</v>
      </c>
      <c r="E9" s="6" t="n">
        <v>327.9</v>
      </c>
      <c r="F9" s="6" t="n">
        <v>153</v>
      </c>
      <c r="G9" s="6" t="n">
        <v>53.8</v>
      </c>
      <c r="H9" s="6" t="n"/>
      <c r="I9" s="6" t="n"/>
      <c r="J9" s="6" t="n"/>
      <c r="K9" s="6" t="n"/>
      <c r="L9" s="6" t="n"/>
      <c r="M9" s="6" t="n"/>
      <c r="N9" s="6" t="n"/>
    </row>
    <row r="10">
      <c r="A10" s="5" t="inlineStr">
        <is>
          <t>Other comprehensive income - FY2025-FY2026 presentation</t>
        </is>
      </c>
      <c r="B10" s="6" t="n"/>
      <c r="C10" s="6" t="n"/>
      <c r="D10" s="6" t="n"/>
      <c r="E10" s="6" t="n"/>
      <c r="F10" s="6" t="n"/>
      <c r="G10" s="6" t="n"/>
      <c r="H10" s="6" t="n"/>
      <c r="I10" s="6" t="n"/>
      <c r="J10" s="6" t="n"/>
      <c r="K10" s="6" t="n"/>
      <c r="L10" s="6" t="n"/>
      <c r="M10" s="6" t="n"/>
      <c r="N10" s="6" t="n"/>
    </row>
    <row r="11">
      <c r="A11" s="6" t="inlineStr">
        <is>
          <t>Fair value gains/(losses) transferred to income statement on disposal</t>
        </is>
      </c>
      <c r="B11" s="6" t="n">
        <v>-457.3</v>
      </c>
      <c r="C11" s="6" t="n">
        <v>202.1</v>
      </c>
      <c r="D11" s="6" t="n"/>
      <c r="E11" s="6" t="n"/>
      <c r="F11" s="6" t="n"/>
      <c r="G11" s="6" t="n"/>
      <c r="H11" s="6" t="n"/>
      <c r="I11" s="6" t="n"/>
      <c r="J11" s="6" t="n"/>
      <c r="K11" s="6" t="n"/>
      <c r="L11" s="6" t="n"/>
      <c r="M11" s="6" t="n"/>
      <c r="N11" s="6" t="n"/>
    </row>
    <row r="12">
      <c r="A12" s="6" t="inlineStr">
        <is>
          <t>Fair value gains on Investment Securities - FVOCI</t>
        </is>
      </c>
      <c r="B12" s="6" t="n">
        <v>57.4</v>
      </c>
      <c r="C12" s="6" t="n">
        <v>210</v>
      </c>
      <c r="D12" s="6" t="n"/>
      <c r="E12" s="6" t="n"/>
      <c r="F12" s="6" t="n"/>
      <c r="G12" s="6" t="n"/>
      <c r="H12" s="6" t="n"/>
      <c r="I12" s="6" t="n"/>
      <c r="J12" s="6" t="n"/>
      <c r="K12" s="6" t="n"/>
      <c r="L12" s="6" t="n"/>
      <c r="M12" s="6" t="n"/>
      <c r="N12" s="6" t="n"/>
    </row>
    <row r="13">
      <c r="A13" s="6" t="inlineStr">
        <is>
          <t>Income tax on other comprehensive income items</t>
        </is>
      </c>
      <c r="B13" s="6" t="n">
        <v>100</v>
      </c>
      <c r="C13" s="6" t="n">
        <v>-101.9</v>
      </c>
      <c r="D13" s="6" t="n"/>
      <c r="E13" s="6" t="n"/>
      <c r="F13" s="6" t="n"/>
      <c r="G13" s="6" t="n"/>
      <c r="H13" s="6" t="n"/>
      <c r="I13" s="6" t="n"/>
      <c r="J13" s="6" t="n"/>
      <c r="K13" s="6" t="n"/>
      <c r="L13" s="6" t="n"/>
      <c r="M13" s="6" t="n"/>
      <c r="N13" s="6" t="n"/>
    </row>
    <row r="14">
      <c r="A14" s="5" t="inlineStr">
        <is>
          <t>Other comprehensive income - FY2014-FY2020 presentation (IAS 39 available-for-sale)</t>
        </is>
      </c>
      <c r="B14" s="6" t="n"/>
      <c r="C14" s="6" t="n"/>
      <c r="D14" s="6" t="n"/>
      <c r="E14" s="6" t="n"/>
      <c r="F14" s="6" t="n"/>
      <c r="G14" s="6" t="n"/>
      <c r="H14" s="6" t="n"/>
      <c r="I14" s="6" t="n"/>
      <c r="J14" s="6" t="n"/>
      <c r="K14" s="6" t="n"/>
      <c r="L14" s="6" t="n"/>
      <c r="M14" s="6" t="n"/>
      <c r="N14" s="6" t="n"/>
    </row>
    <row r="15">
      <c r="A15" s="6" t="inlineStr">
        <is>
          <t>Net change in fair value on AFS/FVTOCI investments (gross)</t>
        </is>
      </c>
      <c r="B15" s="6" t="n"/>
      <c r="C15" s="6" t="n"/>
      <c r="D15" s="6" t="n"/>
      <c r="E15" s="6" t="n"/>
      <c r="F15" s="6" t="n"/>
      <c r="G15" s="6" t="n"/>
      <c r="H15" s="6" t="n">
        <v>-624.8</v>
      </c>
      <c r="I15" s="6" t="n">
        <v>390.7</v>
      </c>
      <c r="J15" s="6" t="n">
        <v>-845.3</v>
      </c>
      <c r="K15" s="6" t="n">
        <v>-519.6</v>
      </c>
      <c r="L15" s="6" t="n">
        <v>-1068.8</v>
      </c>
      <c r="M15" s="6" t="n">
        <v>3608.1</v>
      </c>
      <c r="N15" s="6" t="n">
        <v>-3949.7</v>
      </c>
    </row>
    <row r="16">
      <c r="A16" s="6" t="inlineStr">
        <is>
          <t>Tax (charge)/credit relating to fair value change</t>
        </is>
      </c>
      <c r="B16" s="6" t="n"/>
      <c r="C16" s="6" t="n"/>
      <c r="D16" s="6" t="n"/>
      <c r="E16" s="6" t="n"/>
      <c r="F16" s="6" t="n"/>
      <c r="G16" s="6" t="n"/>
      <c r="H16" s="6" t="n">
        <v>105.4</v>
      </c>
      <c r="I16" s="6" t="n">
        <v>-50.3</v>
      </c>
      <c r="J16" s="6" t="n">
        <v>178.6</v>
      </c>
      <c r="K16" s="6" t="n">
        <v>-58.9</v>
      </c>
      <c r="L16" s="6" t="n">
        <v>213.5</v>
      </c>
      <c r="M16" s="6" t="n">
        <v>-757.8</v>
      </c>
      <c r="N16" s="6" t="n">
        <v>908.2</v>
      </c>
    </row>
    <row r="17">
      <c r="A17" s="6" t="inlineStr">
        <is>
          <t>Reclassification adjustment transferred to profit and loss</t>
        </is>
      </c>
      <c r="B17" s="6" t="n"/>
      <c r="C17" s="6" t="n"/>
      <c r="D17" s="6" t="n"/>
      <c r="E17" s="6" t="n"/>
      <c r="F17" s="6" t="n"/>
      <c r="G17" s="6" t="n"/>
      <c r="H17" s="6" t="n">
        <v>9.4</v>
      </c>
      <c r="I17" s="6" t="n">
        <v>77.7</v>
      </c>
      <c r="J17" s="6" t="n">
        <v>-179.3</v>
      </c>
      <c r="K17" s="6" t="n">
        <v>254.1</v>
      </c>
      <c r="L17" s="6" t="n">
        <v>-47.1</v>
      </c>
      <c r="M17" s="6" t="n">
        <v>1340.2</v>
      </c>
      <c r="N17" s="6" t="n">
        <v>-185.5</v>
      </c>
    </row>
    <row r="18">
      <c r="A18" s="5" t="inlineStr">
        <is>
          <t>Other comprehensive income for the year, net of tax</t>
        </is>
      </c>
      <c r="B18" s="5" t="n">
        <v>-299.9</v>
      </c>
      <c r="C18" s="5" t="n">
        <v>310.3</v>
      </c>
      <c r="D18" s="5" t="n">
        <v>142.4</v>
      </c>
      <c r="E18" s="5" t="n">
        <v>254.9</v>
      </c>
      <c r="F18" s="5" t="n">
        <v>-996.2</v>
      </c>
      <c r="G18" s="5" t="n">
        <v>1003.6</v>
      </c>
      <c r="H18" s="5" t="n">
        <v>-509.9</v>
      </c>
      <c r="I18" s="5" t="n">
        <v>418.1</v>
      </c>
      <c r="J18" s="5" t="n">
        <v>-846.1</v>
      </c>
      <c r="K18" s="5" t="n">
        <v>-324.5</v>
      </c>
      <c r="L18" s="5" t="n">
        <v>-902.4</v>
      </c>
      <c r="M18" s="5" t="n">
        <v>4190.4</v>
      </c>
      <c r="N18" s="5" t="n">
        <v>-3227</v>
      </c>
    </row>
    <row r="19">
      <c r="A19" s="5" t="inlineStr">
        <is>
          <t>Total comprehensive income for the year, net of tax</t>
        </is>
      </c>
      <c r="B19" s="5" t="n">
        <v>1891.2</v>
      </c>
      <c r="C19" s="5" t="n">
        <v>897.9</v>
      </c>
      <c r="D19" s="5" t="n">
        <v>5084.3</v>
      </c>
      <c r="E19" s="5" t="n">
        <v>7173.1</v>
      </c>
      <c r="F19" s="5" t="n">
        <v>4790.7</v>
      </c>
      <c r="G19" s="5" t="n">
        <v>-6753.6</v>
      </c>
      <c r="H19" s="5" t="n">
        <v>1635.2</v>
      </c>
      <c r="I19" s="5" t="n">
        <v>6753.2</v>
      </c>
      <c r="J19" s="5" t="n">
        <v>3593.8</v>
      </c>
      <c r="K19" s="5" t="n">
        <v>-85522.3</v>
      </c>
      <c r="L19" s="5" t="n">
        <v>-18953.7</v>
      </c>
      <c r="M19" s="5" t="n">
        <v>9226.700000000001</v>
      </c>
      <c r="N19" s="5" t="n">
        <v>1169.2</v>
      </c>
    </row>
    <row r="21" ht="340" customHeight="1">
      <c r="A21"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t>
        </is>
      </c>
    </row>
  </sheetData>
  <mergeCells count="1">
    <mergeCell ref="A21:N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5"/>
  <sheetViews>
    <sheetView workbookViewId="0">
      <pane ySplit="4" topLeftCell="A5" activePane="bottomLeft" state="frozen"/>
      <selection pane="bottomLeft" activeCell="A1" sqref="A1"/>
    </sheetView>
  </sheetViews>
  <sheetFormatPr baseColWidth="8" defaultRowHeight="15"/>
  <cols>
    <col width="100" customWidth="1" min="1" max="1"/>
    <col width="17" customWidth="1" min="2" max="2"/>
    <col width="17" customWidth="1" min="3" max="3"/>
    <col width="17" customWidth="1" min="4" max="4"/>
    <col width="17" customWidth="1" min="5" max="5"/>
  </cols>
  <sheetData>
    <row r="1">
      <c r="A1" s="1" t="inlineStr">
        <is>
          <t>Punjab National Bank (International) Limited — Statement of Changes in Equity</t>
        </is>
      </c>
    </row>
    <row r="2">
      <c r="A2" s="2" t="inlineStr">
        <is>
          <t>Chronological roll-forward, oldest to newest, entity-level, £'000 converted from the Bank's native US$'000 presentation. Equity ladder confirmed exactly in native USD terms across all 13 years - the bridging rows (FY2018's prior period adjustment, FY2019's IFRS 9 transition, and AR2025's own Note 28/Note 35 restatement) are genuine, Bank-disclosed items, not errors. FY2021 is intentionally absent (see this file's YEARS comment), so the 1 April 2021 opening balance does not equal the FY2020 closing balance shown above it. GBP translation-adjustment rows arise only from converting a USD ladder using two different point-in-time/average rates - see the Balance Sheet sheet's GBP conversion note.</t>
        </is>
      </c>
    </row>
    <row r="3">
      <c r="A3" s="4" t="inlineStr">
        <is>
          <t>Movement</t>
        </is>
      </c>
      <c r="B3" s="4" t="inlineStr">
        <is>
          <t>Share capital</t>
        </is>
      </c>
      <c r="C3" s="4" t="inlineStr">
        <is>
          <t>Fair value reserve</t>
        </is>
      </c>
      <c r="D3" s="4" t="inlineStr">
        <is>
          <t>Retained earnings</t>
        </is>
      </c>
      <c r="E3" s="4" t="inlineStr">
        <is>
          <t>Total equity</t>
        </is>
      </c>
    </row>
    <row r="4">
      <c r="A4" s="5" t="inlineStr">
        <is>
          <t>Balance at 1 April 2013 (FY2014 opening)</t>
        </is>
      </c>
      <c r="B4" s="5" t="n">
        <v>82096.7</v>
      </c>
      <c r="C4" s="5" t="n">
        <v>82.3</v>
      </c>
      <c r="D4" s="5" t="n">
        <v>12401.7</v>
      </c>
      <c r="E4" s="5" t="n">
        <v>94580.7</v>
      </c>
    </row>
    <row r="5">
      <c r="A5" s="6" t="inlineStr">
        <is>
          <t>Profit for the year</t>
        </is>
      </c>
      <c r="B5" s="6" t="n"/>
      <c r="C5" s="6" t="n"/>
      <c r="D5" s="6" t="n">
        <v>4396.2</v>
      </c>
      <c r="E5" s="6" t="n">
        <v>4396.2</v>
      </c>
    </row>
    <row r="6">
      <c r="A6" s="6" t="inlineStr">
        <is>
          <t>Net change in fair value of AFS investments</t>
        </is>
      </c>
      <c r="B6" s="6" t="n"/>
      <c r="C6" s="6" t="n">
        <v>-3041.5</v>
      </c>
      <c r="D6" s="6" t="n"/>
      <c r="E6" s="6" t="n">
        <v>-3041.5</v>
      </c>
    </row>
    <row r="7">
      <c r="A7" s="6" t="inlineStr">
        <is>
          <t>Net amount transferred to profit and loss</t>
        </is>
      </c>
      <c r="B7" s="6" t="n"/>
      <c r="C7" s="6" t="n">
        <v>-185.5</v>
      </c>
      <c r="D7" s="6" t="n"/>
      <c r="E7" s="6" t="n">
        <v>-185.5</v>
      </c>
    </row>
    <row r="8">
      <c r="A8" s="6" t="inlineStr">
        <is>
          <t>Issue of share capital</t>
        </is>
      </c>
      <c r="B8" s="6" t="n">
        <v>31446.5</v>
      </c>
      <c r="C8" s="6" t="n"/>
      <c r="D8" s="6" t="n"/>
      <c r="E8" s="6" t="n">
        <v>31446.5</v>
      </c>
    </row>
    <row r="9">
      <c r="A9" s="6" t="inlineStr">
        <is>
          <t>Dividend on perpetual Tier II capital</t>
        </is>
      </c>
      <c r="B9" s="6" t="n"/>
      <c r="C9" s="6" t="n"/>
      <c r="D9" s="6" t="n">
        <v>-698.7</v>
      </c>
      <c r="E9" s="6" t="n">
        <v>-698.7</v>
      </c>
    </row>
    <row r="10">
      <c r="A10" s="6" t="inlineStr">
        <is>
          <t>GBP translation adjustment (this workbook's conversion line)</t>
        </is>
      </c>
      <c r="B10" s="6" t="n">
        <v>-8804.4</v>
      </c>
      <c r="C10" s="6" t="n">
        <v>142.2</v>
      </c>
      <c r="D10" s="6" t="n">
        <v>-1281.2</v>
      </c>
      <c r="E10" s="6" t="n">
        <v>-9943.4</v>
      </c>
    </row>
    <row r="11">
      <c r="A11" s="5" t="inlineStr">
        <is>
          <t>Balance at 31 March 2014 (FY2014 closing)</t>
        </is>
      </c>
      <c r="B11" s="5" t="n">
        <v>104738.8</v>
      </c>
      <c r="C11" s="5" t="n">
        <v>-3002.5</v>
      </c>
      <c r="D11" s="5" t="n">
        <v>14818</v>
      </c>
      <c r="E11" s="5" t="n">
        <v>116554.3</v>
      </c>
    </row>
    <row r="12">
      <c r="A12" s="6" t="inlineStr">
        <is>
          <t>Profit for the year</t>
        </is>
      </c>
      <c r="B12" s="6" t="n"/>
      <c r="C12" s="6" t="n"/>
      <c r="D12" s="6" t="n">
        <v>5036.3</v>
      </c>
      <c r="E12" s="6" t="n">
        <v>5036.3</v>
      </c>
    </row>
    <row r="13">
      <c r="A13" s="6" t="inlineStr">
        <is>
          <t>Net change in fair value of AFS investments</t>
        </is>
      </c>
      <c r="B13" s="6" t="n"/>
      <c r="C13" s="6" t="n">
        <v>2850.2</v>
      </c>
      <c r="D13" s="6" t="n"/>
      <c r="E13" s="6" t="n">
        <v>2850.2</v>
      </c>
    </row>
    <row r="14">
      <c r="A14" s="6" t="inlineStr">
        <is>
          <t>Net amount transferred to profit and loss</t>
        </is>
      </c>
      <c r="B14" s="6" t="n"/>
      <c r="C14" s="6" t="n">
        <v>1340.2</v>
      </c>
      <c r="D14" s="6" t="n"/>
      <c r="E14" s="6" t="n">
        <v>1340.2</v>
      </c>
    </row>
    <row r="15">
      <c r="A15" s="6" t="inlineStr">
        <is>
          <t>Dividend on perpetual Tier II capital</t>
        </is>
      </c>
      <c r="B15" s="6" t="n"/>
      <c r="C15" s="6" t="n"/>
      <c r="D15" s="6" t="n">
        <v>-671</v>
      </c>
      <c r="E15" s="6" t="n">
        <v>-671</v>
      </c>
    </row>
    <row r="16">
      <c r="A16" s="6" t="inlineStr">
        <is>
          <t>GBP translation adjustment (this workbook's conversion line)</t>
        </is>
      </c>
      <c r="B16" s="6" t="n">
        <v>12881.6</v>
      </c>
      <c r="C16" s="6" t="n">
        <v>-8.5</v>
      </c>
      <c r="D16" s="6" t="n">
        <v>2198.1</v>
      </c>
      <c r="E16" s="6" t="n">
        <v>15071.2</v>
      </c>
    </row>
    <row r="17">
      <c r="A17" s="5" t="inlineStr">
        <is>
          <t>Balance at 31 March 2015 (FY2015 closing)</t>
        </is>
      </c>
      <c r="B17" s="5" t="n">
        <v>117620.4</v>
      </c>
      <c r="C17" s="5" t="n">
        <v>1179.4</v>
      </c>
      <c r="D17" s="5" t="n">
        <v>21381.4</v>
      </c>
      <c r="E17" s="5" t="n">
        <v>140181.2</v>
      </c>
    </row>
    <row r="18">
      <c r="A18" s="6" t="inlineStr">
        <is>
          <t>Loss for the year</t>
        </is>
      </c>
      <c r="B18" s="6" t="n"/>
      <c r="C18" s="6" t="n"/>
      <c r="D18" s="6" t="n">
        <v>-18051.3</v>
      </c>
      <c r="E18" s="6" t="n">
        <v>-18051.3</v>
      </c>
    </row>
    <row r="19">
      <c r="A19" s="6" t="inlineStr">
        <is>
          <t>Net change in fair value of AFS investments</t>
        </is>
      </c>
      <c r="B19" s="6" t="n"/>
      <c r="C19" s="6" t="n">
        <v>-855.3</v>
      </c>
      <c r="D19" s="6" t="n"/>
      <c r="E19" s="6" t="n">
        <v>-855.3</v>
      </c>
    </row>
    <row r="20">
      <c r="A20" s="6" t="inlineStr">
        <is>
          <t>Net amount transferred to profit and loss</t>
        </is>
      </c>
      <c r="B20" s="6" t="n"/>
      <c r="C20" s="6" t="n">
        <v>-47.1</v>
      </c>
      <c r="D20" s="6" t="n"/>
      <c r="E20" s="6" t="n">
        <v>-47.1</v>
      </c>
    </row>
    <row r="21">
      <c r="A21" s="6" t="inlineStr">
        <is>
          <t>Dividend on perpetual Tier II capital</t>
        </is>
      </c>
      <c r="B21" s="6" t="n"/>
      <c r="C21" s="6" t="n"/>
      <c r="D21" s="6" t="n">
        <v>-753.9</v>
      </c>
      <c r="E21" s="6" t="n">
        <v>-753.9</v>
      </c>
    </row>
    <row r="22">
      <c r="A22" s="6" t="inlineStr">
        <is>
          <t>Deferred tax benefit</t>
        </is>
      </c>
      <c r="B22" s="6" t="n"/>
      <c r="C22" s="6" t="n"/>
      <c r="D22" s="6" t="n">
        <v>150.5</v>
      </c>
      <c r="E22" s="6" t="n">
        <v>150.5</v>
      </c>
    </row>
    <row r="23">
      <c r="A23" s="6" t="inlineStr">
        <is>
          <t>GBP translation adjustment (this workbook's conversion line)</t>
        </is>
      </c>
      <c r="B23" s="6" t="n">
        <v>3836.7</v>
      </c>
      <c r="C23" s="6" t="n">
        <v>-5.8</v>
      </c>
      <c r="D23" s="6" t="n">
        <v>-215.9</v>
      </c>
      <c r="E23" s="6" t="n">
        <v>3615</v>
      </c>
    </row>
    <row r="24">
      <c r="A24" s="5" t="inlineStr">
        <is>
          <t>Balance at 31 March 2016 (FY2016 closing)</t>
        </is>
      </c>
      <c r="B24" s="5" t="n">
        <v>121457.1</v>
      </c>
      <c r="C24" s="5" t="n">
        <v>271.2</v>
      </c>
      <c r="D24" s="5" t="n">
        <v>2510.8</v>
      </c>
      <c r="E24" s="5" t="n">
        <v>124239.1</v>
      </c>
    </row>
    <row r="25">
      <c r="A25" s="6" t="inlineStr">
        <is>
          <t>Loss for the year</t>
        </is>
      </c>
      <c r="B25" s="6" t="n"/>
      <c r="C25" s="6" t="n"/>
      <c r="D25" s="6" t="n">
        <v>-85197.8</v>
      </c>
      <c r="E25" s="6" t="n">
        <v>-85197.8</v>
      </c>
    </row>
    <row r="26">
      <c r="A26" s="6" t="inlineStr">
        <is>
          <t>Net change in fair value of AFS investments</t>
        </is>
      </c>
      <c r="B26" s="6" t="n"/>
      <c r="C26" s="6" t="n">
        <v>-324.5</v>
      </c>
      <c r="D26" s="6" t="n"/>
      <c r="E26" s="6" t="n">
        <v>-324.5</v>
      </c>
    </row>
    <row r="27">
      <c r="A27" s="6" t="inlineStr">
        <is>
          <t>Tax credit arising on AFS reserve movement (Bank's own footnoted item, posted to retained earnings)</t>
        </is>
      </c>
      <c r="B27" s="6" t="n"/>
      <c r="C27" s="6" t="n"/>
      <c r="D27" s="6" t="n">
        <v>-16.8</v>
      </c>
      <c r="E27" s="6" t="n">
        <v>-16.8</v>
      </c>
    </row>
    <row r="28">
      <c r="A28" s="6" t="inlineStr">
        <is>
          <t>Issue of share capital</t>
        </is>
      </c>
      <c r="B28" s="6" t="n">
        <v>95660.8</v>
      </c>
      <c r="C28" s="6" t="n"/>
      <c r="D28" s="6" t="n"/>
      <c r="E28" s="6" t="n">
        <v>95660.8</v>
      </c>
    </row>
    <row r="29">
      <c r="A29" s="6" t="inlineStr">
        <is>
          <t>GBP translation adjustment (this workbook's conversion line)</t>
        </is>
      </c>
      <c r="B29" s="6" t="n">
        <v>22452.7</v>
      </c>
      <c r="C29" s="6" t="n">
        <v>26.1</v>
      </c>
      <c r="D29" s="6" t="n">
        <v>-3440</v>
      </c>
      <c r="E29" s="6" t="n">
        <v>19038.9</v>
      </c>
    </row>
    <row r="30">
      <c r="A30" s="5" t="inlineStr">
        <is>
          <t>Balance at 31 March 2017 (FY2017 closing)</t>
        </is>
      </c>
      <c r="B30" s="5" t="n">
        <v>239570.6</v>
      </c>
      <c r="C30" s="5" t="n">
        <v>-27.2</v>
      </c>
      <c r="D30" s="5" t="n">
        <v>-86143.8</v>
      </c>
      <c r="E30" s="5" t="n">
        <v>153399.7</v>
      </c>
    </row>
    <row r="31">
      <c r="A31" s="6" t="inlineStr">
        <is>
          <t>Prior period adjustment (tax credit arising on AFS reserve movement)</t>
        </is>
      </c>
      <c r="B31" s="6" t="n"/>
      <c r="C31" s="6" t="n"/>
      <c r="D31" s="6" t="n">
        <v>-58.9</v>
      </c>
      <c r="E31" s="6" t="n">
        <v>-58.9</v>
      </c>
    </row>
    <row r="32">
      <c r="A32" s="5" t="inlineStr">
        <is>
          <t>Balance at 1 April 2017, as restated (FY2018 opening)</t>
        </is>
      </c>
      <c r="B32" s="5" t="n">
        <v>239570.6</v>
      </c>
      <c r="C32" s="5" t="n">
        <v>-27.2</v>
      </c>
      <c r="D32" s="5" t="n">
        <v>-86205.3</v>
      </c>
      <c r="E32" s="5" t="n">
        <v>153338.1</v>
      </c>
    </row>
    <row r="33">
      <c r="A33" s="6" t="inlineStr">
        <is>
          <t>Profit for the year</t>
        </is>
      </c>
      <c r="B33" s="6" t="n"/>
      <c r="C33" s="6" t="n"/>
      <c r="D33" s="6" t="n">
        <v>4439.8</v>
      </c>
      <c r="E33" s="6" t="n">
        <v>4439.8</v>
      </c>
    </row>
    <row r="34">
      <c r="A34" s="6" t="inlineStr">
        <is>
          <t>Net change in fair value of AFS investments</t>
        </is>
      </c>
      <c r="B34" s="6" t="n"/>
      <c r="C34" s="6" t="n">
        <v>-666.8</v>
      </c>
      <c r="D34" s="6" t="n"/>
      <c r="E34" s="6" t="n">
        <v>-666.8</v>
      </c>
    </row>
    <row r="35">
      <c r="A35" s="6" t="inlineStr">
        <is>
          <t>Net amount transferred to profit and loss</t>
        </is>
      </c>
      <c r="B35" s="6" t="n"/>
      <c r="C35" s="6" t="n">
        <v>-179.3</v>
      </c>
      <c r="D35" s="6" t="n"/>
      <c r="E35" s="6" t="n">
        <v>-179.3</v>
      </c>
    </row>
    <row r="36">
      <c r="A36" s="6" t="inlineStr">
        <is>
          <t>Issue of share capital</t>
        </is>
      </c>
      <c r="B36" s="6" t="n">
        <v>15068.2</v>
      </c>
      <c r="C36" s="6" t="n"/>
      <c r="D36" s="6" t="n"/>
      <c r="E36" s="6" t="n">
        <v>15068.2</v>
      </c>
    </row>
    <row r="37">
      <c r="A37" s="6" t="inlineStr">
        <is>
          <t>Dividend on perpetual additional Tier I capital</t>
        </is>
      </c>
      <c r="B37" s="6" t="n"/>
      <c r="C37" s="6" t="n"/>
      <c r="D37" s="6" t="n">
        <v>-2206</v>
      </c>
      <c r="E37" s="6" t="n">
        <v>-2206</v>
      </c>
    </row>
    <row r="38">
      <c r="A38" s="6" t="inlineStr">
        <is>
          <t>GBP translation adjustment (this workbook's conversion line)</t>
        </is>
      </c>
      <c r="B38" s="6" t="n">
        <v>-26867.8</v>
      </c>
      <c r="C38" s="6" t="n">
        <v>48.8</v>
      </c>
      <c r="D38" s="6" t="n">
        <v>9253.299999999999</v>
      </c>
      <c r="E38" s="6" t="n">
        <v>-17565.7</v>
      </c>
    </row>
    <row r="39">
      <c r="A39" s="5" t="inlineStr">
        <is>
          <t>Balance at 31 March 2018 (FY2018 closing)</t>
        </is>
      </c>
      <c r="B39" s="5" t="n">
        <v>227771</v>
      </c>
      <c r="C39" s="5" t="n">
        <v>-824.5</v>
      </c>
      <c r="D39" s="5" t="n">
        <v>-74718.2</v>
      </c>
      <c r="E39" s="5" t="n">
        <v>152228.3</v>
      </c>
    </row>
    <row r="40">
      <c r="A40" s="6" t="inlineStr">
        <is>
          <t>IFRS 9 adoption (retained earnings transition adjustment)</t>
        </is>
      </c>
      <c r="B40" s="6" t="n"/>
      <c r="C40" s="6" t="n"/>
      <c r="D40" s="6" t="n">
        <v>-1946.8</v>
      </c>
      <c r="E40" s="6" t="n">
        <v>-1946.8</v>
      </c>
    </row>
    <row r="41">
      <c r="A41" s="5" t="inlineStr">
        <is>
          <t>Balance at 1 April 2018, as adjusted for IFRS 9 adoption (FY2019 opening)</t>
        </is>
      </c>
      <c r="B41" s="5" t="n">
        <v>227771</v>
      </c>
      <c r="C41" s="5" t="n">
        <v>-824.5</v>
      </c>
      <c r="D41" s="5" t="n">
        <v>-76559.5</v>
      </c>
      <c r="E41" s="5" t="n">
        <v>150386.9</v>
      </c>
    </row>
    <row r="42">
      <c r="A42" s="6" t="inlineStr">
        <is>
          <t>Profit for the year</t>
        </is>
      </c>
      <c r="B42" s="6" t="n"/>
      <c r="C42" s="6" t="n"/>
      <c r="D42" s="6" t="n">
        <v>6335.1</v>
      </c>
      <c r="E42" s="6" t="n">
        <v>6335.1</v>
      </c>
    </row>
    <row r="43">
      <c r="A43" s="6" t="inlineStr">
        <is>
          <t>Net change in fair value of Investment securities - FVTOCI</t>
        </is>
      </c>
      <c r="B43" s="6" t="n"/>
      <c r="C43" s="6" t="n">
        <v>340.4</v>
      </c>
      <c r="D43" s="6" t="n"/>
      <c r="E43" s="6" t="n">
        <v>340.4</v>
      </c>
    </row>
    <row r="44">
      <c r="A44" s="6" t="inlineStr">
        <is>
          <t>Net amount transferred to profit and loss</t>
        </is>
      </c>
      <c r="B44" s="6" t="n"/>
      <c r="C44" s="6" t="n">
        <v>77.7</v>
      </c>
      <c r="D44" s="6" t="n"/>
      <c r="E44" s="6" t="n">
        <v>77.7</v>
      </c>
    </row>
    <row r="45">
      <c r="A45" s="6" t="inlineStr">
        <is>
          <t>Dividend on perpetual additional Tier I capital</t>
        </is>
      </c>
      <c r="B45" s="6" t="n"/>
      <c r="C45" s="6" t="n"/>
      <c r="D45" s="6" t="n">
        <v>-2613.9</v>
      </c>
      <c r="E45" s="6" t="n">
        <v>-2613.9</v>
      </c>
    </row>
    <row r="46">
      <c r="A46" s="6" t="inlineStr">
        <is>
          <t>IFRS 9 deferred tax transitional adjustment</t>
        </is>
      </c>
      <c r="B46" s="6" t="n"/>
      <c r="C46" s="6" t="n"/>
      <c r="D46" s="6" t="n">
        <v>301.6</v>
      </c>
      <c r="E46" s="6" t="n">
        <v>301.6</v>
      </c>
    </row>
    <row r="47">
      <c r="A47" s="6" t="inlineStr">
        <is>
          <t>GBP translation adjustment (this workbook's conversion line)</t>
        </is>
      </c>
      <c r="B47" s="6" t="n">
        <v>17532.9</v>
      </c>
      <c r="C47" s="6" t="n">
        <v>-60.2</v>
      </c>
      <c r="D47" s="6" t="n">
        <v>-5862.4</v>
      </c>
      <c r="E47" s="6" t="n">
        <v>11610.4</v>
      </c>
    </row>
    <row r="48">
      <c r="A48" s="5" t="inlineStr">
        <is>
          <t>Balance at 31 March 2019 (FY2019 closing)</t>
        </is>
      </c>
      <c r="B48" s="5" t="n">
        <v>245303.9</v>
      </c>
      <c r="C48" s="5" t="n">
        <v>-466.6</v>
      </c>
      <c r="D48" s="5" t="n">
        <v>-78399.10000000001</v>
      </c>
      <c r="E48" s="5" t="n">
        <v>166438.2</v>
      </c>
    </row>
    <row r="49">
      <c r="A49" s="6" t="inlineStr">
        <is>
          <t>Profit for the year</t>
        </is>
      </c>
      <c r="B49" s="6" t="n"/>
      <c r="C49" s="6" t="n"/>
      <c r="D49" s="6" t="n">
        <v>2145.1</v>
      </c>
      <c r="E49" s="6" t="n">
        <v>2145.1</v>
      </c>
    </row>
    <row r="50">
      <c r="A50" s="6" t="inlineStr">
        <is>
          <t>Net change in fair value of Investment securities - FVTOCI</t>
        </is>
      </c>
      <c r="B50" s="6" t="n"/>
      <c r="C50" s="6" t="n">
        <v>-519.4</v>
      </c>
      <c r="D50" s="6" t="n"/>
      <c r="E50" s="6" t="n">
        <v>-519.4</v>
      </c>
    </row>
    <row r="51">
      <c r="A51" s="6" t="inlineStr">
        <is>
          <t>Net amount transferred to Profit &amp; Loss</t>
        </is>
      </c>
      <c r="B51" s="6" t="n"/>
      <c r="C51" s="6" t="n">
        <v>9.4</v>
      </c>
      <c r="D51" s="6" t="n"/>
      <c r="E51" s="6" t="n">
        <v>9.4</v>
      </c>
    </row>
    <row r="52">
      <c r="A52" s="6" t="inlineStr">
        <is>
          <t>Dividend on additional Tier 1 capital</t>
        </is>
      </c>
      <c r="B52" s="6" t="n"/>
      <c r="C52" s="6" t="n"/>
      <c r="D52" s="6" t="n">
        <v>-2645.6</v>
      </c>
      <c r="E52" s="6" t="n">
        <v>-2645.6</v>
      </c>
    </row>
    <row r="53">
      <c r="A53" s="6" t="inlineStr">
        <is>
          <t>GBP translation adjustment (this workbook's conversion line)</t>
        </is>
      </c>
      <c r="B53" s="6" t="n">
        <v>12400.7</v>
      </c>
      <c r="C53" s="6" t="n">
        <v>-36.1</v>
      </c>
      <c r="D53" s="6" t="n">
        <v>-3975.5</v>
      </c>
      <c r="E53" s="6" t="n">
        <v>8389.1</v>
      </c>
    </row>
    <row r="54">
      <c r="A54" s="5" t="inlineStr">
        <is>
          <t>Balance at 31 March 2020 (FY2020 closing)</t>
        </is>
      </c>
      <c r="B54" s="5" t="n">
        <v>257704.6</v>
      </c>
      <c r="C54" s="5" t="n">
        <v>-1012.7</v>
      </c>
      <c r="D54" s="5" t="n">
        <v>-82875.10000000001</v>
      </c>
      <c r="E54" s="5" t="n">
        <v>173816.8</v>
      </c>
    </row>
    <row r="55">
      <c r="A55" s="6" t="inlineStr">
        <is>
          <t>Loss for the year</t>
        </is>
      </c>
      <c r="B55" s="6" t="n"/>
      <c r="C55" s="6" t="n"/>
      <c r="D55" s="6" t="n">
        <v>-7757.1</v>
      </c>
      <c r="E55" s="6" t="n">
        <v>-7757.1</v>
      </c>
    </row>
    <row r="56">
      <c r="A56" s="6" t="inlineStr">
        <is>
          <t>Net change in fair value of Investment securities - FVOCI</t>
        </is>
      </c>
      <c r="B56" s="6" t="n"/>
      <c r="C56" s="6" t="n">
        <v>949.7</v>
      </c>
      <c r="D56" s="6" t="n"/>
      <c r="E56" s="6" t="n">
        <v>949.7</v>
      </c>
    </row>
    <row r="57">
      <c r="A57" s="6" t="inlineStr">
        <is>
          <t>Net amount transferred to Profit &amp; Loss</t>
        </is>
      </c>
      <c r="B57" s="6" t="n"/>
      <c r="C57" s="6" t="n">
        <v>53.8</v>
      </c>
      <c r="D57" s="6" t="n"/>
      <c r="E57" s="6" t="n">
        <v>53.8</v>
      </c>
    </row>
    <row r="58">
      <c r="A58" s="6" t="inlineStr">
        <is>
          <t>Dividend on additional Tier 1 capital</t>
        </is>
      </c>
      <c r="B58" s="6" t="n"/>
      <c r="C58" s="6" t="n"/>
      <c r="D58" s="6" t="n">
        <v>-1960.9</v>
      </c>
      <c r="E58" s="6" t="n">
        <v>-1960.9</v>
      </c>
    </row>
    <row r="59">
      <c r="A59" s="6" t="inlineStr">
        <is>
          <t>GBP translation adjustment (this workbook's conversion line)</t>
        </is>
      </c>
      <c r="B59" s="6" t="n">
        <v>-26020.8</v>
      </c>
      <c r="C59" s="6" t="n">
        <v>58.5</v>
      </c>
      <c r="D59" s="6" t="n">
        <v>8792.700000000001</v>
      </c>
      <c r="E59" s="6" t="n">
        <v>-17169.6</v>
      </c>
    </row>
    <row r="60">
      <c r="A60" s="5" t="inlineStr">
        <is>
          <t>Balance at 31 March 2021 (FY2021 closing)</t>
        </is>
      </c>
      <c r="B60" s="5" t="n">
        <v>231683.8</v>
      </c>
      <c r="C60" s="5" t="n">
        <v>49.3</v>
      </c>
      <c r="D60" s="5" t="n">
        <v>-83800.39999999999</v>
      </c>
      <c r="E60" s="5" t="n">
        <v>147932.7</v>
      </c>
    </row>
    <row r="61">
      <c r="A61" s="5" t="inlineStr">
        <is>
          <t>Balance at 1 April 2021 (FY2022 opening)</t>
        </is>
      </c>
      <c r="B61" s="5" t="n">
        <v>231683.8</v>
      </c>
      <c r="C61" s="5" t="n">
        <v>49.3</v>
      </c>
      <c r="D61" s="5" t="n">
        <v>-83800.39999999999</v>
      </c>
      <c r="E61" s="5" t="n">
        <v>147932.7</v>
      </c>
    </row>
    <row r="62">
      <c r="A62" s="6" t="inlineStr">
        <is>
          <t>Profit for the year</t>
        </is>
      </c>
      <c r="B62" s="6" t="n"/>
      <c r="C62" s="6" t="n"/>
      <c r="D62" s="6" t="n">
        <v>5786.9</v>
      </c>
      <c r="E62" s="6" t="n">
        <v>5786.9</v>
      </c>
    </row>
    <row r="63">
      <c r="A63" s="6" t="inlineStr">
        <is>
          <t>Net change in fair value of Investment Securities - FVOCI</t>
        </is>
      </c>
      <c r="B63" s="6" t="n"/>
      <c r="C63" s="6" t="n">
        <v>-1149.2</v>
      </c>
      <c r="D63" s="6" t="n"/>
      <c r="E63" s="6" t="n">
        <v>-1149.2</v>
      </c>
    </row>
    <row r="64">
      <c r="A64" s="6" t="inlineStr">
        <is>
          <t>Net amount transferred to Profit &amp; Loss</t>
        </is>
      </c>
      <c r="B64" s="6" t="n"/>
      <c r="C64" s="6" t="n">
        <v>153</v>
      </c>
      <c r="D64" s="6" t="n"/>
      <c r="E64" s="6" t="n">
        <v>153</v>
      </c>
    </row>
    <row r="65">
      <c r="A65" s="6" t="inlineStr">
        <is>
          <t>Dividend on additional Tier 1 capital</t>
        </is>
      </c>
      <c r="B65" s="6" t="n"/>
      <c r="C65" s="6" t="n"/>
      <c r="D65" s="6" t="n">
        <v>-1732.5</v>
      </c>
      <c r="E65" s="6" t="n">
        <v>-1732.5</v>
      </c>
    </row>
    <row r="66">
      <c r="A66" s="6" t="inlineStr">
        <is>
          <t>GBP translation adjustment (this workbook's conversion line)</t>
        </is>
      </c>
      <c r="B66" s="6" t="n">
        <v>11160</v>
      </c>
      <c r="C66" s="6" t="n">
        <v>-35.5</v>
      </c>
      <c r="D66" s="6" t="n">
        <v>-3882.6</v>
      </c>
      <c r="E66" s="6" t="n">
        <v>7241.9</v>
      </c>
    </row>
    <row r="67">
      <c r="A67" s="5" t="inlineStr">
        <is>
          <t>Balance at 31 March 2022 (FY2022 closing)</t>
        </is>
      </c>
      <c r="B67" s="5" t="n">
        <v>242843.8</v>
      </c>
      <c r="C67" s="5" t="n">
        <v>-982.4</v>
      </c>
      <c r="D67" s="5" t="n">
        <v>-83628.60000000001</v>
      </c>
      <c r="E67" s="5" t="n">
        <v>158232.8</v>
      </c>
    </row>
    <row r="68">
      <c r="A68" s="6" t="inlineStr">
        <is>
          <t>Profit for the year</t>
        </is>
      </c>
      <c r="B68" s="6" t="n"/>
      <c r="C68" s="6" t="n"/>
      <c r="D68" s="6" t="n">
        <v>6918.2</v>
      </c>
      <c r="E68" s="6" t="n">
        <v>6918.2</v>
      </c>
    </row>
    <row r="69">
      <c r="A69" s="6" t="inlineStr">
        <is>
          <t>Net change in fair value of Investment Securities - FVOCI</t>
        </is>
      </c>
      <c r="B69" s="6" t="n"/>
      <c r="C69" s="6" t="n">
        <v>-73.09999999999999</v>
      </c>
      <c r="D69" s="6" t="n"/>
      <c r="E69" s="6" t="n">
        <v>-73.09999999999999</v>
      </c>
    </row>
    <row r="70">
      <c r="A70" s="6" t="inlineStr">
        <is>
          <t>Net amount transferred to Profit &amp; Loss</t>
        </is>
      </c>
      <c r="B70" s="6" t="n"/>
      <c r="C70" s="6" t="n">
        <v>327.9</v>
      </c>
      <c r="D70" s="6" t="n"/>
      <c r="E70" s="6" t="n">
        <v>327.9</v>
      </c>
    </row>
    <row r="71">
      <c r="A71" s="6" t="inlineStr">
        <is>
          <t>Dividend on additional Tier 1 capital</t>
        </is>
      </c>
      <c r="B71" s="6" t="n"/>
      <c r="C71" s="6" t="n"/>
      <c r="D71" s="6" t="n">
        <v>-2970.5</v>
      </c>
      <c r="E71" s="6" t="n">
        <v>-2970.5</v>
      </c>
    </row>
    <row r="72">
      <c r="A72" s="6" t="inlineStr">
        <is>
          <t>GBP translation adjustment (this workbook's conversion line)</t>
        </is>
      </c>
      <c r="B72" s="6" t="n">
        <v>15673.7</v>
      </c>
      <c r="C72" s="6" t="n">
        <v>-69.90000000000001</v>
      </c>
      <c r="D72" s="6" t="n">
        <v>-5499.5</v>
      </c>
      <c r="E72" s="6" t="n">
        <v>10104.3</v>
      </c>
    </row>
    <row r="73">
      <c r="A73" s="5" t="inlineStr">
        <is>
          <t>Balance at 31 March 2023 (FY2023 closing)</t>
        </is>
      </c>
      <c r="B73" s="5" t="n">
        <v>258517.5</v>
      </c>
      <c r="C73" s="5" t="n">
        <v>-797.5</v>
      </c>
      <c r="D73" s="5" t="n">
        <v>-85180.39999999999</v>
      </c>
      <c r="E73" s="5" t="n">
        <v>172539.6</v>
      </c>
    </row>
    <row r="74">
      <c r="A74" s="6" t="inlineStr">
        <is>
          <t>Profit for the year</t>
        </is>
      </c>
      <c r="B74" s="6" t="n"/>
      <c r="C74" s="6" t="n"/>
      <c r="D74" s="6" t="n">
        <v>4941.9</v>
      </c>
      <c r="E74" s="6" t="n">
        <v>4941.9</v>
      </c>
    </row>
    <row r="75">
      <c r="A75" s="6" t="inlineStr">
        <is>
          <t>Net change in fair value of Investment Securities - FVOCI</t>
        </is>
      </c>
      <c r="B75" s="6" t="n"/>
      <c r="C75" s="6" t="n">
        <v>148</v>
      </c>
      <c r="D75" s="6" t="n"/>
      <c r="E75" s="6" t="n">
        <v>148</v>
      </c>
    </row>
    <row r="76">
      <c r="A76" s="6" t="inlineStr">
        <is>
          <t>Net amount transferred to Profit &amp; Loss</t>
        </is>
      </c>
      <c r="B76" s="6" t="n"/>
      <c r="C76" s="6" t="n">
        <v>-5.6</v>
      </c>
      <c r="D76" s="6" t="n"/>
      <c r="E76" s="6" t="n">
        <v>-5.6</v>
      </c>
    </row>
    <row r="77">
      <c r="A77" s="6" t="inlineStr">
        <is>
          <t>Dividend on additional Tier 1 capital</t>
        </is>
      </c>
      <c r="B77" s="6" t="n"/>
      <c r="C77" s="6" t="n"/>
      <c r="D77" s="6" t="n">
        <v>-3846.3</v>
      </c>
      <c r="E77" s="6" t="n">
        <v>-3846.3</v>
      </c>
    </row>
    <row r="78">
      <c r="A78" s="6" t="inlineStr">
        <is>
          <t>GBP translation adjustment (this workbook's conversion line)</t>
        </is>
      </c>
      <c r="B78" s="6" t="n">
        <v>-5484.7</v>
      </c>
      <c r="C78" s="6" t="n">
        <v>16.2</v>
      </c>
      <c r="D78" s="6" t="n">
        <v>1801.7</v>
      </c>
      <c r="E78" s="6" t="n">
        <v>-3666.8</v>
      </c>
    </row>
    <row r="79">
      <c r="A79" s="5" t="inlineStr">
        <is>
          <t>Balance at 31 March 2024, as originally published in AR2024 (FY2024 closing)</t>
        </is>
      </c>
      <c r="B79" s="5" t="n">
        <v>253032.8</v>
      </c>
      <c r="C79" s="5" t="n">
        <v>-638.9</v>
      </c>
      <c r="D79" s="5" t="n">
        <v>-82283.10000000001</v>
      </c>
      <c r="E79" s="5" t="n">
        <v>170110.8</v>
      </c>
    </row>
    <row r="80">
      <c r="A80" s="6" t="inlineStr">
        <is>
          <t>Restatement adjustment (AR2025's own Note 28/Note 35 fair value reserve/deferred tax correction, disclosed as not material)</t>
        </is>
      </c>
      <c r="B80" s="6" t="n">
        <v>0</v>
      </c>
      <c r="C80" s="6" t="n">
        <v>549</v>
      </c>
      <c r="D80" s="6" t="n">
        <v>-734.4</v>
      </c>
      <c r="E80" s="6" t="n">
        <v>-185.4</v>
      </c>
    </row>
    <row r="81">
      <c r="A81" s="5" t="inlineStr">
        <is>
          <t>Balance at 1 April 2024, as restated in AR2025 (FY2025 opening)</t>
        </is>
      </c>
      <c r="B81" s="5" t="n">
        <v>253032.8</v>
      </c>
      <c r="C81" s="5" t="n">
        <v>-92.59999999999999</v>
      </c>
      <c r="D81" s="5" t="n">
        <v>-83013.8</v>
      </c>
      <c r="E81" s="5" t="n">
        <v>169926.4</v>
      </c>
    </row>
    <row r="82">
      <c r="A82" s="6" t="inlineStr">
        <is>
          <t>Profit for the year</t>
        </is>
      </c>
      <c r="B82" s="6" t="n"/>
      <c r="C82" s="6" t="n"/>
      <c r="D82" s="6" t="n">
        <v>587.6</v>
      </c>
      <c r="E82" s="6" t="n">
        <v>587.6</v>
      </c>
    </row>
    <row r="83">
      <c r="A83" s="6" t="inlineStr">
        <is>
          <t>Fair value gains/(losses) transferred to income statement on disposal</t>
        </is>
      </c>
      <c r="B83" s="6" t="n"/>
      <c r="C83" s="6" t="n">
        <v>202.1</v>
      </c>
      <c r="D83" s="6" t="n"/>
      <c r="E83" s="6" t="n">
        <v>202.1</v>
      </c>
    </row>
    <row r="84">
      <c r="A84" s="6" t="inlineStr">
        <is>
          <t>Fair value gains on Investment Securities - FVOCI (net of tax)</t>
        </is>
      </c>
      <c r="B84" s="6" t="n"/>
      <c r="C84" s="6" t="n">
        <v>108.1</v>
      </c>
      <c r="D84" s="6" t="n"/>
      <c r="E84" s="6" t="n">
        <v>108.1</v>
      </c>
    </row>
    <row r="85">
      <c r="A85" s="6" t="inlineStr">
        <is>
          <t>Dividend on additional Tier 1 capital</t>
        </is>
      </c>
      <c r="B85" s="6" t="n"/>
      <c r="C85" s="6" t="n"/>
      <c r="D85" s="6" t="n">
        <v>-3632.4</v>
      </c>
      <c r="E85" s="6" t="n">
        <v>-3632.4</v>
      </c>
    </row>
    <row r="86">
      <c r="A86" s="6" t="inlineStr">
        <is>
          <t>GBP translation adjustment (this workbook's conversion line)</t>
        </is>
      </c>
      <c r="B86" s="6" t="n">
        <v>-5448.8</v>
      </c>
      <c r="C86" s="6" t="n">
        <v>-1.5</v>
      </c>
      <c r="D86" s="6" t="n">
        <v>1822.3</v>
      </c>
      <c r="E86" s="6" t="n">
        <v>-3627.9</v>
      </c>
    </row>
    <row r="87">
      <c r="A87" s="5" t="inlineStr">
        <is>
          <t>Balance at 31 March 2025 (FY2025 closing)</t>
        </is>
      </c>
      <c r="B87" s="5" t="n">
        <v>247584</v>
      </c>
      <c r="C87" s="5" t="n">
        <v>216.1</v>
      </c>
      <c r="D87" s="5" t="n">
        <v>-84236.3</v>
      </c>
      <c r="E87" s="5" t="n">
        <v>163563.9</v>
      </c>
    </row>
    <row r="88">
      <c r="A88" s="6" t="inlineStr">
        <is>
          <t>Profit for the year</t>
        </is>
      </c>
      <c r="B88" s="6" t="n"/>
      <c r="C88" s="6" t="n"/>
      <c r="D88" s="6" t="n">
        <v>2191.1</v>
      </c>
      <c r="E88" s="6" t="n">
        <v>2191.1</v>
      </c>
    </row>
    <row r="89">
      <c r="A89" s="6" t="inlineStr">
        <is>
          <t>Fair value gains/(losses) transferred to income statement on disposal</t>
        </is>
      </c>
      <c r="B89" s="6" t="n"/>
      <c r="C89" s="6" t="n">
        <v>-457.3</v>
      </c>
      <c r="D89" s="6" t="n"/>
      <c r="E89" s="6" t="n">
        <v>-457.3</v>
      </c>
    </row>
    <row r="90">
      <c r="A90" s="6" t="inlineStr">
        <is>
          <t>Fair value gains on Investment Securities - FVOCI (net of tax)</t>
        </is>
      </c>
      <c r="B90" s="6" t="n"/>
      <c r="C90" s="6" t="n">
        <v>157.4</v>
      </c>
      <c r="D90" s="6" t="n"/>
      <c r="E90" s="6" t="n">
        <v>157.4</v>
      </c>
    </row>
    <row r="91">
      <c r="A91" s="6" t="inlineStr">
        <is>
          <t>Dividend on additional Tier 1 capital</t>
        </is>
      </c>
      <c r="B91" s="6" t="n"/>
      <c r="C91" s="6" t="n"/>
      <c r="D91" s="6" t="n">
        <v>-3223.7</v>
      </c>
      <c r="E91" s="6" t="n">
        <v>-3223.7</v>
      </c>
    </row>
    <row r="92">
      <c r="A92" s="6" t="inlineStr">
        <is>
          <t>GBP translation adjustment (this workbook's conversion line)</t>
        </is>
      </c>
      <c r="B92" s="6" t="n">
        <v>-5219</v>
      </c>
      <c r="C92" s="6" t="n">
        <v>-9.5</v>
      </c>
      <c r="D92" s="6" t="n">
        <v>1758.9</v>
      </c>
      <c r="E92" s="6" t="n">
        <v>-3469.6</v>
      </c>
    </row>
    <row r="93">
      <c r="A93" s="5" t="inlineStr">
        <is>
          <t>Balance at 31 March 2026 (FY2026 closing)</t>
        </is>
      </c>
      <c r="B93" s="5" t="n">
        <v>242365</v>
      </c>
      <c r="C93" s="5" t="n">
        <v>-93.3</v>
      </c>
      <c r="D93" s="5" t="n">
        <v>-83510</v>
      </c>
      <c r="E93" s="5" t="n">
        <v>158761.8</v>
      </c>
    </row>
    <row r="95" ht="280" customHeight="1">
      <c r="A95"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t>
        </is>
      </c>
    </row>
  </sheetData>
  <mergeCells count="1">
    <mergeCell ref="A95:E9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Statement of Cash Flows</t>
        </is>
      </c>
    </row>
    <row r="2">
      <c r="A2" s="2" t="inlineStr">
        <is>
          <t>Entity-level basis,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row>
    <row r="4">
      <c r="A4" s="5" t="inlineStr">
        <is>
          <t>Operating activities</t>
        </is>
      </c>
      <c r="B4" s="6" t="n"/>
      <c r="C4" s="6" t="n"/>
      <c r="D4" s="6" t="n"/>
      <c r="E4" s="6" t="n"/>
      <c r="F4" s="6" t="n"/>
      <c r="G4" s="6" t="n"/>
      <c r="H4" s="6" t="n"/>
      <c r="I4" s="6" t="n"/>
      <c r="J4" s="6" t="n"/>
      <c r="K4" s="6" t="n"/>
      <c r="L4" s="6" t="n"/>
      <c r="M4" s="6" t="n"/>
      <c r="N4" s="6" t="n"/>
    </row>
    <row r="5">
      <c r="A5" s="5" t="inlineStr">
        <is>
          <t>Net cash (used in)/generated from operating activities</t>
        </is>
      </c>
      <c r="B5" s="5" t="n">
        <v>47658.9</v>
      </c>
      <c r="C5" s="5" t="n">
        <v>2756.4</v>
      </c>
      <c r="D5" s="5" t="n">
        <v>-23233.6</v>
      </c>
      <c r="E5" s="5" t="n">
        <v>6421.8</v>
      </c>
      <c r="F5" s="5" t="n">
        <v>-15142</v>
      </c>
      <c r="G5" s="5" t="n">
        <v>77735.89999999999</v>
      </c>
      <c r="H5" s="5" t="n">
        <v>-16883.9</v>
      </c>
      <c r="I5" s="5" t="n">
        <v>24220.9</v>
      </c>
      <c r="J5" s="5" t="n">
        <v>-251783.3</v>
      </c>
      <c r="K5" s="5" t="n">
        <v>121040.8</v>
      </c>
      <c r="L5" s="5" t="n">
        <v>53836.4</v>
      </c>
      <c r="M5" s="5" t="n">
        <v>-34341.7</v>
      </c>
      <c r="N5" s="5" t="n">
        <v>3387.4</v>
      </c>
    </row>
    <row r="6">
      <c r="A6" s="5" t="inlineStr">
        <is>
          <t>Investing activities</t>
        </is>
      </c>
      <c r="B6" s="6" t="n"/>
      <c r="C6" s="6" t="n"/>
      <c r="D6" s="6" t="n"/>
      <c r="E6" s="6" t="n"/>
      <c r="F6" s="6" t="n"/>
      <c r="G6" s="6" t="n"/>
      <c r="H6" s="6" t="n"/>
      <c r="I6" s="6" t="n"/>
      <c r="J6" s="6" t="n"/>
      <c r="K6" s="6" t="n"/>
      <c r="L6" s="6" t="n"/>
      <c r="M6" s="6" t="n"/>
      <c r="N6" s="6" t="n"/>
    </row>
    <row r="7">
      <c r="A7" s="5" t="inlineStr">
        <is>
          <t>Net cash (used in)/generated from investing activities</t>
        </is>
      </c>
      <c r="B7" s="5" t="n">
        <v>-21032.5</v>
      </c>
      <c r="C7" s="5" t="n">
        <v>-5553.6</v>
      </c>
      <c r="D7" s="5" t="n">
        <v>17663.1</v>
      </c>
      <c r="E7" s="5" t="n">
        <v>-7652.1</v>
      </c>
      <c r="F7" s="5" t="n">
        <v>-35215.9</v>
      </c>
      <c r="G7" s="5" t="n">
        <v>-7487.3</v>
      </c>
      <c r="H7" s="5" t="n">
        <v>358</v>
      </c>
      <c r="I7" s="5" t="n">
        <v>-1818</v>
      </c>
      <c r="J7" s="5" t="n">
        <v>-30200.4</v>
      </c>
      <c r="K7" s="5" t="n">
        <v>-6465.9</v>
      </c>
      <c r="L7" s="5" t="n">
        <v>68.3</v>
      </c>
      <c r="M7" s="5" t="n">
        <v>1206.2</v>
      </c>
      <c r="N7" s="5" t="n">
        <v>1225.8</v>
      </c>
    </row>
    <row r="8">
      <c r="A8" s="5" t="inlineStr">
        <is>
          <t>Financing activities</t>
        </is>
      </c>
      <c r="B8" s="6" t="n"/>
      <c r="C8" s="6" t="n"/>
      <c r="D8" s="6" t="n"/>
      <c r="E8" s="6" t="n"/>
      <c r="F8" s="6" t="n"/>
      <c r="G8" s="6" t="n"/>
      <c r="H8" s="6" t="n"/>
      <c r="I8" s="6" t="n"/>
      <c r="J8" s="6" t="n"/>
      <c r="K8" s="6" t="n"/>
      <c r="L8" s="6" t="n"/>
      <c r="M8" s="6" t="n"/>
      <c r="N8" s="6" t="n"/>
    </row>
    <row r="9">
      <c r="A9" s="5" t="inlineStr">
        <is>
          <t>Net cash used in financing activities</t>
        </is>
      </c>
      <c r="B9" s="5" t="n">
        <v>-11482.4</v>
      </c>
      <c r="C9" s="5" t="n">
        <v>-12292.6</v>
      </c>
      <c r="D9" s="5" t="n">
        <v>-4430.3</v>
      </c>
      <c r="E9" s="5" t="n">
        <v>-3730.2</v>
      </c>
      <c r="F9" s="5" t="n">
        <v>-2419.1</v>
      </c>
      <c r="G9" s="5" t="n">
        <v>-2645.3</v>
      </c>
      <c r="H9" s="5" t="n">
        <v>-3322.3</v>
      </c>
      <c r="I9" s="5" t="n">
        <v>-2613.9</v>
      </c>
      <c r="J9" s="5" t="n">
        <v>12862.2</v>
      </c>
      <c r="K9" s="5" t="n">
        <v>76528.7</v>
      </c>
      <c r="L9" s="5" t="n">
        <v>5877.2</v>
      </c>
      <c r="M9" s="5" t="n">
        <v>5530.5</v>
      </c>
      <c r="N9" s="5" t="n">
        <v>33892.5</v>
      </c>
    </row>
    <row r="10">
      <c r="A10" s="5" t="inlineStr">
        <is>
          <t>Net increase/(decrease) in cash and cash equivalents</t>
        </is>
      </c>
      <c r="B10" s="5" t="n">
        <v>17285.1</v>
      </c>
      <c r="C10" s="5" t="n">
        <v>-13538.4</v>
      </c>
      <c r="D10" s="5" t="n">
        <v>-8584.5</v>
      </c>
      <c r="E10" s="5" t="n">
        <v>-4960.6</v>
      </c>
      <c r="F10" s="5" t="n">
        <v>-52777</v>
      </c>
      <c r="G10" s="5" t="n">
        <v>67604</v>
      </c>
      <c r="H10" s="5" t="n">
        <v>-19848.1</v>
      </c>
      <c r="I10" s="5" t="n">
        <v>19790.6</v>
      </c>
      <c r="J10" s="5" t="n">
        <v>-269121.5</v>
      </c>
      <c r="K10" s="5" t="n">
        <v>191103.5</v>
      </c>
      <c r="L10" s="5" t="n">
        <v>59781.9</v>
      </c>
      <c r="M10" s="5" t="n">
        <v>-27605</v>
      </c>
      <c r="N10" s="5" t="n">
        <v>38505.7</v>
      </c>
    </row>
    <row r="11">
      <c r="A11" s="6" t="inlineStr">
        <is>
          <t>Effects of exchange rate on cash and cash equivalents (Bank's own line)</t>
        </is>
      </c>
      <c r="B11" s="6" t="n">
        <v>2141.2</v>
      </c>
      <c r="C11" s="6" t="n">
        <v>1551.4</v>
      </c>
      <c r="D11" s="6" t="n">
        <v>1416.3</v>
      </c>
      <c r="E11" s="6" t="n">
        <v>828.6</v>
      </c>
      <c r="F11" s="6" t="n">
        <v>426</v>
      </c>
      <c r="G11" s="6" t="n"/>
      <c r="H11" s="6" t="n"/>
      <c r="I11" s="6" t="n"/>
      <c r="J11" s="6" t="n">
        <v>-1082.6</v>
      </c>
      <c r="K11" s="6" t="n">
        <v>68.90000000000001</v>
      </c>
      <c r="L11" s="6" t="n"/>
      <c r="M11" s="6" t="n"/>
      <c r="N11" s="6" t="n"/>
    </row>
    <row r="12">
      <c r="A12" s="6" t="inlineStr">
        <is>
          <t>Effect of GBP/USD translation (this workbook's conversion line)</t>
        </is>
      </c>
      <c r="B12" s="6" t="n">
        <v>-3764.4</v>
      </c>
      <c r="C12" s="6" t="n">
        <v>-3682</v>
      </c>
      <c r="D12" s="6" t="n">
        <v>-3857.9</v>
      </c>
      <c r="E12" s="6" t="n">
        <v>7452.2</v>
      </c>
      <c r="F12" s="6" t="n">
        <v>5738.7</v>
      </c>
      <c r="G12" s="6" t="n">
        <v>-13711.4</v>
      </c>
      <c r="H12" s="6" t="n">
        <v>5616.7</v>
      </c>
      <c r="I12" s="6" t="n">
        <v>7357.9</v>
      </c>
      <c r="J12" s="6" t="n">
        <v>-27970.9</v>
      </c>
      <c r="K12" s="6" t="n">
        <v>33551.9</v>
      </c>
      <c r="L12" s="6" t="n">
        <v>6223.6</v>
      </c>
      <c r="M12" s="6" t="n">
        <v>11975.1</v>
      </c>
      <c r="N12" s="6" t="n">
        <v>-9644.5</v>
      </c>
    </row>
    <row r="13">
      <c r="A13" s="6" t="inlineStr">
        <is>
          <t>Cash and cash equivalents at beginning of year</t>
        </is>
      </c>
      <c r="B13" s="6" t="n">
        <v>90436.10000000001</v>
      </c>
      <c r="C13" s="6" t="n">
        <v>106105.1</v>
      </c>
      <c r="D13" s="6" t="n">
        <v>117131.2</v>
      </c>
      <c r="E13" s="6" t="n">
        <v>113811</v>
      </c>
      <c r="F13" s="6" t="n">
        <v>160423.3</v>
      </c>
      <c r="G13" s="6" t="n">
        <v>106530.7</v>
      </c>
      <c r="H13" s="6" t="n">
        <v>120762.1</v>
      </c>
      <c r="I13" s="6" t="n">
        <v>93613.60000000001</v>
      </c>
      <c r="J13" s="6" t="n">
        <v>391788.6</v>
      </c>
      <c r="K13" s="6" t="n">
        <v>167064.3</v>
      </c>
      <c r="L13" s="6" t="n">
        <v>101058.8</v>
      </c>
      <c r="M13" s="6" t="n">
        <v>116688.7</v>
      </c>
      <c r="N13" s="6" t="n">
        <v>87827.5</v>
      </c>
    </row>
    <row r="14">
      <c r="A14" s="5" t="inlineStr">
        <is>
          <t>Cash and cash equivalents at end of year</t>
        </is>
      </c>
      <c r="B14" s="5" t="n">
        <v>106098</v>
      </c>
      <c r="C14" s="5" t="n">
        <v>90436.10000000001</v>
      </c>
      <c r="D14" s="5" t="n">
        <v>106105.1</v>
      </c>
      <c r="E14" s="5" t="n">
        <v>117131.2</v>
      </c>
      <c r="F14" s="5" t="n">
        <v>113811</v>
      </c>
      <c r="G14" s="5" t="n">
        <v>160423.3</v>
      </c>
      <c r="H14" s="5" t="n">
        <v>106530.7</v>
      </c>
      <c r="I14" s="5" t="n">
        <v>120762.1</v>
      </c>
      <c r="J14" s="5" t="n">
        <v>93613.60000000001</v>
      </c>
      <c r="K14" s="5" t="n">
        <v>391788.6</v>
      </c>
      <c r="L14" s="5" t="n">
        <v>167064.3</v>
      </c>
      <c r="M14" s="5" t="n">
        <v>101058.8</v>
      </c>
      <c r="N14" s="5" t="n">
        <v>116688.7</v>
      </c>
    </row>
    <row r="16" ht="260" customHeight="1">
      <c r="A16" s="8" t="inlineStr">
        <is>
          <t>Sources - Punjab National Bank (International) Limited entity-level Statement of Cash Flows (native unit $'000):
FY2026: Annual Report and Accounts 2026, printed p.50 - https://www.pnbint.com/PNBIL/pdf/Financial_Reports/PNBIL-Annual-Report-2026.pdf
FY2025: Annual Report and Accounts 2025, printed p.49 - https://www.pnbint.com/PNBIL/pdf/Financial_Reports/PNBIL%20Annual%20Report%202025.pdf
FY2024: Annual Report and Accounts 2024, printed p.44 - https://www.pnbint.com/PNBIL/pdf/Financial_Reports/Annual_Report_31-03-2024.pdf
FY2023: Annual Report and Accounts 2023, printed p.39 - https://www.pnbint.com/PNBIL/pdf/Financial_Reports/PNBIL_Annual_Report_2023.pdf
FY2022: Annual Report and Accounts 2022, printed p.36 - https://www.pnbint.com/PNBIL/pdf/Financial_Reports/AnnualReport20220331.pdf
FY2021: Annual Report and Accounts 2021, printed pp.24-28 - https://www.pnbint.com/PNBIL/pdf/Financial_Reports/Annual%20report%20%2031-03-21.pdf
FY2020: Annual Report and Accounts 2020, printed p.29 - https://www.pnbint.com/PNBIL/pdf/Financial_Reports/Annual%20Report%2031-03-20_latest.pdf
FY2019: Annual Report and Accounts 2019, printed p.32 - https://www.pnbint.com/PNBIL/pdf/Financial_Reports/Annual%20Report%2031-03-19.pdf
FY2018: Annual Report and Accounts 2018, printed p.33 - https://www.pnbint.com/PNBIL/pdf/Financial_Reports/Annual%20Report%2031-03-18.pdf
FY2017: Annual Report and Accounts 2018's own FY2017 comparative column, printed p.33 - https://www.pnbint.com/PNBIL/pdf/Financial_Reports/Annual%20Report%2031-03-18.pdf (FY2017's own report is a scanned/photocopied PDF - AR2018's native-text comparative was used for higher transcription confidence; cross-checked against FY2017's own OCR'd report at https://www.pnbint.com/PNBIL/pdf/Financial_Reports/SIGNED%20ANNUAL%20REPORT-1617.pdf)
FY2016: Annual Report and Accounts 2016, printed p.25 - https://www.pnbint.com/PNBIL/pdf/Financial_Reports/Annual%20Report%2031-03-16.pdf (OCR'd from a scanned PDF)
FY2015: Annual Report and Accounts 2016's own FY2015 comparative column, printed p.25 - https://www.pnbint.com/PNBIL/pdf/Financial_Reports/Annual%20Report%2031-03-16.pdf (OCR'd from a scanned PDF; cross-checked against FY2015's own report at https://www.pnbint.com/PNBIL/pdf/Financial_Reports/Annual%20Report%2031.03.2015.pdf)
FY2014: Annual Report and Accounts 2014, printed p.21 - https://www.pnbint.com/PNBIL/pdf/Financial_Reports/Annualreport31-03-2014.pdf (OCR'd from a scanned PDF; the Statement of Financial Position on the same page range was additionally verified against a 250dpi page render, see BS_DISCREPANCY_NOTE-style verification below)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HD-048 EXCHANGE-EFFECTS NOTE: the Bank's own Statement of Cash Flows discloses a separate 'unrealised (gain)/loss on exchange rate difference' reconciling line (after the net change in cash, before the closing balance) only in the FY2017 and FY2018 reports; FY2014-FY2016, FY2019 and FY2020 close exactly from opening + net change with no such line disclosed that year - a genuine year-to-year presentation difference, not a gap in this transcription.</t>
        </is>
      </c>
    </row>
  </sheetData>
  <mergeCells count="1">
    <mergeCell ref="A16:N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Asset Quality</t>
        </is>
      </c>
    </row>
    <row r="2">
      <c r="A2" s="2" t="inlineStr">
        <is>
          <t>Entity-level. IFRS 9 stage 1/2/3 split (FY2019-FY2026) for Loans and advances to banks/customers and Investment securities at amortised cost combined (the Bank's own 'loans &amp; advances at amortised cost by product' note table); IAS 39 incurred-loss model (FY2014-FY2018, Loans and advances to customers only - see the section note below). £'000 converted from the Bank's native US$'000 presentation.</t>
        </is>
      </c>
    </row>
    <row r="3">
      <c r="A3" s="4" t="inlineStr">
        <is>
          <t>Line item</t>
        </is>
      </c>
      <c r="B3" s="4" t="inlineStr">
        <is>
          <t>FY2026 (£'000, conv. from USD)</t>
        </is>
      </c>
      <c r="C3" s="4" t="inlineStr">
        <is>
          <t>FY2025 (£'000, conv. from USD)</t>
        </is>
      </c>
      <c r="D3" s="4" t="inlineStr">
        <is>
          <t>FY2024 (£'000, conv. from USD)</t>
        </is>
      </c>
      <c r="E3" s="4" t="inlineStr">
        <is>
          <t>FY2023 (£'000, conv. from USD)</t>
        </is>
      </c>
      <c r="F3" s="4" t="inlineStr">
        <is>
          <t>FY2022 (£'000, conv. from USD)</t>
        </is>
      </c>
      <c r="G3" s="4" t="inlineStr">
        <is>
          <t>FY2021 (£'000, conv. from USD)</t>
        </is>
      </c>
      <c r="H3" s="4" t="inlineStr">
        <is>
          <t>FY2020 (£'000, conv. from USD)</t>
        </is>
      </c>
      <c r="I3" s="4" t="inlineStr">
        <is>
          <t>FY2019 (£'000, conv. from USD)</t>
        </is>
      </c>
      <c r="J3" s="4" t="inlineStr">
        <is>
          <t>FY2018 (£'000, conv. from USD)</t>
        </is>
      </c>
      <c r="K3" s="4" t="inlineStr">
        <is>
          <t>FY2017 (£'000, conv. from USD)</t>
        </is>
      </c>
      <c r="L3" s="4" t="inlineStr">
        <is>
          <t>FY2016 (£'000, conv. from USD)</t>
        </is>
      </c>
      <c r="M3" s="4" t="inlineStr">
        <is>
          <t>FY2015 (£'000, conv. from USD)</t>
        </is>
      </c>
      <c r="N3" s="4" t="inlineStr">
        <is>
          <t>FY2014 (£'000, conv. from USD)</t>
        </is>
      </c>
    </row>
    <row r="4">
      <c r="A4" s="5" t="inlineStr">
        <is>
          <t>Gross carrying amount, by IFRS 9 stage (loans, banks, and investment securities at amortised cost) - FY2019-FY2026</t>
        </is>
      </c>
      <c r="B4" s="6" t="n"/>
      <c r="C4" s="6" t="n"/>
      <c r="D4" s="6" t="n"/>
      <c r="E4" s="6" t="n"/>
      <c r="F4" s="6" t="n"/>
      <c r="G4" s="6" t="n"/>
      <c r="H4" s="6" t="n"/>
      <c r="I4" s="6" t="n"/>
      <c r="J4" s="6" t="n"/>
      <c r="K4" s="6" t="n"/>
      <c r="L4" s="6" t="n"/>
      <c r="M4" s="6" t="n"/>
      <c r="N4" s="6" t="n"/>
    </row>
    <row r="5">
      <c r="A5" s="6" t="inlineStr">
        <is>
          <t>Stage 1 gross carrying amount</t>
        </is>
      </c>
      <c r="B5" s="6" t="n">
        <v>829359.3</v>
      </c>
      <c r="C5" s="6" t="n">
        <v>684299.8</v>
      </c>
      <c r="D5" s="6" t="n">
        <v>568755.5</v>
      </c>
      <c r="E5" s="6" t="n">
        <v>636222.1</v>
      </c>
      <c r="F5" s="6" t="n">
        <v>549842</v>
      </c>
      <c r="G5" s="6" t="n"/>
      <c r="H5" s="6" t="n">
        <v>440982.8</v>
      </c>
      <c r="I5" s="6" t="n">
        <v>522538</v>
      </c>
      <c r="J5" s="6" t="n"/>
      <c r="K5" s="6" t="n"/>
      <c r="L5" s="6" t="n"/>
      <c r="M5" s="6" t="n"/>
      <c r="N5" s="6" t="n"/>
    </row>
    <row r="6">
      <c r="A6" s="6" t="inlineStr">
        <is>
          <t>Stage 2 gross carrying amount</t>
        </is>
      </c>
      <c r="B6" s="6" t="n">
        <v>47424.2</v>
      </c>
      <c r="C6" s="6" t="n">
        <v>30543</v>
      </c>
      <c r="D6" s="6" t="n">
        <v>27306</v>
      </c>
      <c r="E6" s="6" t="n">
        <v>292.8</v>
      </c>
      <c r="F6" s="6" t="n">
        <v>30828.9</v>
      </c>
      <c r="G6" s="6" t="n"/>
      <c r="H6" s="6" t="n">
        <v>46131.6</v>
      </c>
      <c r="I6" s="6" t="n">
        <v>66392.2</v>
      </c>
      <c r="J6" s="6" t="n"/>
      <c r="K6" s="6" t="n"/>
      <c r="L6" s="6" t="n"/>
      <c r="M6" s="6" t="n"/>
      <c r="N6" s="6" t="n"/>
    </row>
    <row r="7">
      <c r="A7" s="6" t="inlineStr">
        <is>
          <t>Stage 3 gross carrying amount</t>
        </is>
      </c>
      <c r="B7" s="6" t="n">
        <v>72688.8</v>
      </c>
      <c r="C7" s="6" t="n">
        <v>100084.4</v>
      </c>
      <c r="D7" s="6" t="n">
        <v>202284.7</v>
      </c>
      <c r="E7" s="6" t="n">
        <v>229874.6</v>
      </c>
      <c r="F7" s="6" t="n">
        <v>234673.3</v>
      </c>
      <c r="G7" s="6" t="n"/>
      <c r="H7" s="6" t="n">
        <v>299736.4</v>
      </c>
      <c r="I7" s="6" t="n">
        <v>311787.4</v>
      </c>
      <c r="J7" s="6" t="n"/>
      <c r="K7" s="6" t="n"/>
      <c r="L7" s="6" t="n"/>
      <c r="M7" s="6" t="n"/>
      <c r="N7" s="6" t="n"/>
    </row>
    <row r="8">
      <c r="A8" s="5" t="inlineStr">
        <is>
          <t>Total gross carrying amount</t>
        </is>
      </c>
      <c r="B8" s="5" t="n">
        <v>949472.2</v>
      </c>
      <c r="C8" s="5" t="n">
        <v>814152.6</v>
      </c>
      <c r="D8" s="5" t="n">
        <v>798346.3</v>
      </c>
      <c r="E8" s="5" t="n">
        <v>866389.5</v>
      </c>
      <c r="F8" s="5" t="n">
        <v>815344.2</v>
      </c>
      <c r="G8" s="5" t="n"/>
      <c r="H8" s="5" t="n">
        <v>786850.8</v>
      </c>
      <c r="I8" s="5" t="n">
        <v>900717.6</v>
      </c>
      <c r="J8" s="5" t="n"/>
      <c r="K8" s="5" t="n"/>
      <c r="L8" s="5" t="n"/>
      <c r="M8" s="5" t="n"/>
      <c r="N8" s="5" t="n"/>
    </row>
    <row r="9">
      <c r="A9" s="5" t="inlineStr">
        <is>
          <t>Impairment allowance, by IFRS 9 stage - FY2019-FY2026</t>
        </is>
      </c>
      <c r="B9" s="6" t="n"/>
      <c r="C9" s="6" t="n"/>
      <c r="D9" s="6" t="n"/>
      <c r="E9" s="6" t="n"/>
      <c r="F9" s="6" t="n"/>
      <c r="G9" s="6" t="n"/>
      <c r="H9" s="6" t="n"/>
      <c r="I9" s="6" t="n"/>
      <c r="J9" s="6" t="n"/>
      <c r="K9" s="6" t="n"/>
      <c r="L9" s="6" t="n"/>
      <c r="M9" s="6" t="n"/>
      <c r="N9" s="6" t="n"/>
    </row>
    <row r="10">
      <c r="A10" s="6" t="inlineStr">
        <is>
          <t>Stage 1 impairment allowance</t>
        </is>
      </c>
      <c r="B10" s="6" t="n">
        <v>505.8</v>
      </c>
      <c r="C10" s="6" t="n">
        <v>403.6</v>
      </c>
      <c r="D10" s="6" t="n">
        <v>400.6</v>
      </c>
      <c r="E10" s="6" t="n">
        <v>2481.4</v>
      </c>
      <c r="F10" s="6" t="n">
        <v>1327.3</v>
      </c>
      <c r="G10" s="6" t="n"/>
      <c r="H10" s="6" t="n">
        <v>1681</v>
      </c>
      <c r="I10" s="6" t="n">
        <v>2402.1</v>
      </c>
      <c r="J10" s="6" t="n"/>
      <c r="K10" s="6" t="n"/>
      <c r="L10" s="6" t="n"/>
      <c r="M10" s="6" t="n"/>
      <c r="N10" s="6" t="n"/>
    </row>
    <row r="11">
      <c r="A11" s="6" t="inlineStr">
        <is>
          <t>Stage 2 impairment allowance</t>
        </is>
      </c>
      <c r="B11" s="6" t="n">
        <v>15.2</v>
      </c>
      <c r="C11" s="6" t="n">
        <v>7.7</v>
      </c>
      <c r="D11" s="6" t="n">
        <v>1.6</v>
      </c>
      <c r="E11" s="6" t="n">
        <v>0.8</v>
      </c>
      <c r="F11" s="6" t="n">
        <v>111.7</v>
      </c>
      <c r="G11" s="6" t="n"/>
      <c r="H11" s="6" t="n">
        <v>403.9</v>
      </c>
      <c r="I11" s="6" t="n">
        <v>738.3</v>
      </c>
      <c r="J11" s="6" t="n"/>
      <c r="K11" s="6" t="n"/>
      <c r="L11" s="6" t="n"/>
      <c r="M11" s="6" t="n"/>
      <c r="N11" s="6" t="n"/>
    </row>
    <row r="12">
      <c r="A12" s="6" t="inlineStr">
        <is>
          <t>Stage 3 impairment allowance</t>
        </is>
      </c>
      <c r="B12" s="6" t="n">
        <v>42209.6</v>
      </c>
      <c r="C12" s="6" t="n">
        <v>54424.5</v>
      </c>
      <c r="D12" s="6" t="n">
        <v>126846.9</v>
      </c>
      <c r="E12" s="6" t="n">
        <v>143126</v>
      </c>
      <c r="F12" s="6" t="n">
        <v>146892.6</v>
      </c>
      <c r="G12" s="6" t="n"/>
      <c r="H12" s="6" t="n">
        <v>193721.7</v>
      </c>
      <c r="I12" s="6" t="n">
        <v>201125.9</v>
      </c>
      <c r="J12" s="6" t="n"/>
      <c r="K12" s="6" t="n"/>
      <c r="L12" s="6" t="n"/>
      <c r="M12" s="6" t="n"/>
      <c r="N12" s="6" t="n"/>
    </row>
    <row r="13">
      <c r="A13" s="5" t="inlineStr">
        <is>
          <t>Total impairment allowance</t>
        </is>
      </c>
      <c r="B13" s="5" t="n">
        <v>42730.5</v>
      </c>
      <c r="C13" s="5" t="n">
        <v>54835.8</v>
      </c>
      <c r="D13" s="5" t="n">
        <v>127249.1</v>
      </c>
      <c r="E13" s="5" t="n">
        <v>145608.2</v>
      </c>
      <c r="F13" s="5" t="n">
        <v>148331.6</v>
      </c>
      <c r="G13" s="5" t="n"/>
      <c r="H13" s="5" t="n">
        <v>195806.7</v>
      </c>
      <c r="I13" s="5" t="n">
        <v>204266.3</v>
      </c>
      <c r="J13" s="5" t="n"/>
      <c r="K13" s="5" t="n"/>
      <c r="L13" s="5" t="n"/>
      <c r="M13" s="5" t="n"/>
      <c r="N13" s="5" t="n"/>
    </row>
    <row r="14">
      <c r="A14" s="5" t="inlineStr">
        <is>
          <t>Net carrying amount, by IFRS 9 stage - FY2019-FY2026</t>
        </is>
      </c>
      <c r="B14" s="6" t="n"/>
      <c r="C14" s="6" t="n"/>
      <c r="D14" s="6" t="n"/>
      <c r="E14" s="6" t="n"/>
      <c r="F14" s="6" t="n"/>
      <c r="G14" s="6" t="n"/>
      <c r="H14" s="6" t="n"/>
      <c r="I14" s="6" t="n"/>
      <c r="J14" s="6" t="n"/>
      <c r="K14" s="6" t="n"/>
      <c r="L14" s="6" t="n"/>
      <c r="M14" s="6" t="n"/>
      <c r="N14" s="6" t="n"/>
    </row>
    <row r="15">
      <c r="A15" s="6" t="inlineStr">
        <is>
          <t>Stage 1 net carrying amount</t>
        </is>
      </c>
      <c r="B15" s="6" t="n">
        <v>828853.5</v>
      </c>
      <c r="C15" s="6" t="n">
        <v>683897</v>
      </c>
      <c r="D15" s="6" t="n">
        <v>568355.8</v>
      </c>
      <c r="E15" s="6" t="n">
        <v>633740.7</v>
      </c>
      <c r="F15" s="6" t="n">
        <v>548514.7</v>
      </c>
      <c r="G15" s="6" t="n"/>
      <c r="H15" s="6" t="n">
        <v>439301.8</v>
      </c>
      <c r="I15" s="6" t="n">
        <v>520135.8</v>
      </c>
      <c r="J15" s="6" t="n"/>
      <c r="K15" s="6" t="n"/>
      <c r="L15" s="6" t="n"/>
      <c r="M15" s="6" t="n"/>
      <c r="N15" s="6" t="n"/>
    </row>
    <row r="16">
      <c r="A16" s="6" t="inlineStr">
        <is>
          <t>Stage 2 net carrying amount</t>
        </is>
      </c>
      <c r="B16" s="6" t="n">
        <v>47409</v>
      </c>
      <c r="C16" s="6" t="n">
        <v>30536</v>
      </c>
      <c r="D16" s="6" t="n">
        <v>27304.5</v>
      </c>
      <c r="E16" s="6" t="n">
        <v>292</v>
      </c>
      <c r="F16" s="6" t="n">
        <v>30717.2</v>
      </c>
      <c r="G16" s="6" t="n"/>
      <c r="H16" s="6" t="n">
        <v>45727.6</v>
      </c>
      <c r="I16" s="6" t="n">
        <v>65653.10000000001</v>
      </c>
      <c r="J16" s="6" t="n"/>
      <c r="K16" s="6" t="n"/>
      <c r="L16" s="6" t="n"/>
      <c r="M16" s="6" t="n"/>
      <c r="N16" s="6" t="n"/>
    </row>
    <row r="17">
      <c r="A17" s="6" t="inlineStr">
        <is>
          <t>Stage 3 net carrying amount</t>
        </is>
      </c>
      <c r="B17" s="6" t="n">
        <v>30479.2</v>
      </c>
      <c r="C17" s="6" t="n">
        <v>45660</v>
      </c>
      <c r="D17" s="6" t="n">
        <v>75437.8</v>
      </c>
      <c r="E17" s="6" t="n">
        <v>86748.60000000001</v>
      </c>
      <c r="F17" s="6" t="n">
        <v>87780.7</v>
      </c>
      <c r="G17" s="6" t="n"/>
      <c r="H17" s="6" t="n">
        <v>106014.7</v>
      </c>
      <c r="I17" s="6" t="n">
        <v>110661.6</v>
      </c>
      <c r="J17" s="6" t="n"/>
      <c r="K17" s="6" t="n"/>
      <c r="L17" s="6" t="n"/>
      <c r="M17" s="6" t="n"/>
      <c r="N17" s="6" t="n"/>
    </row>
    <row r="18">
      <c r="A18" s="5" t="inlineStr">
        <is>
          <t>Total net carrying amount</t>
        </is>
      </c>
      <c r="B18" s="5" t="n">
        <v>906741.7</v>
      </c>
      <c r="C18" s="5" t="n">
        <v>760093</v>
      </c>
      <c r="D18" s="5" t="n">
        <v>671098</v>
      </c>
      <c r="E18" s="5" t="n">
        <v>720781.3</v>
      </c>
      <c r="F18" s="5" t="n">
        <v>667012.6</v>
      </c>
      <c r="G18" s="5" t="n"/>
      <c r="H18" s="5" t="n">
        <v>591044.1</v>
      </c>
      <c r="I18" s="5" t="n">
        <v>696450.5</v>
      </c>
      <c r="J18" s="5" t="n"/>
      <c r="K18" s="5" t="n"/>
      <c r="L18" s="5" t="n"/>
      <c r="M18" s="5" t="n"/>
      <c r="N18" s="5" t="n"/>
    </row>
    <row r="19">
      <c r="A19" s="5" t="inlineStr">
        <is>
          <t>Asset quality ratios (derived) - FY2019-FY2026</t>
        </is>
      </c>
      <c r="B19" s="6" t="n"/>
      <c r="C19" s="6" t="n"/>
      <c r="D19" s="6" t="n"/>
      <c r="E19" s="6" t="n"/>
      <c r="F19" s="6" t="n"/>
      <c r="G19" s="6" t="n"/>
      <c r="H19" s="6" t="n"/>
      <c r="I19" s="6" t="n"/>
      <c r="J19" s="6" t="n"/>
      <c r="K19" s="6" t="n"/>
      <c r="L19" s="6" t="n"/>
      <c r="M19" s="6" t="n"/>
      <c r="N19" s="6" t="n"/>
    </row>
    <row r="20">
      <c r="A20" s="6" t="inlineStr">
        <is>
          <t>Stage 3 as % of total gross carrying amount (NPL ratio)</t>
        </is>
      </c>
      <c r="B20" s="6" t="inlineStr">
        <is>
          <t>7.66%</t>
        </is>
      </c>
      <c r="C20" s="6" t="inlineStr">
        <is>
          <t>12.29%</t>
        </is>
      </c>
      <c r="D20" s="6" t="inlineStr">
        <is>
          <t>25.34%</t>
        </is>
      </c>
      <c r="E20" s="6" t="inlineStr">
        <is>
          <t>26.53%</t>
        </is>
      </c>
      <c r="F20" s="6" t="inlineStr">
        <is>
          <t>28.78%</t>
        </is>
      </c>
      <c r="G20" s="6" t="n"/>
      <c r="H20" s="6" t="inlineStr">
        <is>
          <t>38.09%</t>
        </is>
      </c>
      <c r="I20" s="6" t="inlineStr">
        <is>
          <t>34.62%</t>
        </is>
      </c>
      <c r="J20" s="6" t="n"/>
      <c r="K20" s="6" t="n"/>
      <c r="L20" s="6" t="n"/>
      <c r="M20" s="6" t="n"/>
      <c r="N20" s="6" t="n"/>
    </row>
    <row r="21">
      <c r="A21" s="6" t="inlineStr">
        <is>
          <t>Total impairment allowance as % of total gross carrying amount (coverage)</t>
        </is>
      </c>
      <c r="B21" s="6" t="inlineStr">
        <is>
          <t>4.50%</t>
        </is>
      </c>
      <c r="C21" s="6" t="inlineStr">
        <is>
          <t>6.74%</t>
        </is>
      </c>
      <c r="D21" s="6" t="inlineStr">
        <is>
          <t>15.94%</t>
        </is>
      </c>
      <c r="E21" s="6" t="inlineStr">
        <is>
          <t>16.81%</t>
        </is>
      </c>
      <c r="F21" s="6" t="inlineStr">
        <is>
          <t>18.19%</t>
        </is>
      </c>
      <c r="G21" s="6" t="n"/>
      <c r="H21" s="6" t="inlineStr">
        <is>
          <t>24.88%</t>
        </is>
      </c>
      <c r="I21" s="6" t="inlineStr">
        <is>
          <t>22.68%</t>
        </is>
      </c>
      <c r="J21" s="6" t="n"/>
      <c r="K21" s="6" t="n"/>
      <c r="L21" s="6" t="n"/>
      <c r="M21" s="6" t="n"/>
      <c r="N21" s="6" t="n"/>
    </row>
    <row r="22">
      <c r="A22" s="5" t="inlineStr">
        <is>
          <t>IAS 39 incurred-loss impairment model, Loans and advances to customers only - FY2014-FY2018</t>
        </is>
      </c>
      <c r="B22" s="6" t="n"/>
      <c r="C22" s="6" t="n"/>
      <c r="D22" s="6" t="n"/>
      <c r="E22" s="6" t="n"/>
      <c r="F22" s="6" t="n"/>
      <c r="G22" s="6" t="n"/>
      <c r="H22" s="6" t="n"/>
      <c r="I22" s="6" t="n"/>
      <c r="J22" s="6" t="n"/>
      <c r="K22" s="6" t="n"/>
      <c r="L22" s="6" t="n"/>
      <c r="M22" s="6" t="n"/>
      <c r="N22" s="6" t="n"/>
    </row>
    <row r="23">
      <c r="A23" s="6" t="inlineStr">
        <is>
          <t>Gross loans and advances to customers</t>
        </is>
      </c>
      <c r="B23" s="6" t="n"/>
      <c r="C23" s="6" t="n"/>
      <c r="D23" s="6" t="n"/>
      <c r="E23" s="6" t="n"/>
      <c r="F23" s="6" t="n"/>
      <c r="G23" s="6" t="n"/>
      <c r="H23" s="6" t="n"/>
      <c r="I23" s="6" t="n"/>
      <c r="J23" s="6" t="n">
        <v>598419.4</v>
      </c>
      <c r="K23" s="6" t="n">
        <v>696953.7</v>
      </c>
      <c r="L23" s="6" t="n">
        <v>825038.3</v>
      </c>
      <c r="M23" s="6" t="n">
        <v>834116</v>
      </c>
      <c r="N23" s="6" t="n">
        <v>722850.1</v>
      </c>
    </row>
    <row r="24">
      <c r="A24" s="6" t="inlineStr">
        <is>
          <t>Specific impairment provision</t>
        </is>
      </c>
      <c r="B24" s="6" t="n"/>
      <c r="C24" s="6" t="n"/>
      <c r="D24" s="6" t="n"/>
      <c r="E24" s="6" t="n"/>
      <c r="F24" s="6" t="n"/>
      <c r="G24" s="6" t="n"/>
      <c r="H24" s="6" t="n"/>
      <c r="I24" s="6" t="n"/>
      <c r="J24" s="6" t="n">
        <v>190892.9</v>
      </c>
      <c r="K24" s="6" t="n">
        <v>206732.2</v>
      </c>
      <c r="L24" s="6" t="n">
        <v>75546</v>
      </c>
      <c r="M24" s="6" t="n">
        <v>23913.2</v>
      </c>
      <c r="N24" s="6" t="n">
        <v>18685.9</v>
      </c>
    </row>
    <row r="25">
      <c r="A25" s="6" t="inlineStr">
        <is>
          <t>Collective impairment provision</t>
        </is>
      </c>
      <c r="B25" s="6" t="n"/>
      <c r="C25" s="6" t="n"/>
      <c r="D25" s="6" t="n"/>
      <c r="E25" s="6" t="n"/>
      <c r="F25" s="6" t="n"/>
      <c r="G25" s="6" t="n"/>
      <c r="H25" s="6" t="n"/>
      <c r="I25" s="6" t="n"/>
      <c r="J25" s="6" t="n">
        <v>2536.9</v>
      </c>
      <c r="K25" s="6" t="n">
        <v>3773.9</v>
      </c>
      <c r="L25" s="6" t="n">
        <v>3915.7</v>
      </c>
      <c r="M25" s="6" t="n">
        <v>4647.4</v>
      </c>
      <c r="N25" s="6" t="n">
        <v>2104</v>
      </c>
    </row>
    <row r="26">
      <c r="A26" s="5" t="inlineStr">
        <is>
          <t>Total impairment provision</t>
        </is>
      </c>
      <c r="B26" s="5" t="n"/>
      <c r="C26" s="5" t="n"/>
      <c r="D26" s="5" t="n"/>
      <c r="E26" s="5" t="n"/>
      <c r="F26" s="5" t="n"/>
      <c r="G26" s="5" t="n"/>
      <c r="H26" s="5" t="n"/>
      <c r="I26" s="5" t="n"/>
      <c r="J26" s="5" t="n">
        <v>193433.3</v>
      </c>
      <c r="K26" s="5" t="n">
        <v>213063.1</v>
      </c>
      <c r="L26" s="5" t="n">
        <v>79461.7</v>
      </c>
      <c r="M26" s="5" t="n">
        <v>28560.7</v>
      </c>
      <c r="N26" s="5" t="n">
        <v>20789.9</v>
      </c>
    </row>
    <row r="27">
      <c r="A27" s="5" t="inlineStr">
        <is>
          <t>Net loans and advances to customers</t>
        </is>
      </c>
      <c r="B27" s="5" t="n"/>
      <c r="C27" s="5" t="n"/>
      <c r="D27" s="5" t="n"/>
      <c r="E27" s="5" t="n"/>
      <c r="F27" s="5" t="n"/>
      <c r="G27" s="5" t="n"/>
      <c r="H27" s="5" t="n"/>
      <c r="I27" s="5" t="n"/>
      <c r="J27" s="5" t="n">
        <v>404986.1</v>
      </c>
      <c r="K27" s="5" t="n">
        <v>483890.6</v>
      </c>
      <c r="L27" s="5" t="n">
        <v>745576.6</v>
      </c>
      <c r="M27" s="5" t="n">
        <v>805555.3</v>
      </c>
      <c r="N27" s="5" t="n">
        <v>702060.2</v>
      </c>
    </row>
    <row r="28">
      <c r="A28" s="6" t="inlineStr">
        <is>
          <t>Gross impaired loans and advances (Bank's own headline non-performing figure)</t>
        </is>
      </c>
      <c r="B28" s="6" t="n"/>
      <c r="C28" s="6" t="n"/>
      <c r="D28" s="6" t="n"/>
      <c r="E28" s="6" t="n"/>
      <c r="F28" s="6" t="n"/>
      <c r="G28" s="6" t="n"/>
      <c r="H28" s="6" t="n"/>
      <c r="I28" s="6" t="n"/>
      <c r="J28" s="6" t="n">
        <v>226943.6</v>
      </c>
      <c r="K28" s="6" t="n">
        <v>239377.9</v>
      </c>
      <c r="L28" s="6" t="n">
        <v>100841.6</v>
      </c>
      <c r="M28" s="6" t="n">
        <v>55587</v>
      </c>
      <c r="N28" s="6" t="n">
        <v>40060.6</v>
      </c>
    </row>
    <row r="29">
      <c r="A29" s="6" t="inlineStr">
        <is>
          <t>Gross impaired advances as % of gross loans and advances to customers (NPL ratio)</t>
        </is>
      </c>
      <c r="B29" s="6" t="n"/>
      <c r="C29" s="6" t="n"/>
      <c r="D29" s="6" t="n"/>
      <c r="E29" s="6" t="n"/>
      <c r="F29" s="6" t="n"/>
      <c r="G29" s="6" t="n"/>
      <c r="H29" s="6" t="n"/>
      <c r="I29" s="6" t="n"/>
      <c r="J29" s="6" t="inlineStr">
        <is>
          <t>37.92%</t>
        </is>
      </c>
      <c r="K29" s="6" t="inlineStr">
        <is>
          <t>34.35%</t>
        </is>
      </c>
      <c r="L29" s="6" t="inlineStr">
        <is>
          <t>12.22%</t>
        </is>
      </c>
      <c r="M29" s="6" t="inlineStr">
        <is>
          <t>6.66%</t>
        </is>
      </c>
      <c r="N29" s="6" t="inlineStr">
        <is>
          <t>5.54%</t>
        </is>
      </c>
    </row>
    <row r="30">
      <c r="A30" s="6" t="inlineStr">
        <is>
          <t>Total impairment provision as % of gross loans and advances to customers (coverage)</t>
        </is>
      </c>
      <c r="B30" s="6" t="n"/>
      <c r="C30" s="6" t="n"/>
      <c r="D30" s="6" t="n"/>
      <c r="E30" s="6" t="n"/>
      <c r="F30" s="6" t="n"/>
      <c r="G30" s="6" t="n"/>
      <c r="H30" s="6" t="n"/>
      <c r="I30" s="6" t="n"/>
      <c r="J30" s="6" t="inlineStr">
        <is>
          <t>32.32%</t>
        </is>
      </c>
      <c r="K30" s="6" t="inlineStr">
        <is>
          <t>30.57%</t>
        </is>
      </c>
      <c r="L30" s="6" t="inlineStr">
        <is>
          <t>9.63%</t>
        </is>
      </c>
      <c r="M30" s="6" t="inlineStr">
        <is>
          <t>3.42%</t>
        </is>
      </c>
      <c r="N30" s="6" t="inlineStr">
        <is>
          <t>2.88%</t>
        </is>
      </c>
    </row>
    <row r="32" ht="340" customHeight="1">
      <c r="A32" s="8" t="inlineStr">
        <is>
          <t>Sources - Punjab National Bank (International) Limited entity-level Balance Sheet / Profit &amp; Loss / Statement of Changes in Equity (native unit $'000):
FY2026: Annual Report and Accounts 2026, Statement of Financial Position/Comprehensive Income/Changes in Equity, printed pp.47-49 - https://www.pnbint.com/PNBIL/pdf/Financial_Reports/PNBIL-Annual-Report-2026.pdf
FY2025: Annual Report and Accounts 2025, printed pp.46-48 - https://www.pnbint.com/PNBIL/pdf/Financial_Reports/PNBIL%20Annual%20Report%202025.pdf
FY2024: Annual Report and Accounts 2024, printed pp.41-43 - https://www.pnbint.com/PNBIL/pdf/Financial_Reports/Annual_Report_31-03-2024.pdf
FY2023: Annual Report and Accounts 2023, printed pp.36-38 - https://www.pnbint.com/PNBIL/pdf/Financial_Reports/PNBIL_Annual_Report_2023.pdf
FY2022: Annual Report and Accounts 2022, printed pp.33-35 - https://www.pnbint.com/PNBIL/pdf/Financial_Reports/AnnualReport20220331.pdf
FY2020: Annual Report and Accounts 2020, printed pp.26-28 - https://www.pnbint.com/PNBIL/pdf/Financial_Reports/Annual%20Report%2031-03-20_latest.pdf
FY2019: Annual Report and Accounts 2019, printed pp.29-31 - https://www.pnbint.com/PNBIL/pdf/Financial_Reports/Annual%20Report%2031-03-19.pdf
FY2018: Annual Report and Accounts 2018, printed pp.29-31 - https://www.pnbint.com/PNBIL/pdf/Financial_Reports/Annual%20Report%2031-03-18.pdf
FY2017: Annual Report and Accounts 2018's own FY2017 comparative columns, printed pp.29-32 - https://www.pnbint.com/PNBIL/pdf/Financial_Reports/Annual%20Report%2031-03-18.pdf (native-text PDF; used in preference to FY2017's own scanned/OCR'd report at https://www.pnbint.com/PNBIL/pdf/Financial_Reports/SIGNED%20ANNUAL%20REPORT-1617.pdf for higher transcription confidence, cross-checked against it)
FY2016: Annual Report and Accounts 2016, printed pp.20-25 - https://www.pnbint.com/PNBIL/pdf/Financial_Reports/Annual%20Report%2031-03-16.pdf (OCR'd from a scanned PDF; each total independently verified by summing the disclosed line items)
FY2015: Annual Report and Accounts 2015, printed pp.18-21 - https://www.pnbint.com/PNBIL/pdf/Financial_Reports/Annual%20Report%2031.03.2015.pdf (OCR'd from a scanned PDF; some liability/equity lines not shown on the FY2015 report's own face were taken from Annual Report and Accounts 2016's FY2015 comparative column and verified to sum exactly to FY2015's own disclosed Total liabilities of $1,690,610k)
FY2014: Annual Report and Accounts 2014, printed p.17 - https://www.pnbint.com/PNBIL/pdf/Financial_Reports/Annualreport31-03-2014.pdf (OCR'd from a scanned PDF; the Statement of Financial Position was additionally verified against a 250dpi rendered page image line-by-line because of poor OCR quality on this particular scan)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USD-to-GBP conversion: cash-flow flows use the Bank of England XUDLUSS average rate for the 1 April-31 March financial year, while cash balances and Pillar 3 dollar amounts use the final available Bank of England spot rate at 31 March. Rates (£1 = $X) were FY2022 1.3662 average/1.3162 spot, FY2023 1.2045/1.2364, FY2024 1.2568/1.2632, FY2025 1.2763/1.2910, and FY2026 1.3404/1.3188. The FY2022 opening balance uses the 31 March 2021 spot rate of 1.3796. Ratios remain exactly as reported because they are dimensionless. A computed GBP translation line reconciles the use of different flow and stock rates; it is not a Bank-reported cash-flow line.
HD-048 (2026-09-05/06) FY2014-FY2020 extension: same BoE XUDLUSS series, same average/spot convention. Rates (£1 = $X) were FY2014 1.5900 average/1.6673 spot, FY2015 1.6125/1.4847, FY2016 1.5082/1.4378, FY2017 1.3067/1.2507, FY2018 1.3273/1.4033, FY2019 1.3130/1.3030, FY2020 1.2708/1.2403. The FY2014 opening balance uses the 31 March 2013 spot rate of 1.5181. FY2021 uses the Bank of England XUDLUSS spot/average rates 1.3796/1.3193 and is now included from the Bank's own 2021 filings.
GBP CONVERSION NOTE (Balance Sheet/Equity balances, Profit &amp; Loss/Equity movements): balance-date figures (Balance Sheet lines, equity opening/closing balances) use the 31 March spot rate of that balance date; period figures (Profit &amp; Loss lines, equity movement rows) use the financial year's average rate. Because these are two different rates, a computed 'GBP translation adjustment' row is shown on the equity sheet for each year to keep the GBP columns arithmetically closed - it is not a Bank-reported line.
HD-048 IAS 39-TO-IFRS 9 CLASSIFICATION BRIDGE NOTE: FY2014-FY2018 predate the Bank's IFRS 9 adoption (first applied FY2019 - see the Statement of Changes in Equity's 'IFRS 9 adoption' transition row). Those years' IAS 39 categories are mapped onto this sheet's IFRS 9-era row labels by nearest economic equivalent: 'Investment securities - held for trading' is shown as 'Financial assets at fair value through profit or loss'; 'Investment securities - available for sale' is shown as 'Financial assets at fair value through other comprehensive income'; 'Investment securities - held to maturity' is shown as 'Investment securities at amortised cost'. Right of use lease assets/Lease liability are blank pre-FY2020 because IFRS 16 was not yet adopted. 'Deferred tax liabilities' and 'Current tax assets' are additional line items only disclosed in some FY2014-FY2016 years and are shown as their own rows, blank elsewhere.
FY2026: Note 19, printed p.80 - https://www.pnbint.com/PNBIL/pdf/Financial_Reports/PNBIL-Annual-Report-2026.pdf; FY2025: Note 19, printed p.77 - https://www.pnbint.com/PNBIL/pdf/Financial_Reports/PNBIL%20Annual%20Report%202025.pdf (FY2024 comparative also sourced here); FY2023: Note 19, printed p.67 - https://www.pnbint.com/PNBIL/pdf/Financial_Reports/PNBIL_Annual_Report_2023.pdf (FY2022 comparative also sourced here); FY2020: Note 25, printed pp.60-61 - https://www.pnbint.com/PNBIL/pdf/Financial_Reports/Annual%20Report%2031-03-20_latest.pdf (FY2019 comparative also sourced here, printed p.61).
A large, steadily-declining Stage 3/impaired-loan book is genuinely disclosed every year (34.34% of gross loans in FY2017, rising to 37.92% in FY2018, then 28.79% by FY2022, down to 7.66% by FY2026) - not a transcription artefact; the Bank's own Annual Reports discuss legacy non-performing exposures, mostly originated before FY2016, being worked down over this period. FY2014-FY2018 figures are sourced from each year's own Balance Sheet/Loans and advances to customers note - FY2014: p.17/Note 13, https://www.pnbint.com/PNBIL/pdf/Financial_Reports/Annualreport31-03-2014.pdf; FY2015: Note 13, https://www.pnbint.com/PNBIL/pdf/Financial_Reports/Annual%20Report%2031.03.2015.pdf; FY2016: Note 13, https://www.pnbint.com/PNBIL/pdf/Financial_Reports/Annual%20Report%2031-03-16.pdf; FY2017/FY2018: Note 21, https://www.pnbint.com/PNBIL/pdf/Financial_Reports/Annual%20Report%2031-03-18.pdf (native-text PDF, FY2017 comparative sourced here for higher transcription confidence). FY2014-FY2016 sources are OCR'd from scanned PDFs; each year's own gross/provisions/net figures were cross-checked to sum exactly (net = gross - impairment) and, where shown, to the following year's own comparative column.</t>
        </is>
      </c>
    </row>
  </sheetData>
  <mergeCells count="1">
    <mergeCell ref="A32:N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t>
        </is>
      </c>
      <c r="B4" s="6" t="n">
        <v>104.8</v>
      </c>
      <c r="C4" s="6" t="n">
        <v>109.1</v>
      </c>
      <c r="D4" s="6" t="n">
        <v>114.1</v>
      </c>
      <c r="E4" s="6" t="n">
        <v>115.7</v>
      </c>
      <c r="F4" s="6" t="n">
        <v>104.8</v>
      </c>
      <c r="G4" s="6" t="n">
        <v>97.40000000000001</v>
      </c>
      <c r="H4" s="6" t="n">
        <v>117.8</v>
      </c>
      <c r="I4" s="6" t="n">
        <v>115.4</v>
      </c>
      <c r="J4" s="6" t="n">
        <v>101.8</v>
      </c>
      <c r="K4" s="6" t="n">
        <v>96.3</v>
      </c>
      <c r="L4" s="6" t="n">
        <v>104.1</v>
      </c>
      <c r="M4" s="6" t="n">
        <v>123.2</v>
      </c>
      <c r="N4" s="6" t="n">
        <v>101.4</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ratio</t>
        </is>
      </c>
      <c r="B4" s="6" t="inlineStr">
        <is>
          <t>15.4%</t>
        </is>
      </c>
      <c r="C4" s="6" t="inlineStr">
        <is>
          <t>20.2%</t>
        </is>
      </c>
      <c r="D4" s="6" t="inlineStr">
        <is>
          <t>20.6%</t>
        </is>
      </c>
      <c r="E4" s="6" t="inlineStr">
        <is>
          <t>19.6%</t>
        </is>
      </c>
      <c r="F4" s="6" t="inlineStr">
        <is>
          <t>17.2%</t>
        </is>
      </c>
      <c r="G4" s="6" t="inlineStr">
        <is>
          <t>17.1%</t>
        </is>
      </c>
      <c r="H4" s="6" t="inlineStr">
        <is>
          <t>19.3%</t>
        </is>
      </c>
      <c r="I4" s="6" t="inlineStr">
        <is>
          <t>18.9%</t>
        </is>
      </c>
      <c r="J4" s="6" t="inlineStr">
        <is>
          <t>15.8%</t>
        </is>
      </c>
      <c r="K4" s="6" t="inlineStr">
        <is>
          <t>11.90%</t>
        </is>
      </c>
      <c r="L4" s="6" t="inlineStr">
        <is>
          <t>9.15%</t>
        </is>
      </c>
      <c r="M4" s="6" t="inlineStr">
        <is>
          <t>10.37%</t>
        </is>
      </c>
      <c r="N4" s="6" t="inlineStr">
        <is>
          <t>10.22%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138.9</v>
      </c>
      <c r="C4" s="6" t="n">
        <v>143.9</v>
      </c>
      <c r="D4" s="6" t="n">
        <v>149.7</v>
      </c>
      <c r="E4" s="6" t="n">
        <v>152.1</v>
      </c>
      <c r="F4" s="6" t="n">
        <v>139</v>
      </c>
      <c r="G4" s="6" t="n">
        <v>130</v>
      </c>
      <c r="H4" s="6" t="n">
        <v>154.1</v>
      </c>
      <c r="I4" s="6" t="n">
        <v>150</v>
      </c>
      <c r="J4" s="6" t="n">
        <v>133.8</v>
      </c>
      <c r="K4" s="6" t="n">
        <v>132.3</v>
      </c>
      <c r="L4" s="6" t="n">
        <v>121.5</v>
      </c>
      <c r="M4" s="6" t="n">
        <v>123.2</v>
      </c>
      <c r="N4" s="6" t="n">
        <v>101.4</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20.5%</t>
        </is>
      </c>
      <c r="C4" s="6" t="inlineStr">
        <is>
          <t>26.7%</t>
        </is>
      </c>
      <c r="D4" s="6" t="inlineStr">
        <is>
          <t>27.0%</t>
        </is>
      </c>
      <c r="E4" s="6" t="inlineStr">
        <is>
          <t>25.8%</t>
        </is>
      </c>
      <c r="F4" s="6" t="inlineStr">
        <is>
          <t>22.8%</t>
        </is>
      </c>
      <c r="G4" s="6" t="inlineStr">
        <is>
          <t>22.9%</t>
        </is>
      </c>
      <c r="H4" s="6" t="inlineStr">
        <is>
          <t>25.3%</t>
        </is>
      </c>
      <c r="I4" s="6" t="inlineStr">
        <is>
          <t>24.5%</t>
        </is>
      </c>
      <c r="J4" s="6" t="inlineStr">
        <is>
          <t>20.7%</t>
        </is>
      </c>
      <c r="K4" s="6" t="inlineStr">
        <is>
          <t>16.3%</t>
        </is>
      </c>
      <c r="L4" s="6" t="inlineStr">
        <is>
          <t>10.67%</t>
        </is>
      </c>
      <c r="M4" s="6" t="inlineStr">
        <is>
          <t>10.37%</t>
        </is>
      </c>
      <c r="N4" s="6" t="inlineStr">
        <is>
          <t>10.22%</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159.9</v>
      </c>
      <c r="C4" s="6" t="n">
        <v>167.4</v>
      </c>
      <c r="D4" s="6" t="n">
        <v>176.6</v>
      </c>
      <c r="E4" s="6" t="n">
        <v>183.1</v>
      </c>
      <c r="F4" s="6" t="n">
        <v>162.5</v>
      </c>
      <c r="G4" s="6" t="n">
        <v>149.8</v>
      </c>
      <c r="H4" s="6" t="n">
        <v>182</v>
      </c>
      <c r="I4" s="6" t="n">
        <v>181.4</v>
      </c>
      <c r="J4" s="6" t="n">
        <v>169</v>
      </c>
      <c r="K4" s="6" t="n">
        <v>175.7</v>
      </c>
      <c r="L4" s="6" t="n">
        <v>170.6</v>
      </c>
      <c r="M4" s="6" t="n">
        <v>185.1</v>
      </c>
      <c r="N4" s="6" t="n">
        <v>151.5</v>
      </c>
    </row>
    <row r="5" ht="60" customHeight="1">
      <c r="A5" s="7" t="inlineStr">
        <is>
          <t>Note: Directly disclosed in the annual Pillar 3 UK KM1 table (FY2018-FY2026) or its pre-KM1 'Capital Resources'/CA1-style equivalent (FY2014-FY2017 - see p3_sources()'s HD-048 methodology note); figures are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23.6%</t>
        </is>
      </c>
      <c r="C4" s="6" t="inlineStr">
        <is>
          <t>31.0%</t>
        </is>
      </c>
      <c r="D4" s="6" t="inlineStr">
        <is>
          <t>31.8%</t>
        </is>
      </c>
      <c r="E4" s="6" t="inlineStr">
        <is>
          <t>31.0%</t>
        </is>
      </c>
      <c r="F4" s="6" t="inlineStr">
        <is>
          <t>26.7%</t>
        </is>
      </c>
      <c r="G4" s="6" t="inlineStr">
        <is>
          <t>26.3%</t>
        </is>
      </c>
      <c r="H4" s="6" t="inlineStr">
        <is>
          <t>29.9%</t>
        </is>
      </c>
      <c r="I4" s="6" t="inlineStr">
        <is>
          <t>29.6%</t>
        </is>
      </c>
      <c r="J4" s="6" t="inlineStr">
        <is>
          <t>26.2%</t>
        </is>
      </c>
      <c r="K4" s="6" t="inlineStr">
        <is>
          <t>21.7%</t>
        </is>
      </c>
      <c r="L4" s="6" t="inlineStr">
        <is>
          <t>14.99%</t>
        </is>
      </c>
      <c r="M4" s="6" t="inlineStr">
        <is>
          <t>15.58%</t>
        </is>
      </c>
      <c r="N4" s="6" t="inlineStr">
        <is>
          <t>15.27%</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Total RWAs</t>
        </is>
      </c>
    </row>
    <row r="2">
      <c r="A2" s="2" t="inlineStr">
        <is>
          <t>£m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risk-weighted exposure amount</t>
        </is>
      </c>
      <c r="B4" s="6" t="n">
        <v>678.6</v>
      </c>
      <c r="C4" s="6" t="n">
        <v>540</v>
      </c>
      <c r="D4" s="6" t="n">
        <v>554.9</v>
      </c>
      <c r="E4" s="6" t="n">
        <v>590.5</v>
      </c>
      <c r="F4" s="6" t="n">
        <v>609.8</v>
      </c>
      <c r="G4" s="6" t="n">
        <v>568.7</v>
      </c>
      <c r="H4" s="6" t="n">
        <v>609.4</v>
      </c>
      <c r="I4" s="6" t="n">
        <v>612.1</v>
      </c>
      <c r="J4" s="6" t="n">
        <v>645.8</v>
      </c>
      <c r="K4" s="6" t="n">
        <v>809.9</v>
      </c>
      <c r="L4" s="6" t="n">
        <v>1137.7</v>
      </c>
      <c r="M4" s="6" t="n">
        <v>1188.3</v>
      </c>
      <c r="N4" s="6" t="n">
        <v>992.5</v>
      </c>
    </row>
    <row r="5" ht="60" customHeight="1">
      <c r="A5" s="7" t="inlineStr">
        <is>
          <t>Note: Directly disclosed total risk-weighted exposure amount in the annual Pillar 3 UK KM1 table (FY2018-FY2026) or its pre-KM1 'Capital Resources' table equivalent (FY2014-FY2017); converted from $m to £m at the corresponding 31 March spot rate.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RWA Breakdown</t>
        </is>
      </c>
    </row>
    <row r="2">
      <c r="A2" s="2" t="inlineStr">
        <is>
          <t>Entity-level, solo basis. £m converted from the Bank's native US$ million presentation. FY2014-FY2020's 'Credit risk' row folds counterparty credit risk and CVA into one combined figure (that era's own Pillar I disclosure does not separate them out) - see the HD-048 note below.</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6" t="inlineStr">
        <is>
          <t>Credit risk (excluding CCR)</t>
        </is>
      </c>
      <c r="B4" s="6" t="n">
        <v>616.5</v>
      </c>
      <c r="C4" s="6" t="n">
        <v>473.5</v>
      </c>
      <c r="D4" s="6" t="n">
        <v>497.9</v>
      </c>
      <c r="E4" s="6" t="n">
        <v>539.2</v>
      </c>
      <c r="F4" s="6" t="n">
        <v>567.8</v>
      </c>
      <c r="G4" s="6" t="n">
        <v>528.2</v>
      </c>
      <c r="H4" s="6" t="n">
        <v>547.8</v>
      </c>
      <c r="I4" s="6" t="n">
        <v>549.6</v>
      </c>
      <c r="J4" s="6" t="n">
        <v>552.1</v>
      </c>
      <c r="K4" s="6" t="n">
        <v>664.3</v>
      </c>
      <c r="L4" s="6" t="n">
        <v>1014</v>
      </c>
      <c r="M4" s="6" t="n">
        <v>1050.4</v>
      </c>
      <c r="N4" s="6" t="n">
        <v>902.3</v>
      </c>
    </row>
    <row r="5">
      <c r="A5" s="6" t="inlineStr">
        <is>
          <t>Counterparty credit risk (CCR, incl. CVA)</t>
        </is>
      </c>
      <c r="B5" s="6" t="n">
        <v>4.9</v>
      </c>
      <c r="C5" s="6" t="n">
        <v>11.2</v>
      </c>
      <c r="D5" s="6" t="n">
        <v>0.2</v>
      </c>
      <c r="E5" s="6" t="n">
        <v>0.2</v>
      </c>
      <c r="F5" s="6" t="n">
        <v>1.4</v>
      </c>
      <c r="G5" s="6" t="n">
        <v>1.1</v>
      </c>
      <c r="H5" s="6" t="n"/>
      <c r="I5" s="6" t="n"/>
      <c r="J5" s="6" t="n"/>
      <c r="K5" s="6" t="n"/>
      <c r="L5" s="6" t="n"/>
      <c r="M5" s="6" t="n"/>
      <c r="N5" s="6" t="n"/>
    </row>
    <row r="6">
      <c r="A6" s="6" t="inlineStr">
        <is>
          <t>Market risk</t>
        </is>
      </c>
      <c r="B6" s="6" t="n">
        <v>6.4</v>
      </c>
      <c r="C6" s="6" t="n">
        <v>6</v>
      </c>
      <c r="D6" s="6" t="n">
        <v>9.199999999999999</v>
      </c>
      <c r="E6" s="6" t="n">
        <v>9.1</v>
      </c>
      <c r="F6" s="6" t="n">
        <v>7.8</v>
      </c>
      <c r="G6" s="6" t="n">
        <v>8</v>
      </c>
      <c r="H6" s="6" t="n">
        <v>20.9</v>
      </c>
      <c r="I6" s="6" t="n">
        <v>19.4</v>
      </c>
      <c r="J6" s="6" t="n">
        <v>46</v>
      </c>
      <c r="K6" s="6" t="n">
        <v>75.09999999999999</v>
      </c>
      <c r="L6" s="6" t="n">
        <v>58.2</v>
      </c>
      <c r="M6" s="6" t="n">
        <v>82.90000000000001</v>
      </c>
      <c r="N6" s="6" t="n">
        <v>51.3</v>
      </c>
    </row>
    <row r="7">
      <c r="A7" s="6" t="inlineStr">
        <is>
          <t>Operational risk</t>
        </is>
      </c>
      <c r="B7" s="6" t="n">
        <v>50.7</v>
      </c>
      <c r="C7" s="6" t="n">
        <v>49.1</v>
      </c>
      <c r="D7" s="6" t="n">
        <v>47.5</v>
      </c>
      <c r="E7" s="6" t="n">
        <v>41.9</v>
      </c>
      <c r="F7" s="6" t="n">
        <v>32.5</v>
      </c>
      <c r="G7" s="6" t="n">
        <v>32.5</v>
      </c>
      <c r="H7" s="6" t="n">
        <v>40.8</v>
      </c>
      <c r="I7" s="6" t="n">
        <v>43.1</v>
      </c>
      <c r="J7" s="6" t="n">
        <v>47.7</v>
      </c>
      <c r="K7" s="6" t="n">
        <v>70.59999999999999</v>
      </c>
      <c r="L7" s="6" t="n">
        <v>65.59999999999999</v>
      </c>
      <c r="M7" s="6" t="n">
        <v>55</v>
      </c>
      <c r="N7" s="6" t="n">
        <v>38.9</v>
      </c>
    </row>
    <row r="8">
      <c r="A8" s="5" t="inlineStr">
        <is>
          <t>Total risk-weighted exposure amount</t>
        </is>
      </c>
      <c r="B8" s="5" t="n">
        <v>678.5</v>
      </c>
      <c r="C8" s="5" t="n">
        <v>540</v>
      </c>
      <c r="D8" s="5" t="n">
        <v>554.9</v>
      </c>
      <c r="E8" s="5" t="n">
        <v>590.5</v>
      </c>
      <c r="F8" s="5" t="n">
        <v>609.8</v>
      </c>
      <c r="G8" s="5" t="n">
        <v>568.7</v>
      </c>
      <c r="H8" s="5" t="n">
        <v>609.4</v>
      </c>
      <c r="I8" s="5" t="n">
        <v>612.1</v>
      </c>
      <c r="J8" s="5" t="n">
        <v>645.8</v>
      </c>
      <c r="K8" s="5" t="n">
        <v>809.9</v>
      </c>
      <c r="L8" s="5" t="n">
        <v>1137.7</v>
      </c>
      <c r="M8" s="5" t="n">
        <v>1188.3</v>
      </c>
      <c r="N8" s="5" t="n">
        <v>992.5</v>
      </c>
    </row>
    <row r="10" ht="320" customHeight="1">
      <c r="A10"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
UK OV1 table: FY2025/FY2024 - https://www.pnbint.com/PNBIL/pdf/Financial_Reports/Basel%20III%20Pillar%203%20Disclosures%2031-03-2025.pdf, printed p.45; FY2023/FY2022 - https://www.pnbint.com/PNBIL/pdf/Financial_Reports/PNBIL%20Pillar%20III%20Disclosures%20Publish%20Version.pdf, printed p.44. FY2026 derived from https://www.pnbint.com/PNBIL/pdf/Financial_Reports/Basel-III-Pillar-3-Disclosure-31-03-2026.pdf, printed pp.14/27-30/33 (credit risk exposure-class table, CCR table, market risk table, operational risk table) - the FY2026 Pillar 3 document does not include a UK OV1 template (confirmed by reading the full document), a genuine structural change from FY2022-FY2025's disclosures.
HD-048 (2026-09-05/06) FY2014-FY2020: derived from each year's own 'Capital Requirement under Pillar I' table (own basis, predates the UK OV1 template) - FY2020: https://www.pnbint.com/PNBIL/pdf/Financial_Reports/Pillar_3_Disclosure_%2031st_March_2020.pdf, printed p.9; FY2019: https://www.pnbint.com/PNBIL/pdf/Financial_Reports/PILLAR%20III%20-%2031.03.2019%20-%20FINAL.pdf, printed p.9; FY2018: https://www.pnbint.com/PNBIL/pdf/Financial_Reports/PILLAR%203%20Disclosures-%2031.03.18.pdf, printed pp.10/11; FY2017: https://www.pnbint.com/PNBIL/pdf/Financial_Reports/Pillar%203%20Disclosures%2031%2003%202017_FINAL.pdf, printed p.7 (own-year credit risk/market risk/operational risk 'Capital Requirement' totals); FY2016: https://www.pnbint.com/PNBIL/pdf/Financial_Reports/Pillar%20III%20disclosures%2031%2003%202016_Revised.pdf, printed pp.3-4 (OCR'd from a scanned PDF); FY2015: https://www.pnbint.com/PNBIL/pdf/Financial_Reports/Pillar%20III%20disclosures%2031%2003%202015.pdf, printed pp.2-3 (OCR'd from a scanned PDF); FY2014: https://www.pnbint.com/PNBIL/pdf/Financial_Reports/Pillar%20III%20disclosures%2031%2003%202014.pdf, printed pp.2-3 (OCR'd from a scanned PDF). Each year's Credit Risk/Market Risk/Operational Risk 'RWA After SME Benefit' figures sum exactly to that year's own disclosed total RWA.</t>
        </is>
      </c>
    </row>
  </sheetData>
  <mergeCells count="1">
    <mergeCell ref="A10:N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Leverage ratio excluding claims on central banks</t>
        </is>
      </c>
      <c r="B4" s="6" t="inlineStr">
        <is>
          <t>13.6%</t>
        </is>
      </c>
      <c r="C4" s="6" t="inlineStr">
        <is>
          <t>16.7%</t>
        </is>
      </c>
      <c r="D4" s="6" t="inlineStr">
        <is>
          <t>19.1%</t>
        </is>
      </c>
      <c r="E4" s="6" t="inlineStr">
        <is>
          <t>19.9%</t>
        </is>
      </c>
      <c r="F4" s="6" t="inlineStr">
        <is>
          <t>19.3%</t>
        </is>
      </c>
      <c r="G4" s="6" t="inlineStr">
        <is>
          <t>17.3%</t>
        </is>
      </c>
      <c r="H4" s="6" t="inlineStr">
        <is>
          <t>20.4%</t>
        </is>
      </c>
      <c r="I4" s="6" t="inlineStr">
        <is>
          <t>15.1%</t>
        </is>
      </c>
      <c r="J4" s="6" t="inlineStr">
        <is>
          <t>12.94%</t>
        </is>
      </c>
      <c r="K4" s="6" t="inlineStr">
        <is>
          <t>9.7%</t>
        </is>
      </c>
      <c r="L4" s="6" t="inlineStr">
        <is>
          <t>8.93%</t>
        </is>
      </c>
      <c r="M4" s="6" t="inlineStr">
        <is>
          <t>8.78%</t>
        </is>
      </c>
      <c r="N4" s="6" t="inlineStr">
        <is>
          <t>7.83%</t>
        </is>
      </c>
    </row>
    <row r="5" ht="60" customHeight="1">
      <c r="A5" s="7" t="inlineStr">
        <is>
          <t>Note: FY2014-FY2020 show each year's own quarterly-average 'Leverage Ratio using a fully phased-in definition of Tier 1' (a full CRR leverage ratio including central bank claims, predating the UK's post-2016 central-bank-claims-excluded leverage framework used from FY2022 on) - a genuine methodology change across the two eras, not a like-for-like series; see the metric values for each report's own comparative column, which sometimes differs from the prior year's own headline figure for this same reason.</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Liquidity Coverage Ratio</t>
        </is>
      </c>
      <c r="B4" s="6" t="inlineStr">
        <is>
          <t>350%</t>
        </is>
      </c>
      <c r="C4" s="6" t="inlineStr">
        <is>
          <t>201%</t>
        </is>
      </c>
      <c r="D4" s="6" t="inlineStr">
        <is>
          <t>647%</t>
        </is>
      </c>
      <c r="E4" s="6" t="inlineStr">
        <is>
          <t>384%</t>
        </is>
      </c>
      <c r="F4" s="6" t="inlineStr">
        <is>
          <t>405%</t>
        </is>
      </c>
      <c r="G4" s="6" t="inlineStr">
        <is>
          <t>748%</t>
        </is>
      </c>
      <c r="H4" s="6" t="inlineStr">
        <is>
          <t>403%</t>
        </is>
      </c>
      <c r="I4" s="6" t="inlineStr">
        <is>
          <t>524%</t>
        </is>
      </c>
      <c r="J4" s="6" t="inlineStr">
        <is>
          <t>1027%</t>
        </is>
      </c>
      <c r="K4" s="6" t="inlineStr">
        <is>
          <t>1040%</t>
        </is>
      </c>
      <c r="L4" s="6" t="inlineStr">
        <is>
          <t>167.00%</t>
        </is>
      </c>
      <c r="M4" s="6" t="n"/>
      <c r="N4" s="6" t="n"/>
    </row>
    <row r="5" ht="60" customHeight="1">
      <c r="A5" s="7" t="inlineStr">
        <is>
          <t>Note: The Bank's own report-year headline LCR is used. FY2025's report shows 201% for FY2025, while its FY2024 comparative shows 528%; the FY2024 report itself reported 647% for FY2024. This workbook preserves each year's own as-reported figure rather than replacing it with a later comparative restatement. FY2014 and FY2015 are left blank because the EU's LCR delegated act was not adopted until October 2014 and PNBIL's own Pillar 3 disclosures do not report an LCR figure for either year - a genuine regulatory-timing gap, not a missed disclosure.</t>
        </is>
      </c>
    </row>
    <row r="7" ht="18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Net Stable Funding Ratio</t>
        </is>
      </c>
      <c r="B4" s="6" t="inlineStr">
        <is>
          <t>118%</t>
        </is>
      </c>
      <c r="C4" s="6" t="inlineStr">
        <is>
          <t>121%</t>
        </is>
      </c>
      <c r="D4" s="6" t="inlineStr">
        <is>
          <t>130%</t>
        </is>
      </c>
      <c r="E4" s="6" t="inlineStr">
        <is>
          <t>135%</t>
        </is>
      </c>
      <c r="F4" s="6" t="inlineStr">
        <is>
          <t>128%</t>
        </is>
      </c>
      <c r="G4" s="6" t="inlineStr">
        <is>
          <t>146%</t>
        </is>
      </c>
      <c r="H4" s="6" t="inlineStr">
        <is>
          <t>126%</t>
        </is>
      </c>
      <c r="I4" s="6" t="inlineStr">
        <is>
          <t>139%</t>
        </is>
      </c>
      <c r="J4" s="6" t="inlineStr">
        <is>
          <t>171%</t>
        </is>
      </c>
      <c r="K4" s="6" t="inlineStr">
        <is>
          <t>180%</t>
        </is>
      </c>
      <c r="L4" s="6" t="inlineStr">
        <is>
          <t>119%</t>
        </is>
      </c>
      <c r="M4" s="6" t="inlineStr">
        <is>
          <t>131%</t>
        </is>
      </c>
      <c r="N4" s="6" t="inlineStr">
        <is>
          <t>110%</t>
        </is>
      </c>
    </row>
    <row r="6" ht="180" customHeight="1">
      <c r="A6"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1">
    <mergeCell ref="A6:N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Punjab National Bank (International)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row>
    <row r="5" ht="60" customHeight="1">
      <c r="A5" s="7" t="inlineStr">
        <is>
          <t>Note: No MREL ratio or MREL target is disclosed in any FY2014-FY2026 Pillar 3 report or annual report reviewed; left explicitly undisclosed.</t>
        </is>
      </c>
    </row>
    <row r="7" ht="150" customHeight="1">
      <c r="A7" s="8" t="inlineStr">
        <is>
          <t>Sources - Punjab National Bank (International) Limited solo-basis Pillar 3 UK KM1 key metrics table, native unit $ million:
FY2026: https://www.pnbint.com/PNBIL/pdf/Financial_Reports/Basel-III-Pillar-3-Disclosure-31-03-2026.pdf, printed p.6 (2026 KM1)
FY2025: https://www.pnbint.com/PNBIL/pdf/Financial_Reports/Basel%20III%20Pillar%203%20Disclosures%2031-03-2025.pdf, printed p.6 (2025 KM1)
FY2024: https://www.pnbint.com/PNBIL/pdf/Financial_Reports/Basel_III_Pillar_3_Disclosures%2031-03-2024.pdf, printed p.6 (2024 KM1)
FY2023: https://www.pnbint.com/PNBIL/pdf/Financial_Reports/PNBIL%20Pillar%20III%20Disclosures%20Publish%20Version.pdf, printed p.6 (2023 KM1)
FY2022: https://www.pnbint.com/PNBIL/pdf/Financial_Reports/PNBIL%20Pillar%20III%20Disclosures%20Publish%20Version.pdf, printed p.6 (2022 comparative in 2023 KM1); the 2022 report's headline ratios are also confirmed at printed p.5 via https://www.pnbint.com/PNBIL/pdf/Financial_Reports/Basel%20III%20Pillar%203%20Disclosures%20%2031-03-2022.pdf
FY2020: https://www.pnbint.com/PNBIL/pdf/Financial_Reports/Pillar_3_Disclosure_%2031st_March_2020.pdf, printed p.2 (2020 KM1 table, with FY2019 comparative)
FY2019: https://www.pnbint.com/PNBIL/pdf/Financial_Reports/PILLAR%20III%20-%2031.03.2019%20-%20FINAL.pdf, printed p.2 (2019 KM1 table, with FY2018 comparative)
FY2018: https://www.pnbint.com/PNBIL/pdf/Financial_Reports/PILLAR%203%20Disclosures-%2031.03.18.pdf, printed pp.11-12/16 (own-basis capital/leverage/liquidity tables; FY2017 comparative also sourced here)
FY2017: https://www.pnbint.com/PNBIL/pdf/Financial_Reports/Pillar%203%20Disclosures%2031%2003%202017_FINAL.pdf, printed pp.7/12-13 (own-year capital resources, leverage, LCR/NSFR tables)
FY2016: https://www.pnbint.com/PNBIL/pdf/Financial_Reports/Pillar%20III%20disclosures%2031%2003%202016_Revised.pdf, printed pp.1/4-6 (own-year capital resources, Pillar I RWA, leverage, LCR, NSFR tables; OCR'd from a scanned PDF)
FY2015: https://www.pnbint.com/PNBIL/pdf/Financial_Reports/Pillar%20III%20disclosures%2031%2003%202015.pdf, printed pp.1/5-6 (own-year capital resources, Pillar I RWA, leverage, NSFR tables; OCR'd from a scanned PDF; LCR not disclosed - see LCR_NOTE)
FY2014: https://www.pnbint.com/PNBIL/pdf/Financial_Reports/Pillar%20III%20disclosures%2031%2003%202014.pdf, printed pp.1/5-6 (own-year capital resources, Pillar I RWA, leverage, NSFR tables; OCR'd from a scanned PDF; LCR not disclosed - see LCR_NOTE)
Punjab National Bank (International) Limited (Companies House company 05781326, FRN 459701) is an active UK private limited bank, incorporated in England and Wales and wholly owned by Punjab National Bank, India. The FY2026 annual report confirms the registered office at 1 Moorgate, London EC2R 6JH, no branches outside the UK, and UK-adopted International Accounting Standards. The financial statements are entity-level and presented in US Dollars because that is the Bank's functional currency. The Bank's own Pillar 3 disclosures are solo-basis; PNB India consolidates the group separately. The Bank has a genuine Statement of Cash Flows in every report used.
HD-048 METHODOLOGY NOTE (FY2014-FY2020): FY2020-FY2018 use the UK KM1/CA1-style tables broadly comparable to the modern KM1 template. FY2017-FY2014 predate the KM1 template - their 'Capital Resources' table uses the CRD IV transitional Core Tier I / Additional Tier I / Tier II structure; where the Bank held no Additional Tier 1 capital that year (FY2014, FY2015), CET1 capital equals Tier 1 capital exactly and the CET1 ratio is taken as equal to the disclosed Tier 1 ratio. 'Total Capital to Risk Adequacy Ratio (CRAR)' is this era's name for the Total capital ratio.</t>
        </is>
      </c>
    </row>
  </sheetData>
  <mergeCells count="2">
    <mergeCell ref="A5:N5"/>
    <mergeCell ref="A7:N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2026-09-06T14:17:22Z</dcterms:created>
  <dcterms:modified xsi:type="dcterms:W3CDTF">2026-09-06T14:17:22Z</dcterms:modified>
</cp:coreProperties>
</file>