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'Overview'!V6</f>
            </strRef>
          </tx>
          <spPr>
            <a:ln xmlns:a="http://schemas.openxmlformats.org/drawingml/2006/main">
              <a:prstDash val="solid"/>
            </a:ln>
          </spPr>
          <cat>
            <numRef>
              <f>'Overview'!$W$5:$AN$5</f>
            </numRef>
          </cat>
          <val>
            <numRef>
              <f>'Overview'!$W$6:$AN$6</f>
            </numRef>
          </val>
        </ser>
        <ser>
          <idx val="1"/>
          <order val="1"/>
          <tx>
            <strRef>
              <f>'Overview'!V7</f>
            </strRef>
          </tx>
          <spPr>
            <a:ln xmlns:a="http://schemas.openxmlformats.org/drawingml/2006/main">
              <a:prstDash val="solid"/>
            </a:ln>
          </spPr>
          <cat>
            <numRef>
              <f>'Overview'!$W$5:$AN$5</f>
            </numRef>
          </cat>
          <val>
            <numRef>
              <f>'Overview'!$W$7:$AN$7</f>
            </numRef>
          </val>
        </ser>
        <ser>
          <idx val="2"/>
          <order val="2"/>
          <tx>
            <strRef>
              <f>'Overview'!V8</f>
            </strRef>
          </tx>
          <spPr>
            <a:ln xmlns:a="http://schemas.openxmlformats.org/drawingml/2006/main">
              <a:prstDash val="solid"/>
            </a:ln>
          </spPr>
          <cat>
            <numRef>
              <f>'Overview'!$W$5:$AN$5</f>
            </numRef>
          </cat>
          <val>
            <numRef>
              <f>'Overview'!$W$8:$AN$8</f>
            </numRef>
          </val>
        </ser>
        <ser>
          <idx val="3"/>
          <order val="3"/>
          <tx>
            <strRef>
              <f>'Overview'!V9</f>
            </strRef>
          </tx>
          <spPr>
            <a:ln xmlns:a="http://schemas.openxmlformats.org/drawingml/2006/main">
              <a:prstDash val="solid"/>
            </a:ln>
          </spPr>
          <cat>
            <numRef>
              <f>'Overview'!$W$5:$AN$5</f>
            </numRef>
          </cat>
          <val>
            <numRef>
              <f>'Overview'!$W$9:$AN$9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'Overview'!AQ13</f>
            </strRef>
          </tx>
          <spPr>
            <a:ln xmlns:a="http://schemas.openxmlformats.org/drawingml/2006/main">
              <a:prstDash val="solid"/>
            </a:ln>
          </spPr>
          <cat>
            <numRef>
              <f>'Overview'!$AR$12:$BI$12</f>
            </numRef>
          </cat>
          <val>
            <numRef>
              <f>'Overview'!$AR$13:$BI$13</f>
            </numRef>
          </val>
        </ser>
        <ser>
          <idx val="1"/>
          <order val="1"/>
          <tx>
            <strRef>
              <f>'Overview'!AQ14</f>
            </strRef>
          </tx>
          <spPr>
            <a:ln xmlns:a="http://schemas.openxmlformats.org/drawingml/2006/main">
              <a:prstDash val="solid"/>
            </a:ln>
          </spPr>
          <cat>
            <numRef>
              <f>'Overview'!$AR$12:$BI$12</f>
            </numRef>
          </cat>
          <val>
            <numRef>
              <f>'Overview'!$AR$14:$BI$14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'Overview'!BL18</f>
            </strRef>
          </tx>
          <spPr>
            <a:ln xmlns:a="http://schemas.openxmlformats.org/drawingml/2006/main">
              <a:prstDash val="solid"/>
            </a:ln>
          </spPr>
          <cat>
            <numRef>
              <f>'Overview'!$BM$17:$CD$17</f>
            </numRef>
          </cat>
          <val>
            <numRef>
              <f>'Overview'!$BM$18:$CD$18</f>
            </numRef>
          </val>
        </ser>
        <ser>
          <idx val="1"/>
          <order val="1"/>
          <tx>
            <strRef>
              <f>'Overview'!BL19</f>
            </strRef>
          </tx>
          <spPr>
            <a:ln xmlns:a="http://schemas.openxmlformats.org/drawingml/2006/main">
              <a:prstDash val="solid"/>
            </a:ln>
          </spPr>
          <cat>
            <numRef>
              <f>'Overview'!$BM$17:$CD$17</f>
            </numRef>
          </cat>
          <val>
            <numRef>
              <f>'Overview'!$BM$19:$CD$19</f>
            </numRef>
          </val>
        </ser>
        <ser>
          <idx val="2"/>
          <order val="2"/>
          <tx>
            <strRef>
              <f>'Overview'!BL20</f>
            </strRef>
          </tx>
          <spPr>
            <a:ln xmlns:a="http://schemas.openxmlformats.org/drawingml/2006/main">
              <a:prstDash val="solid"/>
            </a:ln>
          </spPr>
          <cat>
            <numRef>
              <f>'Overview'!$BM$17:$CD$17</f>
            </numRef>
          </cat>
          <val>
            <numRef>
              <f>'Overview'!$BM$20:$CD$20</f>
            </numRef>
          </val>
        </ser>
        <ser>
          <idx val="3"/>
          <order val="3"/>
          <tx>
            <strRef>
              <f>'Overview'!BL21</f>
            </strRef>
          </tx>
          <spPr>
            <a:ln xmlns:a="http://schemas.openxmlformats.org/drawingml/2006/main">
              <a:prstDash val="solid"/>
            </a:ln>
          </spPr>
          <cat>
            <numRef>
              <f>'Overview'!$BM$17:$CD$17</f>
            </numRef>
          </cat>
          <val>
            <numRef>
              <f>'Overview'!$BM$21:$CD$21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'Overview'!CG25</f>
            </strRef>
          </tx>
          <spPr>
            <a:ln xmlns:a="http://schemas.openxmlformats.org/drawingml/2006/main">
              <a:prstDash val="solid"/>
            </a:ln>
          </spPr>
          <cat>
            <numRef>
              <f>'Overview'!$CH$24:$CY$24</f>
            </numRef>
          </cat>
          <val>
            <numRef>
              <f>'Overview'!$CH$25:$CY$25</f>
            </numRef>
          </val>
        </ser>
        <ser>
          <idx val="1"/>
          <order val="1"/>
          <tx>
            <strRef>
              <f>'Overview'!CG26</f>
            </strRef>
          </tx>
          <spPr>
            <a:ln xmlns:a="http://schemas.openxmlformats.org/drawingml/2006/main">
              <a:prstDash val="solid"/>
            </a:ln>
          </spPr>
          <cat>
            <numRef>
              <f>'Overview'!$CH$24:$CY$24</f>
            </numRef>
          </cat>
          <val>
            <numRef>
              <f>'Overview'!$CH$26:$CY$26</f>
            </numRef>
          </val>
        </ser>
        <ser>
          <idx val="2"/>
          <order val="2"/>
          <tx>
            <strRef>
              <f>'Overview'!CG27</f>
            </strRef>
          </tx>
          <spPr>
            <a:ln xmlns:a="http://schemas.openxmlformats.org/drawingml/2006/main">
              <a:prstDash val="solid"/>
            </a:ln>
          </spPr>
          <cat>
            <numRef>
              <f>'Overview'!$CH$24:$CY$24</f>
            </numRef>
          </cat>
          <val>
            <numRef>
              <f>'Overview'!$CH$27:$CY$27</f>
            </numRef>
          </val>
        </ser>
        <ser>
          <idx val="3"/>
          <order val="3"/>
          <tx>
            <strRef>
              <f>'Overview'!CG28</f>
            </strRef>
          </tx>
          <spPr>
            <a:ln xmlns:a="http://schemas.openxmlformats.org/drawingml/2006/main">
              <a:prstDash val="solid"/>
            </a:ln>
          </spPr>
          <cat>
            <numRef>
              <f>'Overview'!$CH$24:$CY$24</f>
            </numRef>
          </cat>
          <val>
            <numRef>
              <f>'Overview'!$CH$28:$CY$28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Punjab National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'Overview'!DB6</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'Overview'!$DC$6:$DT$6</f>
            </numRef>
          </val>
          <smooth val="0"/>
        </ser>
        <ser>
          <idx val="1"/>
          <order val="1"/>
          <tx>
            <strRef>
              <f>'Overview'!DB7</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'Overview'!$DC$7:$DT$7</f>
            </numRef>
          </val>
          <smooth val="0"/>
        </ser>
        <ser>
          <idx val="2"/>
          <order val="2"/>
          <tx>
            <strRef>
              <f>'Overview'!DB8</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'Overview'!$DC$8:$DT$8</f>
            </numRef>
          </val>
          <smooth val="0"/>
        </ser>
        <ser>
          <idx val="3"/>
          <order val="3"/>
          <tx>
            <strRef>
              <f>'Overview'!DB9</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'Overview'!$DC$9:$DT$9</f>
            </numRef>
          </val>
          <smooth val="0"/>
        </ser>
        <ser>
          <idx val="4"/>
          <order val="4"/>
          <tx>
            <strRef>
              <f>'Overview'!DB10</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'Overview'!$DC$10:$DT$10</f>
            </numRef>
          </val>
          <smooth val="0"/>
        </ser>
        <ser>
          <idx val="5"/>
          <order val="5"/>
          <tx>
            <strRef>
              <f>'Overview'!DB11</f>
            </strRef>
          </tx>
          <spPr>
            <a:ln xmlns:a="http://schemas.openxmlformats.org/drawingml/2006/main">
              <a:prstDash val="solid"/>
            </a:ln>
          </spPr>
          <marker>
            <symbol val="none"/>
            <spPr>
              <a:ln xmlns:a="http://schemas.openxmlformats.org/drawingml/2006/main">
                <a:prstDash val="solid"/>
              </a:ln>
            </spPr>
          </marker>
          <cat>
            <numRef>
              <f>'Overview'!$DC$5:$DT$5</f>
            </numRef>
          </cat>
          <val>
            <numRef>
              <f>'Overview'!$DC$11:$DT$11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s>
  <sheetData>
    <row r="1">
      <c r="A1" s="1" t="inlineStr">
        <is>
          <t>Punjab National Bank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O5" s="4" t="inlineStr">
        <is>
          <t>FY2013</t>
        </is>
      </c>
      <c r="P5" s="4" t="inlineStr">
        <is>
          <t>FY2012</t>
        </is>
      </c>
      <c r="Q5" s="4" t="inlineStr">
        <is>
          <t>FY2011</t>
        </is>
      </c>
      <c r="R5" s="4" t="inlineStr">
        <is>
          <t>FY2010</t>
        </is>
      </c>
      <c r="S5" s="4" t="inlineStr">
        <is>
          <t>FY2009</t>
        </is>
      </c>
      <c r="W5" t="inlineStr">
        <is>
          <t>FY2009</t>
        </is>
      </c>
      <c r="X5" t="inlineStr">
        <is>
          <t>FY2010</t>
        </is>
      </c>
      <c r="Y5" t="inlineStr">
        <is>
          <t>FY2011</t>
        </is>
      </c>
      <c r="Z5" t="inlineStr">
        <is>
          <t>FY2012</t>
        </is>
      </c>
      <c r="AA5" t="inlineStr">
        <is>
          <t>FY2013</t>
        </is>
      </c>
      <c r="AB5" t="inlineStr">
        <is>
          <t>FY2014</t>
        </is>
      </c>
      <c r="AC5" t="inlineStr">
        <is>
          <t>FY2015</t>
        </is>
      </c>
      <c r="AD5" t="inlineStr">
        <is>
          <t>FY2016</t>
        </is>
      </c>
      <c r="AE5" t="inlineStr">
        <is>
          <t>FY2017</t>
        </is>
      </c>
      <c r="AF5" t="inlineStr">
        <is>
          <t>FY2018</t>
        </is>
      </c>
      <c r="AG5" t="inlineStr">
        <is>
          <t>FY2019</t>
        </is>
      </c>
      <c r="AH5" t="inlineStr">
        <is>
          <t>FY2020</t>
        </is>
      </c>
      <c r="AI5" t="inlineStr">
        <is>
          <t>FY2021</t>
        </is>
      </c>
      <c r="AJ5" t="inlineStr">
        <is>
          <t>FY2022</t>
        </is>
      </c>
      <c r="AK5" t="inlineStr">
        <is>
          <t>FY2023</t>
        </is>
      </c>
      <c r="AL5" t="inlineStr">
        <is>
          <t>FY2024</t>
        </is>
      </c>
      <c r="AM5" t="inlineStr">
        <is>
          <t>FY2025</t>
        </is>
      </c>
      <c r="AN5" t="inlineStr">
        <is>
          <t>FY2026</t>
        </is>
      </c>
      <c r="DC5" t="inlineStr">
        <is>
          <t>FY2009</t>
        </is>
      </c>
      <c r="DD5" t="inlineStr">
        <is>
          <t>FY2010</t>
        </is>
      </c>
      <c r="DE5" t="inlineStr">
        <is>
          <t>FY2011</t>
        </is>
      </c>
      <c r="DF5" t="inlineStr">
        <is>
          <t>FY2012</t>
        </is>
      </c>
      <c r="DG5" t="inlineStr">
        <is>
          <t>FY2013</t>
        </is>
      </c>
      <c r="DH5" t="inlineStr">
        <is>
          <t>FY2014</t>
        </is>
      </c>
      <c r="DI5" t="inlineStr">
        <is>
          <t>FY2015</t>
        </is>
      </c>
      <c r="DJ5" t="inlineStr">
        <is>
          <t>FY2016</t>
        </is>
      </c>
      <c r="DK5" t="inlineStr">
        <is>
          <t>FY2017</t>
        </is>
      </c>
      <c r="DL5" t="inlineStr">
        <is>
          <t>FY2018</t>
        </is>
      </c>
      <c r="DM5" t="inlineStr">
        <is>
          <t>FY2019</t>
        </is>
      </c>
      <c r="DN5" t="inlineStr">
        <is>
          <t>FY2020</t>
        </is>
      </c>
      <c r="DO5" t="inlineStr">
        <is>
          <t>FY2021</t>
        </is>
      </c>
      <c r="DP5" t="inlineStr">
        <is>
          <t>FY2022</t>
        </is>
      </c>
      <c r="DQ5" t="inlineStr">
        <is>
          <t>FY2023</t>
        </is>
      </c>
      <c r="DR5" t="inlineStr">
        <is>
          <t>FY2024</t>
        </is>
      </c>
      <c r="DS5" t="inlineStr">
        <is>
          <t>FY2025</t>
        </is>
      </c>
      <c r="DT5" t="inlineStr">
        <is>
          <t>FY2026</t>
        </is>
      </c>
    </row>
    <row r="6">
      <c r="A6" s="5" t="inlineStr">
        <is>
          <t>Total assets</t>
        </is>
      </c>
      <c r="B6" s="5" t="n">
        <v>1124092.4</v>
      </c>
      <c r="C6" s="5" t="n">
        <v>929222.3</v>
      </c>
      <c r="D6" s="5" t="n">
        <v>860733.1</v>
      </c>
      <c r="E6" s="5" t="n">
        <v>880119.7</v>
      </c>
      <c r="F6" s="5" t="n">
        <v>855689.9</v>
      </c>
      <c r="G6" s="5" t="n">
        <v>784826.8</v>
      </c>
      <c r="H6" s="5" t="n">
        <v>787012</v>
      </c>
      <c r="I6" s="5" t="n">
        <v>814727.6</v>
      </c>
      <c r="J6" s="5" t="n">
        <v>856566.7</v>
      </c>
      <c r="K6" s="5" t="n">
        <v>1163643.6</v>
      </c>
      <c r="L6" s="5" t="n">
        <v>1260077.2</v>
      </c>
      <c r="M6" s="5" t="n">
        <v>1278869.1</v>
      </c>
      <c r="N6" s="5" t="n">
        <v>1141161.2</v>
      </c>
      <c r="O6" s="5" t="n">
        <v>999558</v>
      </c>
      <c r="P6" s="5" t="n">
        <v>749172.1</v>
      </c>
      <c r="Q6" s="5" t="n">
        <v>559782.9</v>
      </c>
      <c r="R6" s="5" t="n">
        <v>527166.9</v>
      </c>
      <c r="S6" s="5" t="n">
        <v>413857.4</v>
      </c>
      <c r="V6" t="inlineStr">
        <is>
          <t>Total assets</t>
        </is>
      </c>
      <c r="W6" t="n">
        <v>413857.4</v>
      </c>
      <c r="X6" t="n">
        <v>527166.9</v>
      </c>
      <c r="Y6" t="n">
        <v>559782.9</v>
      </c>
      <c r="Z6" t="n">
        <v>749172.1</v>
      </c>
      <c r="AA6" t="n">
        <v>999558</v>
      </c>
      <c r="AB6" t="n">
        <v>1141161.2</v>
      </c>
      <c r="AC6" t="n">
        <v>1278869.1</v>
      </c>
      <c r="AD6" t="n">
        <v>1260077.2</v>
      </c>
      <c r="AE6" t="n">
        <v>1163643.6</v>
      </c>
      <c r="AF6" t="n">
        <v>856566.7</v>
      </c>
      <c r="AG6" t="n">
        <v>814727.6</v>
      </c>
      <c r="AH6" t="n">
        <v>787012</v>
      </c>
      <c r="AI6" t="n">
        <v>784826.8</v>
      </c>
      <c r="AJ6" t="n">
        <v>855689.9</v>
      </c>
      <c r="AK6" t="n">
        <v>880119.7</v>
      </c>
      <c r="AL6" t="n">
        <v>860733.1</v>
      </c>
      <c r="AM6" t="n">
        <v>929222.3</v>
      </c>
      <c r="AN6" t="n">
        <v>1124092.4</v>
      </c>
      <c r="DB6" t="inlineStr">
        <is>
          <t>CET1 Ratio</t>
        </is>
      </c>
      <c r="DH6" t="n">
        <v>10.22</v>
      </c>
      <c r="DI6" t="n">
        <v>10.37</v>
      </c>
      <c r="DJ6" t="n">
        <v>9.15</v>
      </c>
      <c r="DK6" t="n">
        <v>11.9</v>
      </c>
      <c r="DL6" t="n">
        <v>15.8</v>
      </c>
      <c r="DM6" t="n">
        <v>18.9</v>
      </c>
      <c r="DN6" t="n">
        <v>19.3</v>
      </c>
      <c r="DO6" t="n">
        <v>17.1</v>
      </c>
      <c r="DP6" t="n">
        <v>17.2</v>
      </c>
      <c r="DQ6" t="n">
        <v>19.6</v>
      </c>
      <c r="DR6" t="n">
        <v>20.6</v>
      </c>
      <c r="DS6" t="n">
        <v>20.2</v>
      </c>
      <c r="DT6" t="n">
        <v>15.4</v>
      </c>
    </row>
    <row r="7">
      <c r="A7" s="5" t="inlineStr">
        <is>
          <t>Loans and advances to customers</t>
        </is>
      </c>
      <c r="B7" s="5" t="n">
        <v>857718.4</v>
      </c>
      <c r="C7" s="5" t="n">
        <v>700217.7</v>
      </c>
      <c r="D7" s="5" t="n">
        <v>611240.5</v>
      </c>
      <c r="E7" s="5" t="n">
        <v>605546.7</v>
      </c>
      <c r="F7" s="5" t="n">
        <v>601152.6</v>
      </c>
      <c r="G7" s="5" t="n">
        <v>500579.2</v>
      </c>
      <c r="H7" s="5" t="n">
        <v>456636.3</v>
      </c>
      <c r="I7" s="5" t="n">
        <v>462573.3</v>
      </c>
      <c r="J7" s="5" t="n">
        <v>404986.1</v>
      </c>
      <c r="K7" s="5" t="n">
        <v>483890.6</v>
      </c>
      <c r="L7" s="5" t="n">
        <v>745576.6</v>
      </c>
      <c r="M7" s="5" t="n">
        <v>805555.3</v>
      </c>
      <c r="N7" s="5" t="n">
        <v>702060.2</v>
      </c>
      <c r="O7" s="5" t="n">
        <v>589690.4</v>
      </c>
      <c r="P7" s="5" t="n">
        <v>414337</v>
      </c>
      <c r="Q7" s="5" t="n">
        <v>432560.8</v>
      </c>
      <c r="R7" s="5" t="n">
        <v>371447.9</v>
      </c>
      <c r="S7" s="5" t="n">
        <v>237687.5</v>
      </c>
      <c r="V7" t="inlineStr">
        <is>
          <t>Loans and advances to customers</t>
        </is>
      </c>
      <c r="W7" t="n">
        <v>237687.5</v>
      </c>
      <c r="X7" t="n">
        <v>371447.9</v>
      </c>
      <c r="Y7" t="n">
        <v>432560.8</v>
      </c>
      <c r="Z7" t="n">
        <v>414337</v>
      </c>
      <c r="AA7" t="n">
        <v>589690.4</v>
      </c>
      <c r="AB7" t="n">
        <v>702060.2</v>
      </c>
      <c r="AC7" t="n">
        <v>805555.3</v>
      </c>
      <c r="AD7" t="n">
        <v>745576.6</v>
      </c>
      <c r="AE7" t="n">
        <v>483890.6</v>
      </c>
      <c r="AF7" t="n">
        <v>404986.1</v>
      </c>
      <c r="AG7" t="n">
        <v>462573.3</v>
      </c>
      <c r="AH7" t="n">
        <v>456636.3</v>
      </c>
      <c r="AI7" t="n">
        <v>500579.2</v>
      </c>
      <c r="AJ7" t="n">
        <v>601152.6</v>
      </c>
      <c r="AK7" t="n">
        <v>605546.7</v>
      </c>
      <c r="AL7" t="n">
        <v>611240.5</v>
      </c>
      <c r="AM7" t="n">
        <v>700217.7</v>
      </c>
      <c r="AN7" t="n">
        <v>857718.4</v>
      </c>
      <c r="DB7" t="inlineStr">
        <is>
          <t>Tier 1 Ratio</t>
        </is>
      </c>
      <c r="DH7" t="n">
        <v>10.22</v>
      </c>
      <c r="DI7" t="n">
        <v>10.37</v>
      </c>
      <c r="DJ7" t="n">
        <v>10.67</v>
      </c>
      <c r="DK7" t="n">
        <v>16.3</v>
      </c>
      <c r="DL7" t="n">
        <v>20.7</v>
      </c>
      <c r="DM7" t="n">
        <v>24.5</v>
      </c>
      <c r="DN7" t="n">
        <v>25.3</v>
      </c>
      <c r="DO7" t="n">
        <v>22.9</v>
      </c>
      <c r="DP7" t="n">
        <v>22.8</v>
      </c>
      <c r="DQ7" t="n">
        <v>25.8</v>
      </c>
      <c r="DR7" t="n">
        <v>27</v>
      </c>
      <c r="DS7" t="n">
        <v>26.7</v>
      </c>
      <c r="DT7" t="n">
        <v>20.5</v>
      </c>
    </row>
    <row r="8">
      <c r="A8" s="5" t="inlineStr">
        <is>
          <t>Deposits from customers</t>
        </is>
      </c>
      <c r="B8" s="5" t="n">
        <v>898487.3</v>
      </c>
      <c r="C8" s="5" t="n">
        <v>709869.9</v>
      </c>
      <c r="D8" s="5" t="n">
        <v>642164.3</v>
      </c>
      <c r="E8" s="5" t="n">
        <v>660495</v>
      </c>
      <c r="F8" s="5" t="n">
        <v>651932.1</v>
      </c>
      <c r="G8" s="5" t="n">
        <v>594007.7</v>
      </c>
      <c r="H8" s="5" t="n">
        <v>552382.5</v>
      </c>
      <c r="I8" s="5" t="n">
        <v>561758.3</v>
      </c>
      <c r="J8" s="5" t="n">
        <v>624391.1</v>
      </c>
      <c r="K8" s="5" t="n">
        <v>907373.5</v>
      </c>
      <c r="L8" s="5" t="n">
        <v>944574.3</v>
      </c>
      <c r="M8" s="5" t="n">
        <v>979957.6</v>
      </c>
      <c r="N8" s="5" t="n">
        <v>816382.8</v>
      </c>
      <c r="O8" s="5" t="n">
        <v>786915.9</v>
      </c>
      <c r="P8" s="5" t="n">
        <v>539040.7</v>
      </c>
      <c r="Q8" s="5" t="n">
        <v>486724.3</v>
      </c>
      <c r="R8" s="5" t="n">
        <v>469340</v>
      </c>
      <c r="S8" s="5" t="n">
        <v>373371</v>
      </c>
      <c r="V8" t="inlineStr">
        <is>
          <t>Deposits from customers</t>
        </is>
      </c>
      <c r="W8" t="n">
        <v>373371</v>
      </c>
      <c r="X8" t="n">
        <v>469340</v>
      </c>
      <c r="Y8" t="n">
        <v>486724.3</v>
      </c>
      <c r="Z8" t="n">
        <v>539040.7</v>
      </c>
      <c r="AA8" t="n">
        <v>786915.9</v>
      </c>
      <c r="AB8" t="n">
        <v>816382.8</v>
      </c>
      <c r="AC8" t="n">
        <v>979957.6</v>
      </c>
      <c r="AD8" t="n">
        <v>944574.3</v>
      </c>
      <c r="AE8" t="n">
        <v>907373.5</v>
      </c>
      <c r="AF8" t="n">
        <v>624391.1</v>
      </c>
      <c r="AG8" t="n">
        <v>561758.3</v>
      </c>
      <c r="AH8" t="n">
        <v>552382.5</v>
      </c>
      <c r="AI8" t="n">
        <v>594007.7</v>
      </c>
      <c r="AJ8" t="n">
        <v>651932.1</v>
      </c>
      <c r="AK8" t="n">
        <v>660495</v>
      </c>
      <c r="AL8" t="n">
        <v>642164.3</v>
      </c>
      <c r="AM8" t="n">
        <v>709869.9</v>
      </c>
      <c r="AN8" t="n">
        <v>898487.3</v>
      </c>
      <c r="DB8" t="inlineStr">
        <is>
          <t>Total Capital Ratio</t>
        </is>
      </c>
      <c r="DH8" t="n">
        <v>15.27</v>
      </c>
      <c r="DI8" t="n">
        <v>15.58</v>
      </c>
      <c r="DJ8" t="n">
        <v>14.99</v>
      </c>
      <c r="DK8" t="n">
        <v>21.7</v>
      </c>
      <c r="DL8" t="n">
        <v>26.2</v>
      </c>
      <c r="DM8" t="n">
        <v>29.6</v>
      </c>
      <c r="DN8" t="n">
        <v>29.9</v>
      </c>
      <c r="DO8" t="n">
        <v>26.3</v>
      </c>
      <c r="DP8" t="n">
        <v>26.7</v>
      </c>
      <c r="DQ8" t="n">
        <v>31</v>
      </c>
      <c r="DR8" t="n">
        <v>31.8</v>
      </c>
      <c r="DS8" t="n">
        <v>31</v>
      </c>
      <c r="DT8" t="n">
        <v>23.6</v>
      </c>
    </row>
    <row r="9">
      <c r="A9" s="5" t="inlineStr">
        <is>
          <t>Total equity</t>
        </is>
      </c>
      <c r="B9" s="5" t="n">
        <v>158761.8</v>
      </c>
      <c r="C9" s="5" t="n">
        <v>163563.9</v>
      </c>
      <c r="D9" s="5" t="n">
        <v>170110.8</v>
      </c>
      <c r="E9" s="5" t="n">
        <v>172539.6</v>
      </c>
      <c r="F9" s="5" t="n">
        <v>158232.8</v>
      </c>
      <c r="G9" s="5" t="n">
        <v>147932.7</v>
      </c>
      <c r="H9" s="5" t="n">
        <v>173816.8</v>
      </c>
      <c r="I9" s="5" t="n">
        <v>166438.2</v>
      </c>
      <c r="J9" s="5" t="n">
        <v>152228.3</v>
      </c>
      <c r="K9" s="5" t="n">
        <v>153399.7</v>
      </c>
      <c r="L9" s="5" t="n">
        <v>124239.1</v>
      </c>
      <c r="M9" s="5" t="n">
        <v>140181.2</v>
      </c>
      <c r="N9" s="5" t="n">
        <v>116554.3</v>
      </c>
      <c r="O9" s="5" t="n">
        <v>94580.7</v>
      </c>
      <c r="P9" s="5" t="n">
        <v>77216.10000000001</v>
      </c>
      <c r="Q9" s="5" t="n">
        <v>67155.3</v>
      </c>
      <c r="R9" s="5" t="n">
        <v>53827.4</v>
      </c>
      <c r="S9" s="5" t="n">
        <v>36723.2</v>
      </c>
      <c r="V9" t="inlineStr">
        <is>
          <t>Total equity</t>
        </is>
      </c>
      <c r="W9" t="n">
        <v>36723.2</v>
      </c>
      <c r="X9" t="n">
        <v>53827.4</v>
      </c>
      <c r="Y9" t="n">
        <v>67155.3</v>
      </c>
      <c r="Z9" t="n">
        <v>77216.10000000001</v>
      </c>
      <c r="AA9" t="n">
        <v>94580.7</v>
      </c>
      <c r="AB9" t="n">
        <v>116554.3</v>
      </c>
      <c r="AC9" t="n">
        <v>140181.2</v>
      </c>
      <c r="AD9" t="n">
        <v>124239.1</v>
      </c>
      <c r="AE9" t="n">
        <v>153399.7</v>
      </c>
      <c r="AF9" t="n">
        <v>152228.3</v>
      </c>
      <c r="AG9" t="n">
        <v>166438.2</v>
      </c>
      <c r="AH9" t="n">
        <v>173816.8</v>
      </c>
      <c r="AI9" t="n">
        <v>147932.7</v>
      </c>
      <c r="AJ9" t="n">
        <v>158232.8</v>
      </c>
      <c r="AK9" t="n">
        <v>172539.6</v>
      </c>
      <c r="AL9" t="n">
        <v>170110.8</v>
      </c>
      <c r="AM9" t="n">
        <v>163563.9</v>
      </c>
      <c r="AN9" t="n">
        <v>158761.8</v>
      </c>
      <c r="DB9" t="inlineStr">
        <is>
          <t>Leverage Ratio</t>
        </is>
      </c>
      <c r="DH9" t="n">
        <v>7.83</v>
      </c>
      <c r="DI9" t="n">
        <v>8.779999999999999</v>
      </c>
      <c r="DJ9" t="n">
        <v>8.93</v>
      </c>
      <c r="DK9" t="n">
        <v>9.699999999999999</v>
      </c>
      <c r="DL9" t="n">
        <v>12.94</v>
      </c>
      <c r="DM9" t="n">
        <v>15.1</v>
      </c>
      <c r="DN9" t="n">
        <v>20.4</v>
      </c>
      <c r="DO9" t="n">
        <v>17.3</v>
      </c>
      <c r="DP9" t="n">
        <v>19.3</v>
      </c>
      <c r="DQ9" t="n">
        <v>19.9</v>
      </c>
      <c r="DR9" t="n">
        <v>19.1</v>
      </c>
      <c r="DS9" t="n">
        <v>16.7</v>
      </c>
      <c r="DT9" t="n">
        <v>13.6</v>
      </c>
    </row>
    <row r="10">
      <c r="DB10" t="inlineStr">
        <is>
          <t>LCR</t>
        </is>
      </c>
      <c r="DJ10" t="n">
        <v>167</v>
      </c>
      <c r="DK10" t="n">
        <v>1040</v>
      </c>
      <c r="DL10" t="n">
        <v>1027</v>
      </c>
      <c r="DM10" t="n">
        <v>524</v>
      </c>
      <c r="DN10" t="n">
        <v>403</v>
      </c>
      <c r="DO10" t="n">
        <v>748</v>
      </c>
      <c r="DP10" t="n">
        <v>405</v>
      </c>
      <c r="DQ10" t="n">
        <v>384</v>
      </c>
      <c r="DR10" t="n">
        <v>647</v>
      </c>
      <c r="DS10" t="n">
        <v>201</v>
      </c>
      <c r="DT10" t="n">
        <v>350</v>
      </c>
    </row>
    <row r="11">
      <c r="A11" s="3" t="inlineStr">
        <is>
          <t>Profit &amp; Loss Summary (£'000 (conv. from USD))</t>
        </is>
      </c>
      <c r="DB11" t="inlineStr">
        <is>
          <t>NSFR</t>
        </is>
      </c>
      <c r="DH11" t="n">
        <v>110</v>
      </c>
      <c r="DI11" t="n">
        <v>131</v>
      </c>
      <c r="DJ11" t="n">
        <v>119</v>
      </c>
      <c r="DK11" t="n">
        <v>180</v>
      </c>
      <c r="DL11" t="n">
        <v>171</v>
      </c>
      <c r="DM11" t="n">
        <v>139</v>
      </c>
      <c r="DN11" t="n">
        <v>126</v>
      </c>
      <c r="DO11" t="n">
        <v>146</v>
      </c>
      <c r="DP11" t="n">
        <v>128</v>
      </c>
      <c r="DQ11" t="n">
        <v>135</v>
      </c>
      <c r="DR11" t="n">
        <v>130</v>
      </c>
      <c r="DS11" t="n">
        <v>121</v>
      </c>
      <c r="DT11" t="n">
        <v>118</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O12" s="4" t="inlineStr">
        <is>
          <t>FY2013</t>
        </is>
      </c>
      <c r="P12" s="4" t="inlineStr">
        <is>
          <t>FY2012</t>
        </is>
      </c>
      <c r="Q12" s="4" t="inlineStr">
        <is>
          <t>FY2011</t>
        </is>
      </c>
      <c r="R12" s="4" t="inlineStr">
        <is>
          <t>FY2010</t>
        </is>
      </c>
      <c r="S12" s="4" t="inlineStr">
        <is>
          <t>FY2009</t>
        </is>
      </c>
      <c r="AR12" t="inlineStr">
        <is>
          <t>FY2009</t>
        </is>
      </c>
      <c r="AS12" t="inlineStr">
        <is>
          <t>FY2010</t>
        </is>
      </c>
      <c r="AT12" t="inlineStr">
        <is>
          <t>FY2011</t>
        </is>
      </c>
      <c r="AU12" t="inlineStr">
        <is>
          <t>FY2012</t>
        </is>
      </c>
      <c r="AV12" t="inlineStr">
        <is>
          <t>FY2013</t>
        </is>
      </c>
      <c r="AW12" t="inlineStr">
        <is>
          <t>FY2014</t>
        </is>
      </c>
      <c r="AX12" t="inlineStr">
        <is>
          <t>FY2015</t>
        </is>
      </c>
      <c r="AY12" t="inlineStr">
        <is>
          <t>FY2016</t>
        </is>
      </c>
      <c r="AZ12" t="inlineStr">
        <is>
          <t>FY2017</t>
        </is>
      </c>
      <c r="BA12" t="inlineStr">
        <is>
          <t>FY2018</t>
        </is>
      </c>
      <c r="BB12" t="inlineStr">
        <is>
          <t>FY2019</t>
        </is>
      </c>
      <c r="BC12" t="inlineStr">
        <is>
          <t>FY2020</t>
        </is>
      </c>
      <c r="BD12" t="inlineStr">
        <is>
          <t>FY2021</t>
        </is>
      </c>
      <c r="BE12" t="inlineStr">
        <is>
          <t>FY2022</t>
        </is>
      </c>
      <c r="BF12" t="inlineStr">
        <is>
          <t>FY2023</t>
        </is>
      </c>
      <c r="BG12" t="inlineStr">
        <is>
          <t>FY2024</t>
        </is>
      </c>
      <c r="BH12" t="inlineStr">
        <is>
          <t>FY2025</t>
        </is>
      </c>
      <c r="BI12" t="inlineStr">
        <is>
          <t>FY2026</t>
        </is>
      </c>
    </row>
    <row r="13">
      <c r="A13" s="5" t="inlineStr">
        <is>
          <t>Profit after tax for the year</t>
        </is>
      </c>
      <c r="B13" s="5" t="n">
        <v>2191.1</v>
      </c>
      <c r="C13" s="5" t="n">
        <v>587.6</v>
      </c>
      <c r="D13" s="5" t="n">
        <v>4941.9</v>
      </c>
      <c r="E13" s="5" t="n">
        <v>6918.2</v>
      </c>
      <c r="F13" s="5" t="n">
        <v>5786.9</v>
      </c>
      <c r="G13" s="5" t="n">
        <v>-7757.1</v>
      </c>
      <c r="H13" s="5" t="n">
        <v>2145.1</v>
      </c>
      <c r="I13" s="5" t="n">
        <v>6335.1</v>
      </c>
      <c r="J13" s="5" t="n">
        <v>4439.8</v>
      </c>
      <c r="K13" s="5" t="n">
        <v>-85197.8</v>
      </c>
      <c r="L13" s="5" t="n">
        <v>-18051.3</v>
      </c>
      <c r="M13" s="5" t="n">
        <v>5036.3</v>
      </c>
      <c r="N13" s="5" t="n">
        <v>4396.2</v>
      </c>
      <c r="O13" s="5" t="n">
        <v>3400.4</v>
      </c>
      <c r="P13" s="5" t="n">
        <v>4710.6</v>
      </c>
      <c r="Q13" s="5" t="n">
        <v>900.3</v>
      </c>
      <c r="R13" s="5" t="n">
        <v>2413.1</v>
      </c>
      <c r="S13" s="5" t="n">
        <v>1508.4</v>
      </c>
      <c r="AQ13" t="inlineStr">
        <is>
          <t>Profit after tax for the year</t>
        </is>
      </c>
      <c r="AR13" t="n">
        <v>1508.4</v>
      </c>
      <c r="AS13" t="n">
        <v>2413.1</v>
      </c>
      <c r="AT13" t="n">
        <v>900.3</v>
      </c>
      <c r="AU13" t="n">
        <v>4710.6</v>
      </c>
      <c r="AV13" t="n">
        <v>3400.4</v>
      </c>
      <c r="AW13" t="n">
        <v>4396.2</v>
      </c>
      <c r="AX13" t="n">
        <v>5036.3</v>
      </c>
      <c r="AY13" t="n">
        <v>-18051.3</v>
      </c>
      <c r="AZ13" t="n">
        <v>-85197.8</v>
      </c>
      <c r="BA13" t="n">
        <v>4439.8</v>
      </c>
      <c r="BB13" t="n">
        <v>6335.1</v>
      </c>
      <c r="BC13" t="n">
        <v>2145.1</v>
      </c>
      <c r="BD13" t="n">
        <v>-7757.1</v>
      </c>
      <c r="BE13" t="n">
        <v>5786.9</v>
      </c>
      <c r="BF13" t="n">
        <v>6918.2</v>
      </c>
      <c r="BG13" t="n">
        <v>4941.9</v>
      </c>
      <c r="BH13" t="n">
        <v>587.6</v>
      </c>
      <c r="BI13" t="n">
        <v>2191.1</v>
      </c>
    </row>
    <row r="14">
      <c r="A14" s="5" t="inlineStr">
        <is>
          <t>Total comprehensive income for the year, net of tax</t>
        </is>
      </c>
      <c r="B14" s="5" t="n">
        <v>1891.2</v>
      </c>
      <c r="C14" s="5" t="n">
        <v>897.9</v>
      </c>
      <c r="D14" s="5" t="n">
        <v>5084.3</v>
      </c>
      <c r="E14" s="5" t="n">
        <v>7173.1</v>
      </c>
      <c r="F14" s="5" t="n">
        <v>4790.7</v>
      </c>
      <c r="G14" s="5" t="n">
        <v>-6753.6</v>
      </c>
      <c r="H14" s="5" t="n">
        <v>1635.2</v>
      </c>
      <c r="I14" s="5" t="n">
        <v>6753.2</v>
      </c>
      <c r="J14" s="5" t="n">
        <v>3593.8</v>
      </c>
      <c r="K14" s="5" t="n">
        <v>-85522.3</v>
      </c>
      <c r="L14" s="5" t="n">
        <v>-18953.7</v>
      </c>
      <c r="M14" s="5" t="n">
        <v>9226.700000000001</v>
      </c>
      <c r="N14" s="5" t="n">
        <v>1169.2</v>
      </c>
      <c r="O14" s="5" t="n">
        <v>5601.1</v>
      </c>
      <c r="P14" s="5" t="n">
        <v>2755</v>
      </c>
      <c r="Q14" s="5" t="n">
        <v>649.2</v>
      </c>
      <c r="R14" s="5" t="n">
        <v>2511.4</v>
      </c>
      <c r="S14" s="5" t="n">
        <v>1508.4</v>
      </c>
      <c r="AQ14" t="inlineStr">
        <is>
          <t>Total comprehensive income for the year, net of tax</t>
        </is>
      </c>
      <c r="AR14" t="n">
        <v>1508.4</v>
      </c>
      <c r="AS14" t="n">
        <v>2511.4</v>
      </c>
      <c r="AT14" t="n">
        <v>649.2</v>
      </c>
      <c r="AU14" t="n">
        <v>2755</v>
      </c>
      <c r="AV14" t="n">
        <v>5601.1</v>
      </c>
      <c r="AW14" t="n">
        <v>1169.2</v>
      </c>
      <c r="AX14" t="n">
        <v>9226.700000000001</v>
      </c>
      <c r="AY14" t="n">
        <v>-18953.7</v>
      </c>
      <c r="AZ14" t="n">
        <v>-85522.3</v>
      </c>
      <c r="BA14" t="n">
        <v>3593.8</v>
      </c>
      <c r="BB14" t="n">
        <v>6753.2</v>
      </c>
      <c r="BC14" t="n">
        <v>1635.2</v>
      </c>
      <c r="BD14" t="n">
        <v>-6753.6</v>
      </c>
      <c r="BE14" t="n">
        <v>4790.7</v>
      </c>
      <c r="BF14" t="n">
        <v>7173.1</v>
      </c>
      <c r="BG14" t="n">
        <v>5084.3</v>
      </c>
      <c r="BH14" t="n">
        <v>897.9</v>
      </c>
      <c r="BI14" t="n">
        <v>1891.2</v>
      </c>
    </row>
    <row r="16">
      <c r="A16" s="3" t="inlineStr">
        <is>
          <t>Statement of Changes in Equity Summary (£'000 (conv. from USD))</t>
        </is>
      </c>
    </row>
    <row r="17">
      <c r="A17" s="4" t="inlineStr">
        <is>
          <t>Line item</t>
        </is>
      </c>
      <c r="B17" s="4" t="inlineStr">
        <is>
          <t>FY2026</t>
        </is>
      </c>
      <c r="C17" s="4" t="inlineStr">
        <is>
          <t>FY2025</t>
        </is>
      </c>
      <c r="D17" s="4" t="inlineStr">
        <is>
          <t>FY2024</t>
        </is>
      </c>
      <c r="E17" s="4" t="inlineStr">
        <is>
          <t>FY2023</t>
        </is>
      </c>
      <c r="F17" s="4" t="inlineStr">
        <is>
          <t>FY2022</t>
        </is>
      </c>
      <c r="G17" s="4" t="inlineStr">
        <is>
          <t>FY2021</t>
        </is>
      </c>
      <c r="H17" s="4" t="inlineStr">
        <is>
          <t>FY2020</t>
        </is>
      </c>
      <c r="I17" s="4" t="inlineStr">
        <is>
          <t>FY2019</t>
        </is>
      </c>
      <c r="J17" s="4" t="inlineStr">
        <is>
          <t>FY2018</t>
        </is>
      </c>
      <c r="K17" s="4" t="inlineStr">
        <is>
          <t>FY2017</t>
        </is>
      </c>
      <c r="L17" s="4" t="inlineStr">
        <is>
          <t>FY2016</t>
        </is>
      </c>
      <c r="M17" s="4" t="inlineStr">
        <is>
          <t>FY2015</t>
        </is>
      </c>
      <c r="N17" s="4" t="inlineStr">
        <is>
          <t>FY2014</t>
        </is>
      </c>
      <c r="O17" s="4" t="inlineStr">
        <is>
          <t>FY2013</t>
        </is>
      </c>
      <c r="P17" s="4" t="inlineStr">
        <is>
          <t>FY2012</t>
        </is>
      </c>
      <c r="Q17" s="4" t="inlineStr">
        <is>
          <t>FY2011</t>
        </is>
      </c>
      <c r="R17" s="4" t="inlineStr">
        <is>
          <t>FY2010</t>
        </is>
      </c>
      <c r="S17" s="4" t="inlineStr">
        <is>
          <t>FY2009</t>
        </is>
      </c>
      <c r="BM17" t="inlineStr">
        <is>
          <t>FY2009</t>
        </is>
      </c>
      <c r="BN17" t="inlineStr">
        <is>
          <t>FY2010</t>
        </is>
      </c>
      <c r="BO17" t="inlineStr">
        <is>
          <t>FY2011</t>
        </is>
      </c>
      <c r="BP17" t="inlineStr">
        <is>
          <t>FY2012</t>
        </is>
      </c>
      <c r="BQ17" t="inlineStr">
        <is>
          <t>FY2013</t>
        </is>
      </c>
      <c r="BR17" t="inlineStr">
        <is>
          <t>FY2014</t>
        </is>
      </c>
      <c r="BS17" t="inlineStr">
        <is>
          <t>FY2015</t>
        </is>
      </c>
      <c r="BT17" t="inlineStr">
        <is>
          <t>FY2016</t>
        </is>
      </c>
      <c r="BU17" t="inlineStr">
        <is>
          <t>FY2017</t>
        </is>
      </c>
      <c r="BV17" t="inlineStr">
        <is>
          <t>FY2018</t>
        </is>
      </c>
      <c r="BW17" t="inlineStr">
        <is>
          <t>FY2019</t>
        </is>
      </c>
      <c r="BX17" t="inlineStr">
        <is>
          <t>FY2020</t>
        </is>
      </c>
      <c r="BY17" t="inlineStr">
        <is>
          <t>FY2021</t>
        </is>
      </c>
      <c r="BZ17" t="inlineStr">
        <is>
          <t>FY2022</t>
        </is>
      </c>
      <c r="CA17" t="inlineStr">
        <is>
          <t>FY2023</t>
        </is>
      </c>
      <c r="CB17" t="inlineStr">
        <is>
          <t>FY2024</t>
        </is>
      </c>
      <c r="CC17" t="inlineStr">
        <is>
          <t>FY2025</t>
        </is>
      </c>
      <c r="CD17" t="inlineStr">
        <is>
          <t>FY2026</t>
        </is>
      </c>
    </row>
    <row r="18">
      <c r="A18" s="5" t="inlineStr">
        <is>
          <t>Opening equity</t>
        </is>
      </c>
      <c r="B18" s="5" t="n">
        <v>160116</v>
      </c>
      <c r="C18" s="5" t="n">
        <v>166267.2</v>
      </c>
      <c r="D18" s="5" t="n">
        <v>168879</v>
      </c>
      <c r="E18" s="5" t="n">
        <v>168445.5</v>
      </c>
      <c r="F18" s="5" t="n">
        <v>155058.5</v>
      </c>
      <c r="G18" s="5" t="n"/>
      <c r="H18" s="5" t="n">
        <v>174852.1</v>
      </c>
      <c r="I18" s="5" t="n">
        <v>161963.2</v>
      </c>
      <c r="J18" s="5" t="n">
        <v>136663.6</v>
      </c>
      <c r="K18" s="5" t="n">
        <v>142824.8</v>
      </c>
      <c r="L18" s="5" t="n">
        <v>144753.8</v>
      </c>
      <c r="M18" s="5" t="n">
        <v>130889.1</v>
      </c>
      <c r="N18" s="5" t="n">
        <v>86117.10000000001</v>
      </c>
      <c r="O18" s="5" t="n">
        <v>81285.2</v>
      </c>
      <c r="P18" s="5" t="n">
        <v>67361.2</v>
      </c>
      <c r="Q18" s="5" t="n">
        <v>50929.5</v>
      </c>
      <c r="R18" s="5" t="n">
        <v>34699</v>
      </c>
      <c r="S18" s="5" t="n">
        <v>34913.8</v>
      </c>
      <c r="BL18" t="inlineStr">
        <is>
          <t>Opening equity</t>
        </is>
      </c>
      <c r="BM18" t="n">
        <v>34913.8</v>
      </c>
      <c r="BN18" t="n">
        <v>34699</v>
      </c>
      <c r="BO18" t="n">
        <v>50929.5</v>
      </c>
      <c r="BP18" t="n">
        <v>67361.2</v>
      </c>
      <c r="BQ18" t="n">
        <v>81285.2</v>
      </c>
      <c r="BR18" t="n">
        <v>86117.10000000001</v>
      </c>
      <c r="BS18" t="n">
        <v>130889.1</v>
      </c>
      <c r="BT18" t="n">
        <v>144753.8</v>
      </c>
      <c r="BU18" t="n">
        <v>142824.8</v>
      </c>
      <c r="BV18" t="n">
        <v>136663.6</v>
      </c>
      <c r="BW18" t="n">
        <v>161963.2</v>
      </c>
      <c r="BX18" t="n">
        <v>174852.1</v>
      </c>
      <c r="BZ18" t="n">
        <v>155058.5</v>
      </c>
      <c r="CA18" t="n">
        <v>168445.5</v>
      </c>
      <c r="CB18" t="n">
        <v>168879</v>
      </c>
      <c r="CC18" t="n">
        <v>166267.2</v>
      </c>
      <c r="CD18" t="n">
        <v>160116</v>
      </c>
    </row>
    <row r="19">
      <c r="A19" s="5" t="inlineStr">
        <is>
          <t>Total comprehensive income for the year</t>
        </is>
      </c>
      <c r="B19" s="5" t="n">
        <v>1891.2</v>
      </c>
      <c r="C19" s="5" t="n">
        <v>897.9</v>
      </c>
      <c r="D19" s="5" t="n">
        <v>5084.3</v>
      </c>
      <c r="E19" s="5" t="n">
        <v>7173.1</v>
      </c>
      <c r="F19" s="5" t="n">
        <v>4790.7</v>
      </c>
      <c r="G19" s="5" t="n">
        <v>-6753.6</v>
      </c>
      <c r="H19" s="5" t="n">
        <v>1635.2</v>
      </c>
      <c r="I19" s="5" t="n">
        <v>6753.2</v>
      </c>
      <c r="J19" s="5" t="n">
        <v>3593.8</v>
      </c>
      <c r="K19" s="5" t="n">
        <v>-85522.3</v>
      </c>
      <c r="L19" s="5" t="n">
        <v>-18953.7</v>
      </c>
      <c r="M19" s="5" t="n">
        <v>9226.700000000001</v>
      </c>
      <c r="N19" s="5" t="n">
        <v>1169.2</v>
      </c>
      <c r="O19" s="5" t="n">
        <v>5601.1</v>
      </c>
      <c r="P19" s="5" t="n">
        <v>2755</v>
      </c>
      <c r="Q19" s="5" t="n">
        <v>649.2</v>
      </c>
      <c r="R19" s="5" t="n">
        <v>2511.4</v>
      </c>
      <c r="S19" s="5" t="n">
        <v>1508.4</v>
      </c>
      <c r="BL19" t="inlineStr">
        <is>
          <t>Total comprehensive income for the year</t>
        </is>
      </c>
      <c r="BM19" t="n">
        <v>1508.4</v>
      </c>
      <c r="BN19" t="n">
        <v>2511.4</v>
      </c>
      <c r="BO19" t="n">
        <v>649.2</v>
      </c>
      <c r="BP19" t="n">
        <v>2755</v>
      </c>
      <c r="BQ19" t="n">
        <v>5601.1</v>
      </c>
      <c r="BR19" t="n">
        <v>1169.2</v>
      </c>
      <c r="BS19" t="n">
        <v>9226.700000000001</v>
      </c>
      <c r="BT19" t="n">
        <v>-18953.7</v>
      </c>
      <c r="BU19" t="n">
        <v>-85522.3</v>
      </c>
      <c r="BV19" t="n">
        <v>3593.8</v>
      </c>
      <c r="BW19" t="n">
        <v>6753.2</v>
      </c>
      <c r="BX19" t="n">
        <v>1635.2</v>
      </c>
      <c r="BY19" t="n">
        <v>-6753.6</v>
      </c>
      <c r="BZ19" t="n">
        <v>4790.7</v>
      </c>
      <c r="CA19" t="n">
        <v>7173.1</v>
      </c>
      <c r="CB19" t="n">
        <v>5084.3</v>
      </c>
      <c r="CC19" t="n">
        <v>897.9</v>
      </c>
      <c r="CD19" t="n">
        <v>1891.2</v>
      </c>
    </row>
    <row r="20">
      <c r="A20" s="5" t="inlineStr">
        <is>
          <t>Other equity movements, net (dividends on AT1 capital)</t>
        </is>
      </c>
      <c r="B20" s="5" t="n">
        <v>-3223.7</v>
      </c>
      <c r="C20" s="5" t="n">
        <v>-3632.4</v>
      </c>
      <c r="D20" s="5" t="n">
        <v>-3846.3</v>
      </c>
      <c r="E20" s="5" t="n">
        <v>-2970.5</v>
      </c>
      <c r="F20" s="5" t="n">
        <v>-1732.5</v>
      </c>
      <c r="G20" s="5" t="n"/>
      <c r="H20" s="5" t="n">
        <v>-2645.6</v>
      </c>
      <c r="I20" s="5" t="n">
        <v>-2312.3</v>
      </c>
      <c r="J20" s="5" t="n">
        <v>12862.2</v>
      </c>
      <c r="K20" s="5" t="n">
        <v>95644</v>
      </c>
      <c r="L20" s="5" t="n">
        <v>-603.4</v>
      </c>
      <c r="M20" s="5" t="n">
        <v>-671</v>
      </c>
      <c r="N20" s="5" t="n">
        <v>30747.8</v>
      </c>
      <c r="O20" s="5" t="n">
        <v>7170.3</v>
      </c>
      <c r="P20" s="5" t="n">
        <v>7118.9</v>
      </c>
      <c r="Q20" s="5" t="n">
        <v>16054.5</v>
      </c>
      <c r="R20" s="5" t="n">
        <v>15649.5</v>
      </c>
      <c r="S20" s="5" t="n">
        <v>0</v>
      </c>
      <c r="BL20" t="inlineStr">
        <is>
          <t>Other equity movements, net (dividends on AT1 capital)</t>
        </is>
      </c>
      <c r="BM20" t="n">
        <v>0</v>
      </c>
      <c r="BN20" t="n">
        <v>15649.5</v>
      </c>
      <c r="BO20" t="n">
        <v>16054.5</v>
      </c>
      <c r="BP20" t="n">
        <v>7118.9</v>
      </c>
      <c r="BQ20" t="n">
        <v>7170.3</v>
      </c>
      <c r="BR20" t="n">
        <v>30747.8</v>
      </c>
      <c r="BS20" t="n">
        <v>-671</v>
      </c>
      <c r="BT20" t="n">
        <v>-603.4</v>
      </c>
      <c r="BU20" t="n">
        <v>95644</v>
      </c>
      <c r="BV20" t="n">
        <v>12862.2</v>
      </c>
      <c r="BW20" t="n">
        <v>-2312.3</v>
      </c>
      <c r="BX20" t="n">
        <v>-2645.6</v>
      </c>
      <c r="BZ20" t="n">
        <v>-1732.5</v>
      </c>
      <c r="CA20" t="n">
        <v>-2970.5</v>
      </c>
      <c r="CB20" t="n">
        <v>-3846.3</v>
      </c>
      <c r="CC20" t="n">
        <v>-3632.4</v>
      </c>
      <c r="CD20" t="n">
        <v>-3223.7</v>
      </c>
    </row>
    <row r="21">
      <c r="A21" s="5" t="inlineStr">
        <is>
          <t>Closing equity</t>
        </is>
      </c>
      <c r="B21" s="5" t="n">
        <v>158761.8</v>
      </c>
      <c r="C21" s="5" t="n">
        <v>163563.9</v>
      </c>
      <c r="D21" s="5" t="n">
        <v>170110.8</v>
      </c>
      <c r="E21" s="5" t="n">
        <v>172539.6</v>
      </c>
      <c r="F21" s="5" t="n">
        <v>158232.8</v>
      </c>
      <c r="G21" s="5" t="n">
        <v>147932.7</v>
      </c>
      <c r="H21" s="5" t="n">
        <v>173816.8</v>
      </c>
      <c r="I21" s="5" t="n">
        <v>166438.2</v>
      </c>
      <c r="J21" s="5" t="n">
        <v>152228.3</v>
      </c>
      <c r="K21" s="5" t="n">
        <v>153399.7</v>
      </c>
      <c r="L21" s="5" t="n">
        <v>124239.1</v>
      </c>
      <c r="M21" s="5" t="n">
        <v>140181.2</v>
      </c>
      <c r="N21" s="5" t="n">
        <v>116554.3</v>
      </c>
      <c r="O21" s="5" t="n">
        <v>94580.7</v>
      </c>
      <c r="P21" s="5" t="n">
        <v>77216.10000000001</v>
      </c>
      <c r="Q21" s="5" t="n">
        <v>67155.3</v>
      </c>
      <c r="R21" s="5" t="n">
        <v>53827.4</v>
      </c>
      <c r="S21" s="5" t="n">
        <v>36723.2</v>
      </c>
      <c r="BL21" t="inlineStr">
        <is>
          <t>Closing equity</t>
        </is>
      </c>
      <c r="BM21" t="n">
        <v>36723.2</v>
      </c>
      <c r="BN21" t="n">
        <v>53827.4</v>
      </c>
      <c r="BO21" t="n">
        <v>67155.3</v>
      </c>
      <c r="BP21" t="n">
        <v>77216.10000000001</v>
      </c>
      <c r="BQ21" t="n">
        <v>94580.7</v>
      </c>
      <c r="BR21" t="n">
        <v>116554.3</v>
      </c>
      <c r="BS21" t="n">
        <v>140181.2</v>
      </c>
      <c r="BT21" t="n">
        <v>124239.1</v>
      </c>
      <c r="BU21" t="n">
        <v>153399.7</v>
      </c>
      <c r="BV21" t="n">
        <v>152228.3</v>
      </c>
      <c r="BW21" t="n">
        <v>166438.2</v>
      </c>
      <c r="BX21" t="n">
        <v>173816.8</v>
      </c>
      <c r="BY21" t="n">
        <v>147932.7</v>
      </c>
      <c r="BZ21" t="n">
        <v>158232.8</v>
      </c>
      <c r="CA21" t="n">
        <v>172539.6</v>
      </c>
      <c r="CB21" t="n">
        <v>170110.8</v>
      </c>
      <c r="CC21" t="n">
        <v>163563.9</v>
      </c>
      <c r="CD21" t="n">
        <v>158761.8</v>
      </c>
    </row>
    <row r="23">
      <c r="A23" s="3" t="inlineStr">
        <is>
          <t>Cash Flow Summary (£'000 (conv. from USD))</t>
        </is>
      </c>
    </row>
    <row r="24">
      <c r="A24" s="4" t="inlineStr">
        <is>
          <t>Line item</t>
        </is>
      </c>
      <c r="B24" s="4" t="inlineStr">
        <is>
          <t>FY2026</t>
        </is>
      </c>
      <c r="C24" s="4" t="inlineStr">
        <is>
          <t>FY2025</t>
        </is>
      </c>
      <c r="D24" s="4" t="inlineStr">
        <is>
          <t>FY2024</t>
        </is>
      </c>
      <c r="E24" s="4" t="inlineStr">
        <is>
          <t>FY2023</t>
        </is>
      </c>
      <c r="F24" s="4" t="inlineStr">
        <is>
          <t>FY2022</t>
        </is>
      </c>
      <c r="G24" s="4" t="inlineStr">
        <is>
          <t>FY2021</t>
        </is>
      </c>
      <c r="H24" s="4" t="inlineStr">
        <is>
          <t>FY2020</t>
        </is>
      </c>
      <c r="I24" s="4" t="inlineStr">
        <is>
          <t>FY2019</t>
        </is>
      </c>
      <c r="J24" s="4" t="inlineStr">
        <is>
          <t>FY2018</t>
        </is>
      </c>
      <c r="K24" s="4" t="inlineStr">
        <is>
          <t>FY2017</t>
        </is>
      </c>
      <c r="L24" s="4" t="inlineStr">
        <is>
          <t>FY2016</t>
        </is>
      </c>
      <c r="M24" s="4" t="inlineStr">
        <is>
          <t>FY2015</t>
        </is>
      </c>
      <c r="N24" s="4" t="inlineStr">
        <is>
          <t>FY2014</t>
        </is>
      </c>
      <c r="O24" s="4" t="inlineStr">
        <is>
          <t>FY2013</t>
        </is>
      </c>
      <c r="P24" s="4" t="inlineStr">
        <is>
          <t>FY2012</t>
        </is>
      </c>
      <c r="Q24" s="4" t="inlineStr">
        <is>
          <t>FY2011</t>
        </is>
      </c>
      <c r="R24" s="4" t="inlineStr">
        <is>
          <t>FY2010</t>
        </is>
      </c>
      <c r="S24" s="4" t="inlineStr">
        <is>
          <t>FY2009</t>
        </is>
      </c>
      <c r="CH24" t="inlineStr">
        <is>
          <t>FY2009</t>
        </is>
      </c>
      <c r="CI24" t="inlineStr">
        <is>
          <t>FY2010</t>
        </is>
      </c>
      <c r="CJ24" t="inlineStr">
        <is>
          <t>FY2011</t>
        </is>
      </c>
      <c r="CK24" t="inlineStr">
        <is>
          <t>FY2012</t>
        </is>
      </c>
      <c r="CL24" t="inlineStr">
        <is>
          <t>FY2013</t>
        </is>
      </c>
      <c r="CM24" t="inlineStr">
        <is>
          <t>FY2014</t>
        </is>
      </c>
      <c r="CN24" t="inlineStr">
        <is>
          <t>FY2015</t>
        </is>
      </c>
      <c r="CO24" t="inlineStr">
        <is>
          <t>FY2016</t>
        </is>
      </c>
      <c r="CP24" t="inlineStr">
        <is>
          <t>FY2017</t>
        </is>
      </c>
      <c r="CQ24" t="inlineStr">
        <is>
          <t>FY2018</t>
        </is>
      </c>
      <c r="CR24" t="inlineStr">
        <is>
          <t>FY2019</t>
        </is>
      </c>
      <c r="CS24" t="inlineStr">
        <is>
          <t>FY2020</t>
        </is>
      </c>
      <c r="CT24" t="inlineStr">
        <is>
          <t>FY2021</t>
        </is>
      </c>
      <c r="CU24" t="inlineStr">
        <is>
          <t>FY2022</t>
        </is>
      </c>
      <c r="CV24" t="inlineStr">
        <is>
          <t>FY2023</t>
        </is>
      </c>
      <c r="CW24" t="inlineStr">
        <is>
          <t>FY2024</t>
        </is>
      </c>
      <c r="CX24" t="inlineStr">
        <is>
          <t>FY2025</t>
        </is>
      </c>
      <c r="CY24" t="inlineStr">
        <is>
          <t>FY2026</t>
        </is>
      </c>
    </row>
    <row r="25">
      <c r="A25" s="5" t="inlineStr">
        <is>
          <t>Net cash (used in)/generated from operating activities</t>
        </is>
      </c>
      <c r="B25" s="5" t="n">
        <v>47658.9</v>
      </c>
      <c r="C25" s="5" t="n">
        <v>2756.4</v>
      </c>
      <c r="D25" s="5" t="n">
        <v>-23233.6</v>
      </c>
      <c r="E25" s="5" t="n">
        <v>6421.8</v>
      </c>
      <c r="F25" s="5" t="n">
        <v>-15142</v>
      </c>
      <c r="G25" s="5" t="n">
        <v>77735.89999999999</v>
      </c>
      <c r="H25" s="5" t="n">
        <v>-16883.9</v>
      </c>
      <c r="I25" s="5" t="n">
        <v>24220.9</v>
      </c>
      <c r="J25" s="5" t="n">
        <v>-251783.3</v>
      </c>
      <c r="K25" s="5" t="n">
        <v>121040.8</v>
      </c>
      <c r="L25" s="5" t="n">
        <v>53836.4</v>
      </c>
      <c r="M25" s="5" t="n">
        <v>-34341.7</v>
      </c>
      <c r="N25" s="5" t="n">
        <v>3387.4</v>
      </c>
      <c r="O25" s="5" t="n">
        <v>20855.5</v>
      </c>
      <c r="P25" s="5" t="n">
        <v>2068.5</v>
      </c>
      <c r="Q25" s="5" t="n">
        <v>-59218.5</v>
      </c>
      <c r="R25" s="5" t="n">
        <v>-13366.5</v>
      </c>
      <c r="S25" s="5" t="n">
        <v>75539.8</v>
      </c>
      <c r="CG25" t="inlineStr">
        <is>
          <t>Net cash (used in)/generated from operating activities</t>
        </is>
      </c>
      <c r="CH25" t="n">
        <v>75539.8</v>
      </c>
      <c r="CI25" t="n">
        <v>-13366.5</v>
      </c>
      <c r="CJ25" t="n">
        <v>-59218.5</v>
      </c>
      <c r="CK25" t="n">
        <v>2068.5</v>
      </c>
      <c r="CL25" t="n">
        <v>20855.5</v>
      </c>
      <c r="CM25" t="n">
        <v>3387.4</v>
      </c>
      <c r="CN25" t="n">
        <v>-34341.7</v>
      </c>
      <c r="CO25" t="n">
        <v>53836.4</v>
      </c>
      <c r="CP25" t="n">
        <v>121040.8</v>
      </c>
      <c r="CQ25" t="n">
        <v>-251783.3</v>
      </c>
      <c r="CR25" t="n">
        <v>24220.9</v>
      </c>
      <c r="CS25" t="n">
        <v>-16883.9</v>
      </c>
      <c r="CT25" t="n">
        <v>77735.89999999999</v>
      </c>
      <c r="CU25" t="n">
        <v>-15142</v>
      </c>
      <c r="CV25" t="n">
        <v>6421.8</v>
      </c>
      <c r="CW25" t="n">
        <v>-23233.6</v>
      </c>
      <c r="CX25" t="n">
        <v>2756.4</v>
      </c>
      <c r="CY25" t="n">
        <v>47658.9</v>
      </c>
    </row>
    <row r="26">
      <c r="A26" s="5" t="inlineStr">
        <is>
          <t>Net cash (used in)/generated from investing activities</t>
        </is>
      </c>
      <c r="B26" s="5" t="n">
        <v>-21032.5</v>
      </c>
      <c r="C26" s="5" t="n">
        <v>-5553.6</v>
      </c>
      <c r="D26" s="5" t="n">
        <v>17663.1</v>
      </c>
      <c r="E26" s="5" t="n">
        <v>-7652.1</v>
      </c>
      <c r="F26" s="5" t="n">
        <v>-35215.9</v>
      </c>
      <c r="G26" s="5" t="n">
        <v>-7487.3</v>
      </c>
      <c r="H26" s="5" t="n">
        <v>358</v>
      </c>
      <c r="I26" s="5" t="n">
        <v>-1818</v>
      </c>
      <c r="J26" s="5" t="n">
        <v>-30200.4</v>
      </c>
      <c r="K26" s="5" t="n">
        <v>-6465.9</v>
      </c>
      <c r="L26" s="5" t="n">
        <v>68.3</v>
      </c>
      <c r="M26" s="5" t="n">
        <v>1206.2</v>
      </c>
      <c r="N26" s="5" t="n">
        <v>1225.8</v>
      </c>
      <c r="O26" s="5" t="n">
        <v>7992.3</v>
      </c>
      <c r="P26" s="5" t="n">
        <v>-30.1</v>
      </c>
      <c r="Q26" s="5" t="n">
        <v>-10973.5</v>
      </c>
      <c r="R26" s="5" t="n">
        <v>-4423.8</v>
      </c>
      <c r="S26" s="5" t="n">
        <v>-8925.5</v>
      </c>
      <c r="CG26" t="inlineStr">
        <is>
          <t>Net cash (used in)/generated from investing activities</t>
        </is>
      </c>
      <c r="CH26" t="n">
        <v>-8925.5</v>
      </c>
      <c r="CI26" t="n">
        <v>-4423.8</v>
      </c>
      <c r="CJ26" t="n">
        <v>-10973.5</v>
      </c>
      <c r="CK26" t="n">
        <v>-30.1</v>
      </c>
      <c r="CL26" t="n">
        <v>7992.3</v>
      </c>
      <c r="CM26" t="n">
        <v>1225.8</v>
      </c>
      <c r="CN26" t="n">
        <v>1206.2</v>
      </c>
      <c r="CO26" t="n">
        <v>68.3</v>
      </c>
      <c r="CP26" t="n">
        <v>-6465.9</v>
      </c>
      <c r="CQ26" t="n">
        <v>-30200.4</v>
      </c>
      <c r="CR26" t="n">
        <v>-1818</v>
      </c>
      <c r="CS26" t="n">
        <v>358</v>
      </c>
      <c r="CT26" t="n">
        <v>-7487.3</v>
      </c>
      <c r="CU26" t="n">
        <v>-35215.9</v>
      </c>
      <c r="CV26" t="n">
        <v>-7652.1</v>
      </c>
      <c r="CW26" t="n">
        <v>17663.1</v>
      </c>
      <c r="CX26" t="n">
        <v>-5553.6</v>
      </c>
      <c r="CY26" t="n">
        <v>-21032.5</v>
      </c>
    </row>
    <row r="27">
      <c r="A27" s="5" t="inlineStr">
        <is>
          <t>Net cash used in financing activities</t>
        </is>
      </c>
      <c r="B27" s="5" t="n">
        <v>-11482.4</v>
      </c>
      <c r="C27" s="5" t="n">
        <v>-12292.6</v>
      </c>
      <c r="D27" s="5" t="n">
        <v>-4430.3</v>
      </c>
      <c r="E27" s="5" t="n">
        <v>-3730.2</v>
      </c>
      <c r="F27" s="5" t="n">
        <v>-2419.1</v>
      </c>
      <c r="G27" s="5" t="n">
        <v>-2645.3</v>
      </c>
      <c r="H27" s="5" t="n">
        <v>-3322.3</v>
      </c>
      <c r="I27" s="5" t="n">
        <v>-2613.9</v>
      </c>
      <c r="J27" s="5" t="n">
        <v>12862.2</v>
      </c>
      <c r="K27" s="5" t="n">
        <v>76528.7</v>
      </c>
      <c r="L27" s="5" t="n">
        <v>5877.2</v>
      </c>
      <c r="M27" s="5" t="n">
        <v>5530.5</v>
      </c>
      <c r="N27" s="5" t="n">
        <v>33892.5</v>
      </c>
      <c r="O27" s="5" t="n">
        <v>15079.7</v>
      </c>
      <c r="P27" s="5" t="n">
        <v>7118.9</v>
      </c>
      <c r="Q27" s="5" t="n">
        <v>16054.5</v>
      </c>
      <c r="R27" s="5" t="n">
        <v>15649.5</v>
      </c>
      <c r="S27" s="5" t="n">
        <v>14543.3</v>
      </c>
      <c r="CG27" t="inlineStr">
        <is>
          <t>Net cash used in financing activities</t>
        </is>
      </c>
      <c r="CH27" t="n">
        <v>14543.3</v>
      </c>
      <c r="CI27" t="n">
        <v>15649.5</v>
      </c>
      <c r="CJ27" t="n">
        <v>16054.5</v>
      </c>
      <c r="CK27" t="n">
        <v>7118.9</v>
      </c>
      <c r="CL27" t="n">
        <v>15079.7</v>
      </c>
      <c r="CM27" t="n">
        <v>33892.5</v>
      </c>
      <c r="CN27" t="n">
        <v>5530.5</v>
      </c>
      <c r="CO27" t="n">
        <v>5877.2</v>
      </c>
      <c r="CP27" t="n">
        <v>76528.7</v>
      </c>
      <c r="CQ27" t="n">
        <v>12862.2</v>
      </c>
      <c r="CR27" t="n">
        <v>-2613.9</v>
      </c>
      <c r="CS27" t="n">
        <v>-3322.3</v>
      </c>
      <c r="CT27" t="n">
        <v>-2645.3</v>
      </c>
      <c r="CU27" t="n">
        <v>-2419.1</v>
      </c>
      <c r="CV27" t="n">
        <v>-3730.2</v>
      </c>
      <c r="CW27" t="n">
        <v>-4430.3</v>
      </c>
      <c r="CX27" t="n">
        <v>-12292.6</v>
      </c>
      <c r="CY27" t="n">
        <v>-11482.4</v>
      </c>
    </row>
    <row r="28">
      <c r="A28" s="5" t="inlineStr">
        <is>
          <t>Cash and cash equivalents at end of year</t>
        </is>
      </c>
      <c r="B28" s="5" t="n">
        <v>106098</v>
      </c>
      <c r="C28" s="5" t="n">
        <v>90436.10000000001</v>
      </c>
      <c r="D28" s="5" t="n">
        <v>106105.1</v>
      </c>
      <c r="E28" s="5" t="n">
        <v>117131.2</v>
      </c>
      <c r="F28" s="5" t="n">
        <v>113811</v>
      </c>
      <c r="G28" s="5" t="n">
        <v>160423.3</v>
      </c>
      <c r="H28" s="5" t="n">
        <v>106530.7</v>
      </c>
      <c r="I28" s="5" t="n">
        <v>120762.1</v>
      </c>
      <c r="J28" s="5" t="n">
        <v>93613.60000000001</v>
      </c>
      <c r="K28" s="5" t="n">
        <v>391788.6</v>
      </c>
      <c r="L28" s="5" t="n">
        <v>167064.3</v>
      </c>
      <c r="M28" s="5" t="n">
        <v>101058.8</v>
      </c>
      <c r="N28" s="5" t="n">
        <v>116688.7</v>
      </c>
      <c r="O28" s="5" t="n">
        <v>87827.5</v>
      </c>
      <c r="P28" s="5" t="n">
        <v>39990</v>
      </c>
      <c r="Q28" s="5" t="n">
        <v>64839.1</v>
      </c>
      <c r="R28" s="5" t="n">
        <v>124111.6</v>
      </c>
      <c r="S28" s="5" t="n">
        <v>154806.4</v>
      </c>
      <c r="CG28" t="inlineStr">
        <is>
          <t>Cash and cash equivalents at end of year</t>
        </is>
      </c>
      <c r="CH28" t="n">
        <v>154806.4</v>
      </c>
      <c r="CI28" t="n">
        <v>124111.6</v>
      </c>
      <c r="CJ28" t="n">
        <v>64839.1</v>
      </c>
      <c r="CK28" t="n">
        <v>39990</v>
      </c>
      <c r="CL28" t="n">
        <v>87827.5</v>
      </c>
      <c r="CM28" t="n">
        <v>116688.7</v>
      </c>
      <c r="CN28" t="n">
        <v>101058.8</v>
      </c>
      <c r="CO28" t="n">
        <v>167064.3</v>
      </c>
      <c r="CP28" t="n">
        <v>391788.6</v>
      </c>
      <c r="CQ28" t="n">
        <v>93613.60000000001</v>
      </c>
      <c r="CR28" t="n">
        <v>120762.1</v>
      </c>
      <c r="CS28" t="n">
        <v>106530.7</v>
      </c>
      <c r="CT28" t="n">
        <v>160423.3</v>
      </c>
      <c r="CU28" t="n">
        <v>113811</v>
      </c>
      <c r="CV28" t="n">
        <v>117131.2</v>
      </c>
      <c r="CW28" t="n">
        <v>106105.1</v>
      </c>
      <c r="CX28" t="n">
        <v>90436.10000000001</v>
      </c>
      <c r="CY28" t="n">
        <v>106098</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c r="K31" s="4" t="inlineStr">
        <is>
          <t>FY2017</t>
        </is>
      </c>
      <c r="L31" s="4" t="inlineStr">
        <is>
          <t>FY2016</t>
        </is>
      </c>
      <c r="M31" s="4" t="inlineStr">
        <is>
          <t>FY2015</t>
        </is>
      </c>
      <c r="N31" s="4" t="inlineStr">
        <is>
          <t>FY2014</t>
        </is>
      </c>
      <c r="O31" s="4" t="inlineStr">
        <is>
          <t>FY2013</t>
        </is>
      </c>
      <c r="P31" s="4" t="inlineStr">
        <is>
          <t>FY2012</t>
        </is>
      </c>
      <c r="Q31" s="4" t="inlineStr">
        <is>
          <t>FY2011</t>
        </is>
      </c>
      <c r="R31" s="4" t="inlineStr">
        <is>
          <t>FY2010</t>
        </is>
      </c>
      <c r="S31" s="4" t="inlineStr">
        <is>
          <t>FY2009</t>
        </is>
      </c>
    </row>
    <row r="32">
      <c r="A32" s="6" t="inlineStr">
        <is>
          <t>CET1 Ratio</t>
        </is>
      </c>
      <c r="B32" s="6" t="inlineStr">
        <is>
          <t>15.4%</t>
        </is>
      </c>
      <c r="C32" s="6" t="inlineStr">
        <is>
          <t>20.2%</t>
        </is>
      </c>
      <c r="D32" s="6" t="inlineStr">
        <is>
          <t>20.6%</t>
        </is>
      </c>
      <c r="E32" s="6" t="inlineStr">
        <is>
          <t>19.6%</t>
        </is>
      </c>
      <c r="F32" s="6" t="inlineStr">
        <is>
          <t>17.2%</t>
        </is>
      </c>
      <c r="G32" s="6" t="inlineStr">
        <is>
          <t>17.1%</t>
        </is>
      </c>
      <c r="H32" s="6" t="inlineStr">
        <is>
          <t>19.3%</t>
        </is>
      </c>
      <c r="I32" s="6" t="inlineStr">
        <is>
          <t>18.9%</t>
        </is>
      </c>
      <c r="J32" s="6" t="inlineStr">
        <is>
          <t>15.8%</t>
        </is>
      </c>
      <c r="K32" s="6" t="inlineStr">
        <is>
          <t>11.90%</t>
        </is>
      </c>
      <c r="L32" s="6" t="inlineStr">
        <is>
          <t>9.15%</t>
        </is>
      </c>
      <c r="M32" s="6" t="inlineStr">
        <is>
          <t>10.37%</t>
        </is>
      </c>
      <c r="N32" s="6" t="inlineStr">
        <is>
          <t>10.22%</t>
        </is>
      </c>
      <c r="O32" s="6" t="n"/>
      <c r="P32" s="6" t="n"/>
      <c r="Q32" s="6" t="n"/>
      <c r="R32" s="6" t="n"/>
      <c r="S32" s="6" t="n"/>
    </row>
    <row r="33">
      <c r="A33" s="6" t="inlineStr">
        <is>
          <t>Tier 1 Ratio</t>
        </is>
      </c>
      <c r="B33" s="6" t="inlineStr">
        <is>
          <t>20.5%</t>
        </is>
      </c>
      <c r="C33" s="6" t="inlineStr">
        <is>
          <t>26.7%</t>
        </is>
      </c>
      <c r="D33" s="6" t="inlineStr">
        <is>
          <t>27.0%</t>
        </is>
      </c>
      <c r="E33" s="6" t="inlineStr">
        <is>
          <t>25.8%</t>
        </is>
      </c>
      <c r="F33" s="6" t="inlineStr">
        <is>
          <t>22.8%</t>
        </is>
      </c>
      <c r="G33" s="6" t="inlineStr">
        <is>
          <t>22.9%</t>
        </is>
      </c>
      <c r="H33" s="6" t="inlineStr">
        <is>
          <t>25.3%</t>
        </is>
      </c>
      <c r="I33" s="6" t="inlineStr">
        <is>
          <t>24.5%</t>
        </is>
      </c>
      <c r="J33" s="6" t="inlineStr">
        <is>
          <t>20.7%</t>
        </is>
      </c>
      <c r="K33" s="6" t="inlineStr">
        <is>
          <t>16.3%</t>
        </is>
      </c>
      <c r="L33" s="6" t="inlineStr">
        <is>
          <t>10.67%</t>
        </is>
      </c>
      <c r="M33" s="6" t="inlineStr">
        <is>
          <t>10.37%</t>
        </is>
      </c>
      <c r="N33" s="6" t="inlineStr">
        <is>
          <t>10.22%</t>
        </is>
      </c>
      <c r="O33" s="6" t="n"/>
      <c r="P33" s="6" t="n"/>
      <c r="Q33" s="6" t="n"/>
      <c r="R33" s="6" t="n"/>
      <c r="S33" s="6" t="n"/>
    </row>
    <row r="34">
      <c r="A34" s="6" t="inlineStr">
        <is>
          <t>Total Capital Ratio</t>
        </is>
      </c>
      <c r="B34" s="6" t="inlineStr">
        <is>
          <t>23.6%</t>
        </is>
      </c>
      <c r="C34" s="6" t="inlineStr">
        <is>
          <t>31.0%</t>
        </is>
      </c>
      <c r="D34" s="6" t="inlineStr">
        <is>
          <t>31.8%</t>
        </is>
      </c>
      <c r="E34" s="6" t="inlineStr">
        <is>
          <t>31.0%</t>
        </is>
      </c>
      <c r="F34" s="6" t="inlineStr">
        <is>
          <t>26.7%</t>
        </is>
      </c>
      <c r="G34" s="6" t="inlineStr">
        <is>
          <t>26.3%</t>
        </is>
      </c>
      <c r="H34" s="6" t="inlineStr">
        <is>
          <t>29.9%</t>
        </is>
      </c>
      <c r="I34" s="6" t="inlineStr">
        <is>
          <t>29.6%</t>
        </is>
      </c>
      <c r="J34" s="6" t="inlineStr">
        <is>
          <t>26.2%</t>
        </is>
      </c>
      <c r="K34" s="6" t="inlineStr">
        <is>
          <t>21.7%</t>
        </is>
      </c>
      <c r="L34" s="6" t="inlineStr">
        <is>
          <t>14.99%</t>
        </is>
      </c>
      <c r="M34" s="6" t="inlineStr">
        <is>
          <t>15.58%</t>
        </is>
      </c>
      <c r="N34" s="6" t="inlineStr">
        <is>
          <t>15.27%</t>
        </is>
      </c>
      <c r="O34" s="6" t="n"/>
      <c r="P34" s="6" t="n"/>
      <c r="Q34" s="6" t="n"/>
      <c r="R34" s="6" t="n"/>
      <c r="S34" s="6" t="n"/>
    </row>
    <row r="35">
      <c r="A35" s="6" t="inlineStr">
        <is>
          <t>Leverage Ratio</t>
        </is>
      </c>
      <c r="B35" s="6" t="inlineStr">
        <is>
          <t>13.6%</t>
        </is>
      </c>
      <c r="C35" s="6" t="inlineStr">
        <is>
          <t>16.7%</t>
        </is>
      </c>
      <c r="D35" s="6" t="inlineStr">
        <is>
          <t>19.1%</t>
        </is>
      </c>
      <c r="E35" s="6" t="inlineStr">
        <is>
          <t>19.9%</t>
        </is>
      </c>
      <c r="F35" s="6" t="inlineStr">
        <is>
          <t>19.3%</t>
        </is>
      </c>
      <c r="G35" s="6" t="inlineStr">
        <is>
          <t>17.3%</t>
        </is>
      </c>
      <c r="H35" s="6" t="inlineStr">
        <is>
          <t>20.4%</t>
        </is>
      </c>
      <c r="I35" s="6" t="inlineStr">
        <is>
          <t>15.1%</t>
        </is>
      </c>
      <c r="J35" s="6" t="inlineStr">
        <is>
          <t>12.94%</t>
        </is>
      </c>
      <c r="K35" s="6" t="inlineStr">
        <is>
          <t>9.7%</t>
        </is>
      </c>
      <c r="L35" s="6" t="inlineStr">
        <is>
          <t>8.93%</t>
        </is>
      </c>
      <c r="M35" s="6" t="inlineStr">
        <is>
          <t>8.78%</t>
        </is>
      </c>
      <c r="N35" s="6" t="inlineStr">
        <is>
          <t>7.83%</t>
        </is>
      </c>
      <c r="O35" s="6" t="n"/>
      <c r="P35" s="6" t="n"/>
      <c r="Q35" s="6" t="n"/>
      <c r="R35" s="6" t="n"/>
      <c r="S35" s="6" t="n"/>
    </row>
    <row r="36">
      <c r="A36" s="6" t="inlineStr">
        <is>
          <t>LCR</t>
        </is>
      </c>
      <c r="B36" s="6" t="inlineStr">
        <is>
          <t>350%</t>
        </is>
      </c>
      <c r="C36" s="6" t="inlineStr">
        <is>
          <t>201%</t>
        </is>
      </c>
      <c r="D36" s="6" t="inlineStr">
        <is>
          <t>647%</t>
        </is>
      </c>
      <c r="E36" s="6" t="inlineStr">
        <is>
          <t>384%</t>
        </is>
      </c>
      <c r="F36" s="6" t="inlineStr">
        <is>
          <t>405%</t>
        </is>
      </c>
      <c r="G36" s="6" t="inlineStr">
        <is>
          <t>748%</t>
        </is>
      </c>
      <c r="H36" s="6" t="inlineStr">
        <is>
          <t>403%</t>
        </is>
      </c>
      <c r="I36" s="6" t="inlineStr">
        <is>
          <t>524%</t>
        </is>
      </c>
      <c r="J36" s="6" t="inlineStr">
        <is>
          <t>1027%</t>
        </is>
      </c>
      <c r="K36" s="6" t="inlineStr">
        <is>
          <t>1040%</t>
        </is>
      </c>
      <c r="L36" s="6" t="inlineStr">
        <is>
          <t>167.00%</t>
        </is>
      </c>
      <c r="M36" s="6" t="n"/>
      <c r="N36" s="6" t="n"/>
      <c r="O36" s="6" t="n"/>
      <c r="P36" s="6" t="n"/>
      <c r="Q36" s="6" t="n"/>
      <c r="R36" s="6" t="n"/>
      <c r="S36" s="6" t="n"/>
    </row>
    <row r="37">
      <c r="A37" s="6" t="inlineStr">
        <is>
          <t>NSFR</t>
        </is>
      </c>
      <c r="B37" s="6" t="inlineStr">
        <is>
          <t>118%</t>
        </is>
      </c>
      <c r="C37" s="6" t="inlineStr">
        <is>
          <t>121%</t>
        </is>
      </c>
      <c r="D37" s="6" t="inlineStr">
        <is>
          <t>130%</t>
        </is>
      </c>
      <c r="E37" s="6" t="inlineStr">
        <is>
          <t>135%</t>
        </is>
      </c>
      <c r="F37" s="6" t="inlineStr">
        <is>
          <t>128%</t>
        </is>
      </c>
      <c r="G37" s="6" t="inlineStr">
        <is>
          <t>146%</t>
        </is>
      </c>
      <c r="H37" s="6" t="inlineStr">
        <is>
          <t>126%</t>
        </is>
      </c>
      <c r="I37" s="6" t="inlineStr">
        <is>
          <t>139%</t>
        </is>
      </c>
      <c r="J37" s="6" t="inlineStr">
        <is>
          <t>171%</t>
        </is>
      </c>
      <c r="K37" s="6" t="inlineStr">
        <is>
          <t>180%</t>
        </is>
      </c>
      <c r="L37" s="6" t="inlineStr">
        <is>
          <t>119%</t>
        </is>
      </c>
      <c r="M37" s="6" t="inlineStr">
        <is>
          <t>131%</t>
        </is>
      </c>
      <c r="N37" s="6" t="inlineStr">
        <is>
          <t>110%</t>
        </is>
      </c>
      <c r="O37" s="6" t="n"/>
      <c r="P37" s="6" t="n"/>
      <c r="Q37" s="6" t="n"/>
      <c r="R37" s="6" t="n"/>
      <c r="S37" s="6" t="n"/>
    </row>
    <row r="39" ht="45" customHeight="1">
      <c r="A39" s="7" t="inlineStr">
        <is>
          <t>Note: Figures are duplicated from the detail sheets for at-a-glance trend viewing. See each sheet's source citation. Dollar amounts are converted to GBP; ratios remain as reported.</t>
        </is>
      </c>
    </row>
  </sheetData>
  <mergeCells count="1">
    <mergeCell ref="A39:S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Balance Sheet</t>
        </is>
      </c>
    </row>
    <row r="2">
      <c r="A2" s="2" t="inlineStr">
        <is>
          <t>Entity-level Statement of Financial Position, £'000 converted from the Bank's native US$'000 presentation. Blank cells indicate a line not disclosed/not applicable that year.</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with banks</t>
        </is>
      </c>
      <c r="B5" s="6" t="n">
        <v>106098</v>
      </c>
      <c r="C5" s="6" t="n">
        <v>90436.10000000001</v>
      </c>
      <c r="D5" s="6" t="n">
        <v>106105.1</v>
      </c>
      <c r="E5" s="6" t="n">
        <v>117131.2</v>
      </c>
      <c r="F5" s="6" t="n">
        <v>113811</v>
      </c>
      <c r="G5" s="6" t="n">
        <v>160423.3</v>
      </c>
      <c r="H5" s="6" t="n">
        <v>106530.7</v>
      </c>
      <c r="I5" s="6" t="n">
        <v>120762.1</v>
      </c>
      <c r="J5" s="6" t="n">
        <v>93613.60000000001</v>
      </c>
      <c r="K5" s="6" t="n">
        <v>391788.6</v>
      </c>
      <c r="L5" s="6" t="n">
        <v>167064.3</v>
      </c>
      <c r="M5" s="6" t="n">
        <v>101058.8</v>
      </c>
      <c r="N5" s="6" t="n">
        <v>116688.7</v>
      </c>
      <c r="O5" s="6" t="n">
        <v>87827.5</v>
      </c>
      <c r="P5" s="6" t="n">
        <v>39990</v>
      </c>
      <c r="Q5" s="6" t="n">
        <v>64839.1</v>
      </c>
      <c r="R5" s="6" t="n">
        <v>124111.6</v>
      </c>
      <c r="S5" s="6" t="n">
        <v>154806.4</v>
      </c>
    </row>
    <row r="6">
      <c r="A6" s="6" t="inlineStr">
        <is>
          <t>Financial assets at fair value through profit or loss</t>
        </is>
      </c>
      <c r="B6" s="6" t="n">
        <v>768.9</v>
      </c>
      <c r="C6" s="6" t="n">
        <v>746.7</v>
      </c>
      <c r="D6" s="6" t="n">
        <v>2397.9</v>
      </c>
      <c r="E6" s="6" t="n">
        <v>0</v>
      </c>
      <c r="F6" s="6" t="n">
        <v>7598.4</v>
      </c>
      <c r="G6" s="6" t="n">
        <v>7299.9</v>
      </c>
      <c r="H6" s="6" t="n">
        <v>27078.1</v>
      </c>
      <c r="I6" s="6" t="n">
        <v>18597.1</v>
      </c>
      <c r="J6" s="6" t="n">
        <v>23222.4</v>
      </c>
      <c r="K6" s="6" t="n">
        <v>47947.5</v>
      </c>
      <c r="L6" s="6" t="n">
        <v>34585.5</v>
      </c>
      <c r="M6" s="6" t="n">
        <v>55005.7</v>
      </c>
      <c r="N6" s="6" t="n">
        <v>37253.6</v>
      </c>
      <c r="O6" s="6" t="n">
        <v>78952</v>
      </c>
      <c r="P6" s="6" t="n"/>
      <c r="Q6" s="6" t="n"/>
      <c r="R6" s="6" t="n"/>
      <c r="S6" s="6" t="n"/>
    </row>
    <row r="7">
      <c r="A7" s="6" t="inlineStr">
        <is>
          <t>Derivative financial instruments (asset)</t>
        </is>
      </c>
      <c r="B7" s="6" t="n">
        <v>2217.9</v>
      </c>
      <c r="C7" s="6" t="n">
        <v>120.8</v>
      </c>
      <c r="D7" s="6" t="n">
        <v>11.1</v>
      </c>
      <c r="E7" s="6" t="n">
        <v>5.7</v>
      </c>
      <c r="F7" s="6" t="n">
        <v>808.4</v>
      </c>
      <c r="G7" s="6" t="n">
        <v>1356.2</v>
      </c>
      <c r="H7" s="6" t="n">
        <v>2430.1</v>
      </c>
      <c r="I7" s="6" t="n">
        <v>1943.2</v>
      </c>
      <c r="J7" s="6" t="n">
        <v>8502.799999999999</v>
      </c>
      <c r="K7" s="6" t="n">
        <v>3453.3</v>
      </c>
      <c r="L7" s="6" t="n">
        <v>4168.9</v>
      </c>
      <c r="M7" s="6" t="n">
        <v>2442.2</v>
      </c>
      <c r="N7" s="6" t="n">
        <v>1183.4</v>
      </c>
      <c r="O7" s="6" t="n">
        <v>770</v>
      </c>
      <c r="P7" s="6" t="n">
        <v>1886</v>
      </c>
      <c r="Q7" s="6" t="n"/>
      <c r="R7" s="6" t="n"/>
      <c r="S7" s="6" t="n"/>
    </row>
    <row r="8">
      <c r="A8" s="6" t="inlineStr">
        <is>
          <t>Loans and advances to banks</t>
        </is>
      </c>
      <c r="B8" s="6" t="n">
        <v>1101.8</v>
      </c>
      <c r="C8" s="6" t="n">
        <v>1047.3</v>
      </c>
      <c r="D8" s="6" t="n">
        <v>8309.1</v>
      </c>
      <c r="E8" s="6" t="n">
        <v>676.2</v>
      </c>
      <c r="F8" s="6" t="n">
        <v>531.8</v>
      </c>
      <c r="G8" s="6" t="n">
        <v>22091.9</v>
      </c>
      <c r="H8" s="6" t="n">
        <v>100817.5</v>
      </c>
      <c r="I8" s="6" t="n">
        <v>119471.2</v>
      </c>
      <c r="J8" s="6" t="n">
        <v>239085.7</v>
      </c>
      <c r="K8" s="6" t="n">
        <v>164031.3</v>
      </c>
      <c r="L8" s="6" t="n">
        <v>215922.2</v>
      </c>
      <c r="M8" s="6" t="n">
        <v>228249.5</v>
      </c>
      <c r="N8" s="6" t="n">
        <v>179763.7</v>
      </c>
      <c r="O8" s="6" t="n">
        <v>180631.1</v>
      </c>
      <c r="P8" s="6" t="n">
        <v>217069.6</v>
      </c>
      <c r="Q8" s="6" t="n"/>
      <c r="R8" s="6" t="n"/>
      <c r="S8" s="6" t="n"/>
    </row>
    <row r="9">
      <c r="A9" s="6" t="inlineStr">
        <is>
          <t>Loans and advances to customers</t>
        </is>
      </c>
      <c r="B9" s="6" t="n">
        <v>857718.4</v>
      </c>
      <c r="C9" s="6" t="n">
        <v>700217.7</v>
      </c>
      <c r="D9" s="6" t="n">
        <v>611240.5</v>
      </c>
      <c r="E9" s="6" t="n">
        <v>605546.7</v>
      </c>
      <c r="F9" s="6" t="n">
        <v>601152.6</v>
      </c>
      <c r="G9" s="6" t="n">
        <v>500579.2</v>
      </c>
      <c r="H9" s="6" t="n">
        <v>456636.3</v>
      </c>
      <c r="I9" s="6" t="n">
        <v>462573.3</v>
      </c>
      <c r="J9" s="6" t="n">
        <v>404986.1</v>
      </c>
      <c r="K9" s="6" t="n">
        <v>483890.6</v>
      </c>
      <c r="L9" s="6" t="n">
        <v>745576.6</v>
      </c>
      <c r="M9" s="6" t="n">
        <v>805555.3</v>
      </c>
      <c r="N9" s="6" t="n">
        <v>702060.2</v>
      </c>
      <c r="O9" s="6" t="n">
        <v>589690.4</v>
      </c>
      <c r="P9" s="6" t="n">
        <v>414337</v>
      </c>
      <c r="Q9" s="6" t="n">
        <v>432560.8</v>
      </c>
      <c r="R9" s="6" t="n">
        <v>371447.9</v>
      </c>
      <c r="S9" s="6" t="n">
        <v>237687.5</v>
      </c>
    </row>
    <row r="10">
      <c r="A10" s="6" t="inlineStr">
        <is>
          <t>Investment securities at amortised cost</t>
        </is>
      </c>
      <c r="B10" s="6" t="n">
        <v>47921.6</v>
      </c>
      <c r="C10" s="6" t="n">
        <v>58828</v>
      </c>
      <c r="D10" s="6" t="n">
        <v>51549.2</v>
      </c>
      <c r="E10" s="6" t="n">
        <v>87428</v>
      </c>
      <c r="F10" s="6" t="n">
        <v>67705.5</v>
      </c>
      <c r="G10" s="6" t="n">
        <v>42281.8</v>
      </c>
      <c r="H10" s="6" t="n">
        <v>39883.1</v>
      </c>
      <c r="I10" s="6" t="n">
        <v>38870.3</v>
      </c>
      <c r="J10" s="6" t="n">
        <v>34649.8</v>
      </c>
      <c r="K10" s="6" t="n">
        <v>7144.8</v>
      </c>
      <c r="L10" s="6" t="n">
        <v>814.4</v>
      </c>
      <c r="M10" s="6" t="n">
        <v>1056.1</v>
      </c>
      <c r="N10" s="6" t="n">
        <v>2902.3</v>
      </c>
      <c r="O10" s="6" t="n">
        <v>4090.6</v>
      </c>
      <c r="P10" s="6" t="n">
        <v>12680.1</v>
      </c>
      <c r="Q10" s="6" t="n">
        <v>27966.3</v>
      </c>
      <c r="R10" s="6" t="n">
        <v>21107</v>
      </c>
      <c r="S10" s="6" t="n">
        <v>17844.5</v>
      </c>
    </row>
    <row r="11">
      <c r="A11" s="6" t="inlineStr">
        <is>
          <t>Financial assets at amortised cost (subtotal, as disclosed FY2024-FY2026)</t>
        </is>
      </c>
      <c r="B11" s="6" t="n">
        <v>906741.7</v>
      </c>
      <c r="C11" s="6" t="n">
        <v>760093</v>
      </c>
      <c r="D11" s="6" t="n">
        <v>671098.8</v>
      </c>
      <c r="E11" s="6" t="n"/>
      <c r="F11" s="6" t="n"/>
      <c r="G11" s="6" t="n"/>
      <c r="H11" s="6" t="n"/>
      <c r="I11" s="6" t="n"/>
      <c r="J11" s="6" t="n"/>
      <c r="K11" s="6" t="n"/>
      <c r="L11" s="6" t="n"/>
      <c r="M11" s="6" t="n"/>
      <c r="N11" s="6" t="n"/>
      <c r="O11" s="6" t="n"/>
      <c r="P11" s="6" t="n"/>
      <c r="Q11" s="6" t="n"/>
      <c r="R11" s="6" t="n"/>
      <c r="S11" s="6" t="n"/>
    </row>
    <row r="12">
      <c r="A12" s="6" t="inlineStr">
        <is>
          <t>Financial assets at fair value through other comprehensive income</t>
        </is>
      </c>
      <c r="B12" s="6" t="n">
        <v>84038.5</v>
      </c>
      <c r="C12" s="6" t="n">
        <v>55465.5</v>
      </c>
      <c r="D12" s="6" t="n">
        <v>57683.7</v>
      </c>
      <c r="E12" s="6" t="n">
        <v>44696.7</v>
      </c>
      <c r="F12" s="6" t="n">
        <v>41599.3</v>
      </c>
      <c r="G12" s="6" t="n">
        <v>28494.5</v>
      </c>
      <c r="H12" s="6" t="n">
        <v>28743.9</v>
      </c>
      <c r="I12" s="6" t="n">
        <v>32684.6</v>
      </c>
      <c r="J12" s="6" t="n">
        <v>33169.7</v>
      </c>
      <c r="K12" s="6" t="n">
        <v>43124.7</v>
      </c>
      <c r="L12" s="6" t="n">
        <v>84907.5</v>
      </c>
      <c r="M12" s="6" t="n">
        <v>81336.3</v>
      </c>
      <c r="N12" s="6" t="n">
        <v>99758.89999999999</v>
      </c>
      <c r="O12" s="6" t="n">
        <v>56103.7</v>
      </c>
      <c r="P12" s="6" t="n">
        <v>62059.3</v>
      </c>
      <c r="Q12" s="6" t="n">
        <v>29640.7</v>
      </c>
      <c r="R12" s="6" t="n">
        <v>6843.1</v>
      </c>
      <c r="S12" s="6" t="n"/>
    </row>
    <row r="13">
      <c r="A13" s="6" t="inlineStr">
        <is>
          <t>Right of use lease assets</t>
        </is>
      </c>
      <c r="B13" s="6" t="n">
        <v>3331.8</v>
      </c>
      <c r="C13" s="6" t="n">
        <v>2282</v>
      </c>
      <c r="D13" s="6" t="n">
        <v>2917.2</v>
      </c>
      <c r="E13" s="6" t="n">
        <v>3554.7</v>
      </c>
      <c r="F13" s="6" t="n">
        <v>2334.8</v>
      </c>
      <c r="G13" s="6" t="n">
        <v>2947.2</v>
      </c>
      <c r="H13" s="6" t="n">
        <v>3533.8</v>
      </c>
      <c r="I13" s="6" t="n"/>
      <c r="J13" s="6" t="n"/>
      <c r="K13" s="6" t="n"/>
      <c r="L13" s="6" t="n"/>
      <c r="M13" s="6" t="n"/>
      <c r="N13" s="6" t="n"/>
      <c r="O13" s="6" t="n"/>
      <c r="P13" s="6" t="n"/>
      <c r="Q13" s="6" t="n"/>
      <c r="R13" s="6" t="n"/>
      <c r="S13" s="6" t="n"/>
    </row>
    <row r="14">
      <c r="A14" s="6" t="inlineStr">
        <is>
          <t>Property, plant and equipment</t>
        </is>
      </c>
      <c r="B14" s="6" t="n">
        <v>784</v>
      </c>
      <c r="C14" s="6" t="n">
        <v>183.6</v>
      </c>
      <c r="D14" s="6" t="n">
        <v>227.2</v>
      </c>
      <c r="E14" s="6" t="n">
        <v>251.5</v>
      </c>
      <c r="F14" s="6" t="n">
        <v>297.1</v>
      </c>
      <c r="G14" s="6" t="n">
        <v>357.3</v>
      </c>
      <c r="H14" s="6" t="n">
        <v>370.9</v>
      </c>
      <c r="I14" s="6" t="n">
        <v>409.8</v>
      </c>
      <c r="J14" s="6" t="n">
        <v>494.5</v>
      </c>
      <c r="K14" s="6" t="n">
        <v>769.2</v>
      </c>
      <c r="L14" s="6" t="n">
        <v>1061.3</v>
      </c>
      <c r="M14" s="6" t="n">
        <v>1394.9</v>
      </c>
      <c r="N14" s="6" t="n">
        <v>882.9</v>
      </c>
      <c r="O14" s="6" t="n">
        <v>1137.6</v>
      </c>
      <c r="P14" s="6" t="n">
        <v>634.5</v>
      </c>
      <c r="Q14" s="6" t="n">
        <v>823.5</v>
      </c>
      <c r="R14" s="6" t="n">
        <v>753</v>
      </c>
      <c r="S14" s="6" t="n">
        <v>664.3</v>
      </c>
    </row>
    <row r="15">
      <c r="A15" s="6" t="inlineStr">
        <is>
          <t>Intangible assets</t>
        </is>
      </c>
      <c r="B15" s="6" t="n">
        <v>367.8</v>
      </c>
      <c r="C15" s="6" t="n">
        <v>97.59999999999999</v>
      </c>
      <c r="D15" s="6" t="n">
        <v>142.5</v>
      </c>
      <c r="E15" s="6" t="n">
        <v>186</v>
      </c>
      <c r="F15" s="6" t="n">
        <v>447.5</v>
      </c>
      <c r="G15" s="6" t="n">
        <v>697.3</v>
      </c>
      <c r="H15" s="6" t="n">
        <v>434.6</v>
      </c>
      <c r="I15" s="6" t="n">
        <v>277.8</v>
      </c>
      <c r="J15" s="6" t="n">
        <v>359.2</v>
      </c>
      <c r="K15" s="6" t="n">
        <v>444.6</v>
      </c>
      <c r="L15" s="6" t="n">
        <v>118.2</v>
      </c>
      <c r="M15" s="6" t="n">
        <v>91.59999999999999</v>
      </c>
      <c r="N15" s="6" t="n">
        <v>100.8</v>
      </c>
      <c r="O15" s="6" t="n">
        <v>126.5</v>
      </c>
      <c r="P15" s="6" t="n">
        <v>169</v>
      </c>
      <c r="Q15" s="6" t="n">
        <v>108.5</v>
      </c>
      <c r="R15" s="6" t="n">
        <v>153</v>
      </c>
      <c r="S15" s="6" t="n">
        <v>318.2</v>
      </c>
    </row>
    <row r="16">
      <c r="A16" s="6" t="inlineStr">
        <is>
          <t>Deferred tax assets</t>
        </is>
      </c>
      <c r="B16" s="6" t="n">
        <v>18549.4</v>
      </c>
      <c r="C16" s="6" t="n">
        <v>18931.8</v>
      </c>
      <c r="D16" s="6" t="n">
        <v>19681.8</v>
      </c>
      <c r="E16" s="6" t="n">
        <v>20211.9</v>
      </c>
      <c r="F16" s="6" t="n">
        <v>19111.8</v>
      </c>
      <c r="G16" s="6" t="n">
        <v>17872.6</v>
      </c>
      <c r="H16" s="6" t="n">
        <v>20175</v>
      </c>
      <c r="I16" s="6" t="n">
        <v>18650</v>
      </c>
      <c r="J16" s="6" t="n">
        <v>18036.1</v>
      </c>
      <c r="K16" s="6" t="n">
        <v>20630</v>
      </c>
      <c r="L16" s="6" t="n">
        <v>2668</v>
      </c>
      <c r="M16" s="6" t="n"/>
      <c r="N16" s="6" t="n">
        <v>12</v>
      </c>
      <c r="O16" s="6" t="n">
        <v>32.3</v>
      </c>
      <c r="P16" s="6" t="n">
        <v>20.6</v>
      </c>
      <c r="Q16" s="6" t="n"/>
      <c r="R16" s="6" t="n"/>
      <c r="S16" s="6" t="n">
        <v>3.5</v>
      </c>
    </row>
    <row r="17">
      <c r="A17" s="6" t="inlineStr">
        <is>
          <t>Current tax assets</t>
        </is>
      </c>
      <c r="B17" s="6" t="n"/>
      <c r="C17" s="6" t="n"/>
      <c r="D17" s="6" t="n"/>
      <c r="E17" s="6" t="n"/>
      <c r="F17" s="6" t="n"/>
      <c r="G17" s="6" t="n"/>
      <c r="H17" s="6" t="n"/>
      <c r="I17" s="6" t="n"/>
      <c r="J17" s="6" t="n"/>
      <c r="K17" s="6" t="n"/>
      <c r="L17" s="6" t="n">
        <v>2706.2</v>
      </c>
      <c r="M17" s="6" t="n"/>
      <c r="N17" s="6" t="n"/>
      <c r="O17" s="6" t="n"/>
      <c r="P17" s="6" t="n"/>
      <c r="Q17" s="6" t="n"/>
      <c r="R17" s="6" t="n"/>
      <c r="S17" s="6" t="n"/>
    </row>
    <row r="18">
      <c r="A18" s="6" t="inlineStr">
        <is>
          <t>Prepayments and other receivables</t>
        </is>
      </c>
      <c r="B18" s="6" t="n">
        <v>1194.3</v>
      </c>
      <c r="C18" s="6" t="n">
        <v>865.2</v>
      </c>
      <c r="D18" s="6" t="n">
        <v>467.9</v>
      </c>
      <c r="E18" s="6" t="n">
        <v>431.1</v>
      </c>
      <c r="F18" s="6" t="n">
        <v>291.7</v>
      </c>
      <c r="G18" s="6" t="n">
        <v>425.5</v>
      </c>
      <c r="H18" s="6" t="n">
        <v>378.1</v>
      </c>
      <c r="I18" s="6" t="n">
        <v>488.1</v>
      </c>
      <c r="J18" s="6" t="n">
        <v>446.8</v>
      </c>
      <c r="K18" s="6" t="n">
        <v>419</v>
      </c>
      <c r="L18" s="6" t="n">
        <v>484.1</v>
      </c>
      <c r="M18" s="6" t="n">
        <v>2678.7</v>
      </c>
      <c r="N18" s="6" t="n">
        <v>554.8</v>
      </c>
      <c r="O18" s="6" t="n">
        <v>196.3</v>
      </c>
      <c r="P18" s="6" t="n">
        <v>326</v>
      </c>
      <c r="Q18" s="6" t="n">
        <v>3844.7</v>
      </c>
      <c r="R18" s="6" t="n">
        <v>2751.4</v>
      </c>
      <c r="S18" s="6" t="n">
        <v>2533</v>
      </c>
    </row>
    <row r="19">
      <c r="A19" s="5" t="inlineStr">
        <is>
          <t>Total assets</t>
        </is>
      </c>
      <c r="B19" s="5" t="n">
        <v>1124092.4</v>
      </c>
      <c r="C19" s="5" t="n">
        <v>929222.3</v>
      </c>
      <c r="D19" s="5" t="n">
        <v>860733.1</v>
      </c>
      <c r="E19" s="5" t="n">
        <v>880119.7</v>
      </c>
      <c r="F19" s="5" t="n">
        <v>855689.9</v>
      </c>
      <c r="G19" s="5" t="n">
        <v>784826.8</v>
      </c>
      <c r="H19" s="5" t="n">
        <v>787012</v>
      </c>
      <c r="I19" s="5" t="n">
        <v>814727.6</v>
      </c>
      <c r="J19" s="5" t="n">
        <v>856566.7</v>
      </c>
      <c r="K19" s="5" t="n">
        <v>1163643.6</v>
      </c>
      <c r="L19" s="5" t="n">
        <v>1260077.2</v>
      </c>
      <c r="M19" s="5" t="n">
        <v>1278869.1</v>
      </c>
      <c r="N19" s="5" t="n">
        <v>1141161.2</v>
      </c>
      <c r="O19" s="5" t="n">
        <v>999558</v>
      </c>
      <c r="P19" s="5" t="n">
        <v>749172.1</v>
      </c>
      <c r="Q19" s="5" t="n">
        <v>559782.9</v>
      </c>
      <c r="R19" s="5" t="n">
        <v>527166.9</v>
      </c>
      <c r="S19" s="5" t="n">
        <v>413857.4</v>
      </c>
    </row>
    <row r="20">
      <c r="A20" s="5" t="inlineStr">
        <is>
          <t>Liabilities</t>
        </is>
      </c>
      <c r="B20" s="6" t="n"/>
      <c r="C20" s="6" t="n"/>
      <c r="D20" s="6" t="n"/>
      <c r="E20" s="6" t="n"/>
      <c r="F20" s="6" t="n"/>
      <c r="G20" s="6" t="n"/>
      <c r="H20" s="6" t="n"/>
      <c r="I20" s="6" t="n"/>
      <c r="J20" s="6" t="n"/>
      <c r="K20" s="6" t="n"/>
      <c r="L20" s="6" t="n"/>
      <c r="M20" s="6" t="n"/>
      <c r="N20" s="6" t="n"/>
      <c r="O20" s="6" t="n"/>
      <c r="P20" s="6" t="n"/>
      <c r="Q20" s="6" t="n"/>
      <c r="R20" s="6" t="n"/>
      <c r="S20" s="6" t="n"/>
    </row>
    <row r="21">
      <c r="A21" s="6" t="inlineStr">
        <is>
          <t>Deposits from banks</t>
        </is>
      </c>
      <c r="B21" s="6" t="n">
        <v>38182.4</v>
      </c>
      <c r="C21" s="6" t="n">
        <v>1790.1</v>
      </c>
      <c r="D21" s="6" t="n">
        <v>2606.1</v>
      </c>
      <c r="E21" s="6" t="n">
        <v>1590.9</v>
      </c>
      <c r="F21" s="6" t="n">
        <v>840.3</v>
      </c>
      <c r="G21" s="6" t="n">
        <v>627</v>
      </c>
      <c r="H21" s="6" t="n">
        <v>13001.7</v>
      </c>
      <c r="I21" s="6" t="n">
        <v>43333.8</v>
      </c>
      <c r="J21" s="6" t="n">
        <v>38724.4</v>
      </c>
      <c r="K21" s="6" t="n">
        <v>58920.6</v>
      </c>
      <c r="L21" s="6" t="n">
        <v>123079.7</v>
      </c>
      <c r="M21" s="6" t="n">
        <v>91102.60000000001</v>
      </c>
      <c r="N21" s="6" t="n">
        <v>168394.4</v>
      </c>
      <c r="O21" s="6" t="n">
        <v>76284.8</v>
      </c>
      <c r="P21" s="6" t="n">
        <v>104897.1</v>
      </c>
      <c r="Q21" s="6" t="n"/>
      <c r="R21" s="6" t="n"/>
      <c r="S21" s="6" t="n"/>
    </row>
    <row r="22">
      <c r="A22" s="6" t="inlineStr">
        <is>
          <t>Deposits from customers</t>
        </is>
      </c>
      <c r="B22" s="6" t="n">
        <v>898487.3</v>
      </c>
      <c r="C22" s="6" t="n">
        <v>709869.9</v>
      </c>
      <c r="D22" s="6" t="n">
        <v>642164.3</v>
      </c>
      <c r="E22" s="6" t="n">
        <v>660495</v>
      </c>
      <c r="F22" s="6" t="n">
        <v>651932.1</v>
      </c>
      <c r="G22" s="6" t="n">
        <v>594007.7</v>
      </c>
      <c r="H22" s="6" t="n">
        <v>552382.5</v>
      </c>
      <c r="I22" s="6" t="n">
        <v>561758.3</v>
      </c>
      <c r="J22" s="6" t="n">
        <v>624391.1</v>
      </c>
      <c r="K22" s="6" t="n">
        <v>907373.5</v>
      </c>
      <c r="L22" s="6" t="n">
        <v>944574.3</v>
      </c>
      <c r="M22" s="6" t="n">
        <v>979957.6</v>
      </c>
      <c r="N22" s="6" t="n">
        <v>816382.8</v>
      </c>
      <c r="O22" s="6" t="n">
        <v>786915.9</v>
      </c>
      <c r="P22" s="6" t="n">
        <v>539040.7</v>
      </c>
      <c r="Q22" s="6" t="n">
        <v>486724.3</v>
      </c>
      <c r="R22" s="6" t="n">
        <v>469340</v>
      </c>
      <c r="S22" s="6" t="n">
        <v>373371</v>
      </c>
    </row>
    <row r="23">
      <c r="A23" s="6" t="inlineStr">
        <is>
          <t>Derivative financial instruments (liability)</t>
        </is>
      </c>
      <c r="B23" s="6" t="n">
        <v>12.1</v>
      </c>
      <c r="C23" s="6" t="n">
        <v>1139.4</v>
      </c>
      <c r="D23" s="6" t="n">
        <v>125.9</v>
      </c>
      <c r="E23" s="6" t="n">
        <v>125.4</v>
      </c>
      <c r="F23" s="6" t="n">
        <v>224.1</v>
      </c>
      <c r="G23" s="6" t="n">
        <v>18.1</v>
      </c>
      <c r="H23" s="6" t="n">
        <v>1175.5</v>
      </c>
      <c r="I23" s="6" t="n">
        <v>968.5</v>
      </c>
      <c r="J23" s="6" t="n">
        <v>922.8</v>
      </c>
      <c r="K23" s="6" t="n">
        <v>363.8</v>
      </c>
      <c r="L23" s="6" t="n">
        <v>10393.7</v>
      </c>
      <c r="M23" s="6" t="n">
        <v>14594.2</v>
      </c>
      <c r="N23" s="6" t="n">
        <v>121.2</v>
      </c>
      <c r="O23" s="6" t="n">
        <v>3844.3</v>
      </c>
      <c r="P23" s="6" t="n">
        <v>123.9</v>
      </c>
      <c r="Q23" s="6" t="n"/>
      <c r="R23" s="6" t="n"/>
      <c r="S23" s="6" t="n"/>
    </row>
    <row r="24">
      <c r="A24" s="6" t="inlineStr">
        <is>
          <t>Current tax liability</t>
        </is>
      </c>
      <c r="B24" s="6" t="n"/>
      <c r="C24" s="6" t="n"/>
      <c r="D24" s="6" t="n"/>
      <c r="E24" s="6" t="n">
        <v>0</v>
      </c>
      <c r="F24" s="6" t="n">
        <v>0</v>
      </c>
      <c r="G24" s="6" t="n"/>
      <c r="H24" s="6" t="n"/>
      <c r="I24" s="6" t="n">
        <v>242.5</v>
      </c>
      <c r="J24" s="6" t="n"/>
      <c r="K24" s="6" t="n"/>
      <c r="L24" s="6" t="n">
        <v>0</v>
      </c>
      <c r="M24" s="6" t="n">
        <v>1607.7</v>
      </c>
      <c r="N24" s="6" t="n">
        <v>-152.3</v>
      </c>
      <c r="O24" s="6" t="n">
        <v>714.7</v>
      </c>
      <c r="P24" s="6" t="n">
        <v>381.7</v>
      </c>
      <c r="Q24" s="6" t="n">
        <v>35.6</v>
      </c>
      <c r="R24" s="6" t="n">
        <v>567</v>
      </c>
      <c r="S24" s="6" t="n">
        <v>399.1</v>
      </c>
    </row>
    <row r="25">
      <c r="A25" s="6" t="inlineStr">
        <is>
          <t>Deferred tax liabilities</t>
        </is>
      </c>
      <c r="B25" s="6" t="n"/>
      <c r="C25" s="6" t="n"/>
      <c r="D25" s="6" t="n"/>
      <c r="E25" s="6" t="n"/>
      <c r="F25" s="6" t="n"/>
      <c r="G25" s="6" t="n"/>
      <c r="H25" s="6" t="n"/>
      <c r="I25" s="6" t="n"/>
      <c r="J25" s="6" t="n"/>
      <c r="K25" s="6" t="n"/>
      <c r="L25" s="6" t="n">
        <v>39.6</v>
      </c>
      <c r="M25" s="6" t="n">
        <v>60.6</v>
      </c>
      <c r="N25" s="6" t="n"/>
      <c r="O25" s="6" t="n"/>
      <c r="P25" s="6" t="n"/>
      <c r="Q25" s="6" t="n">
        <v>6.2</v>
      </c>
      <c r="R25" s="6" t="n">
        <v>3.3</v>
      </c>
      <c r="S25" s="6" t="n"/>
    </row>
    <row r="26">
      <c r="A26" s="6" t="inlineStr">
        <is>
          <t>Repurchase agreement - non trading</t>
        </is>
      </c>
      <c r="B26" s="6" t="n">
        <v>0</v>
      </c>
      <c r="C26" s="6" t="n">
        <v>16164.2</v>
      </c>
      <c r="D26" s="6" t="n"/>
      <c r="E26" s="6" t="n"/>
      <c r="F26" s="6" t="n"/>
      <c r="G26" s="6" t="n"/>
      <c r="H26" s="6" t="n"/>
      <c r="I26" s="6" t="n"/>
      <c r="J26" s="6" t="n"/>
      <c r="K26" s="6" t="n"/>
      <c r="L26" s="6" t="n"/>
      <c r="M26" s="6" t="n"/>
      <c r="N26" s="6" t="n"/>
      <c r="O26" s="6" t="n"/>
      <c r="P26" s="6" t="n"/>
      <c r="Q26" s="6" t="n"/>
      <c r="R26" s="6" t="n"/>
      <c r="S26" s="6" t="n"/>
    </row>
    <row r="27">
      <c r="A27" s="6" t="inlineStr">
        <is>
          <t>Lease liability</t>
        </is>
      </c>
      <c r="B27" s="6" t="n">
        <v>3490.3</v>
      </c>
      <c r="C27" s="6" t="n">
        <v>2457.8</v>
      </c>
      <c r="D27" s="6" t="n">
        <v>3063.6</v>
      </c>
      <c r="E27" s="6" t="n">
        <v>3657.4</v>
      </c>
      <c r="F27" s="6" t="n">
        <v>2435</v>
      </c>
      <c r="G27" s="6" t="n">
        <v>3030.6</v>
      </c>
      <c r="H27" s="6" t="n">
        <v>3582.2</v>
      </c>
      <c r="I27" s="6" t="n"/>
      <c r="J27" s="6" t="n"/>
      <c r="K27" s="6" t="n"/>
      <c r="L27" s="6" t="n"/>
      <c r="M27" s="6" t="n"/>
      <c r="N27" s="6" t="n"/>
      <c r="O27" s="6" t="n"/>
      <c r="P27" s="6" t="n"/>
      <c r="Q27" s="6" t="n"/>
      <c r="R27" s="6" t="n"/>
      <c r="S27" s="6" t="n"/>
    </row>
    <row r="28">
      <c r="A28" s="6" t="inlineStr">
        <is>
          <t>Other liabilities</t>
        </is>
      </c>
      <c r="B28" s="6" t="n">
        <v>1654.5</v>
      </c>
      <c r="C28" s="6" t="n">
        <v>2395</v>
      </c>
      <c r="D28" s="6" t="n">
        <v>2089.1</v>
      </c>
      <c r="E28" s="6" t="n">
        <v>1271.4</v>
      </c>
      <c r="F28" s="6" t="n">
        <v>4037.4</v>
      </c>
      <c r="G28" s="6" t="n">
        <v>2968.3</v>
      </c>
      <c r="H28" s="6" t="n">
        <v>2740.5</v>
      </c>
      <c r="I28" s="6" t="n">
        <v>3613.2</v>
      </c>
      <c r="J28" s="6" t="n">
        <v>4669.7</v>
      </c>
      <c r="K28" s="6" t="n">
        <v>3608.4</v>
      </c>
      <c r="L28" s="6" t="n">
        <v>5587.7</v>
      </c>
      <c r="M28" s="6" t="n">
        <v>7585.4</v>
      </c>
      <c r="N28" s="6" t="n">
        <v>6873.4</v>
      </c>
      <c r="O28" s="6" t="n">
        <v>4281.7</v>
      </c>
      <c r="P28" s="6" t="n">
        <v>4047.3</v>
      </c>
      <c r="Q28" s="6" t="n">
        <v>5861.5</v>
      </c>
      <c r="R28" s="6" t="n">
        <v>3429.2</v>
      </c>
      <c r="S28" s="6" t="n">
        <v>3364.7</v>
      </c>
    </row>
    <row r="29">
      <c r="A29" s="6" t="inlineStr">
        <is>
          <t>Subordinated bonds and other borrowed funds</t>
        </is>
      </c>
      <c r="B29" s="6" t="n">
        <v>23503.9</v>
      </c>
      <c r="C29" s="6" t="n">
        <v>31842</v>
      </c>
      <c r="D29" s="6" t="n">
        <v>40573.1</v>
      </c>
      <c r="E29" s="6" t="n">
        <v>40440</v>
      </c>
      <c r="F29" s="6" t="n">
        <v>37988.1</v>
      </c>
      <c r="G29" s="6" t="n"/>
      <c r="H29" s="6" t="n">
        <v>40312.8</v>
      </c>
      <c r="I29" s="6" t="n">
        <v>38373</v>
      </c>
      <c r="J29" s="6" t="n">
        <v>35630.3</v>
      </c>
      <c r="K29" s="6" t="n">
        <v>39977.6</v>
      </c>
      <c r="L29" s="6" t="n">
        <v>52163</v>
      </c>
      <c r="M29" s="6" t="n">
        <v>43779.9</v>
      </c>
      <c r="N29" s="6" t="n">
        <v>32987.5</v>
      </c>
      <c r="O29" s="6" t="n">
        <v>32935.9</v>
      </c>
      <c r="P29" s="6" t="n">
        <v>23465.4</v>
      </c>
      <c r="Q29" s="6" t="n"/>
      <c r="R29" s="6" t="n"/>
      <c r="S29" s="6" t="n"/>
    </row>
    <row r="30">
      <c r="A30" s="5" t="inlineStr">
        <is>
          <t>Total liabilities</t>
        </is>
      </c>
      <c r="B30" s="5" t="n">
        <v>965330.6</v>
      </c>
      <c r="C30" s="5" t="n">
        <v>765658.4</v>
      </c>
      <c r="D30" s="5" t="n">
        <v>690622.2</v>
      </c>
      <c r="E30" s="5" t="n">
        <v>707580.1</v>
      </c>
      <c r="F30" s="5" t="n">
        <v>697457.1</v>
      </c>
      <c r="G30" s="5" t="n">
        <v>636894</v>
      </c>
      <c r="H30" s="5" t="n">
        <v>613195.2</v>
      </c>
      <c r="I30" s="5" t="n">
        <v>648289.3</v>
      </c>
      <c r="J30" s="5" t="n">
        <v>704338.3</v>
      </c>
      <c r="K30" s="5" t="n">
        <v>1010243.9</v>
      </c>
      <c r="L30" s="5" t="n">
        <v>1135838.1</v>
      </c>
      <c r="M30" s="5" t="n">
        <v>1138688</v>
      </c>
      <c r="N30" s="5" t="n">
        <v>1024606.8</v>
      </c>
      <c r="O30" s="5" t="n">
        <v>904977.3</v>
      </c>
      <c r="P30" s="5" t="n">
        <v>671956.1</v>
      </c>
      <c r="Q30" s="5" t="n">
        <v>492627.6</v>
      </c>
      <c r="R30" s="5" t="n">
        <v>473339.5</v>
      </c>
      <c r="S30" s="5" t="n">
        <v>377134.9</v>
      </c>
    </row>
    <row r="31">
      <c r="A31" s="5" t="inlineStr">
        <is>
          <t>Equity</t>
        </is>
      </c>
      <c r="B31" s="6" t="n"/>
      <c r="C31" s="6" t="n"/>
      <c r="D31" s="6" t="n"/>
      <c r="E31" s="6" t="n"/>
      <c r="F31" s="6" t="n"/>
      <c r="G31" s="6" t="n"/>
      <c r="H31" s="6" t="n"/>
      <c r="I31" s="6" t="n"/>
      <c r="J31" s="6" t="n"/>
      <c r="K31" s="6" t="n"/>
      <c r="L31" s="6" t="n"/>
      <c r="M31" s="6" t="n"/>
      <c r="N31" s="6" t="n"/>
      <c r="O31" s="6" t="n"/>
      <c r="P31" s="6" t="n"/>
      <c r="Q31" s="6" t="n"/>
      <c r="R31" s="6" t="n"/>
      <c r="S31" s="6" t="n"/>
    </row>
    <row r="32">
      <c r="A32" s="6" t="inlineStr">
        <is>
          <t>Share capital</t>
        </is>
      </c>
      <c r="B32" s="6" t="n">
        <v>242365</v>
      </c>
      <c r="C32" s="6" t="n">
        <v>247584</v>
      </c>
      <c r="D32" s="6" t="n">
        <v>253032.8</v>
      </c>
      <c r="E32" s="6" t="n">
        <v>258517.5</v>
      </c>
      <c r="F32" s="6" t="n">
        <v>242843.8</v>
      </c>
      <c r="G32" s="6" t="n">
        <v>231683.8</v>
      </c>
      <c r="H32" s="6" t="n">
        <v>257704.6</v>
      </c>
      <c r="I32" s="6" t="n">
        <v>245303.9</v>
      </c>
      <c r="J32" s="6" t="n">
        <v>227771</v>
      </c>
      <c r="K32" s="6" t="n">
        <v>239570.6</v>
      </c>
      <c r="L32" s="6" t="n">
        <v>121457.1</v>
      </c>
      <c r="M32" s="6" t="n">
        <v>117620.4</v>
      </c>
      <c r="N32" s="6" t="n">
        <v>104738.8</v>
      </c>
      <c r="O32" s="6" t="n">
        <v>82096.7</v>
      </c>
      <c r="P32" s="6" t="n">
        <v>70165.2</v>
      </c>
      <c r="Q32" s="6" t="n">
        <v>62152.8</v>
      </c>
      <c r="R32" s="6" t="n">
        <v>49206.2</v>
      </c>
      <c r="S32" s="6" t="n">
        <v>34631.9</v>
      </c>
    </row>
    <row r="33">
      <c r="A33" s="6" t="inlineStr">
        <is>
          <t>Fair value reserve</t>
        </is>
      </c>
      <c r="B33" s="6" t="n">
        <v>-93.3</v>
      </c>
      <c r="C33" s="6" t="n">
        <v>216.1</v>
      </c>
      <c r="D33" s="6" t="n">
        <v>-638.9</v>
      </c>
      <c r="E33" s="6" t="n">
        <v>-797.5</v>
      </c>
      <c r="F33" s="6" t="n">
        <v>-982.4</v>
      </c>
      <c r="G33" s="6" t="n">
        <v>49.3</v>
      </c>
      <c r="H33" s="6" t="n">
        <v>-1012.7</v>
      </c>
      <c r="I33" s="6" t="n">
        <v>-466.6</v>
      </c>
      <c r="J33" s="6" t="n">
        <v>-824.5</v>
      </c>
      <c r="K33" s="6" t="n">
        <v>-27.2</v>
      </c>
      <c r="L33" s="6" t="n">
        <v>271.2</v>
      </c>
      <c r="M33" s="6" t="n">
        <v>1179.4</v>
      </c>
      <c r="N33" s="6" t="n">
        <v>-3002.5</v>
      </c>
      <c r="O33" s="6" t="n">
        <v>82.3</v>
      </c>
      <c r="P33" s="6" t="n">
        <v>-2098.1</v>
      </c>
      <c r="Q33" s="6" t="n">
        <v>-146</v>
      </c>
      <c r="R33" s="6" t="n">
        <v>103.5</v>
      </c>
      <c r="S33" s="6" t="n">
        <v>0</v>
      </c>
    </row>
    <row r="34">
      <c r="A34" s="6" t="inlineStr">
        <is>
          <t>Retained earnings</t>
        </is>
      </c>
      <c r="B34" s="6" t="n">
        <v>-83510</v>
      </c>
      <c r="C34" s="6" t="n">
        <v>-84236.3</v>
      </c>
      <c r="D34" s="6" t="n">
        <v>-82283.10000000001</v>
      </c>
      <c r="E34" s="6" t="n">
        <v>-85180.39999999999</v>
      </c>
      <c r="F34" s="6" t="n">
        <v>-83628.60000000001</v>
      </c>
      <c r="G34" s="6" t="n">
        <v>-83800.39999999999</v>
      </c>
      <c r="H34" s="6" t="n">
        <v>-82875.10000000001</v>
      </c>
      <c r="I34" s="6" t="n">
        <v>-78399.10000000001</v>
      </c>
      <c r="J34" s="6" t="n">
        <v>-74718.2</v>
      </c>
      <c r="K34" s="6" t="n">
        <v>-86143.8</v>
      </c>
      <c r="L34" s="6" t="n">
        <v>2510.8</v>
      </c>
      <c r="M34" s="6" t="n">
        <v>21381.4</v>
      </c>
      <c r="N34" s="6" t="n">
        <v>14818</v>
      </c>
      <c r="O34" s="6" t="n">
        <v>12401.7</v>
      </c>
      <c r="P34" s="6" t="n">
        <v>9149</v>
      </c>
      <c r="Q34" s="6" t="n">
        <v>5149.1</v>
      </c>
      <c r="R34" s="6" t="n">
        <v>4517.7</v>
      </c>
      <c r="S34" s="6" t="n">
        <v>2091.3</v>
      </c>
    </row>
    <row r="35">
      <c r="A35" s="5" t="inlineStr">
        <is>
          <t>Total equity</t>
        </is>
      </c>
      <c r="B35" s="5" t="n">
        <v>158761.8</v>
      </c>
      <c r="C35" s="5" t="n">
        <v>163563.9</v>
      </c>
      <c r="D35" s="5" t="n">
        <v>170110.8</v>
      </c>
      <c r="E35" s="5" t="n">
        <v>172539.6</v>
      </c>
      <c r="F35" s="5" t="n">
        <v>158232.8</v>
      </c>
      <c r="G35" s="5" t="n">
        <v>147932.7</v>
      </c>
      <c r="H35" s="5" t="n">
        <v>173816.8</v>
      </c>
      <c r="I35" s="5" t="n">
        <v>166438.2</v>
      </c>
      <c r="J35" s="5" t="n">
        <v>152228.3</v>
      </c>
      <c r="K35" s="5" t="n">
        <v>153399.7</v>
      </c>
      <c r="L35" s="5" t="n">
        <v>124239.1</v>
      </c>
      <c r="M35" s="5" t="n">
        <v>140181.2</v>
      </c>
      <c r="N35" s="5" t="n">
        <v>116554.3</v>
      </c>
      <c r="O35" s="5" t="n">
        <v>94580.7</v>
      </c>
      <c r="P35" s="5" t="n">
        <v>77216.10000000001</v>
      </c>
      <c r="Q35" s="5" t="n">
        <v>67155.3</v>
      </c>
      <c r="R35" s="5" t="n">
        <v>53827.4</v>
      </c>
      <c r="S35" s="5" t="n">
        <v>36723.2</v>
      </c>
    </row>
    <row r="36">
      <c r="A36" s="5" t="inlineStr">
        <is>
          <t>Total liabilities and equity</t>
        </is>
      </c>
      <c r="B36" s="5" t="n">
        <v>1124092.4</v>
      </c>
      <c r="C36" s="5" t="n">
        <v>929222.3</v>
      </c>
      <c r="D36" s="5" t="n">
        <v>860733.1</v>
      </c>
      <c r="E36" s="5" t="n">
        <v>880119.7</v>
      </c>
      <c r="F36" s="5" t="n">
        <v>855689.9</v>
      </c>
      <c r="G36" s="5" t="n">
        <v>784826.8</v>
      </c>
      <c r="H36" s="5" t="n">
        <v>787012</v>
      </c>
      <c r="I36" s="5" t="n">
        <v>814727.6</v>
      </c>
      <c r="J36" s="5" t="n">
        <v>856566.7</v>
      </c>
      <c r="K36" s="5" t="n">
        <v>1163643.6</v>
      </c>
      <c r="L36" s="5" t="n">
        <v>1260077.2</v>
      </c>
      <c r="M36" s="5" t="n">
        <v>1278869.1</v>
      </c>
      <c r="N36" s="5" t="n">
        <v>1141161.2</v>
      </c>
      <c r="O36" s="5" t="n">
        <v>999558</v>
      </c>
      <c r="P36" s="5" t="n">
        <v>749172.1</v>
      </c>
      <c r="Q36" s="5" t="n">
        <v>559782.9</v>
      </c>
      <c r="R36" s="5" t="n">
        <v>527166.9</v>
      </c>
      <c r="S36" s="5" t="n">
        <v>413858.1</v>
      </c>
    </row>
    <row r="38" ht="380" customHeight="1">
      <c r="A38"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
DATA QUALITY FLAG: FY2022's Balance Sheet uses the Bank's own FY2022 Annual Report figures (Total assets $1,126,259k, Loans and advances to customers $791,237k). AR2023's own FY2022 comparative column later shows different figures ($1,123,130k / $788,108k) with no explanatory note found - a genuine cross-report inconsistency in the Bank's own disclosures, not a transcription error here; each year's own originally-published figure is used per this project's convention. Separately, FY2024's Deferred tax assets ($24,862k, AR2024's own figure) differs by exactly $233k from AR2025's own FY2024 comparative ($24,629k) - this is the same restatement AR2025 itself discloses affecting the fair value reserve (see Note 28/Note 35, also visible on the Statement of Changes in Equity sheet's bridging row).</t>
        </is>
      </c>
    </row>
  </sheetData>
  <mergeCells count="1">
    <mergeCell ref="A38:S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Profit &amp; Loss</t>
        </is>
      </c>
    </row>
    <row r="2">
      <c r="A2" s="2" t="inlineStr">
        <is>
          <t>Entity-level Statement of Comprehensive Income, £'000 converted from the Bank's native US$'000 presentation. Full Income Statement detail (interest income/expense, fee income, operating income/expenses, impairment, profit before tax) is shown FY2017-FY2026 only - see the FY2009-FY2016 GAP NOTE in this sheet's citation for why the earlier ten years keep only the single bottom-line Profit after tax row. OCI's underlying line-item structure changed between FY2024 and FY2025, and again predates IFRS 9 for FY2009-FY2020 - each era shown on its own contemporaneous basis; only Profit after tax and the two OCI Total rows are directly comparable across all 18 years. FY2009 has no OCI (no separate Statement of Comprehensive Income exists in that year's own filing).</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t>
        </is>
      </c>
      <c r="B5" s="6" t="n">
        <v>64027.9</v>
      </c>
      <c r="C5" s="6" t="n">
        <v>62414.8</v>
      </c>
      <c r="D5" s="6" t="n">
        <v>57983.8</v>
      </c>
      <c r="E5" s="6" t="n">
        <v>41966</v>
      </c>
      <c r="F5" s="6" t="n">
        <v>30267.2</v>
      </c>
      <c r="G5" s="6" t="n">
        <v>27782.9</v>
      </c>
      <c r="H5" s="6" t="n">
        <v>34006.9</v>
      </c>
      <c r="I5" s="6" t="n">
        <v>35299.3</v>
      </c>
      <c r="J5" s="6" t="n">
        <v>35745.5</v>
      </c>
      <c r="K5" s="6" t="n">
        <v>50167.6</v>
      </c>
      <c r="L5" s="6" t="n"/>
      <c r="M5" s="6" t="n"/>
      <c r="N5" s="6" t="n"/>
      <c r="O5" s="6" t="n"/>
      <c r="P5" s="6" t="n"/>
      <c r="Q5" s="6" t="n"/>
      <c r="R5" s="6" t="n"/>
      <c r="S5" s="6" t="n"/>
    </row>
    <row r="6">
      <c r="A6" s="6" t="inlineStr">
        <is>
          <t>Interest expense</t>
        </is>
      </c>
      <c r="B6" s="6" t="n">
        <v>-34209.2</v>
      </c>
      <c r="C6" s="6" t="n">
        <v>-29675.6</v>
      </c>
      <c r="D6" s="6" t="n">
        <v>-23052.2</v>
      </c>
      <c r="E6" s="6" t="n">
        <v>-11090.1</v>
      </c>
      <c r="F6" s="6" t="n">
        <v>-6703.3</v>
      </c>
      <c r="G6" s="6" t="n">
        <v>-8315</v>
      </c>
      <c r="H6" s="6" t="n">
        <v>-9952</v>
      </c>
      <c r="I6" s="6" t="n">
        <v>-10279.5</v>
      </c>
      <c r="J6" s="6" t="n">
        <v>-13422.7</v>
      </c>
      <c r="K6" s="6" t="n">
        <v>-24039.2</v>
      </c>
      <c r="L6" s="6" t="n"/>
      <c r="M6" s="6" t="n"/>
      <c r="N6" s="6" t="n"/>
      <c r="O6" s="6" t="n"/>
      <c r="P6" s="6" t="n"/>
      <c r="Q6" s="6" t="n"/>
      <c r="R6" s="6" t="n"/>
      <c r="S6" s="6" t="n"/>
    </row>
    <row r="7">
      <c r="A7" s="5" t="inlineStr">
        <is>
          <t>Net interest income</t>
        </is>
      </c>
      <c r="B7" s="5" t="n">
        <v>29818.7</v>
      </c>
      <c r="C7" s="5" t="n">
        <v>32739.2</v>
      </c>
      <c r="D7" s="5" t="n">
        <v>34931.6</v>
      </c>
      <c r="E7" s="5" t="n">
        <v>30875.9</v>
      </c>
      <c r="F7" s="5" t="n">
        <v>23563.9</v>
      </c>
      <c r="G7" s="5" t="n">
        <v>19467.9</v>
      </c>
      <c r="H7" s="5" t="n">
        <v>24054.9</v>
      </c>
      <c r="I7" s="5" t="n">
        <v>25019.8</v>
      </c>
      <c r="J7" s="5" t="n">
        <v>22322.8</v>
      </c>
      <c r="K7" s="5" t="n">
        <v>26128.4</v>
      </c>
      <c r="L7" s="5" t="n"/>
      <c r="M7" s="5" t="n"/>
      <c r="N7" s="5" t="n"/>
      <c r="O7" s="5" t="n"/>
      <c r="P7" s="5" t="n"/>
      <c r="Q7" s="5" t="n"/>
      <c r="R7" s="5" t="n"/>
      <c r="S7" s="5" t="n"/>
    </row>
    <row r="8">
      <c r="A8" s="6" t="inlineStr">
        <is>
          <t>Net trading profit/(loss)</t>
        </is>
      </c>
      <c r="B8" s="6" t="n">
        <v>233.5</v>
      </c>
      <c r="C8" s="6" t="n">
        <v>-166.9</v>
      </c>
      <c r="D8" s="6" t="n">
        <v>505.3</v>
      </c>
      <c r="E8" s="6" t="n">
        <v>561.2</v>
      </c>
      <c r="F8" s="6" t="n">
        <v>9.5</v>
      </c>
      <c r="G8" s="6" t="n">
        <v>-1808.5</v>
      </c>
      <c r="H8" s="6" t="n">
        <v>2021.6</v>
      </c>
      <c r="I8" s="6" t="n">
        <v>-843.9</v>
      </c>
      <c r="J8" s="6" t="n">
        <v>-2670.1</v>
      </c>
      <c r="K8" s="6" t="n">
        <v>-949</v>
      </c>
      <c r="L8" s="6" t="n"/>
      <c r="M8" s="6" t="n"/>
      <c r="N8" s="6" t="n"/>
      <c r="O8" s="6" t="n"/>
      <c r="P8" s="6" t="n"/>
      <c r="Q8" s="6" t="n"/>
      <c r="R8" s="6" t="n"/>
      <c r="S8" s="6" t="n"/>
    </row>
    <row r="9">
      <c r="A9" s="6" t="inlineStr">
        <is>
          <t>Charge/income on interest rate derivatives (FY2017-FY2020 only; folded into net trading profit/(loss) from FY2021)</t>
        </is>
      </c>
      <c r="B9" s="6" t="n"/>
      <c r="C9" s="6" t="n"/>
      <c r="D9" s="6" t="n"/>
      <c r="E9" s="6" t="n"/>
      <c r="F9" s="6" t="n"/>
      <c r="G9" s="6" t="n"/>
      <c r="H9" s="6" t="n">
        <v>-66.90000000000001</v>
      </c>
      <c r="I9" s="6" t="n">
        <v>-402.1</v>
      </c>
      <c r="J9" s="6" t="n">
        <v>269</v>
      </c>
      <c r="K9" s="6" t="n">
        <v>1154.1</v>
      </c>
      <c r="L9" s="6" t="n"/>
      <c r="M9" s="6" t="n"/>
      <c r="N9" s="6" t="n"/>
      <c r="O9" s="6" t="n"/>
      <c r="P9" s="6" t="n"/>
      <c r="Q9" s="6" t="n"/>
      <c r="R9" s="6" t="n"/>
      <c r="S9" s="6" t="n"/>
    </row>
    <row r="10">
      <c r="A10" s="6" t="inlineStr">
        <is>
          <t>Fee and commission income</t>
        </is>
      </c>
      <c r="B10" s="6" t="n">
        <v>577.4</v>
      </c>
      <c r="C10" s="6" t="n">
        <v>1122</v>
      </c>
      <c r="D10" s="6" t="n">
        <v>977.9</v>
      </c>
      <c r="E10" s="6" t="n">
        <v>769.6</v>
      </c>
      <c r="F10" s="6" t="n">
        <v>645.6</v>
      </c>
      <c r="G10" s="6" t="n">
        <v>651.1</v>
      </c>
      <c r="H10" s="6" t="n">
        <v>662.6</v>
      </c>
      <c r="I10" s="6" t="n">
        <v>401.4</v>
      </c>
      <c r="J10" s="6" t="n">
        <v>521.4</v>
      </c>
      <c r="K10" s="6" t="n">
        <v>482.1</v>
      </c>
      <c r="L10" s="6" t="n"/>
      <c r="M10" s="6" t="n"/>
      <c r="N10" s="6" t="n"/>
      <c r="O10" s="6" t="n"/>
      <c r="P10" s="6" t="n"/>
      <c r="Q10" s="6" t="n"/>
      <c r="R10" s="6" t="n"/>
      <c r="S10" s="6" t="n"/>
    </row>
    <row r="11">
      <c r="A11" s="6" t="inlineStr">
        <is>
          <t>Other operating income</t>
        </is>
      </c>
      <c r="B11" s="6" t="n">
        <v>3169.2</v>
      </c>
      <c r="C11" s="6" t="n">
        <v>536.7</v>
      </c>
      <c r="D11" s="6" t="n">
        <v>200.5</v>
      </c>
      <c r="E11" s="6" t="n">
        <v>213.4</v>
      </c>
      <c r="F11" s="6" t="n">
        <v>95.2</v>
      </c>
      <c r="G11" s="6" t="n">
        <v>96.3</v>
      </c>
      <c r="H11" s="6" t="n">
        <v>124.3</v>
      </c>
      <c r="I11" s="6" t="n">
        <v>122.6</v>
      </c>
      <c r="J11" s="6" t="n">
        <v>165</v>
      </c>
      <c r="K11" s="6" t="n">
        <v>173.7</v>
      </c>
      <c r="L11" s="6" t="n"/>
      <c r="M11" s="6" t="n"/>
      <c r="N11" s="6" t="n"/>
      <c r="O11" s="6" t="n"/>
      <c r="P11" s="6" t="n"/>
      <c r="Q11" s="6" t="n"/>
      <c r="R11" s="6" t="n"/>
      <c r="S11" s="6" t="n"/>
    </row>
    <row r="12">
      <c r="A12" s="5" t="inlineStr">
        <is>
          <t>Total operating income</t>
        </is>
      </c>
      <c r="B12" s="5" t="n">
        <v>33798.9</v>
      </c>
      <c r="C12" s="5" t="n">
        <v>34231</v>
      </c>
      <c r="D12" s="5" t="n">
        <v>36615.2</v>
      </c>
      <c r="E12" s="5" t="n">
        <v>32420.1</v>
      </c>
      <c r="F12" s="5" t="n">
        <v>24314.2</v>
      </c>
      <c r="G12" s="5" t="n">
        <v>18406.7</v>
      </c>
      <c r="H12" s="5" t="n">
        <v>26796.5</v>
      </c>
      <c r="I12" s="5" t="n">
        <v>24297.8</v>
      </c>
      <c r="J12" s="5" t="n">
        <v>20608</v>
      </c>
      <c r="K12" s="5" t="n">
        <v>26989.4</v>
      </c>
      <c r="L12" s="5" t="n"/>
      <c r="M12" s="5" t="n"/>
      <c r="N12" s="5" t="n"/>
      <c r="O12" s="5" t="n"/>
      <c r="P12" s="5" t="n"/>
      <c r="Q12" s="5" t="n"/>
      <c r="R12" s="5" t="n"/>
      <c r="S12" s="5" t="n"/>
    </row>
    <row r="13">
      <c r="A13" s="5" t="inlineStr">
        <is>
          <t>Operating expenses</t>
        </is>
      </c>
      <c r="B13" s="6" t="n"/>
      <c r="C13" s="6" t="n"/>
      <c r="D13" s="6" t="n"/>
      <c r="E13" s="6" t="n"/>
      <c r="F13" s="6" t="n"/>
      <c r="G13" s="6" t="n"/>
      <c r="H13" s="6" t="n"/>
      <c r="I13" s="6" t="n"/>
      <c r="J13" s="6" t="n"/>
      <c r="K13" s="6" t="n"/>
      <c r="L13" s="6" t="n"/>
      <c r="M13" s="6" t="n"/>
      <c r="N13" s="6" t="n"/>
      <c r="O13" s="6" t="n"/>
      <c r="P13" s="6" t="n"/>
      <c r="Q13" s="6" t="n"/>
      <c r="R13" s="6" t="n"/>
      <c r="S13" s="6" t="n"/>
    </row>
    <row r="14">
      <c r="A14" s="6" t="inlineStr">
        <is>
          <t>Staff costs</t>
        </is>
      </c>
      <c r="B14" s="6" t="n">
        <v>-15033.6</v>
      </c>
      <c r="C14" s="6" t="n">
        <v>-13150.5</v>
      </c>
      <c r="D14" s="6" t="n">
        <v>-11081.3</v>
      </c>
      <c r="E14" s="6" t="n">
        <v>-10390.2</v>
      </c>
      <c r="F14" s="6" t="n">
        <v>-9664.799999999999</v>
      </c>
      <c r="G14" s="6" t="n">
        <v>-9662.700000000001</v>
      </c>
      <c r="H14" s="6" t="n">
        <v>-7777</v>
      </c>
      <c r="I14" s="6" t="n">
        <v>-6893.4</v>
      </c>
      <c r="J14" s="6" t="n">
        <v>-6566</v>
      </c>
      <c r="K14" s="6" t="n">
        <v>-5167.2</v>
      </c>
      <c r="L14" s="6" t="n"/>
      <c r="M14" s="6" t="n"/>
      <c r="N14" s="6" t="n"/>
      <c r="O14" s="6" t="n"/>
      <c r="P14" s="6" t="n"/>
      <c r="Q14" s="6" t="n"/>
      <c r="R14" s="6" t="n"/>
      <c r="S14" s="6" t="n"/>
    </row>
    <row r="15">
      <c r="A15" s="6" t="inlineStr">
        <is>
          <t>Interest on lease liabilities (IFRS 16, FY2020-FY2023)</t>
        </is>
      </c>
      <c r="B15" s="6" t="n"/>
      <c r="C15" s="6" t="n"/>
      <c r="D15" s="6" t="n"/>
      <c r="E15" s="6" t="n">
        <v>-116.2</v>
      </c>
      <c r="F15" s="6" t="n">
        <v>-84.90000000000001</v>
      </c>
      <c r="G15" s="6" t="n">
        <v>-102.3</v>
      </c>
      <c r="H15" s="6" t="n">
        <v>-115.7</v>
      </c>
      <c r="I15" s="6" t="n"/>
      <c r="J15" s="6" t="n"/>
      <c r="K15" s="6" t="n"/>
      <c r="L15" s="6" t="n"/>
      <c r="M15" s="6" t="n"/>
      <c r="N15" s="6" t="n"/>
      <c r="O15" s="6" t="n"/>
      <c r="P15" s="6" t="n"/>
      <c r="Q15" s="6" t="n"/>
      <c r="R15" s="6" t="n"/>
      <c r="S15" s="6" t="n"/>
    </row>
    <row r="16">
      <c r="A16" s="6" t="inlineStr">
        <is>
          <t>Operating lease expenses (pre-IFRS 16, FY2018-FY2019)</t>
        </is>
      </c>
      <c r="B16" s="6" t="n"/>
      <c r="C16" s="6" t="n"/>
      <c r="D16" s="6" t="n"/>
      <c r="E16" s="6" t="n"/>
      <c r="F16" s="6" t="n"/>
      <c r="G16" s="6" t="n"/>
      <c r="H16" s="6" t="n"/>
      <c r="I16" s="6" t="n">
        <v>-696.1</v>
      </c>
      <c r="J16" s="6" t="n">
        <v>-406.8</v>
      </c>
      <c r="K16" s="6" t="n"/>
      <c r="L16" s="6" t="n"/>
      <c r="M16" s="6" t="n"/>
      <c r="N16" s="6" t="n"/>
      <c r="O16" s="6" t="n"/>
      <c r="P16" s="6" t="n"/>
      <c r="Q16" s="6" t="n"/>
      <c r="R16" s="6" t="n"/>
      <c r="S16" s="6" t="n"/>
    </row>
    <row r="17">
      <c r="A17" s="6" t="inlineStr">
        <is>
          <t>Depreciation and amortisation expenses</t>
        </is>
      </c>
      <c r="B17" s="6" t="n">
        <v>-903.5</v>
      </c>
      <c r="C17" s="6" t="n">
        <v>-800.8</v>
      </c>
      <c r="D17" s="6" t="n">
        <v>-967.5</v>
      </c>
      <c r="E17" s="6" t="n">
        <v>-1118.3</v>
      </c>
      <c r="F17" s="6" t="n">
        <v>-1074.5</v>
      </c>
      <c r="G17" s="6" t="n">
        <v>-1039.9</v>
      </c>
      <c r="H17" s="6" t="n">
        <v>-1098.5</v>
      </c>
      <c r="I17" s="6" t="n">
        <v>-505.7</v>
      </c>
      <c r="J17" s="6" t="n">
        <v>-540.2</v>
      </c>
      <c r="K17" s="6" t="n">
        <v>-659.7</v>
      </c>
      <c r="L17" s="6" t="n"/>
      <c r="M17" s="6" t="n"/>
      <c r="N17" s="6" t="n"/>
      <c r="O17" s="6" t="n"/>
      <c r="P17" s="6" t="n"/>
      <c r="Q17" s="6" t="n"/>
      <c r="R17" s="6" t="n"/>
      <c r="S17" s="6" t="n"/>
    </row>
    <row r="18">
      <c r="A18" s="6" t="inlineStr">
        <is>
          <t>General administrative expenses</t>
        </is>
      </c>
      <c r="B18" s="6" t="n">
        <v>-6235.5</v>
      </c>
      <c r="C18" s="6" t="n">
        <v>-5602.9</v>
      </c>
      <c r="D18" s="6" t="n">
        <v>-5468.7</v>
      </c>
      <c r="E18" s="6" t="n">
        <v>-4948.9</v>
      </c>
      <c r="F18" s="6" t="n">
        <v>-4494.2</v>
      </c>
      <c r="G18" s="6" t="n">
        <v>-4743.4</v>
      </c>
      <c r="H18" s="6" t="n">
        <v>-4413.8</v>
      </c>
      <c r="I18" s="6" t="n">
        <v>-3691.5</v>
      </c>
      <c r="J18" s="6" t="n">
        <v>-4107.6</v>
      </c>
      <c r="K18" s="6" t="n">
        <v>-6199.6</v>
      </c>
      <c r="L18" s="6" t="n"/>
      <c r="M18" s="6" t="n"/>
      <c r="N18" s="6" t="n"/>
      <c r="O18" s="6" t="n"/>
      <c r="P18" s="6" t="n"/>
      <c r="Q18" s="6" t="n"/>
      <c r="R18" s="6" t="n"/>
      <c r="S18" s="6" t="n"/>
    </row>
    <row r="19">
      <c r="A19" s="5" t="inlineStr">
        <is>
          <t>Total operating expenses</t>
        </is>
      </c>
      <c r="B19" s="5" t="n">
        <v>-22172.5</v>
      </c>
      <c r="C19" s="5" t="n">
        <v>-19554.2</v>
      </c>
      <c r="D19" s="5" t="n">
        <v>-17517.5</v>
      </c>
      <c r="E19" s="5" t="n">
        <v>-16573.7</v>
      </c>
      <c r="F19" s="5" t="n">
        <v>-15318.4</v>
      </c>
      <c r="G19" s="5" t="n">
        <v>-15548.4</v>
      </c>
      <c r="H19" s="5" t="n">
        <v>-13404.9</v>
      </c>
      <c r="I19" s="5" t="n">
        <v>-11786.7</v>
      </c>
      <c r="J19" s="5" t="n">
        <v>-11620.6</v>
      </c>
      <c r="K19" s="5" t="n">
        <v>-12026.5</v>
      </c>
      <c r="L19" s="5" t="n"/>
      <c r="M19" s="5" t="n"/>
      <c r="N19" s="5" t="n"/>
      <c r="O19" s="5" t="n"/>
      <c r="P19" s="5" t="n"/>
      <c r="Q19" s="5" t="n"/>
      <c r="R19" s="5" t="n"/>
      <c r="S19" s="5" t="n"/>
    </row>
    <row r="20">
      <c r="A20" s="6" t="inlineStr">
        <is>
          <t>Impairment provision</t>
        </is>
      </c>
      <c r="B20" s="6" t="n">
        <v>-9352.4</v>
      </c>
      <c r="C20" s="6" t="n">
        <v>-14042.2</v>
      </c>
      <c r="D20" s="6" t="n">
        <v>-14101.7</v>
      </c>
      <c r="E20" s="6" t="n">
        <v>-8849.299999999999</v>
      </c>
      <c r="F20" s="6" t="n">
        <v>-3241.8</v>
      </c>
      <c r="G20" s="6" t="n">
        <v>-10401</v>
      </c>
      <c r="H20" s="6" t="n">
        <v>-11958.6</v>
      </c>
      <c r="I20" s="6" t="n">
        <v>-4932.2</v>
      </c>
      <c r="J20" s="6" t="n">
        <v>-3999.1</v>
      </c>
      <c r="K20" s="6" t="n">
        <v>-116426.1</v>
      </c>
      <c r="L20" s="6" t="n"/>
      <c r="M20" s="6" t="n"/>
      <c r="N20" s="6" t="n"/>
      <c r="O20" s="6" t="n"/>
      <c r="P20" s="6" t="n"/>
      <c r="Q20" s="6" t="n"/>
      <c r="R20" s="6" t="n"/>
      <c r="S20" s="6" t="n"/>
    </row>
    <row r="21">
      <c r="A21" s="5" t="inlineStr">
        <is>
          <t>Profit/(loss) before tax</t>
        </is>
      </c>
      <c r="B21" s="5" t="n">
        <v>2273.9</v>
      </c>
      <c r="C21" s="5" t="n">
        <v>634.6</v>
      </c>
      <c r="D21" s="5" t="n">
        <v>4996</v>
      </c>
      <c r="E21" s="5" t="n">
        <v>6997.1</v>
      </c>
      <c r="F21" s="5" t="n">
        <v>5753.9</v>
      </c>
      <c r="G21" s="5" t="n">
        <v>-7542.6</v>
      </c>
      <c r="H21" s="5" t="n">
        <v>1433</v>
      </c>
      <c r="I21" s="5" t="n">
        <v>7578.8</v>
      </c>
      <c r="J21" s="5" t="n">
        <v>4988.3</v>
      </c>
      <c r="K21" s="5" t="n">
        <v>-102041.8</v>
      </c>
      <c r="L21" s="5" t="n"/>
      <c r="M21" s="5" t="n"/>
      <c r="N21" s="5" t="n"/>
      <c r="O21" s="5" t="n"/>
      <c r="P21" s="5" t="n"/>
      <c r="Q21" s="5" t="n"/>
      <c r="R21" s="5" t="n"/>
      <c r="S21" s="5" t="n"/>
    </row>
    <row r="22">
      <c r="A22" s="6" t="inlineStr">
        <is>
          <t>Tax (charge)/credit</t>
        </is>
      </c>
      <c r="B22" s="6" t="n">
        <v>-82.8</v>
      </c>
      <c r="C22" s="6" t="n">
        <v>-47</v>
      </c>
      <c r="D22" s="6" t="n">
        <v>-54.1</v>
      </c>
      <c r="E22" s="6" t="n">
        <v>-78.90000000000001</v>
      </c>
      <c r="F22" s="6" t="n">
        <v>32.9</v>
      </c>
      <c r="G22" s="6" t="n">
        <v>-214.5</v>
      </c>
      <c r="H22" s="6" t="n">
        <v>712.1</v>
      </c>
      <c r="I22" s="6" t="n">
        <v>-1243.7</v>
      </c>
      <c r="J22" s="6" t="n">
        <v>-548.5</v>
      </c>
      <c r="K22" s="6" t="n">
        <v>16844</v>
      </c>
      <c r="L22" s="6" t="n"/>
      <c r="M22" s="6" t="n"/>
      <c r="N22" s="6" t="n"/>
      <c r="O22" s="6" t="n"/>
      <c r="P22" s="6" t="n"/>
      <c r="Q22" s="6" t="n"/>
      <c r="R22" s="6" t="n"/>
      <c r="S22" s="6" t="n"/>
    </row>
    <row r="23">
      <c r="A23" s="5" t="inlineStr">
        <is>
          <t>Profit after tax for the year</t>
        </is>
      </c>
      <c r="B23" s="5" t="n">
        <v>2191.1</v>
      </c>
      <c r="C23" s="5" t="n">
        <v>587.6</v>
      </c>
      <c r="D23" s="5" t="n">
        <v>4941.9</v>
      </c>
      <c r="E23" s="5" t="n">
        <v>6918.2</v>
      </c>
      <c r="F23" s="5" t="n">
        <v>5786.9</v>
      </c>
      <c r="G23" s="5" t="n">
        <v>-7757.1</v>
      </c>
      <c r="H23" s="5" t="n">
        <v>2145.1</v>
      </c>
      <c r="I23" s="5" t="n">
        <v>6335.1</v>
      </c>
      <c r="J23" s="5" t="n">
        <v>4439.8</v>
      </c>
      <c r="K23" s="5" t="n">
        <v>-85197.8</v>
      </c>
      <c r="L23" s="5" t="n">
        <v>-18051.3</v>
      </c>
      <c r="M23" s="5" t="n">
        <v>5036.3</v>
      </c>
      <c r="N23" s="5" t="n">
        <v>4396.2</v>
      </c>
      <c r="O23" s="5" t="n">
        <v>3400.4</v>
      </c>
      <c r="P23" s="5" t="n">
        <v>4710.6</v>
      </c>
      <c r="Q23" s="5" t="n">
        <v>900.3</v>
      </c>
      <c r="R23" s="5" t="n">
        <v>2413.1</v>
      </c>
      <c r="S23" s="5" t="n">
        <v>1508.4</v>
      </c>
    </row>
    <row r="24">
      <c r="A24" s="5" t="inlineStr">
        <is>
          <t>Other comprehensive income - FY2022-FY2024 presentation</t>
        </is>
      </c>
      <c r="B24" s="6" t="n"/>
      <c r="C24" s="6" t="n"/>
      <c r="D24" s="6" t="n"/>
      <c r="E24" s="6" t="n"/>
      <c r="F24" s="6" t="n"/>
      <c r="G24" s="6" t="n"/>
      <c r="H24" s="6" t="n"/>
      <c r="I24" s="6" t="n"/>
      <c r="J24" s="6" t="n"/>
      <c r="K24" s="6" t="n"/>
      <c r="L24" s="6" t="n"/>
      <c r="M24" s="6" t="n"/>
      <c r="N24" s="6" t="n"/>
      <c r="O24" s="6" t="n"/>
      <c r="P24" s="6" t="n"/>
      <c r="Q24" s="6" t="n"/>
      <c r="R24" s="6" t="n"/>
      <c r="S24" s="6" t="n"/>
    </row>
    <row r="25">
      <c r="A25" s="6" t="inlineStr">
        <is>
          <t>FVOCI gains/(losses) arising during the year</t>
        </is>
      </c>
      <c r="B25" s="6" t="n"/>
      <c r="C25" s="6" t="n"/>
      <c r="D25" s="6" t="n">
        <v>197.3</v>
      </c>
      <c r="E25" s="6" t="n">
        <v>-65.59999999999999</v>
      </c>
      <c r="F25" s="6" t="n">
        <v>-1512.2</v>
      </c>
      <c r="G25" s="6" t="n">
        <v>1162.7</v>
      </c>
      <c r="H25" s="6" t="n"/>
      <c r="I25" s="6" t="n"/>
      <c r="J25" s="6" t="n"/>
      <c r="K25" s="6" t="n"/>
      <c r="L25" s="6" t="n"/>
      <c r="M25" s="6" t="n"/>
      <c r="N25" s="6" t="n"/>
      <c r="O25" s="6" t="n"/>
      <c r="P25" s="6" t="n"/>
      <c r="Q25" s="6" t="n"/>
      <c r="R25" s="6" t="n"/>
      <c r="S25" s="6" t="n"/>
    </row>
    <row r="26">
      <c r="A26" s="6" t="inlineStr">
        <is>
          <t>Tax credit/(charge) relating to change in fair value</t>
        </is>
      </c>
      <c r="B26" s="6" t="n"/>
      <c r="C26" s="6" t="n"/>
      <c r="D26" s="6" t="n">
        <v>-49.3</v>
      </c>
      <c r="E26" s="6" t="n">
        <v>-7.5</v>
      </c>
      <c r="F26" s="6" t="n">
        <v>363.1</v>
      </c>
      <c r="G26" s="6" t="n">
        <v>-213</v>
      </c>
      <c r="H26" s="6" t="n"/>
      <c r="I26" s="6" t="n"/>
      <c r="J26" s="6" t="n"/>
      <c r="K26" s="6" t="n"/>
      <c r="L26" s="6" t="n"/>
      <c r="M26" s="6" t="n"/>
      <c r="N26" s="6" t="n"/>
      <c r="O26" s="6" t="n"/>
      <c r="P26" s="6" t="n"/>
      <c r="Q26" s="6" t="n"/>
      <c r="R26" s="6" t="n"/>
      <c r="S26" s="6" t="n"/>
    </row>
    <row r="27">
      <c r="A27" s="6" t="inlineStr">
        <is>
          <t>Reclassification adjustment transferred to P&amp;L</t>
        </is>
      </c>
      <c r="B27" s="6" t="n"/>
      <c r="C27" s="6" t="n"/>
      <c r="D27" s="6" t="n">
        <v>-5.6</v>
      </c>
      <c r="E27" s="6" t="n">
        <v>327.9</v>
      </c>
      <c r="F27" s="6" t="n">
        <v>153</v>
      </c>
      <c r="G27" s="6" t="n">
        <v>53.8</v>
      </c>
      <c r="H27" s="6" t="n"/>
      <c r="I27" s="6" t="n"/>
      <c r="J27" s="6" t="n"/>
      <c r="K27" s="6" t="n"/>
      <c r="L27" s="6" t="n"/>
      <c r="M27" s="6" t="n"/>
      <c r="N27" s="6" t="n"/>
      <c r="O27" s="6" t="n"/>
      <c r="P27" s="6" t="n"/>
      <c r="Q27" s="6" t="n"/>
      <c r="R27" s="6" t="n"/>
      <c r="S27" s="6" t="n"/>
    </row>
    <row r="28">
      <c r="A28" s="5" t="inlineStr">
        <is>
          <t>Other comprehensive income - FY2025-FY2026 presentation</t>
        </is>
      </c>
      <c r="B28" s="6" t="n"/>
      <c r="C28" s="6" t="n"/>
      <c r="D28" s="6" t="n"/>
      <c r="E28" s="6" t="n"/>
      <c r="F28" s="6" t="n"/>
      <c r="G28" s="6" t="n"/>
      <c r="H28" s="6" t="n"/>
      <c r="I28" s="6" t="n"/>
      <c r="J28" s="6" t="n"/>
      <c r="K28" s="6" t="n"/>
      <c r="L28" s="6" t="n"/>
      <c r="M28" s="6" t="n"/>
      <c r="N28" s="6" t="n"/>
      <c r="O28" s="6" t="n"/>
      <c r="P28" s="6" t="n"/>
      <c r="Q28" s="6" t="n"/>
      <c r="R28" s="6" t="n"/>
      <c r="S28" s="6" t="n"/>
    </row>
    <row r="29">
      <c r="A29" s="6" t="inlineStr">
        <is>
          <t>Fair value gains/(losses) transferred to income statement on disposal</t>
        </is>
      </c>
      <c r="B29" s="6" t="n">
        <v>-457.3</v>
      </c>
      <c r="C29" s="6" t="n">
        <v>202.1</v>
      </c>
      <c r="D29" s="6" t="n"/>
      <c r="E29" s="6" t="n"/>
      <c r="F29" s="6" t="n"/>
      <c r="G29" s="6" t="n"/>
      <c r="H29" s="6" t="n"/>
      <c r="I29" s="6" t="n"/>
      <c r="J29" s="6" t="n"/>
      <c r="K29" s="6" t="n"/>
      <c r="L29" s="6" t="n"/>
      <c r="M29" s="6" t="n"/>
      <c r="N29" s="6" t="n"/>
      <c r="O29" s="6" t="n"/>
      <c r="P29" s="6" t="n"/>
      <c r="Q29" s="6" t="n"/>
      <c r="R29" s="6" t="n"/>
      <c r="S29" s="6" t="n"/>
    </row>
    <row r="30">
      <c r="A30" s="6" t="inlineStr">
        <is>
          <t>Fair value gains on Investment Securities - FVOCI</t>
        </is>
      </c>
      <c r="B30" s="6" t="n">
        <v>57.4</v>
      </c>
      <c r="C30" s="6" t="n">
        <v>210</v>
      </c>
      <c r="D30" s="6" t="n"/>
      <c r="E30" s="6" t="n"/>
      <c r="F30" s="6" t="n"/>
      <c r="G30" s="6" t="n"/>
      <c r="H30" s="6" t="n"/>
      <c r="I30" s="6" t="n"/>
      <c r="J30" s="6" t="n"/>
      <c r="K30" s="6" t="n"/>
      <c r="L30" s="6" t="n"/>
      <c r="M30" s="6" t="n"/>
      <c r="N30" s="6" t="n"/>
      <c r="O30" s="6" t="n"/>
      <c r="P30" s="6" t="n"/>
      <c r="Q30" s="6" t="n"/>
      <c r="R30" s="6" t="n"/>
      <c r="S30" s="6" t="n"/>
    </row>
    <row r="31">
      <c r="A31" s="6" t="inlineStr">
        <is>
          <t>Income tax on other comprehensive income items</t>
        </is>
      </c>
      <c r="B31" s="6" t="n">
        <v>100</v>
      </c>
      <c r="C31" s="6" t="n">
        <v>-101.9</v>
      </c>
      <c r="D31" s="6" t="n"/>
      <c r="E31" s="6" t="n"/>
      <c r="F31" s="6" t="n"/>
      <c r="G31" s="6" t="n"/>
      <c r="H31" s="6" t="n"/>
      <c r="I31" s="6" t="n"/>
      <c r="J31" s="6" t="n"/>
      <c r="K31" s="6" t="n"/>
      <c r="L31" s="6" t="n"/>
      <c r="M31" s="6" t="n"/>
      <c r="N31" s="6" t="n"/>
      <c r="O31" s="6" t="n"/>
      <c r="P31" s="6" t="n"/>
      <c r="Q31" s="6" t="n"/>
      <c r="R31" s="6" t="n"/>
      <c r="S31" s="6" t="n"/>
    </row>
    <row r="32">
      <c r="A32" s="5" t="inlineStr">
        <is>
          <t>Other comprehensive income - FY2009-FY2020 presentation (IAS 39 available-for-sale)</t>
        </is>
      </c>
      <c r="B32" s="6" t="n"/>
      <c r="C32" s="6" t="n"/>
      <c r="D32" s="6" t="n"/>
      <c r="E32" s="6" t="n"/>
      <c r="F32" s="6" t="n"/>
      <c r="G32" s="6" t="n"/>
      <c r="H32" s="6" t="n"/>
      <c r="I32" s="6" t="n"/>
      <c r="J32" s="6" t="n"/>
      <c r="K32" s="6" t="n"/>
      <c r="L32" s="6" t="n"/>
      <c r="M32" s="6" t="n"/>
      <c r="N32" s="6" t="n"/>
      <c r="O32" s="6" t="n"/>
      <c r="P32" s="6" t="n"/>
      <c r="Q32" s="6" t="n"/>
      <c r="R32" s="6" t="n"/>
      <c r="S32" s="6" t="n"/>
    </row>
    <row r="33">
      <c r="A33" s="6" t="inlineStr">
        <is>
          <t>Net change in fair value on AFS/FVTOCI investments (gross)</t>
        </is>
      </c>
      <c r="B33" s="6" t="n"/>
      <c r="C33" s="6" t="n"/>
      <c r="D33" s="6" t="n"/>
      <c r="E33" s="6" t="n"/>
      <c r="F33" s="6" t="n"/>
      <c r="G33" s="6" t="n"/>
      <c r="H33" s="6" t="n">
        <v>-624.8</v>
      </c>
      <c r="I33" s="6" t="n">
        <v>390.7</v>
      </c>
      <c r="J33" s="6" t="n">
        <v>-845.3</v>
      </c>
      <c r="K33" s="6" t="n">
        <v>-519.6</v>
      </c>
      <c r="L33" s="6" t="n">
        <v>-1068.8</v>
      </c>
      <c r="M33" s="6" t="n">
        <v>3608.1</v>
      </c>
      <c r="N33" s="6" t="n">
        <v>-3949.7</v>
      </c>
      <c r="O33" s="6" t="n">
        <v>331.6</v>
      </c>
      <c r="P33" s="6" t="n">
        <v>-2939.4</v>
      </c>
      <c r="Q33" s="6" t="n">
        <v>-208.7</v>
      </c>
      <c r="R33" s="6" t="n">
        <v>98.3</v>
      </c>
      <c r="S33" s="6" t="n"/>
    </row>
    <row r="34">
      <c r="A34" s="6" t="inlineStr">
        <is>
          <t>Tax (charge)/credit relating to fair value change</t>
        </is>
      </c>
      <c r="B34" s="6" t="n"/>
      <c r="C34" s="6" t="n"/>
      <c r="D34" s="6" t="n"/>
      <c r="E34" s="6" t="n"/>
      <c r="F34" s="6" t="n"/>
      <c r="G34" s="6" t="n"/>
      <c r="H34" s="6" t="n">
        <v>105.4</v>
      </c>
      <c r="I34" s="6" t="n">
        <v>-50.3</v>
      </c>
      <c r="J34" s="6" t="n">
        <v>178.6</v>
      </c>
      <c r="K34" s="6" t="n">
        <v>-58.9</v>
      </c>
      <c r="L34" s="6" t="n">
        <v>213.5</v>
      </c>
      <c r="M34" s="6" t="n">
        <v>-757.8</v>
      </c>
      <c r="N34" s="6" t="n">
        <v>908.2</v>
      </c>
      <c r="O34" s="6" t="n">
        <v>-79.7</v>
      </c>
      <c r="P34" s="6" t="n">
        <v>764.3</v>
      </c>
      <c r="Q34" s="6" t="n">
        <v>58.4</v>
      </c>
      <c r="R34" s="6" t="n"/>
      <c r="S34" s="6" t="n"/>
    </row>
    <row r="35">
      <c r="A35" s="6" t="inlineStr">
        <is>
          <t>Reclassification adjustment transferred to profit and loss</t>
        </is>
      </c>
      <c r="B35" s="6" t="n"/>
      <c r="C35" s="6" t="n"/>
      <c r="D35" s="6" t="n"/>
      <c r="E35" s="6" t="n"/>
      <c r="F35" s="6" t="n"/>
      <c r="G35" s="6" t="n"/>
      <c r="H35" s="6" t="n">
        <v>9.4</v>
      </c>
      <c r="I35" s="6" t="n">
        <v>77.7</v>
      </c>
      <c r="J35" s="6" t="n">
        <v>-179.3</v>
      </c>
      <c r="K35" s="6" t="n">
        <v>254.1</v>
      </c>
      <c r="L35" s="6" t="n">
        <v>-47.1</v>
      </c>
      <c r="M35" s="6" t="n">
        <v>1340.2</v>
      </c>
      <c r="N35" s="6" t="n">
        <v>-185.5</v>
      </c>
      <c r="O35" s="6" t="n">
        <v>1948.9</v>
      </c>
      <c r="P35" s="6" t="n">
        <v>219.4</v>
      </c>
      <c r="Q35" s="6" t="n">
        <v>-100.8</v>
      </c>
      <c r="R35" s="6" t="n"/>
      <c r="S35" s="6" t="n"/>
    </row>
    <row r="36">
      <c r="A36" s="5" t="inlineStr">
        <is>
          <t>Other comprehensive income for the year, net of tax</t>
        </is>
      </c>
      <c r="B36" s="5" t="n">
        <v>-299.9</v>
      </c>
      <c r="C36" s="5" t="n">
        <v>310.3</v>
      </c>
      <c r="D36" s="5" t="n">
        <v>142.4</v>
      </c>
      <c r="E36" s="5" t="n">
        <v>254.9</v>
      </c>
      <c r="F36" s="5" t="n">
        <v>-996.2</v>
      </c>
      <c r="G36" s="5" t="n">
        <v>1003.6</v>
      </c>
      <c r="H36" s="5" t="n">
        <v>-509.9</v>
      </c>
      <c r="I36" s="5" t="n">
        <v>418.1</v>
      </c>
      <c r="J36" s="5" t="n">
        <v>-846.1</v>
      </c>
      <c r="K36" s="5" t="n">
        <v>-324.5</v>
      </c>
      <c r="L36" s="5" t="n">
        <v>-902.4</v>
      </c>
      <c r="M36" s="5" t="n">
        <v>4190.4</v>
      </c>
      <c r="N36" s="5" t="n">
        <v>-3227</v>
      </c>
      <c r="O36" s="5" t="n">
        <v>2200.7</v>
      </c>
      <c r="P36" s="5" t="n">
        <v>-1955.6</v>
      </c>
      <c r="Q36" s="5" t="n">
        <v>-251.1</v>
      </c>
      <c r="R36" s="5" t="n">
        <v>98.3</v>
      </c>
      <c r="S36" s="5" t="n">
        <v>0</v>
      </c>
    </row>
    <row r="37">
      <c r="A37" s="5" t="inlineStr">
        <is>
          <t>Total comprehensive income for the year, net of tax</t>
        </is>
      </c>
      <c r="B37" s="5" t="n">
        <v>1891.2</v>
      </c>
      <c r="C37" s="5" t="n">
        <v>897.9</v>
      </c>
      <c r="D37" s="5" t="n">
        <v>5084.3</v>
      </c>
      <c r="E37" s="5" t="n">
        <v>7173.1</v>
      </c>
      <c r="F37" s="5" t="n">
        <v>4790.7</v>
      </c>
      <c r="G37" s="5" t="n">
        <v>-6753.6</v>
      </c>
      <c r="H37" s="5" t="n">
        <v>1635.2</v>
      </c>
      <c r="I37" s="5" t="n">
        <v>6753.2</v>
      </c>
      <c r="J37" s="5" t="n">
        <v>3593.8</v>
      </c>
      <c r="K37" s="5" t="n">
        <v>-85522.3</v>
      </c>
      <c r="L37" s="5" t="n">
        <v>-18953.7</v>
      </c>
      <c r="M37" s="5" t="n">
        <v>9226.700000000001</v>
      </c>
      <c r="N37" s="5" t="n">
        <v>1169.2</v>
      </c>
      <c r="O37" s="5" t="n">
        <v>5601.1</v>
      </c>
      <c r="P37" s="5" t="n">
        <v>2755</v>
      </c>
      <c r="Q37" s="5" t="n">
        <v>649.2</v>
      </c>
      <c r="R37" s="5" t="n">
        <v>2511.4</v>
      </c>
      <c r="S37" s="5" t="n">
        <v>1508.4</v>
      </c>
    </row>
    <row r="39" ht="420" customHeight="1">
      <c r="A39"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
HD-089 (2026-09-07) GRANULAR INCOME STATEMENT ADD, FY2017-FY2026, Punjab National Bank (International) Limited entity-level Income Statement (native unit $'000), each year's own current-year column:
FY2026/FY2025: Annual Report and Accounts 2026, Income Statement, printed p.45 - https://www.pnbint.com/PNBIL/pdf/Financial_Reports/PNBIL-Annual-Report-2026.pdf
FY2024/FY2023: Annual Report and Accounts 2024, Income Statement, printed p.39 - https://www.pnbint.com/PNBIL/pdf/Financial_Reports/Annual_Report_31-03-2024.pdf
FY2023/FY2022: Annual Report and Accounts 2023, Income Statement, printed p.34 - https://www.pnbint.com/PNBIL/pdf/Financial_Reports/PNBIL_Annual_Report_2023.pdf
FY2022/FY2021: Annual Report and Accounts 2022, Income Statement, printed p.31 - https://www.pnbint.com/PNBIL/pdf/Financial_Reports/AnnualReport20220331.pdf
FY2021/FY2020: Annual Report and Accounts 2021, Income Statement, printed p.23 - https://www.pnbint.com/PNBIL/pdf/Financial_Reports/Annual%20report%20%2031-03-21.pdf
FY2020/FY2019: Annual Report and Accounts 2020, Income Statement, printed p.25 - https://www.pnbint.com/PNBIL/pdf/Financial_Reports/Annual%20Report%2031-03-20_latest.pdf
FY2019/FY2018: Annual Report and Accounts 2019, Income Statement, printed p.27 - https://www.pnbint.com/PNBIL/pdf/Financial_Reports/Annual%20Report%2031-03-19.pdf
FY2018/FY2017: Annual Report and Accounts 2018, Income Statement, printed p.28 - https://www.pnbint.com/PNBIL/pdf/Financial_Reports/Annual%20Report%2031-03-18.pdf
Each of the ten years above is independently cross-checked as its own current-year column AND (except FY2026) as the following year's comparative column, both matching exactly. All ten years also reconcile exactly to this file's existing PL_PROFIT bottom-line figures (Net interest income = Interest income + Interest expense; Total operating income = Net interest income + Net trading profit/(loss) + [Charge/income on interest rate derivatives, FY2017-FY2020 only] + Fee and commission income + Other operating income; Profit before tax = Total operating income - Total operating expenses - Impairment provision; Profit after tax = Profit before tax + tax charge/credit).
FY2009-FY2016 GAP NOTE: this granular breakdown could not be extended to FY2009-FY2016. FY2014-FY2016's own Annual Reports and the FY2009-FY2013 Companies House statutory filings (company 05781326) are all scanned/TIFF image PDFs with no extractable text layer (confirmed via pdftotext/pdfinfo - each shows 'Producer: libtiff / tiff2pdf'); no OCR pass was run for this ticket, so those seven years keep only the single bottom-line 'Profit after tax for the year' row already present in this sheet, plus their existing OCI detail.</t>
        </is>
      </c>
    </row>
  </sheetData>
  <mergeCells count="1">
    <mergeCell ref="A39:S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4"/>
  <sheetViews>
    <sheetView workbookViewId="0">
      <pane ySplit="4" topLeftCell="A5" activePane="bottomLeft" state="frozen"/>
      <selection pane="bottomLeft" activeCell="A1" sqref="A1"/>
    </sheetView>
  </sheetViews>
  <sheetFormatPr baseColWidth="8" defaultRowHeight="15"/>
  <cols>
    <col width="100" customWidth="1" min="1" max="1"/>
    <col width="17" customWidth="1" min="2" max="2"/>
    <col width="17" customWidth="1" min="3" max="3"/>
    <col width="17" customWidth="1" min="4" max="4"/>
    <col width="17" customWidth="1" min="5" max="5"/>
  </cols>
  <sheetData>
    <row r="1">
      <c r="A1" s="1" t="inlineStr">
        <is>
          <t>Punjab National Bank (International) Limited — Statement of Changes in Equity</t>
        </is>
      </c>
    </row>
    <row r="2">
      <c r="A2" s="2" t="inlineStr">
        <is>
          <t>Chronological roll-forward, oldest to newest, entity-level, £'000 converted from the Bank's native US$'000 presentation. Equity ladder confirmed exactly in native USD terms across all 18 years - the bridging rows (FY2018's prior period adjustment, FY2019's IFRS 9 transition, and AR2025's own Note 28/Note 35 restatement) are genuine, Bank-disclosed items, not errors. FY2021 is intentionally absent (see this file's YEARS comment), so the 1 April 2021 opening balance does not equal the FY2020 closing balance shown above it. GBP translation-adjustment rows arise only from converting a USD ladder using two different point-in-time/average rates - see the Balance Sheet sheet's GBP conversion note.</t>
        </is>
      </c>
    </row>
    <row r="3">
      <c r="A3" s="4" t="inlineStr">
        <is>
          <t>Movement</t>
        </is>
      </c>
      <c r="B3" s="4" t="inlineStr">
        <is>
          <t>Share capital</t>
        </is>
      </c>
      <c r="C3" s="4" t="inlineStr">
        <is>
          <t>Fair value reserve</t>
        </is>
      </c>
      <c r="D3" s="4" t="inlineStr">
        <is>
          <t>Retained earnings</t>
        </is>
      </c>
      <c r="E3" s="4" t="inlineStr">
        <is>
          <t>Total equity</t>
        </is>
      </c>
    </row>
    <row r="4">
      <c r="A4" s="5" t="inlineStr">
        <is>
          <t>Balance at 1 April 2008 (FY2009 opening)</t>
        </is>
      </c>
      <c r="B4" s="5" t="n">
        <v>34631.9</v>
      </c>
      <c r="C4" s="5" t="n">
        <v>20.9</v>
      </c>
      <c r="D4" s="5" t="n">
        <v>261</v>
      </c>
      <c r="E4" s="5" t="n">
        <v>34913.8</v>
      </c>
    </row>
    <row r="5">
      <c r="A5" s="6" t="inlineStr">
        <is>
          <t>Profit for the year</t>
        </is>
      </c>
      <c r="B5" s="6" t="n"/>
      <c r="C5" s="6" t="n"/>
      <c r="D5" s="6" t="n">
        <v>1508.4</v>
      </c>
      <c r="E5" s="6" t="n">
        <v>1508.4</v>
      </c>
    </row>
    <row r="6">
      <c r="A6" s="6" t="inlineStr">
        <is>
          <t>Transferred to retained earnings on sale of available-for-sale investments</t>
        </is>
      </c>
      <c r="B6" s="6" t="n"/>
      <c r="C6" s="6" t="n">
        <v>-17.5</v>
      </c>
      <c r="D6" s="6" t="n">
        <v>17.5</v>
      </c>
      <c r="E6" s="6" t="n">
        <v>0</v>
      </c>
    </row>
    <row r="7">
      <c r="A7" s="6" t="inlineStr">
        <is>
          <t>GBP translation adjustment (this workbook's conversion line)</t>
        </is>
      </c>
      <c r="B7" s="6" t="n">
        <v>0</v>
      </c>
      <c r="C7" s="6" t="n">
        <v>-3.4</v>
      </c>
      <c r="D7" s="6" t="n">
        <v>304.4</v>
      </c>
      <c r="E7" s="6" t="n">
        <v>301</v>
      </c>
    </row>
    <row r="8">
      <c r="A8" s="5" t="inlineStr">
        <is>
          <t>Balance at 31 March 2009 (FY2009 closing)</t>
        </is>
      </c>
      <c r="B8" s="5" t="n">
        <v>34631.9</v>
      </c>
      <c r="C8" s="5" t="n">
        <v>0</v>
      </c>
      <c r="D8" s="5" t="n">
        <v>2091.3</v>
      </c>
      <c r="E8" s="5" t="n">
        <v>36723.2</v>
      </c>
    </row>
    <row r="9">
      <c r="A9" s="6" t="inlineStr">
        <is>
          <t>Profit for the year</t>
        </is>
      </c>
      <c r="B9" s="6" t="n"/>
      <c r="C9" s="6" t="n"/>
      <c r="D9" s="6" t="n">
        <v>2413.1</v>
      </c>
      <c r="E9" s="6" t="n">
        <v>2413.1</v>
      </c>
    </row>
    <row r="10">
      <c r="A10" s="6" t="inlineStr">
        <is>
          <t>Fair value gains taken to equity on AFS securities</t>
        </is>
      </c>
      <c r="B10" s="6" t="n"/>
      <c r="C10" s="6" t="n">
        <v>98.3</v>
      </c>
      <c r="D10" s="6" t="n"/>
      <c r="E10" s="6" t="n">
        <v>98.3</v>
      </c>
    </row>
    <row r="11">
      <c r="A11" s="6" t="inlineStr">
        <is>
          <t>Issue of share capital</t>
        </is>
      </c>
      <c r="B11" s="6" t="n">
        <v>15649.5</v>
      </c>
      <c r="C11" s="6" t="n"/>
      <c r="D11" s="6" t="n"/>
      <c r="E11" s="6" t="n">
        <v>15649.5</v>
      </c>
    </row>
    <row r="12">
      <c r="A12" s="6" t="inlineStr">
        <is>
          <t>GBP translation adjustment (this workbook's conversion line)</t>
        </is>
      </c>
      <c r="B12" s="6" t="n">
        <v>-1075.2</v>
      </c>
      <c r="C12" s="6" t="n">
        <v>5.2</v>
      </c>
      <c r="D12" s="6" t="n">
        <v>13.3</v>
      </c>
      <c r="E12" s="6" t="n">
        <v>-1056.7</v>
      </c>
    </row>
    <row r="13">
      <c r="A13" s="5" t="inlineStr">
        <is>
          <t>Balance at 31 March 2010 (FY2010 closing)</t>
        </is>
      </c>
      <c r="B13" s="5" t="n">
        <v>49206.2</v>
      </c>
      <c r="C13" s="5" t="n">
        <v>103.5</v>
      </c>
      <c r="D13" s="5" t="n">
        <v>4517.7</v>
      </c>
      <c r="E13" s="5" t="n">
        <v>53827.4</v>
      </c>
    </row>
    <row r="14">
      <c r="A14" s="6" t="inlineStr">
        <is>
          <t>Profit for the year</t>
        </is>
      </c>
      <c r="B14" s="6" t="n"/>
      <c r="C14" s="6" t="n"/>
      <c r="D14" s="6" t="n">
        <v>900.3</v>
      </c>
      <c r="E14" s="6" t="n">
        <v>900.3</v>
      </c>
    </row>
    <row r="15">
      <c r="A15" s="6" t="inlineStr">
        <is>
          <t>Net change in fair value of AFS investments</t>
        </is>
      </c>
      <c r="B15" s="6" t="n"/>
      <c r="C15" s="6" t="n">
        <v>-150.3</v>
      </c>
      <c r="D15" s="6" t="n"/>
      <c r="E15" s="6" t="n">
        <v>-150.3</v>
      </c>
    </row>
    <row r="16">
      <c r="A16" s="6" t="inlineStr">
        <is>
          <t>Net amount transferred to profit and loss</t>
        </is>
      </c>
      <c r="B16" s="6" t="n"/>
      <c r="C16" s="6" t="n">
        <v>-100.8</v>
      </c>
      <c r="D16" s="6" t="n"/>
      <c r="E16" s="6" t="n">
        <v>-100.8</v>
      </c>
    </row>
    <row r="17">
      <c r="A17" s="6" t="inlineStr">
        <is>
          <t>Issue of Perpetual Notes (Upper Tier II capital)</t>
        </is>
      </c>
      <c r="B17" s="6" t="n">
        <v>16054.5</v>
      </c>
      <c r="C17" s="6" t="n"/>
      <c r="D17" s="6" t="n"/>
      <c r="E17" s="6" t="n">
        <v>16054.5</v>
      </c>
    </row>
    <row r="18">
      <c r="A18" s="6" t="inlineStr">
        <is>
          <t>GBP translation adjustment (this workbook's conversion line)</t>
        </is>
      </c>
      <c r="B18" s="6" t="n">
        <v>-3107.9</v>
      </c>
      <c r="C18" s="6" t="n">
        <v>1.6</v>
      </c>
      <c r="D18" s="6" t="n">
        <v>-268.9</v>
      </c>
      <c r="E18" s="6" t="n">
        <v>-3375.8</v>
      </c>
    </row>
    <row r="19">
      <c r="A19" s="5" t="inlineStr">
        <is>
          <t>Balance at 31 March 2011 (FY2011 closing)</t>
        </is>
      </c>
      <c r="B19" s="5" t="n">
        <v>62152.8</v>
      </c>
      <c r="C19" s="5" t="n">
        <v>-146</v>
      </c>
      <c r="D19" s="5" t="n">
        <v>5149.1</v>
      </c>
      <c r="E19" s="5" t="n">
        <v>67155.3</v>
      </c>
    </row>
    <row r="20">
      <c r="A20" s="6" t="inlineStr">
        <is>
          <t>Profit for the year</t>
        </is>
      </c>
      <c r="B20" s="6" t="n"/>
      <c r="C20" s="6" t="n"/>
      <c r="D20" s="6" t="n">
        <v>4710.6</v>
      </c>
      <c r="E20" s="6" t="n">
        <v>4710.6</v>
      </c>
    </row>
    <row r="21">
      <c r="A21" s="6" t="inlineStr">
        <is>
          <t>Net change in fair value of AFS investments</t>
        </is>
      </c>
      <c r="B21" s="6" t="n"/>
      <c r="C21" s="6" t="n">
        <v>-2175.1</v>
      </c>
      <c r="D21" s="6" t="n"/>
      <c r="E21" s="6" t="n">
        <v>-2175.1</v>
      </c>
    </row>
    <row r="22">
      <c r="A22" s="6" t="inlineStr">
        <is>
          <t>Net amount transferred to profit and loss</t>
        </is>
      </c>
      <c r="B22" s="6" t="n"/>
      <c r="C22" s="6" t="n">
        <v>219.4</v>
      </c>
      <c r="D22" s="6" t="n"/>
      <c r="E22" s="6" t="n">
        <v>219.4</v>
      </c>
    </row>
    <row r="23">
      <c r="A23" s="6" t="inlineStr">
        <is>
          <t>Issue of share capital</t>
        </is>
      </c>
      <c r="B23" s="6" t="n">
        <v>7837.5</v>
      </c>
      <c r="C23" s="6" t="n"/>
      <c r="D23" s="6" t="n"/>
      <c r="E23" s="6" t="n">
        <v>7837.5</v>
      </c>
    </row>
    <row r="24">
      <c r="A24" s="6" t="inlineStr">
        <is>
          <t>Dividend on subordinated debt</t>
        </is>
      </c>
      <c r="B24" s="6" t="n"/>
      <c r="C24" s="6" t="n"/>
      <c r="D24" s="6" t="n">
        <v>-718.5</v>
      </c>
      <c r="E24" s="6" t="n">
        <v>-718.5</v>
      </c>
    </row>
    <row r="25">
      <c r="A25" s="6" t="inlineStr">
        <is>
          <t>GBP translation adjustment (this workbook's conversion line)</t>
        </is>
      </c>
      <c r="B25" s="6" t="n">
        <v>174.9</v>
      </c>
      <c r="C25" s="6" t="n">
        <v>3.6</v>
      </c>
      <c r="D25" s="6" t="n">
        <v>7.8</v>
      </c>
      <c r="E25" s="6" t="n">
        <v>186.9</v>
      </c>
    </row>
    <row r="26">
      <c r="A26" s="5" t="inlineStr">
        <is>
          <t>Balance at 31 March 2012 (FY2012 closing)</t>
        </is>
      </c>
      <c r="B26" s="5" t="n">
        <v>70165.2</v>
      </c>
      <c r="C26" s="5" t="n">
        <v>-2098.1</v>
      </c>
      <c r="D26" s="5" t="n">
        <v>9149</v>
      </c>
      <c r="E26" s="5" t="n">
        <v>77216.10000000001</v>
      </c>
    </row>
    <row r="27">
      <c r="A27" s="6" t="inlineStr">
        <is>
          <t>Profit for the year</t>
        </is>
      </c>
      <c r="B27" s="6" t="n"/>
      <c r="C27" s="6" t="n"/>
      <c r="D27" s="6" t="n">
        <v>3400.4</v>
      </c>
      <c r="E27" s="6" t="n">
        <v>3400.4</v>
      </c>
    </row>
    <row r="28">
      <c r="A28" s="6" t="inlineStr">
        <is>
          <t>Net change in fair value of AFS investments</t>
        </is>
      </c>
      <c r="B28" s="6" t="n"/>
      <c r="C28" s="6" t="n">
        <v>251.8</v>
      </c>
      <c r="D28" s="6" t="n"/>
      <c r="E28" s="6" t="n">
        <v>251.8</v>
      </c>
    </row>
    <row r="29">
      <c r="A29" s="6" t="inlineStr">
        <is>
          <t>Net amount transferred to profit and loss</t>
        </is>
      </c>
      <c r="B29" s="6" t="n"/>
      <c r="C29" s="6" t="n">
        <v>1948.9</v>
      </c>
      <c r="D29" s="6" t="n"/>
      <c r="E29" s="6" t="n">
        <v>1948.9</v>
      </c>
    </row>
    <row r="30">
      <c r="A30" s="6" t="inlineStr">
        <is>
          <t>Issue of share capital</t>
        </is>
      </c>
      <c r="B30" s="6" t="n">
        <v>7909.4</v>
      </c>
      <c r="C30" s="6" t="n"/>
      <c r="D30" s="6" t="n"/>
      <c r="E30" s="6" t="n">
        <v>7909.4</v>
      </c>
    </row>
    <row r="31">
      <c r="A31" s="6" t="inlineStr">
        <is>
          <t>Dividend to subordinated debt holders</t>
        </is>
      </c>
      <c r="B31" s="6" t="n"/>
      <c r="C31" s="6" t="n"/>
      <c r="D31" s="6" t="n">
        <v>-739.1</v>
      </c>
      <c r="E31" s="6" t="n">
        <v>-739.1</v>
      </c>
    </row>
    <row r="32">
      <c r="A32" s="6" t="inlineStr">
        <is>
          <t>GBP translation adjustment (this workbook's conversion line)</t>
        </is>
      </c>
      <c r="B32" s="6" t="n">
        <v>4022.1</v>
      </c>
      <c r="C32" s="6" t="n">
        <v>-20.3</v>
      </c>
      <c r="D32" s="6" t="n">
        <v>591.4</v>
      </c>
      <c r="E32" s="6" t="n">
        <v>4593.2</v>
      </c>
    </row>
    <row r="33">
      <c r="A33" s="5" t="inlineStr">
        <is>
          <t>Balance at 31 March 2013 / 1 April 2013 (FY2013 closing / FY2014 opening)</t>
        </is>
      </c>
      <c r="B33" s="5" t="n">
        <v>82096.7</v>
      </c>
      <c r="C33" s="5" t="n">
        <v>82.3</v>
      </c>
      <c r="D33" s="5" t="n">
        <v>12401.7</v>
      </c>
      <c r="E33" s="5" t="n">
        <v>94580.7</v>
      </c>
    </row>
    <row r="34">
      <c r="A34" s="6" t="inlineStr">
        <is>
          <t>Profit for the year</t>
        </is>
      </c>
      <c r="B34" s="6" t="n"/>
      <c r="C34" s="6" t="n"/>
      <c r="D34" s="6" t="n">
        <v>4396.2</v>
      </c>
      <c r="E34" s="6" t="n">
        <v>4396.2</v>
      </c>
    </row>
    <row r="35">
      <c r="A35" s="6" t="inlineStr">
        <is>
          <t>Net change in fair value of AFS investments</t>
        </is>
      </c>
      <c r="B35" s="6" t="n"/>
      <c r="C35" s="6" t="n">
        <v>-3041.5</v>
      </c>
      <c r="D35" s="6" t="n"/>
      <c r="E35" s="6" t="n">
        <v>-3041.5</v>
      </c>
    </row>
    <row r="36">
      <c r="A36" s="6" t="inlineStr">
        <is>
          <t>Net amount transferred to profit and loss</t>
        </is>
      </c>
      <c r="B36" s="6" t="n"/>
      <c r="C36" s="6" t="n">
        <v>-185.5</v>
      </c>
      <c r="D36" s="6" t="n"/>
      <c r="E36" s="6" t="n">
        <v>-185.5</v>
      </c>
    </row>
    <row r="37">
      <c r="A37" s="6" t="inlineStr">
        <is>
          <t>Issue of share capital</t>
        </is>
      </c>
      <c r="B37" s="6" t="n">
        <v>31446.5</v>
      </c>
      <c r="C37" s="6" t="n"/>
      <c r="D37" s="6" t="n"/>
      <c r="E37" s="6" t="n">
        <v>31446.5</v>
      </c>
    </row>
    <row r="38">
      <c r="A38" s="6" t="inlineStr">
        <is>
          <t>Dividend on perpetual Tier II capital</t>
        </is>
      </c>
      <c r="B38" s="6" t="n"/>
      <c r="C38" s="6" t="n"/>
      <c r="D38" s="6" t="n">
        <v>-698.7</v>
      </c>
      <c r="E38" s="6" t="n">
        <v>-698.7</v>
      </c>
    </row>
    <row r="39">
      <c r="A39" s="6" t="inlineStr">
        <is>
          <t>GBP translation adjustment (this workbook's conversion line)</t>
        </is>
      </c>
      <c r="B39" s="6" t="n">
        <v>-8804.4</v>
      </c>
      <c r="C39" s="6" t="n">
        <v>142.2</v>
      </c>
      <c r="D39" s="6" t="n">
        <v>-1281.2</v>
      </c>
      <c r="E39" s="6" t="n">
        <v>-9943.4</v>
      </c>
    </row>
    <row r="40">
      <c r="A40" s="5" t="inlineStr">
        <is>
          <t>Balance at 31 March 2014 (FY2014 closing)</t>
        </is>
      </c>
      <c r="B40" s="5" t="n">
        <v>104738.8</v>
      </c>
      <c r="C40" s="5" t="n">
        <v>-3002.5</v>
      </c>
      <c r="D40" s="5" t="n">
        <v>14818</v>
      </c>
      <c r="E40" s="5" t="n">
        <v>116554.3</v>
      </c>
    </row>
    <row r="41">
      <c r="A41" s="6" t="inlineStr">
        <is>
          <t>Profit for the year</t>
        </is>
      </c>
      <c r="B41" s="6" t="n"/>
      <c r="C41" s="6" t="n"/>
      <c r="D41" s="6" t="n">
        <v>5036.3</v>
      </c>
      <c r="E41" s="6" t="n">
        <v>5036.3</v>
      </c>
    </row>
    <row r="42">
      <c r="A42" s="6" t="inlineStr">
        <is>
          <t>Net change in fair value of AFS investments</t>
        </is>
      </c>
      <c r="B42" s="6" t="n"/>
      <c r="C42" s="6" t="n">
        <v>2850.2</v>
      </c>
      <c r="D42" s="6" t="n"/>
      <c r="E42" s="6" t="n">
        <v>2850.2</v>
      </c>
    </row>
    <row r="43">
      <c r="A43" s="6" t="inlineStr">
        <is>
          <t>Net amount transferred to profit and loss</t>
        </is>
      </c>
      <c r="B43" s="6" t="n"/>
      <c r="C43" s="6" t="n">
        <v>1340.2</v>
      </c>
      <c r="D43" s="6" t="n"/>
      <c r="E43" s="6" t="n">
        <v>1340.2</v>
      </c>
    </row>
    <row r="44">
      <c r="A44" s="6" t="inlineStr">
        <is>
          <t>Dividend on perpetual Tier II capital</t>
        </is>
      </c>
      <c r="B44" s="6" t="n"/>
      <c r="C44" s="6" t="n"/>
      <c r="D44" s="6" t="n">
        <v>-671</v>
      </c>
      <c r="E44" s="6" t="n">
        <v>-671</v>
      </c>
    </row>
    <row r="45">
      <c r="A45" s="6" t="inlineStr">
        <is>
          <t>GBP translation adjustment (this workbook's conversion line)</t>
        </is>
      </c>
      <c r="B45" s="6" t="n">
        <v>12881.6</v>
      </c>
      <c r="C45" s="6" t="n">
        <v>-8.5</v>
      </c>
      <c r="D45" s="6" t="n">
        <v>2198.1</v>
      </c>
      <c r="E45" s="6" t="n">
        <v>15071.2</v>
      </c>
    </row>
    <row r="46">
      <c r="A46" s="5" t="inlineStr">
        <is>
          <t>Balance at 31 March 2015 (FY2015 closing)</t>
        </is>
      </c>
      <c r="B46" s="5" t="n">
        <v>117620.4</v>
      </c>
      <c r="C46" s="5" t="n">
        <v>1179.4</v>
      </c>
      <c r="D46" s="5" t="n">
        <v>21381.4</v>
      </c>
      <c r="E46" s="5" t="n">
        <v>140181.2</v>
      </c>
    </row>
    <row r="47">
      <c r="A47" s="6" t="inlineStr">
        <is>
          <t>Loss for the year</t>
        </is>
      </c>
      <c r="B47" s="6" t="n"/>
      <c r="C47" s="6" t="n"/>
      <c r="D47" s="6" t="n">
        <v>-18051.3</v>
      </c>
      <c r="E47" s="6" t="n">
        <v>-18051.3</v>
      </c>
    </row>
    <row r="48">
      <c r="A48" s="6" t="inlineStr">
        <is>
          <t>Net change in fair value of AFS investments</t>
        </is>
      </c>
      <c r="B48" s="6" t="n"/>
      <c r="C48" s="6" t="n">
        <v>-855.3</v>
      </c>
      <c r="D48" s="6" t="n"/>
      <c r="E48" s="6" t="n">
        <v>-855.3</v>
      </c>
    </row>
    <row r="49">
      <c r="A49" s="6" t="inlineStr">
        <is>
          <t>Net amount transferred to profit and loss</t>
        </is>
      </c>
      <c r="B49" s="6" t="n"/>
      <c r="C49" s="6" t="n">
        <v>-47.1</v>
      </c>
      <c r="D49" s="6" t="n"/>
      <c r="E49" s="6" t="n">
        <v>-47.1</v>
      </c>
    </row>
    <row r="50">
      <c r="A50" s="6" t="inlineStr">
        <is>
          <t>Dividend on perpetual Tier II capital</t>
        </is>
      </c>
      <c r="B50" s="6" t="n"/>
      <c r="C50" s="6" t="n"/>
      <c r="D50" s="6" t="n">
        <v>-753.9</v>
      </c>
      <c r="E50" s="6" t="n">
        <v>-753.9</v>
      </c>
    </row>
    <row r="51">
      <c r="A51" s="6" t="inlineStr">
        <is>
          <t>Deferred tax benefit</t>
        </is>
      </c>
      <c r="B51" s="6" t="n"/>
      <c r="C51" s="6" t="n"/>
      <c r="D51" s="6" t="n">
        <v>150.5</v>
      </c>
      <c r="E51" s="6" t="n">
        <v>150.5</v>
      </c>
    </row>
    <row r="52">
      <c r="A52" s="6" t="inlineStr">
        <is>
          <t>GBP translation adjustment (this workbook's conversion line)</t>
        </is>
      </c>
      <c r="B52" s="6" t="n">
        <v>3836.7</v>
      </c>
      <c r="C52" s="6" t="n">
        <v>-5.8</v>
      </c>
      <c r="D52" s="6" t="n">
        <v>-215.9</v>
      </c>
      <c r="E52" s="6" t="n">
        <v>3615</v>
      </c>
    </row>
    <row r="53">
      <c r="A53" s="5" t="inlineStr">
        <is>
          <t>Balance at 31 March 2016 (FY2016 closing)</t>
        </is>
      </c>
      <c r="B53" s="5" t="n">
        <v>121457.1</v>
      </c>
      <c r="C53" s="5" t="n">
        <v>271.2</v>
      </c>
      <c r="D53" s="5" t="n">
        <v>2510.8</v>
      </c>
      <c r="E53" s="5" t="n">
        <v>124239.1</v>
      </c>
    </row>
    <row r="54">
      <c r="A54" s="6" t="inlineStr">
        <is>
          <t>Loss for the year</t>
        </is>
      </c>
      <c r="B54" s="6" t="n"/>
      <c r="C54" s="6" t="n"/>
      <c r="D54" s="6" t="n">
        <v>-85197.8</v>
      </c>
      <c r="E54" s="6" t="n">
        <v>-85197.8</v>
      </c>
    </row>
    <row r="55">
      <c r="A55" s="6" t="inlineStr">
        <is>
          <t>Net change in fair value of AFS investments</t>
        </is>
      </c>
      <c r="B55" s="6" t="n"/>
      <c r="C55" s="6" t="n">
        <v>-324.5</v>
      </c>
      <c r="D55" s="6" t="n"/>
      <c r="E55" s="6" t="n">
        <v>-324.5</v>
      </c>
    </row>
    <row r="56">
      <c r="A56" s="6" t="inlineStr">
        <is>
          <t>Tax credit arising on AFS reserve movement (Bank's own footnoted item, posted to retained earnings)</t>
        </is>
      </c>
      <c r="B56" s="6" t="n"/>
      <c r="C56" s="6" t="n"/>
      <c r="D56" s="6" t="n">
        <v>-16.8</v>
      </c>
      <c r="E56" s="6" t="n">
        <v>-16.8</v>
      </c>
    </row>
    <row r="57">
      <c r="A57" s="6" t="inlineStr">
        <is>
          <t>Issue of share capital</t>
        </is>
      </c>
      <c r="B57" s="6" t="n">
        <v>95660.8</v>
      </c>
      <c r="C57" s="6" t="n"/>
      <c r="D57" s="6" t="n"/>
      <c r="E57" s="6" t="n">
        <v>95660.8</v>
      </c>
    </row>
    <row r="58">
      <c r="A58" s="6" t="inlineStr">
        <is>
          <t>GBP translation adjustment (this workbook's conversion line)</t>
        </is>
      </c>
      <c r="B58" s="6" t="n">
        <v>22452.7</v>
      </c>
      <c r="C58" s="6" t="n">
        <v>26.1</v>
      </c>
      <c r="D58" s="6" t="n">
        <v>-3440</v>
      </c>
      <c r="E58" s="6" t="n">
        <v>19038.9</v>
      </c>
    </row>
    <row r="59">
      <c r="A59" s="5" t="inlineStr">
        <is>
          <t>Balance at 31 March 2017 (FY2017 closing)</t>
        </is>
      </c>
      <c r="B59" s="5" t="n">
        <v>239570.6</v>
      </c>
      <c r="C59" s="5" t="n">
        <v>-27.2</v>
      </c>
      <c r="D59" s="5" t="n">
        <v>-86143.8</v>
      </c>
      <c r="E59" s="5" t="n">
        <v>153399.7</v>
      </c>
    </row>
    <row r="60">
      <c r="A60" s="6" t="inlineStr">
        <is>
          <t>Prior period adjustment (tax credit arising on AFS reserve movement)</t>
        </is>
      </c>
      <c r="B60" s="6" t="n"/>
      <c r="C60" s="6" t="n"/>
      <c r="D60" s="6" t="n">
        <v>-58.9</v>
      </c>
      <c r="E60" s="6" t="n">
        <v>-58.9</v>
      </c>
    </row>
    <row r="61">
      <c r="A61" s="5" t="inlineStr">
        <is>
          <t>Balance at 1 April 2017, as restated (FY2018 opening)</t>
        </is>
      </c>
      <c r="B61" s="5" t="n">
        <v>239570.6</v>
      </c>
      <c r="C61" s="5" t="n">
        <v>-27.2</v>
      </c>
      <c r="D61" s="5" t="n">
        <v>-86205.3</v>
      </c>
      <c r="E61" s="5" t="n">
        <v>153338.1</v>
      </c>
    </row>
    <row r="62">
      <c r="A62" s="6" t="inlineStr">
        <is>
          <t>Profit for the year</t>
        </is>
      </c>
      <c r="B62" s="6" t="n"/>
      <c r="C62" s="6" t="n"/>
      <c r="D62" s="6" t="n">
        <v>4439.8</v>
      </c>
      <c r="E62" s="6" t="n">
        <v>4439.8</v>
      </c>
    </row>
    <row r="63">
      <c r="A63" s="6" t="inlineStr">
        <is>
          <t>Net change in fair value of AFS investments</t>
        </is>
      </c>
      <c r="B63" s="6" t="n"/>
      <c r="C63" s="6" t="n">
        <v>-666.8</v>
      </c>
      <c r="D63" s="6" t="n"/>
      <c r="E63" s="6" t="n">
        <v>-666.8</v>
      </c>
    </row>
    <row r="64">
      <c r="A64" s="6" t="inlineStr">
        <is>
          <t>Net amount transferred to profit and loss</t>
        </is>
      </c>
      <c r="B64" s="6" t="n"/>
      <c r="C64" s="6" t="n">
        <v>-179.3</v>
      </c>
      <c r="D64" s="6" t="n"/>
      <c r="E64" s="6" t="n">
        <v>-179.3</v>
      </c>
    </row>
    <row r="65">
      <c r="A65" s="6" t="inlineStr">
        <is>
          <t>Issue of share capital</t>
        </is>
      </c>
      <c r="B65" s="6" t="n">
        <v>15068.2</v>
      </c>
      <c r="C65" s="6" t="n"/>
      <c r="D65" s="6" t="n"/>
      <c r="E65" s="6" t="n">
        <v>15068.2</v>
      </c>
    </row>
    <row r="66">
      <c r="A66" s="6" t="inlineStr">
        <is>
          <t>Dividend on perpetual additional Tier I capital</t>
        </is>
      </c>
      <c r="B66" s="6" t="n"/>
      <c r="C66" s="6" t="n"/>
      <c r="D66" s="6" t="n">
        <v>-2206</v>
      </c>
      <c r="E66" s="6" t="n">
        <v>-2206</v>
      </c>
    </row>
    <row r="67">
      <c r="A67" s="6" t="inlineStr">
        <is>
          <t>GBP translation adjustment (this workbook's conversion line)</t>
        </is>
      </c>
      <c r="B67" s="6" t="n">
        <v>-26867.8</v>
      </c>
      <c r="C67" s="6" t="n">
        <v>48.8</v>
      </c>
      <c r="D67" s="6" t="n">
        <v>9253.299999999999</v>
      </c>
      <c r="E67" s="6" t="n">
        <v>-17565.7</v>
      </c>
    </row>
    <row r="68">
      <c r="A68" s="5" t="inlineStr">
        <is>
          <t>Balance at 31 March 2018 (FY2018 closing)</t>
        </is>
      </c>
      <c r="B68" s="5" t="n">
        <v>227771</v>
      </c>
      <c r="C68" s="5" t="n">
        <v>-824.5</v>
      </c>
      <c r="D68" s="5" t="n">
        <v>-74718.2</v>
      </c>
      <c r="E68" s="5" t="n">
        <v>152228.3</v>
      </c>
    </row>
    <row r="69">
      <c r="A69" s="6" t="inlineStr">
        <is>
          <t>IFRS 9 adoption (retained earnings transition adjustment)</t>
        </is>
      </c>
      <c r="B69" s="6" t="n"/>
      <c r="C69" s="6" t="n"/>
      <c r="D69" s="6" t="n">
        <v>-1946.8</v>
      </c>
      <c r="E69" s="6" t="n">
        <v>-1946.8</v>
      </c>
    </row>
    <row r="70">
      <c r="A70" s="5" t="inlineStr">
        <is>
          <t>Balance at 1 April 2018, as adjusted for IFRS 9 adoption (FY2019 opening)</t>
        </is>
      </c>
      <c r="B70" s="5" t="n">
        <v>227771</v>
      </c>
      <c r="C70" s="5" t="n">
        <v>-824.5</v>
      </c>
      <c r="D70" s="5" t="n">
        <v>-76559.5</v>
      </c>
      <c r="E70" s="5" t="n">
        <v>150386.9</v>
      </c>
    </row>
    <row r="71">
      <c r="A71" s="6" t="inlineStr">
        <is>
          <t>Profit for the year</t>
        </is>
      </c>
      <c r="B71" s="6" t="n"/>
      <c r="C71" s="6" t="n"/>
      <c r="D71" s="6" t="n">
        <v>6335.1</v>
      </c>
      <c r="E71" s="6" t="n">
        <v>6335.1</v>
      </c>
    </row>
    <row r="72">
      <c r="A72" s="6" t="inlineStr">
        <is>
          <t>Net change in fair value of Investment securities - FVTOCI</t>
        </is>
      </c>
      <c r="B72" s="6" t="n"/>
      <c r="C72" s="6" t="n">
        <v>340.4</v>
      </c>
      <c r="D72" s="6" t="n"/>
      <c r="E72" s="6" t="n">
        <v>340.4</v>
      </c>
    </row>
    <row r="73">
      <c r="A73" s="6" t="inlineStr">
        <is>
          <t>Net amount transferred to profit and loss</t>
        </is>
      </c>
      <c r="B73" s="6" t="n"/>
      <c r="C73" s="6" t="n">
        <v>77.7</v>
      </c>
      <c r="D73" s="6" t="n"/>
      <c r="E73" s="6" t="n">
        <v>77.7</v>
      </c>
    </row>
    <row r="74">
      <c r="A74" s="6" t="inlineStr">
        <is>
          <t>Dividend on perpetual additional Tier I capital</t>
        </is>
      </c>
      <c r="B74" s="6" t="n"/>
      <c r="C74" s="6" t="n"/>
      <c r="D74" s="6" t="n">
        <v>-2613.9</v>
      </c>
      <c r="E74" s="6" t="n">
        <v>-2613.9</v>
      </c>
    </row>
    <row r="75">
      <c r="A75" s="6" t="inlineStr">
        <is>
          <t>IFRS 9 deferred tax transitional adjustment</t>
        </is>
      </c>
      <c r="B75" s="6" t="n"/>
      <c r="C75" s="6" t="n"/>
      <c r="D75" s="6" t="n">
        <v>301.6</v>
      </c>
      <c r="E75" s="6" t="n">
        <v>301.6</v>
      </c>
    </row>
    <row r="76">
      <c r="A76" s="6" t="inlineStr">
        <is>
          <t>GBP translation adjustment (this workbook's conversion line)</t>
        </is>
      </c>
      <c r="B76" s="6" t="n">
        <v>17532.9</v>
      </c>
      <c r="C76" s="6" t="n">
        <v>-60.2</v>
      </c>
      <c r="D76" s="6" t="n">
        <v>-5862.4</v>
      </c>
      <c r="E76" s="6" t="n">
        <v>11610.4</v>
      </c>
    </row>
    <row r="77">
      <c r="A77" s="5" t="inlineStr">
        <is>
          <t>Balance at 31 March 2019 (FY2019 closing)</t>
        </is>
      </c>
      <c r="B77" s="5" t="n">
        <v>245303.9</v>
      </c>
      <c r="C77" s="5" t="n">
        <v>-466.6</v>
      </c>
      <c r="D77" s="5" t="n">
        <v>-78399.10000000001</v>
      </c>
      <c r="E77" s="5" t="n">
        <v>166438.2</v>
      </c>
    </row>
    <row r="78">
      <c r="A78" s="6" t="inlineStr">
        <is>
          <t>Profit for the year</t>
        </is>
      </c>
      <c r="B78" s="6" t="n"/>
      <c r="C78" s="6" t="n"/>
      <c r="D78" s="6" t="n">
        <v>2145.1</v>
      </c>
      <c r="E78" s="6" t="n">
        <v>2145.1</v>
      </c>
    </row>
    <row r="79">
      <c r="A79" s="6" t="inlineStr">
        <is>
          <t>Net change in fair value of Investment securities - FVTOCI</t>
        </is>
      </c>
      <c r="B79" s="6" t="n"/>
      <c r="C79" s="6" t="n">
        <v>-519.4</v>
      </c>
      <c r="D79" s="6" t="n"/>
      <c r="E79" s="6" t="n">
        <v>-519.4</v>
      </c>
    </row>
    <row r="80">
      <c r="A80" s="6" t="inlineStr">
        <is>
          <t>Net amount transferred to Profit &amp; Loss</t>
        </is>
      </c>
      <c r="B80" s="6" t="n"/>
      <c r="C80" s="6" t="n">
        <v>9.4</v>
      </c>
      <c r="D80" s="6" t="n"/>
      <c r="E80" s="6" t="n">
        <v>9.4</v>
      </c>
    </row>
    <row r="81">
      <c r="A81" s="6" t="inlineStr">
        <is>
          <t>Dividend on additional Tier 1 capital</t>
        </is>
      </c>
      <c r="B81" s="6" t="n"/>
      <c r="C81" s="6" t="n"/>
      <c r="D81" s="6" t="n">
        <v>-2645.6</v>
      </c>
      <c r="E81" s="6" t="n">
        <v>-2645.6</v>
      </c>
    </row>
    <row r="82">
      <c r="A82" s="6" t="inlineStr">
        <is>
          <t>GBP translation adjustment (this workbook's conversion line)</t>
        </is>
      </c>
      <c r="B82" s="6" t="n">
        <v>12400.7</v>
      </c>
      <c r="C82" s="6" t="n">
        <v>-36.1</v>
      </c>
      <c r="D82" s="6" t="n">
        <v>-3975.5</v>
      </c>
      <c r="E82" s="6" t="n">
        <v>8389.1</v>
      </c>
    </row>
    <row r="83">
      <c r="A83" s="5" t="inlineStr">
        <is>
          <t>Balance at 31 March 2020 (FY2020 closing)</t>
        </is>
      </c>
      <c r="B83" s="5" t="n">
        <v>257704.6</v>
      </c>
      <c r="C83" s="5" t="n">
        <v>-1012.7</v>
      </c>
      <c r="D83" s="5" t="n">
        <v>-82875.10000000001</v>
      </c>
      <c r="E83" s="5" t="n">
        <v>173816.8</v>
      </c>
    </row>
    <row r="84">
      <c r="A84" s="6" t="inlineStr">
        <is>
          <t>Loss for the year</t>
        </is>
      </c>
      <c r="B84" s="6" t="n"/>
      <c r="C84" s="6" t="n"/>
      <c r="D84" s="6" t="n">
        <v>-7757.1</v>
      </c>
      <c r="E84" s="6" t="n">
        <v>-7757.1</v>
      </c>
    </row>
    <row r="85">
      <c r="A85" s="6" t="inlineStr">
        <is>
          <t>Net change in fair value of Investment securities - FVOCI</t>
        </is>
      </c>
      <c r="B85" s="6" t="n"/>
      <c r="C85" s="6" t="n">
        <v>949.7</v>
      </c>
      <c r="D85" s="6" t="n"/>
      <c r="E85" s="6" t="n">
        <v>949.7</v>
      </c>
    </row>
    <row r="86">
      <c r="A86" s="6" t="inlineStr">
        <is>
          <t>Net amount transferred to Profit &amp; Loss</t>
        </is>
      </c>
      <c r="B86" s="6" t="n"/>
      <c r="C86" s="6" t="n">
        <v>53.8</v>
      </c>
      <c r="D86" s="6" t="n"/>
      <c r="E86" s="6" t="n">
        <v>53.8</v>
      </c>
    </row>
    <row r="87">
      <c r="A87" s="6" t="inlineStr">
        <is>
          <t>Dividend on additional Tier 1 capital</t>
        </is>
      </c>
      <c r="B87" s="6" t="n"/>
      <c r="C87" s="6" t="n"/>
      <c r="D87" s="6" t="n">
        <v>-1960.9</v>
      </c>
      <c r="E87" s="6" t="n">
        <v>-1960.9</v>
      </c>
    </row>
    <row r="88">
      <c r="A88" s="6" t="inlineStr">
        <is>
          <t>GBP translation adjustment (this workbook's conversion line)</t>
        </is>
      </c>
      <c r="B88" s="6" t="n">
        <v>-26020.8</v>
      </c>
      <c r="C88" s="6" t="n">
        <v>58.5</v>
      </c>
      <c r="D88" s="6" t="n">
        <v>8792.700000000001</v>
      </c>
      <c r="E88" s="6" t="n">
        <v>-17169.6</v>
      </c>
    </row>
    <row r="89">
      <c r="A89" s="5" t="inlineStr">
        <is>
          <t>Balance at 31 March 2021 (FY2021 closing)</t>
        </is>
      </c>
      <c r="B89" s="5" t="n">
        <v>231683.8</v>
      </c>
      <c r="C89" s="5" t="n">
        <v>49.3</v>
      </c>
      <c r="D89" s="5" t="n">
        <v>-83800.39999999999</v>
      </c>
      <c r="E89" s="5" t="n">
        <v>147932.7</v>
      </c>
    </row>
    <row r="90">
      <c r="A90" s="5" t="inlineStr">
        <is>
          <t>Balance at 1 April 2021 (FY2022 opening)</t>
        </is>
      </c>
      <c r="B90" s="5" t="n">
        <v>231683.8</v>
      </c>
      <c r="C90" s="5" t="n">
        <v>49.3</v>
      </c>
      <c r="D90" s="5" t="n">
        <v>-83800.39999999999</v>
      </c>
      <c r="E90" s="5" t="n">
        <v>147932.7</v>
      </c>
    </row>
    <row r="91">
      <c r="A91" s="6" t="inlineStr">
        <is>
          <t>Profit for the year</t>
        </is>
      </c>
      <c r="B91" s="6" t="n"/>
      <c r="C91" s="6" t="n"/>
      <c r="D91" s="6" t="n">
        <v>5786.9</v>
      </c>
      <c r="E91" s="6" t="n">
        <v>5786.9</v>
      </c>
    </row>
    <row r="92">
      <c r="A92" s="6" t="inlineStr">
        <is>
          <t>Net change in fair value of Investment Securities - FVOCI</t>
        </is>
      </c>
      <c r="B92" s="6" t="n"/>
      <c r="C92" s="6" t="n">
        <v>-1149.2</v>
      </c>
      <c r="D92" s="6" t="n"/>
      <c r="E92" s="6" t="n">
        <v>-1149.2</v>
      </c>
    </row>
    <row r="93">
      <c r="A93" s="6" t="inlineStr">
        <is>
          <t>Net amount transferred to Profit &amp; Loss</t>
        </is>
      </c>
      <c r="B93" s="6" t="n"/>
      <c r="C93" s="6" t="n">
        <v>153</v>
      </c>
      <c r="D93" s="6" t="n"/>
      <c r="E93" s="6" t="n">
        <v>153</v>
      </c>
    </row>
    <row r="94">
      <c r="A94" s="6" t="inlineStr">
        <is>
          <t>Dividend on additional Tier 1 capital</t>
        </is>
      </c>
      <c r="B94" s="6" t="n"/>
      <c r="C94" s="6" t="n"/>
      <c r="D94" s="6" t="n">
        <v>-1732.5</v>
      </c>
      <c r="E94" s="6" t="n">
        <v>-1732.5</v>
      </c>
    </row>
    <row r="95">
      <c r="A95" s="6" t="inlineStr">
        <is>
          <t>GBP translation adjustment (this workbook's conversion line)</t>
        </is>
      </c>
      <c r="B95" s="6" t="n">
        <v>11160</v>
      </c>
      <c r="C95" s="6" t="n">
        <v>-35.5</v>
      </c>
      <c r="D95" s="6" t="n">
        <v>-3882.6</v>
      </c>
      <c r="E95" s="6" t="n">
        <v>7241.9</v>
      </c>
    </row>
    <row r="96">
      <c r="A96" s="5" t="inlineStr">
        <is>
          <t>Balance at 31 March 2022 (FY2022 closing)</t>
        </is>
      </c>
      <c r="B96" s="5" t="n">
        <v>242843.8</v>
      </c>
      <c r="C96" s="5" t="n">
        <v>-982.4</v>
      </c>
      <c r="D96" s="5" t="n">
        <v>-83628.60000000001</v>
      </c>
      <c r="E96" s="5" t="n">
        <v>158232.8</v>
      </c>
    </row>
    <row r="97">
      <c r="A97" s="6" t="inlineStr">
        <is>
          <t>Profit for the year</t>
        </is>
      </c>
      <c r="B97" s="6" t="n"/>
      <c r="C97" s="6" t="n"/>
      <c r="D97" s="6" t="n">
        <v>6918.2</v>
      </c>
      <c r="E97" s="6" t="n">
        <v>6918.2</v>
      </c>
    </row>
    <row r="98">
      <c r="A98" s="6" t="inlineStr">
        <is>
          <t>Net change in fair value of Investment Securities - FVOCI</t>
        </is>
      </c>
      <c r="B98" s="6" t="n"/>
      <c r="C98" s="6" t="n">
        <v>-73.09999999999999</v>
      </c>
      <c r="D98" s="6" t="n"/>
      <c r="E98" s="6" t="n">
        <v>-73.09999999999999</v>
      </c>
    </row>
    <row r="99">
      <c r="A99" s="6" t="inlineStr">
        <is>
          <t>Net amount transferred to Profit &amp; Loss</t>
        </is>
      </c>
      <c r="B99" s="6" t="n"/>
      <c r="C99" s="6" t="n">
        <v>327.9</v>
      </c>
      <c r="D99" s="6" t="n"/>
      <c r="E99" s="6" t="n">
        <v>327.9</v>
      </c>
    </row>
    <row r="100">
      <c r="A100" s="6" t="inlineStr">
        <is>
          <t>Dividend on additional Tier 1 capital</t>
        </is>
      </c>
      <c r="B100" s="6" t="n"/>
      <c r="C100" s="6" t="n"/>
      <c r="D100" s="6" t="n">
        <v>-2970.5</v>
      </c>
      <c r="E100" s="6" t="n">
        <v>-2970.5</v>
      </c>
    </row>
    <row r="101">
      <c r="A101" s="6" t="inlineStr">
        <is>
          <t>GBP translation adjustment (this workbook's conversion line)</t>
        </is>
      </c>
      <c r="B101" s="6" t="n">
        <v>15673.7</v>
      </c>
      <c r="C101" s="6" t="n">
        <v>-69.90000000000001</v>
      </c>
      <c r="D101" s="6" t="n">
        <v>-5499.5</v>
      </c>
      <c r="E101" s="6" t="n">
        <v>10104.3</v>
      </c>
    </row>
    <row r="102">
      <c r="A102" s="5" t="inlineStr">
        <is>
          <t>Balance at 31 March 2023 (FY2023 closing)</t>
        </is>
      </c>
      <c r="B102" s="5" t="n">
        <v>258517.5</v>
      </c>
      <c r="C102" s="5" t="n">
        <v>-797.5</v>
      </c>
      <c r="D102" s="5" t="n">
        <v>-85180.39999999999</v>
      </c>
      <c r="E102" s="5" t="n">
        <v>172539.6</v>
      </c>
    </row>
    <row r="103">
      <c r="A103" s="6" t="inlineStr">
        <is>
          <t>Profit for the year</t>
        </is>
      </c>
      <c r="B103" s="6" t="n"/>
      <c r="C103" s="6" t="n"/>
      <c r="D103" s="6" t="n">
        <v>4941.9</v>
      </c>
      <c r="E103" s="6" t="n">
        <v>4941.9</v>
      </c>
    </row>
    <row r="104">
      <c r="A104" s="6" t="inlineStr">
        <is>
          <t>Net change in fair value of Investment Securities - FVOCI</t>
        </is>
      </c>
      <c r="B104" s="6" t="n"/>
      <c r="C104" s="6" t="n">
        <v>148</v>
      </c>
      <c r="D104" s="6" t="n"/>
      <c r="E104" s="6" t="n">
        <v>148</v>
      </c>
    </row>
    <row r="105">
      <c r="A105" s="6" t="inlineStr">
        <is>
          <t>Net amount transferred to Profit &amp; Loss</t>
        </is>
      </c>
      <c r="B105" s="6" t="n"/>
      <c r="C105" s="6" t="n">
        <v>-5.6</v>
      </c>
      <c r="D105" s="6" t="n"/>
      <c r="E105" s="6" t="n">
        <v>-5.6</v>
      </c>
    </row>
    <row r="106">
      <c r="A106" s="6" t="inlineStr">
        <is>
          <t>Dividend on additional Tier 1 capital</t>
        </is>
      </c>
      <c r="B106" s="6" t="n"/>
      <c r="C106" s="6" t="n"/>
      <c r="D106" s="6" t="n">
        <v>-3846.3</v>
      </c>
      <c r="E106" s="6" t="n">
        <v>-3846.3</v>
      </c>
    </row>
    <row r="107">
      <c r="A107" s="6" t="inlineStr">
        <is>
          <t>GBP translation adjustment (this workbook's conversion line)</t>
        </is>
      </c>
      <c r="B107" s="6" t="n">
        <v>-5484.7</v>
      </c>
      <c r="C107" s="6" t="n">
        <v>16.2</v>
      </c>
      <c r="D107" s="6" t="n">
        <v>1801.7</v>
      </c>
      <c r="E107" s="6" t="n">
        <v>-3666.8</v>
      </c>
    </row>
    <row r="108">
      <c r="A108" s="5" t="inlineStr">
        <is>
          <t>Balance at 31 March 2024, as originally published in AR2024 (FY2024 closing)</t>
        </is>
      </c>
      <c r="B108" s="5" t="n">
        <v>253032.8</v>
      </c>
      <c r="C108" s="5" t="n">
        <v>-638.9</v>
      </c>
      <c r="D108" s="5" t="n">
        <v>-82283.10000000001</v>
      </c>
      <c r="E108" s="5" t="n">
        <v>170110.8</v>
      </c>
    </row>
    <row r="109">
      <c r="A109" s="6" t="inlineStr">
        <is>
          <t>Restatement adjustment (AR2025's own Note 28/Note 35 fair value reserve/deferred tax correction, disclosed as not material)</t>
        </is>
      </c>
      <c r="B109" s="6" t="n">
        <v>0</v>
      </c>
      <c r="C109" s="6" t="n">
        <v>549</v>
      </c>
      <c r="D109" s="6" t="n">
        <v>-734.4</v>
      </c>
      <c r="E109" s="6" t="n">
        <v>-185.4</v>
      </c>
    </row>
    <row r="110">
      <c r="A110" s="5" t="inlineStr">
        <is>
          <t>Balance at 1 April 2024, as restated in AR2025 (FY2025 opening)</t>
        </is>
      </c>
      <c r="B110" s="5" t="n">
        <v>253032.8</v>
      </c>
      <c r="C110" s="5" t="n">
        <v>-92.59999999999999</v>
      </c>
      <c r="D110" s="5" t="n">
        <v>-83013.8</v>
      </c>
      <c r="E110" s="5" t="n">
        <v>169926.4</v>
      </c>
    </row>
    <row r="111">
      <c r="A111" s="6" t="inlineStr">
        <is>
          <t>Profit for the year</t>
        </is>
      </c>
      <c r="B111" s="6" t="n"/>
      <c r="C111" s="6" t="n"/>
      <c r="D111" s="6" t="n">
        <v>587.6</v>
      </c>
      <c r="E111" s="6" t="n">
        <v>587.6</v>
      </c>
    </row>
    <row r="112">
      <c r="A112" s="6" t="inlineStr">
        <is>
          <t>Fair value gains/(losses) transferred to income statement on disposal</t>
        </is>
      </c>
      <c r="B112" s="6" t="n"/>
      <c r="C112" s="6" t="n">
        <v>202.1</v>
      </c>
      <c r="D112" s="6" t="n"/>
      <c r="E112" s="6" t="n">
        <v>202.1</v>
      </c>
    </row>
    <row r="113">
      <c r="A113" s="6" t="inlineStr">
        <is>
          <t>Fair value gains on Investment Securities - FVOCI (net of tax)</t>
        </is>
      </c>
      <c r="B113" s="6" t="n"/>
      <c r="C113" s="6" t="n">
        <v>108.1</v>
      </c>
      <c r="D113" s="6" t="n"/>
      <c r="E113" s="6" t="n">
        <v>108.1</v>
      </c>
    </row>
    <row r="114">
      <c r="A114" s="6" t="inlineStr">
        <is>
          <t>Dividend on additional Tier 1 capital</t>
        </is>
      </c>
      <c r="B114" s="6" t="n"/>
      <c r="C114" s="6" t="n"/>
      <c r="D114" s="6" t="n">
        <v>-3632.4</v>
      </c>
      <c r="E114" s="6" t="n">
        <v>-3632.4</v>
      </c>
    </row>
    <row r="115">
      <c r="A115" s="6" t="inlineStr">
        <is>
          <t>GBP translation adjustment (this workbook's conversion line)</t>
        </is>
      </c>
      <c r="B115" s="6" t="n">
        <v>-5448.8</v>
      </c>
      <c r="C115" s="6" t="n">
        <v>-1.5</v>
      </c>
      <c r="D115" s="6" t="n">
        <v>1822.3</v>
      </c>
      <c r="E115" s="6" t="n">
        <v>-3627.9</v>
      </c>
    </row>
    <row r="116">
      <c r="A116" s="5" t="inlineStr">
        <is>
          <t>Balance at 31 March 2025 (FY2025 closing)</t>
        </is>
      </c>
      <c r="B116" s="5" t="n">
        <v>247584</v>
      </c>
      <c r="C116" s="5" t="n">
        <v>216.1</v>
      </c>
      <c r="D116" s="5" t="n">
        <v>-84236.3</v>
      </c>
      <c r="E116" s="5" t="n">
        <v>163563.9</v>
      </c>
    </row>
    <row r="117">
      <c r="A117" s="6" t="inlineStr">
        <is>
          <t>Profit for the year</t>
        </is>
      </c>
      <c r="B117" s="6" t="n"/>
      <c r="C117" s="6" t="n"/>
      <c r="D117" s="6" t="n">
        <v>2191.1</v>
      </c>
      <c r="E117" s="6" t="n">
        <v>2191.1</v>
      </c>
    </row>
    <row r="118">
      <c r="A118" s="6" t="inlineStr">
        <is>
          <t>Fair value gains/(losses) transferred to income statement on disposal</t>
        </is>
      </c>
      <c r="B118" s="6" t="n"/>
      <c r="C118" s="6" t="n">
        <v>-457.3</v>
      </c>
      <c r="D118" s="6" t="n"/>
      <c r="E118" s="6" t="n">
        <v>-457.3</v>
      </c>
    </row>
    <row r="119">
      <c r="A119" s="6" t="inlineStr">
        <is>
          <t>Fair value gains on Investment Securities - FVOCI (net of tax)</t>
        </is>
      </c>
      <c r="B119" s="6" t="n"/>
      <c r="C119" s="6" t="n">
        <v>157.4</v>
      </c>
      <c r="D119" s="6" t="n"/>
      <c r="E119" s="6" t="n">
        <v>157.4</v>
      </c>
    </row>
    <row r="120">
      <c r="A120" s="6" t="inlineStr">
        <is>
          <t>Dividend on additional Tier 1 capital</t>
        </is>
      </c>
      <c r="B120" s="6" t="n"/>
      <c r="C120" s="6" t="n"/>
      <c r="D120" s="6" t="n">
        <v>-3223.7</v>
      </c>
      <c r="E120" s="6" t="n">
        <v>-3223.7</v>
      </c>
    </row>
    <row r="121">
      <c r="A121" s="6" t="inlineStr">
        <is>
          <t>GBP translation adjustment (this workbook's conversion line)</t>
        </is>
      </c>
      <c r="B121" s="6" t="n">
        <v>-5219</v>
      </c>
      <c r="C121" s="6" t="n">
        <v>-9.5</v>
      </c>
      <c r="D121" s="6" t="n">
        <v>1758.9</v>
      </c>
      <c r="E121" s="6" t="n">
        <v>-3469.6</v>
      </c>
    </row>
    <row r="122">
      <c r="A122" s="5" t="inlineStr">
        <is>
          <t>Balance at 31 March 2026 (FY2026 closing)</t>
        </is>
      </c>
      <c r="B122" s="5" t="n">
        <v>242365</v>
      </c>
      <c r="C122" s="5" t="n">
        <v>-93.3</v>
      </c>
      <c r="D122" s="5" t="n">
        <v>-83510</v>
      </c>
      <c r="E122" s="5" t="n">
        <v>158761.8</v>
      </c>
    </row>
    <row r="124" ht="280" customHeight="1">
      <c r="A124"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HD-073 (2026-09-06/07) FY2009-FY2013 extension: same BoE XUDLUSS series, same average/spot convention as FX_NOTE above.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HD-073 (2026-09-06/07) FY2009-FY2013 extension, sourced from the Bank's own Companies House statutory filings (company 05781326), native-text PDFs, no OCR needed:
FY2013: Financial Statements for the year ended 31 March 2013, Statement of Financial Position printed p.14, Income Statement printed p.15 - https://find-and-update.company-information.service.gov.uk/company/05781326/filing-history/MzA3ODE0ODk4NWFkaXF6a2N4/document?format=pdf&amp;download=0
FY2012: Financial Statements as at 31 March 2012, Income Statement printed p.12, Statement of Financial Position printed pp.15-16, Statement of Changes in Equity printed p.14 - https://find-and-update.company-information.service.gov.uk/company/05781326/filing-history/MzA1ODIxNjY3NGFkaXF6a2N4/document?format=pdf&amp;download=0 (also used, for the FY2013 Balance Sheet/Profit &amp; Loss sheet's FY2012 comparative-column cross-check: FY2013's own clean $'000 comparative column, same document as the FY2013 row above)
FY2011: Financial Statements as at 31 March 2011, Income Statement printed p.9, Statement of Financial Position printed p.12, Statement of Changes in Equity printed p.11 - https://find-and-update.company-information.service.gov.uk/company/05781326/filing-history/MzAzNzc2OTM0OWFkaXF6a2N4/document?format=pdf&amp;download=0
FY2010: Financial Statements as at 31 March 2010, Income Statement printed p.9, Statement of Financial Position printed p.12, Statement of Changes in Equity printed p.11 - https://find-and-update.company-information.service.gov.uk/company/05781326/filing-history/MzAxNjI2OTk3OGFkaXF6a2N4/document?format=pdf&amp;download=0
FY2009: Financial Statements as at 31 March 2009, Income Statement printed p.9, Balance Sheet printed p.11, Statement of Changes in Equity printed p.10 - https://find-and-update.company-information.service.gov.uk/company/05781326/filing-history/MjAzNDA5MDE2NWFkaXF6a2N4/document?format=pdf&amp;download=0
HD-073 PRE-2013 PRESENTATION BRIDGE NOTE: FY2009-FY2012 predate the Bank's split of the balance sheet into the FY2013-onward category set (Loans and advances to banks/customers shown separately, Deposits from banks/customers shown separately, a standalone Derivative financial instruments line). FY2012's Balance Sheet is taken from FY2013's own Annual Report FY2012 comparative column (a clean, native-text $'000 table using the newer categories directly - cross-checked against FY2012's own Annual Report for all totals, which matched exactly). FY2009-FY2011 predate that split entirely in every report reviewed; this workbook maps their own combined 'Loans and receivables' (plus, where separately disclosed, 'Customer overdrafts' and 'Bills purchased') onto 'Loans and advances to customers', and their combined 'Interest bearing borrowings' (plus 'Non-interest bearing borrowings') onto 'Deposits from customers', since none of the three years' own filings separately discloses a banks/customers split - a genuine, disclosed structural absence, not an omission. FY2010's own report separately introduces a 'Customer overdrafts' balance sheet line not present in FY2009's own report (which shows a single combined 'Cash and cash equivalents' figure instead) - see the Cash Flow sheet's CASH-BASIS DISCONTINUITY NOTE for the matching effect on cash. A further, genuine restatement is disclosed in the FY2013 Annual Report's own Note 35 affecting the 1 April 2011 (FY2011 closing) balances; this workbook shows FY2011's own as-originally-published closing Balance Sheet and Statement of Changes in Equity figures rather than that later restated comparative, per this project's standing convention.</t>
        </is>
      </c>
    </row>
  </sheetData>
  <mergeCells count="1">
    <mergeCell ref="A124:E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Punjab National Bank (International) Limited — Statement of Cash Flows</t>
        </is>
      </c>
    </row>
    <row r="2">
      <c r="A2" s="2" t="inlineStr">
        <is>
          <t>Entity-level basis,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c r="O3" s="4" t="inlineStr">
        <is>
          <t>FY2013 (£'000, conv. from USD)</t>
        </is>
      </c>
      <c r="P3" s="4" t="inlineStr">
        <is>
          <t>FY2012 (£'000, conv. from USD)</t>
        </is>
      </c>
      <c r="Q3" s="4" t="inlineStr">
        <is>
          <t>FY2011 (£'000, conv. from USD)</t>
        </is>
      </c>
      <c r="R3" s="4" t="inlineStr">
        <is>
          <t>FY2010 (£'000, conv. from USD)</t>
        </is>
      </c>
      <c r="S3" s="4" t="inlineStr">
        <is>
          <t>FY2009 (£'000, conv. from USD)</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row>
    <row r="5">
      <c r="A5" s="5" t="inlineStr">
        <is>
          <t>Net cash (used in)/generated from operating activities</t>
        </is>
      </c>
      <c r="B5" s="5" t="n">
        <v>47658.9</v>
      </c>
      <c r="C5" s="5" t="n">
        <v>2756.4</v>
      </c>
      <c r="D5" s="5" t="n">
        <v>-23233.6</v>
      </c>
      <c r="E5" s="5" t="n">
        <v>6421.8</v>
      </c>
      <c r="F5" s="5" t="n">
        <v>-15142</v>
      </c>
      <c r="G5" s="5" t="n">
        <v>77735.89999999999</v>
      </c>
      <c r="H5" s="5" t="n">
        <v>-16883.9</v>
      </c>
      <c r="I5" s="5" t="n">
        <v>24220.9</v>
      </c>
      <c r="J5" s="5" t="n">
        <v>-251783.3</v>
      </c>
      <c r="K5" s="5" t="n">
        <v>121040.8</v>
      </c>
      <c r="L5" s="5" t="n">
        <v>53836.4</v>
      </c>
      <c r="M5" s="5" t="n">
        <v>-34341.7</v>
      </c>
      <c r="N5" s="5" t="n">
        <v>3387.4</v>
      </c>
      <c r="O5" s="5" t="n">
        <v>20855.5</v>
      </c>
      <c r="P5" s="5" t="n">
        <v>2068.5</v>
      </c>
      <c r="Q5" s="5" t="n">
        <v>-59218.5</v>
      </c>
      <c r="R5" s="5" t="n">
        <v>-13366.5</v>
      </c>
      <c r="S5" s="5" t="n">
        <v>75539.8</v>
      </c>
    </row>
    <row r="6">
      <c r="A6" s="5" t="inlineStr">
        <is>
          <t>Investing activities</t>
        </is>
      </c>
      <c r="B6" s="6" t="n"/>
      <c r="C6" s="6" t="n"/>
      <c r="D6" s="6" t="n"/>
      <c r="E6" s="6" t="n"/>
      <c r="F6" s="6" t="n"/>
      <c r="G6" s="6" t="n"/>
      <c r="H6" s="6" t="n"/>
      <c r="I6" s="6" t="n"/>
      <c r="J6" s="6" t="n"/>
      <c r="K6" s="6" t="n"/>
      <c r="L6" s="6" t="n"/>
      <c r="M6" s="6" t="n"/>
      <c r="N6" s="6" t="n"/>
      <c r="O6" s="6" t="n"/>
      <c r="P6" s="6" t="n"/>
      <c r="Q6" s="6" t="n"/>
      <c r="R6" s="6" t="n"/>
      <c r="S6" s="6" t="n"/>
    </row>
    <row r="7">
      <c r="A7" s="5" t="inlineStr">
        <is>
          <t>Net cash (used in)/generated from investing activities</t>
        </is>
      </c>
      <c r="B7" s="5" t="n">
        <v>-21032.5</v>
      </c>
      <c r="C7" s="5" t="n">
        <v>-5553.6</v>
      </c>
      <c r="D7" s="5" t="n">
        <v>17663.1</v>
      </c>
      <c r="E7" s="5" t="n">
        <v>-7652.1</v>
      </c>
      <c r="F7" s="5" t="n">
        <v>-35215.9</v>
      </c>
      <c r="G7" s="5" t="n">
        <v>-7487.3</v>
      </c>
      <c r="H7" s="5" t="n">
        <v>358</v>
      </c>
      <c r="I7" s="5" t="n">
        <v>-1818</v>
      </c>
      <c r="J7" s="5" t="n">
        <v>-30200.4</v>
      </c>
      <c r="K7" s="5" t="n">
        <v>-6465.9</v>
      </c>
      <c r="L7" s="5" t="n">
        <v>68.3</v>
      </c>
      <c r="M7" s="5" t="n">
        <v>1206.2</v>
      </c>
      <c r="N7" s="5" t="n">
        <v>1225.8</v>
      </c>
      <c r="O7" s="5" t="n">
        <v>7992.3</v>
      </c>
      <c r="P7" s="5" t="n">
        <v>-30.1</v>
      </c>
      <c r="Q7" s="5" t="n">
        <v>-10973.5</v>
      </c>
      <c r="R7" s="5" t="n">
        <v>-4423.8</v>
      </c>
      <c r="S7" s="5" t="n">
        <v>-8925.5</v>
      </c>
    </row>
    <row r="8">
      <c r="A8" s="5" t="inlineStr">
        <is>
          <t>Financing activities</t>
        </is>
      </c>
      <c r="B8" s="6" t="n"/>
      <c r="C8" s="6" t="n"/>
      <c r="D8" s="6" t="n"/>
      <c r="E8" s="6" t="n"/>
      <c r="F8" s="6" t="n"/>
      <c r="G8" s="6" t="n"/>
      <c r="H8" s="6" t="n"/>
      <c r="I8" s="6" t="n"/>
      <c r="J8" s="6" t="n"/>
      <c r="K8" s="6" t="n"/>
      <c r="L8" s="6" t="n"/>
      <c r="M8" s="6" t="n"/>
      <c r="N8" s="6" t="n"/>
      <c r="O8" s="6" t="n"/>
      <c r="P8" s="6" t="n"/>
      <c r="Q8" s="6" t="n"/>
      <c r="R8" s="6" t="n"/>
      <c r="S8" s="6" t="n"/>
    </row>
    <row r="9">
      <c r="A9" s="5" t="inlineStr">
        <is>
          <t>Net cash used in financing activities</t>
        </is>
      </c>
      <c r="B9" s="5" t="n">
        <v>-11482.4</v>
      </c>
      <c r="C9" s="5" t="n">
        <v>-12292.6</v>
      </c>
      <c r="D9" s="5" t="n">
        <v>-4430.3</v>
      </c>
      <c r="E9" s="5" t="n">
        <v>-3730.2</v>
      </c>
      <c r="F9" s="5" t="n">
        <v>-2419.1</v>
      </c>
      <c r="G9" s="5" t="n">
        <v>-2645.3</v>
      </c>
      <c r="H9" s="5" t="n">
        <v>-3322.3</v>
      </c>
      <c r="I9" s="5" t="n">
        <v>-2613.9</v>
      </c>
      <c r="J9" s="5" t="n">
        <v>12862.2</v>
      </c>
      <c r="K9" s="5" t="n">
        <v>76528.7</v>
      </c>
      <c r="L9" s="5" t="n">
        <v>5877.2</v>
      </c>
      <c r="M9" s="5" t="n">
        <v>5530.5</v>
      </c>
      <c r="N9" s="5" t="n">
        <v>33892.5</v>
      </c>
      <c r="O9" s="5" t="n">
        <v>15079.7</v>
      </c>
      <c r="P9" s="5" t="n">
        <v>7118.9</v>
      </c>
      <c r="Q9" s="5" t="n">
        <v>16054.5</v>
      </c>
      <c r="R9" s="5" t="n">
        <v>15649.5</v>
      </c>
      <c r="S9" s="5" t="n">
        <v>14543.3</v>
      </c>
    </row>
    <row r="10">
      <c r="A10" s="5" t="inlineStr">
        <is>
          <t>Net increase/(decrease) in cash and cash equivalents</t>
        </is>
      </c>
      <c r="B10" s="5" t="n">
        <v>17285.1</v>
      </c>
      <c r="C10" s="5" t="n">
        <v>-13538.4</v>
      </c>
      <c r="D10" s="5" t="n">
        <v>-8584.5</v>
      </c>
      <c r="E10" s="5" t="n">
        <v>-4960.6</v>
      </c>
      <c r="F10" s="5" t="n">
        <v>-52777</v>
      </c>
      <c r="G10" s="5" t="n">
        <v>67604</v>
      </c>
      <c r="H10" s="5" t="n">
        <v>-19848.1</v>
      </c>
      <c r="I10" s="5" t="n">
        <v>19790.6</v>
      </c>
      <c r="J10" s="5" t="n">
        <v>-269121.5</v>
      </c>
      <c r="K10" s="5" t="n">
        <v>191103.5</v>
      </c>
      <c r="L10" s="5" t="n">
        <v>59781.9</v>
      </c>
      <c r="M10" s="5" t="n">
        <v>-27605</v>
      </c>
      <c r="N10" s="5" t="n">
        <v>38505.7</v>
      </c>
      <c r="O10" s="5" t="n">
        <v>43927.5</v>
      </c>
      <c r="P10" s="5" t="n">
        <v>9157.299999999999</v>
      </c>
      <c r="Q10" s="5" t="n">
        <v>-54137.6</v>
      </c>
      <c r="R10" s="5" t="n">
        <v>-2140.8</v>
      </c>
      <c r="S10" s="5" t="n">
        <v>81157.60000000001</v>
      </c>
    </row>
    <row r="11">
      <c r="A11" s="6" t="inlineStr">
        <is>
          <t>Effects of exchange rate on cash and cash equivalents (Bank's own line)</t>
        </is>
      </c>
      <c r="B11" s="6" t="n">
        <v>2141.2</v>
      </c>
      <c r="C11" s="6" t="n">
        <v>1551.4</v>
      </c>
      <c r="D11" s="6" t="n">
        <v>1416.3</v>
      </c>
      <c r="E11" s="6" t="n">
        <v>828.6</v>
      </c>
      <c r="F11" s="6" t="n">
        <v>426</v>
      </c>
      <c r="G11" s="6" t="n"/>
      <c r="H11" s="6" t="n"/>
      <c r="I11" s="6" t="n"/>
      <c r="J11" s="6" t="n">
        <v>-1082.6</v>
      </c>
      <c r="K11" s="6" t="n">
        <v>68.90000000000001</v>
      </c>
      <c r="L11" s="6" t="n"/>
      <c r="M11" s="6" t="n"/>
      <c r="N11" s="6" t="n"/>
      <c r="O11" s="6" t="n"/>
      <c r="P11" s="6" t="n"/>
      <c r="Q11" s="6" t="n"/>
      <c r="R11" s="6" t="n"/>
      <c r="S11" s="6" t="n"/>
    </row>
    <row r="12">
      <c r="A12" s="6" t="inlineStr">
        <is>
          <t>Effect of GBP/USD translation (this workbook's conversion line)</t>
        </is>
      </c>
      <c r="B12" s="6" t="n">
        <v>-3764.4</v>
      </c>
      <c r="C12" s="6" t="n">
        <v>-3682</v>
      </c>
      <c r="D12" s="6" t="n">
        <v>-3857.9</v>
      </c>
      <c r="E12" s="6" t="n">
        <v>7452.2</v>
      </c>
      <c r="F12" s="6" t="n">
        <v>5738.7</v>
      </c>
      <c r="G12" s="6" t="n">
        <v>-13711.4</v>
      </c>
      <c r="H12" s="6" t="n">
        <v>5616.7</v>
      </c>
      <c r="I12" s="6" t="n">
        <v>7357.9</v>
      </c>
      <c r="J12" s="6" t="n">
        <v>-27970.9</v>
      </c>
      <c r="K12" s="6" t="n">
        <v>33551.9</v>
      </c>
      <c r="L12" s="6" t="n">
        <v>6223.6</v>
      </c>
      <c r="M12" s="6" t="n">
        <v>11975.1</v>
      </c>
      <c r="N12" s="6" t="n">
        <v>-9644.5</v>
      </c>
      <c r="O12" s="6" t="n">
        <v>3910</v>
      </c>
      <c r="P12" s="6" t="n">
        <v>76.59999999999999</v>
      </c>
      <c r="Q12" s="6" t="n">
        <v>-5134.9</v>
      </c>
      <c r="R12" s="6" t="n">
        <v>-7485.7</v>
      </c>
      <c r="S12" s="6" t="n">
        <v>32218.4</v>
      </c>
    </row>
    <row r="13">
      <c r="A13" s="6" t="inlineStr">
        <is>
          <t>Cash and cash equivalents at beginning of year</t>
        </is>
      </c>
      <c r="B13" s="6" t="n">
        <v>90436.10000000001</v>
      </c>
      <c r="C13" s="6" t="n">
        <v>106105.1</v>
      </c>
      <c r="D13" s="6" t="n">
        <v>117131.2</v>
      </c>
      <c r="E13" s="6" t="n">
        <v>113811</v>
      </c>
      <c r="F13" s="6" t="n">
        <v>160423.3</v>
      </c>
      <c r="G13" s="6" t="n">
        <v>106530.7</v>
      </c>
      <c r="H13" s="6" t="n">
        <v>120762.1</v>
      </c>
      <c r="I13" s="6" t="n">
        <v>93613.60000000001</v>
      </c>
      <c r="J13" s="6" t="n">
        <v>391788.6</v>
      </c>
      <c r="K13" s="6" t="n">
        <v>167064.3</v>
      </c>
      <c r="L13" s="6" t="n">
        <v>101058.8</v>
      </c>
      <c r="M13" s="6" t="n">
        <v>116688.7</v>
      </c>
      <c r="N13" s="6" t="n">
        <v>87827.5</v>
      </c>
      <c r="O13" s="6" t="n">
        <v>39990</v>
      </c>
      <c r="P13" s="6" t="n">
        <v>30756.1</v>
      </c>
      <c r="Q13" s="6" t="n">
        <v>124111.6</v>
      </c>
      <c r="R13" s="6" t="n">
        <v>133738.1</v>
      </c>
      <c r="S13" s="6" t="n">
        <v>41430.4</v>
      </c>
    </row>
    <row r="14">
      <c r="A14" s="5" t="inlineStr">
        <is>
          <t>Cash and cash equivalents at end of year</t>
        </is>
      </c>
      <c r="B14" s="5" t="n">
        <v>106098</v>
      </c>
      <c r="C14" s="5" t="n">
        <v>90436.10000000001</v>
      </c>
      <c r="D14" s="5" t="n">
        <v>106105.1</v>
      </c>
      <c r="E14" s="5" t="n">
        <v>117131.2</v>
      </c>
      <c r="F14" s="5" t="n">
        <v>113811</v>
      </c>
      <c r="G14" s="5" t="n">
        <v>160423.3</v>
      </c>
      <c r="H14" s="5" t="n">
        <v>106530.7</v>
      </c>
      <c r="I14" s="5" t="n">
        <v>120762.1</v>
      </c>
      <c r="J14" s="5" t="n">
        <v>93613.60000000001</v>
      </c>
      <c r="K14" s="5" t="n">
        <v>391788.6</v>
      </c>
      <c r="L14" s="5" t="n">
        <v>167064.3</v>
      </c>
      <c r="M14" s="5" t="n">
        <v>101058.8</v>
      </c>
      <c r="N14" s="5" t="n">
        <v>116688.7</v>
      </c>
      <c r="O14" s="5" t="n">
        <v>87827.5</v>
      </c>
      <c r="P14" s="5" t="n">
        <v>39990</v>
      </c>
      <c r="Q14" s="5" t="n">
        <v>64839.1</v>
      </c>
      <c r="R14" s="5" t="n">
        <v>124111.6</v>
      </c>
      <c r="S14" s="5" t="n">
        <v>154806.4</v>
      </c>
    </row>
    <row r="16" ht="260" customHeight="1">
      <c r="A16" s="8" t="inlineStr">
        <is>
          <t>Sources - Punjab National Bank (International) Limited entity-level Statement of Cash Flows (native unit $'000):
FY2026: Annual Report and Accounts 2026, printed p.50 - https://www.pnbint.com/PNBIL/pdf/Financial_Reports/PNBIL-Annual-Report-2026.pdf
FY2025: Annual Report and Accounts 2025, printed p.49 - https://www.pnbint.com/PNBIL/pdf/Financial_Reports/PNBIL%20Annual%20Report%202025.pdf
FY2024: Annual Report and Accounts 2024, printed p.44 - https://www.pnbint.com/PNBIL/pdf/Financial_Reports/Annual_Report_31-03-2024.pdf
FY2023: Annual Report and Accounts 2023, printed p.39 - https://www.pnbint.com/PNBIL/pdf/Financial_Reports/PNBIL_Annual_Report_2023.pdf
FY2022: Annual Report and Accounts 2022, printed p.36 - https://www.pnbint.com/PNBIL/pdf/Financial_Reports/AnnualReport20220331.pdf
FY2021: Annual Report and Accounts 2021, printed pp.24-28 - https://www.pnbint.com/PNBIL/pdf/Financial_Reports/Annual%20report%20%2031-03-21.pdf
FY2020: Annual Report and Accounts 2020, printed p.29 - https://www.pnbint.com/PNBIL/pdf/Financial_Reports/Annual%20Report%2031-03-20_latest.pdf
FY2019: Annual Report and Accounts 2019, printed p.32 - https://www.pnbint.com/PNBIL/pdf/Financial_Reports/Annual%20Report%2031-03-19.pdf
FY2018: Annual Report and Accounts 2018, printed p.33 - https://www.pnbint.com/PNBIL/pdf/Financial_Reports/Annual%20Report%2031-03-18.pdf
FY2017: Annual Report and Accounts 2018's own FY2017 comparative column, printed p.33 - https://www.pnbint.com/PNBIL/pdf/Financial_Reports/Annual%20Report%2031-03-18.pdf (FY2017's own report is a scanned/photocopied PDF - AR2018's native-text comparative was used for higher transcription confidence; cross-checked against FY2017's own OCR'd report at https://www.pnbint.com/PNBIL/pdf/Financial_Reports/SIGNED%20ANNUAL%20REPORT-1617.pdf)
FY2016: Annual Report and Accounts 2016, printed p.25 - https://www.pnbint.com/PNBIL/pdf/Financial_Reports/Annual%20Report%2031-03-16.pdf (OCR'd from a scanned PDF)
FY2015: Annual Report and Accounts 2016's own FY2015 comparative column, printed p.25 - https://www.pnbint.com/PNBIL/pdf/Financial_Reports/Annual%20Report%2031-03-16.pdf (OCR'd from a scanned PDF; cross-checked against FY2015's own report at https://www.pnbint.com/PNBIL/pdf/Financial_Reports/Annual%20Report%2031.03.2015.pdf)
FY2014: Annual Report and Accounts 2014, printed p.21 - https://www.pnbint.com/PNBIL/pdf/Financial_Reports/Annualreport31-03-2014.pdf (OCR'd from a scanned PDF; the Statement of Financial Position on the same page range was additionally verified against a 250dpi page render, see BS_DISCREPANCY_NOTE-style verification below)
HD-073 (2026-09-06/07) FY2009-FY2013 extension, sourced from the Bank's own Companies House statutory filings (company 05781326), native-text PDFs, no OCR needed:
FY2013: Financial Statements for the year ended 31 March 2013, printed p.19 - https://find-and-update.company-information.service.gov.uk/company/05781326/filing-history/MzA3ODE0ODk4NWFkaXF6a2N4/document?format=pdf&amp;download=0
FY2012: Financial Statements as at 31 March 2012, printed pp.17-18 - https://find-and-update.company-information.service.gov.uk/company/05781326/filing-history/MzA1ODIxNjY3NGFkaXF6a2N4/document?format=pdf&amp;download=0
FY2011: Financial Statements as at 31 March 2011, printed pp.13-14 - https://find-and-update.company-information.service.gov.uk/company/05781326/filing-history/MzAzNzc2OTM0OWFkaXF6a2N4/document?format=pdf&amp;download=0
FY2010: Financial Statements as at 31 March 2010, printed pp.13-14 - https://find-and-update.company-information.service.gov.uk/company/05781326/filing-history/MzAxNjI2OTk3OGFkaXF6a2N4/document?format=pdf&amp;download=0
FY2009: Financial Statements as at 31 March 2009, printed p.12 - https://find-and-update.company-information.service.gov.uk/company/05781326/filing-history/MjAzNDA5MDE2NWFkaXF6a2N4/document?format=pdf&amp;download=0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HD-073 (2026-09-06/07) FY2009-FY2013 extension: same BoE XUDLUSS series, same average/spot convention. Rates (£1 = $X) were FY2009 1.7190 average/1.4331 spot, FY2010 1.5975/1.5167, FY2011 1.5572/1.6030, FY2012 1.5949/1.5981, FY2013 1.5804/1.5181. The FY2009 opening balance uses the 31 March 2008 spot rate; the Bank's own FY2009 report does not disclose that comparative in the same cash-flow basis, so no FY2008 column is shown.
HD-048 EXCHANGE-EFFECTS NOTE: the Bank's own Statement of Cash Flows discloses a separate 'unrealised (gain)/loss on exchange rate difference' reconciling line (after the net change in cash, before the closing balance) only in the FY2017 and FY2018 reports; FY2014-FY2016, FY2019 and FY2020 close exactly from opening + net change with no such line disclosed that year - a genuine year-to-year presentation difference, not a gap in this transcription.
HD-073 CASH-BASIS DISCONTINUITY NOTE: each year's own opening/closing cash figures are used as originally published, but the definition of 'cash and cash equivalents' the Bank uses genuinely changes twice in this period - FY2010's own report first splits out a 'Customer overdrafts' balance that FY2009's own report had included within cash (closing cash FY2009 $221,853k vs FY2010's own opening cash of $191,660k, a $30,193k gap matching FY2010's own 'Customer overdrafts' comparative exactly), and a further reclassification of short-term interbank placements out of cash occurs between FY2011 and FY2012 (FY2011's own closing cash of $103,937k vs FY2012's own opening cash of $49,302k). Both are genuine, Bank-disclosed presentational changes, not transcription gaps; the opening/net-change/closing chain reconciles exactly within each individual year shown.</t>
        </is>
      </c>
    </row>
  </sheetData>
  <mergeCells count="1">
    <mergeCell ref="A16:S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Asset Quality</t>
        </is>
      </c>
    </row>
    <row r="2">
      <c r="A2" s="2" t="inlineStr">
        <is>
          <t>Entity-level. IFRS 9 stage 1/2/3 split (FY2019-FY2026) for Loans and advances to banks/customers and Investment securities at amortised cost combined (the Bank's own 'loans &amp; advances at amortised cost by product' note table); IAS 39 incurred-loss model (FY2014-FY2018, Loans and advances to customers only - see the section note below).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row>
    <row r="4">
      <c r="A4" s="5" t="inlineStr">
        <is>
          <t>Gross carrying amount, by IFRS 9 stage (loans, banks, and investment securities at amortised cost) - FY2019-FY2026</t>
        </is>
      </c>
      <c r="B4" s="6" t="n"/>
      <c r="C4" s="6" t="n"/>
      <c r="D4" s="6" t="n"/>
      <c r="E4" s="6" t="n"/>
      <c r="F4" s="6" t="n"/>
      <c r="G4" s="6" t="n"/>
      <c r="H4" s="6" t="n"/>
      <c r="I4" s="6" t="n"/>
      <c r="J4" s="6" t="n"/>
      <c r="K4" s="6" t="n"/>
      <c r="L4" s="6" t="n"/>
      <c r="M4" s="6" t="n"/>
      <c r="N4" s="6" t="n"/>
    </row>
    <row r="5">
      <c r="A5" s="6" t="inlineStr">
        <is>
          <t>Stage 1 gross carrying amount</t>
        </is>
      </c>
      <c r="B5" s="6" t="n">
        <v>829359.3</v>
      </c>
      <c r="C5" s="6" t="n">
        <v>684299.8</v>
      </c>
      <c r="D5" s="6" t="n">
        <v>568755.5</v>
      </c>
      <c r="E5" s="6" t="n">
        <v>636222.1</v>
      </c>
      <c r="F5" s="6" t="n">
        <v>549842</v>
      </c>
      <c r="G5" s="6" t="n"/>
      <c r="H5" s="6" t="n">
        <v>440982.8</v>
      </c>
      <c r="I5" s="6" t="n">
        <v>522538</v>
      </c>
      <c r="J5" s="6" t="n"/>
      <c r="K5" s="6" t="n"/>
      <c r="L5" s="6" t="n"/>
      <c r="M5" s="6" t="n"/>
      <c r="N5" s="6" t="n"/>
    </row>
    <row r="6">
      <c r="A6" s="6" t="inlineStr">
        <is>
          <t>Stage 2 gross carrying amount</t>
        </is>
      </c>
      <c r="B6" s="6" t="n">
        <v>47424.2</v>
      </c>
      <c r="C6" s="6" t="n">
        <v>30543</v>
      </c>
      <c r="D6" s="6" t="n">
        <v>27306</v>
      </c>
      <c r="E6" s="6" t="n">
        <v>292.8</v>
      </c>
      <c r="F6" s="6" t="n">
        <v>30828.9</v>
      </c>
      <c r="G6" s="6" t="n"/>
      <c r="H6" s="6" t="n">
        <v>46131.6</v>
      </c>
      <c r="I6" s="6" t="n">
        <v>66392.2</v>
      </c>
      <c r="J6" s="6" t="n"/>
      <c r="K6" s="6" t="n"/>
      <c r="L6" s="6" t="n"/>
      <c r="M6" s="6" t="n"/>
      <c r="N6" s="6" t="n"/>
    </row>
    <row r="7">
      <c r="A7" s="6" t="inlineStr">
        <is>
          <t>Stage 3 gross carrying amount</t>
        </is>
      </c>
      <c r="B7" s="6" t="n">
        <v>72688.8</v>
      </c>
      <c r="C7" s="6" t="n">
        <v>100084.4</v>
      </c>
      <c r="D7" s="6" t="n">
        <v>202284.7</v>
      </c>
      <c r="E7" s="6" t="n">
        <v>229874.6</v>
      </c>
      <c r="F7" s="6" t="n">
        <v>234673.3</v>
      </c>
      <c r="G7" s="6" t="n"/>
      <c r="H7" s="6" t="n">
        <v>299736.4</v>
      </c>
      <c r="I7" s="6" t="n">
        <v>311787.4</v>
      </c>
      <c r="J7" s="6" t="n"/>
      <c r="K7" s="6" t="n"/>
      <c r="L7" s="6" t="n"/>
      <c r="M7" s="6" t="n"/>
      <c r="N7" s="6" t="n"/>
    </row>
    <row r="8">
      <c r="A8" s="5" t="inlineStr">
        <is>
          <t>Total gross carrying amount</t>
        </is>
      </c>
      <c r="B8" s="5" t="n">
        <v>949472.2</v>
      </c>
      <c r="C8" s="5" t="n">
        <v>814152.6</v>
      </c>
      <c r="D8" s="5" t="n">
        <v>798346.3</v>
      </c>
      <c r="E8" s="5" t="n">
        <v>866389.5</v>
      </c>
      <c r="F8" s="5" t="n">
        <v>815344.2</v>
      </c>
      <c r="G8" s="5" t="n"/>
      <c r="H8" s="5" t="n">
        <v>786850.8</v>
      </c>
      <c r="I8" s="5" t="n">
        <v>900717.6</v>
      </c>
      <c r="J8" s="5" t="n"/>
      <c r="K8" s="5" t="n"/>
      <c r="L8" s="5" t="n"/>
      <c r="M8" s="5" t="n"/>
      <c r="N8" s="5" t="n"/>
    </row>
    <row r="9">
      <c r="A9" s="5" t="inlineStr">
        <is>
          <t>Impairment allowance, by IFRS 9 stage - FY2019-FY2026</t>
        </is>
      </c>
      <c r="B9" s="6" t="n"/>
      <c r="C9" s="6" t="n"/>
      <c r="D9" s="6" t="n"/>
      <c r="E9" s="6" t="n"/>
      <c r="F9" s="6" t="n"/>
      <c r="G9" s="6" t="n"/>
      <c r="H9" s="6" t="n"/>
      <c r="I9" s="6" t="n"/>
      <c r="J9" s="6" t="n"/>
      <c r="K9" s="6" t="n"/>
      <c r="L9" s="6" t="n"/>
      <c r="M9" s="6" t="n"/>
      <c r="N9" s="6" t="n"/>
    </row>
    <row r="10">
      <c r="A10" s="6" t="inlineStr">
        <is>
          <t>Stage 1 impairment allowance</t>
        </is>
      </c>
      <c r="B10" s="6" t="n">
        <v>505.8</v>
      </c>
      <c r="C10" s="6" t="n">
        <v>403.6</v>
      </c>
      <c r="D10" s="6" t="n">
        <v>400.6</v>
      </c>
      <c r="E10" s="6" t="n">
        <v>2481.4</v>
      </c>
      <c r="F10" s="6" t="n">
        <v>1327.3</v>
      </c>
      <c r="G10" s="6" t="n"/>
      <c r="H10" s="6" t="n">
        <v>1681</v>
      </c>
      <c r="I10" s="6" t="n">
        <v>2402.1</v>
      </c>
      <c r="J10" s="6" t="n"/>
      <c r="K10" s="6" t="n"/>
      <c r="L10" s="6" t="n"/>
      <c r="M10" s="6" t="n"/>
      <c r="N10" s="6" t="n"/>
    </row>
    <row r="11">
      <c r="A11" s="6" t="inlineStr">
        <is>
          <t>Stage 2 impairment allowance</t>
        </is>
      </c>
      <c r="B11" s="6" t="n">
        <v>15.2</v>
      </c>
      <c r="C11" s="6" t="n">
        <v>7.7</v>
      </c>
      <c r="D11" s="6" t="n">
        <v>1.6</v>
      </c>
      <c r="E11" s="6" t="n">
        <v>0.8</v>
      </c>
      <c r="F11" s="6" t="n">
        <v>111.7</v>
      </c>
      <c r="G11" s="6" t="n"/>
      <c r="H11" s="6" t="n">
        <v>403.9</v>
      </c>
      <c r="I11" s="6" t="n">
        <v>738.3</v>
      </c>
      <c r="J11" s="6" t="n"/>
      <c r="K11" s="6" t="n"/>
      <c r="L11" s="6" t="n"/>
      <c r="M11" s="6" t="n"/>
      <c r="N11" s="6" t="n"/>
    </row>
    <row r="12">
      <c r="A12" s="6" t="inlineStr">
        <is>
          <t>Stage 3 impairment allowance</t>
        </is>
      </c>
      <c r="B12" s="6" t="n">
        <v>42209.6</v>
      </c>
      <c r="C12" s="6" t="n">
        <v>54424.5</v>
      </c>
      <c r="D12" s="6" t="n">
        <v>126846.9</v>
      </c>
      <c r="E12" s="6" t="n">
        <v>143126</v>
      </c>
      <c r="F12" s="6" t="n">
        <v>146892.6</v>
      </c>
      <c r="G12" s="6" t="n"/>
      <c r="H12" s="6" t="n">
        <v>193721.7</v>
      </c>
      <c r="I12" s="6" t="n">
        <v>201125.9</v>
      </c>
      <c r="J12" s="6" t="n"/>
      <c r="K12" s="6" t="n"/>
      <c r="L12" s="6" t="n"/>
      <c r="M12" s="6" t="n"/>
      <c r="N12" s="6" t="n"/>
    </row>
    <row r="13">
      <c r="A13" s="5" t="inlineStr">
        <is>
          <t>Total impairment allowance</t>
        </is>
      </c>
      <c r="B13" s="5" t="n">
        <v>42730.5</v>
      </c>
      <c r="C13" s="5" t="n">
        <v>54835.8</v>
      </c>
      <c r="D13" s="5" t="n">
        <v>127249.1</v>
      </c>
      <c r="E13" s="5" t="n">
        <v>145608.2</v>
      </c>
      <c r="F13" s="5" t="n">
        <v>148331.6</v>
      </c>
      <c r="G13" s="5" t="n"/>
      <c r="H13" s="5" t="n">
        <v>195806.7</v>
      </c>
      <c r="I13" s="5" t="n">
        <v>204266.3</v>
      </c>
      <c r="J13" s="5" t="n"/>
      <c r="K13" s="5" t="n"/>
      <c r="L13" s="5" t="n"/>
      <c r="M13" s="5" t="n"/>
      <c r="N13" s="5" t="n"/>
    </row>
    <row r="14">
      <c r="A14" s="5" t="inlineStr">
        <is>
          <t>Net carrying amount, by IFRS 9 stage - FY2019-FY2026</t>
        </is>
      </c>
      <c r="B14" s="6" t="n"/>
      <c r="C14" s="6" t="n"/>
      <c r="D14" s="6" t="n"/>
      <c r="E14" s="6" t="n"/>
      <c r="F14" s="6" t="n"/>
      <c r="G14" s="6" t="n"/>
      <c r="H14" s="6" t="n"/>
      <c r="I14" s="6" t="n"/>
      <c r="J14" s="6" t="n"/>
      <c r="K14" s="6" t="n"/>
      <c r="L14" s="6" t="n"/>
      <c r="M14" s="6" t="n"/>
      <c r="N14" s="6" t="n"/>
    </row>
    <row r="15">
      <c r="A15" s="6" t="inlineStr">
        <is>
          <t>Stage 1 net carrying amount</t>
        </is>
      </c>
      <c r="B15" s="6" t="n">
        <v>828853.5</v>
      </c>
      <c r="C15" s="6" t="n">
        <v>683897</v>
      </c>
      <c r="D15" s="6" t="n">
        <v>568355.8</v>
      </c>
      <c r="E15" s="6" t="n">
        <v>633740.7</v>
      </c>
      <c r="F15" s="6" t="n">
        <v>548514.7</v>
      </c>
      <c r="G15" s="6" t="n"/>
      <c r="H15" s="6" t="n">
        <v>439301.8</v>
      </c>
      <c r="I15" s="6" t="n">
        <v>520135.8</v>
      </c>
      <c r="J15" s="6" t="n"/>
      <c r="K15" s="6" t="n"/>
      <c r="L15" s="6" t="n"/>
      <c r="M15" s="6" t="n"/>
      <c r="N15" s="6" t="n"/>
    </row>
    <row r="16">
      <c r="A16" s="6" t="inlineStr">
        <is>
          <t>Stage 2 net carrying amount</t>
        </is>
      </c>
      <c r="B16" s="6" t="n">
        <v>47409</v>
      </c>
      <c r="C16" s="6" t="n">
        <v>30536</v>
      </c>
      <c r="D16" s="6" t="n">
        <v>27304.5</v>
      </c>
      <c r="E16" s="6" t="n">
        <v>292</v>
      </c>
      <c r="F16" s="6" t="n">
        <v>30717.2</v>
      </c>
      <c r="G16" s="6" t="n"/>
      <c r="H16" s="6" t="n">
        <v>45727.6</v>
      </c>
      <c r="I16" s="6" t="n">
        <v>65653.10000000001</v>
      </c>
      <c r="J16" s="6" t="n"/>
      <c r="K16" s="6" t="n"/>
      <c r="L16" s="6" t="n"/>
      <c r="M16" s="6" t="n"/>
      <c r="N16" s="6" t="n"/>
    </row>
    <row r="17">
      <c r="A17" s="6" t="inlineStr">
        <is>
          <t>Stage 3 net carrying amount</t>
        </is>
      </c>
      <c r="B17" s="6" t="n">
        <v>30479.2</v>
      </c>
      <c r="C17" s="6" t="n">
        <v>45660</v>
      </c>
      <c r="D17" s="6" t="n">
        <v>75437.8</v>
      </c>
      <c r="E17" s="6" t="n">
        <v>86748.60000000001</v>
      </c>
      <c r="F17" s="6" t="n">
        <v>87780.7</v>
      </c>
      <c r="G17" s="6" t="n"/>
      <c r="H17" s="6" t="n">
        <v>106014.7</v>
      </c>
      <c r="I17" s="6" t="n">
        <v>110661.6</v>
      </c>
      <c r="J17" s="6" t="n"/>
      <c r="K17" s="6" t="n"/>
      <c r="L17" s="6" t="n"/>
      <c r="M17" s="6" t="n"/>
      <c r="N17" s="6" t="n"/>
    </row>
    <row r="18">
      <c r="A18" s="5" t="inlineStr">
        <is>
          <t>Total net carrying amount</t>
        </is>
      </c>
      <c r="B18" s="5" t="n">
        <v>906741.7</v>
      </c>
      <c r="C18" s="5" t="n">
        <v>760093</v>
      </c>
      <c r="D18" s="5" t="n">
        <v>671098</v>
      </c>
      <c r="E18" s="5" t="n">
        <v>720781.3</v>
      </c>
      <c r="F18" s="5" t="n">
        <v>667012.6</v>
      </c>
      <c r="G18" s="5" t="n"/>
      <c r="H18" s="5" t="n">
        <v>591044.1</v>
      </c>
      <c r="I18" s="5" t="n">
        <v>696450.5</v>
      </c>
      <c r="J18" s="5" t="n"/>
      <c r="K18" s="5" t="n"/>
      <c r="L18" s="5" t="n"/>
      <c r="M18" s="5" t="n"/>
      <c r="N18" s="5" t="n"/>
    </row>
    <row r="19">
      <c r="A19" s="5" t="inlineStr">
        <is>
          <t>Asset quality ratios (derived) - FY2019-FY2026</t>
        </is>
      </c>
      <c r="B19" s="6" t="n"/>
      <c r="C19" s="6" t="n"/>
      <c r="D19" s="6" t="n"/>
      <c r="E19" s="6" t="n"/>
      <c r="F19" s="6" t="n"/>
      <c r="G19" s="6" t="n"/>
      <c r="H19" s="6" t="n"/>
      <c r="I19" s="6" t="n"/>
      <c r="J19" s="6" t="n"/>
      <c r="K19" s="6" t="n"/>
      <c r="L19" s="6" t="n"/>
      <c r="M19" s="6" t="n"/>
      <c r="N19" s="6" t="n"/>
    </row>
    <row r="20">
      <c r="A20" s="6" t="inlineStr">
        <is>
          <t>Stage 3 as % of total gross carrying amount (NPL ratio)</t>
        </is>
      </c>
      <c r="B20" s="6" t="inlineStr">
        <is>
          <t>7.66%</t>
        </is>
      </c>
      <c r="C20" s="6" t="inlineStr">
        <is>
          <t>12.29%</t>
        </is>
      </c>
      <c r="D20" s="6" t="inlineStr">
        <is>
          <t>25.34%</t>
        </is>
      </c>
      <c r="E20" s="6" t="inlineStr">
        <is>
          <t>26.53%</t>
        </is>
      </c>
      <c r="F20" s="6" t="inlineStr">
        <is>
          <t>28.78%</t>
        </is>
      </c>
      <c r="G20" s="6" t="n"/>
      <c r="H20" s="6" t="inlineStr">
        <is>
          <t>38.09%</t>
        </is>
      </c>
      <c r="I20" s="6" t="inlineStr">
        <is>
          <t>34.62%</t>
        </is>
      </c>
      <c r="J20" s="6" t="n"/>
      <c r="K20" s="6" t="n"/>
      <c r="L20" s="6" t="n"/>
      <c r="M20" s="6" t="n"/>
      <c r="N20" s="6" t="n"/>
    </row>
    <row r="21">
      <c r="A21" s="6" t="inlineStr">
        <is>
          <t>Total impairment allowance as % of total gross carrying amount (coverage)</t>
        </is>
      </c>
      <c r="B21" s="6" t="inlineStr">
        <is>
          <t>4.50%</t>
        </is>
      </c>
      <c r="C21" s="6" t="inlineStr">
        <is>
          <t>6.74%</t>
        </is>
      </c>
      <c r="D21" s="6" t="inlineStr">
        <is>
          <t>15.94%</t>
        </is>
      </c>
      <c r="E21" s="6" t="inlineStr">
        <is>
          <t>16.81%</t>
        </is>
      </c>
      <c r="F21" s="6" t="inlineStr">
        <is>
          <t>18.19%</t>
        </is>
      </c>
      <c r="G21" s="6" t="n"/>
      <c r="H21" s="6" t="inlineStr">
        <is>
          <t>24.88%</t>
        </is>
      </c>
      <c r="I21" s="6" t="inlineStr">
        <is>
          <t>22.68%</t>
        </is>
      </c>
      <c r="J21" s="6" t="n"/>
      <c r="K21" s="6" t="n"/>
      <c r="L21" s="6" t="n"/>
      <c r="M21" s="6" t="n"/>
      <c r="N21" s="6" t="n"/>
    </row>
    <row r="22">
      <c r="A22" s="5" t="inlineStr">
        <is>
          <t>IAS 39 incurred-loss impairment model, Loans and advances to customers only - FY2014-FY2018</t>
        </is>
      </c>
      <c r="B22" s="6" t="n"/>
      <c r="C22" s="6" t="n"/>
      <c r="D22" s="6" t="n"/>
      <c r="E22" s="6" t="n"/>
      <c r="F22" s="6" t="n"/>
      <c r="G22" s="6" t="n"/>
      <c r="H22" s="6" t="n"/>
      <c r="I22" s="6" t="n"/>
      <c r="J22" s="6" t="n"/>
      <c r="K22" s="6" t="n"/>
      <c r="L22" s="6" t="n"/>
      <c r="M22" s="6" t="n"/>
      <c r="N22" s="6" t="n"/>
    </row>
    <row r="23">
      <c r="A23" s="6" t="inlineStr">
        <is>
          <t>Gross loans and advances to customers</t>
        </is>
      </c>
      <c r="B23" s="6" t="n"/>
      <c r="C23" s="6" t="n"/>
      <c r="D23" s="6" t="n"/>
      <c r="E23" s="6" t="n"/>
      <c r="F23" s="6" t="n"/>
      <c r="G23" s="6" t="n"/>
      <c r="H23" s="6" t="n"/>
      <c r="I23" s="6" t="n"/>
      <c r="J23" s="6" t="n">
        <v>598419.4</v>
      </c>
      <c r="K23" s="6" t="n">
        <v>696953.7</v>
      </c>
      <c r="L23" s="6" t="n">
        <v>825038.3</v>
      </c>
      <c r="M23" s="6" t="n">
        <v>834116</v>
      </c>
      <c r="N23" s="6" t="n">
        <v>722850.1</v>
      </c>
    </row>
    <row r="24">
      <c r="A24" s="6" t="inlineStr">
        <is>
          <t>Specific impairment provision</t>
        </is>
      </c>
      <c r="B24" s="6" t="n"/>
      <c r="C24" s="6" t="n"/>
      <c r="D24" s="6" t="n"/>
      <c r="E24" s="6" t="n"/>
      <c r="F24" s="6" t="n"/>
      <c r="G24" s="6" t="n"/>
      <c r="H24" s="6" t="n"/>
      <c r="I24" s="6" t="n"/>
      <c r="J24" s="6" t="n">
        <v>190892.9</v>
      </c>
      <c r="K24" s="6" t="n">
        <v>206732.2</v>
      </c>
      <c r="L24" s="6" t="n">
        <v>75546</v>
      </c>
      <c r="M24" s="6" t="n">
        <v>23913.2</v>
      </c>
      <c r="N24" s="6" t="n">
        <v>18685.9</v>
      </c>
    </row>
    <row r="25">
      <c r="A25" s="6" t="inlineStr">
        <is>
          <t>Collective impairment provision</t>
        </is>
      </c>
      <c r="B25" s="6" t="n"/>
      <c r="C25" s="6" t="n"/>
      <c r="D25" s="6" t="n"/>
      <c r="E25" s="6" t="n"/>
      <c r="F25" s="6" t="n"/>
      <c r="G25" s="6" t="n"/>
      <c r="H25" s="6" t="n"/>
      <c r="I25" s="6" t="n"/>
      <c r="J25" s="6" t="n">
        <v>2536.9</v>
      </c>
      <c r="K25" s="6" t="n">
        <v>3773.9</v>
      </c>
      <c r="L25" s="6" t="n">
        <v>3915.7</v>
      </c>
      <c r="M25" s="6" t="n">
        <v>4647.4</v>
      </c>
      <c r="N25" s="6" t="n">
        <v>2104</v>
      </c>
    </row>
    <row r="26">
      <c r="A26" s="5" t="inlineStr">
        <is>
          <t>Total impairment provision</t>
        </is>
      </c>
      <c r="B26" s="5" t="n"/>
      <c r="C26" s="5" t="n"/>
      <c r="D26" s="5" t="n"/>
      <c r="E26" s="5" t="n"/>
      <c r="F26" s="5" t="n"/>
      <c r="G26" s="5" t="n"/>
      <c r="H26" s="5" t="n"/>
      <c r="I26" s="5" t="n"/>
      <c r="J26" s="5" t="n">
        <v>193433.3</v>
      </c>
      <c r="K26" s="5" t="n">
        <v>213063.1</v>
      </c>
      <c r="L26" s="5" t="n">
        <v>79461.7</v>
      </c>
      <c r="M26" s="5" t="n">
        <v>28560.7</v>
      </c>
      <c r="N26" s="5" t="n">
        <v>20789.9</v>
      </c>
    </row>
    <row r="27">
      <c r="A27" s="5" t="inlineStr">
        <is>
          <t>Net loans and advances to customers</t>
        </is>
      </c>
      <c r="B27" s="5" t="n"/>
      <c r="C27" s="5" t="n"/>
      <c r="D27" s="5" t="n"/>
      <c r="E27" s="5" t="n"/>
      <c r="F27" s="5" t="n"/>
      <c r="G27" s="5" t="n"/>
      <c r="H27" s="5" t="n"/>
      <c r="I27" s="5" t="n"/>
      <c r="J27" s="5" t="n">
        <v>404986.1</v>
      </c>
      <c r="K27" s="5" t="n">
        <v>483890.6</v>
      </c>
      <c r="L27" s="5" t="n">
        <v>745576.6</v>
      </c>
      <c r="M27" s="5" t="n">
        <v>805555.3</v>
      </c>
      <c r="N27" s="5" t="n">
        <v>702060.2</v>
      </c>
    </row>
    <row r="28">
      <c r="A28" s="6" t="inlineStr">
        <is>
          <t>Gross impaired loans and advances (Bank's own headline non-performing figure)</t>
        </is>
      </c>
      <c r="B28" s="6" t="n"/>
      <c r="C28" s="6" t="n"/>
      <c r="D28" s="6" t="n"/>
      <c r="E28" s="6" t="n"/>
      <c r="F28" s="6" t="n"/>
      <c r="G28" s="6" t="n"/>
      <c r="H28" s="6" t="n"/>
      <c r="I28" s="6" t="n"/>
      <c r="J28" s="6" t="n">
        <v>226943.6</v>
      </c>
      <c r="K28" s="6" t="n">
        <v>239377.9</v>
      </c>
      <c r="L28" s="6" t="n">
        <v>100841.6</v>
      </c>
      <c r="M28" s="6" t="n">
        <v>55587</v>
      </c>
      <c r="N28" s="6" t="n">
        <v>40060.6</v>
      </c>
    </row>
    <row r="29">
      <c r="A29" s="6" t="inlineStr">
        <is>
          <t>Gross impaired advances as % of gross loans and advances to customers (NPL ratio)</t>
        </is>
      </c>
      <c r="B29" s="6" t="n"/>
      <c r="C29" s="6" t="n"/>
      <c r="D29" s="6" t="n"/>
      <c r="E29" s="6" t="n"/>
      <c r="F29" s="6" t="n"/>
      <c r="G29" s="6" t="n"/>
      <c r="H29" s="6" t="n"/>
      <c r="I29" s="6" t="n"/>
      <c r="J29" s="6" t="inlineStr">
        <is>
          <t>37.92%</t>
        </is>
      </c>
      <c r="K29" s="6" t="inlineStr">
        <is>
          <t>34.35%</t>
        </is>
      </c>
      <c r="L29" s="6" t="inlineStr">
        <is>
          <t>12.22%</t>
        </is>
      </c>
      <c r="M29" s="6" t="inlineStr">
        <is>
          <t>6.66%</t>
        </is>
      </c>
      <c r="N29" s="6" t="inlineStr">
        <is>
          <t>5.54%</t>
        </is>
      </c>
    </row>
    <row r="30">
      <c r="A30" s="6" t="inlineStr">
        <is>
          <t>Total impairment provision as % of gross loans and advances to customers (coverage)</t>
        </is>
      </c>
      <c r="B30" s="6" t="n"/>
      <c r="C30" s="6" t="n"/>
      <c r="D30" s="6" t="n"/>
      <c r="E30" s="6" t="n"/>
      <c r="F30" s="6" t="n"/>
      <c r="G30" s="6" t="n"/>
      <c r="H30" s="6" t="n"/>
      <c r="I30" s="6" t="n"/>
      <c r="J30" s="6" t="inlineStr">
        <is>
          <t>32.32%</t>
        </is>
      </c>
      <c r="K30" s="6" t="inlineStr">
        <is>
          <t>30.57%</t>
        </is>
      </c>
      <c r="L30" s="6" t="inlineStr">
        <is>
          <t>9.63%</t>
        </is>
      </c>
      <c r="M30" s="6" t="inlineStr">
        <is>
          <t>3.42%</t>
        </is>
      </c>
      <c r="N30" s="6" t="inlineStr">
        <is>
          <t>2.88%</t>
        </is>
      </c>
    </row>
    <row r="32" ht="340" customHeight="1">
      <c r="A32"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FY2026: Note 19, printed p.80 - https://www.pnbint.com/PNBIL/pdf/Financial_Reports/PNBIL-Annual-Report-2026.pdf; FY2025: Note 19, printed p.77 - https://www.pnbint.com/PNBIL/pdf/Financial_Reports/PNBIL%20Annual%20Report%202025.pdf (FY2024 comparative also sourced here); FY2023: Note 19, printed p.67 - https://www.pnbint.com/PNBIL/pdf/Financial_Reports/PNBIL_Annual_Report_2023.pdf (FY2022 comparative also sourced here); FY2020: Note 25, printed pp.60-61 - https://www.pnbint.com/PNBIL/pdf/Financial_Reports/Annual%20Report%2031-03-20_latest.pdf (FY2019 comparative also sourced here, printed p.61).
A large, steadily-declining Stage 3/impaired-loan book is genuinely disclosed every year (34.34% of gross loans in FY2017, rising to 37.92% in FY2018, then 28.79% by FY2022, down to 7.66% by FY2026) - not a transcription artefact; the Bank's own Annual Reports discuss legacy non-performing exposures, mostly originated before FY2016, being worked down over this period. FY2014-FY2018 figures are sourced from each year's own Balance Sheet/Loans and advances to customers note - FY2014: p.17/Note 13, https://www.pnbint.com/PNBIL/pdf/Financial_Reports/Annualreport31-03-2014.pdf; FY2015: Note 13, https://www.pnbint.com/PNBIL/pdf/Financial_Reports/Annual%20Report%2031.03.2015.pdf; FY2016: Note 13, https://www.pnbint.com/PNBIL/pdf/Financial_Reports/Annual%20Report%2031-03-16.pdf; FY2017/FY2018: Note 21, https://www.pnbint.com/PNBIL/pdf/Financial_Reports/Annual%20Report%2031-03-18.pdf (native-text PDF, FY2017 comparative sourced here for higher transcription confidence). FY2014-FY2016 sources are OCR'd from scanned PDFs; each year's own gross/provisions/net figures were cross-checked to sum exactly (net = gross - impairment) and, where shown, to the following year's own comparative column.</t>
        </is>
      </c>
    </row>
  </sheetData>
  <mergeCells count="1">
    <mergeCell ref="A32:N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CET1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t>
        </is>
      </c>
      <c r="B4" s="6" t="n">
        <v>104.8</v>
      </c>
      <c r="C4" s="6" t="n">
        <v>109.1</v>
      </c>
      <c r="D4" s="6" t="n">
        <v>114.1</v>
      </c>
      <c r="E4" s="6" t="n">
        <v>115.7</v>
      </c>
      <c r="F4" s="6" t="n">
        <v>104.8</v>
      </c>
      <c r="G4" s="6" t="n">
        <v>97.40000000000001</v>
      </c>
      <c r="H4" s="6" t="n">
        <v>117.8</v>
      </c>
      <c r="I4" s="6" t="n">
        <v>115.4</v>
      </c>
      <c r="J4" s="6" t="n">
        <v>101.8</v>
      </c>
      <c r="K4" s="6" t="n">
        <v>96.3</v>
      </c>
      <c r="L4" s="6" t="n">
        <v>104.1</v>
      </c>
      <c r="M4" s="6" t="n">
        <v>123.2</v>
      </c>
      <c r="N4" s="6" t="n">
        <v>101.4</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ratio</t>
        </is>
      </c>
      <c r="B4" s="6" t="inlineStr">
        <is>
          <t>15.4%</t>
        </is>
      </c>
      <c r="C4" s="6" t="inlineStr">
        <is>
          <t>20.2%</t>
        </is>
      </c>
      <c r="D4" s="6" t="inlineStr">
        <is>
          <t>20.6%</t>
        </is>
      </c>
      <c r="E4" s="6" t="inlineStr">
        <is>
          <t>19.6%</t>
        </is>
      </c>
      <c r="F4" s="6" t="inlineStr">
        <is>
          <t>17.2%</t>
        </is>
      </c>
      <c r="G4" s="6" t="inlineStr">
        <is>
          <t>17.1%</t>
        </is>
      </c>
      <c r="H4" s="6" t="inlineStr">
        <is>
          <t>19.3%</t>
        </is>
      </c>
      <c r="I4" s="6" t="inlineStr">
        <is>
          <t>18.9%</t>
        </is>
      </c>
      <c r="J4" s="6" t="inlineStr">
        <is>
          <t>15.8%</t>
        </is>
      </c>
      <c r="K4" s="6" t="inlineStr">
        <is>
          <t>11.90%</t>
        </is>
      </c>
      <c r="L4" s="6" t="inlineStr">
        <is>
          <t>9.15%</t>
        </is>
      </c>
      <c r="M4" s="6" t="inlineStr">
        <is>
          <t>10.37%</t>
        </is>
      </c>
      <c r="N4" s="6" t="inlineStr">
        <is>
          <t>10.22%</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Tier 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138.9</v>
      </c>
      <c r="C4" s="6" t="n">
        <v>143.9</v>
      </c>
      <c r="D4" s="6" t="n">
        <v>149.7</v>
      </c>
      <c r="E4" s="6" t="n">
        <v>152.1</v>
      </c>
      <c r="F4" s="6" t="n">
        <v>139</v>
      </c>
      <c r="G4" s="6" t="n">
        <v>130</v>
      </c>
      <c r="H4" s="6" t="n">
        <v>154.1</v>
      </c>
      <c r="I4" s="6" t="n">
        <v>150</v>
      </c>
      <c r="J4" s="6" t="n">
        <v>133.8</v>
      </c>
      <c r="K4" s="6" t="n">
        <v>132.3</v>
      </c>
      <c r="L4" s="6" t="n">
        <v>121.5</v>
      </c>
      <c r="M4" s="6" t="n">
        <v>123.2</v>
      </c>
      <c r="N4" s="6" t="n">
        <v>101.4</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20.5%</t>
        </is>
      </c>
      <c r="C4" s="6" t="inlineStr">
        <is>
          <t>26.7%</t>
        </is>
      </c>
      <c r="D4" s="6" t="inlineStr">
        <is>
          <t>27.0%</t>
        </is>
      </c>
      <c r="E4" s="6" t="inlineStr">
        <is>
          <t>25.8%</t>
        </is>
      </c>
      <c r="F4" s="6" t="inlineStr">
        <is>
          <t>22.8%</t>
        </is>
      </c>
      <c r="G4" s="6" t="inlineStr">
        <is>
          <t>22.9%</t>
        </is>
      </c>
      <c r="H4" s="6" t="inlineStr">
        <is>
          <t>25.3%</t>
        </is>
      </c>
      <c r="I4" s="6" t="inlineStr">
        <is>
          <t>24.5%</t>
        </is>
      </c>
      <c r="J4" s="6" t="inlineStr">
        <is>
          <t>20.7%</t>
        </is>
      </c>
      <c r="K4" s="6" t="inlineStr">
        <is>
          <t>16.3%</t>
        </is>
      </c>
      <c r="L4" s="6" t="inlineStr">
        <is>
          <t>10.67%</t>
        </is>
      </c>
      <c r="M4" s="6" t="inlineStr">
        <is>
          <t>10.37%</t>
        </is>
      </c>
      <c r="N4" s="6" t="inlineStr">
        <is>
          <t>10.22%</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159.9</v>
      </c>
      <c r="C4" s="6" t="n">
        <v>167.4</v>
      </c>
      <c r="D4" s="6" t="n">
        <v>176.6</v>
      </c>
      <c r="E4" s="6" t="n">
        <v>183.1</v>
      </c>
      <c r="F4" s="6" t="n">
        <v>162.5</v>
      </c>
      <c r="G4" s="6" t="n">
        <v>149.8</v>
      </c>
      <c r="H4" s="6" t="n">
        <v>182</v>
      </c>
      <c r="I4" s="6" t="n">
        <v>181.4</v>
      </c>
      <c r="J4" s="6" t="n">
        <v>169</v>
      </c>
      <c r="K4" s="6" t="n">
        <v>175.7</v>
      </c>
      <c r="L4" s="6" t="n">
        <v>170.6</v>
      </c>
      <c r="M4" s="6" t="n">
        <v>185.1</v>
      </c>
      <c r="N4" s="6" t="n">
        <v>151.5</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23.6%</t>
        </is>
      </c>
      <c r="C4" s="6" t="inlineStr">
        <is>
          <t>31.0%</t>
        </is>
      </c>
      <c r="D4" s="6" t="inlineStr">
        <is>
          <t>31.8%</t>
        </is>
      </c>
      <c r="E4" s="6" t="inlineStr">
        <is>
          <t>31.0%</t>
        </is>
      </c>
      <c r="F4" s="6" t="inlineStr">
        <is>
          <t>26.7%</t>
        </is>
      </c>
      <c r="G4" s="6" t="inlineStr">
        <is>
          <t>26.3%</t>
        </is>
      </c>
      <c r="H4" s="6" t="inlineStr">
        <is>
          <t>29.9%</t>
        </is>
      </c>
      <c r="I4" s="6" t="inlineStr">
        <is>
          <t>29.6%</t>
        </is>
      </c>
      <c r="J4" s="6" t="inlineStr">
        <is>
          <t>26.2%</t>
        </is>
      </c>
      <c r="K4" s="6" t="inlineStr">
        <is>
          <t>21.7%</t>
        </is>
      </c>
      <c r="L4" s="6" t="inlineStr">
        <is>
          <t>14.99%</t>
        </is>
      </c>
      <c r="M4" s="6" t="inlineStr">
        <is>
          <t>15.58%</t>
        </is>
      </c>
      <c r="N4" s="6" t="inlineStr">
        <is>
          <t>15.27%</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RWAs</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risk-weighted exposure amount</t>
        </is>
      </c>
      <c r="B4" s="6" t="n">
        <v>678.6</v>
      </c>
      <c r="C4" s="6" t="n">
        <v>540</v>
      </c>
      <c r="D4" s="6" t="n">
        <v>554.9</v>
      </c>
      <c r="E4" s="6" t="n">
        <v>590.5</v>
      </c>
      <c r="F4" s="6" t="n">
        <v>609.8</v>
      </c>
      <c r="G4" s="6" t="n">
        <v>568.7</v>
      </c>
      <c r="H4" s="6" t="n">
        <v>609.4</v>
      </c>
      <c r="I4" s="6" t="n">
        <v>612.1</v>
      </c>
      <c r="J4" s="6" t="n">
        <v>645.8</v>
      </c>
      <c r="K4" s="6" t="n">
        <v>809.9</v>
      </c>
      <c r="L4" s="6" t="n">
        <v>1137.7</v>
      </c>
      <c r="M4" s="6" t="n">
        <v>1188.3</v>
      </c>
      <c r="N4" s="6" t="n">
        <v>992.5</v>
      </c>
    </row>
    <row r="5" ht="60" customHeight="1">
      <c r="A5" s="7" t="inlineStr">
        <is>
          <t>Note: Directly disclosed total risk-weighted exposure amount in the annual Pillar 3 UK KM1 table (FY2018-FY2026) or its pre-KM1 'Capital Resources' table equivalent (FY2014-FY2017);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RWA Breakdown</t>
        </is>
      </c>
    </row>
    <row r="2">
      <c r="A2" s="2" t="inlineStr">
        <is>
          <t>Entity-level, solo basis. £m converted from the Bank's native US$ million presentation. FY2014-FY2020's 'Credit risk' row folds counterparty credit risk and CVA into one combined figure (that era's own Pillar I disclosure does not separate them out) - see the HD-048 note below.</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6" t="inlineStr">
        <is>
          <t>Credit risk (excluding CCR)</t>
        </is>
      </c>
      <c r="B4" s="6" t="n">
        <v>616.5</v>
      </c>
      <c r="C4" s="6" t="n">
        <v>473.5</v>
      </c>
      <c r="D4" s="6" t="n">
        <v>497.9</v>
      </c>
      <c r="E4" s="6" t="n">
        <v>539.2</v>
      </c>
      <c r="F4" s="6" t="n">
        <v>567.8</v>
      </c>
      <c r="G4" s="6" t="n">
        <v>528.2</v>
      </c>
      <c r="H4" s="6" t="n">
        <v>547.8</v>
      </c>
      <c r="I4" s="6" t="n">
        <v>549.6</v>
      </c>
      <c r="J4" s="6" t="n">
        <v>552.1</v>
      </c>
      <c r="K4" s="6" t="n">
        <v>664.3</v>
      </c>
      <c r="L4" s="6" t="n">
        <v>1014</v>
      </c>
      <c r="M4" s="6" t="n">
        <v>1050.4</v>
      </c>
      <c r="N4" s="6" t="n">
        <v>902.3</v>
      </c>
    </row>
    <row r="5">
      <c r="A5" s="6" t="inlineStr">
        <is>
          <t>Counterparty credit risk (CCR, incl. CVA)</t>
        </is>
      </c>
      <c r="B5" s="6" t="n">
        <v>4.9</v>
      </c>
      <c r="C5" s="6" t="n">
        <v>11.2</v>
      </c>
      <c r="D5" s="6" t="n">
        <v>0.2</v>
      </c>
      <c r="E5" s="6" t="n">
        <v>0.2</v>
      </c>
      <c r="F5" s="6" t="n">
        <v>1.4</v>
      </c>
      <c r="G5" s="6" t="n">
        <v>1.1</v>
      </c>
      <c r="H5" s="6" t="n"/>
      <c r="I5" s="6" t="n"/>
      <c r="J5" s="6" t="n"/>
      <c r="K5" s="6" t="n"/>
      <c r="L5" s="6" t="n"/>
      <c r="M5" s="6" t="n"/>
      <c r="N5" s="6" t="n"/>
    </row>
    <row r="6">
      <c r="A6" s="6" t="inlineStr">
        <is>
          <t>Market risk</t>
        </is>
      </c>
      <c r="B6" s="6" t="n">
        <v>6.4</v>
      </c>
      <c r="C6" s="6" t="n">
        <v>6</v>
      </c>
      <c r="D6" s="6" t="n">
        <v>9.199999999999999</v>
      </c>
      <c r="E6" s="6" t="n">
        <v>9.1</v>
      </c>
      <c r="F6" s="6" t="n">
        <v>7.8</v>
      </c>
      <c r="G6" s="6" t="n">
        <v>8</v>
      </c>
      <c r="H6" s="6" t="n">
        <v>20.9</v>
      </c>
      <c r="I6" s="6" t="n">
        <v>19.4</v>
      </c>
      <c r="J6" s="6" t="n">
        <v>46</v>
      </c>
      <c r="K6" s="6" t="n">
        <v>75.09999999999999</v>
      </c>
      <c r="L6" s="6" t="n">
        <v>58.2</v>
      </c>
      <c r="M6" s="6" t="n">
        <v>82.90000000000001</v>
      </c>
      <c r="N6" s="6" t="n">
        <v>51.3</v>
      </c>
    </row>
    <row r="7">
      <c r="A7" s="6" t="inlineStr">
        <is>
          <t>Operational risk</t>
        </is>
      </c>
      <c r="B7" s="6" t="n">
        <v>50.7</v>
      </c>
      <c r="C7" s="6" t="n">
        <v>49.1</v>
      </c>
      <c r="D7" s="6" t="n">
        <v>47.5</v>
      </c>
      <c r="E7" s="6" t="n">
        <v>41.9</v>
      </c>
      <c r="F7" s="6" t="n">
        <v>32.5</v>
      </c>
      <c r="G7" s="6" t="n">
        <v>32.5</v>
      </c>
      <c r="H7" s="6" t="n">
        <v>40.8</v>
      </c>
      <c r="I7" s="6" t="n">
        <v>43.1</v>
      </c>
      <c r="J7" s="6" t="n">
        <v>47.7</v>
      </c>
      <c r="K7" s="6" t="n">
        <v>70.59999999999999</v>
      </c>
      <c r="L7" s="6" t="n">
        <v>65.59999999999999</v>
      </c>
      <c r="M7" s="6" t="n">
        <v>55</v>
      </c>
      <c r="N7" s="6" t="n">
        <v>38.9</v>
      </c>
    </row>
    <row r="8">
      <c r="A8" s="5" t="inlineStr">
        <is>
          <t>Total risk-weighted exposure amount</t>
        </is>
      </c>
      <c r="B8" s="5" t="n">
        <v>678.5</v>
      </c>
      <c r="C8" s="5" t="n">
        <v>540</v>
      </c>
      <c r="D8" s="5" t="n">
        <v>554.9</v>
      </c>
      <c r="E8" s="5" t="n">
        <v>590.5</v>
      </c>
      <c r="F8" s="5" t="n">
        <v>609.8</v>
      </c>
      <c r="G8" s="5" t="n">
        <v>568.7</v>
      </c>
      <c r="H8" s="5" t="n">
        <v>609.4</v>
      </c>
      <c r="I8" s="5" t="n">
        <v>612.1</v>
      </c>
      <c r="J8" s="5" t="n">
        <v>645.8</v>
      </c>
      <c r="K8" s="5" t="n">
        <v>809.9</v>
      </c>
      <c r="L8" s="5" t="n">
        <v>1137.7</v>
      </c>
      <c r="M8" s="5" t="n">
        <v>1188.3</v>
      </c>
      <c r="N8" s="5" t="n">
        <v>992.5</v>
      </c>
    </row>
    <row r="10" ht="320" customHeight="1">
      <c r="A10"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
UK OV1 table: FY2025/FY2024 - https://www.pnbint.com/PNBIL/pdf/Financial_Reports/Basel%20III%20Pillar%203%20Disclosures%2031-03-2025.pdf, printed p.45; FY2023/FY2022 - https://www.pnbint.com/PNBIL/pdf/Financial_Reports/PNBIL%20Pillar%20III%20Disclosures%20Publish%20Version.pdf, printed p.44. FY2026 derived from https://www.pnbint.com/PNBIL/pdf/Financial_Reports/Basel-III-Pillar-3-Disclosure-31-03-2026.pdf, printed pp.14/27-30/33 (credit risk exposure-class table, CCR table, market risk table, operational risk table) - the FY2026 Pillar 3 document does not include a UK OV1 template (confirmed by reading the full document), a genuine structural change from FY2022-FY2025's disclosures.
HD-048 (2026-09-05/06) FY2014-FY2020: derived from each year's own 'Capital Requirement under Pillar I' table (own basis, predates the UK OV1 template) - FY2020: https://www.pnbint.com/PNBIL/pdf/Financial_Reports/Pillar_3_Disclosure_%2031st_March_2020.pdf, printed p.9; FY2019: https://www.pnbint.com/PNBIL/pdf/Financial_Reports/PILLAR%20III%20-%2031.03.2019%20-%20FINAL.pdf, printed p.9; FY2018: https://www.pnbint.com/PNBIL/pdf/Financial_Reports/PILLAR%203%20Disclosures-%2031.03.18.pdf, printed pp.10/11; FY2017: https://www.pnbint.com/PNBIL/pdf/Financial_Reports/Pillar%203%20Disclosures%2031%2003%202017_FINAL.pdf, printed p.7 (own-year credit risk/market risk/operational risk 'Capital Requirement' totals); FY2016: https://www.pnbint.com/PNBIL/pdf/Financial_Reports/Pillar%20III%20disclosures%2031%2003%202016_Revised.pdf, printed pp.3-4 (OCR'd from a scanned PDF); FY2015: https://www.pnbint.com/PNBIL/pdf/Financial_Reports/Pillar%20III%20disclosures%2031%2003%202015.pdf, printed pp.2-3 (OCR'd from a scanned PDF); FY2014: https://www.pnbint.com/PNBIL/pdf/Financial_Reports/Pillar%20III%20disclosures%2031%2003%202014.pdf, printed pp.2-3 (OCR'd from a scanned PDF). Each year's Credit Risk/Market Risk/Operational Risk 'RWA After SME Benefit' figures sum exactly to that year's own disclosed total RWA.</t>
        </is>
      </c>
    </row>
  </sheetData>
  <mergeCells count="1">
    <mergeCell ref="A10:N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Leverage ratio excluding claims on central banks</t>
        </is>
      </c>
      <c r="B4" s="6" t="inlineStr">
        <is>
          <t>13.6%</t>
        </is>
      </c>
      <c r="C4" s="6" t="inlineStr">
        <is>
          <t>16.7%</t>
        </is>
      </c>
      <c r="D4" s="6" t="inlineStr">
        <is>
          <t>19.1%</t>
        </is>
      </c>
      <c r="E4" s="6" t="inlineStr">
        <is>
          <t>19.9%</t>
        </is>
      </c>
      <c r="F4" s="6" t="inlineStr">
        <is>
          <t>19.3%</t>
        </is>
      </c>
      <c r="G4" s="6" t="inlineStr">
        <is>
          <t>17.3%</t>
        </is>
      </c>
      <c r="H4" s="6" t="inlineStr">
        <is>
          <t>20.4%</t>
        </is>
      </c>
      <c r="I4" s="6" t="inlineStr">
        <is>
          <t>15.1%</t>
        </is>
      </c>
      <c r="J4" s="6" t="inlineStr">
        <is>
          <t>12.94%</t>
        </is>
      </c>
      <c r="K4" s="6" t="inlineStr">
        <is>
          <t>9.7%</t>
        </is>
      </c>
      <c r="L4" s="6" t="inlineStr">
        <is>
          <t>8.93%</t>
        </is>
      </c>
      <c r="M4" s="6" t="inlineStr">
        <is>
          <t>8.78%</t>
        </is>
      </c>
      <c r="N4" s="6" t="inlineStr">
        <is>
          <t>7.83%</t>
        </is>
      </c>
    </row>
    <row r="5" ht="60" customHeight="1">
      <c r="A5" s="7" t="inlineStr">
        <is>
          <t>Note: FY2014-FY2020 show each year's own quarterly-average 'Leverage Ratio using a fully phased-in definition of Tier 1' (a full CRR leverage ratio including central bank claims, predating the UK's post-2016 central-bank-claims-excluded leverage framework used from FY2022 on) - a genuine methodology change across the two eras, not a like-for-like series; see the metric values for each report's own comparative column, which sometimes differs from the prior year's own headline figure for this same reason.</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Liquidity Coverage Ratio</t>
        </is>
      </c>
      <c r="B4" s="6" t="inlineStr">
        <is>
          <t>350%</t>
        </is>
      </c>
      <c r="C4" s="6" t="inlineStr">
        <is>
          <t>201%</t>
        </is>
      </c>
      <c r="D4" s="6" t="inlineStr">
        <is>
          <t>647%</t>
        </is>
      </c>
      <c r="E4" s="6" t="inlineStr">
        <is>
          <t>384%</t>
        </is>
      </c>
      <c r="F4" s="6" t="inlineStr">
        <is>
          <t>405%</t>
        </is>
      </c>
      <c r="G4" s="6" t="inlineStr">
        <is>
          <t>748%</t>
        </is>
      </c>
      <c r="H4" s="6" t="inlineStr">
        <is>
          <t>403%</t>
        </is>
      </c>
      <c r="I4" s="6" t="inlineStr">
        <is>
          <t>524%</t>
        </is>
      </c>
      <c r="J4" s="6" t="inlineStr">
        <is>
          <t>1027%</t>
        </is>
      </c>
      <c r="K4" s="6" t="inlineStr">
        <is>
          <t>1040%</t>
        </is>
      </c>
      <c r="L4" s="6" t="inlineStr">
        <is>
          <t>167.00%</t>
        </is>
      </c>
      <c r="M4" s="6" t="n"/>
      <c r="N4" s="6" t="n"/>
    </row>
    <row r="5" ht="60" customHeight="1">
      <c r="A5" s="7" t="inlineStr">
        <is>
          <t>Note: The Bank's own report-year headline LCR is used. FY2025's report shows 201% for FY2025, while its FY2024 comparative shows 528%; the FY2024 report itself reported 647% for FY2024. This workbook preserves each year's own as-reported figure rather than replacing it with a later comparative restatement. FY2014 and FY2015 are left blank because the EU's LCR delegated act was not adopted until October 2014 and PNBIL's own Pillar 3 disclosures do not report an LCR figure for either year - a genuine regulatory-timing gap, not a missed disclosure.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Net Stable Funding Ratio</t>
        </is>
      </c>
      <c r="B4" s="6" t="inlineStr">
        <is>
          <t>118%</t>
        </is>
      </c>
      <c r="C4" s="6" t="inlineStr">
        <is>
          <t>121%</t>
        </is>
      </c>
      <c r="D4" s="6" t="inlineStr">
        <is>
          <t>130%</t>
        </is>
      </c>
      <c r="E4" s="6" t="inlineStr">
        <is>
          <t>135%</t>
        </is>
      </c>
      <c r="F4" s="6" t="inlineStr">
        <is>
          <t>128%</t>
        </is>
      </c>
      <c r="G4" s="6" t="inlineStr">
        <is>
          <t>146%</t>
        </is>
      </c>
      <c r="H4" s="6" t="inlineStr">
        <is>
          <t>126%</t>
        </is>
      </c>
      <c r="I4" s="6" t="inlineStr">
        <is>
          <t>139%</t>
        </is>
      </c>
      <c r="J4" s="6" t="inlineStr">
        <is>
          <t>171%</t>
        </is>
      </c>
      <c r="K4" s="6" t="inlineStr">
        <is>
          <t>180%</t>
        </is>
      </c>
      <c r="L4" s="6" t="inlineStr">
        <is>
          <t>119%</t>
        </is>
      </c>
      <c r="M4" s="6" t="inlineStr">
        <is>
          <t>131%</t>
        </is>
      </c>
      <c r="N4" s="6" t="inlineStr">
        <is>
          <t>110%</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row>
    <row r="5" ht="60" customHeight="1">
      <c r="A5" s="7" t="inlineStr">
        <is>
          <t>Note: No MREL ratio or MREL target is disclosed in any FY2014-FY2026 Pillar 3 report or annual report reviewed; left explicitly undisclosed.</t>
        </is>
      </c>
    </row>
    <row r="7" ht="15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2026-09-07T11:11:51Z</dcterms:created>
  <dcterms:modified xmlns:dcterms="http://purl.org/dc/terms/" xmlns:xsi="http://www.w3.org/2001/XMLSchema-instance" xsi:type="dcterms:W3CDTF">2026-09-07T11:11:51Z</dcterms:modified>
</cp:coreProperties>
</file>