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'Overview'!$DC$6:$DT$6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'Overview'!$DC$7:$DT$7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'Overview'!$DC$8:$DT$8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'Overview'!$DC$9:$DT$9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'Overview'!$DC$10:$DT$10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'Overview'!$DC$11:$DT$11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FY2009</t>
        </is>
      </c>
      <c r="DD5" t="inlineStr">
        <is>
          <t>FY2010</t>
        </is>
      </c>
      <c r="DE5" t="inlineStr">
        <is>
          <t>FY2011</t>
        </is>
      </c>
      <c r="DF5" t="inlineStr">
        <is>
          <t>FY2012</t>
        </is>
      </c>
      <c r="DG5" t="inlineStr">
        <is>
          <t>FY2013</t>
        </is>
      </c>
      <c r="DH5" t="inlineStr">
        <is>
          <t>FY2014</t>
        </is>
      </c>
      <c r="DI5" t="inlineStr">
        <is>
          <t>FY2015</t>
        </is>
      </c>
      <c r="DJ5" t="inlineStr">
        <is>
          <t>FY2016</t>
        </is>
      </c>
      <c r="DK5" t="inlineStr">
        <is>
          <t>FY2017</t>
        </is>
      </c>
      <c r="DL5" t="inlineStr">
        <is>
          <t>FY2018</t>
        </is>
      </c>
      <c r="DM5" t="inlineStr">
        <is>
          <t>FY2019</t>
        </is>
      </c>
      <c r="DN5" t="inlineStr">
        <is>
          <t>FY2020</t>
        </is>
      </c>
      <c r="DO5" t="inlineStr">
        <is>
          <t>FY2021</t>
        </is>
      </c>
      <c r="DP5" t="inlineStr">
        <is>
          <t>FY2022</t>
        </is>
      </c>
      <c r="DQ5" t="inlineStr">
        <is>
          <t>FY2023</t>
        </is>
      </c>
      <c r="DR5" t="inlineStr">
        <is>
          <t>FY2024</t>
        </is>
      </c>
      <c r="DS5" t="inlineStr">
        <is>
          <t>FY2025</t>
        </is>
      </c>
      <c r="DT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H6" t="n">
        <v>10.22</v>
      </c>
      <c r="DI6" t="n">
        <v>10.37</v>
      </c>
      <c r="DJ6" t="n">
        <v>9.15</v>
      </c>
      <c r="DK6" t="n">
        <v>11.9</v>
      </c>
      <c r="DL6" t="n">
        <v>15.8</v>
      </c>
      <c r="DM6" t="n">
        <v>18.9</v>
      </c>
      <c r="DN6" t="n">
        <v>19.3</v>
      </c>
      <c r="DO6" t="n">
        <v>17.1</v>
      </c>
      <c r="DP6" t="n">
        <v>17.2</v>
      </c>
      <c r="DQ6" t="n">
        <v>19.6</v>
      </c>
      <c r="DR6" t="n">
        <v>20.6</v>
      </c>
      <c r="DS6" t="n">
        <v>20.2</v>
      </c>
      <c r="DT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H7" t="n">
        <v>10.22</v>
      </c>
      <c r="DI7" t="n">
        <v>10.37</v>
      </c>
      <c r="DJ7" t="n">
        <v>10.67</v>
      </c>
      <c r="DK7" t="n">
        <v>16.3</v>
      </c>
      <c r="DL7" t="n">
        <v>20.7</v>
      </c>
      <c r="DM7" t="n">
        <v>24.5</v>
      </c>
      <c r="DN7" t="n">
        <v>25.3</v>
      </c>
      <c r="DO7" t="n">
        <v>22.9</v>
      </c>
      <c r="DP7" t="n">
        <v>22.8</v>
      </c>
      <c r="DQ7" t="n">
        <v>25.8</v>
      </c>
      <c r="DR7" t="n">
        <v>27</v>
      </c>
      <c r="DS7" t="n">
        <v>26.7</v>
      </c>
      <c r="DT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H8" t="n">
        <v>15.27</v>
      </c>
      <c r="DI8" t="n">
        <v>15.58</v>
      </c>
      <c r="DJ8" t="n">
        <v>14.99</v>
      </c>
      <c r="DK8" t="n">
        <v>21.7</v>
      </c>
      <c r="DL8" t="n">
        <v>26.2</v>
      </c>
      <c r="DM8" t="n">
        <v>29.6</v>
      </c>
      <c r="DN8" t="n">
        <v>29.9</v>
      </c>
      <c r="DO8" t="n">
        <v>26.3</v>
      </c>
      <c r="DP8" t="n">
        <v>26.7</v>
      </c>
      <c r="DQ8" t="n">
        <v>31</v>
      </c>
      <c r="DR8" t="n">
        <v>31.8</v>
      </c>
      <c r="DS8" t="n">
        <v>31</v>
      </c>
      <c r="DT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H9" t="n">
        <v>7.83</v>
      </c>
      <c r="DI9" t="n">
        <v>8.779999999999999</v>
      </c>
      <c r="DJ9" t="n">
        <v>8.93</v>
      </c>
      <c r="DK9" t="n">
        <v>9.699999999999999</v>
      </c>
      <c r="DL9" t="n">
        <v>12.94</v>
      </c>
      <c r="DM9" t="n">
        <v>15.1</v>
      </c>
      <c r="DN9" t="n">
        <v>20.4</v>
      </c>
      <c r="DO9" t="n">
        <v>17.3</v>
      </c>
      <c r="DP9" t="n">
        <v>19.3</v>
      </c>
      <c r="DQ9" t="n">
        <v>19.9</v>
      </c>
      <c r="DR9" t="n">
        <v>19.1</v>
      </c>
      <c r="DS9" t="n">
        <v>16.7</v>
      </c>
      <c r="DT9" t="n">
        <v>13.6</v>
      </c>
    </row>
    <row r="10">
      <c r="DB10" t="inlineStr">
        <is>
          <t>LCR</t>
        </is>
      </c>
      <c r="DJ10" t="n">
        <v>167</v>
      </c>
      <c r="DK10" t="n">
        <v>1040</v>
      </c>
      <c r="DL10" t="n">
        <v>1027</v>
      </c>
      <c r="DM10" t="n">
        <v>524</v>
      </c>
      <c r="DN10" t="n">
        <v>403</v>
      </c>
      <c r="DO10" t="n">
        <v>748</v>
      </c>
      <c r="DP10" t="n">
        <v>405.1</v>
      </c>
      <c r="DQ10" t="n">
        <v>384</v>
      </c>
      <c r="DR10" t="n">
        <v>647</v>
      </c>
      <c r="DS10" t="n">
        <v>201</v>
      </c>
      <c r="DT10" t="n">
        <v>350</v>
      </c>
    </row>
    <row r="11">
      <c r="A11" s="3" t="inlineStr">
        <is>
          <t>Profit &amp; Loss Summary (£'000 (conv. from USD))</t>
        </is>
      </c>
      <c r="DB11" t="inlineStr">
        <is>
          <t>NSFR</t>
        </is>
      </c>
      <c r="DH11" t="n">
        <v>110</v>
      </c>
      <c r="DI11" t="n">
        <v>131</v>
      </c>
      <c r="DJ11" t="n">
        <v>119</v>
      </c>
      <c r="DK11" t="n">
        <v>180</v>
      </c>
      <c r="DL11" t="n">
        <v>171</v>
      </c>
      <c r="DM11" t="n">
        <v>139</v>
      </c>
      <c r="DN11" t="n">
        <v>126</v>
      </c>
      <c r="DO11" t="n">
        <v>146</v>
      </c>
      <c r="DP11" t="n">
        <v>128.2</v>
      </c>
      <c r="DQ11" t="n">
        <v>135</v>
      </c>
      <c r="DR11" t="n">
        <v>130</v>
      </c>
      <c r="DS11" t="n">
        <v>121</v>
      </c>
      <c r="DT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c r="O31" s="4" t="inlineStr">
        <is>
          <t>FY2013</t>
        </is>
      </c>
      <c r="P31" s="4" t="inlineStr">
        <is>
          <t>FY2012</t>
        </is>
      </c>
      <c r="Q31" s="4" t="inlineStr">
        <is>
          <t>FY2011</t>
        </is>
      </c>
      <c r="R31" s="4" t="inlineStr">
        <is>
          <t>FY2010</t>
        </is>
      </c>
      <c r="S31" s="4" t="inlineStr">
        <is>
          <t>FY2009</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c r="O32" s="6" t="n"/>
      <c r="P32" s="6" t="n"/>
      <c r="Q32" s="6" t="n"/>
      <c r="R32" s="6" t="n"/>
      <c r="S32" s="6" t="n"/>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c r="O33" s="6" t="n"/>
      <c r="P33" s="6" t="n"/>
      <c r="Q33" s="6" t="n"/>
      <c r="R33" s="6" t="n"/>
      <c r="S33" s="6" t="n"/>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c r="O34" s="6" t="n"/>
      <c r="P34" s="6" t="n"/>
      <c r="Q34" s="6" t="n"/>
      <c r="R34" s="6" t="n"/>
      <c r="S34" s="6" t="n"/>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c r="O35" s="6" t="n"/>
      <c r="P35" s="6" t="n"/>
      <c r="Q35" s="6" t="n"/>
      <c r="R35" s="6" t="n"/>
      <c r="S35" s="6" t="n"/>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c r="O36" s="6" t="n"/>
      <c r="P36" s="6" t="n"/>
      <c r="Q36" s="6" t="n"/>
      <c r="R36" s="6" t="n"/>
      <c r="S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c r="O37" s="6" t="n"/>
      <c r="P37" s="6" t="n"/>
      <c r="Q37" s="6" t="n"/>
      <c r="R37" s="6" t="n"/>
      <c r="S37" s="6" t="n"/>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v>435239.9</v>
      </c>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v>33007.4</v>
      </c>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v>270827.1</v>
      </c>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v>739074.4</v>
      </c>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v>1302.6</v>
      </c>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v>136.3</v>
      </c>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v>172658</v>
      </c>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v>174096.8</v>
      </c>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v>433937.4</v>
      </c>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v>32871.1</v>
      </c>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v>98169</v>
      </c>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v>564977.5</v>
      </c>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inlineStr">
        <is>
          <t>36.64%</t>
        </is>
      </c>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inlineStr">
        <is>
          <t>23.56%</t>
        </is>
      </c>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FY2021: Note 24 'Allowance for Expected Credit Losses (continued)', printed p.55 / PDF p.56 - https://www.pnbint.com/PNBIL/pdf/Financial_Reports/Annual%20report%20%2031-03-21.pdf; FY2020: Note 25, printed pp.60-61 - https://www.pnbint.com/PNBIL/pdf/Financial_Reports/Annual%20Report%2031-03-20_latest.pdf (FY2019 comparative also sourced here, printed p.61).
FY2021 ADDED 2026-09-18 - IT WAS AN UNTRANSCRIBED TABLE, NOT AN UNDISCLOSED YEAR. FY2021 was the only blank column between FY2019/FY2020 and FY2022 on this sheet, and the Bank's own 2021 Annual Report (already cited on this workbook's Cash Flow Statement sheet) carries the identical 'breakdown of loans &amp; advances at amortised cost by product' table on printed p.55, in exactly the format used for every other year. Stage 2 is the trap in this table and is handled the same way here as in every other column: the Bank prints Stage 2 as TWO sub-rows, 'Not past due' and '&gt; 30 &lt;= 90 days', and this sheet's Stage 2 line is their sum. FY2021's second sub-row is non-zero (gross 6,984, impairment nil, net 6,984), so Stage 2 gross is 38,553 + 6,984 = 45,537, impairment 188 + 0 = 188, net 38,365 + 6,984 = 45,349 - taking only the 'Not past due' row would have understated the stage by $6,984k. The convention is verified against a year already in the workbook: AR2023 prints FY2022 Stage 2 as 27,489 + 13,088 gross and 130 + 17 impairment, which is exactly this workbook's existing FY2022 40,577 / 147. The FY2021 column foots internally (net = gross - impairment on every stage, and 1,019,627 - 240,184 = 779,443), and the same page's 31 March 2020 comparative column reproduces this workbook's existing FY2020 figures cell-for-cell (546,951 / 57,217 / 371,763 gross; 2,085 / 501 / 240,273 impairment; 544,866 / 56,716 / 131,490 net), confirming both the scope and the transcription. The separate FVOCI investment-securities table on the following page is excluded, as it is for every other year. Fetched on rung 1 (plain curl -L): HTTP 200, Content-Type application/pdf, %PDF magic bytes, 1,567,660 bytes, native text layer (no OCR needed).
GBP-CONVERSION ROUNDING (applies to every column, not just FY2021): the Bank reports in US$'000 and every cell on this sheet is converted individually at that year's 31 March spot rate and then rounded to one decimal place, so a column's three stage rows can sum to £0.1k more or less than the separately-converted printed total. FY2021's total impairment allowance is one such case (stages sum to 174,096.9, the converted printed total is 174,096.8), exactly like the FY2026 and FY2020 columns already on this sheet. In the Bank's own native US$'000 every column foots exactly (FY2021: 1,797 + 188 + 238,199 = 240,184). This is an artefact of presenting a dollar disclosure in pounds; no figure has been adjusted to hide it.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sits in the Basel block and is the FY2019 edition's comparative column, because PNBIL's own FY2018 edition publishes no key-metrics table at all; its seven fully-loaded ECL rows are printed as dashes there and carry them. FY2017 and earlier are blank because no edition prints them.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UK KM1 — Key metrics template, as printed in the FY2022–FY2026 editions ($ million / %)</t>
        </is>
      </c>
      <c r="B4" s="6" t="n"/>
      <c r="C4" s="6" t="n"/>
      <c r="D4" s="6" t="n"/>
      <c r="E4" s="6" t="n"/>
      <c r="F4" s="6" t="n"/>
      <c r="G4" s="6" t="n"/>
      <c r="H4" s="6" t="n"/>
      <c r="I4" s="6" t="n"/>
      <c r="J4" s="6" t="n"/>
    </row>
    <row r="5">
      <c r="A5" s="5" t="inlineStr">
        <is>
          <t>Available own funds (amounts, $ million)</t>
        </is>
      </c>
      <c r="B5" s="6" t="n"/>
      <c r="C5" s="6" t="n"/>
      <c r="D5" s="6" t="n"/>
      <c r="E5" s="6" t="n"/>
      <c r="F5" s="6" t="n"/>
      <c r="G5" s="6" t="n"/>
      <c r="H5" s="6" t="n"/>
      <c r="I5" s="6" t="n"/>
      <c r="J5" s="6" t="n"/>
    </row>
    <row r="6">
      <c r="A6" s="6" t="inlineStr">
        <is>
          <t>1    Common Equity Tier 1 (CET 1) capital</t>
        </is>
      </c>
      <c r="B6" s="6" t="n">
        <v>138.2</v>
      </c>
      <c r="C6" s="6" t="n">
        <v>140.8</v>
      </c>
      <c r="D6" s="6" t="n">
        <v>144.1</v>
      </c>
      <c r="E6" s="6" t="n">
        <v>143.1</v>
      </c>
      <c r="F6" s="6" t="n">
        <v>137.9</v>
      </c>
      <c r="G6" s="6" t="n"/>
      <c r="H6" s="6" t="n"/>
      <c r="I6" s="6" t="n"/>
      <c r="J6" s="6" t="n"/>
    </row>
    <row r="7">
      <c r="A7" s="6" t="inlineStr">
        <is>
          <t>2    Tier 1 capital</t>
        </is>
      </c>
      <c r="B7" s="6" t="n">
        <v>183.2</v>
      </c>
      <c r="C7" s="6" t="n">
        <v>185.8</v>
      </c>
      <c r="D7" s="6" t="n">
        <v>189.1</v>
      </c>
      <c r="E7" s="6" t="n">
        <v>188.1</v>
      </c>
      <c r="F7" s="6" t="n">
        <v>182.9</v>
      </c>
      <c r="G7" s="6" t="n"/>
      <c r="H7" s="6" t="n"/>
      <c r="I7" s="6" t="n"/>
      <c r="J7" s="6" t="n"/>
    </row>
    <row r="8">
      <c r="A8" s="6" t="inlineStr">
        <is>
          <t>3    Total capital</t>
        </is>
      </c>
      <c r="B8" s="6" t="n">
        <v>210.9</v>
      </c>
      <c r="C8" s="6" t="n">
        <v>216.1</v>
      </c>
      <c r="D8" s="6" t="n">
        <v>223.1</v>
      </c>
      <c r="E8" s="6" t="n">
        <v>226.4</v>
      </c>
      <c r="F8" s="6" t="n">
        <v>213.9</v>
      </c>
      <c r="G8" s="6" t="n"/>
      <c r="H8" s="6" t="n"/>
      <c r="I8" s="6" t="n"/>
      <c r="J8" s="6" t="n"/>
    </row>
    <row r="9">
      <c r="A9" s="5" t="inlineStr">
        <is>
          <t>Risk-weighted exposure amounts ($ million)</t>
        </is>
      </c>
      <c r="B9" s="6" t="n"/>
      <c r="C9" s="6" t="n"/>
      <c r="D9" s="6" t="n"/>
      <c r="E9" s="6" t="n"/>
      <c r="F9" s="6" t="n"/>
      <c r="G9" s="6" t="n"/>
      <c r="H9" s="6" t="n"/>
      <c r="I9" s="6" t="n"/>
      <c r="J9" s="6" t="n"/>
    </row>
    <row r="10">
      <c r="A10" s="6" t="inlineStr">
        <is>
          <t>4    Total risk-weighted exposure amount</t>
        </is>
      </c>
      <c r="B10" s="6" t="n">
        <v>894.9</v>
      </c>
      <c r="C10" s="6" t="n">
        <v>697.1</v>
      </c>
      <c r="D10" s="6" t="n">
        <v>701</v>
      </c>
      <c r="E10" s="6" t="n">
        <v>730.1</v>
      </c>
      <c r="F10" s="6" t="n">
        <v>802.6</v>
      </c>
      <c r="G10" s="6" t="n"/>
      <c r="H10" s="6" t="n"/>
      <c r="I10" s="6" t="n"/>
      <c r="J10" s="6" t="n"/>
    </row>
    <row r="11">
      <c r="A11" s="5" t="inlineStr">
        <is>
          <t>Capital ratios (as a percentage of risk-weighted exposure amount)</t>
        </is>
      </c>
      <c r="B11" s="6" t="n"/>
      <c r="C11" s="6" t="n"/>
      <c r="D11" s="6" t="n"/>
      <c r="E11" s="6" t="n"/>
      <c r="F11" s="6" t="n"/>
      <c r="G11" s="6" t="n"/>
      <c r="H11" s="6" t="n"/>
      <c r="I11" s="6" t="n"/>
      <c r="J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row>
    <row r="15">
      <c r="A15" s="5" t="inlineStr">
        <is>
          <t>Additional own funds requirements based on SREP (as a percentage of risk-weighted exposure amount)</t>
        </is>
      </c>
      <c r="B15" s="6" t="n"/>
      <c r="C15" s="6" t="n"/>
      <c r="D15" s="6" t="n"/>
      <c r="E15" s="6" t="n"/>
      <c r="F15" s="6" t="n"/>
      <c r="G15" s="6" t="n"/>
      <c r="H15" s="6" t="n"/>
      <c r="I15" s="6" t="n"/>
      <c r="J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row>
    <row r="20">
      <c r="A20" s="5" t="inlineStr">
        <is>
          <t>Combined buffer requirement (as a percentage of risk-weighted exposure amount)</t>
        </is>
      </c>
      <c r="B20" s="6" t="n"/>
      <c r="C20" s="6" t="n"/>
      <c r="D20" s="6" t="n"/>
      <c r="E20" s="6" t="n"/>
      <c r="F20" s="6" t="n"/>
      <c r="G20" s="6" t="n"/>
      <c r="H20" s="6" t="n"/>
      <c r="I20" s="6" t="n"/>
      <c r="J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inlineStr">
        <is>
          <t>-</t>
        </is>
      </c>
      <c r="G22" s="6" t="n"/>
      <c r="H22" s="6" t="n"/>
      <c r="I22" s="6" t="n"/>
      <c r="J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row>
    <row r="24">
      <c r="A24" s="6" t="inlineStr">
        <is>
          <t>UK 9a    Systemic risk buffer (%)</t>
        </is>
      </c>
      <c r="B24" s="6" t="inlineStr">
        <is>
          <t>-</t>
        </is>
      </c>
      <c r="C24" s="6" t="inlineStr">
        <is>
          <t>-</t>
        </is>
      </c>
      <c r="D24" s="6" t="inlineStr">
        <is>
          <t>-</t>
        </is>
      </c>
      <c r="E24" s="6" t="inlineStr">
        <is>
          <t>-</t>
        </is>
      </c>
      <c r="F24" s="6" t="inlineStr">
        <is>
          <t>-</t>
        </is>
      </c>
      <c r="G24" s="6" t="n"/>
      <c r="H24" s="6" t="n"/>
      <c r="I24" s="6" t="n"/>
      <c r="J24" s="6" t="n"/>
    </row>
    <row r="25">
      <c r="A25" s="6" t="inlineStr">
        <is>
          <t>10    Global Systemically Important Institution buffer (%)</t>
        </is>
      </c>
      <c r="B25" s="6" t="inlineStr">
        <is>
          <t>-</t>
        </is>
      </c>
      <c r="C25" s="6" t="inlineStr">
        <is>
          <t>-</t>
        </is>
      </c>
      <c r="D25" s="6" t="inlineStr">
        <is>
          <t>-</t>
        </is>
      </c>
      <c r="E25" s="6" t="inlineStr">
        <is>
          <t>-</t>
        </is>
      </c>
      <c r="F25" s="6" t="inlineStr">
        <is>
          <t>-</t>
        </is>
      </c>
      <c r="G25" s="6" t="n"/>
      <c r="H25" s="6" t="n"/>
      <c r="I25" s="6" t="n"/>
      <c r="J25" s="6" t="n"/>
    </row>
    <row r="26">
      <c r="A26" s="6" t="inlineStr">
        <is>
          <t>UK 10a    Other Systemically Important Institution buffer</t>
        </is>
      </c>
      <c r="B26" s="6" t="inlineStr">
        <is>
          <t>-</t>
        </is>
      </c>
      <c r="C26" s="6" t="inlineStr">
        <is>
          <t>-</t>
        </is>
      </c>
      <c r="D26" s="6" t="inlineStr">
        <is>
          <t>-</t>
        </is>
      </c>
      <c r="E26" s="6" t="inlineStr">
        <is>
          <t>-</t>
        </is>
      </c>
      <c r="F26" s="6" t="inlineStr">
        <is>
          <t>-</t>
        </is>
      </c>
      <c r="G26" s="6" t="n"/>
      <c r="H26" s="6" t="n"/>
      <c r="I26" s="6" t="n"/>
      <c r="J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row>
    <row r="30">
      <c r="A30" s="5" t="inlineStr">
        <is>
          <t>Leverage ratio ($ million / %)</t>
        </is>
      </c>
      <c r="B30" s="6" t="n"/>
      <c r="C30" s="6" t="n"/>
      <c r="D30" s="6" t="n"/>
      <c r="E30" s="6" t="n"/>
      <c r="F30" s="6" t="n"/>
      <c r="G30" s="6" t="n"/>
      <c r="H30" s="6" t="n"/>
      <c r="I30" s="6" t="n"/>
      <c r="J30" s="6" t="n"/>
    </row>
    <row r="31">
      <c r="A31" s="6" t="inlineStr">
        <is>
          <t>13    Total exposure measure excluding claims on central banks</t>
        </is>
      </c>
      <c r="B31" s="6" t="n">
        <v>1346.4</v>
      </c>
      <c r="C31" s="6" t="n">
        <v>1114.5</v>
      </c>
      <c r="D31" s="6" t="n">
        <v>987.7</v>
      </c>
      <c r="E31" s="6" t="n">
        <v>942.9</v>
      </c>
      <c r="F31" s="6" t="n">
        <v>948.2</v>
      </c>
      <c r="G31" s="6" t="n"/>
      <c r="H31" s="6" t="n"/>
      <c r="I31" s="6" t="n"/>
      <c r="J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row>
    <row r="33">
      <c r="A33" s="5" t="inlineStr">
        <is>
          <t>Liquidity Coverage Ratio ($ million / %)</t>
        </is>
      </c>
      <c r="B33" s="6" t="n"/>
      <c r="C33" s="6" t="n"/>
      <c r="D33" s="6" t="n"/>
      <c r="E33" s="6" t="n"/>
      <c r="F33" s="6" t="n"/>
      <c r="G33" s="6" t="n"/>
      <c r="H33" s="6" t="n"/>
      <c r="I33" s="6" t="n"/>
      <c r="J33" s="6" t="n"/>
    </row>
    <row r="34">
      <c r="A34" s="6" t="inlineStr">
        <is>
          <t>15    Total high-quality liquid assets (HQLA) (Weighted value -average)</t>
        </is>
      </c>
      <c r="B34" s="6" t="n">
        <v>203.3</v>
      </c>
      <c r="C34" s="6" t="n">
        <v>115.7</v>
      </c>
      <c r="D34" s="6" t="n">
        <v>146.5</v>
      </c>
      <c r="E34" s="6" t="n">
        <v>166.1</v>
      </c>
      <c r="F34" s="6" t="n">
        <v>191.2</v>
      </c>
      <c r="G34" s="6" t="n"/>
      <c r="H34" s="6" t="n"/>
      <c r="I34" s="6" t="n"/>
      <c r="J34" s="6" t="n"/>
    </row>
    <row r="35">
      <c r="A35" s="6" t="inlineStr">
        <is>
          <t>UK 16a    Cash outflows - Total weighted value</t>
        </is>
      </c>
      <c r="B35" s="6" t="n">
        <v>106.8</v>
      </c>
      <c r="C35" s="6" t="n">
        <v>68.5</v>
      </c>
      <c r="D35" s="6" t="n">
        <v>62.1</v>
      </c>
      <c r="E35" s="6" t="n">
        <v>73.8</v>
      </c>
      <c r="F35" s="6" t="n">
        <v>81.3</v>
      </c>
      <c r="G35" s="6" t="n"/>
      <c r="H35" s="6" t="n"/>
      <c r="I35" s="6" t="n"/>
      <c r="J35" s="6" t="n"/>
    </row>
    <row r="36">
      <c r="A36" s="6" t="inlineStr">
        <is>
          <t>UK 16b    Cash inflows - Total weighted value</t>
        </is>
      </c>
      <c r="B36" s="6" t="n">
        <v>49.9</v>
      </c>
      <c r="C36" s="6" t="n">
        <v>44.8</v>
      </c>
      <c r="D36" s="6" t="n">
        <v>39.4</v>
      </c>
      <c r="E36" s="6" t="n">
        <v>30.6</v>
      </c>
      <c r="F36" s="6" t="n">
        <v>34.1</v>
      </c>
      <c r="G36" s="6" t="n"/>
      <c r="H36" s="6" t="n"/>
      <c r="I36" s="6" t="n"/>
      <c r="J36" s="6" t="n"/>
    </row>
    <row r="37">
      <c r="A37" s="6" t="inlineStr">
        <is>
          <t>16    Total net cash outflows (adjusted value)</t>
        </is>
      </c>
      <c r="B37" s="6" t="n">
        <v>57</v>
      </c>
      <c r="C37" s="6" t="n">
        <v>23.7</v>
      </c>
      <c r="D37" s="6" t="n">
        <v>22.6</v>
      </c>
      <c r="E37" s="6" t="n">
        <v>43.2</v>
      </c>
      <c r="F37" s="6" t="n">
        <v>47.2</v>
      </c>
      <c r="G37" s="6" t="n"/>
      <c r="H37" s="6" t="n"/>
      <c r="I37" s="6" t="n"/>
      <c r="J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row>
    <row r="39">
      <c r="A39" s="5" t="inlineStr">
        <is>
          <t>Net Stable Funding Ratio ($ million / %)</t>
        </is>
      </c>
      <c r="B39" s="6" t="n"/>
      <c r="C39" s="6" t="n"/>
      <c r="D39" s="6" t="n"/>
      <c r="E39" s="6" t="n"/>
      <c r="F39" s="6" t="n"/>
      <c r="G39" s="6" t="n"/>
      <c r="H39" s="6" t="n"/>
      <c r="I39" s="6" t="n"/>
      <c r="J39" s="6" t="n"/>
    </row>
    <row r="40">
      <c r="A40" s="6" t="inlineStr">
        <is>
          <t>18    Total available stable funding</t>
        </is>
      </c>
      <c r="B40" s="6" t="n">
        <v>1050.9</v>
      </c>
      <c r="C40" s="6" t="n">
        <v>841.2</v>
      </c>
      <c r="D40" s="6" t="n">
        <v>801.2</v>
      </c>
      <c r="E40" s="6" t="n">
        <v>819.1</v>
      </c>
      <c r="F40" s="6" t="n">
        <v>842.6</v>
      </c>
      <c r="G40" s="6" t="n"/>
      <c r="H40" s="6" t="n"/>
      <c r="I40" s="6" t="n"/>
      <c r="J40" s="6" t="n"/>
    </row>
    <row r="41">
      <c r="A41" s="6" t="inlineStr">
        <is>
          <t>19    Total required stable funding</t>
        </is>
      </c>
      <c r="B41" s="6" t="n">
        <v>891.4</v>
      </c>
      <c r="C41" s="6" t="n">
        <v>693</v>
      </c>
      <c r="D41" s="6" t="n">
        <v>618.8</v>
      </c>
      <c r="E41" s="6" t="n">
        <v>613.3</v>
      </c>
      <c r="F41" s="6" t="n">
        <v>657.4</v>
      </c>
      <c r="G41" s="6" t="n"/>
      <c r="H41" s="6" t="n"/>
      <c r="I41" s="6" t="n"/>
      <c r="J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row>
    <row r="44">
      <c r="A44" s="5" t="inlineStr">
        <is>
          <t>Available capital ($ million)</t>
        </is>
      </c>
      <c r="B44" s="6" t="n"/>
      <c r="C44" s="6" t="n"/>
      <c r="D44" s="6" t="n"/>
      <c r="E44" s="6" t="n"/>
      <c r="F44" s="6" t="n"/>
      <c r="G44" s="6" t="n"/>
      <c r="H44" s="6" t="n"/>
      <c r="I44" s="6" t="n"/>
      <c r="J44" s="6" t="n"/>
    </row>
    <row r="45">
      <c r="A45" s="6" t="inlineStr">
        <is>
          <t>1    Common equity tier 1 (CET 1)</t>
        </is>
      </c>
      <c r="B45" s="6" t="n"/>
      <c r="C45" s="6" t="n"/>
      <c r="D45" s="6" t="n"/>
      <c r="E45" s="6" t="n"/>
      <c r="F45" s="6" t="n"/>
      <c r="G45" s="6" t="n">
        <v>134.4</v>
      </c>
      <c r="H45" s="6" t="n">
        <v>146.1</v>
      </c>
      <c r="I45" s="6" t="n">
        <v>150.4</v>
      </c>
      <c r="J45" s="6" t="n">
        <v>142.8</v>
      </c>
    </row>
    <row r="46">
      <c r="A46" s="6" t="inlineStr">
        <is>
          <t>1a    Fully loaded ECL accounting model</t>
        </is>
      </c>
      <c r="B46" s="6" t="n"/>
      <c r="C46" s="6" t="n"/>
      <c r="D46" s="6" t="n"/>
      <c r="E46" s="6" t="n"/>
      <c r="F46" s="6" t="n"/>
      <c r="G46" s="6" t="n">
        <v>132.9</v>
      </c>
      <c r="H46" s="6" t="n">
        <v>144.3</v>
      </c>
      <c r="I46" s="6" t="n">
        <v>146.4</v>
      </c>
      <c r="J46" s="6" t="inlineStr">
        <is>
          <t>-</t>
        </is>
      </c>
    </row>
    <row r="47">
      <c r="A47" s="6" t="inlineStr">
        <is>
          <t>2    Tier 1</t>
        </is>
      </c>
      <c r="B47" s="6" t="n"/>
      <c r="C47" s="6" t="n"/>
      <c r="D47" s="6" t="n"/>
      <c r="E47" s="6" t="n"/>
      <c r="F47" s="6" t="n"/>
      <c r="G47" s="6" t="n">
        <v>179.4</v>
      </c>
      <c r="H47" s="6" t="n">
        <v>191.1</v>
      </c>
      <c r="I47" s="6" t="n">
        <v>195.4</v>
      </c>
      <c r="J47" s="6" t="n">
        <v>187.8</v>
      </c>
    </row>
    <row r="48">
      <c r="A48" s="6" t="inlineStr">
        <is>
          <t>2a    Fully loaded ECL accounting model Tier 1</t>
        </is>
      </c>
      <c r="B48" s="6" t="n"/>
      <c r="C48" s="6" t="n"/>
      <c r="D48" s="6" t="n"/>
      <c r="E48" s="6" t="n"/>
      <c r="F48" s="6" t="n"/>
      <c r="G48" s="6" t="n">
        <v>177.9</v>
      </c>
      <c r="H48" s="6" t="n">
        <v>189.3</v>
      </c>
      <c r="I48" s="6" t="n">
        <v>191.4</v>
      </c>
      <c r="J48" s="6" t="inlineStr">
        <is>
          <t>-</t>
        </is>
      </c>
    </row>
    <row r="49">
      <c r="A49" s="6" t="inlineStr">
        <is>
          <t>3    Total Capital</t>
        </is>
      </c>
      <c r="B49" s="6" t="n"/>
      <c r="C49" s="6" t="n"/>
      <c r="D49" s="6" t="n"/>
      <c r="E49" s="6" t="n"/>
      <c r="F49" s="6" t="n"/>
      <c r="G49" s="6" t="n">
        <v>206.6</v>
      </c>
      <c r="H49" s="6" t="n">
        <v>225.7</v>
      </c>
      <c r="I49" s="6" t="n">
        <v>236.3</v>
      </c>
      <c r="J49" s="6" t="n">
        <v>237.2</v>
      </c>
    </row>
    <row r="50">
      <c r="A50" s="6" t="inlineStr">
        <is>
          <t>3a    Fully loaded ECL accounting model total capital</t>
        </is>
      </c>
      <c r="B50" s="6" t="n"/>
      <c r="C50" s="6" t="n"/>
      <c r="D50" s="6" t="n"/>
      <c r="E50" s="6" t="n"/>
      <c r="F50" s="6" t="n"/>
      <c r="G50" s="6" t="n">
        <v>205.1</v>
      </c>
      <c r="H50" s="6" t="n">
        <v>223.9</v>
      </c>
      <c r="I50" s="6" t="n">
        <v>232.3</v>
      </c>
      <c r="J50" s="6" t="inlineStr">
        <is>
          <t>--</t>
        </is>
      </c>
    </row>
    <row r="51">
      <c r="A51" s="5" t="inlineStr">
        <is>
          <t>Risk weighted assets (RWA) ($ million)</t>
        </is>
      </c>
      <c r="B51" s="6" t="n"/>
      <c r="C51" s="6" t="n"/>
      <c r="D51" s="6" t="n"/>
      <c r="E51" s="6" t="n"/>
      <c r="F51" s="6" t="n"/>
      <c r="G51" s="6" t="n"/>
      <c r="H51" s="6" t="n"/>
      <c r="I51" s="6" t="n"/>
      <c r="J51" s="6" t="n"/>
    </row>
    <row r="52">
      <c r="A52" s="6" t="inlineStr">
        <is>
          <t>4    Total RWA</t>
        </is>
      </c>
      <c r="B52" s="6" t="n"/>
      <c r="C52" s="6" t="n"/>
      <c r="D52" s="6" t="n"/>
      <c r="E52" s="6" t="n"/>
      <c r="F52" s="6" t="n"/>
      <c r="G52" s="6" t="n">
        <v>784.6</v>
      </c>
      <c r="H52" s="6" t="n">
        <v>755.9</v>
      </c>
      <c r="I52" s="6" t="n">
        <v>797.6</v>
      </c>
      <c r="J52" s="6" t="n">
        <v>906.2</v>
      </c>
    </row>
    <row r="53">
      <c r="A53" s="5" t="inlineStr">
        <is>
          <t>Risk weighted capital ratios as a % of RWA</t>
        </is>
      </c>
      <c r="B53" s="6" t="n"/>
      <c r="C53" s="6" t="n"/>
      <c r="D53" s="6" t="n"/>
      <c r="E53" s="6" t="n"/>
      <c r="F53" s="6" t="n"/>
      <c r="G53" s="6" t="n"/>
      <c r="H53" s="6" t="n"/>
      <c r="I53" s="6" t="n"/>
      <c r="J53" s="6" t="n"/>
    </row>
    <row r="54">
      <c r="A54" s="6" t="inlineStr">
        <is>
          <t>5    Common equity tier 1 ratio (%)</t>
        </is>
      </c>
      <c r="B54" s="6" t="n"/>
      <c r="C54" s="6" t="n"/>
      <c r="D54" s="6" t="n"/>
      <c r="E54" s="6" t="n"/>
      <c r="F54" s="6" t="n"/>
      <c r="G54" s="6" t="inlineStr">
        <is>
          <t>17.1%</t>
        </is>
      </c>
      <c r="H54" s="6" t="inlineStr">
        <is>
          <t>19.3%</t>
        </is>
      </c>
      <c r="I54" s="6" t="inlineStr">
        <is>
          <t>18.9%</t>
        </is>
      </c>
      <c r="J54" s="6" t="inlineStr">
        <is>
          <t>15.8%</t>
        </is>
      </c>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inlineStr">
        <is>
          <t>-</t>
        </is>
      </c>
    </row>
    <row r="56">
      <c r="A56" s="6" t="inlineStr">
        <is>
          <t>6    Tier 1 ratio (%)</t>
        </is>
      </c>
      <c r="B56" s="6" t="n"/>
      <c r="C56" s="6" t="n"/>
      <c r="D56" s="6" t="n"/>
      <c r="E56" s="6" t="n"/>
      <c r="F56" s="6" t="n"/>
      <c r="G56" s="6" t="inlineStr">
        <is>
          <t>22.9%</t>
        </is>
      </c>
      <c r="H56" s="6" t="inlineStr">
        <is>
          <t>25.3%</t>
        </is>
      </c>
      <c r="I56" s="6" t="inlineStr">
        <is>
          <t>24.5%</t>
        </is>
      </c>
      <c r="J56" s="6" t="inlineStr">
        <is>
          <t>20.7%</t>
        </is>
      </c>
    </row>
    <row r="57">
      <c r="A57" s="6" t="inlineStr">
        <is>
          <t>6a    Fully loaded ECL accounting model Tier 1 ratio (%)</t>
        </is>
      </c>
      <c r="B57" s="6" t="n"/>
      <c r="C57" s="6" t="n"/>
      <c r="D57" s="6" t="n"/>
      <c r="E57" s="6" t="n"/>
      <c r="F57" s="6" t="n"/>
      <c r="G57" s="6" t="inlineStr">
        <is>
          <t>22.7%</t>
        </is>
      </c>
      <c r="H57" s="6" t="inlineStr">
        <is>
          <t>25.0%</t>
        </is>
      </c>
      <c r="I57" s="6" t="inlineStr">
        <is>
          <t>24.0%</t>
        </is>
      </c>
      <c r="J57" s="6" t="inlineStr">
        <is>
          <t>-</t>
        </is>
      </c>
    </row>
    <row r="58">
      <c r="A58" s="6" t="inlineStr">
        <is>
          <t>7    Total capital ratio (%)</t>
        </is>
      </c>
      <c r="B58" s="6" t="n"/>
      <c r="C58" s="6" t="n"/>
      <c r="D58" s="6" t="n"/>
      <c r="E58" s="6" t="n"/>
      <c r="F58" s="6" t="n"/>
      <c r="G58" s="6" t="inlineStr">
        <is>
          <t>26.3%</t>
        </is>
      </c>
      <c r="H58" s="6" t="inlineStr">
        <is>
          <t>29.9%</t>
        </is>
      </c>
      <c r="I58" s="6" t="inlineStr">
        <is>
          <t>29.6%</t>
        </is>
      </c>
      <c r="J58" s="6" t="inlineStr">
        <is>
          <t>26.2%</t>
        </is>
      </c>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inlineStr">
        <is>
          <t>-</t>
        </is>
      </c>
    </row>
    <row r="60">
      <c r="A60" s="5" t="inlineStr">
        <is>
          <t>Additional CET 1 buffer requirements as a % of RWA</t>
        </is>
      </c>
      <c r="B60" s="6" t="n"/>
      <c r="C60" s="6" t="n"/>
      <c r="D60" s="6" t="n"/>
      <c r="E60" s="6" t="n"/>
      <c r="F60" s="6" t="n"/>
      <c r="G60" s="6" t="n"/>
      <c r="H60" s="6" t="n"/>
      <c r="I60" s="6" t="n"/>
      <c r="J60" s="6" t="n"/>
    </row>
    <row r="61">
      <c r="A61" s="6" t="inlineStr">
        <is>
          <t>8    Capital conservation buffer requirement (%)</t>
        </is>
      </c>
      <c r="B61" s="6" t="n"/>
      <c r="C61" s="6" t="n"/>
      <c r="D61" s="6" t="n"/>
      <c r="E61" s="6" t="n"/>
      <c r="F61" s="6" t="n"/>
      <c r="G61" s="6" t="inlineStr">
        <is>
          <t>2.5%</t>
        </is>
      </c>
      <c r="H61" s="6" t="inlineStr">
        <is>
          <t>2.50%</t>
        </is>
      </c>
      <c r="I61" s="6" t="inlineStr">
        <is>
          <t>2.9%</t>
        </is>
      </c>
      <c r="J61" s="6" t="inlineStr">
        <is>
          <t>1.88%</t>
        </is>
      </c>
    </row>
    <row r="62">
      <c r="A62" s="6" t="inlineStr">
        <is>
          <t>9    Countercyclical buffer requirement (%)</t>
        </is>
      </c>
      <c r="B62" s="6" t="n"/>
      <c r="C62" s="6" t="n"/>
      <c r="D62" s="6" t="n"/>
      <c r="E62" s="6" t="n"/>
      <c r="F62" s="6" t="n"/>
      <c r="G62" s="6" t="inlineStr">
        <is>
          <t>0.0%</t>
        </is>
      </c>
      <c r="H62" s="6" t="inlineStr">
        <is>
          <t>0.02%</t>
        </is>
      </c>
      <c r="I62" s="6" t="inlineStr">
        <is>
          <t>0.01%</t>
        </is>
      </c>
      <c r="J62" s="6" t="inlineStr">
        <is>
          <t>0.02%</t>
        </is>
      </c>
    </row>
    <row r="63">
      <c r="A63" s="6" t="inlineStr">
        <is>
          <t>11    Total of bank's CET 1 specific buffer requirements (%)</t>
        </is>
      </c>
      <c r="B63" s="6" t="n"/>
      <c r="C63" s="6" t="n"/>
      <c r="D63" s="6" t="n"/>
      <c r="E63" s="6" t="n"/>
      <c r="F63" s="6" t="n"/>
      <c r="G63" s="6" t="inlineStr">
        <is>
          <t>2.5%</t>
        </is>
      </c>
      <c r="H63" s="6" t="inlineStr">
        <is>
          <t>2.52%</t>
        </is>
      </c>
      <c r="I63" s="6" t="inlineStr">
        <is>
          <t>2.9%</t>
        </is>
      </c>
      <c r="J63" s="6" t="inlineStr">
        <is>
          <t>1.9%</t>
        </is>
      </c>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inlineStr">
        <is>
          <t>5.1%</t>
        </is>
      </c>
    </row>
    <row r="65">
      <c r="A65" s="5" t="inlineStr">
        <is>
          <t>Basel III leverage ratio ($ million / %)</t>
        </is>
      </c>
      <c r="B65" s="6" t="n"/>
      <c r="C65" s="6" t="n"/>
      <c r="D65" s="6" t="n"/>
      <c r="E65" s="6" t="n"/>
      <c r="F65" s="6" t="n"/>
      <c r="G65" s="6" t="n"/>
      <c r="H65" s="6" t="n"/>
      <c r="I65" s="6" t="n"/>
      <c r="J65" s="6" t="n"/>
    </row>
    <row r="66">
      <c r="A66" s="6" t="inlineStr">
        <is>
          <t>13    Total Basel III leverage ratio exposure measure</t>
        </is>
      </c>
      <c r="B66" s="6" t="n"/>
      <c r="C66" s="6" t="n"/>
      <c r="D66" s="6" t="n"/>
      <c r="E66" s="6" t="n"/>
      <c r="F66" s="6" t="n"/>
      <c r="G66" s="6" t="n">
        <v>1035.7</v>
      </c>
      <c r="H66" s="6" t="n">
        <v>937.4</v>
      </c>
      <c r="I66" s="6" t="n">
        <v>1290.7</v>
      </c>
      <c r="J66" s="6" t="n">
        <v>1451.6</v>
      </c>
    </row>
    <row r="67">
      <c r="A67" s="6" t="inlineStr">
        <is>
          <t>14    Basel III leverage ratio (%)</t>
        </is>
      </c>
      <c r="B67" s="6" t="n"/>
      <c r="C67" s="6" t="n"/>
      <c r="D67" s="6" t="n"/>
      <c r="E67" s="6" t="n"/>
      <c r="F67" s="6" t="n"/>
      <c r="G67" s="6" t="inlineStr">
        <is>
          <t>17.3%</t>
        </is>
      </c>
      <c r="H67" s="6" t="inlineStr">
        <is>
          <t>20.4%</t>
        </is>
      </c>
      <c r="I67" s="6" t="inlineStr">
        <is>
          <t>15.1%</t>
        </is>
      </c>
      <c r="J67" s="6" t="inlineStr">
        <is>
          <t>12.9%</t>
        </is>
      </c>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inlineStr">
        <is>
          <t>-</t>
        </is>
      </c>
    </row>
    <row r="69">
      <c r="A69" s="5" t="inlineStr">
        <is>
          <t>Liquidity coverage ratio ($ million / %)</t>
        </is>
      </c>
      <c r="B69" s="6" t="n"/>
      <c r="C69" s="6" t="n"/>
      <c r="D69" s="6" t="n"/>
      <c r="E69" s="6" t="n"/>
      <c r="F69" s="6" t="n"/>
      <c r="G69" s="6" t="n"/>
      <c r="H69" s="6" t="n"/>
      <c r="I69" s="6" t="n"/>
      <c r="J69" s="6" t="n"/>
    </row>
    <row r="70">
      <c r="A70" s="6" t="inlineStr">
        <is>
          <t>15    Total HQLA</t>
        </is>
      </c>
      <c r="B70" s="6" t="n"/>
      <c r="C70" s="6" t="n"/>
      <c r="D70" s="6" t="n"/>
      <c r="E70" s="6" t="n"/>
      <c r="F70" s="6" t="n"/>
      <c r="G70" s="6" t="n">
        <v>239.4</v>
      </c>
      <c r="H70" s="6" t="n">
        <v>102.3</v>
      </c>
      <c r="I70" s="6" t="n">
        <v>75.90000000000001</v>
      </c>
      <c r="J70" s="6" t="n">
        <v>167</v>
      </c>
    </row>
    <row r="71">
      <c r="A71" s="6" t="inlineStr">
        <is>
          <t>16    Total net cash outflow</t>
        </is>
      </c>
      <c r="B71" s="6" t="n"/>
      <c r="C71" s="6" t="n"/>
      <c r="D71" s="6" t="n"/>
      <c r="E71" s="6" t="n"/>
      <c r="F71" s="6" t="n"/>
      <c r="G71" s="6" t="n">
        <v>32</v>
      </c>
      <c r="H71" s="6" t="n">
        <v>25.4</v>
      </c>
      <c r="I71" s="6" t="n">
        <v>14.5</v>
      </c>
      <c r="J71" s="6" t="n">
        <v>16.3</v>
      </c>
    </row>
    <row r="72">
      <c r="A72" s="6" t="inlineStr">
        <is>
          <t>17    LCR ratio (%)</t>
        </is>
      </c>
      <c r="B72" s="6" t="n"/>
      <c r="C72" s="6" t="n"/>
      <c r="D72" s="6" t="n"/>
      <c r="E72" s="6" t="n"/>
      <c r="F72" s="6" t="n"/>
      <c r="G72" s="6" t="inlineStr">
        <is>
          <t>748%</t>
        </is>
      </c>
      <c r="H72" s="6" t="inlineStr">
        <is>
          <t>403%</t>
        </is>
      </c>
      <c r="I72" s="6" t="inlineStr">
        <is>
          <t>524%</t>
        </is>
      </c>
      <c r="J72" s="6" t="inlineStr">
        <is>
          <t>1027%</t>
        </is>
      </c>
    </row>
    <row r="74" ht="620" customHeight="1">
      <c r="A74" s="8" t="inlineStr">
        <is>
          <t>Sources - PNBIL's own key-metrics template, SOLO basis. FY2019 through FY2026 are each taken from THAT YEAR'S OWN edition (that edition's own reporting-date column). FY2018 is the single exception and is flagged as such below - it is the FY2019 edition's comparative column, used because PNBIL's own FY2018 edition prints no key-metrics table of any kind.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p.3 - https://www.pnbint.com/PNBIL/pdf/Financial_Reports/Basel%20III%20Pillar%203%20Disclosures%20%2031-03-2021.pdf
FY2020: 31 March 2020 edition, 'Key metrics - Table KM1', printed p.3 - https://www.pnbint.com/PNBIL/pdf/Financial_Reports/Pillar_3_Disclosure_%2031st_March_2020.pdf
FY2019: 31 March 2019 edition, 'Table KM1: Key metrics', printed p.3 - https://www.pnbint.com/PNBIL/pdf/Financial_Reports/PILLAR%20III%20-%2031.03.2019%20-%20FINAL.pdf
FY2018 (NOT AN OWN-EDITION COLUMN): the SAME 31 March 2019 edition, 'Table KM1: Key metrics', printed p.3, COMPARATIVE COLUMN headed 2018 - https://www.pnbint.com/PNBIL/pdf/Financial_Reports/PILLAR%20III%20-%2031.03.2019%20-%20FINAL.pdf
CITATION CORRECTION, 17 September 2026 (map rule 26 - cite the printed folio, never the PDF sheet index). The three pre-2022 editions were cited above as 'printed p.2' until today. That was wrong in all three: in each of the FY2019, FY2020 and FY2021 documents the contents page carries the footer '2' and the key-metrics page carries the footer '3'. The table is on PRINTED PAGE 3. Checked page by page in each document by reading its own footer, not by counting PDF sheets (the offset happens to be zero in all three, so the error was in the original reading rather than in an offset).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
WHY FY2018 IS FILLED FROM THE FY2019 EDITION, AND FY2017 AND EARLIER ARE NOT (revised 17 September 2026). PNBIL'S OWN FY2018 EDITION PRINTS NO KEY-METRICS TABLE OF ANY KIND - not a template with rows left blank, but no template, and therefore no own-edition disclosure for a later comparative to displace. That absence is a finding rather than a failed search, and it was re-established from the document on 17 September 2026 before this column was filled: the FY2018 edition's OWN CONTENTS PAGE runs Overview / Risk Management Overview / Risk Appetite Framework / Capital Resources / Capital Requirements / Leverage / Asset Encumbrance / Liquidity / Credit Risk / Credit Risk Mitigation / Securitization Exposures &amp; Market Risk / Operational Risk / IRRBB / Counterparty Credit Risk / Remuneration Policy / Annexures I-III - NO key-metrics section at any level. Extraction from the 40-page PDF is RICH (97 hits for 'capital', 67 for 'ratio', 18 for 'buffer', 17 for 'leverage'), which is what makes its ZERO hits for 'KM1' evidence about the document; and its single 'key metrics' hit is a narrative sentence introducing bullet points about risk-appetite limits, not a table.
THE FY2019 EDITION'S COMPARATIVE COLUMN, headed 2018, carries the complete pre-2022 Basel III Table KM1 for 31 March 2018, and THAT IS WHAT THIS SHEET'S FY2018 NOW CARRIES. It is placed in the PRE-2022 BASEL BLOCK below, never in the UK block, because that is the template it is printed in - putting it anywhere else would map one template's row numbers onto the other's and invent a correspondence PNBIL never published.
SEVEN ROWS OF THAT COLUMN ARE PRINTED AS DASHES AND CARRY THE DASH: the fully-loaded ECL rows 1a, 2a, 5a, 6a, 7a and 14a are printed '-', and row 3a is printed '--'. Two different missing-value glyphs in one column, and the sheet shows each as printed rather than flattening them together - normalising the two would assert they mean the same thing, which PNBIL never said. Neither is a zero and neither is derived. So FY2018 carries 16 figures and 7 dashes, exactly as the Bank printed it. The dash is PNBIL saying the fully-loaded twin does not apply to it (it had not made the IFRS 9 transitional election, so there was no separate fully-loaded figure to report), which is a different statement from having published nothing at all.
A SECOND TABLE IN THE SAME DOCUMENT CORROBORATES FIVE OF THEM (map rule 23). Immediately beneath the template, the FY2019 edition prints its own 'Key metrics' summary strip, each tile carrying a 'Mar 2018' line: CET 1 ratio 15.8%, Total capital ratio 26.2%, Leverage ratio 12.9%, LCR 1027%, Total RWA $906.2mn. All five reproduce the comparative column exactly, independently of the template.
The column is also internally consistent: 142.8 / 906.2 = 15.76% against a printed 15.8%; 187.8 / 906.2 = 20.72% against 20.7%; 237.2 / 906.2 = 26.17% against 26.2%; and 187.8 / 1451.6 = 12.94% against a printed leverage ratio of 12.9%.
This reverses the treatment this sheet carried until 17 September 2026, which left FY2018 blank and quoted the comparative in this note instead. The evidence above is unchanged; only the conclusion drawn from it has changed, so that a BLANK on this sheet now means one thing only: PNBIL has never published that figure, in any edition, on any basis.
FY2017 AND EARLIER REMAIN BLANK for exactly that reason - no edition anywhere prints them in either template's form, the FY2018 edition (which would have been the only possible source of a 2017 comparative) printing no key-metrics table at all.
A DASH IS A DASH AND A PRINTED ZERO IS A ZERO (and a later edition's zero does not fill an earlier edition's missing row). Rows UK 8a, UK 9a, 10 and UK 10a are printed '-' in every FY2022-FY2026 edition and carry that dash here. Each of the five years was read in its OWN edition - the FY2026, FY2025, FY2024, FY2023 and FY2022 PDFs were each re-fetched and re-read on 2026-09-18 - never from a later edition's comparative column. Row 9 is a printed '0.0%' for FY2022 and a printed '0.02%'/'0.01%' for FY2020/FY2019 - disclosed zeroes and near-zeroes, kept as printed and never tidied into dashes.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FY2019-FY2026 each from that year's own edition's own-date column, and FY2018 from the FY2019 edition's 2018 comparative column as set out above.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74:J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or MREL target is disclosed in any FY2014-FY2026 Pillar 3 report or annual report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2026-09-18T18:48:20Z</dcterms:created>
  <dcterms:modified xmlns:dcterms="http://purl.org/dc/terms/" xmlns:xsi="http://www.w3.org/2001/XMLSchema-instance" xsi:type="dcterms:W3CDTF">2026-09-18T18:48:20Z</dcterms:modified>
</cp:coreProperties>
</file>