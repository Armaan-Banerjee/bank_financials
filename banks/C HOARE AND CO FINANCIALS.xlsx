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F1D1B"/>
        <bgColor rgb="006F1D1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 Hoare &amp; Co.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 Hoare &amp; Co.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 Hoare &amp; Co.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 Hoare &amp; Co.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 Hoare &amp; Co.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C. Hoare &amp; Co.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7567981</v>
      </c>
      <c r="C6" s="5" t="n">
        <v>7158840</v>
      </c>
      <c r="D6" s="5" t="n">
        <v>6801461</v>
      </c>
      <c r="E6" s="5" t="n">
        <v>6852939</v>
      </c>
      <c r="F6" s="5" t="n">
        <v>7274665</v>
      </c>
      <c r="G6" s="5" t="n">
        <v>6004216</v>
      </c>
      <c r="H6" s="5" t="n">
        <v>5232137</v>
      </c>
      <c r="I6" s="5" t="n">
        <v>4863089</v>
      </c>
      <c r="L6" t="inlineStr">
        <is>
          <t>Total assets</t>
        </is>
      </c>
      <c r="M6" t="n">
        <v>4863089</v>
      </c>
      <c r="N6" t="n">
        <v>5232137</v>
      </c>
      <c r="O6" t="n">
        <v>6004216</v>
      </c>
      <c r="P6" t="n">
        <v>7274665</v>
      </c>
      <c r="Q6" t="n">
        <v>6852939</v>
      </c>
      <c r="R6" t="n">
        <v>6801461</v>
      </c>
      <c r="S6" t="n">
        <v>7158840</v>
      </c>
      <c r="T6" t="n">
        <v>7567981</v>
      </c>
      <c r="BD6" t="inlineStr">
        <is>
          <t>CET1 Ratio</t>
        </is>
      </c>
      <c r="BH6" t="n">
        <v>20.96</v>
      </c>
      <c r="BI6" t="n">
        <v>21.44</v>
      </c>
      <c r="BJ6" t="n">
        <v>23.11</v>
      </c>
      <c r="BK6" t="n">
        <v>23</v>
      </c>
    </row>
    <row r="7">
      <c r="A7" s="5" t="inlineStr">
        <is>
          <t>Financial assets</t>
        </is>
      </c>
      <c r="B7" s="5" t="n">
        <v>6339519</v>
      </c>
      <c r="C7" s="5" t="n">
        <v>5399523</v>
      </c>
      <c r="D7" s="5" t="n">
        <v>5229721</v>
      </c>
      <c r="E7" s="5" t="n">
        <v>5164686</v>
      </c>
      <c r="F7" s="5" t="n">
        <v>5204233</v>
      </c>
      <c r="G7" s="5" t="n">
        <v>4159605</v>
      </c>
      <c r="H7" s="5" t="n">
        <v>3956424</v>
      </c>
      <c r="I7" s="5" t="n">
        <v>3227198</v>
      </c>
      <c r="L7" t="inlineStr">
        <is>
          <t>Financial assets</t>
        </is>
      </c>
      <c r="M7" t="n">
        <v>3227198</v>
      </c>
      <c r="N7" t="n">
        <v>3956424</v>
      </c>
      <c r="O7" t="n">
        <v>4159605</v>
      </c>
      <c r="P7" t="n">
        <v>5204233</v>
      </c>
      <c r="Q7" t="n">
        <v>5164686</v>
      </c>
      <c r="R7" t="n">
        <v>5229721</v>
      </c>
      <c r="S7" t="n">
        <v>5399523</v>
      </c>
      <c r="T7" t="n">
        <v>6339519</v>
      </c>
      <c r="BD7" t="inlineStr">
        <is>
          <t>Tier 1 Ratio</t>
        </is>
      </c>
      <c r="BH7" t="n">
        <v>20.96</v>
      </c>
      <c r="BI7" t="n">
        <v>21.44</v>
      </c>
      <c r="BJ7" t="n">
        <v>23.11</v>
      </c>
      <c r="BK7" t="n">
        <v>23</v>
      </c>
    </row>
    <row r="8">
      <c r="A8" s="5" t="inlineStr">
        <is>
          <t>Customer accounts</t>
        </is>
      </c>
      <c r="B8" s="5" t="n">
        <v>6555269</v>
      </c>
      <c r="C8" s="5" t="n">
        <v>6427375</v>
      </c>
      <c r="D8" s="5" t="n">
        <v>6096719</v>
      </c>
      <c r="E8" s="5" t="n">
        <v>6214358</v>
      </c>
      <c r="F8" s="5" t="n">
        <v>6689431</v>
      </c>
      <c r="G8" s="5" t="n">
        <v>5544294</v>
      </c>
      <c r="H8" s="5" t="n">
        <v>4761856</v>
      </c>
      <c r="I8" s="5" t="n">
        <v>4364933</v>
      </c>
      <c r="L8" t="inlineStr">
        <is>
          <t>Customer accounts</t>
        </is>
      </c>
      <c r="M8" t="n">
        <v>4364933</v>
      </c>
      <c r="N8" t="n">
        <v>4761856</v>
      </c>
      <c r="O8" t="n">
        <v>5544294</v>
      </c>
      <c r="P8" t="n">
        <v>6689431</v>
      </c>
      <c r="Q8" t="n">
        <v>6214358</v>
      </c>
      <c r="R8" t="n">
        <v>6096719</v>
      </c>
      <c r="S8" t="n">
        <v>6427375</v>
      </c>
      <c r="T8" t="n">
        <v>6555269</v>
      </c>
      <c r="BD8" t="inlineStr">
        <is>
          <t>Total Capital Ratio</t>
        </is>
      </c>
      <c r="BH8" t="n">
        <v>21.2</v>
      </c>
      <c r="BI8" t="n">
        <v>21.72</v>
      </c>
      <c r="BJ8" t="n">
        <v>23.34</v>
      </c>
      <c r="BK8" t="n">
        <v>23.21</v>
      </c>
    </row>
    <row r="9">
      <c r="A9" s="5" t="inlineStr">
        <is>
          <t>Total equity</t>
        </is>
      </c>
      <c r="B9" s="5" t="n">
        <v>604683</v>
      </c>
      <c r="C9" s="5" t="n">
        <v>558231</v>
      </c>
      <c r="D9" s="5" t="n">
        <v>511668</v>
      </c>
      <c r="E9" s="5" t="n">
        <v>457332</v>
      </c>
      <c r="F9" s="5" t="n">
        <v>415693</v>
      </c>
      <c r="G9" s="5" t="n">
        <v>397732</v>
      </c>
      <c r="H9" s="5" t="n">
        <v>393721</v>
      </c>
      <c r="I9" s="5" t="n">
        <v>371389</v>
      </c>
      <c r="L9" t="inlineStr">
        <is>
          <t>Total equity</t>
        </is>
      </c>
      <c r="M9" t="n">
        <v>371389</v>
      </c>
      <c r="N9" t="n">
        <v>393721</v>
      </c>
      <c r="O9" t="n">
        <v>397732</v>
      </c>
      <c r="P9" t="n">
        <v>415693</v>
      </c>
      <c r="Q9" t="n">
        <v>457332</v>
      </c>
      <c r="R9" t="n">
        <v>511668</v>
      </c>
      <c r="S9" t="n">
        <v>558231</v>
      </c>
      <c r="T9" t="n">
        <v>604683</v>
      </c>
      <c r="BD9" t="inlineStr">
        <is>
          <t>Leverage Ratio</t>
        </is>
      </c>
      <c r="BH9" t="n">
        <v>6.61</v>
      </c>
      <c r="BI9" t="n">
        <v>6.96</v>
      </c>
      <c r="BJ9" t="n">
        <v>7.61</v>
      </c>
      <c r="BK9" t="n">
        <v>9.289999999999999</v>
      </c>
    </row>
    <row r="10">
      <c r="BD10" t="inlineStr">
        <is>
          <t>LCR</t>
        </is>
      </c>
      <c r="BH10" t="n">
        <v>272</v>
      </c>
      <c r="BI10" t="n">
        <v>273</v>
      </c>
      <c r="BJ10" t="n">
        <v>308</v>
      </c>
      <c r="BK10" t="n">
        <v>341</v>
      </c>
    </row>
    <row r="11">
      <c r="A11" s="3" t="inlineStr">
        <is>
          <t>Profit &amp; Loss Summary (£'000)</t>
        </is>
      </c>
      <c r="BD11" t="inlineStr">
        <is>
          <t>NSFR</t>
        </is>
      </c>
      <c r="BH11" t="n">
        <v>269</v>
      </c>
      <c r="BI11" t="n">
        <v>256</v>
      </c>
      <c r="BJ11" t="n">
        <v>246</v>
      </c>
      <c r="BK11" t="n">
        <v>250</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income</t>
        </is>
      </c>
      <c r="B13" s="5" t="n">
        <v>254627</v>
      </c>
      <c r="C13" s="5" t="n">
        <v>249401</v>
      </c>
      <c r="D13" s="5" t="n">
        <v>271696</v>
      </c>
      <c r="E13" s="5" t="n">
        <v>210468</v>
      </c>
      <c r="F13" s="5" t="n">
        <v>108812</v>
      </c>
      <c r="G13" s="5" t="n">
        <v>102606</v>
      </c>
      <c r="H13" s="5" t="n">
        <v>123974</v>
      </c>
      <c r="I13" s="5" t="n">
        <v>123506</v>
      </c>
      <c r="W13" t="inlineStr">
        <is>
          <t>Total income</t>
        </is>
      </c>
      <c r="X13" t="n">
        <v>123506</v>
      </c>
      <c r="Y13" t="n">
        <v>123974</v>
      </c>
      <c r="Z13" t="n">
        <v>102606</v>
      </c>
      <c r="AA13" t="n">
        <v>108812</v>
      </c>
      <c r="AB13" t="n">
        <v>210468</v>
      </c>
      <c r="AC13" t="n">
        <v>271696</v>
      </c>
      <c r="AD13" t="n">
        <v>249401</v>
      </c>
      <c r="AE13" t="n">
        <v>254627</v>
      </c>
    </row>
    <row r="14">
      <c r="A14" s="5" t="inlineStr">
        <is>
          <t>Total operating expenses</t>
        </is>
      </c>
      <c r="B14" s="5" t="n">
        <v>-191163</v>
      </c>
      <c r="C14" s="5" t="n">
        <v>-183445</v>
      </c>
      <c r="D14" s="5" t="n">
        <v>-187201</v>
      </c>
      <c r="E14" s="5" t="n">
        <v>-136566</v>
      </c>
      <c r="F14" s="5" t="n">
        <v>-90753</v>
      </c>
      <c r="G14" s="5" t="n">
        <v>-85774</v>
      </c>
      <c r="H14" s="5" t="n">
        <v>-86828</v>
      </c>
      <c r="I14" s="5" t="n">
        <v>-83547</v>
      </c>
      <c r="W14" t="inlineStr">
        <is>
          <t>Total operating expenses</t>
        </is>
      </c>
      <c r="X14" t="n">
        <v>-83547</v>
      </c>
      <c r="Y14" t="n">
        <v>-86828</v>
      </c>
      <c r="Z14" t="n">
        <v>-85774</v>
      </c>
      <c r="AA14" t="n">
        <v>-90753</v>
      </c>
      <c r="AB14" t="n">
        <v>-136566</v>
      </c>
      <c r="AC14" t="n">
        <v>-187201</v>
      </c>
      <c r="AD14" t="n">
        <v>-183445</v>
      </c>
      <c r="AE14" t="n">
        <v>-191163</v>
      </c>
    </row>
    <row r="15">
      <c r="A15" s="5" t="inlineStr">
        <is>
          <t>Profit for the financial year</t>
        </is>
      </c>
      <c r="B15" s="5" t="n">
        <v>47083</v>
      </c>
      <c r="C15" s="5" t="n">
        <v>46776</v>
      </c>
      <c r="D15" s="5" t="n">
        <v>65399</v>
      </c>
      <c r="E15" s="5" t="n">
        <v>50204</v>
      </c>
      <c r="F15" s="5" t="n">
        <v>12743</v>
      </c>
      <c r="G15" s="5" t="n">
        <v>12254</v>
      </c>
      <c r="H15" s="5" t="n">
        <v>17659</v>
      </c>
      <c r="I15" s="5" t="n">
        <v>25760</v>
      </c>
      <c r="W15" t="inlineStr">
        <is>
          <t>Profit for the financial year</t>
        </is>
      </c>
      <c r="X15" t="n">
        <v>25760</v>
      </c>
      <c r="Y15" t="n">
        <v>17659</v>
      </c>
      <c r="Z15" t="n">
        <v>12254</v>
      </c>
      <c r="AA15" t="n">
        <v>12743</v>
      </c>
      <c r="AB15" t="n">
        <v>50204</v>
      </c>
      <c r="AC15" t="n">
        <v>65399</v>
      </c>
      <c r="AD15" t="n">
        <v>46776</v>
      </c>
      <c r="AE15" t="n">
        <v>47083</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558231</v>
      </c>
      <c r="C19" s="5" t="n">
        <v>511668</v>
      </c>
      <c r="D19" s="5" t="n">
        <v>457332</v>
      </c>
      <c r="E19" s="5" t="n">
        <v>415693</v>
      </c>
      <c r="F19" s="5" t="n">
        <v>397732</v>
      </c>
      <c r="G19" s="5" t="n">
        <v>393721</v>
      </c>
      <c r="H19" s="5" t="n">
        <v>371389</v>
      </c>
      <c r="I19" s="5" t="n">
        <v>352457</v>
      </c>
      <c r="AH19" t="inlineStr">
        <is>
          <t>Opening equity</t>
        </is>
      </c>
      <c r="AI19" t="n">
        <v>352457</v>
      </c>
      <c r="AJ19" t="n">
        <v>371389</v>
      </c>
      <c r="AK19" t="n">
        <v>393721</v>
      </c>
      <c r="AL19" t="n">
        <v>397732</v>
      </c>
      <c r="AM19" t="n">
        <v>415693</v>
      </c>
      <c r="AN19" t="n">
        <v>457332</v>
      </c>
      <c r="AO19" t="n">
        <v>511668</v>
      </c>
      <c r="AP19" t="n">
        <v>558231</v>
      </c>
    </row>
    <row r="20">
      <c r="A20" s="5" t="inlineStr">
        <is>
          <t>Total comprehensive income for the year</t>
        </is>
      </c>
      <c r="B20" s="5" t="n">
        <v>46458</v>
      </c>
      <c r="C20" s="5" t="n">
        <v>46569</v>
      </c>
      <c r="D20" s="5" t="n">
        <v>54342</v>
      </c>
      <c r="E20" s="5" t="n">
        <v>41645</v>
      </c>
      <c r="F20" s="5" t="n">
        <v>17967</v>
      </c>
      <c r="G20" s="5" t="n">
        <v>4017</v>
      </c>
      <c r="H20" s="5" t="n">
        <v>22338</v>
      </c>
      <c r="I20" s="5" t="n">
        <v>18938</v>
      </c>
      <c r="AH20" t="inlineStr">
        <is>
          <t>Total comprehensive income for the year</t>
        </is>
      </c>
      <c r="AI20" t="n">
        <v>18938</v>
      </c>
      <c r="AJ20" t="n">
        <v>22338</v>
      </c>
      <c r="AK20" t="n">
        <v>4017</v>
      </c>
      <c r="AL20" t="n">
        <v>17967</v>
      </c>
      <c r="AM20" t="n">
        <v>41645</v>
      </c>
      <c r="AN20" t="n">
        <v>54342</v>
      </c>
      <c r="AO20" t="n">
        <v>46569</v>
      </c>
      <c r="AP20" t="n">
        <v>46458</v>
      </c>
    </row>
    <row r="21">
      <c r="A21" s="5" t="inlineStr">
        <is>
          <t>Dividends</t>
        </is>
      </c>
      <c r="B21" s="5" t="n">
        <v>-6</v>
      </c>
      <c r="C21" s="5" t="n">
        <v>-6</v>
      </c>
      <c r="D21" s="5" t="n">
        <v>-6</v>
      </c>
      <c r="E21" s="5" t="n">
        <v>-6</v>
      </c>
      <c r="F21" s="5" t="n">
        <v>-6</v>
      </c>
      <c r="G21" s="5" t="n">
        <v>-6</v>
      </c>
      <c r="H21" s="5" t="n">
        <v>-6</v>
      </c>
      <c r="I21" s="5" t="n">
        <v>-6</v>
      </c>
      <c r="AH21" t="inlineStr">
        <is>
          <t>Dividends</t>
        </is>
      </c>
      <c r="AI21" t="n">
        <v>-6</v>
      </c>
      <c r="AJ21" t="n">
        <v>-6</v>
      </c>
      <c r="AK21" t="n">
        <v>-6</v>
      </c>
      <c r="AL21" t="n">
        <v>-6</v>
      </c>
      <c r="AM21" t="n">
        <v>-6</v>
      </c>
      <c r="AN21" t="n">
        <v>-6</v>
      </c>
      <c r="AO21" t="n">
        <v>-6</v>
      </c>
      <c r="AP21" t="n">
        <v>-6</v>
      </c>
    </row>
    <row r="22">
      <c r="A22" s="5" t="inlineStr">
        <is>
          <t>Closing equity</t>
        </is>
      </c>
      <c r="B22" s="5" t="n">
        <v>604683</v>
      </c>
      <c r="C22" s="5" t="n">
        <v>558231</v>
      </c>
      <c r="D22" s="5" t="n">
        <v>511668</v>
      </c>
      <c r="E22" s="5" t="n">
        <v>457332</v>
      </c>
      <c r="F22" s="5" t="n">
        <v>415693</v>
      </c>
      <c r="G22" s="5" t="n">
        <v>397732</v>
      </c>
      <c r="H22" s="5" t="n">
        <v>393721</v>
      </c>
      <c r="I22" s="5" t="n">
        <v>371389</v>
      </c>
      <c r="AH22" t="inlineStr">
        <is>
          <t>Closing equity</t>
        </is>
      </c>
      <c r="AI22" t="n">
        <v>371389</v>
      </c>
      <c r="AJ22" t="n">
        <v>393721</v>
      </c>
      <c r="AK22" t="n">
        <v>397732</v>
      </c>
      <c r="AL22" t="n">
        <v>415693</v>
      </c>
      <c r="AM22" t="n">
        <v>457332</v>
      </c>
      <c r="AN22" t="n">
        <v>511668</v>
      </c>
      <c r="AO22" t="n">
        <v>558231</v>
      </c>
      <c r="AP22" t="n">
        <v>604683</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AT25" t="inlineStr">
        <is>
          <t>FY2019</t>
        </is>
      </c>
      <c r="AU25" t="inlineStr">
        <is>
          <t>FY2020</t>
        </is>
      </c>
      <c r="AV25" t="inlineStr">
        <is>
          <t>FY2021</t>
        </is>
      </c>
      <c r="AW25" t="inlineStr">
        <is>
          <t>FY2022</t>
        </is>
      </c>
      <c r="AX25" t="inlineStr">
        <is>
          <t>FY2023</t>
        </is>
      </c>
      <c r="AY25" t="inlineStr">
        <is>
          <t>FY2024</t>
        </is>
      </c>
      <c r="AZ25" t="inlineStr">
        <is>
          <t>FY2025</t>
        </is>
      </c>
      <c r="BA25" t="inlineStr">
        <is>
          <t>FY2026</t>
        </is>
      </c>
    </row>
    <row r="26">
      <c r="A26" s="5" t="inlineStr">
        <is>
          <t>Net cash from/(used in) operating activities</t>
        </is>
      </c>
      <c r="B26" s="5" t="n">
        <v>75318</v>
      </c>
      <c r="C26" s="5" t="n">
        <v>321534</v>
      </c>
      <c r="D26" s="5" t="n">
        <v>-110569</v>
      </c>
      <c r="E26" s="5" t="n">
        <v>-436033</v>
      </c>
      <c r="F26" s="5" t="n">
        <v>1116449</v>
      </c>
      <c r="G26" s="5" t="n">
        <v>826864</v>
      </c>
      <c r="H26" s="5" t="n">
        <v>146890</v>
      </c>
      <c r="I26" s="5" t="n">
        <v>458219</v>
      </c>
      <c r="AS26" t="inlineStr">
        <is>
          <t>Net cash from/(used in) operating activities</t>
        </is>
      </c>
      <c r="AT26" t="n">
        <v>458219</v>
      </c>
      <c r="AU26" t="n">
        <v>146890</v>
      </c>
      <c r="AV26" t="n">
        <v>826864</v>
      </c>
      <c r="AW26" t="n">
        <v>1116449</v>
      </c>
      <c r="AX26" t="n">
        <v>-436033</v>
      </c>
      <c r="AY26" t="n">
        <v>-110569</v>
      </c>
      <c r="AZ26" t="n">
        <v>321534</v>
      </c>
      <c r="BA26" t="n">
        <v>75318</v>
      </c>
    </row>
    <row r="27">
      <c r="A27" s="5" t="inlineStr">
        <is>
          <t>Net cash from/(used in) investing activities</t>
        </is>
      </c>
      <c r="B27" s="5" t="n">
        <v>-606849</v>
      </c>
      <c r="C27" s="5" t="n">
        <v>-124015</v>
      </c>
      <c r="D27" s="5" t="n">
        <v>-53458</v>
      </c>
      <c r="E27" s="5" t="n">
        <v>64616</v>
      </c>
      <c r="F27" s="5" t="n">
        <v>-1009981</v>
      </c>
      <c r="G27" s="5" t="n">
        <v>-243033</v>
      </c>
      <c r="H27" s="5" t="n">
        <v>-515865</v>
      </c>
      <c r="I27" s="5" t="n">
        <v>-107126</v>
      </c>
      <c r="AS27" t="inlineStr">
        <is>
          <t>Net cash from/(used in) investing activities</t>
        </is>
      </c>
      <c r="AT27" t="n">
        <v>-107126</v>
      </c>
      <c r="AU27" t="n">
        <v>-515865</v>
      </c>
      <c r="AV27" t="n">
        <v>-243033</v>
      </c>
      <c r="AW27" t="n">
        <v>-1009981</v>
      </c>
      <c r="AX27" t="n">
        <v>64616</v>
      </c>
      <c r="AY27" t="n">
        <v>-53458</v>
      </c>
      <c r="AZ27" t="n">
        <v>-124015</v>
      </c>
      <c r="BA27" t="n">
        <v>-606849</v>
      </c>
    </row>
    <row r="28">
      <c r="A28" s="5" t="inlineStr">
        <is>
          <t>Net cash from/(used in) financing activities</t>
        </is>
      </c>
      <c r="B28" s="5" t="n">
        <v>-6</v>
      </c>
      <c r="C28" s="5" t="n">
        <v>-6</v>
      </c>
      <c r="D28" s="5" t="n">
        <v>-6</v>
      </c>
      <c r="E28" s="5" t="n">
        <v>-6</v>
      </c>
      <c r="F28" s="5" t="n">
        <v>-6</v>
      </c>
      <c r="G28" s="5" t="n">
        <v>-6</v>
      </c>
      <c r="H28" s="5" t="n">
        <v>-6</v>
      </c>
      <c r="I28" s="5" t="n">
        <v>-6</v>
      </c>
      <c r="AS28" t="inlineStr">
        <is>
          <t>Net cash from/(used in) financing activities</t>
        </is>
      </c>
      <c r="AT28" t="n">
        <v>-6</v>
      </c>
      <c r="AU28" t="n">
        <v>-6</v>
      </c>
      <c r="AV28" t="n">
        <v>-6</v>
      </c>
      <c r="AW28" t="n">
        <v>-6</v>
      </c>
      <c r="AX28" t="n">
        <v>-6</v>
      </c>
      <c r="AY28" t="n">
        <v>-6</v>
      </c>
      <c r="AZ28" t="n">
        <v>-6</v>
      </c>
      <c r="BA28" t="n">
        <v>-6</v>
      </c>
    </row>
    <row r="29">
      <c r="A29" s="5" t="inlineStr">
        <is>
          <t>Cash and cash equivalents at end of year</t>
        </is>
      </c>
      <c r="B29" s="5" t="n">
        <v>1049301</v>
      </c>
      <c r="C29" s="5" t="n">
        <v>1580850</v>
      </c>
      <c r="D29" s="5" t="n">
        <v>1382976</v>
      </c>
      <c r="E29" s="5" t="n">
        <v>1547010</v>
      </c>
      <c r="F29" s="5" t="n">
        <v>1918433</v>
      </c>
      <c r="G29" s="5" t="n">
        <v>1811971</v>
      </c>
      <c r="H29" s="5" t="n">
        <v>1228146</v>
      </c>
      <c r="I29" s="5" t="n">
        <v>1597127</v>
      </c>
      <c r="AS29" t="inlineStr">
        <is>
          <t>Cash and cash equivalents at end of year</t>
        </is>
      </c>
      <c r="AT29" t="n">
        <v>1597127</v>
      </c>
      <c r="AU29" t="n">
        <v>1228146</v>
      </c>
      <c r="AV29" t="n">
        <v>1811971</v>
      </c>
      <c r="AW29" t="n">
        <v>1918433</v>
      </c>
      <c r="AX29" t="n">
        <v>1547010</v>
      </c>
      <c r="AY29" t="n">
        <v>1382976</v>
      </c>
      <c r="AZ29" t="n">
        <v>1580850</v>
      </c>
      <c r="BA29" t="n">
        <v>1049301</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row>
    <row r="33">
      <c r="A33" s="6" t="inlineStr">
        <is>
          <t>CET1 Ratio</t>
        </is>
      </c>
      <c r="B33" s="6" t="n"/>
      <c r="C33" s="6" t="inlineStr">
        <is>
          <t>23.00%</t>
        </is>
      </c>
      <c r="D33" s="6" t="inlineStr">
        <is>
          <t>23.11%</t>
        </is>
      </c>
      <c r="E33" s="6" t="inlineStr">
        <is>
          <t>21.44%</t>
        </is>
      </c>
      <c r="F33" s="6" t="inlineStr">
        <is>
          <t>20.96%</t>
        </is>
      </c>
      <c r="G33" s="6" t="n"/>
      <c r="H33" s="6" t="n"/>
      <c r="I33" s="6" t="n"/>
    </row>
    <row r="34">
      <c r="A34" s="6" t="inlineStr">
        <is>
          <t>Tier 1 Ratio</t>
        </is>
      </c>
      <c r="B34" s="6" t="n"/>
      <c r="C34" s="6" t="inlineStr">
        <is>
          <t>23.00%</t>
        </is>
      </c>
      <c r="D34" s="6" t="inlineStr">
        <is>
          <t>23.11%</t>
        </is>
      </c>
      <c r="E34" s="6" t="inlineStr">
        <is>
          <t>21.44%</t>
        </is>
      </c>
      <c r="F34" s="6" t="inlineStr">
        <is>
          <t>20.96%</t>
        </is>
      </c>
      <c r="G34" s="6" t="n"/>
      <c r="H34" s="6" t="n"/>
      <c r="I34" s="6" t="n"/>
    </row>
    <row r="35">
      <c r="A35" s="6" t="inlineStr">
        <is>
          <t>Total Capital Ratio</t>
        </is>
      </c>
      <c r="B35" s="6" t="n"/>
      <c r="C35" s="6" t="inlineStr">
        <is>
          <t>23.21%</t>
        </is>
      </c>
      <c r="D35" s="6" t="inlineStr">
        <is>
          <t>23.34%</t>
        </is>
      </c>
      <c r="E35" s="6" t="inlineStr">
        <is>
          <t>21.72%</t>
        </is>
      </c>
      <c r="F35" s="6" t="inlineStr">
        <is>
          <t>21.20%</t>
        </is>
      </c>
      <c r="G35" s="6" t="n"/>
      <c r="H35" s="6" t="n"/>
      <c r="I35" s="6" t="n"/>
    </row>
    <row r="36">
      <c r="A36" s="6" t="inlineStr">
        <is>
          <t>Leverage Ratio</t>
        </is>
      </c>
      <c r="B36" s="6" t="n"/>
      <c r="C36" s="6" t="inlineStr">
        <is>
          <t>9.29%</t>
        </is>
      </c>
      <c r="D36" s="6" t="inlineStr">
        <is>
          <t>7.61%</t>
        </is>
      </c>
      <c r="E36" s="6" t="inlineStr">
        <is>
          <t>6.96%</t>
        </is>
      </c>
      <c r="F36" s="6" t="inlineStr">
        <is>
          <t>6.61%</t>
        </is>
      </c>
      <c r="G36" s="6" t="n"/>
      <c r="H36" s="6" t="n"/>
      <c r="I36" s="6" t="n"/>
    </row>
    <row r="37">
      <c r="A37" s="6" t="inlineStr">
        <is>
          <t>LCR</t>
        </is>
      </c>
      <c r="B37" s="6" t="n"/>
      <c r="C37" s="6" t="inlineStr">
        <is>
          <t>341%</t>
        </is>
      </c>
      <c r="D37" s="6" t="inlineStr">
        <is>
          <t>308%</t>
        </is>
      </c>
      <c r="E37" s="6" t="inlineStr">
        <is>
          <t>273%</t>
        </is>
      </c>
      <c r="F37" s="6" t="inlineStr">
        <is>
          <t>272%</t>
        </is>
      </c>
      <c r="G37" s="6" t="n"/>
      <c r="H37" s="6" t="n"/>
      <c r="I37" s="6" t="n"/>
    </row>
    <row r="38">
      <c r="A38" s="6" t="inlineStr">
        <is>
          <t>NSFR</t>
        </is>
      </c>
      <c r="B38" s="6" t="n"/>
      <c r="C38" s="6" t="inlineStr">
        <is>
          <t>250%</t>
        </is>
      </c>
      <c r="D38" s="6" t="inlineStr">
        <is>
          <t>246%</t>
        </is>
      </c>
      <c r="E38" s="6" t="inlineStr">
        <is>
          <t>256%</t>
        </is>
      </c>
      <c r="F38" s="6" t="inlineStr">
        <is>
          <t>269%</t>
        </is>
      </c>
      <c r="G38" s="6" t="n"/>
      <c r="H38" s="6" t="n"/>
      <c r="I38" s="6" t="n"/>
    </row>
    <row r="40" ht="45" customHeight="1">
      <c r="A40" s="7" t="inlineStr">
        <is>
          <t>Note: Figures are duplicated from the detail sheets for at-a-glance trend viewing; see each sheet's own source citation for the underlying document/page. FY2026 Pillar 3 ratios not yet published.</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and Company Balance Sheets</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at central banks</t>
        </is>
      </c>
      <c r="B5" s="6" t="n">
        <v>896317</v>
      </c>
      <c r="C5" s="6" t="n">
        <v>1548443</v>
      </c>
      <c r="D5" s="6" t="n">
        <v>1345322</v>
      </c>
      <c r="E5" s="6" t="n">
        <v>1452949</v>
      </c>
      <c r="F5" s="6" t="n">
        <v>1843378</v>
      </c>
      <c r="G5" s="6" t="n">
        <v>1709735</v>
      </c>
      <c r="H5" s="6" t="n">
        <v>1161138</v>
      </c>
      <c r="I5" s="6" t="n">
        <v>1525359</v>
      </c>
    </row>
    <row r="6">
      <c r="A6" s="6" t="inlineStr">
        <is>
          <t>Items in course of collection from banks</t>
        </is>
      </c>
      <c r="B6" s="6" t="n">
        <v>316</v>
      </c>
      <c r="C6" s="6" t="n">
        <v>136</v>
      </c>
      <c r="D6" s="6" t="n">
        <v>266</v>
      </c>
      <c r="E6" s="6" t="n">
        <v>240</v>
      </c>
      <c r="F6" s="6" t="n">
        <v>330</v>
      </c>
      <c r="G6" s="6" t="n">
        <v>303</v>
      </c>
      <c r="H6" s="6" t="n">
        <v>12</v>
      </c>
      <c r="I6" s="6" t="n">
        <v>1074</v>
      </c>
    </row>
    <row r="7">
      <c r="A7" s="6" t="inlineStr">
        <is>
          <t>Derivative financial instruments (assets)</t>
        </is>
      </c>
      <c r="B7" s="6" t="n">
        <v>215175</v>
      </c>
      <c r="C7" s="6" t="n">
        <v>100364</v>
      </c>
      <c r="D7" s="6" t="n">
        <v>117813</v>
      </c>
      <c r="E7" s="6" t="n">
        <v>126976</v>
      </c>
      <c r="F7" s="6" t="n">
        <v>110851</v>
      </c>
      <c r="G7" s="6" t="n">
        <v>29394</v>
      </c>
      <c r="H7" s="6" t="n">
        <v>31</v>
      </c>
      <c r="I7" s="6" t="n">
        <v>2105</v>
      </c>
    </row>
    <row r="8">
      <c r="A8" s="6" t="inlineStr">
        <is>
          <t>Total financial assets</t>
        </is>
      </c>
      <c r="B8" s="6" t="n">
        <v>6339519</v>
      </c>
      <c r="C8" s="6" t="n">
        <v>5399523</v>
      </c>
      <c r="D8" s="6" t="n">
        <v>5229721</v>
      </c>
      <c r="E8" s="6" t="n">
        <v>5164686</v>
      </c>
      <c r="F8" s="6" t="n">
        <v>5204233</v>
      </c>
      <c r="G8" s="6" t="n">
        <v>4159605</v>
      </c>
      <c r="H8" s="6" t="n">
        <v>3956424</v>
      </c>
      <c r="I8" s="6" t="n">
        <v>3227198</v>
      </c>
    </row>
    <row r="9">
      <c r="A9" s="6" t="inlineStr">
        <is>
          <t>Financial assets at fair value through profit or loss</t>
        </is>
      </c>
      <c r="B9" s="6" t="n">
        <v>371563</v>
      </c>
      <c r="C9" s="6" t="n">
        <v>595373</v>
      </c>
      <c r="D9" s="6" t="n">
        <v>593212</v>
      </c>
      <c r="E9" s="6" t="n">
        <v>352586</v>
      </c>
      <c r="F9" s="6" t="n">
        <v>652752</v>
      </c>
      <c r="G9" s="6" t="n">
        <v>141084</v>
      </c>
      <c r="H9" s="6" t="n">
        <v>6038</v>
      </c>
      <c r="I9" s="6" t="n">
        <v>5104</v>
      </c>
    </row>
    <row r="10">
      <c r="A10" s="6" t="inlineStr">
        <is>
          <t>Investment in equity shares (financial assets at cost less impairment)</t>
        </is>
      </c>
      <c r="B10" s="6" t="n">
        <v>2530</v>
      </c>
      <c r="C10" s="6" t="n">
        <v>2530</v>
      </c>
      <c r="D10" s="6" t="n">
        <v>2529</v>
      </c>
      <c r="E10" s="6" t="n">
        <v>2529</v>
      </c>
      <c r="F10" s="6" t="n">
        <v>1528</v>
      </c>
      <c r="G10" s="6" t="n">
        <v>1528</v>
      </c>
      <c r="H10" s="6" t="n">
        <v>1528</v>
      </c>
      <c r="I10" s="6" t="n">
        <v>1528</v>
      </c>
    </row>
    <row r="11">
      <c r="A11" s="6" t="inlineStr">
        <is>
          <t>Loans and advances to banks, at amortised cost</t>
        </is>
      </c>
      <c r="B11" s="6" t="n">
        <v>219597</v>
      </c>
      <c r="C11" s="6" t="n">
        <v>65834</v>
      </c>
      <c r="D11" s="6" t="n">
        <v>123470</v>
      </c>
      <c r="E11" s="6" t="n">
        <v>248662</v>
      </c>
      <c r="F11" s="6" t="n">
        <v>275813</v>
      </c>
      <c r="G11" s="6" t="n">
        <v>326999</v>
      </c>
      <c r="H11" s="6" t="n">
        <v>384872</v>
      </c>
      <c r="I11" s="6" t="n">
        <v>217116</v>
      </c>
    </row>
    <row r="12">
      <c r="A12" s="6" t="inlineStr">
        <is>
          <t>Loans and advances to customers, net of impairment, at amortised cost</t>
        </is>
      </c>
      <c r="B12" s="6" t="n">
        <v>2579028</v>
      </c>
      <c r="C12" s="6" t="n">
        <v>2274402</v>
      </c>
      <c r="D12" s="6" t="n">
        <v>2116584</v>
      </c>
      <c r="E12" s="6" t="n">
        <v>1966972</v>
      </c>
      <c r="F12" s="6" t="n">
        <v>1994820</v>
      </c>
      <c r="G12" s="6" t="n">
        <v>1857015</v>
      </c>
      <c r="H12" s="6" t="n">
        <v>1805994</v>
      </c>
      <c r="I12" s="6" t="n">
        <v>1698366</v>
      </c>
    </row>
    <row r="13">
      <c r="A13" s="6" t="inlineStr">
        <is>
          <t>Bank and building society certificates of deposit (financial assets at amortised cost)</t>
        </is>
      </c>
      <c r="B13" s="6" t="n">
        <v>199170</v>
      </c>
      <c r="C13" s="6" t="n">
        <v>106148</v>
      </c>
      <c r="D13" s="6" t="n">
        <v>104099</v>
      </c>
      <c r="E13" s="6" t="n">
        <v>460996</v>
      </c>
      <c r="F13" s="6" t="n">
        <v>220405</v>
      </c>
      <c r="G13" s="6" t="n">
        <v>180403</v>
      </c>
      <c r="H13" s="6" t="n">
        <v>617362</v>
      </c>
      <c r="I13" s="6" t="n">
        <v>519344</v>
      </c>
    </row>
    <row r="14">
      <c r="A14" s="6" t="inlineStr">
        <is>
          <t>Debt securities at amortised cost</t>
        </is>
      </c>
      <c r="B14" s="6" t="n"/>
      <c r="C14" s="6" t="n">
        <v>2355236</v>
      </c>
      <c r="D14" s="6" t="n">
        <v>2289827</v>
      </c>
      <c r="E14" s="6" t="n">
        <v>2132941</v>
      </c>
      <c r="F14" s="6" t="n">
        <v>2058915</v>
      </c>
      <c r="G14" s="6" t="n">
        <v>1652576</v>
      </c>
      <c r="H14" s="6" t="n">
        <v>1140630</v>
      </c>
      <c r="I14" s="6" t="n">
        <v>785740</v>
      </c>
    </row>
    <row r="15">
      <c r="A15" s="6" t="inlineStr">
        <is>
          <t>UK government gilts, within debt securities at amortised cost</t>
        </is>
      </c>
      <c r="B15" s="6" t="n">
        <v>1193292</v>
      </c>
      <c r="C15" s="6" t="n"/>
      <c r="D15" s="6" t="n"/>
      <c r="E15" s="6" t="n"/>
      <c r="F15" s="6" t="n"/>
      <c r="G15" s="6" t="n"/>
      <c r="H15" s="6" t="n"/>
      <c r="I15" s="6" t="n"/>
    </row>
    <row r="16">
      <c r="A16" s="6" t="inlineStr">
        <is>
          <t>Non-UK-government debt securities, at amortised cost</t>
        </is>
      </c>
      <c r="B16" s="6" t="n">
        <v>1774339</v>
      </c>
      <c r="C16" s="6" t="n"/>
      <c r="D16" s="6" t="n"/>
      <c r="E16" s="6" t="n"/>
      <c r="F16" s="6" t="n"/>
      <c r="G16" s="6" t="n"/>
      <c r="H16" s="6" t="n"/>
      <c r="I16" s="6" t="n"/>
    </row>
    <row r="17">
      <c r="A17" s="6" t="inlineStr">
        <is>
          <t>Intangible assets</t>
        </is>
      </c>
      <c r="B17" s="6" t="n">
        <v>37247</v>
      </c>
      <c r="C17" s="6" t="n">
        <v>31776</v>
      </c>
      <c r="D17" s="6" t="n">
        <v>17363</v>
      </c>
      <c r="E17" s="6" t="n">
        <v>16765</v>
      </c>
      <c r="F17" s="6" t="n">
        <v>17821</v>
      </c>
      <c r="G17" s="6" t="n">
        <v>16067</v>
      </c>
      <c r="H17" s="6" t="n"/>
      <c r="I17" s="6" t="n"/>
    </row>
    <row r="18">
      <c r="A18" s="6" t="inlineStr">
        <is>
          <t>Property and equipment</t>
        </is>
      </c>
      <c r="B18" s="6" t="n">
        <v>52872</v>
      </c>
      <c r="C18" s="6" t="n">
        <v>53192</v>
      </c>
      <c r="D18" s="6" t="n">
        <v>50064</v>
      </c>
      <c r="E18" s="6" t="n">
        <v>51008</v>
      </c>
      <c r="F18" s="6" t="n">
        <v>55428</v>
      </c>
      <c r="G18" s="6" t="n">
        <v>57697</v>
      </c>
      <c r="H18" s="6" t="n">
        <v>82849</v>
      </c>
      <c r="I18" s="6" t="n">
        <v>83668</v>
      </c>
    </row>
    <row r="19">
      <c r="A19" s="6" t="inlineStr">
        <is>
          <t>Heritage assets</t>
        </is>
      </c>
      <c r="B19" s="6" t="n">
        <v>15297</v>
      </c>
      <c r="C19" s="6" t="n">
        <v>15105</v>
      </c>
      <c r="D19" s="6" t="n">
        <v>15098</v>
      </c>
      <c r="E19" s="6" t="n">
        <v>15040</v>
      </c>
      <c r="F19" s="6" t="n">
        <v>14987</v>
      </c>
      <c r="G19" s="6" t="n">
        <v>9477</v>
      </c>
      <c r="H19" s="6" t="n">
        <v>9473</v>
      </c>
      <c r="I19" s="6" t="n">
        <v>9438</v>
      </c>
    </row>
    <row r="20">
      <c r="A20" s="6" t="inlineStr">
        <is>
          <t>Deferred tax asset</t>
        </is>
      </c>
      <c r="B20" s="6" t="n"/>
      <c r="C20" s="6" t="n"/>
      <c r="D20" s="6" t="n">
        <v>27</v>
      </c>
      <c r="E20" s="6" t="n">
        <v>496</v>
      </c>
      <c r="F20" s="6" t="n">
        <v>989</v>
      </c>
      <c r="G20" s="6" t="n">
        <v>1677</v>
      </c>
      <c r="H20" s="6" t="n">
        <v>1016</v>
      </c>
      <c r="I20" s="6" t="n">
        <v>856</v>
      </c>
    </row>
    <row r="21">
      <c r="A21" s="6" t="inlineStr">
        <is>
          <t>Other assets</t>
        </is>
      </c>
      <c r="B21" s="6" t="n">
        <v>3358</v>
      </c>
      <c r="C21" s="6" t="n">
        <v>1237</v>
      </c>
      <c r="D21" s="6" t="n">
        <v>4519</v>
      </c>
      <c r="E21" s="6" t="n">
        <v>3849</v>
      </c>
      <c r="F21" s="6" t="n">
        <v>3672</v>
      </c>
      <c r="G21" s="6" t="n">
        <v>3266</v>
      </c>
      <c r="H21" s="6" t="n">
        <v>3591</v>
      </c>
      <c r="I21" s="6" t="n">
        <v>343</v>
      </c>
    </row>
    <row r="22">
      <c r="A22" s="6" t="inlineStr">
        <is>
          <t>Prepayments and accrued income</t>
        </is>
      </c>
      <c r="B22" s="6" t="n">
        <v>7880</v>
      </c>
      <c r="C22" s="6" t="n">
        <v>9064</v>
      </c>
      <c r="D22" s="6" t="n">
        <v>21268</v>
      </c>
      <c r="E22" s="6" t="n">
        <v>17071</v>
      </c>
      <c r="F22" s="6" t="n">
        <v>13145</v>
      </c>
      <c r="G22" s="6" t="n">
        <v>13045</v>
      </c>
      <c r="H22" s="6" t="n">
        <v>9121</v>
      </c>
      <c r="I22" s="6" t="n">
        <v>12469</v>
      </c>
    </row>
    <row r="23">
      <c r="A23" s="6" t="inlineStr">
        <is>
          <t>Post retirement benefit asset</t>
        </is>
      </c>
      <c r="B23" s="6" t="n"/>
      <c r="C23" s="6" t="n"/>
      <c r="D23" s="6" t="n"/>
      <c r="E23" s="6" t="n">
        <v>3859</v>
      </c>
      <c r="F23" s="6" t="n">
        <v>9831</v>
      </c>
      <c r="G23" s="6" t="n">
        <v>3950</v>
      </c>
      <c r="H23" s="6" t="n">
        <v>8482</v>
      </c>
      <c r="I23" s="6" t="n">
        <v>579</v>
      </c>
    </row>
    <row r="24">
      <c r="A24" s="5" t="inlineStr">
        <is>
          <t>Total assets</t>
        </is>
      </c>
      <c r="B24" s="5" t="n">
        <v>7567981</v>
      </c>
      <c r="C24" s="5" t="n">
        <v>7158840</v>
      </c>
      <c r="D24" s="5" t="n">
        <v>6801461</v>
      </c>
      <c r="E24" s="5" t="n">
        <v>6852939</v>
      </c>
      <c r="F24" s="5" t="n">
        <v>7274665</v>
      </c>
      <c r="G24" s="5" t="n">
        <v>6004216</v>
      </c>
      <c r="H24" s="5" t="n">
        <v>5232137</v>
      </c>
      <c r="I24" s="5" t="n">
        <v>4863089</v>
      </c>
    </row>
    <row r="25">
      <c r="A25" s="5" t="inlineStr">
        <is>
          <t>Liabilities</t>
        </is>
      </c>
      <c r="B25" s="6" t="n"/>
      <c r="C25" s="6" t="n"/>
      <c r="D25" s="6" t="n"/>
      <c r="E25" s="6" t="n"/>
      <c r="F25" s="6" t="n"/>
      <c r="G25" s="6" t="n"/>
      <c r="H25" s="6" t="n"/>
      <c r="I25" s="6" t="n"/>
    </row>
    <row r="26">
      <c r="A26" s="6" t="inlineStr">
        <is>
          <t>Deposits by banks</t>
        </is>
      </c>
      <c r="B26" s="6" t="n">
        <v>309283</v>
      </c>
      <c r="C26" s="6" t="n">
        <v>99590</v>
      </c>
      <c r="D26" s="6" t="n">
        <v>109543</v>
      </c>
      <c r="E26" s="6" t="n">
        <v>122958</v>
      </c>
      <c r="F26" s="6" t="n">
        <v>119572</v>
      </c>
      <c r="G26" s="6" t="n">
        <v>0</v>
      </c>
      <c r="H26" s="6" t="n">
        <v>466</v>
      </c>
      <c r="I26" s="6" t="n">
        <v>60</v>
      </c>
    </row>
    <row r="27">
      <c r="A27" s="6" t="inlineStr">
        <is>
          <t>Customer accounts</t>
        </is>
      </c>
      <c r="B27" s="6" t="n">
        <v>6555269</v>
      </c>
      <c r="C27" s="6" t="n">
        <v>6427375</v>
      </c>
      <c r="D27" s="6" t="n">
        <v>6096719</v>
      </c>
      <c r="E27" s="6" t="n">
        <v>6214358</v>
      </c>
      <c r="F27" s="6" t="n">
        <v>6689431</v>
      </c>
      <c r="G27" s="6" t="n">
        <v>5544294</v>
      </c>
      <c r="H27" s="6" t="n">
        <v>4761856</v>
      </c>
      <c r="I27" s="6" t="n">
        <v>4364933</v>
      </c>
    </row>
    <row r="28">
      <c r="A28" s="6" t="inlineStr">
        <is>
          <t>Derivative financial instruments (liabilities)</t>
        </is>
      </c>
      <c r="B28" s="6" t="n">
        <v>668</v>
      </c>
      <c r="C28" s="6" t="n">
        <v>712</v>
      </c>
      <c r="D28" s="6" t="n">
        <v>6764</v>
      </c>
      <c r="E28" s="6" t="n">
        <v>3158</v>
      </c>
      <c r="F28" s="6" t="n">
        <v>4629</v>
      </c>
      <c r="G28" s="6" t="n">
        <v>21787</v>
      </c>
      <c r="H28" s="6" t="n">
        <v>37128</v>
      </c>
      <c r="I28" s="6" t="n">
        <v>80184</v>
      </c>
    </row>
    <row r="29">
      <c r="A29" s="6" t="inlineStr">
        <is>
          <t>Deferred tax liability</t>
        </is>
      </c>
      <c r="B29" s="6" t="n">
        <v>14802</v>
      </c>
      <c r="C29" s="6" t="n">
        <v>11555</v>
      </c>
      <c r="D29" s="6" t="n">
        <v>11331</v>
      </c>
      <c r="E29" s="6" t="n">
        <v>12342</v>
      </c>
      <c r="F29" s="6" t="n">
        <v>15548</v>
      </c>
      <c r="G29" s="6" t="n">
        <v>10725</v>
      </c>
      <c r="H29" s="6" t="n">
        <v>8629</v>
      </c>
      <c r="I29" s="6" t="n">
        <v>9425</v>
      </c>
    </row>
    <row r="30">
      <c r="A30" s="6" t="inlineStr">
        <is>
          <t>Other liabilities</t>
        </is>
      </c>
      <c r="B30" s="6" t="n">
        <v>5457</v>
      </c>
      <c r="C30" s="6" t="n">
        <v>29582</v>
      </c>
      <c r="D30" s="6" t="n">
        <v>4901</v>
      </c>
      <c r="E30" s="6" t="n">
        <v>3072</v>
      </c>
      <c r="F30" s="6" t="n">
        <v>2485</v>
      </c>
      <c r="G30" s="6" t="n">
        <v>3318</v>
      </c>
      <c r="H30" s="6" t="n">
        <v>845</v>
      </c>
      <c r="I30" s="6" t="n">
        <v>2990</v>
      </c>
    </row>
    <row r="31">
      <c r="A31" s="6" t="inlineStr">
        <is>
          <t>Accruals and deferred income</t>
        </is>
      </c>
      <c r="B31" s="6" t="n">
        <v>77819</v>
      </c>
      <c r="C31" s="6" t="n">
        <v>31795</v>
      </c>
      <c r="D31" s="6" t="n">
        <v>60428</v>
      </c>
      <c r="E31" s="6" t="n">
        <v>39719</v>
      </c>
      <c r="F31" s="6" t="n">
        <v>24557</v>
      </c>
      <c r="G31" s="6" t="n">
        <v>21547</v>
      </c>
      <c r="H31" s="6" t="n">
        <v>24946</v>
      </c>
      <c r="I31" s="6" t="n">
        <v>30738</v>
      </c>
    </row>
    <row r="32">
      <c r="A32" s="6" t="inlineStr">
        <is>
          <t>Post retirement benefit liability</t>
        </is>
      </c>
      <c r="B32" s="6" t="n"/>
      <c r="C32" s="6" t="n"/>
      <c r="D32" s="6" t="n">
        <v>107</v>
      </c>
      <c r="E32" s="6" t="n"/>
      <c r="F32" s="6" t="n"/>
      <c r="G32" s="6" t="n"/>
      <c r="H32" s="6" t="n"/>
      <c r="I32" s="6" t="n"/>
    </row>
    <row r="33">
      <c r="A33" s="6" t="inlineStr">
        <is>
          <t>Provision for other liabilities</t>
        </is>
      </c>
      <c r="B33" s="6" t="n"/>
      <c r="C33" s="6" t="n"/>
      <c r="D33" s="6" t="n"/>
      <c r="E33" s="6" t="n"/>
      <c r="F33" s="6" t="n">
        <v>2750</v>
      </c>
      <c r="G33" s="6" t="n">
        <v>4813</v>
      </c>
      <c r="H33" s="6" t="n">
        <v>4546</v>
      </c>
      <c r="I33" s="6" t="n">
        <v>3370</v>
      </c>
    </row>
    <row r="34">
      <c r="A34" s="5" t="inlineStr">
        <is>
          <t>Total liabilities</t>
        </is>
      </c>
      <c r="B34" s="5" t="n">
        <v>6963298</v>
      </c>
      <c r="C34" s="5" t="n">
        <v>6600609</v>
      </c>
      <c r="D34" s="5" t="n">
        <v>6289793</v>
      </c>
      <c r="E34" s="5" t="n">
        <v>6395607</v>
      </c>
      <c r="F34" s="5" t="n">
        <v>6858972</v>
      </c>
      <c r="G34" s="5" t="n">
        <v>5606484</v>
      </c>
      <c r="H34" s="5" t="n">
        <v>4838416</v>
      </c>
      <c r="I34" s="5" t="n">
        <v>4491700</v>
      </c>
    </row>
    <row r="35">
      <c r="A35" s="5" t="inlineStr">
        <is>
          <t>Equity</t>
        </is>
      </c>
      <c r="B35" s="6" t="n"/>
      <c r="C35" s="6" t="n"/>
      <c r="D35" s="6" t="n"/>
      <c r="E35" s="6" t="n"/>
      <c r="F35" s="6" t="n"/>
      <c r="G35" s="6" t="n"/>
      <c r="H35" s="6" t="n"/>
      <c r="I35" s="6" t="n"/>
    </row>
    <row r="36">
      <c r="A36" s="6" t="inlineStr">
        <is>
          <t>Called up share capital</t>
        </is>
      </c>
      <c r="B36" s="6" t="n">
        <v>120</v>
      </c>
      <c r="C36" s="6" t="n">
        <v>120</v>
      </c>
      <c r="D36" s="6" t="n">
        <v>120</v>
      </c>
      <c r="E36" s="6" t="n">
        <v>120</v>
      </c>
      <c r="F36" s="6" t="n">
        <v>120</v>
      </c>
      <c r="G36" s="6" t="n">
        <v>120</v>
      </c>
      <c r="H36" s="6" t="n">
        <v>120</v>
      </c>
      <c r="I36" s="6" t="n">
        <v>120</v>
      </c>
    </row>
    <row r="37">
      <c r="A37" s="6" t="inlineStr">
        <is>
          <t>Reserve fund</t>
        </is>
      </c>
      <c r="B37" s="6" t="n">
        <v>22598</v>
      </c>
      <c r="C37" s="6" t="n">
        <v>22598</v>
      </c>
      <c r="D37" s="6" t="n">
        <v>22598</v>
      </c>
      <c r="E37" s="6" t="n">
        <v>22598</v>
      </c>
      <c r="F37" s="6" t="n">
        <v>22598</v>
      </c>
      <c r="G37" s="6" t="n">
        <v>22598</v>
      </c>
      <c r="H37" s="6" t="n">
        <v>22598</v>
      </c>
      <c r="I37" s="6" t="n">
        <v>22598</v>
      </c>
    </row>
    <row r="38">
      <c r="A38" s="6" t="inlineStr">
        <is>
          <t>Revaluation reserves</t>
        </is>
      </c>
      <c r="B38" s="6" t="n">
        <v>30893</v>
      </c>
      <c r="C38" s="6" t="n">
        <v>31518</v>
      </c>
      <c r="D38" s="6" t="n">
        <v>31526</v>
      </c>
      <c r="E38" s="6" t="n">
        <v>32004</v>
      </c>
      <c r="F38" s="6" t="n">
        <v>35878</v>
      </c>
      <c r="G38" s="6" t="n">
        <v>34784</v>
      </c>
      <c r="H38" s="6" t="n">
        <v>37531</v>
      </c>
      <c r="I38" s="6" t="n">
        <v>40740</v>
      </c>
    </row>
    <row r="39">
      <c r="A39" s="6" t="inlineStr">
        <is>
          <t>Retained earnings</t>
        </is>
      </c>
      <c r="B39" s="6" t="n">
        <v>551072</v>
      </c>
      <c r="C39" s="6" t="n">
        <v>503995</v>
      </c>
      <c r="D39" s="6" t="n">
        <v>457424</v>
      </c>
      <c r="E39" s="6" t="n">
        <v>402610</v>
      </c>
      <c r="F39" s="6" t="n">
        <v>357097</v>
      </c>
      <c r="G39" s="6" t="n">
        <v>340230</v>
      </c>
      <c r="H39" s="6" t="n">
        <v>333472</v>
      </c>
      <c r="I39" s="6" t="n">
        <v>307931</v>
      </c>
    </row>
    <row r="40">
      <c r="A40" s="5" t="inlineStr">
        <is>
          <t>Total equity</t>
        </is>
      </c>
      <c r="B40" s="5" t="n">
        <v>604683</v>
      </c>
      <c r="C40" s="5" t="n">
        <v>558231</v>
      </c>
      <c r="D40" s="5" t="n">
        <v>511668</v>
      </c>
      <c r="E40" s="5" t="n">
        <v>457332</v>
      </c>
      <c r="F40" s="5" t="n">
        <v>415693</v>
      </c>
      <c r="G40" s="5" t="n">
        <v>397732</v>
      </c>
      <c r="H40" s="5" t="n">
        <v>393721</v>
      </c>
      <c r="I40" s="5" t="n">
        <v>371389</v>
      </c>
    </row>
    <row r="41">
      <c r="A41" s="5" t="inlineStr">
        <is>
          <t>Total liabilities and equity</t>
        </is>
      </c>
      <c r="B41" s="5" t="n">
        <v>7567981</v>
      </c>
      <c r="C41" s="5" t="n">
        <v>7158840</v>
      </c>
      <c r="D41" s="5" t="n">
        <v>6801461</v>
      </c>
      <c r="E41" s="5" t="n">
        <v>6852939</v>
      </c>
      <c r="F41" s="5" t="n">
        <v>7274665</v>
      </c>
      <c r="G41" s="5" t="n">
        <v>6004216</v>
      </c>
      <c r="H41" s="5" t="n">
        <v>5232137</v>
      </c>
      <c r="I41" s="5" t="n">
        <v>4863089</v>
      </c>
    </row>
    <row r="43" ht="380" customHeight="1">
      <c r="A4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Statement of Comprehensive Income</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t>
        </is>
      </c>
      <c r="B5" s="6" t="n">
        <v>362505</v>
      </c>
      <c r="C5" s="6" t="n">
        <v>397149</v>
      </c>
      <c r="D5" s="6" t="n">
        <v>368204</v>
      </c>
      <c r="E5" s="6" t="n">
        <v>217811</v>
      </c>
      <c r="F5" s="6" t="n">
        <v>94938</v>
      </c>
      <c r="G5" s="6" t="n">
        <v>89772</v>
      </c>
      <c r="H5" s="6" t="n">
        <v>113495</v>
      </c>
      <c r="I5" s="6" t="n">
        <v>103740</v>
      </c>
    </row>
    <row r="6">
      <c r="A6" s="6" t="inlineStr">
        <is>
          <t>Interest payable</t>
        </is>
      </c>
      <c r="B6" s="6" t="n">
        <v>-152001</v>
      </c>
      <c r="C6" s="6" t="n">
        <v>-182502</v>
      </c>
      <c r="D6" s="6" t="n">
        <v>-153516</v>
      </c>
      <c r="E6" s="6" t="n">
        <v>-40520</v>
      </c>
      <c r="F6" s="6" t="n">
        <v>-6681</v>
      </c>
      <c r="G6" s="6" t="n">
        <v>-9131</v>
      </c>
      <c r="H6" s="6" t="n">
        <v>-11492</v>
      </c>
      <c r="I6" s="6" t="n">
        <v>-8705</v>
      </c>
    </row>
    <row r="7">
      <c r="A7" s="5" t="inlineStr">
        <is>
          <t>Net interest income</t>
        </is>
      </c>
      <c r="B7" s="5" t="n">
        <v>210504</v>
      </c>
      <c r="C7" s="5" t="n">
        <v>214647</v>
      </c>
      <c r="D7" s="5" t="n">
        <v>214688</v>
      </c>
      <c r="E7" s="5" t="n">
        <v>177291</v>
      </c>
      <c r="F7" s="5" t="n">
        <v>88257</v>
      </c>
      <c r="G7" s="5" t="n">
        <v>80641</v>
      </c>
      <c r="H7" s="5" t="n">
        <v>102003</v>
      </c>
      <c r="I7" s="5" t="n">
        <v>95035</v>
      </c>
    </row>
    <row r="8">
      <c r="A8" s="6" t="inlineStr">
        <is>
          <t>Dividend income</t>
        </is>
      </c>
      <c r="B8" s="6" t="n">
        <v>7708</v>
      </c>
      <c r="C8" s="6" t="n">
        <v>9621</v>
      </c>
      <c r="D8" s="6" t="n">
        <v>24831</v>
      </c>
      <c r="E8" s="6" t="n">
        <v>11150</v>
      </c>
      <c r="F8" s="6" t="n">
        <v>3587</v>
      </c>
      <c r="G8" s="6" t="n">
        <v>-2</v>
      </c>
      <c r="H8" s="6" t="n">
        <v>14</v>
      </c>
      <c r="I8" s="6" t="n">
        <v>19</v>
      </c>
    </row>
    <row r="9">
      <c r="A9" s="6" t="inlineStr">
        <is>
          <t>Other finance income</t>
        </is>
      </c>
      <c r="B9" s="6" t="n"/>
      <c r="C9" s="6" t="n">
        <v>1</v>
      </c>
      <c r="D9" s="6" t="n">
        <v>413</v>
      </c>
      <c r="E9" s="6" t="n">
        <v>275</v>
      </c>
      <c r="F9" s="6" t="n">
        <v>79</v>
      </c>
      <c r="G9" s="6" t="n">
        <v>256</v>
      </c>
      <c r="H9" s="6" t="n">
        <v>20</v>
      </c>
      <c r="I9" s="6" t="n">
        <v>268</v>
      </c>
    </row>
    <row r="10">
      <c r="A10" s="6" t="inlineStr">
        <is>
          <t>Fees and commissions receivable</t>
        </is>
      </c>
      <c r="B10" s="6" t="n">
        <v>15571</v>
      </c>
      <c r="C10" s="6" t="n">
        <v>10858</v>
      </c>
      <c r="D10" s="6" t="n">
        <v>15018</v>
      </c>
      <c r="E10" s="6" t="n">
        <v>16534</v>
      </c>
      <c r="F10" s="6" t="n">
        <v>15662</v>
      </c>
      <c r="G10" s="6" t="n">
        <v>12490</v>
      </c>
      <c r="H10" s="6" t="n">
        <v>12991</v>
      </c>
      <c r="I10" s="6" t="n">
        <v>14665</v>
      </c>
    </row>
    <row r="11">
      <c r="A11" s="6" t="inlineStr">
        <is>
          <t>Fees and commissions payable</t>
        </is>
      </c>
      <c r="B11" s="6" t="n">
        <v>-1350</v>
      </c>
      <c r="C11" s="6" t="n">
        <v>-1227</v>
      </c>
      <c r="D11" s="6" t="n">
        <v>-1338</v>
      </c>
      <c r="E11" s="6" t="n">
        <v>-1251</v>
      </c>
      <c r="F11" s="6" t="n">
        <v>-1274</v>
      </c>
      <c r="G11" s="6" t="n">
        <v>-1864</v>
      </c>
      <c r="H11" s="6" t="n">
        <v>-2421</v>
      </c>
      <c r="I11" s="6" t="n">
        <v>-1284</v>
      </c>
    </row>
    <row r="12">
      <c r="A12" s="5" t="inlineStr">
        <is>
          <t>Net fees and commissions income</t>
        </is>
      </c>
      <c r="B12" s="5" t="n">
        <v>14221</v>
      </c>
      <c r="C12" s="5" t="n">
        <v>9631</v>
      </c>
      <c r="D12" s="5" t="n">
        <v>13680</v>
      </c>
      <c r="E12" s="5" t="n">
        <v>15283</v>
      </c>
      <c r="F12" s="5" t="n">
        <v>14388</v>
      </c>
      <c r="G12" s="5" t="n">
        <v>10626</v>
      </c>
      <c r="H12" s="5" t="n">
        <v>10570</v>
      </c>
      <c r="I12" s="5" t="n">
        <v>13381</v>
      </c>
    </row>
    <row r="13">
      <c r="A13" s="6" t="inlineStr">
        <is>
          <t>Dealing profits</t>
        </is>
      </c>
      <c r="B13" s="6" t="n">
        <v>9461</v>
      </c>
      <c r="C13" s="6" t="n">
        <v>8778</v>
      </c>
      <c r="D13" s="6" t="n">
        <v>8551</v>
      </c>
      <c r="E13" s="6" t="n">
        <v>16696</v>
      </c>
      <c r="F13" s="6" t="n">
        <v>7542</v>
      </c>
      <c r="G13" s="6" t="n">
        <v>6264</v>
      </c>
      <c r="H13" s="6" t="n">
        <v>10890</v>
      </c>
      <c r="I13" s="6" t="n">
        <v>12878</v>
      </c>
    </row>
    <row r="14">
      <c r="A14" s="6" t="inlineStr">
        <is>
          <t>Other operating income/(expense)</t>
        </is>
      </c>
      <c r="B14" s="6" t="n">
        <v>12733</v>
      </c>
      <c r="C14" s="6" t="n">
        <v>6723</v>
      </c>
      <c r="D14" s="6" t="n">
        <v>9533</v>
      </c>
      <c r="E14" s="6" t="n">
        <v>-10227</v>
      </c>
      <c r="F14" s="6" t="n">
        <v>-5041</v>
      </c>
      <c r="G14" s="6" t="n">
        <v>4821</v>
      </c>
      <c r="H14" s="6" t="n">
        <v>477</v>
      </c>
      <c r="I14" s="6" t="n">
        <v>1925</v>
      </c>
    </row>
    <row r="15">
      <c r="A15" s="5" t="inlineStr">
        <is>
          <t>Total income</t>
        </is>
      </c>
      <c r="B15" s="5" t="n">
        <v>254627</v>
      </c>
      <c r="C15" s="5" t="n">
        <v>249401</v>
      </c>
      <c r="D15" s="5" t="n">
        <v>271696</v>
      </c>
      <c r="E15" s="5" t="n">
        <v>210468</v>
      </c>
      <c r="F15" s="5" t="n">
        <v>108812</v>
      </c>
      <c r="G15" s="5" t="n">
        <v>102606</v>
      </c>
      <c r="H15" s="5" t="n">
        <v>123974</v>
      </c>
      <c r="I15" s="5" t="n">
        <v>123506</v>
      </c>
    </row>
    <row r="16">
      <c r="A16" s="5" t="inlineStr">
        <is>
          <t>Operating expenses</t>
        </is>
      </c>
      <c r="B16" s="6" t="n"/>
      <c r="C16" s="6" t="n"/>
      <c r="D16" s="6" t="n"/>
      <c r="E16" s="6" t="n"/>
      <c r="F16" s="6" t="n"/>
      <c r="G16" s="6" t="n"/>
      <c r="H16" s="6" t="n"/>
      <c r="I16" s="6" t="n"/>
    </row>
    <row r="17">
      <c r="A17" s="6" t="inlineStr">
        <is>
          <t>Administrative expenses including staff costs</t>
        </is>
      </c>
      <c r="B17" s="6" t="n">
        <v>-179587</v>
      </c>
      <c r="C17" s="6" t="n">
        <v>-172087</v>
      </c>
      <c r="D17" s="6" t="n">
        <v>-176381</v>
      </c>
      <c r="E17" s="6" t="n">
        <v>-125030</v>
      </c>
      <c r="F17" s="6" t="n">
        <v>-79937</v>
      </c>
      <c r="G17" s="6" t="n">
        <v>-76184</v>
      </c>
      <c r="H17" s="6" t="n">
        <v>-78033</v>
      </c>
      <c r="I17" s="6" t="n">
        <v>-76529</v>
      </c>
    </row>
    <row r="18">
      <c r="A18" s="6" t="inlineStr">
        <is>
          <t>Amortisation</t>
        </is>
      </c>
      <c r="B18" s="6" t="n">
        <v>-8685</v>
      </c>
      <c r="C18" s="6" t="n">
        <v>-8608</v>
      </c>
      <c r="D18" s="6" t="n">
        <v>-8385</v>
      </c>
      <c r="E18" s="6" t="n">
        <v>-9483</v>
      </c>
      <c r="F18" s="6" t="n">
        <v>-9099</v>
      </c>
      <c r="G18" s="6" t="n">
        <v>-7626</v>
      </c>
      <c r="H18" s="6" t="n"/>
      <c r="I18" s="6" t="n"/>
    </row>
    <row r="19">
      <c r="A19" s="6" t="inlineStr">
        <is>
          <t>Depreciation</t>
        </is>
      </c>
      <c r="B19" s="6" t="n">
        <v>-2891</v>
      </c>
      <c r="C19" s="6" t="n">
        <v>-2750</v>
      </c>
      <c r="D19" s="6" t="n">
        <v>-2435</v>
      </c>
      <c r="E19" s="6" t="n">
        <v>-2053</v>
      </c>
      <c r="F19" s="6" t="n">
        <v>-1717</v>
      </c>
      <c r="G19" s="6" t="n">
        <v>-1964</v>
      </c>
      <c r="H19" s="6" t="n">
        <v>-8795</v>
      </c>
      <c r="I19" s="6" t="n">
        <v>-7018</v>
      </c>
    </row>
    <row r="20">
      <c r="A20" s="5" t="inlineStr">
        <is>
          <t>Total operating expenses</t>
        </is>
      </c>
      <c r="B20" s="5" t="n">
        <v>-191163</v>
      </c>
      <c r="C20" s="5" t="n">
        <v>-183445</v>
      </c>
      <c r="D20" s="5" t="n">
        <v>-187201</v>
      </c>
      <c r="E20" s="5" t="n">
        <v>-136566</v>
      </c>
      <c r="F20" s="5" t="n">
        <v>-90753</v>
      </c>
      <c r="G20" s="5" t="n">
        <v>-85774</v>
      </c>
      <c r="H20" s="5" t="n">
        <v>-86828</v>
      </c>
      <c r="I20" s="5" t="n">
        <v>-83547</v>
      </c>
    </row>
    <row r="21">
      <c r="A21" s="6" t="inlineStr">
        <is>
          <t>Impairment charge on loans and advances</t>
        </is>
      </c>
      <c r="B21" s="6" t="n">
        <v>-1278</v>
      </c>
      <c r="C21" s="6" t="n">
        <v>-2222</v>
      </c>
      <c r="D21" s="6" t="n">
        <v>-3659</v>
      </c>
      <c r="E21" s="6" t="n">
        <v>-6213</v>
      </c>
      <c r="F21" s="6" t="n">
        <v>-1522</v>
      </c>
      <c r="G21" s="6" t="n">
        <v>-730</v>
      </c>
      <c r="H21" s="6" t="n">
        <v>-15434</v>
      </c>
      <c r="I21" s="6" t="n">
        <v>-7544</v>
      </c>
    </row>
    <row r="22">
      <c r="A22" s="5" t="inlineStr">
        <is>
          <t>Profit before taxation</t>
        </is>
      </c>
      <c r="B22" s="5" t="n">
        <v>62186</v>
      </c>
      <c r="C22" s="5" t="n">
        <v>63734</v>
      </c>
      <c r="D22" s="5" t="n">
        <v>80836</v>
      </c>
      <c r="E22" s="5" t="n">
        <v>67689</v>
      </c>
      <c r="F22" s="5" t="n">
        <v>16537</v>
      </c>
      <c r="G22" s="5" t="n">
        <v>16102</v>
      </c>
      <c r="H22" s="5" t="n">
        <v>21712</v>
      </c>
      <c r="I22" s="5" t="n">
        <v>32473</v>
      </c>
    </row>
    <row r="23">
      <c r="A23" s="6" t="inlineStr">
        <is>
          <t>Tax on profit</t>
        </is>
      </c>
      <c r="B23" s="6" t="n">
        <v>-15103</v>
      </c>
      <c r="C23" s="6" t="n">
        <v>-16958</v>
      </c>
      <c r="D23" s="6" t="n">
        <v>-15437</v>
      </c>
      <c r="E23" s="6" t="n">
        <v>-17485</v>
      </c>
      <c r="F23" s="6" t="n">
        <v>-3794</v>
      </c>
      <c r="G23" s="6" t="n">
        <v>-3848</v>
      </c>
      <c r="H23" s="6" t="n">
        <v>-4053</v>
      </c>
      <c r="I23" s="6" t="n">
        <v>-6713</v>
      </c>
    </row>
    <row r="24">
      <c r="A24" s="5" t="inlineStr">
        <is>
          <t>Profit for the financial year</t>
        </is>
      </c>
      <c r="B24" s="5" t="n">
        <v>47083</v>
      </c>
      <c r="C24" s="5" t="n">
        <v>46776</v>
      </c>
      <c r="D24" s="5" t="n">
        <v>65399</v>
      </c>
      <c r="E24" s="5" t="n">
        <v>50204</v>
      </c>
      <c r="F24" s="5" t="n">
        <v>12743</v>
      </c>
      <c r="G24" s="5" t="n">
        <v>12254</v>
      </c>
      <c r="H24" s="5" t="n">
        <v>17659</v>
      </c>
      <c r="I24" s="5" t="n">
        <v>25760</v>
      </c>
    </row>
    <row r="25">
      <c r="A25" s="5" t="inlineStr">
        <is>
          <t>Other comprehensive income/(expense)</t>
        </is>
      </c>
      <c r="B25" s="6" t="n"/>
      <c r="C25" s="6" t="n"/>
      <c r="D25" s="6" t="n"/>
      <c r="E25" s="6" t="n"/>
      <c r="F25" s="6" t="n"/>
      <c r="G25" s="6" t="n"/>
      <c r="H25" s="6" t="n"/>
      <c r="I25" s="6" t="n"/>
    </row>
    <row r="26">
      <c r="A26" s="6" t="inlineStr">
        <is>
          <t>Remeasurement of retirement benefit obligations</t>
        </is>
      </c>
      <c r="B26" s="6" t="n"/>
      <c r="C26" s="6" t="n">
        <v>-172</v>
      </c>
      <c r="D26" s="6" t="n">
        <v>-11570</v>
      </c>
      <c r="E26" s="6" t="n">
        <v>-6247</v>
      </c>
      <c r="F26" s="6" t="n">
        <v>5802</v>
      </c>
      <c r="G26" s="6" t="n">
        <v>-6526</v>
      </c>
      <c r="H26" s="6" t="n">
        <v>9502</v>
      </c>
      <c r="I26" s="6" t="n">
        <v>-9867</v>
      </c>
    </row>
    <row r="27">
      <c r="A27" s="6" t="inlineStr">
        <is>
          <t>Deferred tax arising on pension scheme</t>
        </is>
      </c>
      <c r="B27" s="6" t="n"/>
      <c r="C27" s="6" t="n">
        <v>-27</v>
      </c>
      <c r="D27" s="6" t="n">
        <v>991</v>
      </c>
      <c r="E27" s="6" t="n">
        <v>1562</v>
      </c>
      <c r="F27" s="6" t="n">
        <v>-1672</v>
      </c>
      <c r="G27" s="6" t="n">
        <v>1036</v>
      </c>
      <c r="H27" s="6" t="n">
        <v>-1614</v>
      </c>
      <c r="I27" s="6" t="n">
        <v>1677</v>
      </c>
    </row>
    <row r="28">
      <c r="A28" s="6" t="inlineStr">
        <is>
          <t>Revaluation gain/(loss) of property and heritage assets</t>
        </is>
      </c>
      <c r="B28" s="6" t="n">
        <v>-833</v>
      </c>
      <c r="C28" s="6" t="n">
        <v>-11</v>
      </c>
      <c r="D28" s="6" t="n">
        <v>-638</v>
      </c>
      <c r="E28" s="6" t="n">
        <v>-5165</v>
      </c>
      <c r="F28" s="6" t="n">
        <v>4895</v>
      </c>
      <c r="G28" s="6" t="n">
        <v>-2275</v>
      </c>
      <c r="H28" s="6" t="n">
        <v>-3866</v>
      </c>
      <c r="I28" s="6" t="n">
        <v>1648</v>
      </c>
    </row>
    <row r="29">
      <c r="A29" s="6" t="inlineStr">
        <is>
          <t>Deferred tax on valuation gain/(loss)</t>
        </is>
      </c>
      <c r="B29" s="6" t="n">
        <v>208</v>
      </c>
      <c r="C29" s="6" t="n">
        <v>3</v>
      </c>
      <c r="D29" s="6" t="n">
        <v>160</v>
      </c>
      <c r="E29" s="6" t="n">
        <v>1291</v>
      </c>
      <c r="F29" s="6" t="n">
        <v>-3801</v>
      </c>
      <c r="G29" s="6" t="n">
        <v>-472</v>
      </c>
      <c r="H29" s="6" t="n">
        <v>657</v>
      </c>
      <c r="I29" s="6" t="n">
        <v>-280</v>
      </c>
    </row>
    <row r="30">
      <c r="A30" s="5" t="inlineStr">
        <is>
          <t>Other comprehensive income/(expense), net of tax</t>
        </is>
      </c>
      <c r="B30" s="5" t="n">
        <v>-625</v>
      </c>
      <c r="C30" s="5" t="n">
        <v>-207</v>
      </c>
      <c r="D30" s="5" t="n">
        <v>-11057</v>
      </c>
      <c r="E30" s="5" t="n">
        <v>-8559</v>
      </c>
      <c r="F30" s="5" t="n">
        <v>5224</v>
      </c>
      <c r="G30" s="5" t="n">
        <v>-8237</v>
      </c>
      <c r="H30" s="5" t="n">
        <v>4679</v>
      </c>
      <c r="I30" s="5" t="n">
        <v>-6822</v>
      </c>
    </row>
    <row r="31">
      <c r="A31" s="5" t="inlineStr">
        <is>
          <t>Total comprehensive income for the year</t>
        </is>
      </c>
      <c r="B31" s="5" t="n">
        <v>46458</v>
      </c>
      <c r="C31" s="5" t="n">
        <v>46569</v>
      </c>
      <c r="D31" s="5" t="n">
        <v>54342</v>
      </c>
      <c r="E31" s="5" t="n">
        <v>41645</v>
      </c>
      <c r="F31" s="5" t="n">
        <v>17967</v>
      </c>
      <c r="G31" s="5" t="n">
        <v>4017</v>
      </c>
      <c r="H31" s="5" t="n">
        <v>22338</v>
      </c>
      <c r="I31" s="5" t="n">
        <v>18938</v>
      </c>
    </row>
    <row r="33" ht="380" customHeight="1">
      <c r="A3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 Hoare &amp; Co. — Consolidated Statement of Changes in Equity</t>
        </is>
      </c>
    </row>
    <row r="2">
      <c r="A2" s="2" t="inlineStr">
        <is>
          <t>Group column, £'000. Chronological roll-forward, oldest to newest.</t>
        </is>
      </c>
    </row>
    <row r="3">
      <c r="A3" s="4" t="inlineStr">
        <is>
          <t>Movement</t>
        </is>
      </c>
      <c r="B3" s="4" t="inlineStr">
        <is>
          <t>Called up Share Capital</t>
        </is>
      </c>
      <c r="C3" s="4" t="inlineStr">
        <is>
          <t>Reserve Fund</t>
        </is>
      </c>
      <c r="D3" s="4" t="inlineStr">
        <is>
          <t>Revaluation Reserves</t>
        </is>
      </c>
      <c r="E3" s="4" t="inlineStr">
        <is>
          <t>Retained Earnings</t>
        </is>
      </c>
      <c r="F3" s="4" t="inlineStr">
        <is>
          <t>Total Equity</t>
        </is>
      </c>
    </row>
    <row r="4">
      <c r="A4" s="5" t="inlineStr">
        <is>
          <t>Balance as at 1 April 2018</t>
        </is>
      </c>
      <c r="B4" s="5" t="n">
        <v>120</v>
      </c>
      <c r="C4" s="5" t="n">
        <v>22598</v>
      </c>
      <c r="D4" s="5" t="n">
        <v>43122</v>
      </c>
      <c r="E4" s="5" t="n">
        <v>286617</v>
      </c>
      <c r="F4" s="5" t="n">
        <v>352457</v>
      </c>
    </row>
    <row r="5">
      <c r="A5" s="6" t="inlineStr">
        <is>
          <t>Profit for the year (FY2019)</t>
        </is>
      </c>
      <c r="B5" s="6" t="n"/>
      <c r="C5" s="6" t="n"/>
      <c r="D5" s="6" t="n"/>
      <c r="E5" s="6" t="n">
        <v>25760</v>
      </c>
      <c r="F5" s="6" t="n">
        <v>25760</v>
      </c>
    </row>
    <row r="6">
      <c r="A6" s="6" t="inlineStr">
        <is>
          <t>Other comprehensive expense, net of tax (FY2019)</t>
        </is>
      </c>
      <c r="B6" s="6" t="n"/>
      <c r="C6" s="6" t="n"/>
      <c r="D6" s="6" t="n">
        <v>-2382</v>
      </c>
      <c r="E6" s="6" t="n">
        <v>-4440</v>
      </c>
      <c r="F6" s="6" t="n">
        <v>-6822</v>
      </c>
    </row>
    <row r="7">
      <c r="A7" s="6" t="inlineStr">
        <is>
          <t>Dividends (FY2019)</t>
        </is>
      </c>
      <c r="B7" s="6" t="n"/>
      <c r="C7" s="6" t="n"/>
      <c r="D7" s="6" t="n"/>
      <c r="E7" s="6" t="n">
        <v>-6</v>
      </c>
      <c r="F7" s="6" t="n">
        <v>-6</v>
      </c>
    </row>
    <row r="8">
      <c r="A8" s="5" t="inlineStr">
        <is>
          <t>Balance as at 31 March 2019</t>
        </is>
      </c>
      <c r="B8" s="5" t="n">
        <v>120</v>
      </c>
      <c r="C8" s="5" t="n">
        <v>22598</v>
      </c>
      <c r="D8" s="5" t="n">
        <v>40740</v>
      </c>
      <c r="E8" s="5" t="n">
        <v>307931</v>
      </c>
      <c r="F8" s="5" t="n">
        <v>371389</v>
      </c>
    </row>
    <row r="9">
      <c r="A9" s="6" t="inlineStr">
        <is>
          <t>Profit for the year (FY2020)</t>
        </is>
      </c>
      <c r="B9" s="6" t="n"/>
      <c r="C9" s="6" t="n"/>
      <c r="D9" s="6" t="n"/>
      <c r="E9" s="6" t="n">
        <v>17659</v>
      </c>
      <c r="F9" s="6" t="n">
        <v>17659</v>
      </c>
    </row>
    <row r="10">
      <c r="A10" s="6" t="inlineStr">
        <is>
          <t>Other comprehensive income, net of tax (FY2020)</t>
        </is>
      </c>
      <c r="B10" s="6" t="n"/>
      <c r="C10" s="6" t="n"/>
      <c r="D10" s="6" t="n">
        <v>-3209</v>
      </c>
      <c r="E10" s="6" t="n">
        <v>25547</v>
      </c>
      <c r="F10" s="6" t="n">
        <v>22338</v>
      </c>
    </row>
    <row r="11">
      <c r="A11" s="6" t="inlineStr">
        <is>
          <t>Dividends (FY2020)</t>
        </is>
      </c>
      <c r="B11" s="6" t="n"/>
      <c r="C11" s="6" t="n"/>
      <c r="D11" s="6" t="n"/>
      <c r="E11" s="6" t="n">
        <v>-6</v>
      </c>
      <c r="F11" s="6" t="n">
        <v>-6</v>
      </c>
    </row>
    <row r="12">
      <c r="A12" s="5" t="inlineStr">
        <is>
          <t>Balance as at 31 March 2020</t>
        </is>
      </c>
      <c r="B12" s="5" t="n">
        <v>120</v>
      </c>
      <c r="C12" s="5" t="n">
        <v>22598</v>
      </c>
      <c r="D12" s="5" t="n">
        <v>37531</v>
      </c>
      <c r="E12" s="5" t="n">
        <v>333472</v>
      </c>
      <c r="F12" s="5" t="n">
        <v>393721</v>
      </c>
    </row>
    <row r="13">
      <c r="A13" s="6" t="inlineStr">
        <is>
          <t>Profit for the year (FY2021)</t>
        </is>
      </c>
      <c r="B13" s="6" t="n"/>
      <c r="C13" s="6" t="n"/>
      <c r="D13" s="6" t="n"/>
      <c r="E13" s="6" t="n">
        <v>12254</v>
      </c>
      <c r="F13" s="6" t="n">
        <v>12254</v>
      </c>
    </row>
    <row r="14">
      <c r="A14" s="6" t="inlineStr">
        <is>
          <t>Other comprehensive expense, net of tax (FY2021)</t>
        </is>
      </c>
      <c r="B14" s="6" t="n"/>
      <c r="C14" s="6" t="n"/>
      <c r="D14" s="6" t="n">
        <v>-2747</v>
      </c>
      <c r="E14" s="6" t="n">
        <v>-548</v>
      </c>
      <c r="F14" s="6" t="n">
        <v>-3295</v>
      </c>
    </row>
    <row r="15">
      <c r="A15" s="6" t="inlineStr">
        <is>
          <t>Dividends (FY2021)</t>
        </is>
      </c>
      <c r="B15" s="6" t="n"/>
      <c r="C15" s="6" t="n"/>
      <c r="D15" s="6" t="n"/>
      <c r="E15" s="6" t="n">
        <v>-6</v>
      </c>
      <c r="F15" s="6" t="n">
        <v>-6</v>
      </c>
    </row>
    <row r="16">
      <c r="A16" s="5" t="inlineStr">
        <is>
          <t>Balance as at 31 March 2021</t>
        </is>
      </c>
      <c r="B16" s="5" t="n">
        <v>120</v>
      </c>
      <c r="C16" s="5" t="n">
        <v>22598</v>
      </c>
      <c r="D16" s="5" t="n">
        <v>34784</v>
      </c>
      <c r="E16" s="5" t="n">
        <v>340230</v>
      </c>
      <c r="F16" s="5" t="n">
        <v>397732</v>
      </c>
    </row>
    <row r="17">
      <c r="A17" s="5" t="inlineStr">
        <is>
          <t>Balance as at 1 April 2021</t>
        </is>
      </c>
      <c r="B17" s="5" t="n">
        <v>120</v>
      </c>
      <c r="C17" s="5" t="n">
        <v>22598</v>
      </c>
      <c r="D17" s="5" t="n">
        <v>34784</v>
      </c>
      <c r="E17" s="5" t="n">
        <v>340230</v>
      </c>
      <c r="F17" s="5" t="n">
        <v>397732</v>
      </c>
    </row>
    <row r="18">
      <c r="A18" s="6" t="inlineStr">
        <is>
          <t>Profit for the year (FY2022)</t>
        </is>
      </c>
      <c r="B18" s="6" t="n"/>
      <c r="C18" s="6" t="n"/>
      <c r="D18" s="6" t="n"/>
      <c r="E18" s="6" t="n">
        <v>12743</v>
      </c>
      <c r="F18" s="6" t="n">
        <v>12743</v>
      </c>
    </row>
    <row r="19">
      <c r="A19" s="6" t="inlineStr">
        <is>
          <t>Other comprehensive income, net of tax (FY2022)</t>
        </is>
      </c>
      <c r="B19" s="6" t="n"/>
      <c r="C19" s="6" t="n"/>
      <c r="D19" s="6" t="n">
        <v>1094</v>
      </c>
      <c r="E19" s="6" t="n">
        <v>4130</v>
      </c>
      <c r="F19" s="6" t="n">
        <v>5224</v>
      </c>
    </row>
    <row r="20">
      <c r="A20" s="6" t="inlineStr">
        <is>
          <t>Dividends (FY2022)</t>
        </is>
      </c>
      <c r="B20" s="6" t="n"/>
      <c r="C20" s="6" t="n"/>
      <c r="D20" s="6" t="n"/>
      <c r="E20" s="6" t="n">
        <v>-6</v>
      </c>
      <c r="F20" s="6" t="n">
        <v>-6</v>
      </c>
    </row>
    <row r="21">
      <c r="A21" s="5" t="inlineStr">
        <is>
          <t>Balance as at 31 March 2022</t>
        </is>
      </c>
      <c r="B21" s="5" t="n">
        <v>120</v>
      </c>
      <c r="C21" s="5" t="n">
        <v>22598</v>
      </c>
      <c r="D21" s="5" t="n">
        <v>35878</v>
      </c>
      <c r="E21" s="5" t="n">
        <v>357097</v>
      </c>
      <c r="F21" s="5" t="n">
        <v>415693</v>
      </c>
    </row>
    <row r="22">
      <c r="A22" s="6" t="inlineStr">
        <is>
          <t>Profit for the year (FY2023)</t>
        </is>
      </c>
      <c r="B22" s="6" t="n"/>
      <c r="C22" s="6" t="n"/>
      <c r="D22" s="6" t="n"/>
      <c r="E22" s="6" t="n">
        <v>50204</v>
      </c>
      <c r="F22" s="6" t="n">
        <v>50204</v>
      </c>
    </row>
    <row r="23">
      <c r="A23" s="6" t="inlineStr">
        <is>
          <t>Other comprehensive expense, net of tax (FY2023)</t>
        </is>
      </c>
      <c r="B23" s="6" t="n"/>
      <c r="C23" s="6" t="n"/>
      <c r="D23" s="6" t="n">
        <v>-3874</v>
      </c>
      <c r="E23" s="6" t="n">
        <v>-4685</v>
      </c>
      <c r="F23" s="6" t="n">
        <v>-8559</v>
      </c>
    </row>
    <row r="24">
      <c r="A24" s="6" t="inlineStr">
        <is>
          <t>Dividends (FY2023)</t>
        </is>
      </c>
      <c r="B24" s="6" t="n"/>
      <c r="C24" s="6" t="n"/>
      <c r="D24" s="6" t="n"/>
      <c r="E24" s="6" t="n">
        <v>-6</v>
      </c>
      <c r="F24" s="6" t="n">
        <v>-6</v>
      </c>
    </row>
    <row r="25">
      <c r="A25" s="5" t="inlineStr">
        <is>
          <t>Balance as at 31 March 2023</t>
        </is>
      </c>
      <c r="B25" s="5" t="n">
        <v>120</v>
      </c>
      <c r="C25" s="5" t="n">
        <v>22598</v>
      </c>
      <c r="D25" s="5" t="n">
        <v>32004</v>
      </c>
      <c r="E25" s="5" t="n">
        <v>402610</v>
      </c>
      <c r="F25" s="5" t="n">
        <v>457332</v>
      </c>
    </row>
    <row r="26">
      <c r="A26" s="6" t="inlineStr">
        <is>
          <t>Profit for the year (FY2024)</t>
        </is>
      </c>
      <c r="B26" s="6" t="n"/>
      <c r="C26" s="6" t="n"/>
      <c r="D26" s="6" t="n"/>
      <c r="E26" s="6" t="n">
        <v>65399</v>
      </c>
      <c r="F26" s="6" t="n">
        <v>65399</v>
      </c>
    </row>
    <row r="27">
      <c r="A27" s="6" t="inlineStr">
        <is>
          <t>Other comprehensive expense, net of tax (FY2024)</t>
        </is>
      </c>
      <c r="B27" s="6" t="n"/>
      <c r="C27" s="6" t="n"/>
      <c r="D27" s="6" t="n">
        <v>-478</v>
      </c>
      <c r="E27" s="6" t="n">
        <v>-10579</v>
      </c>
      <c r="F27" s="6" t="n">
        <v>-11057</v>
      </c>
    </row>
    <row r="28">
      <c r="A28" s="6" t="inlineStr">
        <is>
          <t>Dividends (FY2024)</t>
        </is>
      </c>
      <c r="B28" s="6" t="n"/>
      <c r="C28" s="6" t="n"/>
      <c r="D28" s="6" t="n"/>
      <c r="E28" s="6" t="n">
        <v>-6</v>
      </c>
      <c r="F28" s="6" t="n">
        <v>-6</v>
      </c>
    </row>
    <row r="29">
      <c r="A29" s="5" t="inlineStr">
        <is>
          <t>Balance as at 31 March 2024</t>
        </is>
      </c>
      <c r="B29" s="5" t="n">
        <v>120</v>
      </c>
      <c r="C29" s="5" t="n">
        <v>22598</v>
      </c>
      <c r="D29" s="5" t="n">
        <v>31526</v>
      </c>
      <c r="E29" s="5" t="n">
        <v>457424</v>
      </c>
      <c r="F29" s="5" t="n">
        <v>511668</v>
      </c>
    </row>
    <row r="30">
      <c r="A30" s="6" t="inlineStr">
        <is>
          <t>Profit for the year (FY2025)</t>
        </is>
      </c>
      <c r="B30" s="6" t="n"/>
      <c r="C30" s="6" t="n"/>
      <c r="D30" s="6" t="n"/>
      <c r="E30" s="6" t="n">
        <v>46776</v>
      </c>
      <c r="F30" s="6" t="n">
        <v>46776</v>
      </c>
    </row>
    <row r="31">
      <c r="A31" s="6" t="inlineStr">
        <is>
          <t>Other comprehensive expense, net of tax (FY2025)</t>
        </is>
      </c>
      <c r="B31" s="6" t="n"/>
      <c r="C31" s="6" t="n"/>
      <c r="D31" s="6" t="n">
        <v>-8</v>
      </c>
      <c r="E31" s="6" t="n">
        <v>-199</v>
      </c>
      <c r="F31" s="6" t="n">
        <v>-207</v>
      </c>
    </row>
    <row r="32">
      <c r="A32" s="6" t="inlineStr">
        <is>
          <t>Dividends (FY2025)</t>
        </is>
      </c>
      <c r="B32" s="6" t="n"/>
      <c r="C32" s="6" t="n"/>
      <c r="D32" s="6" t="n"/>
      <c r="E32" s="6" t="n">
        <v>-6</v>
      </c>
      <c r="F32" s="6" t="n">
        <v>-6</v>
      </c>
    </row>
    <row r="33">
      <c r="A33" s="5" t="inlineStr">
        <is>
          <t>Balance as at 31 March 2025</t>
        </is>
      </c>
      <c r="B33" s="5" t="n">
        <v>120</v>
      </c>
      <c r="C33" s="5" t="n">
        <v>22598</v>
      </c>
      <c r="D33" s="5" t="n">
        <v>31518</v>
      </c>
      <c r="E33" s="5" t="n">
        <v>503995</v>
      </c>
      <c r="F33" s="5" t="n">
        <v>558231</v>
      </c>
    </row>
    <row r="34">
      <c r="A34" s="6" t="inlineStr">
        <is>
          <t>Profit for the year (FY2026)</t>
        </is>
      </c>
      <c r="B34" s="6" t="n"/>
      <c r="C34" s="6" t="n"/>
      <c r="D34" s="6" t="n"/>
      <c r="E34" s="6" t="n">
        <v>47083</v>
      </c>
      <c r="F34" s="6" t="n">
        <v>47083</v>
      </c>
    </row>
    <row r="35">
      <c r="A35" s="6" t="inlineStr">
        <is>
          <t>Other comprehensive expense, net of tax (FY2026)</t>
        </is>
      </c>
      <c r="B35" s="6" t="n"/>
      <c r="C35" s="6" t="n"/>
      <c r="D35" s="6" t="n">
        <v>-625</v>
      </c>
      <c r="E35" s="6" t="n">
        <v>0</v>
      </c>
      <c r="F35" s="6" t="n">
        <v>-625</v>
      </c>
    </row>
    <row r="36">
      <c r="A36" s="6" t="inlineStr">
        <is>
          <t>Dividends (FY2026)</t>
        </is>
      </c>
      <c r="B36" s="6" t="n"/>
      <c r="C36" s="6" t="n"/>
      <c r="D36" s="6" t="n"/>
      <c r="E36" s="6" t="n">
        <v>-6</v>
      </c>
      <c r="F36" s="6" t="n">
        <v>-6</v>
      </c>
    </row>
    <row r="37">
      <c r="A37" s="5" t="inlineStr">
        <is>
          <t>Balance as at 31 March 2026</t>
        </is>
      </c>
      <c r="B37" s="5" t="n">
        <v>120</v>
      </c>
      <c r="C37" s="5" t="n">
        <v>22598</v>
      </c>
      <c r="D37" s="5" t="n">
        <v>30893</v>
      </c>
      <c r="E37" s="5" t="n">
        <v>551072</v>
      </c>
      <c r="F37" s="5" t="n">
        <v>604683</v>
      </c>
    </row>
    <row r="39" ht="380" customHeight="1">
      <c r="A39"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Cash Flow Statement</t>
        </is>
      </c>
    </row>
    <row r="2">
      <c r="A2" s="2" t="inlineStr">
        <is>
          <t>Consolidated Group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Operating activities</t>
        </is>
      </c>
      <c r="B4" s="6" t="n"/>
      <c r="C4" s="6" t="n"/>
      <c r="D4" s="6" t="n"/>
      <c r="E4" s="6" t="n"/>
      <c r="F4" s="6" t="n"/>
      <c r="G4" s="6" t="n"/>
      <c r="H4" s="6" t="n"/>
      <c r="I4" s="6" t="n"/>
    </row>
    <row r="5">
      <c r="A5" s="6" t="inlineStr">
        <is>
          <t>Net cash from/(used in) operating activities (before tax)</t>
        </is>
      </c>
      <c r="B5" s="6" t="n">
        <v>87472</v>
      </c>
      <c r="C5" s="6" t="n">
        <v>333415</v>
      </c>
      <c r="D5" s="6" t="n">
        <v>-94951</v>
      </c>
      <c r="E5" s="6" t="n">
        <v>-418678</v>
      </c>
      <c r="F5" s="6" t="n">
        <v>1121381</v>
      </c>
      <c r="G5" s="6" t="n">
        <v>830193</v>
      </c>
      <c r="H5" s="6" t="n">
        <v>154741</v>
      </c>
      <c r="I5" s="6" t="n">
        <v>465462</v>
      </c>
    </row>
    <row r="6">
      <c r="A6" s="6" t="inlineStr">
        <is>
          <t>Taxation paid</t>
        </is>
      </c>
      <c r="B6" s="6" t="n">
        <v>-12154</v>
      </c>
      <c r="C6" s="6" t="n">
        <v>-11881</v>
      </c>
      <c r="D6" s="6" t="n">
        <v>-15618</v>
      </c>
      <c r="E6" s="6" t="n">
        <v>-17355</v>
      </c>
      <c r="F6" s="6" t="n">
        <v>-4932</v>
      </c>
      <c r="G6" s="6" t="n">
        <v>-3329</v>
      </c>
      <c r="H6" s="6" t="n">
        <v>-7851</v>
      </c>
      <c r="I6" s="6" t="n">
        <v>-7243</v>
      </c>
    </row>
    <row r="7">
      <c r="A7" s="5" t="inlineStr">
        <is>
          <t>Net cash from/(used in) operating activities</t>
        </is>
      </c>
      <c r="B7" s="5" t="n">
        <v>75318</v>
      </c>
      <c r="C7" s="5" t="n">
        <v>321534</v>
      </c>
      <c r="D7" s="5" t="n">
        <v>-110569</v>
      </c>
      <c r="E7" s="5" t="n">
        <v>-436033</v>
      </c>
      <c r="F7" s="5" t="n">
        <v>1116449</v>
      </c>
      <c r="G7" s="5" t="n">
        <v>826864</v>
      </c>
      <c r="H7" s="5" t="n">
        <v>146890</v>
      </c>
      <c r="I7" s="5" t="n">
        <v>458219</v>
      </c>
    </row>
    <row r="8">
      <c r="A8" s="5" t="inlineStr">
        <is>
          <t>Investing activities</t>
        </is>
      </c>
      <c r="B8" s="6" t="n"/>
      <c r="C8" s="6" t="n"/>
      <c r="D8" s="6" t="n"/>
      <c r="E8" s="6" t="n"/>
      <c r="F8" s="6" t="n"/>
      <c r="G8" s="6" t="n"/>
      <c r="H8" s="6" t="n"/>
      <c r="I8" s="6" t="n"/>
    </row>
    <row r="9">
      <c r="A9" s="6" t="inlineStr">
        <is>
          <t>Purchase of investment securities</t>
        </is>
      </c>
      <c r="B9" s="6" t="n">
        <v>-1648567</v>
      </c>
      <c r="C9" s="6" t="n">
        <v>-779143</v>
      </c>
      <c r="D9" s="6" t="n">
        <v>-1648464</v>
      </c>
      <c r="E9" s="6" t="n">
        <v>-1562892</v>
      </c>
      <c r="F9" s="6" t="n">
        <v>-3121342</v>
      </c>
      <c r="G9" s="6" t="n">
        <v>-1647128</v>
      </c>
      <c r="H9" s="6" t="n">
        <v>-2318017</v>
      </c>
      <c r="I9" s="6" t="n">
        <v>-2292637</v>
      </c>
    </row>
    <row r="10">
      <c r="A10" s="6" t="inlineStr">
        <is>
          <t>Sale and maturity of investment securities</t>
        </is>
      </c>
      <c r="B10" s="6" t="n">
        <v>1064233</v>
      </c>
      <c r="C10" s="6" t="n">
        <v>684225</v>
      </c>
      <c r="D10" s="6" t="n">
        <v>1614146</v>
      </c>
      <c r="E10" s="6" t="n">
        <v>1640306</v>
      </c>
      <c r="F10" s="6" t="n">
        <v>2122564</v>
      </c>
      <c r="G10" s="6" t="n">
        <v>1407391</v>
      </c>
      <c r="H10" s="6" t="n">
        <v>1815052</v>
      </c>
      <c r="I10" s="6" t="n">
        <v>2194962</v>
      </c>
    </row>
    <row r="11">
      <c r="A11" s="6" t="inlineStr">
        <is>
          <t>Purchase of bulk annuity policy</t>
        </is>
      </c>
      <c r="B11" s="6" t="n"/>
      <c r="C11" s="6" t="n">
        <v>-278</v>
      </c>
      <c r="D11" s="6" t="n">
        <v>-7191</v>
      </c>
      <c r="E11" s="6" t="n"/>
      <c r="F11" s="6" t="n"/>
      <c r="G11" s="6" t="n"/>
      <c r="H11" s="6" t="n"/>
      <c r="I11" s="6" t="n"/>
    </row>
    <row r="12">
      <c r="A12" s="6" t="inlineStr">
        <is>
          <t>Purchase of intangible assets</t>
        </is>
      </c>
      <c r="B12" s="6" t="n">
        <v>-16598</v>
      </c>
      <c r="C12" s="6" t="n">
        <v>-23130</v>
      </c>
      <c r="D12" s="6" t="n">
        <v>-9220</v>
      </c>
      <c r="E12" s="6" t="n">
        <v>-8427</v>
      </c>
      <c r="F12" s="6" t="n">
        <v>-10853</v>
      </c>
      <c r="G12" s="6" t="n">
        <v>-1981</v>
      </c>
      <c r="H12" s="6" t="n"/>
      <c r="I12" s="6" t="n"/>
    </row>
    <row r="13">
      <c r="A13" s="6" t="inlineStr">
        <is>
          <t>Purchase of tangible fixed assets</t>
        </is>
      </c>
      <c r="B13" s="6" t="n">
        <v>-5725</v>
      </c>
      <c r="C13" s="6" t="n">
        <v>-6425</v>
      </c>
      <c r="D13" s="6" t="n">
        <v>-2671</v>
      </c>
      <c r="E13" s="6" t="n">
        <v>-4318</v>
      </c>
      <c r="F13" s="6" t="n">
        <v>-350</v>
      </c>
      <c r="G13" s="6" t="n">
        <v>-1316</v>
      </c>
      <c r="H13" s="6" t="n">
        <v>-12902</v>
      </c>
      <c r="I13" s="6" t="n">
        <v>-9451</v>
      </c>
    </row>
    <row r="14">
      <c r="A14" s="6" t="inlineStr">
        <is>
          <t>Purchase of heritage assets</t>
        </is>
      </c>
      <c r="B14" s="6" t="n">
        <v>-192</v>
      </c>
      <c r="C14" s="6" t="n">
        <v>-9</v>
      </c>
      <c r="D14" s="6" t="n">
        <v>-58</v>
      </c>
      <c r="E14" s="6" t="n">
        <v>-53</v>
      </c>
      <c r="F14" s="6" t="n"/>
      <c r="G14" s="6" t="n"/>
      <c r="H14" s="6" t="n"/>
      <c r="I14" s="6" t="n"/>
    </row>
    <row r="15">
      <c r="A15" s="6" t="inlineStr">
        <is>
          <t>Proceeds from sale of subsidiary</t>
        </is>
      </c>
      <c r="B15" s="6" t="n"/>
      <c r="C15" s="6" t="n">
        <v>745</v>
      </c>
      <c r="D15" s="6" t="n"/>
      <c r="E15" s="6" t="n"/>
      <c r="F15" s="6" t="n"/>
      <c r="G15" s="6" t="n"/>
      <c r="H15" s="6" t="n"/>
      <c r="I15" s="6" t="n"/>
    </row>
    <row r="16">
      <c r="A16" s="6" t="inlineStr">
        <is>
          <t>Proceeds from disposals of tangible assets</t>
        </is>
      </c>
      <c r="B16" s="6" t="n"/>
      <c r="C16" s="6" t="n"/>
      <c r="D16" s="6" t="n"/>
      <c r="E16" s="6" t="n"/>
      <c r="F16" s="6" t="n"/>
      <c r="G16" s="6" t="n">
        <v>1</v>
      </c>
      <c r="H16" s="6" t="n">
        <v>2</v>
      </c>
      <c r="I16" s="6" t="n"/>
    </row>
    <row r="17">
      <c r="A17" s="5" t="inlineStr">
        <is>
          <t>Net cash from/(used in) investing activities</t>
        </is>
      </c>
      <c r="B17" s="5" t="n">
        <v>-606849</v>
      </c>
      <c r="C17" s="5" t="n">
        <v>-124015</v>
      </c>
      <c r="D17" s="5" t="n">
        <v>-53458</v>
      </c>
      <c r="E17" s="5" t="n">
        <v>64616</v>
      </c>
      <c r="F17" s="5" t="n">
        <v>-1009981</v>
      </c>
      <c r="G17" s="5" t="n">
        <v>-243033</v>
      </c>
      <c r="H17" s="5" t="n">
        <v>-515865</v>
      </c>
      <c r="I17" s="5" t="n">
        <v>-107126</v>
      </c>
    </row>
    <row r="18">
      <c r="A18" s="5" t="inlineStr">
        <is>
          <t>Financing activities</t>
        </is>
      </c>
      <c r="B18" s="6" t="n"/>
      <c r="C18" s="6" t="n"/>
      <c r="D18" s="6" t="n"/>
      <c r="E18" s="6" t="n"/>
      <c r="F18" s="6" t="n"/>
      <c r="G18" s="6" t="n"/>
      <c r="H18" s="6" t="n"/>
      <c r="I18" s="6" t="n"/>
    </row>
    <row r="19">
      <c r="A19" s="6" t="inlineStr">
        <is>
          <t>Dividend paid</t>
        </is>
      </c>
      <c r="B19" s="6" t="n">
        <v>-6</v>
      </c>
      <c r="C19" s="6" t="n">
        <v>-6</v>
      </c>
      <c r="D19" s="6" t="n">
        <v>-6</v>
      </c>
      <c r="E19" s="6" t="n">
        <v>-6</v>
      </c>
      <c r="F19" s="6" t="n">
        <v>-6</v>
      </c>
      <c r="G19" s="6" t="n">
        <v>-6</v>
      </c>
      <c r="H19" s="6" t="n">
        <v>-6</v>
      </c>
      <c r="I19" s="6" t="n">
        <v>-6</v>
      </c>
    </row>
    <row r="20">
      <c r="A20" s="5" t="inlineStr">
        <is>
          <t>Net cash from/(used in) financing activities</t>
        </is>
      </c>
      <c r="B20" s="5" t="n">
        <v>-6</v>
      </c>
      <c r="C20" s="5" t="n">
        <v>-6</v>
      </c>
      <c r="D20" s="5" t="n">
        <v>-6</v>
      </c>
      <c r="E20" s="5" t="n">
        <v>-6</v>
      </c>
      <c r="F20" s="5" t="n">
        <v>-6</v>
      </c>
      <c r="G20" s="5" t="n">
        <v>-6</v>
      </c>
      <c r="H20" s="5" t="n">
        <v>-6</v>
      </c>
      <c r="I20" s="5" t="n">
        <v>-6</v>
      </c>
    </row>
    <row r="21">
      <c r="A21" s="5" t="inlineStr">
        <is>
          <t>Net (decrease)/increase in cash and cash equivalents</t>
        </is>
      </c>
      <c r="B21" s="5" t="n">
        <v>-531537</v>
      </c>
      <c r="C21" s="5" t="n">
        <v>197513</v>
      </c>
      <c r="D21" s="5" t="n">
        <v>-164034</v>
      </c>
      <c r="E21" s="5" t="n">
        <v>-371423</v>
      </c>
      <c r="F21" s="5" t="n">
        <v>106462</v>
      </c>
      <c r="G21" s="5" t="n">
        <v>583825</v>
      </c>
      <c r="H21" s="5" t="n">
        <v>-368981</v>
      </c>
      <c r="I21" s="5" t="n">
        <v>351087</v>
      </c>
    </row>
    <row r="22">
      <c r="A22" s="6" t="inlineStr">
        <is>
          <t>Cash and cash equivalents at the beginning of the year</t>
        </is>
      </c>
      <c r="B22" s="6" t="n">
        <v>1580850</v>
      </c>
      <c r="C22" s="6" t="n">
        <v>1382976</v>
      </c>
      <c r="D22" s="6" t="n">
        <v>1547010</v>
      </c>
      <c r="E22" s="6" t="n">
        <v>1918433</v>
      </c>
      <c r="F22" s="6" t="n">
        <v>1811971</v>
      </c>
      <c r="G22" s="6" t="n">
        <v>1228146</v>
      </c>
      <c r="H22" s="6" t="n">
        <v>1597127</v>
      </c>
      <c r="I22" s="6" t="n">
        <v>1246040</v>
      </c>
    </row>
    <row r="23">
      <c r="A23" s="6" t="inlineStr">
        <is>
          <t>Effect of exchange rate changes</t>
        </is>
      </c>
      <c r="B23" s="6" t="n">
        <v>-12</v>
      </c>
      <c r="C23" s="6" t="n">
        <v>361</v>
      </c>
      <c r="D23" s="6" t="n"/>
      <c r="E23" s="6" t="n"/>
      <c r="F23" s="6" t="n"/>
      <c r="G23" s="6" t="n"/>
      <c r="H23" s="6" t="n"/>
      <c r="I23" s="6" t="n"/>
    </row>
    <row r="24">
      <c r="A24" s="5" t="inlineStr">
        <is>
          <t>Cash and cash equivalents at the end of the year</t>
        </is>
      </c>
      <c r="B24" s="5" t="n">
        <v>1049301</v>
      </c>
      <c r="C24" s="5" t="n">
        <v>1580850</v>
      </c>
      <c r="D24" s="5" t="n">
        <v>1382976</v>
      </c>
      <c r="E24" s="5" t="n">
        <v>1547010</v>
      </c>
      <c r="F24" s="5" t="n">
        <v>1918433</v>
      </c>
      <c r="G24" s="5" t="n">
        <v>1811971</v>
      </c>
      <c r="H24" s="5" t="n">
        <v>1228146</v>
      </c>
      <c r="I24" s="5" t="n">
        <v>1597127</v>
      </c>
    </row>
    <row r="25">
      <c r="A25" s="5" t="inlineStr">
        <is>
          <t>Cash and cash equivalents comprise</t>
        </is>
      </c>
      <c r="B25" s="6" t="n"/>
      <c r="C25" s="6" t="n"/>
      <c r="D25" s="6" t="n"/>
      <c r="E25" s="6" t="n"/>
      <c r="F25" s="6" t="n"/>
      <c r="G25" s="6" t="n"/>
      <c r="H25" s="6" t="n"/>
      <c r="I25" s="6" t="n"/>
    </row>
    <row r="26">
      <c r="A26" s="6" t="inlineStr">
        <is>
          <t>Cash at bank and in hand</t>
        </is>
      </c>
      <c r="B26" s="6" t="n">
        <v>896317</v>
      </c>
      <c r="C26" s="6" t="n">
        <v>1548443</v>
      </c>
      <c r="D26" s="6" t="n">
        <v>1345322</v>
      </c>
      <c r="E26" s="6" t="n">
        <v>1452949</v>
      </c>
      <c r="F26" s="6" t="n">
        <v>1843378</v>
      </c>
      <c r="G26" s="6" t="n">
        <v>1709735</v>
      </c>
      <c r="H26" s="6" t="n">
        <v>1161138</v>
      </c>
      <c r="I26" s="6" t="n">
        <v>1525359</v>
      </c>
    </row>
    <row r="27">
      <c r="A27" s="6" t="inlineStr">
        <is>
          <t>Short term deposits</t>
        </is>
      </c>
      <c r="B27" s="6" t="n">
        <v>152984</v>
      </c>
      <c r="C27" s="6" t="n">
        <v>32407</v>
      </c>
      <c r="D27" s="6" t="n">
        <v>37654</v>
      </c>
      <c r="E27" s="6" t="n">
        <v>94061</v>
      </c>
      <c r="F27" s="6" t="n">
        <v>75055</v>
      </c>
      <c r="G27" s="6" t="n">
        <v>102236</v>
      </c>
      <c r="H27" s="6" t="n">
        <v>67008</v>
      </c>
      <c r="I27" s="6" t="n">
        <v>71768</v>
      </c>
    </row>
    <row r="28">
      <c r="A28" s="5" t="inlineStr">
        <is>
          <t>Cash and cash equivalents</t>
        </is>
      </c>
      <c r="B28" s="5" t="n">
        <v>1049301</v>
      </c>
      <c r="C28" s="5" t="n">
        <v>1580850</v>
      </c>
      <c r="D28" s="5" t="n">
        <v>1382976</v>
      </c>
      <c r="E28" s="5" t="n">
        <v>1547010</v>
      </c>
      <c r="F28" s="5" t="n">
        <v>1918433</v>
      </c>
      <c r="G28" s="5" t="n">
        <v>1811971</v>
      </c>
      <c r="H28" s="5" t="n">
        <v>1228146</v>
      </c>
      <c r="I28" s="5" t="n">
        <v>1597127</v>
      </c>
    </row>
    <row r="30" ht="280" customHeight="1">
      <c r="A30" s="8" t="inlineStr">
        <is>
          <t>Sources - C. Hoare &amp; Co.'s own Consolidated Cash Flow Statement, each year from its own year's Financial Report (not a later comparative):
FY2026: Financial Report 2026, p.53 (Consolidated Cash Flow Statement) - https://www.hoaresbank.co.uk/files/2026-06/Financial_Report_2026.pdf
FY2025: Financial Report 2025, p.39 (Consolidated Cash Flow Statement) - https://www.hoaresbank.co.uk/files/2025-07/Financial_Report_2025.pdf
FY2024: Financial Report 2024, p.41 (Consolidated Cash Flow Statement) - https://www.hoaresbank.co.uk/files/2024-06/Financial_Report_2024.pdf
FY2023: Financial Report 2023, p.37 (Consolidated Cash Flow Statement) - https://www.hoaresbank.co.uk/files/2023-07/Financial_Report_2023.pdf
FY2022: Annual Report 2022, p.36 (Consolidated Cash Flow Statement) - https://www.hoaresbank.co.uk/files/2022-07/Annual_Report_2022.pdf
FY2021: Annual Report 2021, p.36 (Consolidated Cash Flow Statement) - https://www.hoaresbank.co.uk/files/2021-10/CHC_Cons_Accounts21.pdf
FY2020: Annual Report 2020, p.33 (Consolidated Cash Flow Statement) - https://www.hoaresbank.co.uk/files/2021-05/Annual_Report_and_Accounts_for_2020.pdf
FY2019: Financial Report 2019, p.27 (Consolidated Cash Flow Statement) - https://www.hoaresbank.co.uk/files/2021-05/Financial_Report_2019.pdf
The face of the statement itself gives operating cash flow as a single pre-tax total (with a detailed profit/adjustments/working-capital breakdown in a separate Notes to the Cash Flow Statement note) - that single total is transcribed here as one DATA line rather than the full note-level breakdown, to keep row structure consistent across all 5 years.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Asset Quality / Credit Risk Disclosures</t>
        </is>
      </c>
    </row>
    <row r="2">
      <c r="A2" s="2" t="inlineStr">
        <is>
          <t>Loans and advances to customers, £'000. FRS 102 basis (specific/collective allowance), Group &amp; Company.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Loans and advances to customers (gross)</t>
        </is>
      </c>
      <c r="B4" s="6" t="n"/>
      <c r="C4" s="6" t="n"/>
      <c r="D4" s="6" t="n"/>
      <c r="E4" s="6" t="n"/>
      <c r="F4" s="6" t="n"/>
      <c r="G4" s="6" t="n"/>
      <c r="H4" s="6" t="n"/>
      <c r="I4" s="6" t="n"/>
    </row>
    <row r="5">
      <c r="A5" s="6" t="inlineStr">
        <is>
          <t>Total gross loans and advances to customers</t>
        </is>
      </c>
      <c r="B5" s="6" t="n">
        <v>2592710</v>
      </c>
      <c r="C5" s="6" t="n">
        <v>2286817</v>
      </c>
      <c r="D5" s="6" t="n">
        <v>2130465</v>
      </c>
      <c r="E5" s="6" t="n">
        <v>1989288</v>
      </c>
      <c r="F5" s="6" t="n">
        <v>2024798</v>
      </c>
      <c r="G5" s="6" t="n">
        <v>1886062</v>
      </c>
      <c r="H5" s="6" t="n">
        <v>1859678</v>
      </c>
      <c r="I5" s="6" t="n">
        <v>1709977</v>
      </c>
    </row>
    <row r="6">
      <c r="A6" s="5" t="inlineStr">
        <is>
          <t>Allowance for impairment losses</t>
        </is>
      </c>
      <c r="B6" s="6" t="n"/>
      <c r="C6" s="6" t="n"/>
      <c r="D6" s="6" t="n"/>
      <c r="E6" s="6" t="n"/>
      <c r="F6" s="6" t="n"/>
      <c r="G6" s="6" t="n"/>
      <c r="H6" s="6" t="n"/>
      <c r="I6" s="6" t="n"/>
    </row>
    <row r="7">
      <c r="A7" s="6" t="inlineStr">
        <is>
          <t>Specific allowance for impairment</t>
        </is>
      </c>
      <c r="B7" s="6" t="n">
        <v>-8378</v>
      </c>
      <c r="C7" s="6" t="n">
        <v>-7537</v>
      </c>
      <c r="D7" s="6" t="n">
        <v>-9003</v>
      </c>
      <c r="E7" s="6" t="n">
        <v>-17003</v>
      </c>
      <c r="F7" s="6" t="n">
        <v>-25575</v>
      </c>
      <c r="G7" s="6" t="n">
        <v>-24724</v>
      </c>
      <c r="H7" s="6" t="n">
        <v>-22682</v>
      </c>
      <c r="I7" s="6" t="n">
        <v>-8474</v>
      </c>
    </row>
    <row r="8">
      <c r="A8" s="6" t="inlineStr">
        <is>
          <t>Collective allowance for impairment</t>
        </is>
      </c>
      <c r="B8" s="6" t="n">
        <v>-5304</v>
      </c>
      <c r="C8" s="6" t="n">
        <v>-4878</v>
      </c>
      <c r="D8" s="6" t="n">
        <v>-4878</v>
      </c>
      <c r="E8" s="6" t="n">
        <v>-5313</v>
      </c>
      <c r="F8" s="6" t="n">
        <v>-4403</v>
      </c>
      <c r="G8" s="6" t="n">
        <v>-4323</v>
      </c>
      <c r="H8" s="6" t="n">
        <v>-4160</v>
      </c>
      <c r="I8" s="6" t="n">
        <v>-3137</v>
      </c>
    </row>
    <row r="9">
      <c r="A9" s="5" t="inlineStr">
        <is>
          <t>Total allowance for impairment</t>
        </is>
      </c>
      <c r="B9" s="5" t="n">
        <v>-13682</v>
      </c>
      <c r="C9" s="5" t="n">
        <v>-12415</v>
      </c>
      <c r="D9" s="5" t="n">
        <v>-13881</v>
      </c>
      <c r="E9" s="5" t="n">
        <v>-22316</v>
      </c>
      <c r="F9" s="5" t="n">
        <v>-29978</v>
      </c>
      <c r="G9" s="5" t="n">
        <v>-29047</v>
      </c>
      <c r="H9" s="5" t="n">
        <v>-26842</v>
      </c>
      <c r="I9" s="5" t="n">
        <v>-11611</v>
      </c>
    </row>
    <row r="10">
      <c r="A10" s="5" t="inlineStr">
        <is>
          <t>Net loans and advances to customers</t>
        </is>
      </c>
      <c r="B10" s="5" t="n">
        <v>2579028</v>
      </c>
      <c r="C10" s="5" t="n">
        <v>2274402</v>
      </c>
      <c r="D10" s="5" t="n">
        <v>2116584</v>
      </c>
      <c r="E10" s="5" t="n">
        <v>1966972</v>
      </c>
      <c r="F10" s="5" t="n">
        <v>1994820</v>
      </c>
      <c r="G10" s="5" t="n">
        <v>1857015</v>
      </c>
      <c r="H10" s="5" t="n">
        <v>1832836</v>
      </c>
      <c r="I10" s="5" t="n">
        <v>1698366</v>
      </c>
    </row>
    <row r="11">
      <c r="A11" s="5" t="inlineStr">
        <is>
          <t>Ratios</t>
        </is>
      </c>
      <c r="B11" s="6" t="n"/>
      <c r="C11" s="6" t="n"/>
      <c r="D11" s="6" t="n"/>
      <c r="E11" s="6" t="n"/>
      <c r="F11" s="6" t="n"/>
      <c r="G11" s="6" t="n"/>
      <c r="H11" s="6" t="n"/>
      <c r="I11" s="6" t="n"/>
    </row>
    <row r="12">
      <c r="A12" s="6" t="inlineStr">
        <is>
          <t>Overall coverage ratio (total allowance / gross loans)</t>
        </is>
      </c>
      <c r="B12" s="6" t="inlineStr">
        <is>
          <t>0.53%</t>
        </is>
      </c>
      <c r="C12" s="6" t="inlineStr">
        <is>
          <t>0.54%</t>
        </is>
      </c>
      <c r="D12" s="6" t="inlineStr">
        <is>
          <t>0.65%</t>
        </is>
      </c>
      <c r="E12" s="6" t="inlineStr">
        <is>
          <t>1.12%</t>
        </is>
      </c>
      <c r="F12" s="6" t="inlineStr">
        <is>
          <t>1.48%</t>
        </is>
      </c>
      <c r="G12" s="6" t="inlineStr">
        <is>
          <t>1.54%</t>
        </is>
      </c>
      <c r="H12" s="6" t="inlineStr">
        <is>
          <t>1.44%</t>
        </is>
      </c>
      <c r="I12" s="6" t="inlineStr">
        <is>
          <t>0.68%</t>
        </is>
      </c>
    </row>
    <row r="14" ht="340" customHeight="1">
      <c r="A14" s="8" t="inlineStr">
        <is>
          <t>Sources - C. Hoare &amp; Co.'s own Note 13(b) 'Loans and advances to customers' and Note 14 'Allowance for Impairment Losses' (Group &amp; Company, no separate Group-only figures disclosed), each from that year's own originally-published Financial Report:
FY2026: Financial Report 2026, p.73 - https://www.hoaresbank.co.uk/files/2026-06/Financial_Report_2026.pdf
FY2025: Financial Report 2025, pp.60-61 - https://www.hoaresbank.co.uk/files/2025-07/Financial_Report_2025.pdf
FY2024: Financial Report 2024, pp.62-63 - https://www.hoaresbank.co.uk/files/2024-06/Financial_Report_2024.pdf
FY2023: Financial Report 2023, pp.58-59 - https://www.hoaresbank.co.uk/files/2023-07/Financial_Report_2023.pdf
FY2022: Annual Report 2022, p.58 - https://www.hoaresbank.co.uk/files/2022-07/Annual_Report_2022.pdf
FY2021: Annual Report 2021, pp.62-63 - https://www.hoaresbank.co.uk/files/2021-10/CHC_Cons_Accounts21.pdf
FY2020: Annual Report 2020, p.59 - https://www.hoaresbank.co.uk/files/2021-05/Annual_Report_and_Accounts_for_2020.pdf
FY2019: Financial Report 2019, pp.50-51 - https://www.hoaresbank.co.uk/files/2021-05/Financial_Report_2019.pdf
Note: C. Hoare &amp; Co. reports under FRS 102, not IFRS 9 - there is no Stage 1/2/3 split anywhere in any of the 5 reports checked (confirmed by reading each year's impairment note in full), only a specific/collective allowance roll-forward. Coverage fell steadily from 1.48% (FY2022) to 0.53% (FY2026), driven by large specific-provision write-offs each year (e.g. £14.0m written off in FY2023 alone) outpacing new specific charges - flagged here, not smoothed. Figures are Group &amp; Company (identical - the Bank's own note discloses no separate Group-only split for this line).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c r="C4" s="6" t="n">
        <v>526455</v>
      </c>
      <c r="D4" s="6" t="n">
        <v>483235</v>
      </c>
      <c r="E4" s="6" t="n">
        <v>428543</v>
      </c>
      <c r="F4" s="6" t="n">
        <v>381989</v>
      </c>
      <c r="G4" s="6" t="n">
        <v>381441</v>
      </c>
      <c r="H4" s="6" t="n">
        <v>375716</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n"/>
      <c r="C4" s="6" t="inlineStr">
        <is>
          <t>23.00%</t>
        </is>
      </c>
      <c r="D4" s="6" t="inlineStr">
        <is>
          <t>23.11%</t>
        </is>
      </c>
      <c r="E4" s="6" t="inlineStr">
        <is>
          <t>21.44%</t>
        </is>
      </c>
      <c r="F4" s="6" t="inlineStr">
        <is>
          <t>20.96%</t>
        </is>
      </c>
      <c r="G4" s="6" t="inlineStr">
        <is>
          <t>21.61%</t>
        </is>
      </c>
      <c r="H4" s="6" t="inlineStr">
        <is>
          <t>21.11%</t>
        </is>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Capital</t>
        </is>
      </c>
    </row>
    <row r="2">
      <c r="A2" s="2" t="inlineStr">
        <is>
          <t>£'000 (= CET1 capital; no AT1 instruments)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c r="C4" s="6" t="n">
        <v>526455</v>
      </c>
      <c r="D4" s="6" t="n">
        <v>483235</v>
      </c>
      <c r="E4" s="6" t="n">
        <v>428543</v>
      </c>
      <c r="F4" s="6" t="n">
        <v>381989</v>
      </c>
      <c r="G4" s="6" t="n">
        <v>381441</v>
      </c>
      <c r="H4" s="6" t="n">
        <v>375716</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n"/>
      <c r="C4" s="6" t="inlineStr">
        <is>
          <t>23.00%</t>
        </is>
      </c>
      <c r="D4" s="6" t="inlineStr">
        <is>
          <t>23.11%</t>
        </is>
      </c>
      <c r="E4" s="6" t="inlineStr">
        <is>
          <t>21.44%</t>
        </is>
      </c>
      <c r="F4" s="6" t="inlineStr">
        <is>
          <t>20.96%</t>
        </is>
      </c>
      <c r="G4" s="6" t="inlineStr">
        <is>
          <t>21.61%</t>
        </is>
      </c>
      <c r="H4" s="6" t="inlineStr">
        <is>
          <t>21.11%</t>
        </is>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c r="C4" s="6" t="n">
        <v>531333</v>
      </c>
      <c r="D4" s="6" t="n">
        <v>488113</v>
      </c>
      <c r="E4" s="6" t="n">
        <v>433856</v>
      </c>
      <c r="F4" s="6" t="n">
        <v>386392</v>
      </c>
      <c r="G4" s="6" t="n">
        <v>385764</v>
      </c>
      <c r="H4" s="6" t="n">
        <v>379876</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n"/>
      <c r="C4" s="6" t="inlineStr">
        <is>
          <t>23.21%</t>
        </is>
      </c>
      <c r="D4" s="6" t="inlineStr">
        <is>
          <t>23.34%</t>
        </is>
      </c>
      <c r="E4" s="6" t="inlineStr">
        <is>
          <t>21.72%</t>
        </is>
      </c>
      <c r="F4" s="6" t="inlineStr">
        <is>
          <t>21.20%</t>
        </is>
      </c>
      <c r="G4" s="6" t="inlineStr">
        <is>
          <t>21.86%</t>
        </is>
      </c>
      <c r="H4" s="6" t="inlineStr">
        <is>
          <t>21.34%</t>
        </is>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n"/>
      <c r="C4" s="6" t="n">
        <v>2289414</v>
      </c>
      <c r="D4" s="6" t="n">
        <v>2091044</v>
      </c>
      <c r="E4" s="6" t="n">
        <v>1997896</v>
      </c>
      <c r="F4" s="6" t="n">
        <v>1822244</v>
      </c>
      <c r="G4" s="6" t="n">
        <v>1764829</v>
      </c>
      <c r="H4" s="6" t="n">
        <v>1779927</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RWA Breakdown</t>
        </is>
      </c>
    </row>
    <row r="2">
      <c r="A2" s="2" t="inlineStr">
        <is>
          <t>UK OV1 exposure-class split, £'000. FY2026 not yet published.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RWA by exposure class, £'000</t>
        </is>
      </c>
      <c r="B4" s="6" t="n"/>
      <c r="C4" s="6" t="n"/>
      <c r="D4" s="6" t="n"/>
      <c r="E4" s="6" t="n"/>
      <c r="F4" s="6" t="n"/>
      <c r="G4" s="6" t="n"/>
      <c r="H4" s="6" t="n"/>
      <c r="I4" s="6" t="n"/>
    </row>
    <row r="5">
      <c r="A5" s="6" t="inlineStr">
        <is>
          <t>Institutions</t>
        </is>
      </c>
      <c r="B5" s="6" t="n"/>
      <c r="C5" s="6" t="n">
        <v>41830</v>
      </c>
      <c r="D5" s="6" t="n">
        <v>54239</v>
      </c>
      <c r="E5" s="6" t="n">
        <v>162882</v>
      </c>
      <c r="F5" s="6" t="n">
        <v>61655</v>
      </c>
      <c r="G5" s="6" t="n">
        <v>66031</v>
      </c>
      <c r="H5" s="6" t="n">
        <v>148148</v>
      </c>
      <c r="I5" s="6" t="n"/>
    </row>
    <row r="6">
      <c r="A6" s="6" t="inlineStr">
        <is>
          <t>Corporates</t>
        </is>
      </c>
      <c r="B6" s="6" t="n"/>
      <c r="C6" s="6" t="n">
        <v>76500</v>
      </c>
      <c r="D6" s="6" t="n">
        <v>102248</v>
      </c>
      <c r="E6" s="6" t="n">
        <v>107319</v>
      </c>
      <c r="F6" s="6" t="n">
        <v>95307</v>
      </c>
      <c r="G6" s="6" t="n">
        <v>139936</v>
      </c>
      <c r="H6" s="6" t="n">
        <v>76760</v>
      </c>
      <c r="I6" s="6" t="n"/>
    </row>
    <row r="7">
      <c r="A7" s="6" t="inlineStr">
        <is>
          <t>Retail</t>
        </is>
      </c>
      <c r="B7" s="6" t="n"/>
      <c r="C7" s="6" t="n">
        <v>23348</v>
      </c>
      <c r="D7" s="6" t="n">
        <v>26562</v>
      </c>
      <c r="E7" s="6" t="n">
        <v>26867</v>
      </c>
      <c r="F7" s="6" t="n">
        <v>23919</v>
      </c>
      <c r="G7" s="6" t="n">
        <v>22667</v>
      </c>
      <c r="H7" s="6" t="n">
        <v>20936</v>
      </c>
      <c r="I7" s="6" t="n"/>
    </row>
    <row r="8">
      <c r="A8" s="6" t="inlineStr">
        <is>
          <t>Secured by mortgages on immovable property</t>
        </is>
      </c>
      <c r="B8" s="6" t="n"/>
      <c r="C8" s="6" t="n">
        <v>1090724</v>
      </c>
      <c r="D8" s="6" t="n">
        <v>968778</v>
      </c>
      <c r="E8" s="6" t="n">
        <v>952975</v>
      </c>
      <c r="F8" s="6" t="n">
        <v>880391</v>
      </c>
      <c r="G8" s="6" t="n">
        <v>749416</v>
      </c>
      <c r="H8" s="6" t="n">
        <v>802993</v>
      </c>
      <c r="I8" s="6" t="n"/>
    </row>
    <row r="9">
      <c r="A9" s="6" t="inlineStr">
        <is>
          <t>Exposures in default</t>
        </is>
      </c>
      <c r="B9" s="6" t="n"/>
      <c r="C9" s="6" t="n">
        <v>31891</v>
      </c>
      <c r="D9" s="6" t="n">
        <v>26252</v>
      </c>
      <c r="E9" s="6" t="n">
        <v>31691</v>
      </c>
      <c r="F9" s="6" t="n">
        <v>61214</v>
      </c>
      <c r="G9" s="6" t="n">
        <v>114437</v>
      </c>
      <c r="H9" s="6" t="n">
        <v>103721</v>
      </c>
      <c r="I9" s="6" t="n"/>
    </row>
    <row r="10">
      <c r="A10" s="6" t="inlineStr">
        <is>
          <t>Items associated with particularly high risk</t>
        </is>
      </c>
      <c r="B10" s="6" t="n"/>
      <c r="C10" s="6" t="n">
        <v>120576</v>
      </c>
      <c r="D10" s="6" t="n">
        <v>109542</v>
      </c>
      <c r="E10" s="6" t="n">
        <v>43564</v>
      </c>
      <c r="F10" s="6" t="n">
        <v>45923</v>
      </c>
      <c r="G10" s="6" t="n">
        <v>50392</v>
      </c>
      <c r="H10" s="6" t="n">
        <v>126877</v>
      </c>
      <c r="I10" s="6" t="n"/>
    </row>
    <row r="11">
      <c r="A11" s="6" t="inlineStr">
        <is>
          <t>Covered bonds</t>
        </is>
      </c>
      <c r="B11" s="6" t="n"/>
      <c r="C11" s="6" t="n">
        <v>158663</v>
      </c>
      <c r="D11" s="6" t="n">
        <v>154784</v>
      </c>
      <c r="E11" s="6" t="n">
        <v>159974</v>
      </c>
      <c r="F11" s="6" t="n">
        <v>132987</v>
      </c>
      <c r="G11" s="6" t="n">
        <v>96282</v>
      </c>
      <c r="H11" s="6" t="n">
        <v>96428</v>
      </c>
      <c r="I11" s="6" t="n"/>
    </row>
    <row r="12">
      <c r="A12" s="6" t="inlineStr">
        <is>
          <t>Claims on institutions/corporates with short-term credit assessment</t>
        </is>
      </c>
      <c r="B12" s="6" t="n"/>
      <c r="C12" s="6" t="n"/>
      <c r="D12" s="6" t="n"/>
      <c r="E12" s="6" t="n">
        <v>0</v>
      </c>
      <c r="F12" s="6" t="n">
        <v>45485</v>
      </c>
      <c r="G12" s="6" t="n">
        <v>70016</v>
      </c>
      <c r="H12" s="6" t="n">
        <v>100307</v>
      </c>
      <c r="I12" s="6" t="n"/>
    </row>
    <row r="13">
      <c r="A13" s="6" t="inlineStr">
        <is>
          <t>Claims in the form of Collective Investment Undertakings (CIU)</t>
        </is>
      </c>
      <c r="B13" s="6" t="n"/>
      <c r="C13" s="6" t="n">
        <v>177450</v>
      </c>
      <c r="D13" s="6" t="n">
        <v>148636</v>
      </c>
      <c r="E13" s="6" t="n">
        <v>146236</v>
      </c>
      <c r="F13" s="6" t="n">
        <v>165017</v>
      </c>
      <c r="G13" s="6" t="n">
        <v>129997</v>
      </c>
      <c r="H13" s="6" t="n">
        <v>0</v>
      </c>
      <c r="I13" s="6" t="n"/>
    </row>
    <row r="14">
      <c r="A14" s="6" t="inlineStr">
        <is>
          <t>Other items</t>
        </is>
      </c>
      <c r="B14" s="6" t="n"/>
      <c r="C14" s="6" t="n">
        <v>99101</v>
      </c>
      <c r="D14" s="6" t="n">
        <v>115345</v>
      </c>
      <c r="E14" s="6" t="n">
        <v>96342</v>
      </c>
      <c r="F14" s="6" t="n">
        <v>89211</v>
      </c>
      <c r="G14" s="6" t="n">
        <v>91239</v>
      </c>
      <c r="H14" s="6" t="n">
        <v>93629</v>
      </c>
      <c r="I14" s="6" t="n"/>
    </row>
    <row r="15">
      <c r="A15" s="6" t="inlineStr">
        <is>
          <t>Securitisations</t>
        </is>
      </c>
      <c r="B15" s="6" t="n"/>
      <c r="C15" s="6" t="n">
        <v>74767</v>
      </c>
      <c r="D15" s="6" t="n">
        <v>65116</v>
      </c>
      <c r="E15" s="6" t="n">
        <v>39209</v>
      </c>
      <c r="F15" s="6" t="n">
        <v>36844</v>
      </c>
      <c r="G15" s="6" t="n">
        <v>31338</v>
      </c>
      <c r="H15" s="6" t="n">
        <v>8707</v>
      </c>
      <c r="I15" s="6" t="n"/>
    </row>
    <row r="16">
      <c r="A16" s="5" t="inlineStr">
        <is>
          <t>Total credit risk</t>
        </is>
      </c>
      <c r="B16" s="5" t="n"/>
      <c r="C16" s="5" t="n">
        <v>1894851</v>
      </c>
      <c r="D16" s="5" t="n">
        <v>1771501</v>
      </c>
      <c r="E16" s="5" t="n">
        <v>1767060</v>
      </c>
      <c r="F16" s="5" t="n">
        <v>1637953</v>
      </c>
      <c r="G16" s="5" t="n">
        <v>1572334</v>
      </c>
      <c r="H16" s="5" t="n">
        <v>1584434</v>
      </c>
      <c r="I16" s="5" t="n"/>
    </row>
    <row r="17">
      <c r="A17" s="6" t="inlineStr">
        <is>
          <t>Total market risk (FX PRR)</t>
        </is>
      </c>
      <c r="B17" s="6" t="n"/>
      <c r="C17" s="6" t="n">
        <v>0</v>
      </c>
      <c r="D17" s="6" t="n">
        <v>0</v>
      </c>
      <c r="E17" s="6" t="n">
        <v>0</v>
      </c>
      <c r="F17" s="6" t="n">
        <v>0</v>
      </c>
      <c r="G17" s="6" t="n">
        <v>0</v>
      </c>
      <c r="H17" s="6" t="n">
        <v>350</v>
      </c>
      <c r="I17" s="6" t="n"/>
    </row>
    <row r="18">
      <c r="A18" s="6" t="inlineStr">
        <is>
          <t>Total operational risk</t>
        </is>
      </c>
      <c r="B18" s="6" t="n"/>
      <c r="C18" s="6" t="n">
        <v>394563</v>
      </c>
      <c r="D18" s="6" t="n">
        <v>319543</v>
      </c>
      <c r="E18" s="6" t="n">
        <v>230837</v>
      </c>
      <c r="F18" s="6" t="n">
        <v>184291</v>
      </c>
      <c r="G18" s="6" t="n">
        <v>192495</v>
      </c>
      <c r="H18" s="6" t="n">
        <v>195143</v>
      </c>
      <c r="I18" s="6" t="n"/>
    </row>
    <row r="19">
      <c r="A19" s="5" t="inlineStr">
        <is>
          <t>Total Pillar 1 capital requirement (Total RWAs)</t>
        </is>
      </c>
      <c r="B19" s="5" t="n"/>
      <c r="C19" s="5" t="n">
        <v>2289414</v>
      </c>
      <c r="D19" s="5" t="n">
        <v>2091044</v>
      </c>
      <c r="E19" s="5" t="n">
        <v>1997896</v>
      </c>
      <c r="F19" s="5" t="n">
        <v>1822244</v>
      </c>
      <c r="G19" s="5" t="n">
        <v>1764829</v>
      </c>
      <c r="H19" s="5" t="n">
        <v>1779927</v>
      </c>
      <c r="I19" s="5" t="n"/>
    </row>
    <row r="21" ht="280" customHeight="1">
      <c r="A21" s="8" t="inlineStr">
        <is>
          <t>Sources - C. Hoare &amp; Co. Pillar 3 Disclosures, UK OV1 'Risk weighted assets and Pillar 1 capital requirements by exposure class' table:
FY2025/FY2024: Pillar 3 Disclosures 2025, Table 6, p.10 - https://www.hoaresbank.co.uk/files/2025-07/Pillar_3_Disclosure_2025.pdf
FY2023/FY2022: Pillar 3 Disclosures 2023, Table 5, p.14 - https://www.hoaresbank.co.uk/files/2023-07/Pillar_3_Disclosure_2023.pdf
FY2021/FY2020: Pillar 3 Disclosures 2021, Table 5, p.14 -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21:I2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Leverage Ratio</t>
        </is>
      </c>
    </row>
    <row r="2">
      <c r="A2" s="2" t="inlineStr">
        <is>
          <t>%, excluding claims on central banks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t>
        </is>
      </c>
      <c r="B4" s="6" t="n"/>
      <c r="C4" s="6" t="inlineStr">
        <is>
          <t>9.29%</t>
        </is>
      </c>
      <c r="D4" s="6" t="inlineStr">
        <is>
          <t>7.61%</t>
        </is>
      </c>
      <c r="E4" s="6" t="inlineStr">
        <is>
          <t>6.96%</t>
        </is>
      </c>
      <c r="F4" s="6" t="inlineStr">
        <is>
          <t>6.61%</t>
        </is>
      </c>
      <c r="G4" s="6" t="inlineStr">
        <is>
          <t>6.32%</t>
        </is>
      </c>
      <c r="H4" s="6" t="inlineStr">
        <is>
          <t>7.18%</t>
        </is>
      </c>
      <c r="I4" s="6" t="n"/>
    </row>
    <row r="5" ht="60" customHeight="1">
      <c r="A5" s="7" t="inlineStr">
        <is>
          <t>Note: Consistently disclosed on the same 'excluding claims on central banks' basis every year shown - no mid-series methodology break, unlike several other banks in this project.</t>
        </is>
      </c>
    </row>
    <row r="7" ht="170" customHeight="1">
      <c r="A7"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LCR</t>
        </is>
      </c>
    </row>
    <row r="2">
      <c r="A2" s="2" t="inlineStr">
        <is>
          <t>%, 12-month rolling average of month-end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n"/>
      <c r="C4" s="6" t="inlineStr">
        <is>
          <t>341%</t>
        </is>
      </c>
      <c r="D4" s="6" t="inlineStr">
        <is>
          <t>308%</t>
        </is>
      </c>
      <c r="E4" s="6" t="inlineStr">
        <is>
          <t>273%</t>
        </is>
      </c>
      <c r="F4" s="6" t="inlineStr">
        <is>
          <t>272%</t>
        </is>
      </c>
      <c r="G4" s="6" t="n"/>
      <c r="H4" s="6" t="n"/>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NSFR</t>
        </is>
      </c>
    </row>
    <row r="2">
      <c r="A2" s="2" t="inlineStr">
        <is>
          <t>%, 4-quarter rolling average of quarter-end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NSFR ratio</t>
        </is>
      </c>
      <c r="B4" s="6" t="n"/>
      <c r="C4" s="6" t="inlineStr">
        <is>
          <t>250%</t>
        </is>
      </c>
      <c r="D4" s="6" t="inlineStr">
        <is>
          <t>246%</t>
        </is>
      </c>
      <c r="E4" s="6" t="inlineStr">
        <is>
          <t>256%</t>
        </is>
      </c>
      <c r="F4" s="6" t="inlineStr">
        <is>
          <t>269%</t>
        </is>
      </c>
      <c r="G4" s="6" t="n"/>
      <c r="H4" s="6" t="n"/>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1">
    <mergeCell ref="A6:I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Not found in either Pillar 3 document reviewed (2025 or 2023 edition) - no MREL row exists in this bank's Own Funds Disclosure template at all, and no separate qualitative statement was found either.</t>
        </is>
      </c>
    </row>
    <row r="7" ht="150" customHeight="1">
      <c r="A7"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not yet published as of this build - left blank, not estimated.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FY2026 Pillar 3 has not yet been published (the bank's Pillar 3 editions consistently lag the Annual Report by several months) - left blank, not estimated.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2026-09-07T17:48:13Z</dcterms:created>
  <dcterms:modified xmlns:dcterms="http://purl.org/dc/terms/" xmlns:xsi="http://www.w3.org/2001/XMLSchema-instance" xsi:type="dcterms:W3CDTF">2026-09-07T17:48:13Z</dcterms:modified>
</cp:coreProperties>
</file>