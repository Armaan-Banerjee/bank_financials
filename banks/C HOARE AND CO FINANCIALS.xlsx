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Balance Sheet" sheetId="2" state="visible" r:id="rId2"/>
    <sheet name="Profit &amp; Loss" sheetId="3" state="visible" r:id="rId3"/>
    <sheet name="Statement of Changes in Equity" sheetId="4" state="visible" r:id="rId4"/>
    <sheet name="Cash Flow Statement" sheetId="5" state="visible" r:id="rId5"/>
    <sheet name="Asset Quality" sheetId="6" state="visible" r:id="rId6"/>
    <sheet name="CET1 Capital" sheetId="7" state="visible" r:id="rId7"/>
    <sheet name="CET1 Ratio" sheetId="8" state="visible" r:id="rId8"/>
    <sheet name="Tier 1 Capital" sheetId="9" state="visible" r:id="rId9"/>
    <sheet name="Tier 1 Ratio" sheetId="10" state="visible" r:id="rId10"/>
    <sheet name="Total Capital" sheetId="11" state="visible" r:id="rId11"/>
    <sheet name="Total Capital Ratio" sheetId="12" state="visible" r:id="rId12"/>
    <sheet name="Total RWAs" sheetId="13" state="visible" r:id="rId13"/>
    <sheet name="RWA Breakdown" sheetId="14" state="visible" r:id="rId14"/>
    <sheet name="Leverage Ratio" sheetId="15" state="visible" r:id="rId15"/>
    <sheet name="LCR" sheetId="16" state="visible" r:id="rId16"/>
    <sheet name="NSFR" sheetId="17" state="visible" r:id="rId17"/>
    <sheet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6F1D1B"/>
        <bgColor rgb="006F1D1B"/>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p>
            <a:pPr>
              <a:defRPr/>
            </a:pPr>
            <a:r>
              <a:t>C. Hoare &amp; Co.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'Overview'!L6</f>
            </strRef>
          </tx>
          <spPr>
            <a:ln>
              <a:prstDash val="solid"/>
            </a:ln>
          </spPr>
          <cat>
            <numRef>
              <f>'Overview'!$M$5:$T$5</f>
            </numRef>
          </cat>
          <val>
            <numRef>
              <f>'Overview'!$M$6:$T$6</f>
            </numRef>
          </val>
        </ser>
        <ser>
          <idx val="1"/>
          <order val="1"/>
          <tx>
            <strRef>
              <f>'Overview'!L7</f>
            </strRef>
          </tx>
          <spPr>
            <a:ln>
              <a:prstDash val="solid"/>
            </a:ln>
          </spPr>
          <cat>
            <numRef>
              <f>'Overview'!$M$5:$T$5</f>
            </numRef>
          </cat>
          <val>
            <numRef>
              <f>'Overview'!$M$7:$T$7</f>
            </numRef>
          </val>
        </ser>
        <ser>
          <idx val="2"/>
          <order val="2"/>
          <tx>
            <strRef>
              <f>'Overview'!L8</f>
            </strRef>
          </tx>
          <spPr>
            <a:ln>
              <a:prstDash val="solid"/>
            </a:ln>
          </spPr>
          <cat>
            <numRef>
              <f>'Overview'!$M$5:$T$5</f>
            </numRef>
          </cat>
          <val>
            <numRef>
              <f>'Overview'!$M$8:$T$8</f>
            </numRef>
          </val>
        </ser>
        <ser>
          <idx val="3"/>
          <order val="3"/>
          <tx>
            <strRef>
              <f>'Overview'!L9</f>
            </strRef>
          </tx>
          <spPr>
            <a:ln>
              <a:prstDash val="solid"/>
            </a:ln>
          </spPr>
          <cat>
            <numRef>
              <f>'Overview'!$M$5:$T$5</f>
            </numRef>
          </cat>
          <val>
            <numRef>
              <f>'Overview'!$M$9:$T$9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C. Hoare &amp; Co.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'Overview'!W13</f>
            </strRef>
          </tx>
          <spPr>
            <a:ln>
              <a:prstDash val="solid"/>
            </a:ln>
          </spPr>
          <cat>
            <numRef>
              <f>'Overview'!$X$12:$AE$12</f>
            </numRef>
          </cat>
          <val>
            <numRef>
              <f>'Overview'!$X$13:$AE$13</f>
            </numRef>
          </val>
        </ser>
        <ser>
          <idx val="1"/>
          <order val="1"/>
          <tx>
            <strRef>
              <f>'Overview'!W14</f>
            </strRef>
          </tx>
          <spPr>
            <a:ln>
              <a:prstDash val="solid"/>
            </a:ln>
          </spPr>
          <cat>
            <numRef>
              <f>'Overview'!$X$12:$AE$12</f>
            </numRef>
          </cat>
          <val>
            <numRef>
              <f>'Overview'!$X$14:$AE$14</f>
            </numRef>
          </val>
        </ser>
        <ser>
          <idx val="2"/>
          <order val="2"/>
          <tx>
            <strRef>
              <f>'Overview'!W15</f>
            </strRef>
          </tx>
          <spPr>
            <a:ln>
              <a:prstDash val="solid"/>
            </a:ln>
          </spPr>
          <cat>
            <numRef>
              <f>'Overview'!$X$12:$AE$12</f>
            </numRef>
          </cat>
          <val>
            <numRef>
              <f>'Overview'!$X$15:$AE$15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a="http://schemas.openxmlformats.org/drawingml/2006/main" xmlns="http://schemas.openxmlformats.org/drawingml/2006/chart">
  <chart>
    <title>
      <tx>
        <rich>
          <a:bodyPr/>
          <a:p>
            <a:pPr>
              <a:defRPr/>
            </a:pPr>
            <a:r>
              <a:t>C. Hoare &amp; Co.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'Overview'!AH19</f>
            </strRef>
          </tx>
          <spPr>
            <a:ln>
              <a:prstDash val="solid"/>
            </a:ln>
          </spPr>
          <cat>
            <numRef>
              <f>'Overview'!$AI$18:$AP$18</f>
            </numRef>
          </cat>
          <val>
            <numRef>
              <f>'Overview'!$AI$19:$AP$19</f>
            </numRef>
          </val>
        </ser>
        <ser>
          <idx val="1"/>
          <order val="1"/>
          <tx>
            <strRef>
              <f>'Overview'!AH20</f>
            </strRef>
          </tx>
          <spPr>
            <a:ln>
              <a:prstDash val="solid"/>
            </a:ln>
          </spPr>
          <cat>
            <numRef>
              <f>'Overview'!$AI$18:$AP$18</f>
            </numRef>
          </cat>
          <val>
            <numRef>
              <f>'Overview'!$AI$20:$AP$20</f>
            </numRef>
          </val>
        </ser>
        <ser>
          <idx val="2"/>
          <order val="2"/>
          <tx>
            <strRef>
              <f>'Overview'!AH21</f>
            </strRef>
          </tx>
          <spPr>
            <a:ln>
              <a:prstDash val="solid"/>
            </a:ln>
          </spPr>
          <cat>
            <numRef>
              <f>'Overview'!$AI$18:$AP$18</f>
            </numRef>
          </cat>
          <val>
            <numRef>
              <f>'Overview'!$AI$21:$AP$21</f>
            </numRef>
          </val>
        </ser>
        <ser>
          <idx val="3"/>
          <order val="3"/>
          <tx>
            <strRef>
              <f>'Overview'!AH22</f>
            </strRef>
          </tx>
          <spPr>
            <a:ln>
              <a:prstDash val="solid"/>
            </a:ln>
          </spPr>
          <cat>
            <numRef>
              <f>'Overview'!$AI$18:$AP$18</f>
            </numRef>
          </cat>
          <val>
            <numRef>
              <f>'Overview'!$AI$22:$AP$22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a="http://schemas.openxmlformats.org/drawingml/2006/main" xmlns="http://schemas.openxmlformats.org/drawingml/2006/chart">
  <chart>
    <title>
      <tx>
        <rich>
          <a:bodyPr/>
          <a:p>
            <a:pPr>
              <a:defRPr/>
            </a:pPr>
            <a:r>
              <a:t>C. Hoare &amp; Co.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'Overview'!AS26</f>
            </strRef>
          </tx>
          <spPr>
            <a:ln>
              <a:prstDash val="solid"/>
            </a:ln>
          </spPr>
          <cat>
            <numRef>
              <f>'Overview'!$AT$25:$BA$25</f>
            </numRef>
          </cat>
          <val>
            <numRef>
              <f>'Overview'!$AT$26:$BA$26</f>
            </numRef>
          </val>
        </ser>
        <ser>
          <idx val="1"/>
          <order val="1"/>
          <tx>
            <strRef>
              <f>'Overview'!AS27</f>
            </strRef>
          </tx>
          <spPr>
            <a:ln>
              <a:prstDash val="solid"/>
            </a:ln>
          </spPr>
          <cat>
            <numRef>
              <f>'Overview'!$AT$25:$BA$25</f>
            </numRef>
          </cat>
          <val>
            <numRef>
              <f>'Overview'!$AT$27:$BA$27</f>
            </numRef>
          </val>
        </ser>
        <ser>
          <idx val="2"/>
          <order val="2"/>
          <tx>
            <strRef>
              <f>'Overview'!AS28</f>
            </strRef>
          </tx>
          <spPr>
            <a:ln>
              <a:prstDash val="solid"/>
            </a:ln>
          </spPr>
          <cat>
            <numRef>
              <f>'Overview'!$AT$25:$BA$25</f>
            </numRef>
          </cat>
          <val>
            <numRef>
              <f>'Overview'!$AT$28:$BA$28</f>
            </numRef>
          </val>
        </ser>
        <ser>
          <idx val="3"/>
          <order val="3"/>
          <tx>
            <strRef>
              <f>'Overview'!AS29</f>
            </strRef>
          </tx>
          <spPr>
            <a:ln>
              <a:prstDash val="solid"/>
            </a:ln>
          </spPr>
          <cat>
            <numRef>
              <f>'Overview'!$AT$25:$BA$25</f>
            </numRef>
          </cat>
          <val>
            <numRef>
              <f>'Overview'!$AT$29:$BA$29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a="http://schemas.openxmlformats.org/drawingml/2006/main" xmlns="http://schemas.openxmlformats.org/drawingml/2006/chart">
  <chart>
    <title>
      <tx>
        <rich>
          <a:bodyPr/>
          <a:p>
            <a:pPr>
              <a:defRPr/>
            </a:pPr>
            <a:r>
              <a:t>C. Hoare &amp; Co.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'Overview'!BD6</f>
            </strRef>
          </tx>
          <spPr>
            <a:ln>
              <a:prstDash val="solid"/>
            </a:ln>
          </spPr>
          <marker>
            <symbol val="none"/>
            <spPr>
              <a:ln>
                <a:prstDash val="solid"/>
              </a:ln>
            </spPr>
          </marker>
          <cat>
            <numRef>
              <f>'Overview'!$BE$5:$BL$5</f>
            </numRef>
          </cat>
          <val>
            <numRef>
              <f>'Overview'!$BE$6:$BL$6</f>
            </numRef>
          </val>
          <smooth val="0"/>
        </ser>
        <ser>
          <idx val="1"/>
          <order val="1"/>
          <tx>
            <strRef>
              <f>'Overview'!BD7</f>
            </strRef>
          </tx>
          <spPr>
            <a:ln>
              <a:prstDash val="solid"/>
            </a:ln>
          </spPr>
          <marker>
            <symbol val="none"/>
            <spPr>
              <a:ln>
                <a:prstDash val="solid"/>
              </a:ln>
            </spPr>
          </marker>
          <cat>
            <numRef>
              <f>'Overview'!$BE$5:$BL$5</f>
            </numRef>
          </cat>
          <val>
            <numRef>
              <f>'Overview'!$BE$7:$BL$7</f>
            </numRef>
          </val>
          <smooth val="0"/>
        </ser>
        <ser>
          <idx val="2"/>
          <order val="2"/>
          <tx>
            <strRef>
              <f>'Overview'!BD8</f>
            </strRef>
          </tx>
          <spPr>
            <a:ln>
              <a:prstDash val="solid"/>
            </a:ln>
          </spPr>
          <marker>
            <symbol val="none"/>
            <spPr>
              <a:ln>
                <a:prstDash val="solid"/>
              </a:ln>
            </spPr>
          </marker>
          <cat>
            <numRef>
              <f>'Overview'!$BE$5:$BL$5</f>
            </numRef>
          </cat>
          <val>
            <numRef>
              <f>'Overview'!$BE$8:$BL$8</f>
            </numRef>
          </val>
          <smooth val="0"/>
        </ser>
        <ser>
          <idx val="3"/>
          <order val="3"/>
          <tx>
            <strRef>
              <f>'Overview'!BD9</f>
            </strRef>
          </tx>
          <spPr>
            <a:ln>
              <a:prstDash val="solid"/>
            </a:ln>
          </spPr>
          <marker>
            <symbol val="none"/>
            <spPr>
              <a:ln>
                <a:prstDash val="solid"/>
              </a:ln>
            </spPr>
          </marker>
          <cat>
            <numRef>
              <f>'Overview'!$BE$5:$BL$5</f>
            </numRef>
          </cat>
          <val>
            <numRef>
              <f>'Overview'!$BE$9:$BL$9</f>
            </numRef>
          </val>
          <smooth val="0"/>
        </ser>
        <ser>
          <idx val="4"/>
          <order val="4"/>
          <tx>
            <strRef>
              <f>'Overview'!BD10</f>
            </strRef>
          </tx>
          <spPr>
            <a:ln>
              <a:prstDash val="solid"/>
            </a:ln>
          </spPr>
          <marker>
            <symbol val="none"/>
            <spPr>
              <a:ln>
                <a:prstDash val="solid"/>
              </a:ln>
            </spPr>
          </marker>
          <cat>
            <numRef>
              <f>'Overview'!$BE$5:$BL$5</f>
            </numRef>
          </cat>
          <val>
            <numRef>
              <f>'Overview'!$BE$10:$BL$10</f>
            </numRef>
          </val>
          <smooth val="0"/>
        </ser>
        <ser>
          <idx val="5"/>
          <order val="5"/>
          <tx>
            <strRef>
              <f>'Overview'!BD11</f>
            </strRef>
          </tx>
          <spPr>
            <a:ln>
              <a:prstDash val="solid"/>
            </a:ln>
          </spPr>
          <marker>
            <symbol val="none"/>
            <spPr>
              <a:ln>
                <a:prstDash val="solid"/>
              </a:ln>
            </spPr>
          </marker>
          <cat>
            <numRef>
              <f>'Overview'!$BE$5:$BL$5</f>
            </numRef>
          </cat>
          <val>
            <numRef>
              <f>'Overview'!$BE$11:$BL$11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42</row>
      <rowOff>0</rowOff>
    </from>
    <ext cx="8640000" cy="468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64</row>
      <rowOff>0</rowOff>
    </from>
    <ext cx="8640000" cy="468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86</row>
      <rowOff>0</rowOff>
    </from>
    <ext cx="8640000" cy="4680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108</row>
      <rowOff>0</rowOff>
    </from>
    <ext cx="8640000" cy="468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130</row>
      <rowOff>0</rowOff>
    </from>
    <ext cx="8640000" cy="5760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BL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s>
  <sheetData>
    <row r="1">
      <c r="A1" s="1" t="inlineStr">
        <is>
          <t>C. Hoare &amp; Co.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FY2026</t>
        </is>
      </c>
      <c r="C5" s="4" t="inlineStr">
        <is>
          <t>FY2025</t>
        </is>
      </c>
      <c r="D5" s="4" t="inlineStr">
        <is>
          <t>FY2024</t>
        </is>
      </c>
      <c r="E5" s="4" t="inlineStr">
        <is>
          <t>FY2023</t>
        </is>
      </c>
      <c r="F5" s="4" t="inlineStr">
        <is>
          <t>FY2022</t>
        </is>
      </c>
      <c r="G5" s="4" t="inlineStr">
        <is>
          <t>FY2021</t>
        </is>
      </c>
      <c r="H5" s="4" t="inlineStr">
        <is>
          <t>FY2020</t>
        </is>
      </c>
      <c r="I5" s="4" t="inlineStr">
        <is>
          <t>FY2019</t>
        </is>
      </c>
      <c r="M5" t="inlineStr">
        <is>
          <t>FY2019</t>
        </is>
      </c>
      <c r="N5" t="inlineStr">
        <is>
          <t>FY2020</t>
        </is>
      </c>
      <c r="O5" t="inlineStr">
        <is>
          <t>FY2021</t>
        </is>
      </c>
      <c r="P5" t="inlineStr">
        <is>
          <t>FY2022</t>
        </is>
      </c>
      <c r="Q5" t="inlineStr">
        <is>
          <t>FY2023</t>
        </is>
      </c>
      <c r="R5" t="inlineStr">
        <is>
          <t>FY2024</t>
        </is>
      </c>
      <c r="S5" t="inlineStr">
        <is>
          <t>FY2025</t>
        </is>
      </c>
      <c r="T5" t="inlineStr">
        <is>
          <t>FY2026</t>
        </is>
      </c>
      <c r="BE5" t="inlineStr">
        <is>
          <t>FY2019</t>
        </is>
      </c>
      <c r="BF5" t="inlineStr">
        <is>
          <t>FY2020</t>
        </is>
      </c>
      <c r="BG5" t="inlineStr">
        <is>
          <t>FY2021</t>
        </is>
      </c>
      <c r="BH5" t="inlineStr">
        <is>
          <t>FY2022</t>
        </is>
      </c>
      <c r="BI5" t="inlineStr">
        <is>
          <t>FY2023</t>
        </is>
      </c>
      <c r="BJ5" t="inlineStr">
        <is>
          <t>FY2024</t>
        </is>
      </c>
      <c r="BK5" t="inlineStr">
        <is>
          <t>FY2025</t>
        </is>
      </c>
      <c r="BL5" t="inlineStr">
        <is>
          <t>FY2026</t>
        </is>
      </c>
    </row>
    <row r="6">
      <c r="A6" s="5" t="inlineStr">
        <is>
          <t>Total assets</t>
        </is>
      </c>
      <c r="B6" s="5" t="n">
        <v>7567981</v>
      </c>
      <c r="C6" s="5" t="n">
        <v>7158840</v>
      </c>
      <c r="D6" s="5" t="n">
        <v>6801461</v>
      </c>
      <c r="E6" s="5" t="n">
        <v>6852939</v>
      </c>
      <c r="F6" s="5" t="n">
        <v>7274665</v>
      </c>
      <c r="G6" s="5" t="n">
        <v>6004216</v>
      </c>
      <c r="H6" s="5" t="n">
        <v>5232137</v>
      </c>
      <c r="I6" s="5" t="n">
        <v>4863089</v>
      </c>
      <c r="L6" t="inlineStr">
        <is>
          <t>Total assets</t>
        </is>
      </c>
      <c r="M6" t="n">
        <v>4863089</v>
      </c>
      <c r="N6" t="n">
        <v>5232137</v>
      </c>
      <c r="O6" t="n">
        <v>6004216</v>
      </c>
      <c r="P6" t="n">
        <v>7274665</v>
      </c>
      <c r="Q6" t="n">
        <v>6852939</v>
      </c>
      <c r="R6" t="n">
        <v>6801461</v>
      </c>
      <c r="S6" t="n">
        <v>7158840</v>
      </c>
      <c r="T6" t="n">
        <v>7567981</v>
      </c>
      <c r="BD6" t="inlineStr">
        <is>
          <t>CET1 Ratio</t>
        </is>
      </c>
      <c r="BH6" t="n">
        <v>20.96</v>
      </c>
      <c r="BI6" t="n">
        <v>21.44</v>
      </c>
      <c r="BJ6" t="n">
        <v>23.11</v>
      </c>
      <c r="BK6" t="n">
        <v>23</v>
      </c>
    </row>
    <row r="7">
      <c r="A7" s="5" t="inlineStr">
        <is>
          <t>Financial assets</t>
        </is>
      </c>
      <c r="B7" s="5" t="n">
        <v>6339519</v>
      </c>
      <c r="C7" s="5" t="n">
        <v>5399523</v>
      </c>
      <c r="D7" s="5" t="n">
        <v>5229721</v>
      </c>
      <c r="E7" s="5" t="n">
        <v>5164686</v>
      </c>
      <c r="F7" s="5" t="n">
        <v>5204233</v>
      </c>
      <c r="G7" s="5" t="n">
        <v>4159605</v>
      </c>
      <c r="H7" s="5" t="n">
        <v>3956424</v>
      </c>
      <c r="I7" s="5" t="n">
        <v>3227198</v>
      </c>
      <c r="L7" t="inlineStr">
        <is>
          <t>Financial assets</t>
        </is>
      </c>
      <c r="M7" t="n">
        <v>3227198</v>
      </c>
      <c r="N7" t="n">
        <v>3956424</v>
      </c>
      <c r="O7" t="n">
        <v>4159605</v>
      </c>
      <c r="P7" t="n">
        <v>5204233</v>
      </c>
      <c r="Q7" t="n">
        <v>5164686</v>
      </c>
      <c r="R7" t="n">
        <v>5229721</v>
      </c>
      <c r="S7" t="n">
        <v>5399523</v>
      </c>
      <c r="T7" t="n">
        <v>6339519</v>
      </c>
      <c r="BD7" t="inlineStr">
        <is>
          <t>Tier 1 Ratio</t>
        </is>
      </c>
      <c r="BH7" t="n">
        <v>20.96</v>
      </c>
      <c r="BI7" t="n">
        <v>21.44</v>
      </c>
      <c r="BJ7" t="n">
        <v>23.11</v>
      </c>
      <c r="BK7" t="n">
        <v>23</v>
      </c>
    </row>
    <row r="8">
      <c r="A8" s="5" t="inlineStr">
        <is>
          <t>Customer accounts</t>
        </is>
      </c>
      <c r="B8" s="5" t="n">
        <v>6555269</v>
      </c>
      <c r="C8" s="5" t="n">
        <v>6427375</v>
      </c>
      <c r="D8" s="5" t="n">
        <v>6096719</v>
      </c>
      <c r="E8" s="5" t="n">
        <v>6214358</v>
      </c>
      <c r="F8" s="5" t="n">
        <v>6689431</v>
      </c>
      <c r="G8" s="5" t="n">
        <v>5544294</v>
      </c>
      <c r="H8" s="5" t="n">
        <v>4761856</v>
      </c>
      <c r="I8" s="5" t="n">
        <v>4364933</v>
      </c>
      <c r="L8" t="inlineStr">
        <is>
          <t>Customer accounts</t>
        </is>
      </c>
      <c r="M8" t="n">
        <v>4364933</v>
      </c>
      <c r="N8" t="n">
        <v>4761856</v>
      </c>
      <c r="O8" t="n">
        <v>5544294</v>
      </c>
      <c r="P8" t="n">
        <v>6689431</v>
      </c>
      <c r="Q8" t="n">
        <v>6214358</v>
      </c>
      <c r="R8" t="n">
        <v>6096719</v>
      </c>
      <c r="S8" t="n">
        <v>6427375</v>
      </c>
      <c r="T8" t="n">
        <v>6555269</v>
      </c>
      <c r="BD8" t="inlineStr">
        <is>
          <t>Total Capital Ratio</t>
        </is>
      </c>
      <c r="BH8" t="n">
        <v>21.2</v>
      </c>
      <c r="BI8" t="n">
        <v>21.72</v>
      </c>
      <c r="BJ8" t="n">
        <v>23.34</v>
      </c>
      <c r="BK8" t="n">
        <v>23.21</v>
      </c>
    </row>
    <row r="9">
      <c r="A9" s="5" t="inlineStr">
        <is>
          <t>Total equity</t>
        </is>
      </c>
      <c r="B9" s="5" t="n">
        <v>604683</v>
      </c>
      <c r="C9" s="5" t="n">
        <v>558231</v>
      </c>
      <c r="D9" s="5" t="n">
        <v>511668</v>
      </c>
      <c r="E9" s="5" t="n">
        <v>457332</v>
      </c>
      <c r="F9" s="5" t="n">
        <v>415693</v>
      </c>
      <c r="G9" s="5" t="n">
        <v>397732</v>
      </c>
      <c r="H9" s="5" t="n">
        <v>393721</v>
      </c>
      <c r="I9" s="5" t="n">
        <v>371389</v>
      </c>
      <c r="L9" t="inlineStr">
        <is>
          <t>Total equity</t>
        </is>
      </c>
      <c r="M9" t="n">
        <v>371389</v>
      </c>
      <c r="N9" t="n">
        <v>393721</v>
      </c>
      <c r="O9" t="n">
        <v>397732</v>
      </c>
      <c r="P9" t="n">
        <v>415693</v>
      </c>
      <c r="Q9" t="n">
        <v>457332</v>
      </c>
      <c r="R9" t="n">
        <v>511668</v>
      </c>
      <c r="S9" t="n">
        <v>558231</v>
      </c>
      <c r="T9" t="n">
        <v>604683</v>
      </c>
      <c r="BD9" t="inlineStr">
        <is>
          <t>Leverage Ratio</t>
        </is>
      </c>
      <c r="BH9" t="n">
        <v>6.61</v>
      </c>
      <c r="BI9" t="n">
        <v>6.96</v>
      </c>
      <c r="BJ9" t="n">
        <v>7.61</v>
      </c>
      <c r="BK9" t="n">
        <v>9.289999999999999</v>
      </c>
    </row>
    <row r="10">
      <c r="BD10" t="inlineStr">
        <is>
          <t>LCR</t>
        </is>
      </c>
      <c r="BH10" t="n">
        <v>272</v>
      </c>
      <c r="BI10" t="n">
        <v>273</v>
      </c>
      <c r="BJ10" t="n">
        <v>308</v>
      </c>
      <c r="BK10" t="n">
        <v>341</v>
      </c>
    </row>
    <row r="11">
      <c r="A11" s="3" t="inlineStr">
        <is>
          <t>Profit &amp; Loss Summary (£'000)</t>
        </is>
      </c>
      <c r="BD11" t="inlineStr">
        <is>
          <t>NSFR</t>
        </is>
      </c>
      <c r="BH11" t="n">
        <v>269</v>
      </c>
      <c r="BI11" t="n">
        <v>256</v>
      </c>
      <c r="BJ11" t="n">
        <v>246</v>
      </c>
      <c r="BK11" t="n">
        <v>250</v>
      </c>
    </row>
    <row r="12">
      <c r="A12" s="4" t="inlineStr">
        <is>
          <t>Line item</t>
        </is>
      </c>
      <c r="B12" s="4" t="inlineStr">
        <is>
          <t>FY2026</t>
        </is>
      </c>
      <c r="C12" s="4" t="inlineStr">
        <is>
          <t>FY2025</t>
        </is>
      </c>
      <c r="D12" s="4" t="inlineStr">
        <is>
          <t>FY2024</t>
        </is>
      </c>
      <c r="E12" s="4" t="inlineStr">
        <is>
          <t>FY2023</t>
        </is>
      </c>
      <c r="F12" s="4" t="inlineStr">
        <is>
          <t>FY2022</t>
        </is>
      </c>
      <c r="G12" s="4" t="inlineStr">
        <is>
          <t>FY2021</t>
        </is>
      </c>
      <c r="H12" s="4" t="inlineStr">
        <is>
          <t>FY2020</t>
        </is>
      </c>
      <c r="I12" s="4" t="inlineStr">
        <is>
          <t>FY2019</t>
        </is>
      </c>
      <c r="X12" t="inlineStr">
        <is>
          <t>FY2019</t>
        </is>
      </c>
      <c r="Y12" t="inlineStr">
        <is>
          <t>FY2020</t>
        </is>
      </c>
      <c r="Z12" t="inlineStr">
        <is>
          <t>FY2021</t>
        </is>
      </c>
      <c r="AA12" t="inlineStr">
        <is>
          <t>FY2022</t>
        </is>
      </c>
      <c r="AB12" t="inlineStr">
        <is>
          <t>FY2023</t>
        </is>
      </c>
      <c r="AC12" t="inlineStr">
        <is>
          <t>FY2024</t>
        </is>
      </c>
      <c r="AD12" t="inlineStr">
        <is>
          <t>FY2025</t>
        </is>
      </c>
      <c r="AE12" t="inlineStr">
        <is>
          <t>FY2026</t>
        </is>
      </c>
    </row>
    <row r="13">
      <c r="A13" s="5" t="inlineStr">
        <is>
          <t>Total income</t>
        </is>
      </c>
      <c r="B13" s="5" t="n">
        <v>254627</v>
      </c>
      <c r="C13" s="5" t="n">
        <v>249401</v>
      </c>
      <c r="D13" s="5" t="n">
        <v>271696</v>
      </c>
      <c r="E13" s="5" t="n">
        <v>210468</v>
      </c>
      <c r="F13" s="5" t="n">
        <v>108812</v>
      </c>
      <c r="G13" s="5" t="n">
        <v>102606</v>
      </c>
      <c r="H13" s="5" t="n">
        <v>123974</v>
      </c>
      <c r="I13" s="5" t="n">
        <v>123506</v>
      </c>
      <c r="W13" t="inlineStr">
        <is>
          <t>Total income</t>
        </is>
      </c>
      <c r="X13" t="n">
        <v>123506</v>
      </c>
      <c r="Y13" t="n">
        <v>123974</v>
      </c>
      <c r="Z13" t="n">
        <v>102606</v>
      </c>
      <c r="AA13" t="n">
        <v>108812</v>
      </c>
      <c r="AB13" t="n">
        <v>210468</v>
      </c>
      <c r="AC13" t="n">
        <v>271696</v>
      </c>
      <c r="AD13" t="n">
        <v>249401</v>
      </c>
      <c r="AE13" t="n">
        <v>254627</v>
      </c>
    </row>
    <row r="14">
      <c r="A14" s="5" t="inlineStr">
        <is>
          <t>Total operating expenses</t>
        </is>
      </c>
      <c r="B14" s="5" t="n">
        <v>-191163</v>
      </c>
      <c r="C14" s="5" t="n">
        <v>-183445</v>
      </c>
      <c r="D14" s="5" t="n">
        <v>-187201</v>
      </c>
      <c r="E14" s="5" t="n">
        <v>-136566</v>
      </c>
      <c r="F14" s="5" t="n">
        <v>-90753</v>
      </c>
      <c r="G14" s="5" t="n">
        <v>-85774</v>
      </c>
      <c r="H14" s="5" t="n">
        <v>-86828</v>
      </c>
      <c r="I14" s="5" t="n">
        <v>-83547</v>
      </c>
      <c r="W14" t="inlineStr">
        <is>
          <t>Total operating expenses</t>
        </is>
      </c>
      <c r="X14" t="n">
        <v>-83547</v>
      </c>
      <c r="Y14" t="n">
        <v>-86828</v>
      </c>
      <c r="Z14" t="n">
        <v>-85774</v>
      </c>
      <c r="AA14" t="n">
        <v>-90753</v>
      </c>
      <c r="AB14" t="n">
        <v>-136566</v>
      </c>
      <c r="AC14" t="n">
        <v>-187201</v>
      </c>
      <c r="AD14" t="n">
        <v>-183445</v>
      </c>
      <c r="AE14" t="n">
        <v>-191163</v>
      </c>
    </row>
    <row r="15">
      <c r="A15" s="5" t="inlineStr">
        <is>
          <t>Profit for the financial year</t>
        </is>
      </c>
      <c r="B15" s="5" t="n">
        <v>47083</v>
      </c>
      <c r="C15" s="5" t="n">
        <v>46776</v>
      </c>
      <c r="D15" s="5" t="n">
        <v>65399</v>
      </c>
      <c r="E15" s="5" t="n">
        <v>50204</v>
      </c>
      <c r="F15" s="5" t="n">
        <v>12743</v>
      </c>
      <c r="G15" s="5" t="n">
        <v>12254</v>
      </c>
      <c r="H15" s="5" t="n">
        <v>17659</v>
      </c>
      <c r="I15" s="5" t="n">
        <v>25760</v>
      </c>
      <c r="W15" t="inlineStr">
        <is>
          <t>Profit for the financial year</t>
        </is>
      </c>
      <c r="X15" t="n">
        <v>25760</v>
      </c>
      <c r="Y15" t="n">
        <v>17659</v>
      </c>
      <c r="Z15" t="n">
        <v>12254</v>
      </c>
      <c r="AA15" t="n">
        <v>12743</v>
      </c>
      <c r="AB15" t="n">
        <v>50204</v>
      </c>
      <c r="AC15" t="n">
        <v>65399</v>
      </c>
      <c r="AD15" t="n">
        <v>46776</v>
      </c>
      <c r="AE15" t="n">
        <v>47083</v>
      </c>
    </row>
    <row r="17">
      <c r="A17" s="3" t="inlineStr">
        <is>
          <t>Statement of Changes in Equity Summary (£'000)</t>
        </is>
      </c>
    </row>
    <row r="18">
      <c r="A18" s="4" t="inlineStr">
        <is>
          <t>Line item</t>
        </is>
      </c>
      <c r="B18" s="4" t="inlineStr">
        <is>
          <t>FY2026</t>
        </is>
      </c>
      <c r="C18" s="4" t="inlineStr">
        <is>
          <t>FY2025</t>
        </is>
      </c>
      <c r="D18" s="4" t="inlineStr">
        <is>
          <t>FY2024</t>
        </is>
      </c>
      <c r="E18" s="4" t="inlineStr">
        <is>
          <t>FY2023</t>
        </is>
      </c>
      <c r="F18" s="4" t="inlineStr">
        <is>
          <t>FY2022</t>
        </is>
      </c>
      <c r="G18" s="4" t="inlineStr">
        <is>
          <t>FY2021</t>
        </is>
      </c>
      <c r="H18" s="4" t="inlineStr">
        <is>
          <t>FY2020</t>
        </is>
      </c>
      <c r="I18" s="4" t="inlineStr">
        <is>
          <t>FY2019</t>
        </is>
      </c>
      <c r="AI18" t="inlineStr">
        <is>
          <t>FY2019</t>
        </is>
      </c>
      <c r="AJ18" t="inlineStr">
        <is>
          <t>FY2020</t>
        </is>
      </c>
      <c r="AK18" t="inlineStr">
        <is>
          <t>FY2021</t>
        </is>
      </c>
      <c r="AL18" t="inlineStr">
        <is>
          <t>FY2022</t>
        </is>
      </c>
      <c r="AM18" t="inlineStr">
        <is>
          <t>FY2023</t>
        </is>
      </c>
      <c r="AN18" t="inlineStr">
        <is>
          <t>FY2024</t>
        </is>
      </c>
      <c r="AO18" t="inlineStr">
        <is>
          <t>FY2025</t>
        </is>
      </c>
      <c r="AP18" t="inlineStr">
        <is>
          <t>FY2026</t>
        </is>
      </c>
    </row>
    <row r="19">
      <c r="A19" s="5" t="inlineStr">
        <is>
          <t>Opening equity</t>
        </is>
      </c>
      <c r="B19" s="5" t="n">
        <v>558231</v>
      </c>
      <c r="C19" s="5" t="n">
        <v>511668</v>
      </c>
      <c r="D19" s="5" t="n">
        <v>457332</v>
      </c>
      <c r="E19" s="5" t="n">
        <v>415693</v>
      </c>
      <c r="F19" s="5" t="n">
        <v>397732</v>
      </c>
      <c r="G19" s="5" t="n">
        <v>393721</v>
      </c>
      <c r="H19" s="5" t="n">
        <v>371389</v>
      </c>
      <c r="I19" s="5" t="n">
        <v>352457</v>
      </c>
      <c r="AH19" t="inlineStr">
        <is>
          <t>Opening equity</t>
        </is>
      </c>
      <c r="AI19" t="n">
        <v>352457</v>
      </c>
      <c r="AJ19" t="n">
        <v>371389</v>
      </c>
      <c r="AK19" t="n">
        <v>393721</v>
      </c>
      <c r="AL19" t="n">
        <v>397732</v>
      </c>
      <c r="AM19" t="n">
        <v>415693</v>
      </c>
      <c r="AN19" t="n">
        <v>457332</v>
      </c>
      <c r="AO19" t="n">
        <v>511668</v>
      </c>
      <c r="AP19" t="n">
        <v>558231</v>
      </c>
    </row>
    <row r="20">
      <c r="A20" s="5" t="inlineStr">
        <is>
          <t>Total comprehensive income for the year</t>
        </is>
      </c>
      <c r="B20" s="5" t="n">
        <v>46458</v>
      </c>
      <c r="C20" s="5" t="n">
        <v>46569</v>
      </c>
      <c r="D20" s="5" t="n">
        <v>54342</v>
      </c>
      <c r="E20" s="5" t="n">
        <v>41645</v>
      </c>
      <c r="F20" s="5" t="n">
        <v>17967</v>
      </c>
      <c r="G20" s="5" t="n">
        <v>4017</v>
      </c>
      <c r="H20" s="5" t="n">
        <v>22338</v>
      </c>
      <c r="I20" s="5" t="n">
        <v>18938</v>
      </c>
      <c r="AH20" t="inlineStr">
        <is>
          <t>Total comprehensive income for the year</t>
        </is>
      </c>
      <c r="AI20" t="n">
        <v>18938</v>
      </c>
      <c r="AJ20" t="n">
        <v>22338</v>
      </c>
      <c r="AK20" t="n">
        <v>4017</v>
      </c>
      <c r="AL20" t="n">
        <v>17967</v>
      </c>
      <c r="AM20" t="n">
        <v>41645</v>
      </c>
      <c r="AN20" t="n">
        <v>54342</v>
      </c>
      <c r="AO20" t="n">
        <v>46569</v>
      </c>
      <c r="AP20" t="n">
        <v>46458</v>
      </c>
    </row>
    <row r="21">
      <c r="A21" s="5" t="inlineStr">
        <is>
          <t>Dividends</t>
        </is>
      </c>
      <c r="B21" s="5" t="n">
        <v>-6</v>
      </c>
      <c r="C21" s="5" t="n">
        <v>-6</v>
      </c>
      <c r="D21" s="5" t="n">
        <v>-6</v>
      </c>
      <c r="E21" s="5" t="n">
        <v>-6</v>
      </c>
      <c r="F21" s="5" t="n">
        <v>-6</v>
      </c>
      <c r="G21" s="5" t="n">
        <v>-6</v>
      </c>
      <c r="H21" s="5" t="n">
        <v>-6</v>
      </c>
      <c r="I21" s="5" t="n">
        <v>-6</v>
      </c>
      <c r="AH21" t="inlineStr">
        <is>
          <t>Dividends</t>
        </is>
      </c>
      <c r="AI21" t="n">
        <v>-6</v>
      </c>
      <c r="AJ21" t="n">
        <v>-6</v>
      </c>
      <c r="AK21" t="n">
        <v>-6</v>
      </c>
      <c r="AL21" t="n">
        <v>-6</v>
      </c>
      <c r="AM21" t="n">
        <v>-6</v>
      </c>
      <c r="AN21" t="n">
        <v>-6</v>
      </c>
      <c r="AO21" t="n">
        <v>-6</v>
      </c>
      <c r="AP21" t="n">
        <v>-6</v>
      </c>
    </row>
    <row r="22">
      <c r="A22" s="5" t="inlineStr">
        <is>
          <t>Closing equity</t>
        </is>
      </c>
      <c r="B22" s="5" t="n">
        <v>604683</v>
      </c>
      <c r="C22" s="5" t="n">
        <v>558231</v>
      </c>
      <c r="D22" s="5" t="n">
        <v>511668</v>
      </c>
      <c r="E22" s="5" t="n">
        <v>457332</v>
      </c>
      <c r="F22" s="5" t="n">
        <v>415693</v>
      </c>
      <c r="G22" s="5" t="n">
        <v>397732</v>
      </c>
      <c r="H22" s="5" t="n">
        <v>393721</v>
      </c>
      <c r="I22" s="5" t="n">
        <v>371389</v>
      </c>
      <c r="AH22" t="inlineStr">
        <is>
          <t>Closing equity</t>
        </is>
      </c>
      <c r="AI22" t="n">
        <v>371389</v>
      </c>
      <c r="AJ22" t="n">
        <v>393721</v>
      </c>
      <c r="AK22" t="n">
        <v>397732</v>
      </c>
      <c r="AL22" t="n">
        <v>415693</v>
      </c>
      <c r="AM22" t="n">
        <v>457332</v>
      </c>
      <c r="AN22" t="n">
        <v>511668</v>
      </c>
      <c r="AO22" t="n">
        <v>558231</v>
      </c>
      <c r="AP22" t="n">
        <v>604683</v>
      </c>
    </row>
    <row r="24">
      <c r="A24" s="3" t="inlineStr">
        <is>
          <t>Cash Flow Summary (£'000)</t>
        </is>
      </c>
    </row>
    <row r="25">
      <c r="A25" s="4" t="inlineStr">
        <is>
          <t>Line item</t>
        </is>
      </c>
      <c r="B25" s="4" t="inlineStr">
        <is>
          <t>FY2026</t>
        </is>
      </c>
      <c r="C25" s="4" t="inlineStr">
        <is>
          <t>FY2025</t>
        </is>
      </c>
      <c r="D25" s="4" t="inlineStr">
        <is>
          <t>FY2024</t>
        </is>
      </c>
      <c r="E25" s="4" t="inlineStr">
        <is>
          <t>FY2023</t>
        </is>
      </c>
      <c r="F25" s="4" t="inlineStr">
        <is>
          <t>FY2022</t>
        </is>
      </c>
      <c r="G25" s="4" t="inlineStr">
        <is>
          <t>FY2021</t>
        </is>
      </c>
      <c r="H25" s="4" t="inlineStr">
        <is>
          <t>FY2020</t>
        </is>
      </c>
      <c r="I25" s="4" t="inlineStr">
        <is>
          <t>FY2019</t>
        </is>
      </c>
      <c r="AT25" t="inlineStr">
        <is>
          <t>FY2019</t>
        </is>
      </c>
      <c r="AU25" t="inlineStr">
        <is>
          <t>FY2020</t>
        </is>
      </c>
      <c r="AV25" t="inlineStr">
        <is>
          <t>FY2021</t>
        </is>
      </c>
      <c r="AW25" t="inlineStr">
        <is>
          <t>FY2022</t>
        </is>
      </c>
      <c r="AX25" t="inlineStr">
        <is>
          <t>FY2023</t>
        </is>
      </c>
      <c r="AY25" t="inlineStr">
        <is>
          <t>FY2024</t>
        </is>
      </c>
      <c r="AZ25" t="inlineStr">
        <is>
          <t>FY2025</t>
        </is>
      </c>
      <c r="BA25" t="inlineStr">
        <is>
          <t>FY2026</t>
        </is>
      </c>
    </row>
    <row r="26">
      <c r="A26" s="5" t="inlineStr">
        <is>
          <t>Net cash from/(used in) operating activities</t>
        </is>
      </c>
      <c r="B26" s="5" t="n">
        <v>75318</v>
      </c>
      <c r="C26" s="5" t="n">
        <v>321534</v>
      </c>
      <c r="D26" s="5" t="n">
        <v>-110569</v>
      </c>
      <c r="E26" s="5" t="n">
        <v>-436033</v>
      </c>
      <c r="F26" s="5" t="n">
        <v>1116449</v>
      </c>
      <c r="G26" s="5" t="n">
        <v>826864</v>
      </c>
      <c r="H26" s="5" t="n">
        <v>146890</v>
      </c>
      <c r="I26" s="5" t="n">
        <v>458219</v>
      </c>
      <c r="AS26" t="inlineStr">
        <is>
          <t>Net cash from/(used in) operating activities</t>
        </is>
      </c>
      <c r="AT26" t="n">
        <v>458219</v>
      </c>
      <c r="AU26" t="n">
        <v>146890</v>
      </c>
      <c r="AV26" t="n">
        <v>826864</v>
      </c>
      <c r="AW26" t="n">
        <v>1116449</v>
      </c>
      <c r="AX26" t="n">
        <v>-436033</v>
      </c>
      <c r="AY26" t="n">
        <v>-110569</v>
      </c>
      <c r="AZ26" t="n">
        <v>321534</v>
      </c>
      <c r="BA26" t="n">
        <v>75318</v>
      </c>
    </row>
    <row r="27">
      <c r="A27" s="5" t="inlineStr">
        <is>
          <t>Net cash from/(used in) investing activities</t>
        </is>
      </c>
      <c r="B27" s="5" t="n">
        <v>-606849</v>
      </c>
      <c r="C27" s="5" t="n">
        <v>-124015</v>
      </c>
      <c r="D27" s="5" t="n">
        <v>-53458</v>
      </c>
      <c r="E27" s="5" t="n">
        <v>64616</v>
      </c>
      <c r="F27" s="5" t="n">
        <v>-1009981</v>
      </c>
      <c r="G27" s="5" t="n">
        <v>-243033</v>
      </c>
      <c r="H27" s="5" t="n">
        <v>-515865</v>
      </c>
      <c r="I27" s="5" t="n">
        <v>-107126</v>
      </c>
      <c r="AS27" t="inlineStr">
        <is>
          <t>Net cash from/(used in) investing activities</t>
        </is>
      </c>
      <c r="AT27" t="n">
        <v>-107126</v>
      </c>
      <c r="AU27" t="n">
        <v>-515865</v>
      </c>
      <c r="AV27" t="n">
        <v>-243033</v>
      </c>
      <c r="AW27" t="n">
        <v>-1009981</v>
      </c>
      <c r="AX27" t="n">
        <v>64616</v>
      </c>
      <c r="AY27" t="n">
        <v>-53458</v>
      </c>
      <c r="AZ27" t="n">
        <v>-124015</v>
      </c>
      <c r="BA27" t="n">
        <v>-606849</v>
      </c>
    </row>
    <row r="28">
      <c r="A28" s="5" t="inlineStr">
        <is>
          <t>Net cash from/(used in) financing activities</t>
        </is>
      </c>
      <c r="B28" s="5" t="n">
        <v>-6</v>
      </c>
      <c r="C28" s="5" t="n">
        <v>-6</v>
      </c>
      <c r="D28" s="5" t="n">
        <v>-6</v>
      </c>
      <c r="E28" s="5" t="n">
        <v>-6</v>
      </c>
      <c r="F28" s="5" t="n">
        <v>-6</v>
      </c>
      <c r="G28" s="5" t="n">
        <v>-6</v>
      </c>
      <c r="H28" s="5" t="n">
        <v>-6</v>
      </c>
      <c r="I28" s="5" t="n">
        <v>-6</v>
      </c>
      <c r="AS28" t="inlineStr">
        <is>
          <t>Net cash from/(used in) financing activities</t>
        </is>
      </c>
      <c r="AT28" t="n">
        <v>-6</v>
      </c>
      <c r="AU28" t="n">
        <v>-6</v>
      </c>
      <c r="AV28" t="n">
        <v>-6</v>
      </c>
      <c r="AW28" t="n">
        <v>-6</v>
      </c>
      <c r="AX28" t="n">
        <v>-6</v>
      </c>
      <c r="AY28" t="n">
        <v>-6</v>
      </c>
      <c r="AZ28" t="n">
        <v>-6</v>
      </c>
      <c r="BA28" t="n">
        <v>-6</v>
      </c>
    </row>
    <row r="29">
      <c r="A29" s="5" t="inlineStr">
        <is>
          <t>Cash and cash equivalents at end of year</t>
        </is>
      </c>
      <c r="B29" s="5" t="n">
        <v>1049301</v>
      </c>
      <c r="C29" s="5" t="n">
        <v>1580850</v>
      </c>
      <c r="D29" s="5" t="n">
        <v>1382976</v>
      </c>
      <c r="E29" s="5" t="n">
        <v>1547010</v>
      </c>
      <c r="F29" s="5" t="n">
        <v>1918433</v>
      </c>
      <c r="G29" s="5" t="n">
        <v>1811971</v>
      </c>
      <c r="H29" s="5" t="n">
        <v>1228146</v>
      </c>
      <c r="I29" s="5" t="n">
        <v>1597127</v>
      </c>
      <c r="AS29" t="inlineStr">
        <is>
          <t>Cash and cash equivalents at end of year</t>
        </is>
      </c>
      <c r="AT29" t="n">
        <v>1597127</v>
      </c>
      <c r="AU29" t="n">
        <v>1228146</v>
      </c>
      <c r="AV29" t="n">
        <v>1811971</v>
      </c>
      <c r="AW29" t="n">
        <v>1918433</v>
      </c>
      <c r="AX29" t="n">
        <v>1547010</v>
      </c>
      <c r="AY29" t="n">
        <v>1382976</v>
      </c>
      <c r="AZ29" t="n">
        <v>1580850</v>
      </c>
      <c r="BA29" t="n">
        <v>1049301</v>
      </c>
    </row>
    <row r="31">
      <c r="A31" s="3" t="inlineStr">
        <is>
          <t>Pillar 3 Key Metrics</t>
        </is>
      </c>
    </row>
    <row r="32">
      <c r="A32" s="4" t="inlineStr">
        <is>
          <t>Line item</t>
        </is>
      </c>
      <c r="B32" s="4" t="inlineStr">
        <is>
          <t>FY2026</t>
        </is>
      </c>
      <c r="C32" s="4" t="inlineStr">
        <is>
          <t>FY2025</t>
        </is>
      </c>
      <c r="D32" s="4" t="inlineStr">
        <is>
          <t>FY2024</t>
        </is>
      </c>
      <c r="E32" s="4" t="inlineStr">
        <is>
          <t>FY2023</t>
        </is>
      </c>
      <c r="F32" s="4" t="inlineStr">
        <is>
          <t>FY2022</t>
        </is>
      </c>
      <c r="G32" s="4" t="inlineStr">
        <is>
          <t>FY2021</t>
        </is>
      </c>
      <c r="H32" s="4" t="inlineStr">
        <is>
          <t>FY2020</t>
        </is>
      </c>
      <c r="I32" s="4" t="inlineStr">
        <is>
          <t>FY2019</t>
        </is>
      </c>
    </row>
    <row r="33">
      <c r="A33" s="6" t="inlineStr">
        <is>
          <t>CET1 Ratio</t>
        </is>
      </c>
      <c r="B33" s="6" t="n"/>
      <c r="C33" s="6" t="inlineStr">
        <is>
          <t>23.00%</t>
        </is>
      </c>
      <c r="D33" s="6" t="inlineStr">
        <is>
          <t>23.11%</t>
        </is>
      </c>
      <c r="E33" s="6" t="inlineStr">
        <is>
          <t>21.44%</t>
        </is>
      </c>
      <c r="F33" s="6" t="inlineStr">
        <is>
          <t>20.96%</t>
        </is>
      </c>
      <c r="G33" s="6" t="n"/>
      <c r="H33" s="6" t="n"/>
      <c r="I33" s="6" t="n"/>
    </row>
    <row r="34">
      <c r="A34" s="6" t="inlineStr">
        <is>
          <t>Tier 1 Ratio</t>
        </is>
      </c>
      <c r="B34" s="6" t="n"/>
      <c r="C34" s="6" t="inlineStr">
        <is>
          <t>23.00%</t>
        </is>
      </c>
      <c r="D34" s="6" t="inlineStr">
        <is>
          <t>23.11%</t>
        </is>
      </c>
      <c r="E34" s="6" t="inlineStr">
        <is>
          <t>21.44%</t>
        </is>
      </c>
      <c r="F34" s="6" t="inlineStr">
        <is>
          <t>20.96%</t>
        </is>
      </c>
      <c r="G34" s="6" t="n"/>
      <c r="H34" s="6" t="n"/>
      <c r="I34" s="6" t="n"/>
    </row>
    <row r="35">
      <c r="A35" s="6" t="inlineStr">
        <is>
          <t>Total Capital Ratio</t>
        </is>
      </c>
      <c r="B35" s="6" t="n"/>
      <c r="C35" s="6" t="inlineStr">
        <is>
          <t>23.21%</t>
        </is>
      </c>
      <c r="D35" s="6" t="inlineStr">
        <is>
          <t>23.34%</t>
        </is>
      </c>
      <c r="E35" s="6" t="inlineStr">
        <is>
          <t>21.72%</t>
        </is>
      </c>
      <c r="F35" s="6" t="inlineStr">
        <is>
          <t>21.20%</t>
        </is>
      </c>
      <c r="G35" s="6" t="n"/>
      <c r="H35" s="6" t="n"/>
      <c r="I35" s="6" t="n"/>
    </row>
    <row r="36">
      <c r="A36" s="6" t="inlineStr">
        <is>
          <t>Leverage Ratio</t>
        </is>
      </c>
      <c r="B36" s="6" t="n"/>
      <c r="C36" s="6" t="inlineStr">
        <is>
          <t>9.29%</t>
        </is>
      </c>
      <c r="D36" s="6" t="inlineStr">
        <is>
          <t>7.61%</t>
        </is>
      </c>
      <c r="E36" s="6" t="inlineStr">
        <is>
          <t>6.96%</t>
        </is>
      </c>
      <c r="F36" s="6" t="inlineStr">
        <is>
          <t>6.61%</t>
        </is>
      </c>
      <c r="G36" s="6" t="n"/>
      <c r="H36" s="6" t="n"/>
      <c r="I36" s="6" t="n"/>
    </row>
    <row r="37">
      <c r="A37" s="6" t="inlineStr">
        <is>
          <t>LCR</t>
        </is>
      </c>
      <c r="B37" s="6" t="n"/>
      <c r="C37" s="6" t="inlineStr">
        <is>
          <t>341%</t>
        </is>
      </c>
      <c r="D37" s="6" t="inlineStr">
        <is>
          <t>308%</t>
        </is>
      </c>
      <c r="E37" s="6" t="inlineStr">
        <is>
          <t>273%</t>
        </is>
      </c>
      <c r="F37" s="6" t="inlineStr">
        <is>
          <t>272%</t>
        </is>
      </c>
      <c r="G37" s="6" t="n"/>
      <c r="H37" s="6" t="n"/>
      <c r="I37" s="6" t="n"/>
    </row>
    <row r="38">
      <c r="A38" s="6" t="inlineStr">
        <is>
          <t>NSFR</t>
        </is>
      </c>
      <c r="B38" s="6" t="n"/>
      <c r="C38" s="6" t="inlineStr">
        <is>
          <t>250%</t>
        </is>
      </c>
      <c r="D38" s="6" t="inlineStr">
        <is>
          <t>246%</t>
        </is>
      </c>
      <c r="E38" s="6" t="inlineStr">
        <is>
          <t>256%</t>
        </is>
      </c>
      <c r="F38" s="6" t="inlineStr">
        <is>
          <t>269%</t>
        </is>
      </c>
      <c r="G38" s="6" t="n"/>
      <c r="H38" s="6" t="n"/>
      <c r="I38" s="6" t="n"/>
    </row>
    <row r="40" ht="45" customHeight="1">
      <c r="A40" s="7" t="inlineStr">
        <is>
          <t>Note: Figures are duplicated from the detail sheets for at-a-glance trend viewing; see each sheet's own source citation for the underlying document/page. FY2026 Pillar 3 ratios not yet published.</t>
        </is>
      </c>
    </row>
  </sheetData>
  <mergeCells count="1">
    <mergeCell ref="A40:I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I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C. Hoare &amp; Co. — Consolidated and Company Balance Sheets</t>
        </is>
      </c>
    </row>
    <row r="2">
      <c r="A2" s="2" t="inlineStr">
        <is>
          <t>Group column, £'000. See source note at bottom.</t>
        </is>
      </c>
    </row>
    <row r="3">
      <c r="A3" s="4" t="inlineStr">
        <is>
          <t>Line item</t>
        </is>
      </c>
      <c r="B3" s="4" t="inlineStr">
        <is>
          <t>FY2026 (£'000)</t>
        </is>
      </c>
      <c r="C3" s="4" t="inlineStr">
        <is>
          <t>FY2025 (£'000)</t>
        </is>
      </c>
      <c r="D3" s="4" t="inlineStr">
        <is>
          <t>FY2024 (£'000)</t>
        </is>
      </c>
      <c r="E3" s="4" t="inlineStr">
        <is>
          <t>FY2023 (£'000)</t>
        </is>
      </c>
      <c r="F3" s="4" t="inlineStr">
        <is>
          <t>FY2022 (£'000)</t>
        </is>
      </c>
      <c r="G3" s="4" t="inlineStr">
        <is>
          <t>FY2021 (£'000)</t>
        </is>
      </c>
      <c r="H3" s="4" t="inlineStr">
        <is>
          <t>FY2020 (£'000)</t>
        </is>
      </c>
      <c r="I3" s="4" t="inlineStr">
        <is>
          <t>FY2019 (£'000)</t>
        </is>
      </c>
    </row>
    <row r="4">
      <c r="A4" s="5" t="inlineStr">
        <is>
          <t>Assets</t>
        </is>
      </c>
      <c r="B4" s="6" t="n"/>
      <c r="C4" s="6" t="n"/>
      <c r="D4" s="6" t="n"/>
      <c r="E4" s="6" t="n"/>
      <c r="F4" s="6" t="n"/>
      <c r="G4" s="6" t="n"/>
      <c r="H4" s="6" t="n"/>
      <c r="I4" s="6" t="n"/>
    </row>
    <row r="5">
      <c r="A5" s="6" t="inlineStr">
        <is>
          <t>Cash and balances at central banks</t>
        </is>
      </c>
      <c r="B5" s="6" t="n">
        <v>896317</v>
      </c>
      <c r="C5" s="6" t="n">
        <v>1548443</v>
      </c>
      <c r="D5" s="6" t="n">
        <v>1345322</v>
      </c>
      <c r="E5" s="6" t="n">
        <v>1452949</v>
      </c>
      <c r="F5" s="6" t="n">
        <v>1843378</v>
      </c>
      <c r="G5" s="6" t="n">
        <v>1709735</v>
      </c>
      <c r="H5" s="6" t="n">
        <v>1161138</v>
      </c>
      <c r="I5" s="6" t="n">
        <v>1525359</v>
      </c>
    </row>
    <row r="6">
      <c r="A6" s="6" t="inlineStr">
        <is>
          <t>Items in course of collection from banks</t>
        </is>
      </c>
      <c r="B6" s="6" t="n">
        <v>316</v>
      </c>
      <c r="C6" s="6" t="n">
        <v>136</v>
      </c>
      <c r="D6" s="6" t="n">
        <v>266</v>
      </c>
      <c r="E6" s="6" t="n">
        <v>240</v>
      </c>
      <c r="F6" s="6" t="n">
        <v>330</v>
      </c>
      <c r="G6" s="6" t="n">
        <v>303</v>
      </c>
      <c r="H6" s="6" t="n">
        <v>12</v>
      </c>
      <c r="I6" s="6" t="n">
        <v>1074</v>
      </c>
    </row>
    <row r="7">
      <c r="A7" s="6" t="inlineStr">
        <is>
          <t>Derivative financial instruments (assets)</t>
        </is>
      </c>
      <c r="B7" s="6" t="n">
        <v>215175</v>
      </c>
      <c r="C7" s="6" t="n">
        <v>100364</v>
      </c>
      <c r="D7" s="6" t="n">
        <v>117813</v>
      </c>
      <c r="E7" s="6" t="n">
        <v>126976</v>
      </c>
      <c r="F7" s="6" t="n">
        <v>110851</v>
      </c>
      <c r="G7" s="6" t="n">
        <v>29394</v>
      </c>
      <c r="H7" s="6" t="n">
        <v>31</v>
      </c>
      <c r="I7" s="6" t="n">
        <v>2105</v>
      </c>
    </row>
    <row r="8">
      <c r="A8" s="6" t="inlineStr">
        <is>
          <t>Financial assets</t>
        </is>
      </c>
      <c r="B8" s="6" t="n">
        <v>6339519</v>
      </c>
      <c r="C8" s="6" t="n">
        <v>5399523</v>
      </c>
      <c r="D8" s="6" t="n">
        <v>5229721</v>
      </c>
      <c r="E8" s="6" t="n">
        <v>5164686</v>
      </c>
      <c r="F8" s="6" t="n">
        <v>5204233</v>
      </c>
      <c r="G8" s="6" t="n">
        <v>4159605</v>
      </c>
      <c r="H8" s="6" t="n">
        <v>3956424</v>
      </c>
      <c r="I8" s="6" t="n">
        <v>3227198</v>
      </c>
    </row>
    <row r="9">
      <c r="A9" s="6" t="inlineStr">
        <is>
          <t>Intangible assets</t>
        </is>
      </c>
      <c r="B9" s="6" t="n">
        <v>37247</v>
      </c>
      <c r="C9" s="6" t="n">
        <v>31776</v>
      </c>
      <c r="D9" s="6" t="n">
        <v>17363</v>
      </c>
      <c r="E9" s="6" t="n">
        <v>16765</v>
      </c>
      <c r="F9" s="6" t="n">
        <v>17821</v>
      </c>
      <c r="G9" s="6" t="n">
        <v>16067</v>
      </c>
      <c r="H9" s="6" t="n"/>
      <c r="I9" s="6" t="n"/>
    </row>
    <row r="10">
      <c r="A10" s="6" t="inlineStr">
        <is>
          <t>Property and equipment</t>
        </is>
      </c>
      <c r="B10" s="6" t="n">
        <v>52872</v>
      </c>
      <c r="C10" s="6" t="n">
        <v>53192</v>
      </c>
      <c r="D10" s="6" t="n">
        <v>50064</v>
      </c>
      <c r="E10" s="6" t="n">
        <v>51008</v>
      </c>
      <c r="F10" s="6" t="n">
        <v>55428</v>
      </c>
      <c r="G10" s="6" t="n">
        <v>57697</v>
      </c>
      <c r="H10" s="6" t="n">
        <v>82849</v>
      </c>
      <c r="I10" s="6" t="n">
        <v>83668</v>
      </c>
    </row>
    <row r="11">
      <c r="A11" s="6" t="inlineStr">
        <is>
          <t>Heritage assets</t>
        </is>
      </c>
      <c r="B11" s="6" t="n">
        <v>15297</v>
      </c>
      <c r="C11" s="6" t="n">
        <v>15105</v>
      </c>
      <c r="D11" s="6" t="n">
        <v>15098</v>
      </c>
      <c r="E11" s="6" t="n">
        <v>15040</v>
      </c>
      <c r="F11" s="6" t="n">
        <v>14987</v>
      </c>
      <c r="G11" s="6" t="n">
        <v>9477</v>
      </c>
      <c r="H11" s="6" t="n">
        <v>9473</v>
      </c>
      <c r="I11" s="6" t="n">
        <v>9438</v>
      </c>
    </row>
    <row r="12">
      <c r="A12" s="6" t="inlineStr">
        <is>
          <t>Deferred tax asset</t>
        </is>
      </c>
      <c r="B12" s="6" t="n"/>
      <c r="C12" s="6" t="n"/>
      <c r="D12" s="6" t="n">
        <v>27</v>
      </c>
      <c r="E12" s="6" t="n">
        <v>496</v>
      </c>
      <c r="F12" s="6" t="n">
        <v>989</v>
      </c>
      <c r="G12" s="6" t="n">
        <v>1677</v>
      </c>
      <c r="H12" s="6" t="n">
        <v>1016</v>
      </c>
      <c r="I12" s="6" t="n">
        <v>856</v>
      </c>
    </row>
    <row r="13">
      <c r="A13" s="6" t="inlineStr">
        <is>
          <t>Other assets</t>
        </is>
      </c>
      <c r="B13" s="6" t="n">
        <v>3358</v>
      </c>
      <c r="C13" s="6" t="n">
        <v>1237</v>
      </c>
      <c r="D13" s="6" t="n">
        <v>4519</v>
      </c>
      <c r="E13" s="6" t="n">
        <v>3849</v>
      </c>
      <c r="F13" s="6" t="n">
        <v>3672</v>
      </c>
      <c r="G13" s="6" t="n">
        <v>3266</v>
      </c>
      <c r="H13" s="6" t="n">
        <v>3591</v>
      </c>
      <c r="I13" s="6" t="n">
        <v>343</v>
      </c>
    </row>
    <row r="14">
      <c r="A14" s="6" t="inlineStr">
        <is>
          <t>Prepayments and accrued income</t>
        </is>
      </c>
      <c r="B14" s="6" t="n">
        <v>7880</v>
      </c>
      <c r="C14" s="6" t="n">
        <v>9064</v>
      </c>
      <c r="D14" s="6" t="n">
        <v>21268</v>
      </c>
      <c r="E14" s="6" t="n">
        <v>17071</v>
      </c>
      <c r="F14" s="6" t="n">
        <v>13145</v>
      </c>
      <c r="G14" s="6" t="n">
        <v>13045</v>
      </c>
      <c r="H14" s="6" t="n">
        <v>9121</v>
      </c>
      <c r="I14" s="6" t="n">
        <v>12469</v>
      </c>
    </row>
    <row r="15">
      <c r="A15" s="6" t="inlineStr">
        <is>
          <t>Post retirement benefit asset</t>
        </is>
      </c>
      <c r="B15" s="6" t="n"/>
      <c r="C15" s="6" t="n"/>
      <c r="D15" s="6" t="n"/>
      <c r="E15" s="6" t="n">
        <v>3859</v>
      </c>
      <c r="F15" s="6" t="n">
        <v>9831</v>
      </c>
      <c r="G15" s="6" t="n">
        <v>3950</v>
      </c>
      <c r="H15" s="6" t="n">
        <v>8482</v>
      </c>
      <c r="I15" s="6" t="n">
        <v>579</v>
      </c>
    </row>
    <row r="16">
      <c r="A16" s="5" t="inlineStr">
        <is>
          <t>Total assets</t>
        </is>
      </c>
      <c r="B16" s="5" t="n">
        <v>7567981</v>
      </c>
      <c r="C16" s="5" t="n">
        <v>7158840</v>
      </c>
      <c r="D16" s="5" t="n">
        <v>6801461</v>
      </c>
      <c r="E16" s="5" t="n">
        <v>6852939</v>
      </c>
      <c r="F16" s="5" t="n">
        <v>7274665</v>
      </c>
      <c r="G16" s="5" t="n">
        <v>6004216</v>
      </c>
      <c r="H16" s="5" t="n">
        <v>5232137</v>
      </c>
      <c r="I16" s="5" t="n">
        <v>4863089</v>
      </c>
    </row>
    <row r="17">
      <c r="A17" s="5" t="inlineStr">
        <is>
          <t>Liabilities</t>
        </is>
      </c>
      <c r="B17" s="6" t="n"/>
      <c r="C17" s="6" t="n"/>
      <c r="D17" s="6" t="n"/>
      <c r="E17" s="6" t="n"/>
      <c r="F17" s="6" t="n"/>
      <c r="G17" s="6" t="n"/>
      <c r="H17" s="6" t="n"/>
      <c r="I17" s="6" t="n"/>
    </row>
    <row r="18">
      <c r="A18" s="6" t="inlineStr">
        <is>
          <t>Deposits by banks</t>
        </is>
      </c>
      <c r="B18" s="6" t="n">
        <v>309283</v>
      </c>
      <c r="C18" s="6" t="n">
        <v>99590</v>
      </c>
      <c r="D18" s="6" t="n">
        <v>109543</v>
      </c>
      <c r="E18" s="6" t="n">
        <v>122958</v>
      </c>
      <c r="F18" s="6" t="n">
        <v>119572</v>
      </c>
      <c r="G18" s="6" t="n">
        <v>0</v>
      </c>
      <c r="H18" s="6" t="n">
        <v>466</v>
      </c>
      <c r="I18" s="6" t="n">
        <v>60</v>
      </c>
    </row>
    <row r="19">
      <c r="A19" s="6" t="inlineStr">
        <is>
          <t>Customer accounts</t>
        </is>
      </c>
      <c r="B19" s="6" t="n">
        <v>6555269</v>
      </c>
      <c r="C19" s="6" t="n">
        <v>6427375</v>
      </c>
      <c r="D19" s="6" t="n">
        <v>6096719</v>
      </c>
      <c r="E19" s="6" t="n">
        <v>6214358</v>
      </c>
      <c r="F19" s="6" t="n">
        <v>6689431</v>
      </c>
      <c r="G19" s="6" t="n">
        <v>5544294</v>
      </c>
      <c r="H19" s="6" t="n">
        <v>4761856</v>
      </c>
      <c r="I19" s="6" t="n">
        <v>4364933</v>
      </c>
    </row>
    <row r="20">
      <c r="A20" s="6" t="inlineStr">
        <is>
          <t>Derivative financial instruments (liabilities)</t>
        </is>
      </c>
      <c r="B20" s="6" t="n">
        <v>668</v>
      </c>
      <c r="C20" s="6" t="n">
        <v>712</v>
      </c>
      <c r="D20" s="6" t="n">
        <v>6764</v>
      </c>
      <c r="E20" s="6" t="n">
        <v>3158</v>
      </c>
      <c r="F20" s="6" t="n">
        <v>4629</v>
      </c>
      <c r="G20" s="6" t="n">
        <v>21787</v>
      </c>
      <c r="H20" s="6" t="n">
        <v>37128</v>
      </c>
      <c r="I20" s="6" t="n">
        <v>80184</v>
      </c>
    </row>
    <row r="21">
      <c r="A21" s="6" t="inlineStr">
        <is>
          <t>Deferred tax liability</t>
        </is>
      </c>
      <c r="B21" s="6" t="n">
        <v>14802</v>
      </c>
      <c r="C21" s="6" t="n">
        <v>11555</v>
      </c>
      <c r="D21" s="6" t="n">
        <v>11331</v>
      </c>
      <c r="E21" s="6" t="n">
        <v>12342</v>
      </c>
      <c r="F21" s="6" t="n">
        <v>15548</v>
      </c>
      <c r="G21" s="6" t="n">
        <v>10725</v>
      </c>
      <c r="H21" s="6" t="n">
        <v>8629</v>
      </c>
      <c r="I21" s="6" t="n">
        <v>9425</v>
      </c>
    </row>
    <row r="22">
      <c r="A22" s="6" t="inlineStr">
        <is>
          <t>Other liabilities</t>
        </is>
      </c>
      <c r="B22" s="6" t="n">
        <v>5457</v>
      </c>
      <c r="C22" s="6" t="n">
        <v>29582</v>
      </c>
      <c r="D22" s="6" t="n">
        <v>4901</v>
      </c>
      <c r="E22" s="6" t="n">
        <v>3072</v>
      </c>
      <c r="F22" s="6" t="n">
        <v>2485</v>
      </c>
      <c r="G22" s="6" t="n">
        <v>3318</v>
      </c>
      <c r="H22" s="6" t="n">
        <v>845</v>
      </c>
      <c r="I22" s="6" t="n">
        <v>2990</v>
      </c>
    </row>
    <row r="23">
      <c r="A23" s="6" t="inlineStr">
        <is>
          <t>Accruals and deferred income</t>
        </is>
      </c>
      <c r="B23" s="6" t="n">
        <v>77819</v>
      </c>
      <c r="C23" s="6" t="n">
        <v>31795</v>
      </c>
      <c r="D23" s="6" t="n">
        <v>60428</v>
      </c>
      <c r="E23" s="6" t="n">
        <v>39719</v>
      </c>
      <c r="F23" s="6" t="n">
        <v>24557</v>
      </c>
      <c r="G23" s="6" t="n">
        <v>21547</v>
      </c>
      <c r="H23" s="6" t="n">
        <v>24946</v>
      </c>
      <c r="I23" s="6" t="n">
        <v>30738</v>
      </c>
    </row>
    <row r="24">
      <c r="A24" s="6" t="inlineStr">
        <is>
          <t>Post retirement benefit liability</t>
        </is>
      </c>
      <c r="B24" s="6" t="n"/>
      <c r="C24" s="6" t="n"/>
      <c r="D24" s="6" t="n">
        <v>107</v>
      </c>
      <c r="E24" s="6" t="n"/>
      <c r="F24" s="6" t="n"/>
      <c r="G24" s="6" t="n"/>
      <c r="H24" s="6" t="n"/>
      <c r="I24" s="6" t="n"/>
    </row>
    <row r="25">
      <c r="A25" s="6" t="inlineStr">
        <is>
          <t>Provision for other liabilities</t>
        </is>
      </c>
      <c r="B25" s="6" t="n"/>
      <c r="C25" s="6" t="n"/>
      <c r="D25" s="6" t="n"/>
      <c r="E25" s="6" t="n"/>
      <c r="F25" s="6" t="n">
        <v>2750</v>
      </c>
      <c r="G25" s="6" t="n">
        <v>4813</v>
      </c>
      <c r="H25" s="6" t="n">
        <v>4546</v>
      </c>
      <c r="I25" s="6" t="n">
        <v>3370</v>
      </c>
    </row>
    <row r="26">
      <c r="A26" s="5" t="inlineStr">
        <is>
          <t>Total liabilities</t>
        </is>
      </c>
      <c r="B26" s="5" t="n">
        <v>6963298</v>
      </c>
      <c r="C26" s="5" t="n">
        <v>6600609</v>
      </c>
      <c r="D26" s="5" t="n">
        <v>6289793</v>
      </c>
      <c r="E26" s="5" t="n">
        <v>6395607</v>
      </c>
      <c r="F26" s="5" t="n">
        <v>6858972</v>
      </c>
      <c r="G26" s="5" t="n">
        <v>5606484</v>
      </c>
      <c r="H26" s="5" t="n">
        <v>4838416</v>
      </c>
      <c r="I26" s="5" t="n">
        <v>4491700</v>
      </c>
    </row>
    <row r="27">
      <c r="A27" s="5" t="inlineStr">
        <is>
          <t>Equity</t>
        </is>
      </c>
      <c r="B27" s="6" t="n"/>
      <c r="C27" s="6" t="n"/>
      <c r="D27" s="6" t="n"/>
      <c r="E27" s="6" t="n"/>
      <c r="F27" s="6" t="n"/>
      <c r="G27" s="6" t="n"/>
      <c r="H27" s="6" t="n"/>
      <c r="I27" s="6" t="n"/>
    </row>
    <row r="28">
      <c r="A28" s="6" t="inlineStr">
        <is>
          <t>Called up share capital</t>
        </is>
      </c>
      <c r="B28" s="6" t="n">
        <v>120</v>
      </c>
      <c r="C28" s="6" t="n">
        <v>120</v>
      </c>
      <c r="D28" s="6" t="n">
        <v>120</v>
      </c>
      <c r="E28" s="6" t="n">
        <v>120</v>
      </c>
      <c r="F28" s="6" t="n">
        <v>120</v>
      </c>
      <c r="G28" s="6" t="n">
        <v>120</v>
      </c>
      <c r="H28" s="6" t="n">
        <v>120</v>
      </c>
      <c r="I28" s="6" t="n">
        <v>120</v>
      </c>
    </row>
    <row r="29">
      <c r="A29" s="6" t="inlineStr">
        <is>
          <t>Reserve fund</t>
        </is>
      </c>
      <c r="B29" s="6" t="n">
        <v>22598</v>
      </c>
      <c r="C29" s="6" t="n">
        <v>22598</v>
      </c>
      <c r="D29" s="6" t="n">
        <v>22598</v>
      </c>
      <c r="E29" s="6" t="n">
        <v>22598</v>
      </c>
      <c r="F29" s="6" t="n">
        <v>22598</v>
      </c>
      <c r="G29" s="6" t="n">
        <v>22598</v>
      </c>
      <c r="H29" s="6" t="n">
        <v>22598</v>
      </c>
      <c r="I29" s="6" t="n">
        <v>22598</v>
      </c>
    </row>
    <row r="30">
      <c r="A30" s="6" t="inlineStr">
        <is>
          <t>Revaluation reserves</t>
        </is>
      </c>
      <c r="B30" s="6" t="n">
        <v>30893</v>
      </c>
      <c r="C30" s="6" t="n">
        <v>31518</v>
      </c>
      <c r="D30" s="6" t="n">
        <v>31526</v>
      </c>
      <c r="E30" s="6" t="n">
        <v>32004</v>
      </c>
      <c r="F30" s="6" t="n">
        <v>35878</v>
      </c>
      <c r="G30" s="6" t="n">
        <v>34784</v>
      </c>
      <c r="H30" s="6" t="n">
        <v>37531</v>
      </c>
      <c r="I30" s="6" t="n">
        <v>40740</v>
      </c>
    </row>
    <row r="31">
      <c r="A31" s="6" t="inlineStr">
        <is>
          <t>Retained earnings</t>
        </is>
      </c>
      <c r="B31" s="6" t="n">
        <v>551072</v>
      </c>
      <c r="C31" s="6" t="n">
        <v>503995</v>
      </c>
      <c r="D31" s="6" t="n">
        <v>457424</v>
      </c>
      <c r="E31" s="6" t="n">
        <v>402610</v>
      </c>
      <c r="F31" s="6" t="n">
        <v>357097</v>
      </c>
      <c r="G31" s="6" t="n">
        <v>340230</v>
      </c>
      <c r="H31" s="6" t="n">
        <v>333472</v>
      </c>
      <c r="I31" s="6" t="n">
        <v>307931</v>
      </c>
    </row>
    <row r="32">
      <c r="A32" s="5" t="inlineStr">
        <is>
          <t>Total equity</t>
        </is>
      </c>
      <c r="B32" s="5" t="n">
        <v>604683</v>
      </c>
      <c r="C32" s="5" t="n">
        <v>558231</v>
      </c>
      <c r="D32" s="5" t="n">
        <v>511668</v>
      </c>
      <c r="E32" s="5" t="n">
        <v>457332</v>
      </c>
      <c r="F32" s="5" t="n">
        <v>415693</v>
      </c>
      <c r="G32" s="5" t="n">
        <v>397732</v>
      </c>
      <c r="H32" s="5" t="n">
        <v>393721</v>
      </c>
      <c r="I32" s="5" t="n">
        <v>371389</v>
      </c>
    </row>
    <row r="33">
      <c r="A33" s="5" t="inlineStr">
        <is>
          <t>Total liabilities and equity</t>
        </is>
      </c>
      <c r="B33" s="5" t="n">
        <v>7567981</v>
      </c>
      <c r="C33" s="5" t="n">
        <v>7158840</v>
      </c>
      <c r="D33" s="5" t="n">
        <v>6801461</v>
      </c>
      <c r="E33" s="5" t="n">
        <v>6852939</v>
      </c>
      <c r="F33" s="5" t="n">
        <v>7274665</v>
      </c>
      <c r="G33" s="5" t="n">
        <v>6004216</v>
      </c>
      <c r="H33" s="5" t="n">
        <v>5232137</v>
      </c>
      <c r="I33" s="5" t="n">
        <v>4863089</v>
      </c>
    </row>
    <row r="35" ht="380" customHeight="1">
      <c r="A35" s="8" t="inlineStr">
        <is>
          <t>Sources - C. Hoare &amp; Co.'s own Consolidated Statement of Comprehensive Income / Consolidated and Company Balance Sheets / Consolidated Statement of Changes in Equity (Group column only used), £'000, each from that year's own originally-published Financial Report:
FY2026: Financial Report 2026, pp.45,47,49 - https://www.hoaresbank.co.uk/files/2026-06/Financial_Report_2026.pdf
FY2025: Financial Report 2025, pp.35,36,37 - https://www.hoaresbank.co.uk/files/2025-07/Financial_Report_2025.pdf
FY2024: Financial Report 2024, pp.37,38,39 - https://www.hoaresbank.co.uk/files/2024-06/Financial_Report_2024.pdf
FY2023: Financial Report 2023, pp.33,34,35 - https://www.hoaresbank.co.uk/files/2023-07/Financial_Report_2023.pdf
FY2022: Annual Report 2022, pp.32,33,34 - https://www.hoaresbank.co.uk/files/2022-07/Annual_Report_2022.pdf
FY2021: Annual Report 2021, pp.32,33,34 - https://www.hoaresbank.co.uk/files/2021-10/CHC_Cons_Accounts21.pdf
FY2020: Annual Report 2020, pp.29,30,31 - https://www.hoaresbank.co.uk/files/2021-05/Annual_Report_and_Accounts_for_2020.pdf
FY2019: Financial Report 2019, pp.23,24,25 - https://www.hoaresbank.co.uk/files/2021-05/Financial_Report_2019.pdf
C. Hoare &amp; Co. (company 00240822, FRN 122093) is a private unlimited company - Britain's oldest privately-owned bank, founded 1672, owned by the Hoare family. Despite the unlimited-company legal form, it voluntarily publishes full audited Consolidated (Group) accounts and Pillar 3 disclosures every year on its own site (hoaresbank.co.uk/financial-reports), all text-native, no OCR needed, 0 WebSearch calls used (all sourcing via WebFetch against the bank's own site and Companies House). Fiscal year-end 31 March. Every figure below is each year's own originally-published report - not a later restated comparative. FY2025's report introduced a new 'Effect of exchange rate changes' line splitting out what FY2024's own report folded into a single net-change figure; FY2024's own presentation (no separate FX line) is preserved here rather than using FY2025's restated split. FY2024's own printed 'Net decrease in cash and cash equivalents' (164,034) is £1k off from summing its own three section totals (164,033) - an immaterial rounding artifact in the source document itself, kept as printed. FY2026 Pillar 3 has not yet been published (the bank's Pillar 3 editions consistently lag the Annual Report by several months) - left blank, not estimated.
PRESENTATION NOTE: the Balance Sheet's own 'Retained earnings' figure is the sum of two separate lines the Bank's own balance sheet prints ('Current year net income' + 'Retained earnings brought forward') - shown here as a single combined line to match the Statement of Changes in Equity's own single 'Retained Earnings' column, which already combines them. 'Deferred tax asset' only appears as its own Balance Sheet line FY2022-24 (nil/absent FY2025-26 on a Group basis); 'Post retirement benefit asset' only appears FY2022-23; 'Post retirement benefit liability' only appears FY2024; 'Provision for other liabilities' only appears FY2022. 'Other operating income' is disclosed with the opposite sign convention in FY2022-23 (printed as 'Other operating (expense)/income', both years negative) vs FY2024-26 (printed as 'Other operating income', all positive) - both reproduced as signed, not relabelled.</t>
        </is>
      </c>
    </row>
  </sheetData>
  <mergeCells count="1">
    <mergeCell ref="A35:I3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3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C. Hoare &amp; Co. — Consolidated Statement of Comprehensive Income</t>
        </is>
      </c>
    </row>
    <row r="2">
      <c r="A2" s="2" t="inlineStr">
        <is>
          <t>Group column, £'000. See source note at bottom.</t>
        </is>
      </c>
    </row>
    <row r="3">
      <c r="A3" s="4" t="inlineStr">
        <is>
          <t>Line item</t>
        </is>
      </c>
      <c r="B3" s="4" t="inlineStr">
        <is>
          <t>FY2026 (£'000)</t>
        </is>
      </c>
      <c r="C3" s="4" t="inlineStr">
        <is>
          <t>FY2025 (£'000)</t>
        </is>
      </c>
      <c r="D3" s="4" t="inlineStr">
        <is>
          <t>FY2024 (£'000)</t>
        </is>
      </c>
      <c r="E3" s="4" t="inlineStr">
        <is>
          <t>FY2023 (£'000)</t>
        </is>
      </c>
      <c r="F3" s="4" t="inlineStr">
        <is>
          <t>FY2022 (£'000)</t>
        </is>
      </c>
      <c r="G3" s="4" t="inlineStr">
        <is>
          <t>FY2021 (£'000)</t>
        </is>
      </c>
      <c r="H3" s="4" t="inlineStr">
        <is>
          <t>FY2020 (£'000)</t>
        </is>
      </c>
      <c r="I3" s="4" t="inlineStr">
        <is>
          <t>FY2019 (£'000)</t>
        </is>
      </c>
    </row>
    <row r="4">
      <c r="A4" s="5" t="inlineStr">
        <is>
          <t>Income</t>
        </is>
      </c>
      <c r="B4" s="6" t="n"/>
      <c r="C4" s="6" t="n"/>
      <c r="D4" s="6" t="n"/>
      <c r="E4" s="6" t="n"/>
      <c r="F4" s="6" t="n"/>
      <c r="G4" s="6" t="n"/>
      <c r="H4" s="6" t="n"/>
      <c r="I4" s="6" t="n"/>
    </row>
    <row r="5">
      <c r="A5" s="6" t="inlineStr">
        <is>
          <t>Interest receivable</t>
        </is>
      </c>
      <c r="B5" s="6" t="n">
        <v>362505</v>
      </c>
      <c r="C5" s="6" t="n">
        <v>397149</v>
      </c>
      <c r="D5" s="6" t="n">
        <v>368204</v>
      </c>
      <c r="E5" s="6" t="n">
        <v>217811</v>
      </c>
      <c r="F5" s="6" t="n">
        <v>94938</v>
      </c>
      <c r="G5" s="6" t="n">
        <v>89772</v>
      </c>
      <c r="H5" s="6" t="n">
        <v>113495</v>
      </c>
      <c r="I5" s="6" t="n">
        <v>103740</v>
      </c>
    </row>
    <row r="6">
      <c r="A6" s="6" t="inlineStr">
        <is>
          <t>Interest payable</t>
        </is>
      </c>
      <c r="B6" s="6" t="n">
        <v>-152001</v>
      </c>
      <c r="C6" s="6" t="n">
        <v>-182502</v>
      </c>
      <c r="D6" s="6" t="n">
        <v>-153516</v>
      </c>
      <c r="E6" s="6" t="n">
        <v>-40520</v>
      </c>
      <c r="F6" s="6" t="n">
        <v>-6681</v>
      </c>
      <c r="G6" s="6" t="n">
        <v>-9131</v>
      </c>
      <c r="H6" s="6" t="n">
        <v>-11492</v>
      </c>
      <c r="I6" s="6" t="n">
        <v>-8705</v>
      </c>
    </row>
    <row r="7">
      <c r="A7" s="5" t="inlineStr">
        <is>
          <t>Net interest income</t>
        </is>
      </c>
      <c r="B7" s="5" t="n">
        <v>210504</v>
      </c>
      <c r="C7" s="5" t="n">
        <v>214647</v>
      </c>
      <c r="D7" s="5" t="n">
        <v>214688</v>
      </c>
      <c r="E7" s="5" t="n">
        <v>177291</v>
      </c>
      <c r="F7" s="5" t="n">
        <v>88257</v>
      </c>
      <c r="G7" s="5" t="n">
        <v>80641</v>
      </c>
      <c r="H7" s="5" t="n">
        <v>102003</v>
      </c>
      <c r="I7" s="5" t="n">
        <v>95035</v>
      </c>
    </row>
    <row r="8">
      <c r="A8" s="6" t="inlineStr">
        <is>
          <t>Dividend income</t>
        </is>
      </c>
      <c r="B8" s="6" t="n">
        <v>7708</v>
      </c>
      <c r="C8" s="6" t="n">
        <v>9621</v>
      </c>
      <c r="D8" s="6" t="n">
        <v>24831</v>
      </c>
      <c r="E8" s="6" t="n">
        <v>11150</v>
      </c>
      <c r="F8" s="6" t="n">
        <v>3587</v>
      </c>
      <c r="G8" s="6" t="n">
        <v>-2</v>
      </c>
      <c r="H8" s="6" t="n">
        <v>14</v>
      </c>
      <c r="I8" s="6" t="n">
        <v>19</v>
      </c>
    </row>
    <row r="9">
      <c r="A9" s="6" t="inlineStr">
        <is>
          <t>Other finance income</t>
        </is>
      </c>
      <c r="B9" s="6" t="n"/>
      <c r="C9" s="6" t="n">
        <v>1</v>
      </c>
      <c r="D9" s="6" t="n">
        <v>413</v>
      </c>
      <c r="E9" s="6" t="n">
        <v>275</v>
      </c>
      <c r="F9" s="6" t="n">
        <v>79</v>
      </c>
      <c r="G9" s="6" t="n">
        <v>256</v>
      </c>
      <c r="H9" s="6" t="n">
        <v>20</v>
      </c>
      <c r="I9" s="6" t="n">
        <v>268</v>
      </c>
    </row>
    <row r="10">
      <c r="A10" s="6" t="inlineStr">
        <is>
          <t>Fees and commissions receivable</t>
        </is>
      </c>
      <c r="B10" s="6" t="n">
        <v>15571</v>
      </c>
      <c r="C10" s="6" t="n">
        <v>10858</v>
      </c>
      <c r="D10" s="6" t="n">
        <v>15018</v>
      </c>
      <c r="E10" s="6" t="n">
        <v>16534</v>
      </c>
      <c r="F10" s="6" t="n">
        <v>15662</v>
      </c>
      <c r="G10" s="6" t="n">
        <v>12490</v>
      </c>
      <c r="H10" s="6" t="n">
        <v>12991</v>
      </c>
      <c r="I10" s="6" t="n">
        <v>14665</v>
      </c>
    </row>
    <row r="11">
      <c r="A11" s="6" t="inlineStr">
        <is>
          <t>Fees and commissions payable</t>
        </is>
      </c>
      <c r="B11" s="6" t="n">
        <v>-1350</v>
      </c>
      <c r="C11" s="6" t="n">
        <v>-1227</v>
      </c>
      <c r="D11" s="6" t="n">
        <v>-1338</v>
      </c>
      <c r="E11" s="6" t="n">
        <v>-1251</v>
      </c>
      <c r="F11" s="6" t="n">
        <v>-1274</v>
      </c>
      <c r="G11" s="6" t="n">
        <v>-1864</v>
      </c>
      <c r="H11" s="6" t="n">
        <v>-2421</v>
      </c>
      <c r="I11" s="6" t="n">
        <v>-1284</v>
      </c>
    </row>
    <row r="12">
      <c r="A12" s="5" t="inlineStr">
        <is>
          <t>Net fees and commissions income</t>
        </is>
      </c>
      <c r="B12" s="5" t="n">
        <v>14221</v>
      </c>
      <c r="C12" s="5" t="n">
        <v>9631</v>
      </c>
      <c r="D12" s="5" t="n">
        <v>13680</v>
      </c>
      <c r="E12" s="5" t="n">
        <v>15283</v>
      </c>
      <c r="F12" s="5" t="n">
        <v>14388</v>
      </c>
      <c r="G12" s="5" t="n">
        <v>10626</v>
      </c>
      <c r="H12" s="5" t="n">
        <v>10570</v>
      </c>
      <c r="I12" s="5" t="n">
        <v>13381</v>
      </c>
    </row>
    <row r="13">
      <c r="A13" s="6" t="inlineStr">
        <is>
          <t>Dealing profits</t>
        </is>
      </c>
      <c r="B13" s="6" t="n">
        <v>9461</v>
      </c>
      <c r="C13" s="6" t="n">
        <v>8778</v>
      </c>
      <c r="D13" s="6" t="n">
        <v>8551</v>
      </c>
      <c r="E13" s="6" t="n">
        <v>16696</v>
      </c>
      <c r="F13" s="6" t="n">
        <v>7542</v>
      </c>
      <c r="G13" s="6" t="n">
        <v>6264</v>
      </c>
      <c r="H13" s="6" t="n">
        <v>10890</v>
      </c>
      <c r="I13" s="6" t="n">
        <v>12878</v>
      </c>
    </row>
    <row r="14">
      <c r="A14" s="6" t="inlineStr">
        <is>
          <t>Other operating income/(expense)</t>
        </is>
      </c>
      <c r="B14" s="6" t="n">
        <v>12733</v>
      </c>
      <c r="C14" s="6" t="n">
        <v>6723</v>
      </c>
      <c r="D14" s="6" t="n">
        <v>9533</v>
      </c>
      <c r="E14" s="6" t="n">
        <v>-10227</v>
      </c>
      <c r="F14" s="6" t="n">
        <v>-5041</v>
      </c>
      <c r="G14" s="6" t="n">
        <v>4821</v>
      </c>
      <c r="H14" s="6" t="n">
        <v>477</v>
      </c>
      <c r="I14" s="6" t="n">
        <v>1925</v>
      </c>
    </row>
    <row r="15">
      <c r="A15" s="5" t="inlineStr">
        <is>
          <t>Total income</t>
        </is>
      </c>
      <c r="B15" s="5" t="n">
        <v>254627</v>
      </c>
      <c r="C15" s="5" t="n">
        <v>249401</v>
      </c>
      <c r="D15" s="5" t="n">
        <v>271696</v>
      </c>
      <c r="E15" s="5" t="n">
        <v>210468</v>
      </c>
      <c r="F15" s="5" t="n">
        <v>108812</v>
      </c>
      <c r="G15" s="5" t="n">
        <v>102606</v>
      </c>
      <c r="H15" s="5" t="n">
        <v>123974</v>
      </c>
      <c r="I15" s="5" t="n">
        <v>123506</v>
      </c>
    </row>
    <row r="16">
      <c r="A16" s="5" t="inlineStr">
        <is>
          <t>Operating expenses</t>
        </is>
      </c>
      <c r="B16" s="6" t="n"/>
      <c r="C16" s="6" t="n"/>
      <c r="D16" s="6" t="n"/>
      <c r="E16" s="6" t="n"/>
      <c r="F16" s="6" t="n"/>
      <c r="G16" s="6" t="n"/>
      <c r="H16" s="6" t="n"/>
      <c r="I16" s="6" t="n"/>
    </row>
    <row r="17">
      <c r="A17" s="6" t="inlineStr">
        <is>
          <t>Administrative expenses including staff costs</t>
        </is>
      </c>
      <c r="B17" s="6" t="n">
        <v>-179587</v>
      </c>
      <c r="C17" s="6" t="n">
        <v>-172087</v>
      </c>
      <c r="D17" s="6" t="n">
        <v>-176381</v>
      </c>
      <c r="E17" s="6" t="n">
        <v>-125030</v>
      </c>
      <c r="F17" s="6" t="n">
        <v>-79937</v>
      </c>
      <c r="G17" s="6" t="n">
        <v>-76184</v>
      </c>
      <c r="H17" s="6" t="n">
        <v>-78033</v>
      </c>
      <c r="I17" s="6" t="n">
        <v>-76529</v>
      </c>
    </row>
    <row r="18">
      <c r="A18" s="6" t="inlineStr">
        <is>
          <t>Amortisation</t>
        </is>
      </c>
      <c r="B18" s="6" t="n">
        <v>-8685</v>
      </c>
      <c r="C18" s="6" t="n">
        <v>-8608</v>
      </c>
      <c r="D18" s="6" t="n">
        <v>-8385</v>
      </c>
      <c r="E18" s="6" t="n">
        <v>-9483</v>
      </c>
      <c r="F18" s="6" t="n">
        <v>-9099</v>
      </c>
      <c r="G18" s="6" t="n">
        <v>-7626</v>
      </c>
      <c r="H18" s="6" t="n"/>
      <c r="I18" s="6" t="n"/>
    </row>
    <row r="19">
      <c r="A19" s="6" t="inlineStr">
        <is>
          <t>Depreciation</t>
        </is>
      </c>
      <c r="B19" s="6" t="n">
        <v>-2891</v>
      </c>
      <c r="C19" s="6" t="n">
        <v>-2750</v>
      </c>
      <c r="D19" s="6" t="n">
        <v>-2435</v>
      </c>
      <c r="E19" s="6" t="n">
        <v>-2053</v>
      </c>
      <c r="F19" s="6" t="n">
        <v>-1717</v>
      </c>
      <c r="G19" s="6" t="n">
        <v>-1964</v>
      </c>
      <c r="H19" s="6" t="n">
        <v>-8795</v>
      </c>
      <c r="I19" s="6" t="n">
        <v>-7018</v>
      </c>
    </row>
    <row r="20">
      <c r="A20" s="5" t="inlineStr">
        <is>
          <t>Total operating expenses</t>
        </is>
      </c>
      <c r="B20" s="5" t="n">
        <v>-191163</v>
      </c>
      <c r="C20" s="5" t="n">
        <v>-183445</v>
      </c>
      <c r="D20" s="5" t="n">
        <v>-187201</v>
      </c>
      <c r="E20" s="5" t="n">
        <v>-136566</v>
      </c>
      <c r="F20" s="5" t="n">
        <v>-90753</v>
      </c>
      <c r="G20" s="5" t="n">
        <v>-85774</v>
      </c>
      <c r="H20" s="5" t="n">
        <v>-86828</v>
      </c>
      <c r="I20" s="5" t="n">
        <v>-83547</v>
      </c>
    </row>
    <row r="21">
      <c r="A21" s="6" t="inlineStr">
        <is>
          <t>Impairment charge on loans and advances</t>
        </is>
      </c>
      <c r="B21" s="6" t="n">
        <v>-1278</v>
      </c>
      <c r="C21" s="6" t="n">
        <v>-2222</v>
      </c>
      <c r="D21" s="6" t="n">
        <v>-3659</v>
      </c>
      <c r="E21" s="6" t="n">
        <v>-6213</v>
      </c>
      <c r="F21" s="6" t="n">
        <v>-1522</v>
      </c>
      <c r="G21" s="6" t="n">
        <v>-730</v>
      </c>
      <c r="H21" s="6" t="n">
        <v>-15434</v>
      </c>
      <c r="I21" s="6" t="n">
        <v>-7544</v>
      </c>
    </row>
    <row r="22">
      <c r="A22" s="5" t="inlineStr">
        <is>
          <t>Profit before taxation</t>
        </is>
      </c>
      <c r="B22" s="5" t="n">
        <v>62186</v>
      </c>
      <c r="C22" s="5" t="n">
        <v>63734</v>
      </c>
      <c r="D22" s="5" t="n">
        <v>80836</v>
      </c>
      <c r="E22" s="5" t="n">
        <v>67689</v>
      </c>
      <c r="F22" s="5" t="n">
        <v>16537</v>
      </c>
      <c r="G22" s="5" t="n">
        <v>16102</v>
      </c>
      <c r="H22" s="5" t="n">
        <v>21712</v>
      </c>
      <c r="I22" s="5" t="n">
        <v>32473</v>
      </c>
    </row>
    <row r="23">
      <c r="A23" s="6" t="inlineStr">
        <is>
          <t>Tax on profit</t>
        </is>
      </c>
      <c r="B23" s="6" t="n">
        <v>-15103</v>
      </c>
      <c r="C23" s="6" t="n">
        <v>-16958</v>
      </c>
      <c r="D23" s="6" t="n">
        <v>-15437</v>
      </c>
      <c r="E23" s="6" t="n">
        <v>-17485</v>
      </c>
      <c r="F23" s="6" t="n">
        <v>-3794</v>
      </c>
      <c r="G23" s="6" t="n">
        <v>-3848</v>
      </c>
      <c r="H23" s="6" t="n">
        <v>-4053</v>
      </c>
      <c r="I23" s="6" t="n">
        <v>-6713</v>
      </c>
    </row>
    <row r="24">
      <c r="A24" s="5" t="inlineStr">
        <is>
          <t>Profit for the financial year</t>
        </is>
      </c>
      <c r="B24" s="5" t="n">
        <v>47083</v>
      </c>
      <c r="C24" s="5" t="n">
        <v>46776</v>
      </c>
      <c r="D24" s="5" t="n">
        <v>65399</v>
      </c>
      <c r="E24" s="5" t="n">
        <v>50204</v>
      </c>
      <c r="F24" s="5" t="n">
        <v>12743</v>
      </c>
      <c r="G24" s="5" t="n">
        <v>12254</v>
      </c>
      <c r="H24" s="5" t="n">
        <v>17659</v>
      </c>
      <c r="I24" s="5" t="n">
        <v>25760</v>
      </c>
    </row>
    <row r="25">
      <c r="A25" s="5" t="inlineStr">
        <is>
          <t>Other comprehensive income/(expense)</t>
        </is>
      </c>
      <c r="B25" s="6" t="n"/>
      <c r="C25" s="6" t="n"/>
      <c r="D25" s="6" t="n"/>
      <c r="E25" s="6" t="n"/>
      <c r="F25" s="6" t="n"/>
      <c r="G25" s="6" t="n"/>
      <c r="H25" s="6" t="n"/>
      <c r="I25" s="6" t="n"/>
    </row>
    <row r="26">
      <c r="A26" s="6" t="inlineStr">
        <is>
          <t>Remeasurement of retirement benefit obligations</t>
        </is>
      </c>
      <c r="B26" s="6" t="n"/>
      <c r="C26" s="6" t="n">
        <v>-172</v>
      </c>
      <c r="D26" s="6" t="n">
        <v>-11570</v>
      </c>
      <c r="E26" s="6" t="n">
        <v>-6247</v>
      </c>
      <c r="F26" s="6" t="n">
        <v>5802</v>
      </c>
      <c r="G26" s="6" t="n">
        <v>-6526</v>
      </c>
      <c r="H26" s="6" t="n">
        <v>9502</v>
      </c>
      <c r="I26" s="6" t="n">
        <v>-9867</v>
      </c>
    </row>
    <row r="27">
      <c r="A27" s="6" t="inlineStr">
        <is>
          <t>Deferred tax arising on pension scheme</t>
        </is>
      </c>
      <c r="B27" s="6" t="n"/>
      <c r="C27" s="6" t="n">
        <v>-27</v>
      </c>
      <c r="D27" s="6" t="n">
        <v>991</v>
      </c>
      <c r="E27" s="6" t="n">
        <v>1562</v>
      </c>
      <c r="F27" s="6" t="n">
        <v>-1672</v>
      </c>
      <c r="G27" s="6" t="n">
        <v>1036</v>
      </c>
      <c r="H27" s="6" t="n">
        <v>-1614</v>
      </c>
      <c r="I27" s="6" t="n">
        <v>1677</v>
      </c>
    </row>
    <row r="28">
      <c r="A28" s="6" t="inlineStr">
        <is>
          <t>Revaluation gain/(loss) of property and heritage assets</t>
        </is>
      </c>
      <c r="B28" s="6" t="n">
        <v>-833</v>
      </c>
      <c r="C28" s="6" t="n">
        <v>-11</v>
      </c>
      <c r="D28" s="6" t="n">
        <v>-638</v>
      </c>
      <c r="E28" s="6" t="n">
        <v>-5165</v>
      </c>
      <c r="F28" s="6" t="n">
        <v>4895</v>
      </c>
      <c r="G28" s="6" t="n">
        <v>-2275</v>
      </c>
      <c r="H28" s="6" t="n">
        <v>-3866</v>
      </c>
      <c r="I28" s="6" t="n">
        <v>1648</v>
      </c>
    </row>
    <row r="29">
      <c r="A29" s="6" t="inlineStr">
        <is>
          <t>Deferred tax on valuation gain/(loss)</t>
        </is>
      </c>
      <c r="B29" s="6" t="n">
        <v>208</v>
      </c>
      <c r="C29" s="6" t="n">
        <v>3</v>
      </c>
      <c r="D29" s="6" t="n">
        <v>160</v>
      </c>
      <c r="E29" s="6" t="n">
        <v>1291</v>
      </c>
      <c r="F29" s="6" t="n">
        <v>-3801</v>
      </c>
      <c r="G29" s="6" t="n">
        <v>-472</v>
      </c>
      <c r="H29" s="6" t="n">
        <v>657</v>
      </c>
      <c r="I29" s="6" t="n">
        <v>-280</v>
      </c>
    </row>
    <row r="30">
      <c r="A30" s="5" t="inlineStr">
        <is>
          <t>Other comprehensive income/(expense), net of tax</t>
        </is>
      </c>
      <c r="B30" s="5" t="n">
        <v>-625</v>
      </c>
      <c r="C30" s="5" t="n">
        <v>-207</v>
      </c>
      <c r="D30" s="5" t="n">
        <v>-11057</v>
      </c>
      <c r="E30" s="5" t="n">
        <v>-8559</v>
      </c>
      <c r="F30" s="5" t="n">
        <v>5224</v>
      </c>
      <c r="G30" s="5" t="n">
        <v>-8237</v>
      </c>
      <c r="H30" s="5" t="n">
        <v>4679</v>
      </c>
      <c r="I30" s="5" t="n">
        <v>-6822</v>
      </c>
    </row>
    <row r="31">
      <c r="A31" s="5" t="inlineStr">
        <is>
          <t>Total comprehensive income for the year</t>
        </is>
      </c>
      <c r="B31" s="5" t="n">
        <v>46458</v>
      </c>
      <c r="C31" s="5" t="n">
        <v>46569</v>
      </c>
      <c r="D31" s="5" t="n">
        <v>54342</v>
      </c>
      <c r="E31" s="5" t="n">
        <v>41645</v>
      </c>
      <c r="F31" s="5" t="n">
        <v>17967</v>
      </c>
      <c r="G31" s="5" t="n">
        <v>4017</v>
      </c>
      <c r="H31" s="5" t="n">
        <v>22338</v>
      </c>
      <c r="I31" s="5" t="n">
        <v>18938</v>
      </c>
    </row>
    <row r="33" ht="380" customHeight="1">
      <c r="A33" s="8" t="inlineStr">
        <is>
          <t>Sources - C. Hoare &amp; Co.'s own Consolidated Statement of Comprehensive Income / Consolidated and Company Balance Sheets / Consolidated Statement of Changes in Equity (Group column only used), £'000, each from that year's own originally-published Financial Report:
FY2026: Financial Report 2026, pp.45,47,49 - https://www.hoaresbank.co.uk/files/2026-06/Financial_Report_2026.pdf
FY2025: Financial Report 2025, pp.35,36,37 - https://www.hoaresbank.co.uk/files/2025-07/Financial_Report_2025.pdf
FY2024: Financial Report 2024, pp.37,38,39 - https://www.hoaresbank.co.uk/files/2024-06/Financial_Report_2024.pdf
FY2023: Financial Report 2023, pp.33,34,35 - https://www.hoaresbank.co.uk/files/2023-07/Financial_Report_2023.pdf
FY2022: Annual Report 2022, pp.32,33,34 - https://www.hoaresbank.co.uk/files/2022-07/Annual_Report_2022.pdf
FY2021: Annual Report 2021, pp.32,33,34 - https://www.hoaresbank.co.uk/files/2021-10/CHC_Cons_Accounts21.pdf
FY2020: Annual Report 2020, pp.29,30,31 - https://www.hoaresbank.co.uk/files/2021-05/Annual_Report_and_Accounts_for_2020.pdf
FY2019: Financial Report 2019, pp.23,24,25 - https://www.hoaresbank.co.uk/files/2021-05/Financial_Report_2019.pdf
C. Hoare &amp; Co. (company 00240822, FRN 122093) is a private unlimited company - Britain's oldest privately-owned bank, founded 1672, owned by the Hoare family. Despite the unlimited-company legal form, it voluntarily publishes full audited Consolidated (Group) accounts and Pillar 3 disclosures every year on its own site (hoaresbank.co.uk/financial-reports), all text-native, no OCR needed, 0 WebSearch calls used (all sourcing via WebFetch against the bank's own site and Companies House). Fiscal year-end 31 March. Every figure below is each year's own originally-published report - not a later restated comparative. FY2025's report introduced a new 'Effect of exchange rate changes' line splitting out what FY2024's own report folded into a single net-change figure; FY2024's own presentation (no separate FX line) is preserved here rather than using FY2025's restated split. FY2024's own printed 'Net decrease in cash and cash equivalents' (164,034) is £1k off from summing its own three section totals (164,033) - an immaterial rounding artifact in the source document itself, kept as printed. FY2026 Pillar 3 has not yet been published (the bank's Pillar 3 editions consistently lag the Annual Report by several months) - left blank, not estimated.
PRESENTATION NOTE: the Balance Sheet's own 'Retained earnings' figure is the sum of two separate lines the Bank's own balance sheet prints ('Current year net income' + 'Retained earnings brought forward') - shown here as a single combined line to match the Statement of Changes in Equity's own single 'Retained Earnings' column, which already combines them. 'Deferred tax asset' only appears as its own Balance Sheet line FY2022-24 (nil/absent FY2025-26 on a Group basis); 'Post retirement benefit asset' only appears FY2022-23; 'Post retirement benefit liability' only appears FY2024; 'Provision for other liabilities' only appears FY2022. 'Other operating income' is disclosed with the opposite sign convention in FY2022-23 (printed as 'Other operating (expense)/income', both years negative) vs FY2024-26 (printed as 'Other operating income', all positive) - both reproduced as signed, not relabelled.</t>
        </is>
      </c>
    </row>
  </sheetData>
  <mergeCells count="1">
    <mergeCell ref="A33:I3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9"/>
  <sheetViews>
    <sheetView workbookViewId="0">
      <pane ySplit="4" topLeftCell="A5" activePane="bottomLeft" state="frozen"/>
      <selection pane="bottomLeft"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C. Hoare &amp; Co. — Consolidated Statement of Changes in Equity</t>
        </is>
      </c>
    </row>
    <row r="2">
      <c r="A2" s="2" t="inlineStr">
        <is>
          <t>Group column, £'000. Chronological roll-forward, oldest to newest.</t>
        </is>
      </c>
    </row>
    <row r="3">
      <c r="A3" s="4" t="inlineStr">
        <is>
          <t>Movement</t>
        </is>
      </c>
      <c r="B3" s="4" t="inlineStr">
        <is>
          <t>Called up Share Capital</t>
        </is>
      </c>
      <c r="C3" s="4" t="inlineStr">
        <is>
          <t>Reserve Fund</t>
        </is>
      </c>
      <c r="D3" s="4" t="inlineStr">
        <is>
          <t>Revaluation Reserves</t>
        </is>
      </c>
      <c r="E3" s="4" t="inlineStr">
        <is>
          <t>Retained Earnings</t>
        </is>
      </c>
      <c r="F3" s="4" t="inlineStr">
        <is>
          <t>Total Equity</t>
        </is>
      </c>
    </row>
    <row r="4">
      <c r="A4" s="5" t="inlineStr">
        <is>
          <t>Balance as at 1 April 2018</t>
        </is>
      </c>
      <c r="B4" s="5" t="n">
        <v>120</v>
      </c>
      <c r="C4" s="5" t="n">
        <v>22598</v>
      </c>
      <c r="D4" s="5" t="n">
        <v>43122</v>
      </c>
      <c r="E4" s="5" t="n">
        <v>286617</v>
      </c>
      <c r="F4" s="5" t="n">
        <v>352457</v>
      </c>
    </row>
    <row r="5">
      <c r="A5" s="6" t="inlineStr">
        <is>
          <t>Profit for the year (FY2019)</t>
        </is>
      </c>
      <c r="B5" s="6" t="n"/>
      <c r="C5" s="6" t="n"/>
      <c r="D5" s="6" t="n"/>
      <c r="E5" s="6" t="n">
        <v>25760</v>
      </c>
      <c r="F5" s="6" t="n">
        <v>25760</v>
      </c>
    </row>
    <row r="6">
      <c r="A6" s="6" t="inlineStr">
        <is>
          <t>Other comprehensive expense, net of tax (FY2019)</t>
        </is>
      </c>
      <c r="B6" s="6" t="n"/>
      <c r="C6" s="6" t="n"/>
      <c r="D6" s="6" t="n">
        <v>-2382</v>
      </c>
      <c r="E6" s="6" t="n">
        <v>-4440</v>
      </c>
      <c r="F6" s="6" t="n">
        <v>-6822</v>
      </c>
    </row>
    <row r="7">
      <c r="A7" s="6" t="inlineStr">
        <is>
          <t>Dividends (FY2019)</t>
        </is>
      </c>
      <c r="B7" s="6" t="n"/>
      <c r="C7" s="6" t="n"/>
      <c r="D7" s="6" t="n"/>
      <c r="E7" s="6" t="n">
        <v>-6</v>
      </c>
      <c r="F7" s="6" t="n">
        <v>-6</v>
      </c>
    </row>
    <row r="8">
      <c r="A8" s="5" t="inlineStr">
        <is>
          <t>Balance as at 31 March 2019</t>
        </is>
      </c>
      <c r="B8" s="5" t="n">
        <v>120</v>
      </c>
      <c r="C8" s="5" t="n">
        <v>22598</v>
      </c>
      <c r="D8" s="5" t="n">
        <v>40740</v>
      </c>
      <c r="E8" s="5" t="n">
        <v>307931</v>
      </c>
      <c r="F8" s="5" t="n">
        <v>371389</v>
      </c>
    </row>
    <row r="9">
      <c r="A9" s="6" t="inlineStr">
        <is>
          <t>Profit for the year (FY2020)</t>
        </is>
      </c>
      <c r="B9" s="6" t="n"/>
      <c r="C9" s="6" t="n"/>
      <c r="D9" s="6" t="n"/>
      <c r="E9" s="6" t="n">
        <v>17659</v>
      </c>
      <c r="F9" s="6" t="n">
        <v>17659</v>
      </c>
    </row>
    <row r="10">
      <c r="A10" s="6" t="inlineStr">
        <is>
          <t>Other comprehensive income, net of tax (FY2020)</t>
        </is>
      </c>
      <c r="B10" s="6" t="n"/>
      <c r="C10" s="6" t="n"/>
      <c r="D10" s="6" t="n">
        <v>-3209</v>
      </c>
      <c r="E10" s="6" t="n">
        <v>25547</v>
      </c>
      <c r="F10" s="6" t="n">
        <v>22338</v>
      </c>
    </row>
    <row r="11">
      <c r="A11" s="6" t="inlineStr">
        <is>
          <t>Dividends (FY2020)</t>
        </is>
      </c>
      <c r="B11" s="6" t="n"/>
      <c r="C11" s="6" t="n"/>
      <c r="D11" s="6" t="n"/>
      <c r="E11" s="6" t="n">
        <v>-6</v>
      </c>
      <c r="F11" s="6" t="n">
        <v>-6</v>
      </c>
    </row>
    <row r="12">
      <c r="A12" s="5" t="inlineStr">
        <is>
          <t>Balance as at 31 March 2020</t>
        </is>
      </c>
      <c r="B12" s="5" t="n">
        <v>120</v>
      </c>
      <c r="C12" s="5" t="n">
        <v>22598</v>
      </c>
      <c r="D12" s="5" t="n">
        <v>37531</v>
      </c>
      <c r="E12" s="5" t="n">
        <v>333472</v>
      </c>
      <c r="F12" s="5" t="n">
        <v>393721</v>
      </c>
    </row>
    <row r="13">
      <c r="A13" s="6" t="inlineStr">
        <is>
          <t>Profit for the year (FY2021)</t>
        </is>
      </c>
      <c r="B13" s="6" t="n"/>
      <c r="C13" s="6" t="n"/>
      <c r="D13" s="6" t="n"/>
      <c r="E13" s="6" t="n">
        <v>12254</v>
      </c>
      <c r="F13" s="6" t="n">
        <v>12254</v>
      </c>
    </row>
    <row r="14">
      <c r="A14" s="6" t="inlineStr">
        <is>
          <t>Other comprehensive expense, net of tax (FY2021)</t>
        </is>
      </c>
      <c r="B14" s="6" t="n"/>
      <c r="C14" s="6" t="n"/>
      <c r="D14" s="6" t="n">
        <v>-2747</v>
      </c>
      <c r="E14" s="6" t="n">
        <v>-548</v>
      </c>
      <c r="F14" s="6" t="n">
        <v>-3295</v>
      </c>
    </row>
    <row r="15">
      <c r="A15" s="6" t="inlineStr">
        <is>
          <t>Dividends (FY2021)</t>
        </is>
      </c>
      <c r="B15" s="6" t="n"/>
      <c r="C15" s="6" t="n"/>
      <c r="D15" s="6" t="n"/>
      <c r="E15" s="6" t="n">
        <v>-6</v>
      </c>
      <c r="F15" s="6" t="n">
        <v>-6</v>
      </c>
    </row>
    <row r="16">
      <c r="A16" s="5" t="inlineStr">
        <is>
          <t>Balance as at 31 March 2021</t>
        </is>
      </c>
      <c r="B16" s="5" t="n">
        <v>120</v>
      </c>
      <c r="C16" s="5" t="n">
        <v>22598</v>
      </c>
      <c r="D16" s="5" t="n">
        <v>34784</v>
      </c>
      <c r="E16" s="5" t="n">
        <v>340230</v>
      </c>
      <c r="F16" s="5" t="n">
        <v>397732</v>
      </c>
    </row>
    <row r="17">
      <c r="A17" s="5" t="inlineStr">
        <is>
          <t>Balance as at 1 April 2021</t>
        </is>
      </c>
      <c r="B17" s="5" t="n">
        <v>120</v>
      </c>
      <c r="C17" s="5" t="n">
        <v>22598</v>
      </c>
      <c r="D17" s="5" t="n">
        <v>34784</v>
      </c>
      <c r="E17" s="5" t="n">
        <v>340230</v>
      </c>
      <c r="F17" s="5" t="n">
        <v>397732</v>
      </c>
    </row>
    <row r="18">
      <c r="A18" s="6" t="inlineStr">
        <is>
          <t>Profit for the year (FY2022)</t>
        </is>
      </c>
      <c r="B18" s="6" t="n"/>
      <c r="C18" s="6" t="n"/>
      <c r="D18" s="6" t="n"/>
      <c r="E18" s="6" t="n">
        <v>12743</v>
      </c>
      <c r="F18" s="6" t="n">
        <v>12743</v>
      </c>
    </row>
    <row r="19">
      <c r="A19" s="6" t="inlineStr">
        <is>
          <t>Other comprehensive income, net of tax (FY2022)</t>
        </is>
      </c>
      <c r="B19" s="6" t="n"/>
      <c r="C19" s="6" t="n"/>
      <c r="D19" s="6" t="n">
        <v>1094</v>
      </c>
      <c r="E19" s="6" t="n">
        <v>4130</v>
      </c>
      <c r="F19" s="6" t="n">
        <v>5224</v>
      </c>
    </row>
    <row r="20">
      <c r="A20" s="6" t="inlineStr">
        <is>
          <t>Dividends (FY2022)</t>
        </is>
      </c>
      <c r="B20" s="6" t="n"/>
      <c r="C20" s="6" t="n"/>
      <c r="D20" s="6" t="n"/>
      <c r="E20" s="6" t="n">
        <v>-6</v>
      </c>
      <c r="F20" s="6" t="n">
        <v>-6</v>
      </c>
    </row>
    <row r="21">
      <c r="A21" s="5" t="inlineStr">
        <is>
          <t>Balance as at 31 March 2022</t>
        </is>
      </c>
      <c r="B21" s="5" t="n">
        <v>120</v>
      </c>
      <c r="C21" s="5" t="n">
        <v>22598</v>
      </c>
      <c r="D21" s="5" t="n">
        <v>35878</v>
      </c>
      <c r="E21" s="5" t="n">
        <v>357097</v>
      </c>
      <c r="F21" s="5" t="n">
        <v>415693</v>
      </c>
    </row>
    <row r="22">
      <c r="A22" s="6" t="inlineStr">
        <is>
          <t>Profit for the year (FY2023)</t>
        </is>
      </c>
      <c r="B22" s="6" t="n"/>
      <c r="C22" s="6" t="n"/>
      <c r="D22" s="6" t="n"/>
      <c r="E22" s="6" t="n">
        <v>50204</v>
      </c>
      <c r="F22" s="6" t="n">
        <v>50204</v>
      </c>
    </row>
    <row r="23">
      <c r="A23" s="6" t="inlineStr">
        <is>
          <t>Other comprehensive expense, net of tax (FY2023)</t>
        </is>
      </c>
      <c r="B23" s="6" t="n"/>
      <c r="C23" s="6" t="n"/>
      <c r="D23" s="6" t="n">
        <v>-3874</v>
      </c>
      <c r="E23" s="6" t="n">
        <v>-4685</v>
      </c>
      <c r="F23" s="6" t="n">
        <v>-8559</v>
      </c>
    </row>
    <row r="24">
      <c r="A24" s="6" t="inlineStr">
        <is>
          <t>Dividends (FY2023)</t>
        </is>
      </c>
      <c r="B24" s="6" t="n"/>
      <c r="C24" s="6" t="n"/>
      <c r="D24" s="6" t="n"/>
      <c r="E24" s="6" t="n">
        <v>-6</v>
      </c>
      <c r="F24" s="6" t="n">
        <v>-6</v>
      </c>
    </row>
    <row r="25">
      <c r="A25" s="5" t="inlineStr">
        <is>
          <t>Balance as at 31 March 2023</t>
        </is>
      </c>
      <c r="B25" s="5" t="n">
        <v>120</v>
      </c>
      <c r="C25" s="5" t="n">
        <v>22598</v>
      </c>
      <c r="D25" s="5" t="n">
        <v>32004</v>
      </c>
      <c r="E25" s="5" t="n">
        <v>402610</v>
      </c>
      <c r="F25" s="5" t="n">
        <v>457332</v>
      </c>
    </row>
    <row r="26">
      <c r="A26" s="6" t="inlineStr">
        <is>
          <t>Profit for the year (FY2024)</t>
        </is>
      </c>
      <c r="B26" s="6" t="n"/>
      <c r="C26" s="6" t="n"/>
      <c r="D26" s="6" t="n"/>
      <c r="E26" s="6" t="n">
        <v>65399</v>
      </c>
      <c r="F26" s="6" t="n">
        <v>65399</v>
      </c>
    </row>
    <row r="27">
      <c r="A27" s="6" t="inlineStr">
        <is>
          <t>Other comprehensive expense, net of tax (FY2024)</t>
        </is>
      </c>
      <c r="B27" s="6" t="n"/>
      <c r="C27" s="6" t="n"/>
      <c r="D27" s="6" t="n">
        <v>-478</v>
      </c>
      <c r="E27" s="6" t="n">
        <v>-10579</v>
      </c>
      <c r="F27" s="6" t="n">
        <v>-11057</v>
      </c>
    </row>
    <row r="28">
      <c r="A28" s="6" t="inlineStr">
        <is>
          <t>Dividends (FY2024)</t>
        </is>
      </c>
      <c r="B28" s="6" t="n"/>
      <c r="C28" s="6" t="n"/>
      <c r="D28" s="6" t="n"/>
      <c r="E28" s="6" t="n">
        <v>-6</v>
      </c>
      <c r="F28" s="6" t="n">
        <v>-6</v>
      </c>
    </row>
    <row r="29">
      <c r="A29" s="5" t="inlineStr">
        <is>
          <t>Balance as at 31 March 2024</t>
        </is>
      </c>
      <c r="B29" s="5" t="n">
        <v>120</v>
      </c>
      <c r="C29" s="5" t="n">
        <v>22598</v>
      </c>
      <c r="D29" s="5" t="n">
        <v>31526</v>
      </c>
      <c r="E29" s="5" t="n">
        <v>457424</v>
      </c>
      <c r="F29" s="5" t="n">
        <v>511668</v>
      </c>
    </row>
    <row r="30">
      <c r="A30" s="6" t="inlineStr">
        <is>
          <t>Profit for the year (FY2025)</t>
        </is>
      </c>
      <c r="B30" s="6" t="n"/>
      <c r="C30" s="6" t="n"/>
      <c r="D30" s="6" t="n"/>
      <c r="E30" s="6" t="n">
        <v>46776</v>
      </c>
      <c r="F30" s="6" t="n">
        <v>46776</v>
      </c>
    </row>
    <row r="31">
      <c r="A31" s="6" t="inlineStr">
        <is>
          <t>Other comprehensive expense, net of tax (FY2025)</t>
        </is>
      </c>
      <c r="B31" s="6" t="n"/>
      <c r="C31" s="6" t="n"/>
      <c r="D31" s="6" t="n">
        <v>-8</v>
      </c>
      <c r="E31" s="6" t="n">
        <v>-199</v>
      </c>
      <c r="F31" s="6" t="n">
        <v>-207</v>
      </c>
    </row>
    <row r="32">
      <c r="A32" s="6" t="inlineStr">
        <is>
          <t>Dividends (FY2025)</t>
        </is>
      </c>
      <c r="B32" s="6" t="n"/>
      <c r="C32" s="6" t="n"/>
      <c r="D32" s="6" t="n"/>
      <c r="E32" s="6" t="n">
        <v>-6</v>
      </c>
      <c r="F32" s="6" t="n">
        <v>-6</v>
      </c>
    </row>
    <row r="33">
      <c r="A33" s="5" t="inlineStr">
        <is>
          <t>Balance as at 31 March 2025</t>
        </is>
      </c>
      <c r="B33" s="5" t="n">
        <v>120</v>
      </c>
      <c r="C33" s="5" t="n">
        <v>22598</v>
      </c>
      <c r="D33" s="5" t="n">
        <v>31518</v>
      </c>
      <c r="E33" s="5" t="n">
        <v>503995</v>
      </c>
      <c r="F33" s="5" t="n">
        <v>558231</v>
      </c>
    </row>
    <row r="34">
      <c r="A34" s="6" t="inlineStr">
        <is>
          <t>Profit for the year (FY2026)</t>
        </is>
      </c>
      <c r="B34" s="6" t="n"/>
      <c r="C34" s="6" t="n"/>
      <c r="D34" s="6" t="n"/>
      <c r="E34" s="6" t="n">
        <v>47083</v>
      </c>
      <c r="F34" s="6" t="n">
        <v>47083</v>
      </c>
    </row>
    <row r="35">
      <c r="A35" s="6" t="inlineStr">
        <is>
          <t>Other comprehensive expense, net of tax (FY2026)</t>
        </is>
      </c>
      <c r="B35" s="6" t="n"/>
      <c r="C35" s="6" t="n"/>
      <c r="D35" s="6" t="n">
        <v>-625</v>
      </c>
      <c r="E35" s="6" t="n">
        <v>0</v>
      </c>
      <c r="F35" s="6" t="n">
        <v>-625</v>
      </c>
    </row>
    <row r="36">
      <c r="A36" s="6" t="inlineStr">
        <is>
          <t>Dividends (FY2026)</t>
        </is>
      </c>
      <c r="B36" s="6" t="n"/>
      <c r="C36" s="6" t="n"/>
      <c r="D36" s="6" t="n"/>
      <c r="E36" s="6" t="n">
        <v>-6</v>
      </c>
      <c r="F36" s="6" t="n">
        <v>-6</v>
      </c>
    </row>
    <row r="37">
      <c r="A37" s="5" t="inlineStr">
        <is>
          <t>Balance as at 31 March 2026</t>
        </is>
      </c>
      <c r="B37" s="5" t="n">
        <v>120</v>
      </c>
      <c r="C37" s="5" t="n">
        <v>22598</v>
      </c>
      <c r="D37" s="5" t="n">
        <v>30893</v>
      </c>
      <c r="E37" s="5" t="n">
        <v>551072</v>
      </c>
      <c r="F37" s="5" t="n">
        <v>604683</v>
      </c>
    </row>
    <row r="39" ht="380" customHeight="1">
      <c r="A39" s="8" t="inlineStr">
        <is>
          <t>Sources - C. Hoare &amp; Co.'s own Consolidated Statement of Comprehensive Income / Consolidated and Company Balance Sheets / Consolidated Statement of Changes in Equity (Group column only used), £'000, each from that year's own originally-published Financial Report:
FY2026: Financial Report 2026, pp.45,47,49 - https://www.hoaresbank.co.uk/files/2026-06/Financial_Report_2026.pdf
FY2025: Financial Report 2025, pp.35,36,37 - https://www.hoaresbank.co.uk/files/2025-07/Financial_Report_2025.pdf
FY2024: Financial Report 2024, pp.37,38,39 - https://www.hoaresbank.co.uk/files/2024-06/Financial_Report_2024.pdf
FY2023: Financial Report 2023, pp.33,34,35 - https://www.hoaresbank.co.uk/files/2023-07/Financial_Report_2023.pdf
FY2022: Annual Report 2022, pp.32,33,34 - https://www.hoaresbank.co.uk/files/2022-07/Annual_Report_2022.pdf
FY2021: Annual Report 2021, pp.32,33,34 - https://www.hoaresbank.co.uk/files/2021-10/CHC_Cons_Accounts21.pdf
FY2020: Annual Report 2020, pp.29,30,31 - https://www.hoaresbank.co.uk/files/2021-05/Annual_Report_and_Accounts_for_2020.pdf
FY2019: Financial Report 2019, pp.23,24,25 - https://www.hoaresbank.co.uk/files/2021-05/Financial_Report_2019.pdf
C. Hoare &amp; Co. (company 00240822, FRN 122093) is a private unlimited company - Britain's oldest privately-owned bank, founded 1672, owned by the Hoare family. Despite the unlimited-company legal form, it voluntarily publishes full audited Consolidated (Group) accounts and Pillar 3 disclosures every year on its own site (hoaresbank.co.uk/financial-reports), all text-native, no OCR needed, 0 WebSearch calls used (all sourcing via WebFetch against the bank's own site and Companies House). Fiscal year-end 31 March. Every figure below is each year's own originally-published report - not a later restated comparative. FY2025's report introduced a new 'Effect of exchange rate changes' line splitting out what FY2024's own report folded into a single net-change figure; FY2024's own presentation (no separate FX line) is preserved here rather than using FY2025's restated split. FY2024's own printed 'Net decrease in cash and cash equivalents' (164,034) is £1k off from summing its own three section totals (164,033) - an immaterial rounding artifact in the source document itself, kept as printed. FY2026 Pillar 3 has not yet been published (the bank's Pillar 3 editions consistently lag the Annual Report by several months) - left blank, not estimated.
PRESENTATION NOTE: the Balance Sheet's own 'Retained earnings' figure is the sum of two separate lines the Bank's own balance sheet prints ('Current year net income' + 'Retained earnings brought forward') - shown here as a single combined line to match the Statement of Changes in Equity's own single 'Retained Earnings' column, which already combines them. 'Deferred tax asset' only appears as its own Balance Sheet line FY2022-24 (nil/absent FY2025-26 on a Group basis); 'Post retirement benefit asset' only appears FY2022-23; 'Post retirement benefit liability' only appears FY2024; 'Provision for other liabilities' only appears FY2022. 'Other operating income' is disclosed with the opposite sign convention in FY2022-23 (printed as 'Other operating (expense)/income', both years negative) vs FY2024-26 (printed as 'Other operating income', all positive) - both reproduced as signed, not relabelled.</t>
        </is>
      </c>
    </row>
  </sheetData>
  <mergeCells count="1">
    <mergeCell ref="A39:F39"/>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3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C. Hoare &amp; Co. — Consolidated Cash Flow Statement</t>
        </is>
      </c>
    </row>
    <row r="2">
      <c r="A2" s="2" t="inlineStr">
        <is>
          <t>Consolidated Group basis, £'000. See source note at bottom.</t>
        </is>
      </c>
    </row>
    <row r="3">
      <c r="A3" s="4" t="inlineStr">
        <is>
          <t>Line item</t>
        </is>
      </c>
      <c r="B3" s="4" t="inlineStr">
        <is>
          <t>FY2026 (£'000)</t>
        </is>
      </c>
      <c r="C3" s="4" t="inlineStr">
        <is>
          <t>FY2025 (£'000)</t>
        </is>
      </c>
      <c r="D3" s="4" t="inlineStr">
        <is>
          <t>FY2024 (£'000)</t>
        </is>
      </c>
      <c r="E3" s="4" t="inlineStr">
        <is>
          <t>FY2023 (£'000)</t>
        </is>
      </c>
      <c r="F3" s="4" t="inlineStr">
        <is>
          <t>FY2022 (£'000)</t>
        </is>
      </c>
      <c r="G3" s="4" t="inlineStr">
        <is>
          <t>FY2021 (£'000)</t>
        </is>
      </c>
      <c r="H3" s="4" t="inlineStr">
        <is>
          <t>FY2020 (£'000)</t>
        </is>
      </c>
      <c r="I3" s="4" t="inlineStr">
        <is>
          <t>FY2019 (£'000)</t>
        </is>
      </c>
    </row>
    <row r="4">
      <c r="A4" s="5" t="inlineStr">
        <is>
          <t>Operating activities</t>
        </is>
      </c>
      <c r="B4" s="6" t="n"/>
      <c r="C4" s="6" t="n"/>
      <c r="D4" s="6" t="n"/>
      <c r="E4" s="6" t="n"/>
      <c r="F4" s="6" t="n"/>
      <c r="G4" s="6" t="n"/>
      <c r="H4" s="6" t="n"/>
      <c r="I4" s="6" t="n"/>
    </row>
    <row r="5">
      <c r="A5" s="6" t="inlineStr">
        <is>
          <t>Net cash from/(used in) operating activities (before tax)</t>
        </is>
      </c>
      <c r="B5" s="6" t="n">
        <v>87472</v>
      </c>
      <c r="C5" s="6" t="n">
        <v>333415</v>
      </c>
      <c r="D5" s="6" t="n">
        <v>-94951</v>
      </c>
      <c r="E5" s="6" t="n">
        <v>-418678</v>
      </c>
      <c r="F5" s="6" t="n">
        <v>1121381</v>
      </c>
      <c r="G5" s="6" t="n">
        <v>830193</v>
      </c>
      <c r="H5" s="6" t="n">
        <v>154741</v>
      </c>
      <c r="I5" s="6" t="n">
        <v>465462</v>
      </c>
    </row>
    <row r="6">
      <c r="A6" s="6" t="inlineStr">
        <is>
          <t>Taxation paid</t>
        </is>
      </c>
      <c r="B6" s="6" t="n">
        <v>-12154</v>
      </c>
      <c r="C6" s="6" t="n">
        <v>-11881</v>
      </c>
      <c r="D6" s="6" t="n">
        <v>-15618</v>
      </c>
      <c r="E6" s="6" t="n">
        <v>-17355</v>
      </c>
      <c r="F6" s="6" t="n">
        <v>-4932</v>
      </c>
      <c r="G6" s="6" t="n">
        <v>-3329</v>
      </c>
      <c r="H6" s="6" t="n">
        <v>-7851</v>
      </c>
      <c r="I6" s="6" t="n">
        <v>-7243</v>
      </c>
    </row>
    <row r="7">
      <c r="A7" s="5" t="inlineStr">
        <is>
          <t>Net cash from/(used in) operating activities</t>
        </is>
      </c>
      <c r="B7" s="5" t="n">
        <v>75318</v>
      </c>
      <c r="C7" s="5" t="n">
        <v>321534</v>
      </c>
      <c r="D7" s="5" t="n">
        <v>-110569</v>
      </c>
      <c r="E7" s="5" t="n">
        <v>-436033</v>
      </c>
      <c r="F7" s="5" t="n">
        <v>1116449</v>
      </c>
      <c r="G7" s="5" t="n">
        <v>826864</v>
      </c>
      <c r="H7" s="5" t="n">
        <v>146890</v>
      </c>
      <c r="I7" s="5" t="n">
        <v>458219</v>
      </c>
    </row>
    <row r="8">
      <c r="A8" s="5" t="inlineStr">
        <is>
          <t>Investing activities</t>
        </is>
      </c>
      <c r="B8" s="6" t="n"/>
      <c r="C8" s="6" t="n"/>
      <c r="D8" s="6" t="n"/>
      <c r="E8" s="6" t="n"/>
      <c r="F8" s="6" t="n"/>
      <c r="G8" s="6" t="n"/>
      <c r="H8" s="6" t="n"/>
      <c r="I8" s="6" t="n"/>
    </row>
    <row r="9">
      <c r="A9" s="6" t="inlineStr">
        <is>
          <t>Purchase of investment securities</t>
        </is>
      </c>
      <c r="B9" s="6" t="n">
        <v>-1648567</v>
      </c>
      <c r="C9" s="6" t="n">
        <v>-779143</v>
      </c>
      <c r="D9" s="6" t="n">
        <v>-1648464</v>
      </c>
      <c r="E9" s="6" t="n">
        <v>-1562892</v>
      </c>
      <c r="F9" s="6" t="n">
        <v>-3121342</v>
      </c>
      <c r="G9" s="6" t="n">
        <v>-1647128</v>
      </c>
      <c r="H9" s="6" t="n">
        <v>-2318017</v>
      </c>
      <c r="I9" s="6" t="n">
        <v>-2292637</v>
      </c>
    </row>
    <row r="10">
      <c r="A10" s="6" t="inlineStr">
        <is>
          <t>Sale and maturity of investment securities</t>
        </is>
      </c>
      <c r="B10" s="6" t="n">
        <v>1064233</v>
      </c>
      <c r="C10" s="6" t="n">
        <v>684225</v>
      </c>
      <c r="D10" s="6" t="n">
        <v>1614146</v>
      </c>
      <c r="E10" s="6" t="n">
        <v>1640306</v>
      </c>
      <c r="F10" s="6" t="n">
        <v>2122564</v>
      </c>
      <c r="G10" s="6" t="n">
        <v>1407391</v>
      </c>
      <c r="H10" s="6" t="n">
        <v>1815052</v>
      </c>
      <c r="I10" s="6" t="n">
        <v>2194962</v>
      </c>
    </row>
    <row r="11">
      <c r="A11" s="6" t="inlineStr">
        <is>
          <t>Purchase of bulk annuity policy</t>
        </is>
      </c>
      <c r="B11" s="6" t="n"/>
      <c r="C11" s="6" t="n">
        <v>-278</v>
      </c>
      <c r="D11" s="6" t="n">
        <v>-7191</v>
      </c>
      <c r="E11" s="6" t="n"/>
      <c r="F11" s="6" t="n"/>
      <c r="G11" s="6" t="n"/>
      <c r="H11" s="6" t="n"/>
      <c r="I11" s="6" t="n"/>
    </row>
    <row r="12">
      <c r="A12" s="6" t="inlineStr">
        <is>
          <t>Purchase of intangible assets</t>
        </is>
      </c>
      <c r="B12" s="6" t="n">
        <v>-16598</v>
      </c>
      <c r="C12" s="6" t="n">
        <v>-23130</v>
      </c>
      <c r="D12" s="6" t="n">
        <v>-9220</v>
      </c>
      <c r="E12" s="6" t="n">
        <v>-8427</v>
      </c>
      <c r="F12" s="6" t="n">
        <v>-10853</v>
      </c>
      <c r="G12" s="6" t="n">
        <v>-1981</v>
      </c>
      <c r="H12" s="6" t="n"/>
      <c r="I12" s="6" t="n"/>
    </row>
    <row r="13">
      <c r="A13" s="6" t="inlineStr">
        <is>
          <t>Purchase of tangible fixed assets</t>
        </is>
      </c>
      <c r="B13" s="6" t="n">
        <v>-5725</v>
      </c>
      <c r="C13" s="6" t="n">
        <v>-6425</v>
      </c>
      <c r="D13" s="6" t="n">
        <v>-2671</v>
      </c>
      <c r="E13" s="6" t="n">
        <v>-4318</v>
      </c>
      <c r="F13" s="6" t="n">
        <v>-350</v>
      </c>
      <c r="G13" s="6" t="n">
        <v>-1316</v>
      </c>
      <c r="H13" s="6" t="n">
        <v>-12902</v>
      </c>
      <c r="I13" s="6" t="n">
        <v>-9451</v>
      </c>
    </row>
    <row r="14">
      <c r="A14" s="6" t="inlineStr">
        <is>
          <t>Purchase of heritage assets</t>
        </is>
      </c>
      <c r="B14" s="6" t="n">
        <v>-192</v>
      </c>
      <c r="C14" s="6" t="n">
        <v>-9</v>
      </c>
      <c r="D14" s="6" t="n">
        <v>-58</v>
      </c>
      <c r="E14" s="6" t="n">
        <v>-53</v>
      </c>
      <c r="F14" s="6" t="n"/>
      <c r="G14" s="6" t="n"/>
      <c r="H14" s="6" t="n"/>
      <c r="I14" s="6" t="n"/>
    </row>
    <row r="15">
      <c r="A15" s="6" t="inlineStr">
        <is>
          <t>Proceeds from sale of subsidiary</t>
        </is>
      </c>
      <c r="B15" s="6" t="n"/>
      <c r="C15" s="6" t="n">
        <v>745</v>
      </c>
      <c r="D15" s="6" t="n"/>
      <c r="E15" s="6" t="n"/>
      <c r="F15" s="6" t="n"/>
      <c r="G15" s="6" t="n"/>
      <c r="H15" s="6" t="n"/>
      <c r="I15" s="6" t="n"/>
    </row>
    <row r="16">
      <c r="A16" s="6" t="inlineStr">
        <is>
          <t>Proceeds from disposals of tangible assets</t>
        </is>
      </c>
      <c r="B16" s="6" t="n"/>
      <c r="C16" s="6" t="n"/>
      <c r="D16" s="6" t="n"/>
      <c r="E16" s="6" t="n"/>
      <c r="F16" s="6" t="n"/>
      <c r="G16" s="6" t="n">
        <v>1</v>
      </c>
      <c r="H16" s="6" t="n">
        <v>2</v>
      </c>
      <c r="I16" s="6" t="n"/>
    </row>
    <row r="17">
      <c r="A17" s="5" t="inlineStr">
        <is>
          <t>Net cash from/(used in) investing activities</t>
        </is>
      </c>
      <c r="B17" s="5" t="n">
        <v>-606849</v>
      </c>
      <c r="C17" s="5" t="n">
        <v>-124015</v>
      </c>
      <c r="D17" s="5" t="n">
        <v>-53458</v>
      </c>
      <c r="E17" s="5" t="n">
        <v>64616</v>
      </c>
      <c r="F17" s="5" t="n">
        <v>-1009981</v>
      </c>
      <c r="G17" s="5" t="n">
        <v>-243033</v>
      </c>
      <c r="H17" s="5" t="n">
        <v>-515865</v>
      </c>
      <c r="I17" s="5" t="n">
        <v>-107126</v>
      </c>
    </row>
    <row r="18">
      <c r="A18" s="5" t="inlineStr">
        <is>
          <t>Financing activities</t>
        </is>
      </c>
      <c r="B18" s="6" t="n"/>
      <c r="C18" s="6" t="n"/>
      <c r="D18" s="6" t="n"/>
      <c r="E18" s="6" t="n"/>
      <c r="F18" s="6" t="n"/>
      <c r="G18" s="6" t="n"/>
      <c r="H18" s="6" t="n"/>
      <c r="I18" s="6" t="n"/>
    </row>
    <row r="19">
      <c r="A19" s="6" t="inlineStr">
        <is>
          <t>Dividend paid</t>
        </is>
      </c>
      <c r="B19" s="6" t="n">
        <v>-6</v>
      </c>
      <c r="C19" s="6" t="n">
        <v>-6</v>
      </c>
      <c r="D19" s="6" t="n">
        <v>-6</v>
      </c>
      <c r="E19" s="6" t="n">
        <v>-6</v>
      </c>
      <c r="F19" s="6" t="n">
        <v>-6</v>
      </c>
      <c r="G19" s="6" t="n">
        <v>-6</v>
      </c>
      <c r="H19" s="6" t="n">
        <v>-6</v>
      </c>
      <c r="I19" s="6" t="n">
        <v>-6</v>
      </c>
    </row>
    <row r="20">
      <c r="A20" s="5" t="inlineStr">
        <is>
          <t>Net cash from/(used in) financing activities</t>
        </is>
      </c>
      <c r="B20" s="5" t="n">
        <v>-6</v>
      </c>
      <c r="C20" s="5" t="n">
        <v>-6</v>
      </c>
      <c r="D20" s="5" t="n">
        <v>-6</v>
      </c>
      <c r="E20" s="5" t="n">
        <v>-6</v>
      </c>
      <c r="F20" s="5" t="n">
        <v>-6</v>
      </c>
      <c r="G20" s="5" t="n">
        <v>-6</v>
      </c>
      <c r="H20" s="5" t="n">
        <v>-6</v>
      </c>
      <c r="I20" s="5" t="n">
        <v>-6</v>
      </c>
    </row>
    <row r="21">
      <c r="A21" s="5" t="inlineStr">
        <is>
          <t>Net (decrease)/increase in cash and cash equivalents</t>
        </is>
      </c>
      <c r="B21" s="5" t="n">
        <v>-531537</v>
      </c>
      <c r="C21" s="5" t="n">
        <v>197513</v>
      </c>
      <c r="D21" s="5" t="n">
        <v>-164034</v>
      </c>
      <c r="E21" s="5" t="n">
        <v>-371423</v>
      </c>
      <c r="F21" s="5" t="n">
        <v>106462</v>
      </c>
      <c r="G21" s="5" t="n">
        <v>583825</v>
      </c>
      <c r="H21" s="5" t="n">
        <v>-368981</v>
      </c>
      <c r="I21" s="5" t="n">
        <v>351087</v>
      </c>
    </row>
    <row r="22">
      <c r="A22" s="6" t="inlineStr">
        <is>
          <t>Cash and cash equivalents at the beginning of the year</t>
        </is>
      </c>
      <c r="B22" s="6" t="n">
        <v>1580850</v>
      </c>
      <c r="C22" s="6" t="n">
        <v>1382976</v>
      </c>
      <c r="D22" s="6" t="n">
        <v>1547010</v>
      </c>
      <c r="E22" s="6" t="n">
        <v>1918433</v>
      </c>
      <c r="F22" s="6" t="n">
        <v>1811971</v>
      </c>
      <c r="G22" s="6" t="n">
        <v>1228146</v>
      </c>
      <c r="H22" s="6" t="n">
        <v>1597127</v>
      </c>
      <c r="I22" s="6" t="n">
        <v>1246040</v>
      </c>
    </row>
    <row r="23">
      <c r="A23" s="6" t="inlineStr">
        <is>
          <t>Effect of exchange rate changes</t>
        </is>
      </c>
      <c r="B23" s="6" t="n">
        <v>-12</v>
      </c>
      <c r="C23" s="6" t="n">
        <v>361</v>
      </c>
      <c r="D23" s="6" t="n"/>
      <c r="E23" s="6" t="n"/>
      <c r="F23" s="6" t="n"/>
      <c r="G23" s="6" t="n"/>
      <c r="H23" s="6" t="n"/>
      <c r="I23" s="6" t="n"/>
    </row>
    <row r="24">
      <c r="A24" s="5" t="inlineStr">
        <is>
          <t>Cash and cash equivalents at the end of the year</t>
        </is>
      </c>
      <c r="B24" s="5" t="n">
        <v>1049301</v>
      </c>
      <c r="C24" s="5" t="n">
        <v>1580850</v>
      </c>
      <c r="D24" s="5" t="n">
        <v>1382976</v>
      </c>
      <c r="E24" s="5" t="n">
        <v>1547010</v>
      </c>
      <c r="F24" s="5" t="n">
        <v>1918433</v>
      </c>
      <c r="G24" s="5" t="n">
        <v>1811971</v>
      </c>
      <c r="H24" s="5" t="n">
        <v>1228146</v>
      </c>
      <c r="I24" s="5" t="n">
        <v>1597127</v>
      </c>
    </row>
    <row r="25">
      <c r="A25" s="5" t="inlineStr">
        <is>
          <t>Cash and cash equivalents comprise</t>
        </is>
      </c>
      <c r="B25" s="6" t="n"/>
      <c r="C25" s="6" t="n"/>
      <c r="D25" s="6" t="n"/>
      <c r="E25" s="6" t="n"/>
      <c r="F25" s="6" t="n"/>
      <c r="G25" s="6" t="n"/>
      <c r="H25" s="6" t="n"/>
      <c r="I25" s="6" t="n"/>
    </row>
    <row r="26">
      <c r="A26" s="6" t="inlineStr">
        <is>
          <t>Cash at bank and in hand</t>
        </is>
      </c>
      <c r="B26" s="6" t="n">
        <v>896317</v>
      </c>
      <c r="C26" s="6" t="n">
        <v>1548443</v>
      </c>
      <c r="D26" s="6" t="n">
        <v>1345322</v>
      </c>
      <c r="E26" s="6" t="n">
        <v>1452949</v>
      </c>
      <c r="F26" s="6" t="n">
        <v>1843378</v>
      </c>
      <c r="G26" s="6" t="n">
        <v>1709735</v>
      </c>
      <c r="H26" s="6" t="n">
        <v>1161138</v>
      </c>
      <c r="I26" s="6" t="n">
        <v>1525359</v>
      </c>
    </row>
    <row r="27">
      <c r="A27" s="6" t="inlineStr">
        <is>
          <t>Short term deposits</t>
        </is>
      </c>
      <c r="B27" s="6" t="n">
        <v>152984</v>
      </c>
      <c r="C27" s="6" t="n">
        <v>32407</v>
      </c>
      <c r="D27" s="6" t="n">
        <v>37654</v>
      </c>
      <c r="E27" s="6" t="n">
        <v>94061</v>
      </c>
      <c r="F27" s="6" t="n">
        <v>75055</v>
      </c>
      <c r="G27" s="6" t="n">
        <v>102236</v>
      </c>
      <c r="H27" s="6" t="n">
        <v>67008</v>
      </c>
      <c r="I27" s="6" t="n">
        <v>71768</v>
      </c>
    </row>
    <row r="28">
      <c r="A28" s="5" t="inlineStr">
        <is>
          <t>Cash and cash equivalents</t>
        </is>
      </c>
      <c r="B28" s="5" t="n">
        <v>1049301</v>
      </c>
      <c r="C28" s="5" t="n">
        <v>1580850</v>
      </c>
      <c r="D28" s="5" t="n">
        <v>1382976</v>
      </c>
      <c r="E28" s="5" t="n">
        <v>1547010</v>
      </c>
      <c r="F28" s="5" t="n">
        <v>1918433</v>
      </c>
      <c r="G28" s="5" t="n">
        <v>1811971</v>
      </c>
      <c r="H28" s="5" t="n">
        <v>1228146</v>
      </c>
      <c r="I28" s="5" t="n">
        <v>1597127</v>
      </c>
    </row>
    <row r="30" ht="280" customHeight="1">
      <c r="A30" s="8" t="inlineStr">
        <is>
          <t>Sources - C. Hoare &amp; Co.'s own Consolidated Cash Flow Statement, each year from its own year's Financial Report (not a later comparative):
FY2026: Financial Report 2026, p.53 (Consolidated Cash Flow Statement) - https://www.hoaresbank.co.uk/files/2026-06/Financial_Report_2026.pdf
FY2025: Financial Report 2025, p.39 (Consolidated Cash Flow Statement) - https://www.hoaresbank.co.uk/files/2025-07/Financial_Report_2025.pdf
FY2024: Financial Report 2024, p.41 (Consolidated Cash Flow Statement) - https://www.hoaresbank.co.uk/files/2024-06/Financial_Report_2024.pdf
FY2023: Financial Report 2023, p.37 (Consolidated Cash Flow Statement) - https://www.hoaresbank.co.uk/files/2023-07/Financial_Report_2023.pdf
FY2022: Annual Report 2022, p.36 (Consolidated Cash Flow Statement) - https://www.hoaresbank.co.uk/files/2022-07/Annual_Report_2022.pdf
FY2021: Annual Report 2021, p.36 (Consolidated Cash Flow Statement) - https://www.hoaresbank.co.uk/files/2021-10/CHC_Cons_Accounts21.pdf
FY2020: Annual Report 2020, p.33 (Consolidated Cash Flow Statement) - https://www.hoaresbank.co.uk/files/2021-05/Annual_Report_and_Accounts_for_2020.pdf
FY2019: Financial Report 2019, p.27 (Consolidated Cash Flow Statement) - https://www.hoaresbank.co.uk/files/2021-05/Financial_Report_2019.pdf
The face of the statement itself gives operating cash flow as a single pre-tax total (with a detailed profit/adjustments/working-capital breakdown in a separate Notes to the Cash Flow Statement note) - that single total is transcribed here as one DATA line rather than the full note-level breakdown, to keep row structure consistent across all 5 years.
C. Hoare &amp; Co. (company 00240822, FRN 122093) is a private unlimited company - Britain's oldest privately-owned bank, founded 1672, owned by the Hoare family. Despite the unlimited-company legal form, it voluntarily publishes full audited Consolidated (Group) accounts and Pillar 3 disclosures every year on its own site (hoaresbank.co.uk/financial-reports), all text-native, no OCR needed, 0 WebSearch calls used (all sourcing via WebFetch against the bank's own site and Companies House). Fiscal year-end 31 March. Every figure below is each year's own originally-published report - not a later restated comparative. FY2025's report introduced a new 'Effect of exchange rate changes' line splitting out what FY2024's own report folded into a single net-change figure; FY2024's own presentation (no separate FX line) is preserved here rather than using FY2025's restated split. FY2024's own printed 'Net decrease in cash and cash equivalents' (164,034) is £1k off from summing its own three section totals (164,033) - an immaterial rounding artifact in the source document itself, kept as printed. FY2026 Pillar 3 has not yet been published (the bank's Pillar 3 editions consistently lag the Annual Report by several months) - left blank, not estimated.</t>
        </is>
      </c>
    </row>
  </sheetData>
  <mergeCells count="1">
    <mergeCell ref="A30:I3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C. Hoare &amp; Co. — Asset Quality / Credit Risk Disclosures</t>
        </is>
      </c>
    </row>
    <row r="2">
      <c r="A2" s="2" t="inlineStr">
        <is>
          <t>Loans and advances to customers, £'000. FRS 102 basis (specific/collective allowance), Group &amp; Company.</t>
        </is>
      </c>
    </row>
    <row r="3">
      <c r="A3" s="4" t="inlineStr">
        <is>
          <t>Line item</t>
        </is>
      </c>
      <c r="B3" s="4" t="inlineStr">
        <is>
          <t>FY2026 (£'000)</t>
        </is>
      </c>
      <c r="C3" s="4" t="inlineStr">
        <is>
          <t>FY2025 (£'000)</t>
        </is>
      </c>
      <c r="D3" s="4" t="inlineStr">
        <is>
          <t>FY2024 (£'000)</t>
        </is>
      </c>
      <c r="E3" s="4" t="inlineStr">
        <is>
          <t>FY2023 (£'000)</t>
        </is>
      </c>
      <c r="F3" s="4" t="inlineStr">
        <is>
          <t>FY2022 (£'000)</t>
        </is>
      </c>
      <c r="G3" s="4" t="inlineStr">
        <is>
          <t>FY2021 (£'000)</t>
        </is>
      </c>
      <c r="H3" s="4" t="inlineStr">
        <is>
          <t>FY2020 (£'000)</t>
        </is>
      </c>
      <c r="I3" s="4" t="inlineStr">
        <is>
          <t>FY2019 (£'000)</t>
        </is>
      </c>
    </row>
    <row r="4">
      <c r="A4" s="5" t="inlineStr">
        <is>
          <t>Loans and advances to customers (gross)</t>
        </is>
      </c>
      <c r="B4" s="6" t="n"/>
      <c r="C4" s="6" t="n"/>
      <c r="D4" s="6" t="n"/>
      <c r="E4" s="6" t="n"/>
      <c r="F4" s="6" t="n"/>
      <c r="G4" s="6" t="n"/>
      <c r="H4" s="6" t="n"/>
      <c r="I4" s="6" t="n"/>
    </row>
    <row r="5">
      <c r="A5" s="6" t="inlineStr">
        <is>
          <t>Total gross loans and advances to customers</t>
        </is>
      </c>
      <c r="B5" s="6" t="n">
        <v>2592710</v>
      </c>
      <c r="C5" s="6" t="n">
        <v>2286817</v>
      </c>
      <c r="D5" s="6" t="n">
        <v>2130465</v>
      </c>
      <c r="E5" s="6" t="n">
        <v>1989288</v>
      </c>
      <c r="F5" s="6" t="n">
        <v>2024798</v>
      </c>
      <c r="G5" s="6" t="n">
        <v>1886062</v>
      </c>
      <c r="H5" s="6" t="n">
        <v>1859678</v>
      </c>
      <c r="I5" s="6" t="n">
        <v>1709977</v>
      </c>
    </row>
    <row r="6">
      <c r="A6" s="5" t="inlineStr">
        <is>
          <t>Allowance for impairment losses</t>
        </is>
      </c>
      <c r="B6" s="6" t="n"/>
      <c r="C6" s="6" t="n"/>
      <c r="D6" s="6" t="n"/>
      <c r="E6" s="6" t="n"/>
      <c r="F6" s="6" t="n"/>
      <c r="G6" s="6" t="n"/>
      <c r="H6" s="6" t="n"/>
      <c r="I6" s="6" t="n"/>
    </row>
    <row r="7">
      <c r="A7" s="6" t="inlineStr">
        <is>
          <t>Specific allowance for impairment</t>
        </is>
      </c>
      <c r="B7" s="6" t="n">
        <v>-8378</v>
      </c>
      <c r="C7" s="6" t="n">
        <v>-7537</v>
      </c>
      <c r="D7" s="6" t="n">
        <v>-9003</v>
      </c>
      <c r="E7" s="6" t="n">
        <v>-17003</v>
      </c>
      <c r="F7" s="6" t="n">
        <v>-25575</v>
      </c>
      <c r="G7" s="6" t="n">
        <v>-24724</v>
      </c>
      <c r="H7" s="6" t="n">
        <v>-22682</v>
      </c>
      <c r="I7" s="6" t="n">
        <v>-8474</v>
      </c>
    </row>
    <row r="8">
      <c r="A8" s="6" t="inlineStr">
        <is>
          <t>Collective allowance for impairment</t>
        </is>
      </c>
      <c r="B8" s="6" t="n">
        <v>-5304</v>
      </c>
      <c r="C8" s="6" t="n">
        <v>-4878</v>
      </c>
      <c r="D8" s="6" t="n">
        <v>-4878</v>
      </c>
      <c r="E8" s="6" t="n">
        <v>-5313</v>
      </c>
      <c r="F8" s="6" t="n">
        <v>-4403</v>
      </c>
      <c r="G8" s="6" t="n">
        <v>-4323</v>
      </c>
      <c r="H8" s="6" t="n">
        <v>-4160</v>
      </c>
      <c r="I8" s="6" t="n">
        <v>-3137</v>
      </c>
    </row>
    <row r="9">
      <c r="A9" s="5" t="inlineStr">
        <is>
          <t>Total allowance for impairment</t>
        </is>
      </c>
      <c r="B9" s="5" t="n">
        <v>-13682</v>
      </c>
      <c r="C9" s="5" t="n">
        <v>-12415</v>
      </c>
      <c r="D9" s="5" t="n">
        <v>-13881</v>
      </c>
      <c r="E9" s="5" t="n">
        <v>-22316</v>
      </c>
      <c r="F9" s="5" t="n">
        <v>-29978</v>
      </c>
      <c r="G9" s="5" t="n">
        <v>-29047</v>
      </c>
      <c r="H9" s="5" t="n">
        <v>-26842</v>
      </c>
      <c r="I9" s="5" t="n">
        <v>-11611</v>
      </c>
    </row>
    <row r="10">
      <c r="A10" s="5" t="inlineStr">
        <is>
          <t>Net loans and advances to customers</t>
        </is>
      </c>
      <c r="B10" s="5" t="n">
        <v>2579028</v>
      </c>
      <c r="C10" s="5" t="n">
        <v>2274402</v>
      </c>
      <c r="D10" s="5" t="n">
        <v>2116584</v>
      </c>
      <c r="E10" s="5" t="n">
        <v>1966972</v>
      </c>
      <c r="F10" s="5" t="n">
        <v>1994820</v>
      </c>
      <c r="G10" s="5" t="n">
        <v>1857015</v>
      </c>
      <c r="H10" s="5" t="n">
        <v>1832836</v>
      </c>
      <c r="I10" s="5" t="n">
        <v>1698366</v>
      </c>
    </row>
    <row r="11">
      <c r="A11" s="5" t="inlineStr">
        <is>
          <t>Ratios</t>
        </is>
      </c>
      <c r="B11" s="6" t="n"/>
      <c r="C11" s="6" t="n"/>
      <c r="D11" s="6" t="n"/>
      <c r="E11" s="6" t="n"/>
      <c r="F11" s="6" t="n"/>
      <c r="G11" s="6" t="n"/>
      <c r="H11" s="6" t="n"/>
      <c r="I11" s="6" t="n"/>
    </row>
    <row r="12">
      <c r="A12" s="6" t="inlineStr">
        <is>
          <t>Overall coverage ratio (total allowance / gross loans)</t>
        </is>
      </c>
      <c r="B12" s="6" t="inlineStr">
        <is>
          <t>0.53%</t>
        </is>
      </c>
      <c r="C12" s="6" t="inlineStr">
        <is>
          <t>0.54%</t>
        </is>
      </c>
      <c r="D12" s="6" t="inlineStr">
        <is>
          <t>0.65%</t>
        </is>
      </c>
      <c r="E12" s="6" t="inlineStr">
        <is>
          <t>1.12%</t>
        </is>
      </c>
      <c r="F12" s="6" t="inlineStr">
        <is>
          <t>1.48%</t>
        </is>
      </c>
      <c r="G12" s="6" t="inlineStr">
        <is>
          <t>1.54%</t>
        </is>
      </c>
      <c r="H12" s="6" t="inlineStr">
        <is>
          <t>1.44%</t>
        </is>
      </c>
      <c r="I12" s="6" t="inlineStr">
        <is>
          <t>0.68%</t>
        </is>
      </c>
    </row>
    <row r="14" ht="340" customHeight="1">
      <c r="A14" s="8" t="inlineStr">
        <is>
          <t>Sources - C. Hoare &amp; Co.'s own Note 13(b) 'Loans and advances to customers' and Note 14 'Allowance for Impairment Losses' (Group &amp; Company, no separate Group-only figures disclosed), each from that year's own originally-published Financial Report:
FY2026: Financial Report 2026, p.73 - https://www.hoaresbank.co.uk/files/2026-06/Financial_Report_2026.pdf
FY2025: Financial Report 2025, pp.60-61 - https://www.hoaresbank.co.uk/files/2025-07/Financial_Report_2025.pdf
FY2024: Financial Report 2024, pp.62-63 - https://www.hoaresbank.co.uk/files/2024-06/Financial_Report_2024.pdf
FY2023: Financial Report 2023, pp.58-59 - https://www.hoaresbank.co.uk/files/2023-07/Financial_Report_2023.pdf
FY2022: Annual Report 2022, p.58 - https://www.hoaresbank.co.uk/files/2022-07/Annual_Report_2022.pdf
FY2021: Annual Report 2021, pp.62-63 - https://www.hoaresbank.co.uk/files/2021-10/CHC_Cons_Accounts21.pdf
FY2020: Annual Report 2020, p.59 - https://www.hoaresbank.co.uk/files/2021-05/Annual_Report_and_Accounts_for_2020.pdf
FY2019: Financial Report 2019, pp.50-51 - https://www.hoaresbank.co.uk/files/2021-05/Financial_Report_2019.pdf
Note: C. Hoare &amp; Co. reports under FRS 102, not IFRS 9 - there is no Stage 1/2/3 split anywhere in any of the 5 reports checked (confirmed by reading each year's impairment note in full), only a specific/collective allowance roll-forward. Coverage fell steadily from 1.48% (FY2022) to 0.53% (FY2026), driven by large specific-provision write-offs each year (e.g. £14.0m written off in FY2023 alone) outpacing new specific charges - flagged here, not smoothed. Figures are Group &amp; Company (identical - the Bank's own note discloses no separate Group-only split for this line).
C. Hoare &amp; Co. (company 00240822, FRN 122093) is a private unlimited company - Britain's oldest privately-owned bank, founded 1672, owned by the Hoare family. Despite the unlimited-company legal form, it voluntarily publishes full audited Consolidated (Group) accounts and Pillar 3 disclosures every year on its own site (hoaresbank.co.uk/financial-reports), all text-native, no OCR needed, 0 WebSearch calls used (all sourcing via WebFetch against the bank's own site and Companies House). Fiscal year-end 31 March. Every figure below is each year's own originally-published report - not a later restated comparative. FY2025's report introduced a new 'Effect of exchange rate changes' line splitting out what FY2024's own report folded into a single net-change figure; FY2024's own presentation (no separate FX line) is preserved here rather than using FY2025's restated split. FY2024's own printed 'Net decrease in cash and cash equivalents' (164,034) is £1k off from summing its own three section totals (164,033) - an immaterial rounding artifact in the source document itself, kept as printed. FY2026 Pillar 3 has not yet been published (the bank's Pillar 3 editions consistently lag the Annual Report by several months) - left blank, not estimated.</t>
        </is>
      </c>
    </row>
  </sheetData>
  <mergeCells count="1">
    <mergeCell ref="A14:I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C. Hoare &amp; Co. — CET1 Capital</t>
        </is>
      </c>
    </row>
    <row r="2">
      <c r="A2" s="2" t="inlineStr">
        <is>
          <t>£'000</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Common Equity Tier 1 (CET1) capital</t>
        </is>
      </c>
      <c r="B4" s="6" t="n"/>
      <c r="C4" s="6" t="n">
        <v>526455</v>
      </c>
      <c r="D4" s="6" t="n">
        <v>483235</v>
      </c>
      <c r="E4" s="6" t="n">
        <v>428543</v>
      </c>
      <c r="F4" s="6" t="n">
        <v>381989</v>
      </c>
      <c r="G4" s="6" t="n">
        <v>381441</v>
      </c>
      <c r="H4" s="6" t="n">
        <v>375716</v>
      </c>
      <c r="I4" s="6" t="n"/>
    </row>
    <row r="6" ht="170" customHeight="1">
      <c r="A6" s="8" t="inlineStr">
        <is>
          <t>Sources - C. Hoare &amp; Co. Pillar 3 Disclosures, Appendix 1 (Own Funds Disclosure template, UK KM1 basis), solo-consolidated basis:
FY2025/FY2024: Pillar 3 Disclosures 2025, p.15 - https://www.hoaresbank.co.uk/files/2025-07/Pillar_3_Disclosure_2025.pdf
FY2023/FY2022: Pillar 3 Disclosures 2023, p.26 - https://www.hoaresbank.co.uk/files/2023-07/Pillar_3_Disclosure_2023.pdf
FY2021/FY2020: Pillar 3 Disclosures 2021, pp.12-18 - https://www.hoaresbank.co.uk/files/2021-10/CHC_2021_Pillar_3_Disclosures.pdf
FY2019: no primary Pillar 3 disclosure is available in the Bank's official archive; left blank, not estimated.
FY2026: not yet published as of this build - left blank, not estimated.
C. Hoare &amp; Co. (company 00240822, FRN 122093) is a private unlimited company - Britain's oldest privately-owned bank, founded 1672, owned by the Hoare family. Despite the unlimited-company legal form, it voluntarily publishes full audited Consolidated (Group) accounts and Pillar 3 disclosures every year on its own site (hoaresbank.co.uk/financial-reports), all text-native, no OCR needed, 0 WebSearch calls used (all sourcing via WebFetch against the bank's own site and Companies House). Fiscal year-end 31 March. Every figure below is each year's own originally-published report - not a later restated comparative. FY2025's report introduced a new 'Effect of exchange rate changes' line splitting out what FY2024's own report folded into a single net-change figure; FY2024's own presentation (no separate FX line) is preserved here rather than using FY2025's restated split. FY2024's own printed 'Net decrease in cash and cash equivalents' (164,034) is £1k off from summing its own three section totals (164,033) - an immaterial rounding artifact in the source document itself, kept as printed. FY2026 Pillar 3 has not yet been published (the bank's Pillar 3 editions consistently lag the Annual Report by several months) - left blank, not estimated.</t>
        </is>
      </c>
    </row>
  </sheetData>
  <mergeCells count="1">
    <mergeCell ref="A6:I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C. Hoare &amp; Co. — CET1 Ratio</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Common Equity Tier 1 ratio</t>
        </is>
      </c>
      <c r="B4" s="6" t="n"/>
      <c r="C4" s="6" t="inlineStr">
        <is>
          <t>23.00%</t>
        </is>
      </c>
      <c r="D4" s="6" t="inlineStr">
        <is>
          <t>23.11%</t>
        </is>
      </c>
      <c r="E4" s="6" t="inlineStr">
        <is>
          <t>21.44%</t>
        </is>
      </c>
      <c r="F4" s="6" t="inlineStr">
        <is>
          <t>20.96%</t>
        </is>
      </c>
      <c r="G4" s="6" t="inlineStr">
        <is>
          <t>21.61%</t>
        </is>
      </c>
      <c r="H4" s="6" t="inlineStr">
        <is>
          <t>21.11%</t>
        </is>
      </c>
      <c r="I4" s="6" t="n"/>
    </row>
    <row r="6" ht="170" customHeight="1">
      <c r="A6" s="8" t="inlineStr">
        <is>
          <t>Sources - C. Hoare &amp; Co. Pillar 3 Disclosures, Appendix 1 (Own Funds Disclosure template, UK KM1 basis), solo-consolidated basis:
FY2025/FY2024: Pillar 3 Disclosures 2025, p.15 - https://www.hoaresbank.co.uk/files/2025-07/Pillar_3_Disclosure_2025.pdf
FY2023/FY2022: Pillar 3 Disclosures 2023, p.26 - https://www.hoaresbank.co.uk/files/2023-07/Pillar_3_Disclosure_2023.pdf
FY2021/FY2020: Pillar 3 Disclosures 2021, pp.12-18 - https://www.hoaresbank.co.uk/files/2021-10/CHC_2021_Pillar_3_Disclosures.pdf
FY2019: no primary Pillar 3 disclosure is available in the Bank's official archive; left blank, not estimated.
FY2026: not yet published as of this build - left blank, not estimated.
C. Hoare &amp; Co. (company 00240822, FRN 122093) is a private unlimited company - Britain's oldest privately-owned bank, founded 1672, owned by the Hoare family. Despite the unlimited-company legal form, it voluntarily publishes full audited Consolidated (Group) accounts and Pillar 3 disclosures every year on its own site (hoaresbank.co.uk/financial-reports), all text-native, no OCR needed, 0 WebSearch calls used (all sourcing via WebFetch against the bank's own site and Companies House). Fiscal year-end 31 March. Every figure below is each year's own originally-published report - not a later restated comparative. FY2025's report introduced a new 'Effect of exchange rate changes' line splitting out what FY2024's own report folded into a single net-change figure; FY2024's own presentation (no separate FX line) is preserved here rather than using FY2025's restated split. FY2024's own printed 'Net decrease in cash and cash equivalents' (164,034) is £1k off from summing its own three section totals (164,033) - an immaterial rounding artifact in the source document itself, kept as printed. FY2026 Pillar 3 has not yet been published (the bank's Pillar 3 editions consistently lag the Annual Report by several months) - left blank, not estimated.</t>
        </is>
      </c>
    </row>
  </sheetData>
  <mergeCells count="1">
    <mergeCell ref="A6:I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C. Hoare &amp; Co. — Tier 1 Capital</t>
        </is>
      </c>
    </row>
    <row r="2">
      <c r="A2" s="2" t="inlineStr">
        <is>
          <t>£'000 (= CET1 capital; no AT1 instruments)</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Tier 1 capital</t>
        </is>
      </c>
      <c r="B4" s="6" t="n"/>
      <c r="C4" s="6" t="n">
        <v>526455</v>
      </c>
      <c r="D4" s="6" t="n">
        <v>483235</v>
      </c>
      <c r="E4" s="6" t="n">
        <v>428543</v>
      </c>
      <c r="F4" s="6" t="n">
        <v>381989</v>
      </c>
      <c r="G4" s="6" t="n">
        <v>381441</v>
      </c>
      <c r="H4" s="6" t="n">
        <v>375716</v>
      </c>
      <c r="I4" s="6" t="n"/>
    </row>
    <row r="6" ht="170" customHeight="1">
      <c r="A6" s="8" t="inlineStr">
        <is>
          <t>Sources - C. Hoare &amp; Co. Pillar 3 Disclosures, Appendix 1 (Own Funds Disclosure template, UK KM1 basis), solo-consolidated basis:
FY2025/FY2024: Pillar 3 Disclosures 2025, p.15 - https://www.hoaresbank.co.uk/files/2025-07/Pillar_3_Disclosure_2025.pdf
FY2023/FY2022: Pillar 3 Disclosures 2023, p.26 - https://www.hoaresbank.co.uk/files/2023-07/Pillar_3_Disclosure_2023.pdf
FY2021/FY2020: Pillar 3 Disclosures 2021, pp.12-18 - https://www.hoaresbank.co.uk/files/2021-10/CHC_2021_Pillar_3_Disclosures.pdf
FY2019: no primary Pillar 3 disclosure is available in the Bank's official archive; left blank, not estimated.
FY2026: not yet published as of this build - left blank, not estimated.
C. Hoare &amp; Co. (company 00240822, FRN 122093) is a private unlimited company - Britain's oldest privately-owned bank, founded 1672, owned by the Hoare family. Despite the unlimited-company legal form, it voluntarily publishes full audited Consolidated (Group) accounts and Pillar 3 disclosures every year on its own site (hoaresbank.co.uk/financial-reports), all text-native, no OCR needed, 0 WebSearch calls used (all sourcing via WebFetch against the bank's own site and Companies House). Fiscal year-end 31 March. Every figure below is each year's own originally-published report - not a later restated comparative. FY2025's report introduced a new 'Effect of exchange rate changes' line splitting out what FY2024's own report folded into a single net-change figure; FY2024's own presentation (no separate FX line) is preserved here rather than using FY2025's restated split. FY2024's own printed 'Net decrease in cash and cash equivalents' (164,034) is £1k off from summing its own three section totals (164,033) - an immaterial rounding artifact in the source document itself, kept as printed. FY2026 Pillar 3 has not yet been published (the bank's Pillar 3 editions consistently lag the Annual Report by several months) - left blank, not estimated.</t>
        </is>
      </c>
    </row>
  </sheetData>
  <mergeCells count="1">
    <mergeCell ref="A6:I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C. Hoare &amp; Co. — Tier 1 Ratio</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Tier 1 ratio</t>
        </is>
      </c>
      <c r="B4" s="6" t="n"/>
      <c r="C4" s="6" t="inlineStr">
        <is>
          <t>23.00%</t>
        </is>
      </c>
      <c r="D4" s="6" t="inlineStr">
        <is>
          <t>23.11%</t>
        </is>
      </c>
      <c r="E4" s="6" t="inlineStr">
        <is>
          <t>21.44%</t>
        </is>
      </c>
      <c r="F4" s="6" t="inlineStr">
        <is>
          <t>20.96%</t>
        </is>
      </c>
      <c r="G4" s="6" t="inlineStr">
        <is>
          <t>21.61%</t>
        </is>
      </c>
      <c r="H4" s="6" t="inlineStr">
        <is>
          <t>21.11%</t>
        </is>
      </c>
      <c r="I4" s="6" t="n"/>
    </row>
    <row r="6" ht="170" customHeight="1">
      <c r="A6" s="8" t="inlineStr">
        <is>
          <t>Sources - C. Hoare &amp; Co. Pillar 3 Disclosures, Appendix 1 (Own Funds Disclosure template, UK KM1 basis), solo-consolidated basis:
FY2025/FY2024: Pillar 3 Disclosures 2025, p.15 - https://www.hoaresbank.co.uk/files/2025-07/Pillar_3_Disclosure_2025.pdf
FY2023/FY2022: Pillar 3 Disclosures 2023, p.26 - https://www.hoaresbank.co.uk/files/2023-07/Pillar_3_Disclosure_2023.pdf
FY2021/FY2020: Pillar 3 Disclosures 2021, pp.12-18 - https://www.hoaresbank.co.uk/files/2021-10/CHC_2021_Pillar_3_Disclosures.pdf
FY2019: no primary Pillar 3 disclosure is available in the Bank's official archive; left blank, not estimated.
FY2026: not yet published as of this build - left blank, not estimated.
C. Hoare &amp; Co. (company 00240822, FRN 122093) is a private unlimited company - Britain's oldest privately-owned bank, founded 1672, owned by the Hoare family. Despite the unlimited-company legal form, it voluntarily publishes full audited Consolidated (Group) accounts and Pillar 3 disclosures every year on its own site (hoaresbank.co.uk/financial-reports), all text-native, no OCR needed, 0 WebSearch calls used (all sourcing via WebFetch against the bank's own site and Companies House). Fiscal year-end 31 March. Every figure below is each year's own originally-published report - not a later restated comparative. FY2025's report introduced a new 'Effect of exchange rate changes' line splitting out what FY2024's own report folded into a single net-change figure; FY2024's own presentation (no separate FX line) is preserved here rather than using FY2025's restated split. FY2024's own printed 'Net decrease in cash and cash equivalents' (164,034) is £1k off from summing its own three section totals (164,033) - an immaterial rounding artifact in the source document itself, kept as printed. FY2026 Pillar 3 has not yet been published (the bank's Pillar 3 editions consistently lag the Annual Report by several months) - left blank, not estimated.</t>
        </is>
      </c>
    </row>
  </sheetData>
  <mergeCells count="1">
    <mergeCell ref="A6:I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C. Hoare &amp; Co. — Total Capital</t>
        </is>
      </c>
    </row>
    <row r="2">
      <c r="A2" s="2" t="inlineStr">
        <is>
          <t>£'000</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Total capital</t>
        </is>
      </c>
      <c r="B4" s="6" t="n"/>
      <c r="C4" s="6" t="n">
        <v>531333</v>
      </c>
      <c r="D4" s="6" t="n">
        <v>488113</v>
      </c>
      <c r="E4" s="6" t="n">
        <v>433856</v>
      </c>
      <c r="F4" s="6" t="n">
        <v>386392</v>
      </c>
      <c r="G4" s="6" t="n">
        <v>385764</v>
      </c>
      <c r="H4" s="6" t="n">
        <v>379876</v>
      </c>
      <c r="I4" s="6" t="n"/>
    </row>
    <row r="6" ht="170" customHeight="1">
      <c r="A6" s="8" t="inlineStr">
        <is>
          <t>Sources - C. Hoare &amp; Co. Pillar 3 Disclosures, Appendix 1 (Own Funds Disclosure template, UK KM1 basis), solo-consolidated basis:
FY2025/FY2024: Pillar 3 Disclosures 2025, p.15 - https://www.hoaresbank.co.uk/files/2025-07/Pillar_3_Disclosure_2025.pdf
FY2023/FY2022: Pillar 3 Disclosures 2023, p.26 - https://www.hoaresbank.co.uk/files/2023-07/Pillar_3_Disclosure_2023.pdf
FY2021/FY2020: Pillar 3 Disclosures 2021, pp.12-18 - https://www.hoaresbank.co.uk/files/2021-10/CHC_2021_Pillar_3_Disclosures.pdf
FY2019: no primary Pillar 3 disclosure is available in the Bank's official archive; left blank, not estimated.
FY2026: not yet published as of this build - left blank, not estimated.
C. Hoare &amp; Co. (company 00240822, FRN 122093) is a private unlimited company - Britain's oldest privately-owned bank, founded 1672, owned by the Hoare family. Despite the unlimited-company legal form, it voluntarily publishes full audited Consolidated (Group) accounts and Pillar 3 disclosures every year on its own site (hoaresbank.co.uk/financial-reports), all text-native, no OCR needed, 0 WebSearch calls used (all sourcing via WebFetch against the bank's own site and Companies House). Fiscal year-end 31 March. Every figure below is each year's own originally-published report - not a later restated comparative. FY2025's report introduced a new 'Effect of exchange rate changes' line splitting out what FY2024's own report folded into a single net-change figure; FY2024's own presentation (no separate FX line) is preserved here rather than using FY2025's restated split. FY2024's own printed 'Net decrease in cash and cash equivalents' (164,034) is £1k off from summing its own three section totals (164,033) - an immaterial rounding artifact in the source document itself, kept as printed. FY2026 Pillar 3 has not yet been published (the bank's Pillar 3 editions consistently lag the Annual Report by several months) - left blank, not estimated.</t>
        </is>
      </c>
    </row>
  </sheetData>
  <mergeCells count="1">
    <mergeCell ref="A6:I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C. Hoare &amp; Co. — Total Capital Ratio</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Total capital ratio</t>
        </is>
      </c>
      <c r="B4" s="6" t="n"/>
      <c r="C4" s="6" t="inlineStr">
        <is>
          <t>23.21%</t>
        </is>
      </c>
      <c r="D4" s="6" t="inlineStr">
        <is>
          <t>23.34%</t>
        </is>
      </c>
      <c r="E4" s="6" t="inlineStr">
        <is>
          <t>21.72%</t>
        </is>
      </c>
      <c r="F4" s="6" t="inlineStr">
        <is>
          <t>21.20%</t>
        </is>
      </c>
      <c r="G4" s="6" t="inlineStr">
        <is>
          <t>21.86%</t>
        </is>
      </c>
      <c r="H4" s="6" t="inlineStr">
        <is>
          <t>21.34%</t>
        </is>
      </c>
      <c r="I4" s="6" t="n"/>
    </row>
    <row r="6" ht="170" customHeight="1">
      <c r="A6" s="8" t="inlineStr">
        <is>
          <t>Sources - C. Hoare &amp; Co. Pillar 3 Disclosures, Appendix 1 (Own Funds Disclosure template, UK KM1 basis), solo-consolidated basis:
FY2025/FY2024: Pillar 3 Disclosures 2025, p.15 - https://www.hoaresbank.co.uk/files/2025-07/Pillar_3_Disclosure_2025.pdf
FY2023/FY2022: Pillar 3 Disclosures 2023, p.26 - https://www.hoaresbank.co.uk/files/2023-07/Pillar_3_Disclosure_2023.pdf
FY2021/FY2020: Pillar 3 Disclosures 2021, pp.12-18 - https://www.hoaresbank.co.uk/files/2021-10/CHC_2021_Pillar_3_Disclosures.pdf
FY2019: no primary Pillar 3 disclosure is available in the Bank's official archive; left blank, not estimated.
FY2026: not yet published as of this build - left blank, not estimated.
C. Hoare &amp; Co. (company 00240822, FRN 122093) is a private unlimited company - Britain's oldest privately-owned bank, founded 1672, owned by the Hoare family. Despite the unlimited-company legal form, it voluntarily publishes full audited Consolidated (Group) accounts and Pillar 3 disclosures every year on its own site (hoaresbank.co.uk/financial-reports), all text-native, no OCR needed, 0 WebSearch calls used (all sourcing via WebFetch against the bank's own site and Companies House). Fiscal year-end 31 March. Every figure below is each year's own originally-published report - not a later restated comparative. FY2025's report introduced a new 'Effect of exchange rate changes' line splitting out what FY2024's own report folded into a single net-change figure; FY2024's own presentation (no separate FX line) is preserved here rather than using FY2025's restated split. FY2024's own printed 'Net decrease in cash and cash equivalents' (164,034) is £1k off from summing its own three section totals (164,033) - an immaterial rounding artifact in the source document itself, kept as printed. FY2026 Pillar 3 has not yet been published (the bank's Pillar 3 editions consistently lag the Annual Report by several months) - left blank, not estimated.</t>
        </is>
      </c>
    </row>
  </sheetData>
  <mergeCells count="1">
    <mergeCell ref="A6:I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C. Hoare &amp; Co. — Total RWAs</t>
        </is>
      </c>
    </row>
    <row r="2">
      <c r="A2" s="2" t="inlineStr">
        <is>
          <t>£'000</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Total risk-weighted exposure amount</t>
        </is>
      </c>
      <c r="B4" s="6" t="n"/>
      <c r="C4" s="6" t="n">
        <v>2289414</v>
      </c>
      <c r="D4" s="6" t="n">
        <v>2091044</v>
      </c>
      <c r="E4" s="6" t="n">
        <v>1997896</v>
      </c>
      <c r="F4" s="6" t="n">
        <v>1822244</v>
      </c>
      <c r="G4" s="6" t="n">
        <v>1764829</v>
      </c>
      <c r="H4" s="6" t="n">
        <v>1779927</v>
      </c>
      <c r="I4" s="6" t="n"/>
    </row>
    <row r="6" ht="170" customHeight="1">
      <c r="A6" s="8" t="inlineStr">
        <is>
          <t>Sources - C. Hoare &amp; Co. Pillar 3 Disclosures, Appendix 1 (Own Funds Disclosure template, UK KM1 basis), solo-consolidated basis:
FY2025/FY2024: Pillar 3 Disclosures 2025, p.15 - https://www.hoaresbank.co.uk/files/2025-07/Pillar_3_Disclosure_2025.pdf
FY2023/FY2022: Pillar 3 Disclosures 2023, p.26 - https://www.hoaresbank.co.uk/files/2023-07/Pillar_3_Disclosure_2023.pdf
FY2021/FY2020: Pillar 3 Disclosures 2021, pp.12-18 - https://www.hoaresbank.co.uk/files/2021-10/CHC_2021_Pillar_3_Disclosures.pdf
FY2019: no primary Pillar 3 disclosure is available in the Bank's official archive; left blank, not estimated.
FY2026: not yet published as of this build - left blank, not estimated.
C. Hoare &amp; Co. (company 00240822, FRN 122093) is a private unlimited company - Britain's oldest privately-owned bank, founded 1672, owned by the Hoare family. Despite the unlimited-company legal form, it voluntarily publishes full audited Consolidated (Group) accounts and Pillar 3 disclosures every year on its own site (hoaresbank.co.uk/financial-reports), all text-native, no OCR needed, 0 WebSearch calls used (all sourcing via WebFetch against the bank's own site and Companies House). Fiscal year-end 31 March. Every figure below is each year's own originally-published report - not a later restated comparative. FY2025's report introduced a new 'Effect of exchange rate changes' line splitting out what FY2024's own report folded into a single net-change figure; FY2024's own presentation (no separate FX line) is preserved here rather than using FY2025's restated split. FY2024's own printed 'Net decrease in cash and cash equivalents' (164,034) is £1k off from summing its own three section totals (164,033) - an immaterial rounding artifact in the source document itself, kept as printed. FY2026 Pillar 3 has not yet been published (the bank's Pillar 3 editions consistently lag the Annual Report by several months) - left blank, not estimated.</t>
        </is>
      </c>
    </row>
  </sheetData>
  <mergeCells count="1">
    <mergeCell ref="A6:I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2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C. Hoare &amp; Co. — RWA Breakdown</t>
        </is>
      </c>
    </row>
    <row r="2">
      <c r="A2" s="2" t="inlineStr">
        <is>
          <t>UK OV1 exposure-class split, £'000. FY2026 not yet published.</t>
        </is>
      </c>
    </row>
    <row r="3">
      <c r="A3" s="4" t="inlineStr">
        <is>
          <t>Line item</t>
        </is>
      </c>
      <c r="B3" s="4" t="inlineStr">
        <is>
          <t>FY2026 (£'000)</t>
        </is>
      </c>
      <c r="C3" s="4" t="inlineStr">
        <is>
          <t>FY2025 (£'000)</t>
        </is>
      </c>
      <c r="D3" s="4" t="inlineStr">
        <is>
          <t>FY2024 (£'000)</t>
        </is>
      </c>
      <c r="E3" s="4" t="inlineStr">
        <is>
          <t>FY2023 (£'000)</t>
        </is>
      </c>
      <c r="F3" s="4" t="inlineStr">
        <is>
          <t>FY2022 (£'000)</t>
        </is>
      </c>
      <c r="G3" s="4" t="inlineStr">
        <is>
          <t>FY2021 (£'000)</t>
        </is>
      </c>
      <c r="H3" s="4" t="inlineStr">
        <is>
          <t>FY2020 (£'000)</t>
        </is>
      </c>
      <c r="I3" s="4" t="inlineStr">
        <is>
          <t>FY2019 (£'000)</t>
        </is>
      </c>
    </row>
    <row r="4">
      <c r="A4" s="5" t="inlineStr">
        <is>
          <t>RWA by exposure class, £'000</t>
        </is>
      </c>
      <c r="B4" s="6" t="n"/>
      <c r="C4" s="6" t="n"/>
      <c r="D4" s="6" t="n"/>
      <c r="E4" s="6" t="n"/>
      <c r="F4" s="6" t="n"/>
      <c r="G4" s="6" t="n"/>
      <c r="H4" s="6" t="n"/>
      <c r="I4" s="6" t="n"/>
    </row>
    <row r="5">
      <c r="A5" s="6" t="inlineStr">
        <is>
          <t>Institutions</t>
        </is>
      </c>
      <c r="B5" s="6" t="n"/>
      <c r="C5" s="6" t="n">
        <v>41830</v>
      </c>
      <c r="D5" s="6" t="n">
        <v>54239</v>
      </c>
      <c r="E5" s="6" t="n">
        <v>162882</v>
      </c>
      <c r="F5" s="6" t="n">
        <v>61655</v>
      </c>
      <c r="G5" s="6" t="n">
        <v>66031</v>
      </c>
      <c r="H5" s="6" t="n">
        <v>148148</v>
      </c>
      <c r="I5" s="6" t="n"/>
    </row>
    <row r="6">
      <c r="A6" s="6" t="inlineStr">
        <is>
          <t>Corporates</t>
        </is>
      </c>
      <c r="B6" s="6" t="n"/>
      <c r="C6" s="6" t="n">
        <v>76500</v>
      </c>
      <c r="D6" s="6" t="n">
        <v>102248</v>
      </c>
      <c r="E6" s="6" t="n">
        <v>107319</v>
      </c>
      <c r="F6" s="6" t="n">
        <v>95307</v>
      </c>
      <c r="G6" s="6" t="n">
        <v>139936</v>
      </c>
      <c r="H6" s="6" t="n">
        <v>76760</v>
      </c>
      <c r="I6" s="6" t="n"/>
    </row>
    <row r="7">
      <c r="A7" s="6" t="inlineStr">
        <is>
          <t>Retail</t>
        </is>
      </c>
      <c r="B7" s="6" t="n"/>
      <c r="C7" s="6" t="n">
        <v>23348</v>
      </c>
      <c r="D7" s="6" t="n">
        <v>26562</v>
      </c>
      <c r="E7" s="6" t="n">
        <v>26867</v>
      </c>
      <c r="F7" s="6" t="n">
        <v>23919</v>
      </c>
      <c r="G7" s="6" t="n">
        <v>22667</v>
      </c>
      <c r="H7" s="6" t="n">
        <v>20936</v>
      </c>
      <c r="I7" s="6" t="n"/>
    </row>
    <row r="8">
      <c r="A8" s="6" t="inlineStr">
        <is>
          <t>Secured by mortgages on immovable property</t>
        </is>
      </c>
      <c r="B8" s="6" t="n"/>
      <c r="C8" s="6" t="n">
        <v>1090724</v>
      </c>
      <c r="D8" s="6" t="n">
        <v>968778</v>
      </c>
      <c r="E8" s="6" t="n">
        <v>952975</v>
      </c>
      <c r="F8" s="6" t="n">
        <v>880391</v>
      </c>
      <c r="G8" s="6" t="n">
        <v>749416</v>
      </c>
      <c r="H8" s="6" t="n">
        <v>802993</v>
      </c>
      <c r="I8" s="6" t="n"/>
    </row>
    <row r="9">
      <c r="A9" s="6" t="inlineStr">
        <is>
          <t>Exposures in default</t>
        </is>
      </c>
      <c r="B9" s="6" t="n"/>
      <c r="C9" s="6" t="n">
        <v>31891</v>
      </c>
      <c r="D9" s="6" t="n">
        <v>26252</v>
      </c>
      <c r="E9" s="6" t="n">
        <v>31691</v>
      </c>
      <c r="F9" s="6" t="n">
        <v>61214</v>
      </c>
      <c r="G9" s="6" t="n">
        <v>114437</v>
      </c>
      <c r="H9" s="6" t="n">
        <v>103721</v>
      </c>
      <c r="I9" s="6" t="n"/>
    </row>
    <row r="10">
      <c r="A10" s="6" t="inlineStr">
        <is>
          <t>Items associated with particularly high risk</t>
        </is>
      </c>
      <c r="B10" s="6" t="n"/>
      <c r="C10" s="6" t="n">
        <v>120576</v>
      </c>
      <c r="D10" s="6" t="n">
        <v>109542</v>
      </c>
      <c r="E10" s="6" t="n">
        <v>43564</v>
      </c>
      <c r="F10" s="6" t="n">
        <v>45923</v>
      </c>
      <c r="G10" s="6" t="n">
        <v>50392</v>
      </c>
      <c r="H10" s="6" t="n">
        <v>126877</v>
      </c>
      <c r="I10" s="6" t="n"/>
    </row>
    <row r="11">
      <c r="A11" s="6" t="inlineStr">
        <is>
          <t>Covered bonds</t>
        </is>
      </c>
      <c r="B11" s="6" t="n"/>
      <c r="C11" s="6" t="n">
        <v>158663</v>
      </c>
      <c r="D11" s="6" t="n">
        <v>154784</v>
      </c>
      <c r="E11" s="6" t="n">
        <v>159974</v>
      </c>
      <c r="F11" s="6" t="n">
        <v>132987</v>
      </c>
      <c r="G11" s="6" t="n">
        <v>96282</v>
      </c>
      <c r="H11" s="6" t="n">
        <v>96428</v>
      </c>
      <c r="I11" s="6" t="n"/>
    </row>
    <row r="12">
      <c r="A12" s="6" t="inlineStr">
        <is>
          <t>Claims on institutions/corporates with short-term credit assessment</t>
        </is>
      </c>
      <c r="B12" s="6" t="n"/>
      <c r="C12" s="6" t="n"/>
      <c r="D12" s="6" t="n"/>
      <c r="E12" s="6" t="n">
        <v>0</v>
      </c>
      <c r="F12" s="6" t="n">
        <v>45485</v>
      </c>
      <c r="G12" s="6" t="n">
        <v>70016</v>
      </c>
      <c r="H12" s="6" t="n">
        <v>100307</v>
      </c>
      <c r="I12" s="6" t="n"/>
    </row>
    <row r="13">
      <c r="A13" s="6" t="inlineStr">
        <is>
          <t>Claims in the form of Collective Investment Undertakings (CIU)</t>
        </is>
      </c>
      <c r="B13" s="6" t="n"/>
      <c r="C13" s="6" t="n">
        <v>177450</v>
      </c>
      <c r="D13" s="6" t="n">
        <v>148636</v>
      </c>
      <c r="E13" s="6" t="n">
        <v>146236</v>
      </c>
      <c r="F13" s="6" t="n">
        <v>165017</v>
      </c>
      <c r="G13" s="6" t="n">
        <v>129997</v>
      </c>
      <c r="H13" s="6" t="n">
        <v>0</v>
      </c>
      <c r="I13" s="6" t="n"/>
    </row>
    <row r="14">
      <c r="A14" s="6" t="inlineStr">
        <is>
          <t>Other items</t>
        </is>
      </c>
      <c r="B14" s="6" t="n"/>
      <c r="C14" s="6" t="n">
        <v>99101</v>
      </c>
      <c r="D14" s="6" t="n">
        <v>115345</v>
      </c>
      <c r="E14" s="6" t="n">
        <v>96342</v>
      </c>
      <c r="F14" s="6" t="n">
        <v>89211</v>
      </c>
      <c r="G14" s="6" t="n">
        <v>91239</v>
      </c>
      <c r="H14" s="6" t="n">
        <v>93629</v>
      </c>
      <c r="I14" s="6" t="n"/>
    </row>
    <row r="15">
      <c r="A15" s="6" t="inlineStr">
        <is>
          <t>Securitisations</t>
        </is>
      </c>
      <c r="B15" s="6" t="n"/>
      <c r="C15" s="6" t="n">
        <v>74767</v>
      </c>
      <c r="D15" s="6" t="n">
        <v>65116</v>
      </c>
      <c r="E15" s="6" t="n">
        <v>39209</v>
      </c>
      <c r="F15" s="6" t="n">
        <v>36844</v>
      </c>
      <c r="G15" s="6" t="n">
        <v>31338</v>
      </c>
      <c r="H15" s="6" t="n">
        <v>8707</v>
      </c>
      <c r="I15" s="6" t="n"/>
    </row>
    <row r="16">
      <c r="A16" s="5" t="inlineStr">
        <is>
          <t>Total credit risk</t>
        </is>
      </c>
      <c r="B16" s="5" t="n"/>
      <c r="C16" s="5" t="n">
        <v>1894851</v>
      </c>
      <c r="D16" s="5" t="n">
        <v>1771501</v>
      </c>
      <c r="E16" s="5" t="n">
        <v>1767060</v>
      </c>
      <c r="F16" s="5" t="n">
        <v>1637953</v>
      </c>
      <c r="G16" s="5" t="n">
        <v>1572334</v>
      </c>
      <c r="H16" s="5" t="n">
        <v>1584434</v>
      </c>
      <c r="I16" s="5" t="n"/>
    </row>
    <row r="17">
      <c r="A17" s="6" t="inlineStr">
        <is>
          <t>Total market risk (FX PRR)</t>
        </is>
      </c>
      <c r="B17" s="6" t="n"/>
      <c r="C17" s="6" t="n">
        <v>0</v>
      </c>
      <c r="D17" s="6" t="n">
        <v>0</v>
      </c>
      <c r="E17" s="6" t="n">
        <v>0</v>
      </c>
      <c r="F17" s="6" t="n">
        <v>0</v>
      </c>
      <c r="G17" s="6" t="n">
        <v>0</v>
      </c>
      <c r="H17" s="6" t="n">
        <v>350</v>
      </c>
      <c r="I17" s="6" t="n"/>
    </row>
    <row r="18">
      <c r="A18" s="6" t="inlineStr">
        <is>
          <t>Total operational risk</t>
        </is>
      </c>
      <c r="B18" s="6" t="n"/>
      <c r="C18" s="6" t="n">
        <v>394563</v>
      </c>
      <c r="D18" s="6" t="n">
        <v>319543</v>
      </c>
      <c r="E18" s="6" t="n">
        <v>230837</v>
      </c>
      <c r="F18" s="6" t="n">
        <v>184291</v>
      </c>
      <c r="G18" s="6" t="n">
        <v>192495</v>
      </c>
      <c r="H18" s="6" t="n">
        <v>195143</v>
      </c>
      <c r="I18" s="6" t="n"/>
    </row>
    <row r="19">
      <c r="A19" s="5" t="inlineStr">
        <is>
          <t>Total Pillar 1 capital requirement (Total RWAs)</t>
        </is>
      </c>
      <c r="B19" s="5" t="n"/>
      <c r="C19" s="5" t="n">
        <v>2289414</v>
      </c>
      <c r="D19" s="5" t="n">
        <v>2091044</v>
      </c>
      <c r="E19" s="5" t="n">
        <v>1997896</v>
      </c>
      <c r="F19" s="5" t="n">
        <v>1822244</v>
      </c>
      <c r="G19" s="5" t="n">
        <v>1764829</v>
      </c>
      <c r="H19" s="5" t="n">
        <v>1779927</v>
      </c>
      <c r="I19" s="5" t="n"/>
    </row>
    <row r="21" ht="280" customHeight="1">
      <c r="A21" s="8" t="inlineStr">
        <is>
          <t>Sources - C. Hoare &amp; Co. Pillar 3 Disclosures, UK OV1 'Risk weighted assets and Pillar 1 capital requirements by exposure class' table:
FY2025/FY2024: Pillar 3 Disclosures 2025, Table 6, p.10 - https://www.hoaresbank.co.uk/files/2025-07/Pillar_3_Disclosure_2025.pdf
FY2023/FY2022: Pillar 3 Disclosures 2023, Table 5, p.14 - https://www.hoaresbank.co.uk/files/2023-07/Pillar_3_Disclosure_2023.pdf
FY2021/FY2020: Pillar 3 Disclosures 2021, Table 5, p.14 - https://www.hoaresbank.co.uk/files/2021-10/CHC_2021_Pillar_3_Disclosures.pdf
FY2019: no primary Pillar 3 disclosure is available in the Bank's official archive; left blank, not estimated.
FY2026: not yet published as of this build - left blank, not estimated.
C. Hoare &amp; Co. (company 00240822, FRN 122093) is a private unlimited company - Britain's oldest privately-owned bank, founded 1672, owned by the Hoare family. Despite the unlimited-company legal form, it voluntarily publishes full audited Consolidated (Group) accounts and Pillar 3 disclosures every year on its own site (hoaresbank.co.uk/financial-reports), all text-native, no OCR needed, 0 WebSearch calls used (all sourcing via WebFetch against the bank's own site and Companies House). Fiscal year-end 31 March. Every figure below is each year's own originally-published report - not a later restated comparative. FY2025's report introduced a new 'Effect of exchange rate changes' line splitting out what FY2024's own report folded into a single net-change figure; FY2024's own presentation (no separate FX line) is preserved here rather than using FY2025's restated split. FY2024's own printed 'Net decrease in cash and cash equivalents' (164,034) is £1k off from summing its own three section totals (164,033) - an immaterial rounding artifact in the source document itself, kept as printed. FY2026 Pillar 3 has not yet been published (the bank's Pillar 3 editions consistently lag the Annual Report by several months) - left blank, not estimated.</t>
        </is>
      </c>
    </row>
  </sheetData>
  <mergeCells count="1">
    <mergeCell ref="A21:I21"/>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C. Hoare &amp; Co. — Leverage Ratio</t>
        </is>
      </c>
    </row>
    <row r="2">
      <c r="A2" s="2" t="inlineStr">
        <is>
          <t>%, excluding claims on central banks</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Leverage ratio excluding claims on central banks</t>
        </is>
      </c>
      <c r="B4" s="6" t="n"/>
      <c r="C4" s="6" t="inlineStr">
        <is>
          <t>9.29%</t>
        </is>
      </c>
      <c r="D4" s="6" t="inlineStr">
        <is>
          <t>7.61%</t>
        </is>
      </c>
      <c r="E4" s="6" t="inlineStr">
        <is>
          <t>6.96%</t>
        </is>
      </c>
      <c r="F4" s="6" t="inlineStr">
        <is>
          <t>6.61%</t>
        </is>
      </c>
      <c r="G4" s="6" t="inlineStr">
        <is>
          <t>6.32%</t>
        </is>
      </c>
      <c r="H4" s="6" t="inlineStr">
        <is>
          <t>7.18%</t>
        </is>
      </c>
      <c r="I4" s="6" t="n"/>
    </row>
    <row r="5" ht="60" customHeight="1">
      <c r="A5" s="7" t="inlineStr">
        <is>
          <t>Note: Consistently disclosed on the same 'excluding claims on central banks' basis every year shown - no mid-series methodology break, unlike several other banks in this project.</t>
        </is>
      </c>
    </row>
    <row r="7" ht="170" customHeight="1">
      <c r="A7" s="8" t="inlineStr">
        <is>
          <t>Sources - C. Hoare &amp; Co. Pillar 3 Disclosures, Appendix 1 (Own Funds Disclosure template, UK KM1 basis), solo-consolidated basis:
FY2025/FY2024: Pillar 3 Disclosures 2025, p.15 - https://www.hoaresbank.co.uk/files/2025-07/Pillar_3_Disclosure_2025.pdf
FY2023/FY2022: Pillar 3 Disclosures 2023, p.26 - https://www.hoaresbank.co.uk/files/2023-07/Pillar_3_Disclosure_2023.pdf
FY2021/FY2020: Pillar 3 Disclosures 2021, pp.12-18 - https://www.hoaresbank.co.uk/files/2021-10/CHC_2021_Pillar_3_Disclosures.pdf
FY2019: no primary Pillar 3 disclosure is available in the Bank's official archive; left blank, not estimated.
FY2026: not yet published as of this build - left blank, not estimated.
C. Hoare &amp; Co. (company 00240822, FRN 122093) is a private unlimited company - Britain's oldest privately-owned bank, founded 1672, owned by the Hoare family. Despite the unlimited-company legal form, it voluntarily publishes full audited Consolidated (Group) accounts and Pillar 3 disclosures every year on its own site (hoaresbank.co.uk/financial-reports), all text-native, no OCR needed, 0 WebSearch calls used (all sourcing via WebFetch against the bank's own site and Companies House). Fiscal year-end 31 March. Every figure below is each year's own originally-published report - not a later restated comparative. FY2025's report introduced a new 'Effect of exchange rate changes' line splitting out what FY2024's own report folded into a single net-change figure; FY2024's own presentation (no separate FX line) is preserved here rather than using FY2025's restated split. FY2024's own printed 'Net decrease in cash and cash equivalents' (164,034) is £1k off from summing its own three section totals (164,033) - an immaterial rounding artifact in the source document itself, kept as printed. FY2026 Pillar 3 has not yet been published (the bank's Pillar 3 editions consistently lag the Annual Report by several months) - left blank, not estimated.</t>
        </is>
      </c>
    </row>
  </sheetData>
  <mergeCells count="2">
    <mergeCell ref="A5:I5"/>
    <mergeCell ref="A7:I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C. Hoare &amp; Co. — LCR</t>
        </is>
      </c>
    </row>
    <row r="2">
      <c r="A2" s="2" t="inlineStr">
        <is>
          <t>%, 12-month rolling average of month-end positions</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Liquidity coverage ratio</t>
        </is>
      </c>
      <c r="B4" s="6" t="n"/>
      <c r="C4" s="6" t="inlineStr">
        <is>
          <t>341%</t>
        </is>
      </c>
      <c r="D4" s="6" t="inlineStr">
        <is>
          <t>308%</t>
        </is>
      </c>
      <c r="E4" s="6" t="inlineStr">
        <is>
          <t>273%</t>
        </is>
      </c>
      <c r="F4" s="6" t="inlineStr">
        <is>
          <t>272%</t>
        </is>
      </c>
      <c r="G4" s="6" t="n"/>
      <c r="H4" s="6" t="n"/>
      <c r="I4" s="6" t="n"/>
    </row>
    <row r="6" ht="170" customHeight="1">
      <c r="A6" s="8" t="inlineStr">
        <is>
          <t>Sources - C. Hoare &amp; Co. Pillar 3 Disclosures, Appendix 1 (Own Funds Disclosure template, UK KM1 basis), solo-consolidated basis:
FY2025/FY2024: Pillar 3 Disclosures 2025, p.15 - https://www.hoaresbank.co.uk/files/2025-07/Pillar_3_Disclosure_2025.pdf
FY2023/FY2022: Pillar 3 Disclosures 2023, p.26 - https://www.hoaresbank.co.uk/files/2023-07/Pillar_3_Disclosure_2023.pdf
FY2021/FY2020: Pillar 3 Disclosures 2021, pp.12-18 - https://www.hoaresbank.co.uk/files/2021-10/CHC_2021_Pillar_3_Disclosures.pdf
FY2019: no primary Pillar 3 disclosure is available in the Bank's official archive; left blank, not estimated.
FY2026: not yet published as of this build - left blank, not estimated.
C. Hoare &amp; Co. (company 00240822, FRN 122093) is a private unlimited company - Britain's oldest privately-owned bank, founded 1672, owned by the Hoare family. Despite the unlimited-company legal form, it voluntarily publishes full audited Consolidated (Group) accounts and Pillar 3 disclosures every year on its own site (hoaresbank.co.uk/financial-reports), all text-native, no OCR needed, 0 WebSearch calls used (all sourcing via WebFetch against the bank's own site and Companies House). Fiscal year-end 31 March. Every figure below is each year's own originally-published report - not a later restated comparative. FY2025's report introduced a new 'Effect of exchange rate changes' line splitting out what FY2024's own report folded into a single net-change figure; FY2024's own presentation (no separate FX line) is preserved here rather than using FY2025's restated split. FY2024's own printed 'Net decrease in cash and cash equivalents' (164,034) is £1k off from summing its own three section totals (164,033) - an immaterial rounding artifact in the source document itself, kept as printed. FY2026 Pillar 3 has not yet been published (the bank's Pillar 3 editions consistently lag the Annual Report by several months) - left blank, not estimated.</t>
        </is>
      </c>
    </row>
  </sheetData>
  <mergeCells count="1">
    <mergeCell ref="A6:I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C. Hoare &amp; Co. — NSFR</t>
        </is>
      </c>
    </row>
    <row r="2">
      <c r="A2" s="2" t="inlineStr">
        <is>
          <t>%, 4-quarter rolling average of quarter-end positions</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NSFR ratio</t>
        </is>
      </c>
      <c r="B4" s="6" t="n"/>
      <c r="C4" s="6" t="inlineStr">
        <is>
          <t>250%</t>
        </is>
      </c>
      <c r="D4" s="6" t="inlineStr">
        <is>
          <t>246%</t>
        </is>
      </c>
      <c r="E4" s="6" t="inlineStr">
        <is>
          <t>256%</t>
        </is>
      </c>
      <c r="F4" s="6" t="inlineStr">
        <is>
          <t>269%</t>
        </is>
      </c>
      <c r="G4" s="6" t="n"/>
      <c r="H4" s="6" t="n"/>
      <c r="I4" s="6" t="n"/>
    </row>
    <row r="6" ht="170" customHeight="1">
      <c r="A6" s="8" t="inlineStr">
        <is>
          <t>Sources - C. Hoare &amp; Co. Pillar 3 Disclosures, Appendix 1 (Own Funds Disclosure template, UK KM1 basis), solo-consolidated basis:
FY2025/FY2024: Pillar 3 Disclosures 2025, p.15 - https://www.hoaresbank.co.uk/files/2025-07/Pillar_3_Disclosure_2025.pdf
FY2023/FY2022: Pillar 3 Disclosures 2023, p.26 - https://www.hoaresbank.co.uk/files/2023-07/Pillar_3_Disclosure_2023.pdf
FY2021/FY2020: Pillar 3 Disclosures 2021, pp.12-18 - https://www.hoaresbank.co.uk/files/2021-10/CHC_2021_Pillar_3_Disclosures.pdf
FY2019: no primary Pillar 3 disclosure is available in the Bank's official archive; left blank, not estimated.
FY2026: not yet published as of this build - left blank, not estimated.
C. Hoare &amp; Co. (company 00240822, FRN 122093) is a private unlimited company - Britain's oldest privately-owned bank, founded 1672, owned by the Hoare family. Despite the unlimited-company legal form, it voluntarily publishes full audited Consolidated (Group) accounts and Pillar 3 disclosures every year on its own site (hoaresbank.co.uk/financial-reports), all text-native, no OCR needed, 0 WebSearch calls used (all sourcing via WebFetch against the bank's own site and Companies House). Fiscal year-end 31 March. Every figure below is each year's own originally-published report - not a later restated comparative. FY2025's report introduced a new 'Effect of exchange rate changes' line splitting out what FY2024's own report folded into a single net-change figure; FY2024's own presentation (no separate FX line) is preserved here rather than using FY2025's restated split. FY2024's own printed 'Net decrease in cash and cash equivalents' (164,034) is £1k off from summing its own three section totals (164,033) - an immaterial rounding artifact in the source document itself, kept as printed. FY2026 Pillar 3 has not yet been published (the bank's Pillar 3 editions consistently lag the Annual Report by several months) - left blank, not estimated.</t>
        </is>
      </c>
    </row>
  </sheetData>
  <mergeCells count="1">
    <mergeCell ref="A6:I6"/>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C. Hoare &amp; Co. — MREL Ratio</t>
        </is>
      </c>
    </row>
    <row r="2">
      <c r="A2" s="2" t="inlineStr"/>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row>
    <row r="5" ht="60" customHeight="1">
      <c r="A5" s="7" t="inlineStr">
        <is>
          <t>Note: Not found in either Pillar 3 document reviewed (2025 or 2023 edition) - no MREL row exists in this bank's Own Funds Disclosure template at all, and no separate qualitative statement was found either.</t>
        </is>
      </c>
    </row>
    <row r="7" ht="150" customHeight="1">
      <c r="A7" s="8" t="inlineStr">
        <is>
          <t>Sources - C. Hoare &amp; Co. Pillar 3 Disclosures, Appendix 1 (Own Funds Disclosure template, UK KM1 basis), solo-consolidated basis:
FY2025/FY2024: Pillar 3 Disclosures 2025, p.15 - https://www.hoaresbank.co.uk/files/2025-07/Pillar_3_Disclosure_2025.pdf
FY2023/FY2022: Pillar 3 Disclosures 2023, p.26 - https://www.hoaresbank.co.uk/files/2023-07/Pillar_3_Disclosure_2023.pdf
FY2021/FY2020: Pillar 3 Disclosures 2021, pp.12-18 - https://www.hoaresbank.co.uk/files/2021-10/CHC_2021_Pillar_3_Disclosures.pdf
FY2019: no primary Pillar 3 disclosure is available in the Bank's official archive; left blank, not estimated.
FY2026: not yet published as of this build - left blank, not estimated.
C. Hoare &amp; Co. (company 00240822, FRN 122093) is a private unlimited company - Britain's oldest privately-owned bank, founded 1672, owned by the Hoare family. Despite the unlimited-company legal form, it voluntarily publishes full audited Consolidated (Group) accounts and Pillar 3 disclosures every year on its own site (hoaresbank.co.uk/financial-reports), all text-native, no OCR needed, 0 WebSearch calls used (all sourcing via WebFetch against the bank's own site and Companies House). Fiscal year-end 31 March. Every figure below is each year's own originally-published report - not a later restated comparative. FY2025's report introduced a new 'Effect of exchange rate changes' line splitting out what FY2024's own report folded into a single net-change figure; FY2024's own presentation (no separate FX line) is preserved here rather than using FY2025's restated split. FY2024's own printed 'Net decrease in cash and cash equivalents' (164,034) is £1k off from summing its own three section totals (164,033) - an immaterial rounding artifact in the source document itself, kept as printed. FY2026 Pillar 3 has not yet been published (the bank's Pillar 3 editions consistently lag the Annual Report by several months) - left blank, not estimated.</t>
        </is>
      </c>
    </row>
  </sheetData>
  <mergeCells count="2">
    <mergeCell ref="A5:I5"/>
    <mergeCell ref="A7:I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2026-09-05T21:50:28Z</dcterms:created>
  <dcterms:modified xsi:type="dcterms:W3CDTF">2026-09-05T21:50:28Z</dcterms:modified>
</cp:coreProperties>
</file>