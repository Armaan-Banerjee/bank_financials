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1F3864"/>
        <b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Barclays Bank UK Group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Barclays Bank UK Group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Barclays Bank UK Group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(£m)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from operating activities</t>
        </is>
      </c>
      <c r="B6" s="5" t="n">
        <v>-7860</v>
      </c>
      <c r="C6" s="5" t="n">
        <v>1959</v>
      </c>
      <c r="D6" s="5" t="n">
        <v>-17451</v>
      </c>
      <c r="E6" s="5" t="n">
        <v>1466</v>
      </c>
      <c r="F6" s="5" t="n">
        <v>29314</v>
      </c>
      <c r="I6" t="inlineStr">
        <is>
          <t>Net cash from operating activities</t>
        </is>
      </c>
      <c r="J6" t="n">
        <v>29314</v>
      </c>
      <c r="K6" t="n">
        <v>1466</v>
      </c>
      <c r="L6" t="n">
        <v>-17451</v>
      </c>
      <c r="M6" t="n">
        <v>1959</v>
      </c>
      <c r="N6" t="n">
        <v>-7860</v>
      </c>
      <c r="Q6" t="inlineStr">
        <is>
          <t>CET1 Ratio</t>
        </is>
      </c>
      <c r="R6" t="n">
        <v>15.2</v>
      </c>
      <c r="S6" t="n">
        <v>14.7</v>
      </c>
      <c r="T6" t="n">
        <v>14.8</v>
      </c>
      <c r="U6" t="n">
        <v>14.2</v>
      </c>
      <c r="V6" t="n">
        <v>14.5</v>
      </c>
    </row>
    <row r="7">
      <c r="A7" s="5" t="inlineStr">
        <is>
          <t>Net cash from investing activities</t>
        </is>
      </c>
      <c r="B7" s="5" t="n">
        <v>330</v>
      </c>
      <c r="C7" s="5" t="n">
        <v>-7308</v>
      </c>
      <c r="D7" s="5" t="n">
        <v>-2830</v>
      </c>
      <c r="E7" s="5" t="n">
        <v>-12601</v>
      </c>
      <c r="F7" s="5" t="n">
        <v>6430</v>
      </c>
      <c r="I7" t="inlineStr">
        <is>
          <t>Net cash from investing activities</t>
        </is>
      </c>
      <c r="J7" t="n">
        <v>6430</v>
      </c>
      <c r="K7" t="n">
        <v>-12601</v>
      </c>
      <c r="L7" t="n">
        <v>-2830</v>
      </c>
      <c r="M7" t="n">
        <v>-7308</v>
      </c>
      <c r="N7" t="n">
        <v>330</v>
      </c>
      <c r="Q7" t="inlineStr">
        <is>
          <t>Tier 1 Ratio</t>
        </is>
      </c>
      <c r="R7" t="n">
        <v>18.8</v>
      </c>
      <c r="S7" t="n">
        <v>18.2</v>
      </c>
      <c r="T7" t="n">
        <v>18.1</v>
      </c>
      <c r="U7" t="n">
        <v>17.1</v>
      </c>
      <c r="V7" t="n">
        <v>17.1</v>
      </c>
    </row>
    <row r="8">
      <c r="A8" s="5" t="inlineStr">
        <is>
          <t>Net cash from financing activities</t>
        </is>
      </c>
      <c r="B8" s="5" t="n">
        <v>-1009</v>
      </c>
      <c r="C8" s="5" t="n">
        <v>660</v>
      </c>
      <c r="D8" s="5" t="n">
        <v>1565</v>
      </c>
      <c r="E8" s="5" t="n">
        <v>-3161</v>
      </c>
      <c r="F8" s="5" t="n">
        <v>-785</v>
      </c>
      <c r="I8" t="inlineStr">
        <is>
          <t>Net cash from financing activities</t>
        </is>
      </c>
      <c r="J8" t="n">
        <v>-785</v>
      </c>
      <c r="K8" t="n">
        <v>-3161</v>
      </c>
      <c r="L8" t="n">
        <v>1565</v>
      </c>
      <c r="M8" t="n">
        <v>660</v>
      </c>
      <c r="N8" t="n">
        <v>-1009</v>
      </c>
      <c r="Q8" t="inlineStr">
        <is>
          <t>Total Capital Ratio</t>
        </is>
      </c>
      <c r="R8" t="n">
        <v>23.1</v>
      </c>
      <c r="S8" t="n">
        <v>21.8</v>
      </c>
      <c r="T8" t="n">
        <v>21.6</v>
      </c>
      <c r="U8" t="n">
        <v>20.5</v>
      </c>
      <c r="V8" t="n">
        <v>20</v>
      </c>
    </row>
    <row r="9">
      <c r="A9" s="5" t="inlineStr">
        <is>
          <t>Cash and cash equivalents at end of year</t>
        </is>
      </c>
      <c r="B9" s="5" t="n">
        <v>27136</v>
      </c>
      <c r="C9" s="5" t="n">
        <v>35675</v>
      </c>
      <c r="D9" s="5" t="n">
        <v>40364</v>
      </c>
      <c r="E9" s="5" t="n">
        <v>59080</v>
      </c>
      <c r="F9" s="5" t="n">
        <v>73376</v>
      </c>
      <c r="I9" t="inlineStr">
        <is>
          <t>Cash and cash equivalents at end of year</t>
        </is>
      </c>
      <c r="J9" t="n">
        <v>73376</v>
      </c>
      <c r="K9" t="n">
        <v>59080</v>
      </c>
      <c r="L9" t="n">
        <v>40364</v>
      </c>
      <c r="M9" t="n">
        <v>35675</v>
      </c>
      <c r="N9" t="n">
        <v>27136</v>
      </c>
      <c r="Q9" t="inlineStr">
        <is>
          <t>Leverage Ratio</t>
        </is>
      </c>
      <c r="R9" t="n">
        <v>5.6</v>
      </c>
      <c r="S9" t="n">
        <v>5.3</v>
      </c>
      <c r="T9" t="n">
        <v>5.2</v>
      </c>
      <c r="U9" t="n">
        <v>5.3</v>
      </c>
      <c r="V9" t="n">
        <v>5.2</v>
      </c>
    </row>
    <row r="10">
      <c r="Q10" t="inlineStr">
        <is>
          <t>LCR</t>
        </is>
      </c>
      <c r="R10" t="n">
        <v>204</v>
      </c>
      <c r="S10" t="n">
        <v>186</v>
      </c>
      <c r="T10" t="n">
        <v>180</v>
      </c>
      <c r="U10" t="n">
        <v>202</v>
      </c>
      <c r="V10" t="n">
        <v>186.6</v>
      </c>
    </row>
    <row r="11">
      <c r="A11" s="3" t="inlineStr">
        <is>
          <t>Pillar 3 Key Metrics</t>
        </is>
      </c>
      <c r="Q11" t="inlineStr">
        <is>
          <t>NSFR</t>
        </is>
      </c>
      <c r="S11" t="n">
        <v>168</v>
      </c>
      <c r="T11" t="n">
        <v>165</v>
      </c>
      <c r="U11" t="n">
        <v>159.3</v>
      </c>
      <c r="V11" t="n">
        <v>152.4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14.5%</t>
        </is>
      </c>
      <c r="C13" s="6" t="inlineStr">
        <is>
          <t>14.2%</t>
        </is>
      </c>
      <c r="D13" s="6" t="inlineStr">
        <is>
          <t>14.8%</t>
        </is>
      </c>
      <c r="E13" s="6" t="inlineStr">
        <is>
          <t>14.7%</t>
        </is>
      </c>
      <c r="F13" s="6" t="inlineStr">
        <is>
          <t>15.2%</t>
        </is>
      </c>
    </row>
    <row r="14">
      <c r="A14" s="6" t="inlineStr">
        <is>
          <t>Tier 1 Ratio</t>
        </is>
      </c>
      <c r="B14" s="6" t="inlineStr">
        <is>
          <t>17.1%</t>
        </is>
      </c>
      <c r="C14" s="6" t="inlineStr">
        <is>
          <t>17.1%</t>
        </is>
      </c>
      <c r="D14" s="6" t="inlineStr">
        <is>
          <t>18.1%</t>
        </is>
      </c>
      <c r="E14" s="6" t="inlineStr">
        <is>
          <t>18.2%</t>
        </is>
      </c>
      <c r="F14" s="6" t="inlineStr">
        <is>
          <t>18.8%</t>
        </is>
      </c>
    </row>
    <row r="15">
      <c r="A15" s="6" t="inlineStr">
        <is>
          <t>Total Capital Ratio</t>
        </is>
      </c>
      <c r="B15" s="6" t="inlineStr">
        <is>
          <t>20.0%</t>
        </is>
      </c>
      <c r="C15" s="6" t="inlineStr">
        <is>
          <t>20.5%</t>
        </is>
      </c>
      <c r="D15" s="6" t="inlineStr">
        <is>
          <t>21.6%</t>
        </is>
      </c>
      <c r="E15" s="6" t="inlineStr">
        <is>
          <t>21.8%</t>
        </is>
      </c>
      <c r="F15" s="6" t="inlineStr">
        <is>
          <t>23.1%</t>
        </is>
      </c>
    </row>
    <row r="16">
      <c r="A16" s="6" t="inlineStr">
        <is>
          <t>Leverage Ratio</t>
        </is>
      </c>
      <c r="B16" s="6" t="inlineStr">
        <is>
          <t>5.2%</t>
        </is>
      </c>
      <c r="C16" s="6" t="inlineStr">
        <is>
          <t>5.3%</t>
        </is>
      </c>
      <c r="D16" s="6" t="inlineStr">
        <is>
          <t>5.2%</t>
        </is>
      </c>
      <c r="E16" s="6" t="inlineStr">
        <is>
          <t>5.3%</t>
        </is>
      </c>
      <c r="F16" s="6" t="inlineStr">
        <is>
          <t>5.6%</t>
        </is>
      </c>
    </row>
    <row r="17">
      <c r="A17" s="6" t="inlineStr">
        <is>
          <t>LCR</t>
        </is>
      </c>
      <c r="B17" s="6" t="inlineStr">
        <is>
          <t>186.6%</t>
        </is>
      </c>
      <c r="C17" s="6" t="inlineStr">
        <is>
          <t>202.0%</t>
        </is>
      </c>
      <c r="D17" s="6" t="inlineStr">
        <is>
          <t>180%</t>
        </is>
      </c>
      <c r="E17" s="6" t="inlineStr">
        <is>
          <t>186%</t>
        </is>
      </c>
      <c r="F17" s="6" t="inlineStr">
        <is>
          <t>204%</t>
        </is>
      </c>
    </row>
    <row r="18">
      <c r="A18" s="6" t="inlineStr">
        <is>
          <t>NSFR</t>
        </is>
      </c>
      <c r="B18" s="6" t="inlineStr">
        <is>
          <t>152.4%</t>
        </is>
      </c>
      <c r="C18" s="6" t="inlineStr">
        <is>
          <t>159.3%</t>
        </is>
      </c>
      <c r="D18" s="6" t="inlineStr">
        <is>
          <t>165%</t>
        </is>
      </c>
      <c r="E18" s="6" t="inlineStr">
        <is>
          <t>168%</t>
        </is>
      </c>
      <c r="F18" s="6" t="inlineStr">
        <is>
          <t>Not disclosed</t>
        </is>
      </c>
    </row>
    <row r="20" ht="45" customHeight="1">
      <c r="A20" s="7" t="inlineStr">
        <is>
          <t>Note: Figures are duplicated from the detail sheets for at-a-glance trend viewing; see each sheet's own source citation for the underlying document/page. Leverage ratio shown on the 'excluding claims on central banks' basis for comparability across years (see Leverage Ratio sheet for the 'including' variant and FY2021 basis note).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PLC — Consolidated Cash Flow Statement</t>
        </is>
      </c>
    </row>
    <row r="2">
      <c r="A2" s="2" t="inlineStr">
        <is>
          <t>Barclays Bank UK Group (consolidated basis), £m unless stated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5" t="inlineStr">
        <is>
          <t>Reconciliation of profit before tax to net 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</t>
        </is>
      </c>
      <c r="B5" s="6" t="n">
        <v>3325</v>
      </c>
      <c r="C5" s="6" t="n">
        <v>3560</v>
      </c>
      <c r="D5" s="6" t="n">
        <v>2671</v>
      </c>
      <c r="E5" s="6" t="n">
        <v>2552</v>
      </c>
      <c r="F5" s="6" t="n">
        <v>2163</v>
      </c>
    </row>
    <row r="6">
      <c r="A6" s="6" t="inlineStr">
        <is>
          <t>Credit impairment charges/(releases)</t>
        </is>
      </c>
      <c r="B6" s="6" t="n">
        <v>393</v>
      </c>
      <c r="C6" s="6" t="n">
        <v>352</v>
      </c>
      <c r="D6" s="6" t="n">
        <v>308</v>
      </c>
      <c r="E6" s="6" t="n">
        <v>268</v>
      </c>
      <c r="F6" s="6" t="n">
        <v>-371</v>
      </c>
    </row>
    <row r="7">
      <c r="A7" s="6" t="inlineStr">
        <is>
          <t>Depreciation, amortisation and impairment of property, plant, equipment and intangibles</t>
        </is>
      </c>
      <c r="B7" s="6" t="n">
        <v>97</v>
      </c>
      <c r="C7" s="6" t="n">
        <v>95</v>
      </c>
      <c r="D7" s="6" t="n">
        <v>146</v>
      </c>
      <c r="E7" s="6" t="n">
        <v>187</v>
      </c>
      <c r="F7" s="6" t="n">
        <v>169</v>
      </c>
    </row>
    <row r="8">
      <c r="A8" s="6" t="inlineStr">
        <is>
          <t>Loss on disposal of subsidiaries</t>
        </is>
      </c>
      <c r="B8" s="6" t="n"/>
      <c r="C8" s="6" t="n"/>
      <c r="D8" s="6" t="n">
        <v>124</v>
      </c>
      <c r="E8" s="6" t="n">
        <v>0</v>
      </c>
      <c r="F8" s="6" t="n"/>
    </row>
    <row r="9">
      <c r="A9" s="6" t="inlineStr">
        <is>
          <t>Other provisions (including pensions where noted)</t>
        </is>
      </c>
      <c r="B9" s="6" t="n">
        <v>144</v>
      </c>
      <c r="C9" s="6" t="n">
        <v>68</v>
      </c>
      <c r="D9" s="6" t="n">
        <v>69</v>
      </c>
      <c r="E9" s="6" t="n">
        <v>47</v>
      </c>
      <c r="F9" s="6" t="n">
        <v>25</v>
      </c>
    </row>
    <row r="10">
      <c r="A10" s="6" t="inlineStr">
        <is>
          <t>Other non-cash items / exchange rate movements</t>
        </is>
      </c>
      <c r="B10" s="6" t="n">
        <v>375</v>
      </c>
      <c r="C10" s="6" t="n">
        <v>228</v>
      </c>
      <c r="D10" s="6" t="n">
        <v>2401</v>
      </c>
      <c r="E10" s="6" t="n">
        <v>-878</v>
      </c>
      <c r="F10" s="6" t="n">
        <v>-480</v>
      </c>
    </row>
    <row r="11">
      <c r="A11" s="5" t="inlineStr">
        <is>
          <t>Changes in operating assets and liabilities</t>
        </is>
      </c>
      <c r="B11" s="6" t="n"/>
      <c r="C11" s="6" t="n"/>
      <c r="D11" s="6" t="n"/>
      <c r="E11" s="6" t="n"/>
      <c r="F11" s="6" t="n"/>
    </row>
    <row r="12">
      <c r="A12" s="6" t="inlineStr">
        <is>
          <t>Net (increase)/decrease in cash collateral and settlement balances</t>
        </is>
      </c>
      <c r="B12" s="6" t="n">
        <v>-944</v>
      </c>
      <c r="C12" s="6" t="n">
        <v>414</v>
      </c>
      <c r="D12" s="6" t="n">
        <v>1108</v>
      </c>
      <c r="E12" s="6" t="n">
        <v>335</v>
      </c>
      <c r="F12" s="6" t="n">
        <v>322</v>
      </c>
    </row>
    <row r="13">
      <c r="A13" s="6" t="inlineStr">
        <is>
          <t>Net (increase)/decrease in loans and advances at amortised cost</t>
        </is>
      </c>
      <c r="B13" s="6" t="n">
        <v>-9592</v>
      </c>
      <c r="C13" s="6" t="n">
        <v>3023</v>
      </c>
      <c r="D13" s="6" t="n">
        <v>4402</v>
      </c>
      <c r="E13" s="6" t="n">
        <v>2893</v>
      </c>
      <c r="F13" s="6" t="n">
        <v>-4591</v>
      </c>
    </row>
    <row r="14">
      <c r="A14" s="6" t="inlineStr">
        <is>
          <t>Net (increase) in reverse repurchase agreements and other similar secured lending</t>
        </is>
      </c>
      <c r="B14" s="6" t="n">
        <v>-107</v>
      </c>
      <c r="C14" s="6" t="n">
        <v>-2327</v>
      </c>
      <c r="D14" s="6" t="n"/>
      <c r="E14" s="6" t="n"/>
      <c r="F14" s="6" t="n"/>
    </row>
    <row r="15">
      <c r="A15" s="6" t="inlineStr">
        <is>
          <t>Net (decrease)/increase in repurchase agreements and other similar secured borrowing</t>
        </is>
      </c>
      <c r="B15" s="6" t="n">
        <v>-1906</v>
      </c>
      <c r="C15" s="6" t="n">
        <v>241</v>
      </c>
      <c r="D15" s="6" t="n"/>
      <c r="E15" s="6" t="n"/>
      <c r="F15" s="6" t="n"/>
    </row>
    <row r="16">
      <c r="A16" s="6" t="inlineStr">
        <is>
          <t>Repurchase and reverse repurchase agreements (combined, as reported)</t>
        </is>
      </c>
      <c r="B16" s="6" t="n"/>
      <c r="C16" s="6" t="n"/>
      <c r="D16" s="6" t="n">
        <v>-5527</v>
      </c>
      <c r="E16" s="6" t="n">
        <v>-870</v>
      </c>
      <c r="F16" s="6" t="n">
        <v>11050</v>
      </c>
    </row>
    <row r="17">
      <c r="A17" s="6" t="inlineStr">
        <is>
          <t>Net increase/(decrease) in deposits at amortised cost</t>
        </is>
      </c>
      <c r="B17" s="6" t="n">
        <v>330</v>
      </c>
      <c r="C17" s="6" t="n">
        <v>-3686</v>
      </c>
      <c r="D17" s="6" t="n">
        <v>-17016</v>
      </c>
      <c r="E17" s="6" t="n">
        <v>-2615</v>
      </c>
      <c r="F17" s="6" t="n">
        <v>20197</v>
      </c>
    </row>
    <row r="18">
      <c r="A18" s="6" t="inlineStr">
        <is>
          <t>Net increase/(decrease) in debt securities in issue</t>
        </is>
      </c>
      <c r="B18" s="6" t="n">
        <v>2084</v>
      </c>
      <c r="C18" s="6" t="n">
        <v>-1242</v>
      </c>
      <c r="D18" s="6" t="n">
        <v>-4702</v>
      </c>
      <c r="E18" s="6" t="n">
        <v>-675</v>
      </c>
      <c r="F18" s="6" t="n">
        <v>1181</v>
      </c>
    </row>
    <row r="19">
      <c r="A19" s="6" t="inlineStr">
        <is>
          <t>Net decrease/(increase) in derivative financial instruments</t>
        </is>
      </c>
      <c r="B19" s="6" t="n">
        <v>906</v>
      </c>
      <c r="C19" s="6" t="n">
        <v>-413</v>
      </c>
      <c r="D19" s="6" t="n">
        <v>-1519</v>
      </c>
      <c r="E19" s="6" t="n">
        <v>427</v>
      </c>
      <c r="F19" s="6" t="n">
        <v>-406</v>
      </c>
    </row>
    <row r="20">
      <c r="A20" s="6" t="inlineStr">
        <is>
          <t>Net (increase) in trading portfolio assets</t>
        </is>
      </c>
      <c r="B20" s="6" t="n">
        <v>-143</v>
      </c>
      <c r="C20" s="6" t="n">
        <v>-199</v>
      </c>
      <c r="D20" s="6" t="n"/>
      <c r="E20" s="6" t="n"/>
      <c r="F20" s="6" t="n"/>
    </row>
    <row r="21">
      <c r="A21" s="6" t="inlineStr">
        <is>
          <t>Net increase/(decrease) in trading portfolio liabilities</t>
        </is>
      </c>
      <c r="B21" s="6" t="n">
        <v>182</v>
      </c>
      <c r="C21" s="6" t="n">
        <v>-182</v>
      </c>
      <c r="D21" s="6" t="n"/>
      <c r="E21" s="6" t="n"/>
      <c r="F21" s="6" t="n"/>
    </row>
    <row r="22">
      <c r="A22" s="6" t="inlineStr">
        <is>
          <t>Trading assets and liabilities (combined, as reported)</t>
        </is>
      </c>
      <c r="B22" s="6" t="n"/>
      <c r="C22" s="6" t="n"/>
      <c r="D22" s="6" t="n">
        <v>455</v>
      </c>
      <c r="E22" s="6" t="n">
        <v>-299</v>
      </c>
      <c r="F22" s="6" t="n">
        <v>-258</v>
      </c>
    </row>
    <row r="23">
      <c r="A23" s="6" t="inlineStr">
        <is>
          <t>Net decrease in financial assets at fair value through the income statement</t>
        </is>
      </c>
      <c r="B23" s="6" t="n">
        <v>130</v>
      </c>
      <c r="C23" s="6" t="n">
        <v>173</v>
      </c>
      <c r="D23" s="6" t="n"/>
      <c r="E23" s="6" t="n"/>
      <c r="F23" s="6" t="n"/>
    </row>
    <row r="24">
      <c r="A24" s="6" t="inlineStr">
        <is>
          <t>Net (decrease)/increase in financial liabilities designated at fair value</t>
        </is>
      </c>
      <c r="B24" s="6" t="n">
        <v>-1845</v>
      </c>
      <c r="C24" s="6" t="n">
        <v>2652</v>
      </c>
      <c r="D24" s="6" t="n"/>
      <c r="E24" s="6" t="n"/>
      <c r="F24" s="6" t="n"/>
    </row>
    <row r="25">
      <c r="A25" s="6" t="inlineStr">
        <is>
          <t>Financial assets and liabilities at fair value through the income statement (combined, as reported)</t>
        </is>
      </c>
      <c r="B25" s="6" t="n"/>
      <c r="C25" s="6" t="n"/>
      <c r="D25" s="6" t="n">
        <v>264</v>
      </c>
      <c r="E25" s="6" t="n">
        <v>787</v>
      </c>
      <c r="F25" s="6" t="n">
        <v>665</v>
      </c>
    </row>
    <row r="26">
      <c r="A26" s="6" t="inlineStr">
        <is>
          <t>Net (increase) in other assets and liabilities</t>
        </is>
      </c>
      <c r="B26" s="6" t="n">
        <v>-215</v>
      </c>
      <c r="C26" s="6" t="n">
        <v>-276</v>
      </c>
      <c r="D26" s="6" t="n">
        <v>-52</v>
      </c>
      <c r="E26" s="6" t="n">
        <v>-298</v>
      </c>
      <c r="F26" s="6" t="n">
        <v>-299</v>
      </c>
    </row>
    <row r="27">
      <c r="A27" s="6" t="inlineStr">
        <is>
          <t>Corporate income tax paid</t>
        </is>
      </c>
      <c r="B27" s="6" t="n">
        <v>-1074</v>
      </c>
      <c r="C27" s="6" t="n">
        <v>-522</v>
      </c>
      <c r="D27" s="6" t="n">
        <v>-583</v>
      </c>
      <c r="E27" s="6" t="n">
        <v>-395</v>
      </c>
      <c r="F27" s="6" t="n">
        <v>-53</v>
      </c>
    </row>
    <row r="28">
      <c r="A28" s="5" t="inlineStr">
        <is>
          <t>Net cash from operating activities</t>
        </is>
      </c>
      <c r="B28" s="5" t="n">
        <v>-7860</v>
      </c>
      <c r="C28" s="5" t="n">
        <v>1959</v>
      </c>
      <c r="D28" s="5" t="n">
        <v>-17451</v>
      </c>
      <c r="E28" s="5" t="n">
        <v>1466</v>
      </c>
      <c r="F28" s="5" t="n">
        <v>29314</v>
      </c>
    </row>
    <row r="29">
      <c r="A29" s="5" t="inlineStr">
        <is>
          <t>Investing activities</t>
        </is>
      </c>
      <c r="B29" s="6" t="n"/>
      <c r="C29" s="6" t="n"/>
      <c r="D29" s="6" t="n"/>
      <c r="E29" s="6" t="n"/>
      <c r="F29" s="6" t="n"/>
    </row>
    <row r="30">
      <c r="A30" s="6" t="inlineStr">
        <is>
          <t>Purchase of debt securities at amortised cost</t>
        </is>
      </c>
      <c r="B30" s="6" t="n">
        <v>-3727</v>
      </c>
      <c r="C30" s="6" t="n">
        <v>-4615</v>
      </c>
      <c r="D30" s="6" t="n"/>
      <c r="E30" s="6" t="n"/>
      <c r="F30" s="6" t="n"/>
    </row>
    <row r="31">
      <c r="A31" s="6" t="inlineStr">
        <is>
          <t>Proceeds from redemption or sale of debt securities at amortised cost</t>
        </is>
      </c>
      <c r="B31" s="6" t="n">
        <v>8061</v>
      </c>
      <c r="C31" s="6" t="n">
        <v>3932</v>
      </c>
      <c r="D31" s="6" t="n"/>
      <c r="E31" s="6" t="n"/>
      <c r="F31" s="6" t="n"/>
    </row>
    <row r="32">
      <c r="A32" s="6" t="inlineStr">
        <is>
          <t>Debt securities at amortised cost (net, as reported)</t>
        </is>
      </c>
      <c r="B32" s="6" t="n"/>
      <c r="C32" s="6" t="n"/>
      <c r="D32" s="6" t="n">
        <v>-178</v>
      </c>
      <c r="E32" s="6" t="n">
        <v>-5796</v>
      </c>
      <c r="F32" s="6" t="n">
        <v>-3695</v>
      </c>
    </row>
    <row r="33">
      <c r="A33" s="6" t="inlineStr">
        <is>
          <t>Purchase of financial assets at fair value through other comprehensive income</t>
        </is>
      </c>
      <c r="B33" s="6" t="n">
        <v>-20764</v>
      </c>
      <c r="C33" s="6" t="n">
        <v>-21343</v>
      </c>
      <c r="D33" s="6" t="n"/>
      <c r="E33" s="6" t="n"/>
      <c r="F33" s="6" t="n"/>
    </row>
    <row r="34">
      <c r="A34" s="6" t="inlineStr">
        <is>
          <t>Proceeds from sale or redemption of financial assets at fair value through other comprehensive income</t>
        </is>
      </c>
      <c r="B34" s="6" t="n">
        <v>16812</v>
      </c>
      <c r="C34" s="6" t="n">
        <v>14959</v>
      </c>
      <c r="D34" s="6" t="n"/>
      <c r="E34" s="6" t="n"/>
      <c r="F34" s="6" t="n"/>
    </row>
    <row r="35">
      <c r="A35" s="6" t="inlineStr">
        <is>
          <t>Financial assets at fair value through other comprehensive income (net, as reported)</t>
        </is>
      </c>
      <c r="B35" s="6" t="n"/>
      <c r="C35" s="6" t="n"/>
      <c r="D35" s="6" t="n">
        <v>-304</v>
      </c>
      <c r="E35" s="6" t="n">
        <v>-6792</v>
      </c>
      <c r="F35" s="6" t="n">
        <v>10125</v>
      </c>
    </row>
    <row r="36">
      <c r="A36" s="6" t="inlineStr">
        <is>
          <t>Financial liabilities designated at fair value (net, as reported)</t>
        </is>
      </c>
      <c r="B36" s="6" t="n"/>
      <c r="C36" s="6" t="n"/>
      <c r="D36" s="6" t="n">
        <v>196</v>
      </c>
      <c r="E36" s="6" t="n">
        <v>0</v>
      </c>
      <c r="F36" s="6" t="n"/>
    </row>
    <row r="37">
      <c r="A37" s="6" t="inlineStr">
        <is>
          <t>Purchase of property, plant and equipment and investment in intangibles</t>
        </is>
      </c>
      <c r="B37" s="6" t="n">
        <v>-52</v>
      </c>
      <c r="C37" s="6" t="n">
        <v>-13</v>
      </c>
      <c r="D37" s="6" t="n">
        <v>-25</v>
      </c>
      <c r="E37" s="6" t="n">
        <v>-13</v>
      </c>
      <c r="F37" s="6" t="n">
        <v>0</v>
      </c>
    </row>
    <row r="38">
      <c r="A38" s="6" t="inlineStr">
        <is>
          <t>Acquisition of business, net of cash acquired</t>
        </is>
      </c>
      <c r="B38" s="6" t="n">
        <v>0</v>
      </c>
      <c r="C38" s="6" t="n">
        <v>-228</v>
      </c>
      <c r="D38" s="6" t="n"/>
      <c r="E38" s="6" t="n"/>
      <c r="F38" s="6" t="n"/>
    </row>
    <row r="39">
      <c r="A39" s="6" t="inlineStr">
        <is>
          <t>Acquisition of subsidiaries, net of cash acquired</t>
        </is>
      </c>
      <c r="B39" s="6" t="n"/>
      <c r="C39" s="6" t="n"/>
      <c r="D39" s="6" t="n">
        <v>-2378</v>
      </c>
      <c r="E39" s="6" t="n">
        <v>0</v>
      </c>
      <c r="F39" s="6" t="n"/>
    </row>
    <row r="40">
      <c r="A40" s="6" t="inlineStr">
        <is>
          <t>Disposal of subsidiaries, net of cash disposed</t>
        </is>
      </c>
      <c r="B40" s="6" t="n"/>
      <c r="C40" s="6" t="n"/>
      <c r="D40" s="6" t="n">
        <v>-141</v>
      </c>
      <c r="E40" s="6" t="n">
        <v>0</v>
      </c>
      <c r="F40" s="6" t="n"/>
    </row>
    <row r="41">
      <c r="A41" s="5" t="inlineStr">
        <is>
          <t>Net cash from investing activities</t>
        </is>
      </c>
      <c r="B41" s="5" t="n">
        <v>330</v>
      </c>
      <c r="C41" s="5" t="n">
        <v>-7308</v>
      </c>
      <c r="D41" s="5" t="n">
        <v>-2830</v>
      </c>
      <c r="E41" s="5" t="n">
        <v>-12601</v>
      </c>
      <c r="F41" s="5" t="n">
        <v>6430</v>
      </c>
    </row>
    <row r="42">
      <c r="A42" s="5" t="inlineStr">
        <is>
          <t>Financing activities</t>
        </is>
      </c>
      <c r="B42" s="6" t="n"/>
      <c r="C42" s="6" t="n"/>
      <c r="D42" s="6" t="n"/>
      <c r="E42" s="6" t="n"/>
      <c r="F42" s="6" t="n"/>
    </row>
    <row r="43">
      <c r="A43" s="6" t="inlineStr">
        <is>
          <t>Dividends paid and other coupon payments on equity instruments</t>
        </is>
      </c>
      <c r="B43" s="6" t="n">
        <v>-1639</v>
      </c>
      <c r="C43" s="6" t="n">
        <v>-1173</v>
      </c>
      <c r="D43" s="6" t="n">
        <v>-1482</v>
      </c>
      <c r="E43" s="6" t="n">
        <v>-1888</v>
      </c>
      <c r="F43" s="6" t="n">
        <v>-683</v>
      </c>
    </row>
    <row r="44">
      <c r="A44" s="6" t="inlineStr">
        <is>
          <t>Capital contribution from Barclays PLC</t>
        </is>
      </c>
      <c r="B44" s="6" t="n"/>
      <c r="C44" s="6" t="n"/>
      <c r="D44" s="6" t="n"/>
      <c r="E44" s="6" t="n"/>
      <c r="F44" s="6" t="n">
        <v>0</v>
      </c>
    </row>
    <row r="45">
      <c r="A45" s="6" t="inlineStr">
        <is>
          <t>Issuance of subordinated liabilities/debt</t>
        </is>
      </c>
      <c r="B45" s="6" t="n">
        <v>3600</v>
      </c>
      <c r="C45" s="6" t="n">
        <v>2277</v>
      </c>
      <c r="D45" s="6" t="n">
        <v>4393</v>
      </c>
      <c r="E45" s="6" t="n">
        <v>829</v>
      </c>
      <c r="F45" s="6" t="n">
        <v>1025</v>
      </c>
    </row>
    <row r="46">
      <c r="A46" s="6" t="inlineStr">
        <is>
          <t>Redemption of subordinated liabilities/debt</t>
        </is>
      </c>
      <c r="B46" s="6" t="n">
        <v>-2703</v>
      </c>
      <c r="C46" s="6" t="n">
        <v>-372</v>
      </c>
      <c r="D46" s="6" t="n">
        <v>-1136</v>
      </c>
      <c r="E46" s="6" t="n">
        <v>-2017</v>
      </c>
      <c r="F46" s="6" t="n">
        <v>-1116</v>
      </c>
    </row>
    <row r="47">
      <c r="A47" s="6" t="inlineStr">
        <is>
          <t>Issue of shares and other equity instruments</t>
        </is>
      </c>
      <c r="B47" s="6" t="n">
        <v>990</v>
      </c>
      <c r="C47" s="6" t="n">
        <v>618</v>
      </c>
      <c r="D47" s="6" t="n">
        <v>619</v>
      </c>
      <c r="E47" s="6" t="n">
        <v>0</v>
      </c>
      <c r="F47" s="6" t="n"/>
    </row>
    <row r="48">
      <c r="A48" s="6" t="inlineStr">
        <is>
          <t>Repurchase/redemption of shares and other equity instruments</t>
        </is>
      </c>
      <c r="B48" s="6" t="n">
        <v>-1188</v>
      </c>
      <c r="C48" s="6" t="n">
        <v>-622</v>
      </c>
      <c r="D48" s="6" t="n">
        <v>-750</v>
      </c>
      <c r="E48" s="6" t="n">
        <v>0</v>
      </c>
      <c r="F48" s="6" t="n"/>
    </row>
    <row r="49">
      <c r="A49" s="6" t="inlineStr">
        <is>
          <t>Lease liability payments</t>
        </is>
      </c>
      <c r="B49" s="6" t="n">
        <v>-41</v>
      </c>
      <c r="C49" s="6" t="n">
        <v>-53</v>
      </c>
      <c r="D49" s="6" t="n">
        <v>-63</v>
      </c>
      <c r="E49" s="6" t="n">
        <v>-71</v>
      </c>
      <c r="F49" s="6" t="n"/>
    </row>
    <row r="50">
      <c r="A50" s="6" t="inlineStr">
        <is>
          <t>Vesting of employee share schemes</t>
        </is>
      </c>
      <c r="B50" s="6" t="n">
        <v>-28</v>
      </c>
      <c r="C50" s="6" t="n">
        <v>-15</v>
      </c>
      <c r="D50" s="6" t="n">
        <v>-16</v>
      </c>
      <c r="E50" s="6" t="n">
        <v>-14</v>
      </c>
      <c r="F50" s="6" t="n">
        <v>-11</v>
      </c>
    </row>
    <row r="51">
      <c r="A51" s="6" t="inlineStr">
        <is>
          <t>Effect of exchange rates on cash and cash equivalents</t>
        </is>
      </c>
      <c r="B51" s="6" t="n"/>
      <c r="C51" s="6" t="n"/>
      <c r="D51" s="6" t="n"/>
      <c r="E51" s="6" t="n"/>
      <c r="F51" s="6" t="n">
        <v>0</v>
      </c>
    </row>
    <row r="52">
      <c r="A52" s="5" t="inlineStr">
        <is>
          <t>Net cash from financing activities</t>
        </is>
      </c>
      <c r="B52" s="5" t="n">
        <v>-1009</v>
      </c>
      <c r="C52" s="5" t="n">
        <v>660</v>
      </c>
      <c r="D52" s="5" t="n">
        <v>1565</v>
      </c>
      <c r="E52" s="5" t="n">
        <v>-3161</v>
      </c>
      <c r="F52" s="5" t="n">
        <v>-785</v>
      </c>
    </row>
    <row r="53">
      <c r="A53" s="5" t="inlineStr">
        <is>
          <t>Net (decrease)/increase in cash and cash equivalents</t>
        </is>
      </c>
      <c r="B53" s="5" t="n">
        <v>-8539</v>
      </c>
      <c r="C53" s="5" t="n">
        <v>-4689</v>
      </c>
      <c r="D53" s="5" t="n">
        <v>-18716</v>
      </c>
      <c r="E53" s="5" t="n">
        <v>-14296</v>
      </c>
      <c r="F53" s="5" t="n">
        <v>34959</v>
      </c>
    </row>
    <row r="54">
      <c r="A54" s="6" t="inlineStr">
        <is>
          <t>Cash and cash equivalents at beginning of year</t>
        </is>
      </c>
      <c r="B54" s="6" t="n">
        <v>35675</v>
      </c>
      <c r="C54" s="6" t="n">
        <v>40364</v>
      </c>
      <c r="D54" s="6" t="n">
        <v>59080</v>
      </c>
      <c r="E54" s="6" t="n">
        <v>73376</v>
      </c>
      <c r="F54" s="6" t="n">
        <v>38417</v>
      </c>
    </row>
    <row r="55">
      <c r="A55" s="5" t="inlineStr">
        <is>
          <t>Cash and cash equivalents at end of year</t>
        </is>
      </c>
      <c r="B55" s="5" t="n">
        <v>27136</v>
      </c>
      <c r="C55" s="5" t="n">
        <v>35675</v>
      </c>
      <c r="D55" s="5" t="n">
        <v>40364</v>
      </c>
      <c r="E55" s="5" t="n">
        <v>59080</v>
      </c>
      <c r="F55" s="5" t="n">
        <v>73376</v>
      </c>
    </row>
    <row r="56">
      <c r="A56" s="5" t="inlineStr">
        <is>
          <t>Cash and cash equivalents at end of year comprise</t>
        </is>
      </c>
      <c r="B56" s="6" t="n"/>
      <c r="C56" s="6" t="n"/>
      <c r="D56" s="6" t="n"/>
      <c r="E56" s="6" t="n"/>
      <c r="F56" s="6" t="n"/>
    </row>
    <row r="57">
      <c r="A57" s="6" t="inlineStr">
        <is>
          <t>Cash and balances at central banks</t>
        </is>
      </c>
      <c r="B57" s="6" t="n">
        <v>21208</v>
      </c>
      <c r="C57" s="6" t="n">
        <v>29819</v>
      </c>
      <c r="D57" s="6" t="n">
        <v>34948</v>
      </c>
      <c r="E57" s="6" t="n">
        <v>54208</v>
      </c>
      <c r="F57" s="6" t="n">
        <v>69488</v>
      </c>
    </row>
    <row r="58">
      <c r="A58" s="6" t="inlineStr">
        <is>
          <t>Loans and advances to banks with original maturity less than three months</t>
        </is>
      </c>
      <c r="B58" s="6" t="n">
        <v>178</v>
      </c>
      <c r="C58" s="6" t="n">
        <v>231</v>
      </c>
      <c r="D58" s="6" t="n">
        <v>291</v>
      </c>
      <c r="E58" s="6" t="n">
        <v>347</v>
      </c>
      <c r="F58" s="6" t="n">
        <v>46</v>
      </c>
    </row>
    <row r="59">
      <c r="A59" s="6" t="inlineStr">
        <is>
          <t>Cash collateral balances with central banks with original maturity less than three months</t>
        </is>
      </c>
      <c r="B59" s="6" t="n">
        <v>5750</v>
      </c>
      <c r="C59" s="6" t="n">
        <v>5625</v>
      </c>
      <c r="D59" s="6" t="n">
        <v>5125</v>
      </c>
      <c r="E59" s="6" t="n">
        <v>4525</v>
      </c>
      <c r="F59" s="6" t="n">
        <v>3842</v>
      </c>
    </row>
    <row r="60">
      <c r="A60" s="5" t="inlineStr">
        <is>
          <t>Cash and cash equivalents at end of year</t>
        </is>
      </c>
      <c r="B60" s="5" t="n">
        <v>27136</v>
      </c>
      <c r="C60" s="5" t="n">
        <v>35675</v>
      </c>
      <c r="D60" s="5" t="n">
        <v>40364</v>
      </c>
      <c r="E60" s="5" t="n">
        <v>59080</v>
      </c>
      <c r="F60" s="5" t="n">
        <v>73376</v>
      </c>
    </row>
    <row r="62" ht="90" customHeight="1">
      <c r="A62" s="8" t="inlineStr">
        <is>
          <t>Sources — all figures are Barclays Bank UK Group consolidated cash flow statement, £m:
FY2025 &amp; FY2024: Barclays Bank UK PLC Annual Report 2025, p.201 (Consolidated cash flow statement) — https://home.barclays/content/dam/home-barclays/documents/investor-relations/reports-and-events/annual-reports/2025/Barclays-Bank-UK-PLC-Annual-Report-2025.pdf
FY2023 &amp; FY2022: Barclays Bank UK PLC Annual Report 2023, p.166 (Consolidated cash flow statement) — https://home.barclays/content/dam/home-barclays/documents/investor-relations/reports-and-events/annual-reports/2023/Barclays-Bank-UK-Annual-Report-2023-Results-committee.pdf
FY2021: Barclays Bank UK PLC Annual Report 2021, p.138 (Consolidated cash flow statement) — https://home.barclays/content/dam/home-barclays/documents/investor-relations/reports-and-events/annual-reports/2021/Barclays-Bank-UK-PLC-2021-Annual-Report.pdf
Note: Barclays changed cash flow statement presentation granularity across these report vintages (e.g. FY2025/FY2024 split some line items — such as repurchase/reverse repurchase agreements and trading portfolio assets/liabilities — that FY2023/FY2022/FY2021 report on a combined basis). Blank cells indicate that year's report did not disclose that specific split; where a coarser combined figure was reported instead, it appears on its own row. Section totals (net cash from operating/investing/financing activities, cash and cash equivalents) are consistent and comparable across all 5 years.</t>
        </is>
      </c>
    </row>
  </sheetData>
  <mergeCells count="1">
    <mergeCell ref="A62:F6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CET1 Capital</t>
        </is>
      </c>
    </row>
    <row r="2">
      <c r="A2" s="2" t="inlineStr">
        <is>
          <t>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12331</v>
      </c>
      <c r="C4" s="6" t="n">
        <v>11895</v>
      </c>
      <c r="D4" s="6" t="n">
        <v>10638</v>
      </c>
      <c r="E4" s="6" t="n">
        <v>10701</v>
      </c>
      <c r="F4" s="6" t="n">
        <v>10828</v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CET1 Ratio</t>
        </is>
      </c>
    </row>
    <row r="2">
      <c r="A2" s="2" t="inlineStr">
        <is>
          <t>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14.5%</t>
        </is>
      </c>
      <c r="C4" s="6" t="inlineStr">
        <is>
          <t>14.2%</t>
        </is>
      </c>
      <c r="D4" s="6" t="inlineStr">
        <is>
          <t>14.8%</t>
        </is>
      </c>
      <c r="E4" s="6" t="inlineStr">
        <is>
          <t>14.7%</t>
        </is>
      </c>
      <c r="F4" s="6" t="inlineStr">
        <is>
          <t>15.2%</t>
        </is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Tier 1 Capital</t>
        </is>
      </c>
    </row>
    <row r="2">
      <c r="A2" s="2" t="inlineStr">
        <is>
          <t>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14558</v>
      </c>
      <c r="C4" s="6" t="n">
        <v>14320</v>
      </c>
      <c r="D4" s="6" t="n">
        <v>13067</v>
      </c>
      <c r="E4" s="6" t="n">
        <v>13261</v>
      </c>
      <c r="F4" s="6" t="n">
        <v>13388</v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1">
    <mergeCell ref="A6:F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Tier 1 Ratio</t>
        </is>
      </c>
    </row>
    <row r="2">
      <c r="A2" s="2" t="inlineStr">
        <is>
          <t>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17.1%</t>
        </is>
      </c>
      <c r="C4" s="6" t="inlineStr">
        <is>
          <t>17.1%</t>
        </is>
      </c>
      <c r="D4" s="6" t="inlineStr">
        <is>
          <t>18.1%</t>
        </is>
      </c>
      <c r="E4" s="6" t="inlineStr">
        <is>
          <t>18.2%</t>
        </is>
      </c>
      <c r="F4" s="6" t="inlineStr">
        <is>
          <t>18.8%</t>
        </is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Total Capital</t>
        </is>
      </c>
    </row>
    <row r="2">
      <c r="A2" s="2" t="inlineStr">
        <is>
          <t>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16996</v>
      </c>
      <c r="C4" s="6" t="n">
        <v>17155</v>
      </c>
      <c r="D4" s="6" t="n">
        <v>15596</v>
      </c>
      <c r="E4" s="6" t="n">
        <v>15828</v>
      </c>
      <c r="F4" s="6" t="n">
        <v>16442</v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Total Capital Ratio</t>
        </is>
      </c>
    </row>
    <row r="2">
      <c r="A2" s="2" t="inlineStr">
        <is>
          <t>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20.0%</t>
        </is>
      </c>
      <c r="C4" s="6" t="inlineStr">
        <is>
          <t>20.5%</t>
        </is>
      </c>
      <c r="D4" s="6" t="inlineStr">
        <is>
          <t>21.6%</t>
        </is>
      </c>
      <c r="E4" s="6" t="inlineStr">
        <is>
          <t>21.8%</t>
        </is>
      </c>
      <c r="F4" s="6" t="inlineStr">
        <is>
          <t>23.1%</t>
        </is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Total RWAs</t>
        </is>
      </c>
    </row>
    <row r="2">
      <c r="A2" s="2" t="inlineStr">
        <is>
          <t>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85065</v>
      </c>
      <c r="C4" s="6" t="n">
        <v>83639</v>
      </c>
      <c r="D4" s="6" t="n">
        <v>72102</v>
      </c>
      <c r="E4" s="6" t="n">
        <v>72719</v>
      </c>
      <c r="F4" s="6" t="n">
        <v>71213</v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Leverage Ratio</t>
        </is>
      </c>
    </row>
    <row r="2">
      <c r="A2" s="2" t="inlineStr">
        <is>
          <t>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exposure measure excluding claims on central banks (£m)</t>
        </is>
      </c>
      <c r="B4" s="6" t="n">
        <v>277958</v>
      </c>
      <c r="C4" s="6" t="n">
        <v>268452</v>
      </c>
      <c r="D4" s="6" t="n">
        <v>250163</v>
      </c>
      <c r="E4" s="6" t="n">
        <v>250092</v>
      </c>
      <c r="F4" s="6" t="n">
        <v>241173</v>
      </c>
    </row>
    <row r="5">
      <c r="A5" s="6" t="inlineStr">
        <is>
          <t>Leverage ratio excluding claims on central banks (%)</t>
        </is>
      </c>
      <c r="B5" s="6" t="inlineStr">
        <is>
          <t>5.2%</t>
        </is>
      </c>
      <c r="C5" s="6" t="inlineStr">
        <is>
          <t>5.3%</t>
        </is>
      </c>
      <c r="D5" s="6" t="inlineStr">
        <is>
          <t>5.2%</t>
        </is>
      </c>
      <c r="E5" s="6" t="inlineStr">
        <is>
          <t>5.3%</t>
        </is>
      </c>
      <c r="F5" s="6" t="inlineStr">
        <is>
          <t>5.6%</t>
        </is>
      </c>
    </row>
    <row r="6">
      <c r="A6" s="6" t="inlineStr">
        <is>
          <t>Leverage ratio including claims on central banks (%)</t>
        </is>
      </c>
      <c r="B6" s="6" t="inlineStr">
        <is>
          <t>4.8%</t>
        </is>
      </c>
      <c r="C6" s="6" t="inlineStr">
        <is>
          <t>4.7%</t>
        </is>
      </c>
      <c r="D6" s="6" t="inlineStr">
        <is>
          <t>4.5%</t>
        </is>
      </c>
      <c r="E6" s="6" t="inlineStr">
        <is>
          <t>4.3%</t>
        </is>
      </c>
      <c r="F6" s="6" t="inlineStr">
        <is>
          <t>4.1%</t>
        </is>
      </c>
    </row>
    <row r="7" ht="60" customHeight="1">
      <c r="A7" s="7" t="inlineStr">
        <is>
          <t>Note: FY2021 exposure/ratios use the 'UK leverage ratio (Transitional)' and 'CRR leverage ratio (Transitional)' rows from the 2021 Pillar 3 report as the closest equivalents to the 'excluding'/'including claims on central banks' framing introduced in later reports.</t>
        </is>
      </c>
    </row>
    <row r="9" ht="90" customHeight="1">
      <c r="A9" s="8" t="inlineStr">
        <is>
          <t>Sources — Barclays Bank UK Group consolidated (Pillar 3) basis:
FY2025 &amp; FY2024: Barclays Bank UK PLC Pillar 3 Report 2025, p.12 (Table 6: KM1 - Key metrics - Part 2) — https://home.barclays/content/dam/home-barclays/documents/investor-relations/ResultAnnouncements/FullYear2025Results/FY25-BBUKPLC-Pillar-3.pdf
FY2023 &amp; FY2022: Barclays Bank UK PLC Pillar 3 Report 2023, p.12 (Table 6: KM1 - Key metrics - Part 2)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LCR</t>
        </is>
      </c>
    </row>
    <row r="2">
      <c r="A2" s="2" t="inlineStr">
        <is>
          <t>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high-quality liquid assets (HQLA), weighted value (£m)</t>
        </is>
      </c>
      <c r="B4" s="6" t="n">
        <v>64552</v>
      </c>
      <c r="C4" s="6" t="n">
        <v>68446</v>
      </c>
      <c r="D4" s="6" t="n">
        <v>68533</v>
      </c>
      <c r="E4" s="6" t="n">
        <v>81791</v>
      </c>
      <c r="F4" s="6" t="n">
        <v>85092</v>
      </c>
    </row>
    <row r="5">
      <c r="A5" s="6" t="inlineStr">
        <is>
          <t>Total net cash outflows, adjusted value (£m)</t>
        </is>
      </c>
      <c r="B5" s="6" t="n">
        <v>34613</v>
      </c>
      <c r="C5" s="6" t="n">
        <v>33879</v>
      </c>
      <c r="D5" s="6" t="n">
        <v>38057</v>
      </c>
      <c r="E5" s="6" t="n">
        <v>43966</v>
      </c>
      <c r="F5" s="6" t="n">
        <v>41690</v>
      </c>
    </row>
    <row r="6">
      <c r="A6" s="6" t="inlineStr">
        <is>
          <t>Liquidity Coverage Ratio (%)</t>
        </is>
      </c>
      <c r="B6" s="6" t="inlineStr">
        <is>
          <t>186.6%</t>
        </is>
      </c>
      <c r="C6" s="6" t="inlineStr">
        <is>
          <t>202.0%</t>
        </is>
      </c>
      <c r="D6" s="6" t="inlineStr">
        <is>
          <t>180%</t>
        </is>
      </c>
      <c r="E6" s="6" t="inlineStr">
        <is>
          <t>186%</t>
        </is>
      </c>
      <c r="F6" s="6" t="inlineStr">
        <is>
          <t>204%</t>
        </is>
      </c>
    </row>
    <row r="7" ht="60" customHeight="1">
      <c r="A7" s="7" t="inlineStr">
        <is>
          <t>Note: LCR is computed as a trailing average of the last 12 month-end observations.</t>
        </is>
      </c>
    </row>
    <row r="9" ht="90" customHeight="1">
      <c r="A9" s="8" t="inlineStr">
        <is>
          <t>Sources — Barclays Bank UK Group consolidated (Pillar 3) basis:
FY2025 &amp; FY2024: Barclays Bank UK PLC Pillar 3 Report 2025, p.12 (Table 6: KM1 - Key metrics - Part 2) — https://home.barclays/content/dam/home-barclays/documents/investor-relations/ResultAnnouncements/FullYear2025Results/FY25-BBUKPLC-Pillar-3.pdf
FY2023 &amp; FY2022: Barclays Bank UK PLC Pillar 3 Report 2023, p.12 (Table 6: KM1 - Key metrics - Part 2)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NSFR</t>
        </is>
      </c>
    </row>
    <row r="2">
      <c r="A2" s="2" t="inlineStr">
        <is>
          <t>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available stable funding (£m)</t>
        </is>
      </c>
      <c r="B4" s="6" t="n">
        <v>257230</v>
      </c>
      <c r="C4" s="6" t="n">
        <v>254755</v>
      </c>
      <c r="D4" s="6" t="n">
        <v>258620</v>
      </c>
      <c r="E4" s="6" t="n">
        <v>266421</v>
      </c>
      <c r="F4" s="6" t="n"/>
    </row>
    <row r="5">
      <c r="A5" s="6" t="inlineStr">
        <is>
          <t>Total required stable funding (£m)</t>
        </is>
      </c>
      <c r="B5" s="6" t="n">
        <v>168761</v>
      </c>
      <c r="C5" s="6" t="n">
        <v>160041</v>
      </c>
      <c r="D5" s="6" t="n">
        <v>156588</v>
      </c>
      <c r="E5" s="6" t="n">
        <v>158156</v>
      </c>
      <c r="F5" s="6" t="n"/>
    </row>
    <row r="6">
      <c r="A6" s="6" t="inlineStr">
        <is>
          <t>Net Stable Funding Ratio (%)</t>
        </is>
      </c>
      <c r="B6" s="6" t="inlineStr">
        <is>
          <t>152.4%</t>
        </is>
      </c>
      <c r="C6" s="6" t="inlineStr">
        <is>
          <t>159.3%</t>
        </is>
      </c>
      <c r="D6" s="6" t="inlineStr">
        <is>
          <t>165%</t>
        </is>
      </c>
      <c r="E6" s="6" t="inlineStr">
        <is>
          <t>168%</t>
        </is>
      </c>
      <c r="F6" s="6" t="inlineStr">
        <is>
          <t>Not disclosed</t>
        </is>
      </c>
    </row>
    <row r="7" ht="60" customHeight="1">
      <c r="A7" s="7" t="inlineStr">
        <is>
          <t>Note: NSFR is computed as a trailing average of the last four spot quarter-end positions. It was not a Pillar 3 disclosure requirement as at FY2021 (the UK NSFR regime took effect from 1 January 2022), so no FY2021 figures are available.</t>
        </is>
      </c>
    </row>
    <row r="9" ht="90" customHeight="1">
      <c r="A9" s="8" t="inlineStr">
        <is>
          <t>Sources — Barclays Bank UK Group consolidated (Pillar 3) basis:
FY2025 &amp; FY2024: Barclays Bank UK PLC Pillar 3 Report 2025, p.12 (Table 6: KM1 - Key metrics - Part 2) — https://home.barclays/content/dam/home-barclays/documents/investor-relations/ResultAnnouncements/FullYear2025Results/FY25-BBUKPLC-Pillar-3.pdf
FY2023 &amp; FY2022: Barclays Bank UK PLC Pillar 3 Report 2023, p.12 (Table 6: KM1 - Key metrics - Part 2)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Group — MREL Ratio</t>
        </is>
      </c>
    </row>
    <row r="2">
      <c r="A2" s="2" t="inlineStr">
        <is>
          <t>Consolidated basis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disclosed at this level</t>
        </is>
      </c>
      <c r="C4" s="6" t="inlineStr">
        <is>
          <t>Not disclosed at this level</t>
        </is>
      </c>
      <c r="D4" s="6" t="inlineStr">
        <is>
          <t>Not disclosed at this level</t>
        </is>
      </c>
      <c r="E4" s="6" t="inlineStr">
        <is>
          <t>Not disclosed at this level</t>
        </is>
      </c>
      <c r="F4" s="6" t="inlineStr">
        <is>
          <t>Not disclosed at this level</t>
        </is>
      </c>
    </row>
    <row r="5" ht="60" customHeight="1">
      <c r="A5" s="7" t="inlineStr">
        <is>
          <t>Note: MREL disclosures are not applicable for Barclays Bank UK Group (the ring-fenced entity) in any of the five years reviewed; MREL is disclosed at the Barclays PLC group level instead (see Barclays PLC Pillar 3 Report, Table 21: TLAC2).</t>
        </is>
      </c>
    </row>
    <row r="7" ht="90" customHeight="1">
      <c r="A7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2026-08-26T09:32:05Z</dcterms:created>
  <dcterms:modified xsi:type="dcterms:W3CDTF">2026-08-26T09:32:05Z</dcterms:modified>
</cp:coreProperties>
</file>